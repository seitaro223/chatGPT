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0525_再整理\"/>
    </mc:Choice>
  </mc:AlternateContent>
  <xr:revisionPtr revIDLastSave="0" documentId="13_ncr:1_{2E0FBE67-8DC2-4969-B832-942E33F2E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STAGING_README" sheetId="2" r:id="rId1"/>
    <sheet name="00_STAGING_LOG" sheetId="3" r:id="rId2"/>
    <sheet name="SRC_tm_r123_noF1_T8_14" sheetId="4" r:id="rId3"/>
    <sheet name="SRC_tm_r124_F1_T8_14" sheetId="5" r:id="rId4"/>
    <sheet name="STG_added138_noF1" sheetId="6" r:id="rId5"/>
    <sheet name="STG_added138_F1" sheetId="7" r:id="rId6"/>
    <sheet name="STG_added138_diag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8" l="1"/>
  <c r="B42" i="8" a="1"/>
  <c r="B42" i="8" s="1"/>
  <c r="B41" i="8" a="1"/>
  <c r="B41" i="8" s="1"/>
  <c r="F38" i="8"/>
  <c r="E38" i="8" a="1"/>
  <c r="E38" i="8"/>
  <c r="D38" i="8"/>
  <c r="C38" i="8" a="1"/>
  <c r="C38" i="8"/>
  <c r="B38" i="8"/>
  <c r="F37" i="8"/>
  <c r="E37" i="8" a="1"/>
  <c r="E37" i="8"/>
  <c r="D37" i="8"/>
  <c r="C37" i="8" a="1"/>
  <c r="C37" i="8"/>
  <c r="B37" i="8"/>
  <c r="F36" i="8"/>
  <c r="E36" i="8" a="1"/>
  <c r="E36" i="8"/>
  <c r="D36" i="8"/>
  <c r="C36" i="8" a="1"/>
  <c r="C36" i="8" s="1"/>
  <c r="B36" i="8"/>
  <c r="D32" i="8"/>
  <c r="C32" i="8"/>
  <c r="B32" i="8"/>
  <c r="D29" i="8"/>
  <c r="C29" i="8"/>
  <c r="B29" i="8"/>
  <c r="C26" i="8"/>
  <c r="B26" i="8"/>
  <c r="C25" i="8"/>
  <c r="B25" i="8"/>
  <c r="C24" i="8"/>
  <c r="B24" i="8"/>
  <c r="C23" i="8"/>
  <c r="B23" i="8"/>
  <c r="C22" i="8"/>
  <c r="B22" i="8"/>
  <c r="C21" i="8"/>
  <c r="B21" i="8"/>
  <c r="E17" i="8"/>
  <c r="D17" i="8"/>
  <c r="C17" i="8"/>
  <c r="B17" i="8"/>
  <c r="E16" i="8"/>
  <c r="C16" i="8"/>
  <c r="B16" i="8"/>
  <c r="E15" i="8"/>
  <c r="C15" i="8"/>
  <c r="B15" i="8"/>
  <c r="E14" i="8"/>
  <c r="C14" i="8"/>
  <c r="B14" i="8"/>
  <c r="E13" i="8"/>
  <c r="C13" i="8"/>
  <c r="B13" i="8"/>
  <c r="E12" i="8"/>
  <c r="C12" i="8"/>
  <c r="B12" i="8"/>
  <c r="E11" i="8"/>
  <c r="C11" i="8"/>
  <c r="B11" i="8"/>
  <c r="B7" i="8"/>
  <c r="C6" i="8"/>
  <c r="B6" i="8"/>
  <c r="C5" i="8"/>
  <c r="B5" i="8"/>
  <c r="BV2" i="7"/>
  <c r="BW2" i="7"/>
  <c r="BX2" i="7" s="1"/>
  <c r="BY2" i="7"/>
  <c r="BZ2" i="7"/>
  <c r="BV3" i="7"/>
  <c r="BW3" i="7"/>
  <c r="BZ3" i="7" s="1"/>
  <c r="BX3" i="7"/>
  <c r="BY3" i="7"/>
  <c r="BV4" i="7"/>
  <c r="BW4" i="7"/>
  <c r="BX4" i="7" s="1"/>
  <c r="BY4" i="7"/>
  <c r="BV5" i="7"/>
  <c r="BW5" i="7"/>
  <c r="BX5" i="7"/>
  <c r="BY5" i="7"/>
  <c r="BZ5" i="7"/>
  <c r="BV6" i="7"/>
  <c r="BW6" i="7"/>
  <c r="BZ6" i="7" s="1"/>
  <c r="BX6" i="7"/>
  <c r="BY6" i="7"/>
  <c r="BV7" i="7"/>
  <c r="BW7" i="7"/>
  <c r="BX7" i="7" s="1"/>
  <c r="BY7" i="7"/>
  <c r="BZ7" i="7"/>
  <c r="BV8" i="7"/>
  <c r="BW8" i="7"/>
  <c r="BX8" i="7" s="1"/>
  <c r="BY8" i="7"/>
  <c r="BV9" i="7"/>
  <c r="BW9" i="7"/>
  <c r="BZ9" i="7" s="1"/>
  <c r="BX9" i="7"/>
  <c r="BY9" i="7"/>
  <c r="BV10" i="7"/>
  <c r="BW10" i="7"/>
  <c r="BZ10" i="7" s="1"/>
  <c r="BX10" i="7"/>
  <c r="BY10" i="7"/>
  <c r="BV11" i="7"/>
  <c r="BW11" i="7"/>
  <c r="BZ11" i="7" s="1"/>
  <c r="BX11" i="7"/>
  <c r="BY11" i="7"/>
  <c r="BV12" i="7"/>
  <c r="BW12" i="7"/>
  <c r="BX12" i="7"/>
  <c r="BY12" i="7"/>
  <c r="BZ12" i="7"/>
  <c r="BV13" i="7"/>
  <c r="BW13" i="7"/>
  <c r="BX13" i="7"/>
  <c r="BY13" i="7"/>
  <c r="BZ13" i="7"/>
  <c r="BV14" i="7"/>
  <c r="BW14" i="7"/>
  <c r="BX14" i="7" s="1"/>
  <c r="BY14" i="7"/>
  <c r="BZ14" i="7"/>
  <c r="BV15" i="7"/>
  <c r="BW15" i="7"/>
  <c r="BZ15" i="7" s="1"/>
  <c r="BX15" i="7"/>
  <c r="BY15" i="7"/>
  <c r="BV16" i="7"/>
  <c r="BW16" i="7"/>
  <c r="BX16" i="7" s="1"/>
  <c r="BY16" i="7"/>
  <c r="BV17" i="7"/>
  <c r="BW17" i="7"/>
  <c r="BX17" i="7"/>
  <c r="BY17" i="7"/>
  <c r="BZ17" i="7"/>
  <c r="BV18" i="7"/>
  <c r="BW18" i="7"/>
  <c r="BZ18" i="7" s="1"/>
  <c r="BX18" i="7"/>
  <c r="BY18" i="7"/>
  <c r="BV19" i="7"/>
  <c r="BW19" i="7"/>
  <c r="BX19" i="7" s="1"/>
  <c r="BY19" i="7"/>
  <c r="BZ19" i="7"/>
  <c r="BV20" i="7"/>
  <c r="BW20" i="7"/>
  <c r="BX20" i="7" s="1"/>
  <c r="BY20" i="7"/>
  <c r="BZ20" i="7"/>
  <c r="BV21" i="7"/>
  <c r="BW21" i="7"/>
  <c r="BZ21" i="7" s="1"/>
  <c r="BX21" i="7"/>
  <c r="BY21" i="7"/>
  <c r="BV22" i="7"/>
  <c r="BW22" i="7"/>
  <c r="BZ22" i="7" s="1"/>
  <c r="BX22" i="7"/>
  <c r="BY22" i="7"/>
  <c r="BV23" i="7"/>
  <c r="BW23" i="7"/>
  <c r="BZ23" i="7" s="1"/>
  <c r="BX23" i="7"/>
  <c r="BY23" i="7"/>
  <c r="BV24" i="7"/>
  <c r="BW24" i="7"/>
  <c r="BX24" i="7"/>
  <c r="BY24" i="7"/>
  <c r="BZ24" i="7"/>
  <c r="BV25" i="7"/>
  <c r="BW25" i="7"/>
  <c r="BX25" i="7"/>
  <c r="BY25" i="7"/>
  <c r="BZ25" i="7"/>
  <c r="BV26" i="7"/>
  <c r="BW26" i="7"/>
  <c r="BX26" i="7" s="1"/>
  <c r="BY26" i="7"/>
  <c r="BZ26" i="7"/>
  <c r="BV27" i="7"/>
  <c r="BW27" i="7"/>
  <c r="BZ27" i="7" s="1"/>
  <c r="BX27" i="7"/>
  <c r="BY27" i="7"/>
  <c r="BV28" i="7"/>
  <c r="BW28" i="7"/>
  <c r="BX28" i="7" s="1"/>
  <c r="BY28" i="7"/>
  <c r="BV29" i="7"/>
  <c r="BW29" i="7"/>
  <c r="BX29" i="7"/>
  <c r="BY29" i="7"/>
  <c r="BZ29" i="7"/>
  <c r="BV30" i="7"/>
  <c r="BW30" i="7"/>
  <c r="BZ30" i="7" s="1"/>
  <c r="BX30" i="7"/>
  <c r="BY30" i="7"/>
  <c r="BV31" i="7"/>
  <c r="BW31" i="7"/>
  <c r="BX31" i="7" s="1"/>
  <c r="BY31" i="7"/>
  <c r="BZ31" i="7"/>
  <c r="BV32" i="7"/>
  <c r="BW32" i="7"/>
  <c r="BX32" i="7" s="1"/>
  <c r="BY32" i="7"/>
  <c r="BZ32" i="7"/>
  <c r="BV33" i="7"/>
  <c r="BW33" i="7"/>
  <c r="BZ33" i="7" s="1"/>
  <c r="BX33" i="7"/>
  <c r="BY33" i="7"/>
  <c r="BV34" i="7"/>
  <c r="BW34" i="7"/>
  <c r="BZ34" i="7" s="1"/>
  <c r="BX34" i="7"/>
  <c r="BY34" i="7"/>
  <c r="BV35" i="7"/>
  <c r="BW35" i="7"/>
  <c r="BZ35" i="7" s="1"/>
  <c r="BX35" i="7"/>
  <c r="BY35" i="7"/>
  <c r="BV36" i="7"/>
  <c r="BW36" i="7"/>
  <c r="BX36" i="7"/>
  <c r="BY36" i="7"/>
  <c r="BZ36" i="7"/>
  <c r="BV37" i="7"/>
  <c r="BW37" i="7"/>
  <c r="BX37" i="7"/>
  <c r="BY37" i="7"/>
  <c r="BZ37" i="7"/>
  <c r="BV38" i="7"/>
  <c r="BW38" i="7"/>
  <c r="BX38" i="7" s="1"/>
  <c r="BY38" i="7"/>
  <c r="BZ38" i="7"/>
  <c r="BV39" i="7"/>
  <c r="BW39" i="7"/>
  <c r="BZ39" i="7" s="1"/>
  <c r="BX39" i="7"/>
  <c r="BY39" i="7"/>
  <c r="BV40" i="7"/>
  <c r="BW40" i="7"/>
  <c r="BX40" i="7" s="1"/>
  <c r="BY40" i="7"/>
  <c r="BV41" i="7"/>
  <c r="BW41" i="7"/>
  <c r="BX41" i="7"/>
  <c r="BY41" i="7"/>
  <c r="BZ41" i="7"/>
  <c r="BV42" i="7"/>
  <c r="BW42" i="7"/>
  <c r="BZ42" i="7" s="1"/>
  <c r="BX42" i="7"/>
  <c r="BY42" i="7"/>
  <c r="BV43" i="7"/>
  <c r="BW43" i="7"/>
  <c r="BX43" i="7" s="1"/>
  <c r="BY43" i="7"/>
  <c r="BZ43" i="7"/>
  <c r="BV44" i="7"/>
  <c r="BW44" i="7"/>
  <c r="BX44" i="7" s="1"/>
  <c r="BY44" i="7"/>
  <c r="BZ44" i="7"/>
  <c r="BV45" i="7"/>
  <c r="BW45" i="7"/>
  <c r="BZ45" i="7" s="1"/>
  <c r="BX45" i="7"/>
  <c r="BY45" i="7"/>
  <c r="BV46" i="7"/>
  <c r="BW46" i="7"/>
  <c r="BZ46" i="7" s="1"/>
  <c r="BX46" i="7"/>
  <c r="BY46" i="7"/>
  <c r="BV47" i="7"/>
  <c r="BW47" i="7"/>
  <c r="BZ47" i="7" s="1"/>
  <c r="BX47" i="7"/>
  <c r="BY47" i="7"/>
  <c r="BV48" i="7"/>
  <c r="BW48" i="7"/>
  <c r="BX48" i="7"/>
  <c r="BY48" i="7"/>
  <c r="BZ48" i="7"/>
  <c r="BV49" i="7"/>
  <c r="BW49" i="7"/>
  <c r="BX49" i="7"/>
  <c r="BY49" i="7"/>
  <c r="BZ49" i="7"/>
  <c r="BV50" i="7"/>
  <c r="BW50" i="7"/>
  <c r="BX50" i="7" s="1"/>
  <c r="BY50" i="7"/>
  <c r="BZ50" i="7"/>
  <c r="BV51" i="7"/>
  <c r="BW51" i="7"/>
  <c r="BZ51" i="7" s="1"/>
  <c r="BX51" i="7"/>
  <c r="BY51" i="7"/>
  <c r="BV52" i="7"/>
  <c r="BW52" i="7"/>
  <c r="BX52" i="7" s="1"/>
  <c r="BY52" i="7"/>
  <c r="BV53" i="7"/>
  <c r="BW53" i="7"/>
  <c r="BX53" i="7"/>
  <c r="BY53" i="7"/>
  <c r="BZ53" i="7"/>
  <c r="BV54" i="7"/>
  <c r="BW54" i="7"/>
  <c r="BZ54" i="7" s="1"/>
  <c r="BX54" i="7"/>
  <c r="BY54" i="7"/>
  <c r="BV55" i="7"/>
  <c r="BW55" i="7"/>
  <c r="BX55" i="7" s="1"/>
  <c r="BY55" i="7"/>
  <c r="BZ55" i="7"/>
  <c r="BV56" i="7"/>
  <c r="BW56" i="7"/>
  <c r="BX56" i="7" s="1"/>
  <c r="BY56" i="7"/>
  <c r="BZ56" i="7"/>
  <c r="BV57" i="7"/>
  <c r="BW57" i="7"/>
  <c r="BZ57" i="7" s="1"/>
  <c r="BX57" i="7"/>
  <c r="BY57" i="7"/>
  <c r="BV58" i="7"/>
  <c r="BW58" i="7"/>
  <c r="BZ58" i="7" s="1"/>
  <c r="BX58" i="7"/>
  <c r="BY58" i="7"/>
  <c r="BV59" i="7"/>
  <c r="BW59" i="7"/>
  <c r="BZ59" i="7" s="1"/>
  <c r="BX59" i="7"/>
  <c r="BY59" i="7"/>
  <c r="BV60" i="7"/>
  <c r="BW60" i="7"/>
  <c r="BX60" i="7"/>
  <c r="BY60" i="7"/>
  <c r="BZ60" i="7"/>
  <c r="BV61" i="7"/>
  <c r="BW61" i="7"/>
  <c r="BX61" i="7"/>
  <c r="BY61" i="7"/>
  <c r="BZ61" i="7"/>
  <c r="BV62" i="7"/>
  <c r="BW62" i="7"/>
  <c r="BX62" i="7" s="1"/>
  <c r="BY62" i="7"/>
  <c r="BZ62" i="7"/>
  <c r="BV63" i="7"/>
  <c r="BW63" i="7"/>
  <c r="BZ63" i="7" s="1"/>
  <c r="BX63" i="7"/>
  <c r="BY63" i="7"/>
  <c r="BV64" i="7"/>
  <c r="BW64" i="7"/>
  <c r="BX64" i="7" s="1"/>
  <c r="BY64" i="7"/>
  <c r="BV65" i="7"/>
  <c r="BW65" i="7"/>
  <c r="BX65" i="7"/>
  <c r="BY65" i="7"/>
  <c r="BZ65" i="7"/>
  <c r="BV66" i="7"/>
  <c r="BW66" i="7"/>
  <c r="BZ66" i="7" s="1"/>
  <c r="BX66" i="7"/>
  <c r="BY66" i="7"/>
  <c r="BV67" i="7"/>
  <c r="BW67" i="7"/>
  <c r="BX67" i="7" s="1"/>
  <c r="BY67" i="7"/>
  <c r="BZ67" i="7"/>
  <c r="BV68" i="7"/>
  <c r="BW68" i="7"/>
  <c r="BX68" i="7" s="1"/>
  <c r="BY68" i="7"/>
  <c r="BZ68" i="7"/>
  <c r="BV69" i="7"/>
  <c r="BW69" i="7"/>
  <c r="BZ69" i="7" s="1"/>
  <c r="BX69" i="7"/>
  <c r="BY69" i="7"/>
  <c r="BV70" i="7"/>
  <c r="BW70" i="7"/>
  <c r="BZ70" i="7" s="1"/>
  <c r="BX70" i="7"/>
  <c r="BY70" i="7"/>
  <c r="BV71" i="7"/>
  <c r="BW71" i="7"/>
  <c r="BZ71" i="7" s="1"/>
  <c r="BX71" i="7"/>
  <c r="BY71" i="7"/>
  <c r="BV72" i="7"/>
  <c r="BW72" i="7"/>
  <c r="BX72" i="7"/>
  <c r="BY72" i="7"/>
  <c r="BZ72" i="7"/>
  <c r="BV73" i="7"/>
  <c r="BW73" i="7"/>
  <c r="BX73" i="7"/>
  <c r="BY73" i="7"/>
  <c r="BZ73" i="7"/>
  <c r="BV74" i="7"/>
  <c r="BW74" i="7"/>
  <c r="BX74" i="7" s="1"/>
  <c r="BY74" i="7"/>
  <c r="BZ74" i="7"/>
  <c r="BV75" i="7"/>
  <c r="BW75" i="7"/>
  <c r="BZ75" i="7" s="1"/>
  <c r="BX75" i="7"/>
  <c r="BY75" i="7"/>
  <c r="BV76" i="7"/>
  <c r="BW76" i="7"/>
  <c r="BX76" i="7" s="1"/>
  <c r="BY76" i="7"/>
  <c r="BV77" i="7"/>
  <c r="BW77" i="7"/>
  <c r="BX77" i="7"/>
  <c r="BY77" i="7"/>
  <c r="BZ77" i="7"/>
  <c r="BV78" i="7"/>
  <c r="BW78" i="7"/>
  <c r="BZ78" i="7" s="1"/>
  <c r="BX78" i="7"/>
  <c r="BY78" i="7"/>
  <c r="BV79" i="7"/>
  <c r="BW79" i="7"/>
  <c r="BX79" i="7" s="1"/>
  <c r="BY79" i="7"/>
  <c r="BZ79" i="7"/>
  <c r="BV80" i="7"/>
  <c r="BW80" i="7"/>
  <c r="BX80" i="7" s="1"/>
  <c r="BY80" i="7"/>
  <c r="BZ80" i="7"/>
  <c r="BV81" i="7"/>
  <c r="BW81" i="7"/>
  <c r="BX81" i="7"/>
  <c r="BY81" i="7"/>
  <c r="BZ81" i="7"/>
  <c r="BV82" i="7"/>
  <c r="BW82" i="7"/>
  <c r="BZ82" i="7" s="1"/>
  <c r="BX82" i="7"/>
  <c r="BY82" i="7"/>
  <c r="BV83" i="7"/>
  <c r="BW83" i="7"/>
  <c r="BZ83" i="7" s="1"/>
  <c r="BX83" i="7"/>
  <c r="BY83" i="7"/>
  <c r="BV84" i="7"/>
  <c r="BW84" i="7"/>
  <c r="BX84" i="7"/>
  <c r="BY84" i="7"/>
  <c r="BZ84" i="7"/>
  <c r="BV85" i="7"/>
  <c r="BW85" i="7"/>
  <c r="BX85" i="7"/>
  <c r="BY85" i="7"/>
  <c r="BZ85" i="7"/>
  <c r="BV86" i="7"/>
  <c r="BW86" i="7"/>
  <c r="BX86" i="7" s="1"/>
  <c r="BY86" i="7"/>
  <c r="BZ86" i="7"/>
  <c r="BV87" i="7"/>
  <c r="BW87" i="7"/>
  <c r="BZ87" i="7" s="1"/>
  <c r="BX87" i="7"/>
  <c r="BY87" i="7"/>
  <c r="BV88" i="7"/>
  <c r="BW88" i="7"/>
  <c r="BX88" i="7" s="1"/>
  <c r="BY88" i="7"/>
  <c r="BV89" i="7"/>
  <c r="BW89" i="7"/>
  <c r="BX89" i="7"/>
  <c r="BY89" i="7"/>
  <c r="BZ89" i="7"/>
  <c r="BV90" i="7"/>
  <c r="BW90" i="7"/>
  <c r="BZ90" i="7" s="1"/>
  <c r="BX90" i="7"/>
  <c r="BY90" i="7"/>
  <c r="BV91" i="7"/>
  <c r="BW91" i="7"/>
  <c r="BX91" i="7" s="1"/>
  <c r="BY91" i="7"/>
  <c r="BZ91" i="7"/>
  <c r="BV92" i="7"/>
  <c r="BW92" i="7"/>
  <c r="BX92" i="7" s="1"/>
  <c r="BY92" i="7"/>
  <c r="BZ92" i="7"/>
  <c r="BV93" i="7"/>
  <c r="BW93" i="7"/>
  <c r="BX93" i="7"/>
  <c r="BY93" i="7"/>
  <c r="BZ93" i="7"/>
  <c r="BV94" i="7"/>
  <c r="BW94" i="7"/>
  <c r="BZ94" i="7" s="1"/>
  <c r="BX94" i="7"/>
  <c r="BY94" i="7"/>
  <c r="BV95" i="7"/>
  <c r="BW95" i="7"/>
  <c r="BZ95" i="7" s="1"/>
  <c r="BX95" i="7"/>
  <c r="BY95" i="7"/>
  <c r="BV96" i="7"/>
  <c r="BW96" i="7"/>
  <c r="BX96" i="7"/>
  <c r="BY96" i="7"/>
  <c r="BZ96" i="7"/>
  <c r="BV97" i="7"/>
  <c r="BW97" i="7"/>
  <c r="BX97" i="7"/>
  <c r="BY97" i="7"/>
  <c r="BZ97" i="7"/>
  <c r="BV98" i="7"/>
  <c r="BW98" i="7"/>
  <c r="BX98" i="7" s="1"/>
  <c r="BY98" i="7"/>
  <c r="BZ98" i="7"/>
  <c r="BV99" i="7"/>
  <c r="BW99" i="7"/>
  <c r="BZ99" i="7" s="1"/>
  <c r="BX99" i="7"/>
  <c r="BY99" i="7"/>
  <c r="BV100" i="7"/>
  <c r="BW100" i="7"/>
  <c r="BX100" i="7" s="1"/>
  <c r="BY100" i="7"/>
  <c r="BV101" i="7"/>
  <c r="BW101" i="7"/>
  <c r="BX101" i="7"/>
  <c r="BY101" i="7"/>
  <c r="BZ101" i="7"/>
  <c r="BV102" i="7"/>
  <c r="BW102" i="7"/>
  <c r="BZ102" i="7" s="1"/>
  <c r="BX102" i="7"/>
  <c r="BY102" i="7"/>
  <c r="BV103" i="7"/>
  <c r="BW103" i="7"/>
  <c r="BX103" i="7" s="1"/>
  <c r="BY103" i="7"/>
  <c r="BZ103" i="7"/>
  <c r="BV104" i="7"/>
  <c r="BW104" i="7"/>
  <c r="BX104" i="7" s="1"/>
  <c r="BY104" i="7"/>
  <c r="BZ104" i="7"/>
  <c r="BV105" i="7"/>
  <c r="BW105" i="7"/>
  <c r="BX105" i="7"/>
  <c r="BY105" i="7"/>
  <c r="BZ105" i="7"/>
  <c r="BV106" i="7"/>
  <c r="BW106" i="7"/>
  <c r="BZ106" i="7" s="1"/>
  <c r="BX106" i="7"/>
  <c r="BY106" i="7"/>
  <c r="BV107" i="7"/>
  <c r="BW107" i="7"/>
  <c r="BZ107" i="7" s="1"/>
  <c r="BX107" i="7"/>
  <c r="BY107" i="7"/>
  <c r="BV108" i="7"/>
  <c r="BW108" i="7"/>
  <c r="BX108" i="7"/>
  <c r="BY108" i="7"/>
  <c r="BZ108" i="7"/>
  <c r="BV109" i="7"/>
  <c r="BW109" i="7"/>
  <c r="BX109" i="7"/>
  <c r="BY109" i="7"/>
  <c r="BZ109" i="7"/>
  <c r="BV110" i="7"/>
  <c r="BW110" i="7"/>
  <c r="BX110" i="7" s="1"/>
  <c r="BY110" i="7"/>
  <c r="BZ110" i="7"/>
  <c r="BV111" i="7"/>
  <c r="BW111" i="7"/>
  <c r="BZ111" i="7" s="1"/>
  <c r="BX111" i="7"/>
  <c r="BY111" i="7"/>
  <c r="BV112" i="7"/>
  <c r="BW112" i="7"/>
  <c r="BX112" i="7" s="1"/>
  <c r="BY112" i="7"/>
  <c r="BV113" i="7"/>
  <c r="BW113" i="7"/>
  <c r="BX113" i="7"/>
  <c r="BY113" i="7"/>
  <c r="BZ113" i="7"/>
  <c r="BV114" i="7"/>
  <c r="BW114" i="7"/>
  <c r="BZ114" i="7" s="1"/>
  <c r="BX114" i="7"/>
  <c r="BY114" i="7"/>
  <c r="BV115" i="7"/>
  <c r="BW115" i="7"/>
  <c r="BX115" i="7" s="1"/>
  <c r="BY115" i="7"/>
  <c r="BZ115" i="7"/>
  <c r="BV116" i="7"/>
  <c r="BW116" i="7"/>
  <c r="BX116" i="7" s="1"/>
  <c r="BY116" i="7"/>
  <c r="BZ116" i="7"/>
  <c r="BV117" i="7"/>
  <c r="BW117" i="7"/>
  <c r="BX117" i="7"/>
  <c r="BY117" i="7"/>
  <c r="BZ117" i="7"/>
  <c r="BV118" i="7"/>
  <c r="BW118" i="7"/>
  <c r="BZ118" i="7" s="1"/>
  <c r="BX118" i="7"/>
  <c r="BY118" i="7"/>
  <c r="BV119" i="7"/>
  <c r="BW119" i="7"/>
  <c r="BZ119" i="7" s="1"/>
  <c r="BX119" i="7"/>
  <c r="BY119" i="7"/>
  <c r="BV120" i="7"/>
  <c r="BW120" i="7"/>
  <c r="BX120" i="7"/>
  <c r="BY120" i="7"/>
  <c r="BZ120" i="7"/>
  <c r="BV121" i="7"/>
  <c r="BW121" i="7"/>
  <c r="BX121" i="7"/>
  <c r="BY121" i="7"/>
  <c r="BZ121" i="7"/>
  <c r="BV122" i="7"/>
  <c r="BW122" i="7"/>
  <c r="BX122" i="7"/>
  <c r="BY122" i="7"/>
  <c r="BZ122" i="7"/>
  <c r="BV123" i="7"/>
  <c r="BW123" i="7"/>
  <c r="BZ123" i="7" s="1"/>
  <c r="BX123" i="7"/>
  <c r="BY123" i="7"/>
  <c r="BV124" i="7"/>
  <c r="BW124" i="7"/>
  <c r="BX124" i="7" s="1"/>
  <c r="BY124" i="7"/>
  <c r="BV125" i="7"/>
  <c r="BW125" i="7"/>
  <c r="BX125" i="7"/>
  <c r="BY125" i="7"/>
  <c r="BZ125" i="7"/>
  <c r="BV126" i="7"/>
  <c r="BW126" i="7"/>
  <c r="BZ126" i="7" s="1"/>
  <c r="BX126" i="7"/>
  <c r="BY126" i="7"/>
  <c r="BV127" i="7"/>
  <c r="BW127" i="7"/>
  <c r="BX127" i="7" s="1"/>
  <c r="BY127" i="7"/>
  <c r="BZ127" i="7"/>
  <c r="BV128" i="7"/>
  <c r="BW128" i="7"/>
  <c r="BX128" i="7" s="1"/>
  <c r="BY128" i="7"/>
  <c r="BZ128" i="7"/>
  <c r="BV129" i="7"/>
  <c r="BW129" i="7"/>
  <c r="BX129" i="7"/>
  <c r="BY129" i="7"/>
  <c r="BZ129" i="7"/>
  <c r="BV130" i="7"/>
  <c r="BW130" i="7"/>
  <c r="BZ130" i="7" s="1"/>
  <c r="BX130" i="7"/>
  <c r="BY130" i="7"/>
  <c r="BV131" i="7"/>
  <c r="BW131" i="7"/>
  <c r="BZ131" i="7" s="1"/>
  <c r="BX131" i="7"/>
  <c r="BY131" i="7"/>
  <c r="BV132" i="7"/>
  <c r="BW132" i="7"/>
  <c r="BX132" i="7"/>
  <c r="BY132" i="7"/>
  <c r="BZ132" i="7"/>
  <c r="BV133" i="7"/>
  <c r="BW133" i="7"/>
  <c r="BX133" i="7"/>
  <c r="BY133" i="7"/>
  <c r="BZ133" i="7"/>
  <c r="BV134" i="7"/>
  <c r="BW134" i="7"/>
  <c r="BX134" i="7"/>
  <c r="BY134" i="7"/>
  <c r="BZ134" i="7"/>
  <c r="BV135" i="7"/>
  <c r="BW135" i="7"/>
  <c r="BZ135" i="7" s="1"/>
  <c r="BX135" i="7"/>
  <c r="BY135" i="7"/>
  <c r="BV136" i="7"/>
  <c r="BW136" i="7"/>
  <c r="BX136" i="7" s="1"/>
  <c r="BY136" i="7"/>
  <c r="BV137" i="7"/>
  <c r="BW137" i="7"/>
  <c r="BX137" i="7"/>
  <c r="BY137" i="7"/>
  <c r="BZ137" i="7"/>
  <c r="BV138" i="7"/>
  <c r="BW138" i="7"/>
  <c r="BZ138" i="7" s="1"/>
  <c r="BX138" i="7"/>
  <c r="BY138" i="7"/>
  <c r="BV139" i="7"/>
  <c r="BW139" i="7"/>
  <c r="BX139" i="7" s="1"/>
  <c r="BY139" i="7"/>
  <c r="BZ139" i="7"/>
  <c r="BV2" i="6"/>
  <c r="BW2" i="6"/>
  <c r="BX2" i="6" s="1"/>
  <c r="BY2" i="6"/>
  <c r="BV3" i="6"/>
  <c r="BW3" i="6"/>
  <c r="BX3" i="6" s="1"/>
  <c r="BY3" i="6"/>
  <c r="BZ3" i="6"/>
  <c r="BV4" i="6"/>
  <c r="BW4" i="6"/>
  <c r="BX4" i="6"/>
  <c r="BY4" i="6"/>
  <c r="BZ4" i="6"/>
  <c r="BV5" i="6"/>
  <c r="BW5" i="6"/>
  <c r="BX5" i="6"/>
  <c r="BY5" i="6"/>
  <c r="BZ5" i="6"/>
  <c r="BV6" i="6"/>
  <c r="BW6" i="6"/>
  <c r="BX6" i="6"/>
  <c r="BY6" i="6"/>
  <c r="BZ6" i="6"/>
  <c r="BV7" i="6"/>
  <c r="BW7" i="6"/>
  <c r="BX7" i="6"/>
  <c r="BY7" i="6"/>
  <c r="BZ7" i="6"/>
  <c r="BV8" i="6"/>
  <c r="BW8" i="6"/>
  <c r="BX8" i="6"/>
  <c r="BY8" i="6"/>
  <c r="BZ8" i="6"/>
  <c r="BV9" i="6"/>
  <c r="BW9" i="6"/>
  <c r="BX9" i="6" s="1"/>
  <c r="BY9" i="6"/>
  <c r="BZ9" i="6"/>
  <c r="BV10" i="6"/>
  <c r="BW10" i="6"/>
  <c r="BX10" i="6" s="1"/>
  <c r="BY10" i="6"/>
  <c r="BV11" i="6"/>
  <c r="BW11" i="6"/>
  <c r="BZ11" i="6" s="1"/>
  <c r="BY11" i="6"/>
  <c r="BV12" i="6"/>
  <c r="BW12" i="6"/>
  <c r="BZ12" i="6" s="1"/>
  <c r="BX12" i="6"/>
  <c r="BY12" i="6"/>
  <c r="BV13" i="6"/>
  <c r="BW13" i="6"/>
  <c r="BZ13" i="6" s="1"/>
  <c r="BX13" i="6"/>
  <c r="BY13" i="6"/>
  <c r="BV14" i="6"/>
  <c r="BW14" i="6"/>
  <c r="BX14" i="6"/>
  <c r="BY14" i="6"/>
  <c r="BZ14" i="6"/>
  <c r="BV15" i="6"/>
  <c r="BW15" i="6"/>
  <c r="BX15" i="6" s="1"/>
  <c r="BY15" i="6"/>
  <c r="BZ15" i="6"/>
  <c r="BV16" i="6"/>
  <c r="BW16" i="6"/>
  <c r="BX16" i="6"/>
  <c r="BY16" i="6"/>
  <c r="BZ16" i="6"/>
  <c r="BV17" i="6"/>
  <c r="BW17" i="6"/>
  <c r="BX17" i="6" s="1"/>
  <c r="BY17" i="6"/>
  <c r="BV18" i="6"/>
  <c r="BW18" i="6"/>
  <c r="BZ18" i="6" s="1"/>
  <c r="BX18" i="6"/>
  <c r="BY18" i="6"/>
  <c r="BV19" i="6"/>
  <c r="BW19" i="6"/>
  <c r="BX19" i="6"/>
  <c r="BY19" i="6"/>
  <c r="BZ19" i="6"/>
  <c r="BV20" i="6"/>
  <c r="BW20" i="6"/>
  <c r="BX20" i="6"/>
  <c r="BY20" i="6"/>
  <c r="BZ20" i="6"/>
  <c r="BV21" i="6"/>
  <c r="BW21" i="6"/>
  <c r="BX21" i="6" s="1"/>
  <c r="BY21" i="6"/>
  <c r="BZ21" i="6"/>
  <c r="BV22" i="6"/>
  <c r="BW22" i="6"/>
  <c r="BX22" i="6" s="1"/>
  <c r="BY22" i="6"/>
  <c r="BV23" i="6"/>
  <c r="BW23" i="6"/>
  <c r="BZ23" i="6" s="1"/>
  <c r="BY23" i="6"/>
  <c r="BV24" i="6"/>
  <c r="BW24" i="6"/>
  <c r="BZ24" i="6" s="1"/>
  <c r="BX24" i="6"/>
  <c r="BY24" i="6"/>
  <c r="BV25" i="6"/>
  <c r="BW25" i="6"/>
  <c r="BZ25" i="6" s="1"/>
  <c r="BX25" i="6"/>
  <c r="BY25" i="6"/>
  <c r="BV26" i="6"/>
  <c r="BW26" i="6"/>
  <c r="BX26" i="6"/>
  <c r="BY26" i="6"/>
  <c r="BZ26" i="6"/>
  <c r="BV27" i="6"/>
  <c r="BW27" i="6"/>
  <c r="BX27" i="6" s="1"/>
  <c r="BY27" i="6"/>
  <c r="BZ27" i="6"/>
  <c r="BV28" i="6"/>
  <c r="BW28" i="6"/>
  <c r="BX28" i="6"/>
  <c r="BY28" i="6"/>
  <c r="BZ28" i="6"/>
  <c r="BV29" i="6"/>
  <c r="BW29" i="6"/>
  <c r="BX29" i="6" s="1"/>
  <c r="BY29" i="6"/>
  <c r="BV30" i="6"/>
  <c r="BW30" i="6"/>
  <c r="BZ30" i="6" s="1"/>
  <c r="BX30" i="6"/>
  <c r="BY30" i="6"/>
  <c r="BV31" i="6"/>
  <c r="BW31" i="6"/>
  <c r="BX31" i="6"/>
  <c r="BY31" i="6"/>
  <c r="BZ31" i="6"/>
  <c r="BV32" i="6"/>
  <c r="BW32" i="6"/>
  <c r="BX32" i="6"/>
  <c r="BY32" i="6"/>
  <c r="BZ32" i="6"/>
  <c r="BV33" i="6"/>
  <c r="BW33" i="6"/>
  <c r="BX33" i="6" s="1"/>
  <c r="BY33" i="6"/>
  <c r="BZ33" i="6"/>
  <c r="BV34" i="6"/>
  <c r="BW34" i="6"/>
  <c r="BX34" i="6" s="1"/>
  <c r="BY34" i="6"/>
  <c r="BV35" i="6"/>
  <c r="BW35" i="6"/>
  <c r="BZ35" i="6" s="1"/>
  <c r="BY35" i="6"/>
  <c r="BV36" i="6"/>
  <c r="BW36" i="6"/>
  <c r="BZ36" i="6" s="1"/>
  <c r="BX36" i="6"/>
  <c r="BY36" i="6"/>
  <c r="BV37" i="6"/>
  <c r="BW37" i="6"/>
  <c r="BZ37" i="6" s="1"/>
  <c r="BX37" i="6"/>
  <c r="BY37" i="6"/>
  <c r="BV38" i="6"/>
  <c r="BW38" i="6"/>
  <c r="BX38" i="6"/>
  <c r="BY38" i="6"/>
  <c r="BZ38" i="6"/>
  <c r="BV39" i="6"/>
  <c r="BW39" i="6"/>
  <c r="BX39" i="6"/>
  <c r="BY39" i="6"/>
  <c r="BZ39" i="6"/>
  <c r="BV40" i="6"/>
  <c r="BW40" i="6"/>
  <c r="BX40" i="6"/>
  <c r="BY40" i="6"/>
  <c r="BZ40" i="6"/>
  <c r="BV41" i="6"/>
  <c r="BW41" i="6"/>
  <c r="BX41" i="6" s="1"/>
  <c r="BY41" i="6"/>
  <c r="BV42" i="6"/>
  <c r="BW42" i="6"/>
  <c r="BZ42" i="6" s="1"/>
  <c r="BX42" i="6"/>
  <c r="BY42" i="6"/>
  <c r="BV43" i="6"/>
  <c r="BW43" i="6"/>
  <c r="BX43" i="6"/>
  <c r="BY43" i="6"/>
  <c r="BZ43" i="6"/>
  <c r="BV44" i="6"/>
  <c r="BW44" i="6"/>
  <c r="BX44" i="6"/>
  <c r="BY44" i="6"/>
  <c r="BZ44" i="6"/>
  <c r="BV45" i="6"/>
  <c r="BW45" i="6"/>
  <c r="BX45" i="6" s="1"/>
  <c r="BY45" i="6"/>
  <c r="BZ45" i="6"/>
  <c r="BV46" i="6"/>
  <c r="BW46" i="6"/>
  <c r="BX46" i="6" s="1"/>
  <c r="BY46" i="6"/>
  <c r="BV47" i="6"/>
  <c r="BW47" i="6"/>
  <c r="BZ47" i="6" s="1"/>
  <c r="BY47" i="6"/>
  <c r="BV48" i="6"/>
  <c r="BW48" i="6"/>
  <c r="BZ48" i="6" s="1"/>
  <c r="BX48" i="6"/>
  <c r="BY48" i="6"/>
  <c r="BV49" i="6"/>
  <c r="BW49" i="6"/>
  <c r="BZ49" i="6" s="1"/>
  <c r="BX49" i="6"/>
  <c r="BY49" i="6"/>
  <c r="BV50" i="6"/>
  <c r="BW50" i="6"/>
  <c r="BX50" i="6"/>
  <c r="BY50" i="6"/>
  <c r="BZ50" i="6"/>
  <c r="BV51" i="6"/>
  <c r="BW51" i="6"/>
  <c r="BX51" i="6"/>
  <c r="BY51" i="6"/>
  <c r="BZ51" i="6"/>
  <c r="BV52" i="6"/>
  <c r="BW52" i="6"/>
  <c r="BX52" i="6"/>
  <c r="BY52" i="6"/>
  <c r="BZ52" i="6"/>
  <c r="BV53" i="6"/>
  <c r="BW53" i="6"/>
  <c r="BX53" i="6" s="1"/>
  <c r="BY53" i="6"/>
  <c r="BV54" i="6"/>
  <c r="BW54" i="6"/>
  <c r="BZ54" i="6" s="1"/>
  <c r="BX54" i="6"/>
  <c r="BY54" i="6"/>
  <c r="BV55" i="6"/>
  <c r="BW55" i="6"/>
  <c r="BX55" i="6"/>
  <c r="BY55" i="6"/>
  <c r="BZ55" i="6"/>
  <c r="BV56" i="6"/>
  <c r="BW56" i="6"/>
  <c r="BX56" i="6"/>
  <c r="BY56" i="6"/>
  <c r="BZ56" i="6"/>
  <c r="BV57" i="6"/>
  <c r="BW57" i="6"/>
  <c r="BX57" i="6" s="1"/>
  <c r="BY57" i="6"/>
  <c r="BZ57" i="6"/>
  <c r="BV58" i="6"/>
  <c r="BW58" i="6"/>
  <c r="BX58" i="6" s="1"/>
  <c r="BY58" i="6"/>
  <c r="BV59" i="6"/>
  <c r="BW59" i="6"/>
  <c r="BZ59" i="6" s="1"/>
  <c r="BY59" i="6"/>
  <c r="BV60" i="6"/>
  <c r="BW60" i="6"/>
  <c r="BZ60" i="6" s="1"/>
  <c r="BX60" i="6"/>
  <c r="BY60" i="6"/>
  <c r="BV61" i="6"/>
  <c r="BW61" i="6"/>
  <c r="BZ61" i="6" s="1"/>
  <c r="BX61" i="6"/>
  <c r="BY61" i="6"/>
  <c r="BV62" i="6"/>
  <c r="BW62" i="6"/>
  <c r="BX62" i="6"/>
  <c r="BY62" i="6"/>
  <c r="BZ62" i="6"/>
  <c r="BV63" i="6"/>
  <c r="BW63" i="6"/>
  <c r="BX63" i="6"/>
  <c r="BY63" i="6"/>
  <c r="BZ63" i="6"/>
  <c r="BV64" i="6"/>
  <c r="BW64" i="6"/>
  <c r="BX64" i="6"/>
  <c r="BY64" i="6"/>
  <c r="BZ64" i="6"/>
  <c r="BV65" i="6"/>
  <c r="BW65" i="6"/>
  <c r="BX65" i="6" s="1"/>
  <c r="BY65" i="6"/>
  <c r="BV66" i="6"/>
  <c r="BW66" i="6"/>
  <c r="BZ66" i="6" s="1"/>
  <c r="BX66" i="6"/>
  <c r="BY66" i="6"/>
  <c r="BV67" i="6"/>
  <c r="BW67" i="6"/>
  <c r="BX67" i="6"/>
  <c r="BY67" i="6"/>
  <c r="BZ67" i="6"/>
  <c r="BV68" i="6"/>
  <c r="BW68" i="6"/>
  <c r="BX68" i="6"/>
  <c r="BY68" i="6"/>
  <c r="BZ68" i="6"/>
  <c r="BV69" i="6"/>
  <c r="BW69" i="6"/>
  <c r="BX69" i="6" s="1"/>
  <c r="BY69" i="6"/>
  <c r="BZ69" i="6"/>
  <c r="BV70" i="6"/>
  <c r="BW70" i="6"/>
  <c r="BX70" i="6" s="1"/>
  <c r="BY70" i="6"/>
  <c r="BV71" i="6"/>
  <c r="BW71" i="6"/>
  <c r="BZ71" i="6" s="1"/>
  <c r="BY71" i="6"/>
  <c r="BV72" i="6"/>
  <c r="BW72" i="6"/>
  <c r="BZ72" i="6" s="1"/>
  <c r="BX72" i="6"/>
  <c r="BY72" i="6"/>
  <c r="BV73" i="6"/>
  <c r="BW73" i="6"/>
  <c r="BZ73" i="6" s="1"/>
  <c r="BX73" i="6"/>
  <c r="BY73" i="6"/>
  <c r="BV74" i="6"/>
  <c r="BW74" i="6"/>
  <c r="BX74" i="6"/>
  <c r="BY74" i="6"/>
  <c r="BZ74" i="6"/>
  <c r="BV75" i="6"/>
  <c r="BW75" i="6"/>
  <c r="BX75" i="6"/>
  <c r="BY75" i="6"/>
  <c r="BZ75" i="6"/>
  <c r="BV76" i="6"/>
  <c r="BW76" i="6"/>
  <c r="BX76" i="6"/>
  <c r="BY76" i="6"/>
  <c r="BZ76" i="6"/>
  <c r="BV77" i="6"/>
  <c r="BW77" i="6"/>
  <c r="BX77" i="6" s="1"/>
  <c r="BY77" i="6"/>
  <c r="BV78" i="6"/>
  <c r="BW78" i="6"/>
  <c r="BZ78" i="6" s="1"/>
  <c r="BX78" i="6"/>
  <c r="BY78" i="6"/>
  <c r="BV79" i="6"/>
  <c r="BW79" i="6"/>
  <c r="BX79" i="6"/>
  <c r="BY79" i="6"/>
  <c r="BZ79" i="6"/>
  <c r="BV80" i="6"/>
  <c r="BW80" i="6"/>
  <c r="BX80" i="6"/>
  <c r="BY80" i="6"/>
  <c r="BZ80" i="6"/>
  <c r="BV81" i="6"/>
  <c r="BW81" i="6"/>
  <c r="BX81" i="6" s="1"/>
  <c r="BY81" i="6"/>
  <c r="BZ81" i="6"/>
  <c r="BV82" i="6"/>
  <c r="BW82" i="6"/>
  <c r="BX82" i="6" s="1"/>
  <c r="BY82" i="6"/>
  <c r="BV83" i="6"/>
  <c r="BW83" i="6"/>
  <c r="BZ83" i="6" s="1"/>
  <c r="BY83" i="6"/>
  <c r="BV84" i="6"/>
  <c r="BW84" i="6"/>
  <c r="BZ84" i="6" s="1"/>
  <c r="BX84" i="6"/>
  <c r="BY84" i="6"/>
  <c r="BV85" i="6"/>
  <c r="BW85" i="6"/>
  <c r="BZ85" i="6" s="1"/>
  <c r="BX85" i="6"/>
  <c r="BY85" i="6"/>
  <c r="BV86" i="6"/>
  <c r="BW86" i="6"/>
  <c r="BX86" i="6"/>
  <c r="BY86" i="6"/>
  <c r="BZ86" i="6"/>
  <c r="BV87" i="6"/>
  <c r="BW87" i="6"/>
  <c r="BX87" i="6"/>
  <c r="BY87" i="6"/>
  <c r="BZ87" i="6"/>
  <c r="BV88" i="6"/>
  <c r="BW88" i="6"/>
  <c r="BX88" i="6"/>
  <c r="BY88" i="6"/>
  <c r="BZ88" i="6"/>
  <c r="BV89" i="6"/>
  <c r="BW89" i="6"/>
  <c r="BX89" i="6" s="1"/>
  <c r="BY89" i="6"/>
  <c r="BV90" i="6"/>
  <c r="BW90" i="6"/>
  <c r="BZ90" i="6" s="1"/>
  <c r="BX90" i="6"/>
  <c r="BY90" i="6"/>
  <c r="BV91" i="6"/>
  <c r="BW91" i="6"/>
  <c r="BX91" i="6"/>
  <c r="BY91" i="6"/>
  <c r="BZ91" i="6"/>
  <c r="BV92" i="6"/>
  <c r="BW92" i="6"/>
  <c r="BX92" i="6"/>
  <c r="BY92" i="6"/>
  <c r="BZ92" i="6"/>
  <c r="BV93" i="6"/>
  <c r="BW93" i="6"/>
  <c r="BX93" i="6" s="1"/>
  <c r="BY93" i="6"/>
  <c r="BZ93" i="6"/>
  <c r="BV94" i="6"/>
  <c r="BW94" i="6"/>
  <c r="BX94" i="6" s="1"/>
  <c r="BY94" i="6"/>
  <c r="BV95" i="6"/>
  <c r="BW95" i="6"/>
  <c r="BZ95" i="6" s="1"/>
  <c r="BY95" i="6"/>
  <c r="BV96" i="6"/>
  <c r="BW96" i="6"/>
  <c r="BZ96" i="6" s="1"/>
  <c r="BX96" i="6"/>
  <c r="BY96" i="6"/>
  <c r="BV97" i="6"/>
  <c r="BW97" i="6"/>
  <c r="BZ97" i="6" s="1"/>
  <c r="BX97" i="6"/>
  <c r="BY97" i="6"/>
  <c r="BV98" i="6"/>
  <c r="BW98" i="6"/>
  <c r="BX98" i="6"/>
  <c r="BY98" i="6"/>
  <c r="BZ98" i="6"/>
  <c r="BV99" i="6"/>
  <c r="BW99" i="6"/>
  <c r="BX99" i="6"/>
  <c r="BY99" i="6"/>
  <c r="BZ99" i="6"/>
  <c r="BV100" i="6"/>
  <c r="BW100" i="6"/>
  <c r="BX100" i="6"/>
  <c r="BY100" i="6"/>
  <c r="BZ100" i="6"/>
  <c r="BV101" i="6"/>
  <c r="BW101" i="6"/>
  <c r="BX101" i="6" s="1"/>
  <c r="BY101" i="6"/>
  <c r="BV102" i="6"/>
  <c r="BW102" i="6"/>
  <c r="BZ102" i="6" s="1"/>
  <c r="BX102" i="6"/>
  <c r="BY102" i="6"/>
  <c r="BV103" i="6"/>
  <c r="BW103" i="6"/>
  <c r="BX103" i="6"/>
  <c r="BY103" i="6"/>
  <c r="BZ103" i="6"/>
  <c r="BV104" i="6"/>
  <c r="BW104" i="6"/>
  <c r="BX104" i="6"/>
  <c r="BY104" i="6"/>
  <c r="BZ104" i="6"/>
  <c r="BV105" i="6"/>
  <c r="BW105" i="6"/>
  <c r="BX105" i="6" s="1"/>
  <c r="BY105" i="6"/>
  <c r="BZ105" i="6"/>
  <c r="BV106" i="6"/>
  <c r="BW106" i="6"/>
  <c r="BX106" i="6" s="1"/>
  <c r="BY106" i="6"/>
  <c r="BV107" i="6"/>
  <c r="BW107" i="6"/>
  <c r="BZ107" i="6" s="1"/>
  <c r="BY107" i="6"/>
  <c r="BV108" i="6"/>
  <c r="BW108" i="6"/>
  <c r="BZ108" i="6" s="1"/>
  <c r="BX108" i="6"/>
  <c r="BY108" i="6"/>
  <c r="BV109" i="6"/>
  <c r="BW109" i="6"/>
  <c r="BZ109" i="6" s="1"/>
  <c r="BX109" i="6"/>
  <c r="BY109" i="6"/>
  <c r="BV110" i="6"/>
  <c r="BW110" i="6"/>
  <c r="BX110" i="6"/>
  <c r="BY110" i="6"/>
  <c r="BZ110" i="6"/>
  <c r="BV111" i="6"/>
  <c r="BW111" i="6"/>
  <c r="BX111" i="6"/>
  <c r="BY111" i="6"/>
  <c r="BZ111" i="6"/>
  <c r="BV112" i="6"/>
  <c r="BW112" i="6"/>
  <c r="BX112" i="6"/>
  <c r="BY112" i="6"/>
  <c r="BZ112" i="6"/>
  <c r="BV113" i="6"/>
  <c r="BW113" i="6"/>
  <c r="BX113" i="6" s="1"/>
  <c r="BY113" i="6"/>
  <c r="BV114" i="6"/>
  <c r="BW114" i="6"/>
  <c r="BZ114" i="6" s="1"/>
  <c r="BX114" i="6"/>
  <c r="BY114" i="6"/>
  <c r="BV115" i="6"/>
  <c r="BW115" i="6"/>
  <c r="BX115" i="6"/>
  <c r="BY115" i="6"/>
  <c r="BZ115" i="6"/>
  <c r="BV116" i="6"/>
  <c r="BW116" i="6"/>
  <c r="BX116" i="6"/>
  <c r="BY116" i="6"/>
  <c r="BZ116" i="6"/>
  <c r="BV117" i="6"/>
  <c r="BW117" i="6"/>
  <c r="BX117" i="6" s="1"/>
  <c r="BY117" i="6"/>
  <c r="BZ117" i="6"/>
  <c r="BV118" i="6"/>
  <c r="BW118" i="6"/>
  <c r="BX118" i="6" s="1"/>
  <c r="BY118" i="6"/>
  <c r="BV119" i="6"/>
  <c r="BW119" i="6"/>
  <c r="BZ119" i="6" s="1"/>
  <c r="BY119" i="6"/>
  <c r="BV120" i="6"/>
  <c r="BW120" i="6"/>
  <c r="BZ120" i="6" s="1"/>
  <c r="BX120" i="6"/>
  <c r="BY120" i="6"/>
  <c r="BV121" i="6"/>
  <c r="BW121" i="6"/>
  <c r="BZ121" i="6" s="1"/>
  <c r="BX121" i="6"/>
  <c r="BY121" i="6"/>
  <c r="BV122" i="6"/>
  <c r="BW122" i="6"/>
  <c r="BX122" i="6"/>
  <c r="BY122" i="6"/>
  <c r="BZ122" i="6"/>
  <c r="BV123" i="6"/>
  <c r="BW123" i="6"/>
  <c r="BX123" i="6"/>
  <c r="BY123" i="6"/>
  <c r="BZ123" i="6"/>
  <c r="BV124" i="6"/>
  <c r="BW124" i="6"/>
  <c r="BX124" i="6"/>
  <c r="BY124" i="6"/>
  <c r="BZ124" i="6"/>
  <c r="BV125" i="6"/>
  <c r="BW125" i="6"/>
  <c r="BX125" i="6" s="1"/>
  <c r="BY125" i="6"/>
  <c r="BV126" i="6"/>
  <c r="BW126" i="6"/>
  <c r="BZ126" i="6" s="1"/>
  <c r="BX126" i="6"/>
  <c r="BY126" i="6"/>
  <c r="BV127" i="6"/>
  <c r="BW127" i="6"/>
  <c r="BX127" i="6"/>
  <c r="BY127" i="6"/>
  <c r="BZ127" i="6"/>
  <c r="BV128" i="6"/>
  <c r="BW128" i="6"/>
  <c r="BX128" i="6"/>
  <c r="BY128" i="6"/>
  <c r="BZ128" i="6"/>
  <c r="BV129" i="6"/>
  <c r="BW129" i="6"/>
  <c r="BX129" i="6" s="1"/>
  <c r="BY129" i="6"/>
  <c r="BZ129" i="6"/>
  <c r="BV130" i="6"/>
  <c r="BW130" i="6"/>
  <c r="BX130" i="6" s="1"/>
  <c r="BY130" i="6"/>
  <c r="BV131" i="6"/>
  <c r="BW131" i="6"/>
  <c r="BZ131" i="6" s="1"/>
  <c r="BY131" i="6"/>
  <c r="BV132" i="6"/>
  <c r="BW132" i="6"/>
  <c r="BZ132" i="6" s="1"/>
  <c r="BX132" i="6"/>
  <c r="BY132" i="6"/>
  <c r="BV133" i="6"/>
  <c r="BW133" i="6"/>
  <c r="BZ133" i="6" s="1"/>
  <c r="BX133" i="6"/>
  <c r="BY133" i="6"/>
  <c r="BV134" i="6"/>
  <c r="BW134" i="6"/>
  <c r="BX134" i="6"/>
  <c r="BY134" i="6"/>
  <c r="BZ134" i="6"/>
  <c r="BV135" i="6"/>
  <c r="BW135" i="6"/>
  <c r="BX135" i="6"/>
  <c r="BY135" i="6"/>
  <c r="BZ135" i="6"/>
  <c r="BV136" i="6"/>
  <c r="BW136" i="6"/>
  <c r="BX136" i="6"/>
  <c r="BY136" i="6"/>
  <c r="BZ136" i="6"/>
  <c r="BV137" i="6"/>
  <c r="BW137" i="6"/>
  <c r="BX137" i="6" s="1"/>
  <c r="BY137" i="6"/>
  <c r="BV138" i="6"/>
  <c r="BW138" i="6"/>
  <c r="BZ138" i="6" s="1"/>
  <c r="BX138" i="6"/>
  <c r="BY138" i="6"/>
  <c r="BV139" i="6"/>
  <c r="BW139" i="6"/>
  <c r="BX139" i="6"/>
  <c r="BY139" i="6"/>
  <c r="BZ139" i="6"/>
  <c r="BZ8" i="7" l="1"/>
  <c r="BZ136" i="7"/>
  <c r="BZ124" i="7"/>
  <c r="BZ112" i="7"/>
  <c r="BZ100" i="7"/>
  <c r="BZ88" i="7"/>
  <c r="BZ76" i="7"/>
  <c r="BZ64" i="7"/>
  <c r="BZ52" i="7"/>
  <c r="BZ40" i="7"/>
  <c r="BZ28" i="7"/>
  <c r="BZ16" i="7"/>
  <c r="BZ4" i="7"/>
  <c r="BX131" i="6"/>
  <c r="BX119" i="6"/>
  <c r="BX107" i="6"/>
  <c r="BX95" i="6"/>
  <c r="BX83" i="6"/>
  <c r="BX71" i="6"/>
  <c r="BX59" i="6"/>
  <c r="BX47" i="6"/>
  <c r="BX35" i="6"/>
  <c r="BX23" i="6"/>
  <c r="BX11" i="6"/>
  <c r="BZ130" i="6"/>
  <c r="BZ94" i="6"/>
  <c r="BZ82" i="6"/>
  <c r="BZ46" i="6"/>
  <c r="BZ10" i="6"/>
  <c r="BZ137" i="6"/>
  <c r="BZ125" i="6"/>
  <c r="BZ113" i="6"/>
  <c r="BZ101" i="6"/>
  <c r="BZ89" i="6"/>
  <c r="BZ77" i="6"/>
  <c r="BZ65" i="6"/>
  <c r="BZ53" i="6"/>
  <c r="BZ41" i="6"/>
  <c r="BZ29" i="6"/>
  <c r="BZ17" i="6"/>
  <c r="BZ118" i="6"/>
  <c r="BZ106" i="6"/>
  <c r="BZ70" i="6"/>
  <c r="BZ58" i="6"/>
  <c r="BZ34" i="6"/>
  <c r="BZ22" i="6"/>
  <c r="BZ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<sst xmlns="http://schemas.openxmlformats.org/spreadsheetml/2006/main" count="1415" uniqueCount="413">
  <si>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</si>
  <si>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</si>
  <si>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</si>
  <si>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</si>
  <si>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</si>
  <si>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</si>
  <si>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</si>
  <si>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</si>
  <si>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</si>
  <si>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</si>
  <si>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</si>
  <si>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</si>
  <si>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</si>
  <si>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</si>
  <si>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</si>
  <si>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</si>
  <si>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</si>
  <si>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</si>
  <si>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</si>
  <si>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</si>
  <si>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</si>
  <si>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</si>
  <si>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</si>
  <si>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</si>
  <si>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</si>
  <si>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</si>
  <si>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</si>
  <si>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</si>
  <si>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</si>
  <si>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</si>
  <si>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</si>
  <si>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</si>
  <si>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</si>
  <si>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</si>
  <si>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</si>
  <si>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</si>
  <si>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</si>
  <si>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</si>
  <si>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</si>
  <si>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</si>
  <si>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</si>
  <si>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</si>
  <si>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</si>
  <si>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</si>
  <si>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</si>
  <si>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</si>
  <si>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</si>
  <si>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</si>
  <si>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</si>
  <si>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</si>
  <si>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</si>
  <si>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</si>
  <si>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</si>
  <si>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</si>
  <si>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</si>
  <si>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</si>
  <si>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</si>
  <si>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</si>
  <si>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</si>
  <si>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</si>
  <si>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</si>
  <si>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</si>
  <si>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</si>
  <si>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</si>
  <si>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</si>
  <si>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</si>
  <si>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</si>
  <si>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</si>
  <si>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</si>
  <si>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</si>
  <si>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9.01_10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</si>
  <si>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</si>
  <si>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</si>
  <si>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</si>
  <si>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</si>
  <si>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</si>
  <si>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</si>
  <si>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</si>
  <si>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</si>
  <si>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</si>
  <si>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</si>
  <si>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</si>
  <si>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</si>
  <si>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</si>
  <si>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</si>
  <si>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</si>
  <si>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</si>
  <si>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</si>
  <si>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</si>
  <si>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</si>
  <si>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</si>
  <si>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</si>
  <si>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</si>
  <si>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</si>
  <si>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</si>
  <si>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</si>
  <si>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</si>
  <si>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</si>
  <si>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</si>
  <si>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</si>
  <si>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</si>
  <si>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</si>
  <si>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</si>
  <si>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</si>
  <si>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</si>
  <si>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</si>
  <si>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</si>
  <si>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</si>
  <si>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</si>
  <si>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</si>
  <si>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</si>
  <si>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</si>
  <si>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</si>
  <si>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</si>
  <si>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</si>
  <si>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</si>
  <si>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</si>
  <si>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</si>
  <si>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</si>
  <si>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</si>
  <si>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</si>
  <si>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</si>
  <si>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</si>
  <si>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</si>
  <si>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</si>
  <si>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</si>
  <si>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</si>
  <si>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</si>
  <si>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</si>
  <si>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</si>
  <si>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</si>
  <si>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</si>
  <si>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</si>
  <si>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</si>
  <si>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</si>
  <si>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</si>
  <si>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</si>
  <si>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</si>
  <si>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</si>
  <si>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</si>
  <si>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</si>
  <si>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</si>
  <si>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</si>
  <si>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</si>
  <si>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</si>
  <si>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</si>
  <si>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</si>
  <si>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</si>
  <si>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</si>
  <si>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</si>
  <si>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</si>
  <si>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</si>
  <si>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</si>
  <si>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</si>
  <si>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</si>
  <si>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</si>
  <si>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86.03_8</t>
  </si>
  <si>
    <t>87.03_8</t>
  </si>
  <si>
    <t>88.03_8</t>
  </si>
  <si>
    <t>89.03_8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</si>
  <si>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</si>
  <si>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</si>
  <si>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</si>
  <si>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</si>
  <si>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</si>
  <si>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</si>
  <si>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</si>
  <si>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</si>
  <si>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</si>
  <si>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</si>
  <si>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100.03_8</t>
  </si>
  <si>
    <t>101.03_8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</si>
  <si>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</si>
  <si>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</si>
  <si>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</si>
  <si>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</si>
  <si>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</si>
  <si>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</si>
  <si>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</si>
  <si>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</si>
  <si>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</si>
  <si>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</si>
  <si>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</si>
  <si>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</si>
  <si>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</si>
  <si>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</si>
  <si>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</si>
  <si>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</si>
  <si>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</si>
  <si>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</si>
  <si>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</si>
  <si>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</si>
  <si>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</si>
  <si>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</si>
  <si>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</si>
  <si>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</si>
  <si>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</si>
  <si>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</si>
  <si>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</si>
  <si>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</si>
  <si>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</si>
  <si>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</si>
  <si>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</si>
  <si>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</si>
  <si>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</si>
  <si>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</si>
  <si>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</si>
  <si>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</si>
  <si>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</si>
  <si>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</si>
  <si>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</si>
  <si>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</si>
  <si>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</si>
  <si>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</si>
  <si>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</si>
  <si>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</si>
  <si>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</si>
  <si>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</si>
  <si>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</si>
  <si>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</si>
  <si>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</si>
  <si>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</si>
  <si>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</si>
  <si>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</si>
  <si>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</si>
  <si>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</si>
  <si>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</si>
  <si>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</si>
  <si>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</si>
  <si>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</si>
  <si>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</si>
  <si>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</si>
  <si>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</si>
  <si>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</si>
  <si>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</si>
  <si>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</si>
  <si>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</si>
  <si>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</si>
  <si>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</si>
  <si>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</si>
  <si>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</si>
  <si>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</si>
  <si>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</si>
  <si>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</si>
  <si>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</si>
  <si>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</si>
  <si>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</si>
  <si>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</si>
  <si>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</si>
  <si>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</si>
  <si>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</si>
  <si>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</si>
  <si>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</si>
  <si>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</si>
  <si>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</si>
  <si>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</si>
  <si>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</si>
  <si>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</si>
  <si>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</si>
  <si>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</si>
  <si>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</si>
  <si>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</si>
  <si>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9.07_13</t>
  </si>
  <si>
    <t>10.07_13</t>
  </si>
  <si>
    <t>1.01_14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</si>
  <si>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</si>
  <si>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</si>
  <si>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</si>
  <si>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</si>
  <si>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</si>
  <si>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</si>
  <si>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</si>
  <si>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</si>
  <si>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</si>
  <si>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11.01_14</t>
  </si>
  <si>
    <t>12.01_14</t>
  </si>
  <si>
    <t>13.01_14</t>
  </si>
  <si>
    <t>14.01_14</t>
  </si>
  <si>
    <t>15.01_14</t>
  </si>
  <si>
    <t>16.01_14</t>
  </si>
  <si>
    <t>17.01_14</t>
  </si>
  <si>
    <t>18.01_14</t>
  </si>
  <si>
    <t>19.01_14</t>
  </si>
  <si>
    <t>20.01_14</t>
  </si>
  <si>
    <t>21.01_14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</si>
  <si>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</si>
  <si>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</si>
  <si>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</si>
  <si>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</si>
  <si>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</si>
  <si>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</si>
  <si>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</si>
  <si>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</si>
  <si>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</si>
  <si>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STG_row_id</t>
  </si>
  <si>
    <t>source_row_in_tm</t>
  </si>
  <si>
    <t>source_variant</t>
  </si>
  <si>
    <t>table_no</t>
  </si>
  <si>
    <t>LD_geom</t>
  </si>
  <si>
    <t>LD_band_H52Q</t>
  </si>
  <si>
    <t>pass_G_gt1000</t>
  </si>
  <si>
    <t>pass_LD_40_400</t>
  </si>
  <si>
    <t>staging_note</t>
  </si>
  <si>
    <t>noF1</t>
  </si>
  <si>
    <t>F1</t>
  </si>
  <si>
    <t>STG_added138_diag — T&amp;M Table 8〜14 追加138行 基本診断</t>
  </si>
  <si>
    <t>A. 基本件数</t>
  </si>
  <si>
    <t>項目</t>
  </si>
  <si>
    <t>期待/判定</t>
  </si>
  <si>
    <t>抽出行数</t>
  </si>
  <si>
    <t>期待138との一致</t>
  </si>
  <si>
    <t>noF1/F1 行数一致</t>
  </si>
  <si>
    <t>B. Table別件数</t>
  </si>
  <si>
    <t>Table</t>
  </si>
  <si>
    <t>期待</t>
  </si>
  <si>
    <t>判定</t>
  </si>
  <si>
    <t>Table 8</t>
  </si>
  <si>
    <t>Table 9</t>
  </si>
  <si>
    <t>Table 11</t>
  </si>
  <si>
    <t>Table 12</t>
  </si>
  <si>
    <t>Table 13</t>
  </si>
  <si>
    <t>Table 14</t>
  </si>
  <si>
    <t>合計</t>
  </si>
  <si>
    <t>C. L/D分類別件数 (LD_band_H52Q)</t>
  </si>
  <si>
    <t>分類</t>
  </si>
  <si>
    <t>定義</t>
  </si>
  <si>
    <t>outside_low</t>
  </si>
  <si>
    <t>L/D &lt; 40</t>
  </si>
  <si>
    <t>short_anchor</t>
  </si>
  <si>
    <t>40 &lt;= L/D &lt;= 100</t>
  </si>
  <si>
    <t>middle</t>
  </si>
  <si>
    <t>100 &lt; L/D &lt; 250</t>
  </si>
  <si>
    <t>long</t>
  </si>
  <si>
    <t>250 &lt;= L/D &lt;= 400</t>
  </si>
  <si>
    <t>outside_high</t>
  </si>
  <si>
    <t>L/D &gt; 400</t>
  </si>
  <si>
    <t>D. Gフィルタ確認 (G&lt;=1000混入)</t>
  </si>
  <si>
    <t>G&lt;=1000 行数</t>
  </si>
  <si>
    <t>E. Tin欠損確認</t>
  </si>
  <si>
    <t>Tin 欠損行数</t>
  </si>
  <si>
    <t>F. 計算列 欠損・エラー確認</t>
  </si>
  <si>
    <t>列</t>
  </si>
  <si>
    <t>noF1欠損</t>
  </si>
  <si>
    <t>noF1エラー</t>
  </si>
  <si>
    <t>F1欠損</t>
  </si>
  <si>
    <t>F1エラー</t>
  </si>
  <si>
    <t>q_P (BB)</t>
  </si>
  <si>
    <t>PM_ratio (BF)</t>
  </si>
  <si>
    <t>x_Mes (BH)</t>
  </si>
  <si>
    <t>G. noF1/F1 キー一致確認 (No_TableNo)</t>
  </si>
  <si>
    <t>位置一致行数 (A列 noF1=F1)</t>
  </si>
  <si>
    <t>期待 138</t>
  </si>
  <si>
    <t>noF1キーがF1に未出現の行数</t>
  </si>
  <si>
    <t>期待 0</t>
  </si>
  <si>
    <t>1対1判定</t>
  </si>
  <si>
    <t>00_STAGING_README</t>
  </si>
  <si>
    <t>【目的】</t>
  </si>
  <si>
    <t>このブックは result ブック（20260612_計算結果比較r8_result_文献追加用.xlsx）を汚さずに、T&amp;M Table 8〜14 追加データ（138行）を抽出・診断するための staging ブックです。</t>
  </si>
  <si>
    <t>【result側の固定ソース（読み取り専用・本ブックでは変更しない）】</t>
  </si>
  <si>
    <t>・ tm_r123_noF1_T8_14  （F1なし）</t>
  </si>
  <si>
    <t>・ tm_r124_F1_T8_14    （F1あり）</t>
  </si>
  <si>
    <t>【本ブックで今回行うこと】</t>
  </si>
  <si>
    <t>・ 固定ソース2シートを値貼りでコピー（SRC_ プレフィックス）</t>
  </si>
  <si>
    <t>・ 追加138行（88〜225行）の抽出と基本診断のみ</t>
  </si>
  <si>
    <t>・ F1ありなしの詳細比較、H52Q branch解析は今回行わない</t>
  </si>
  <si>
    <t>【resultへ戻すポリシー】</t>
  </si>
  <si>
    <t>・ result へ戻すのは、staging で採用が決まった最小限の正本・要約シートだけ。</t>
  </si>
  <si>
    <t>・ 診断用・途中比較用・legacy判断用シートは result へ戻さない。</t>
  </si>
  <si>
    <t>【シート構成】</t>
  </si>
  <si>
    <t>SRC_tm_r123_noF1_T8_14 : resultのtm_r123_noF1_T8_14を値貼りコピー (225行×70列)</t>
  </si>
  <si>
    <t>SRC_tm_r124_F1_T8_14   : resultのtm_r124_F1_T8_14を値貼りコピー (225行×70列)</t>
  </si>
  <si>
    <t>STG_added138_noF1      : SRC_r123の88〜225行を抽出+診断列 (138行)</t>
  </si>
  <si>
    <t>STG_added138_F1        : SRC_r124の88〜225行を抽出+診断列 (138行)</t>
  </si>
  <si>
    <t>STG_added138_diag      : 基本診断集計 (A〜G)</t>
  </si>
  <si>
    <t>【L/D分類の正規定義 (LD_band_H52Q)】</t>
  </si>
  <si>
    <t>outside_low: L/D&lt;40 / short_anchor: 40&lt;=L/D&lt;=100 / middle: 100&lt;L/D&lt;250 / long: 250&lt;=L/D&lt;=400 / outside_high: L/D&gt;400</t>
  </si>
  <si>
    <t>LD_geom = L (列BR 幾何長さ) ÷ DH (列Q 水力直径)。明示L/D列がtmにないため L/DH を使用。</t>
  </si>
  <si>
    <t>※ r123(noF1)は数値書式の実体が取得できず、同一tmテンプレートのr124書式を近似適用（値・列幅・ヘッダはr123由来）。</t>
  </si>
  <si>
    <t>00_STAGING_LOG</t>
  </si>
  <si>
    <t>内容</t>
  </si>
  <si>
    <t>作業日時</t>
  </si>
  <si>
    <t>読み取り元 result ブック</t>
  </si>
  <si>
    <t>20260612_計算結果比較r8_result_文献追加用.xlsx</t>
  </si>
  <si>
    <t>作業先 staging ブック</t>
  </si>
  <si>
    <t>20260612_計算結果比較r8_staging_TM8_14_v1.xlsx</t>
  </si>
  <si>
    <t>コピーしたresult側シート</t>
  </si>
  <si>
    <t>tm_r123_noF1_T8_14 / tm_r124_F1_T8_14</t>
  </si>
  <si>
    <t>staging側に作成したシート</t>
  </si>
  <si>
    <t>00_STAGING_README, 00_STAGING_LOG, SRC_tm_r123_noF1_T8_14, SRC_tm_r124_F1_T8_14, STG_added138_noF1, STG_added138_F1, STG_added138_diag</t>
  </si>
  <si>
    <t>resultブックの変更</t>
  </si>
  <si>
    <t>なし（読み取り専用として扱った）</t>
  </si>
  <si>
    <t>コピー方式</t>
  </si>
  <si>
    <t>値貼り（数式なし）。数値書式・列幅は維持。r123は書式実体未取得のためr124書式を近似適用。</t>
  </si>
  <si>
    <t>外部リンク</t>
  </si>
  <si>
    <t>なし（作成していない）</t>
  </si>
  <si>
    <t>抽出範囲</t>
  </si>
  <si>
    <t>SRCの88〜225行（追加138行）を抽出、ヘッダ付け</t>
  </si>
  <si>
    <t>noF1/F1 抽出行数</t>
  </si>
  <si>
    <t>noF1=138 / F1=138（一致・期待138一致）</t>
  </si>
  <si>
    <t>Table別件数（noF1=F1）</t>
  </si>
  <si>
    <t>Table8=16, Table9=30, Table11=30, Table12=30, Table13=2, Table14=30（期待一致）</t>
  </si>
  <si>
    <t>L/D分類別件数</t>
  </si>
  <si>
    <t>outside_low=0, short_anchor=86, middle=16, long=36, outside_high=0</t>
  </si>
  <si>
    <t>Gフィルタ（G&lt;=1000混入）</t>
  </si>
  <si>
    <t>0行（混入なし）</t>
  </si>
  <si>
    <t>Tin欠損</t>
  </si>
  <si>
    <t>0行（欠損なし）</t>
  </si>
  <si>
    <t>q_P / PM_ratio / x_Mes 欠損・エラー</t>
  </si>
  <si>
    <t>いずれも 欠損0・エラー0（noF1/F1とも）</t>
  </si>
  <si>
    <t>noF1/F1 キー一致 (No_TableNo)</t>
  </si>
  <si>
    <t>位置一致138/未出現0 → 1対1一致</t>
  </si>
  <si>
    <t>次に行うべき作業</t>
  </si>
  <si>
    <t>STG_F1_compare（F1ありなし詳細比較）、STG_H52Q_branch（H52Q解析）、STG_promotion_candidates（result戻し候補）―今回は未作成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</si>
</sst>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_ "/>
    <numFmt numFmtId="180" formatCode="0.00000_ "/>
  </numFmts>
  <fonts count="5">
    <font>
      <sz val="11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b/>
      <sz val="13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49" fontId="0" fillId="0" borderId="0" xfId="0" applyNumberFormat="1"/>
    <xf numFmtId="11" fontId="0" fillId="0" borderId="0" xfId="0" applyNumberFormat="1"/>
    <xf numFmtId="1" fontId="0" fillId="0" borderId="0" xfId="0" applyNumberFormat="1"/>
    <xf numFmtId="179" fontId="0" fillId="0" borderId="0" xfId="0" applyNumberFormat="1"/>
    <xf numFmtId="180" fontId="0" fillId="0" borderId="0" xfId="0" applyNumberFormat="1"/>
    <xf numFmtId="2" fontId="0" fillId="0" borderId="0" xfId="0" applyNumberFormat="1"/>
    <xf numFmtId="0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0" borderId="0" xfId="0" applyFont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6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A45AB4-18A9-43B4-A17C-009A32BEDAA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3a71cb-9e31-4d8d-b551-8e08c62b91d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EF1D-E220-4509-8F2C-A424CFFB4B40}">
  <dimension ref="A1:A29"/>
  <sheetViews>
    <sheetView tabSelected="1" workbookViewId="0"/>
  </sheetViews>
  <sheetFormatPr defaultRowHeight="18.75"/>
  <cols>
    <col min="1" max="1" width="103.375" customWidth="1"/>
  </cols>
  <sheetData>
    <row r="1" spans="1:1" ht="24">
      <c r="A1" s="12" t="s">
        <v>355</v>
      </c>
    </row>
    <row r="3" spans="1:1">
      <c r="A3" s="9" t="s">
        <v>356</v>
      </c>
    </row>
    <row r="4" spans="1:1">
      <c r="A4" t="s">
        <v>357</v>
      </c>
    </row>
    <row r="6" spans="1:1">
      <c r="A6" s="9" t="s">
        <v>358</v>
      </c>
    </row>
    <row r="7" spans="1:1">
      <c r="A7" t="s">
        <v>359</v>
      </c>
    </row>
    <row r="8" spans="1:1">
      <c r="A8" t="s">
        <v>360</v>
      </c>
    </row>
    <row r="10" spans="1:1">
      <c r="A10" s="9" t="s">
        <v>361</v>
      </c>
    </row>
    <row r="11" spans="1:1">
      <c r="A11" t="s">
        <v>362</v>
      </c>
    </row>
    <row r="12" spans="1:1">
      <c r="A12" t="s">
        <v>363</v>
      </c>
    </row>
    <row r="13" spans="1:1">
      <c r="A13" t="s">
        <v>364</v>
      </c>
    </row>
    <row r="15" spans="1:1">
      <c r="A15" s="9" t="s">
        <v>365</v>
      </c>
    </row>
    <row r="16" spans="1:1">
      <c r="A16" t="s">
        <v>366</v>
      </c>
    </row>
    <row r="17" spans="1:1">
      <c r="A17" t="s">
        <v>367</v>
      </c>
    </row>
    <row r="19" spans="1:1">
      <c r="A19" s="9" t="s">
        <v>368</v>
      </c>
    </row>
    <row r="20" spans="1:1">
      <c r="A20" t="s">
        <v>369</v>
      </c>
    </row>
    <row r="21" spans="1:1">
      <c r="A21" t="s">
        <v>370</v>
      </c>
    </row>
    <row r="22" spans="1:1">
      <c r="A22" t="s">
        <v>371</v>
      </c>
    </row>
    <row r="23" spans="1:1">
      <c r="A23" t="s">
        <v>372</v>
      </c>
    </row>
    <row r="24" spans="1:1">
      <c r="A24" t="s">
        <v>373</v>
      </c>
    </row>
    <row r="26" spans="1:1">
      <c r="A26" s="9" t="s">
        <v>374</v>
      </c>
    </row>
    <row r="27" spans="1:1">
      <c r="A27" t="s">
        <v>375</v>
      </c>
    </row>
    <row r="28" spans="1:1">
      <c r="A28" t="s">
        <v>376</v>
      </c>
    </row>
    <row r="29" spans="1:1">
      <c r="A29" t="s">
        <v>377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88ED-2FAF-45AC-8197-FCC504F324AE}">
  <dimension ref="A1:B20"/>
  <sheetViews>
    <sheetView workbookViewId="0"/>
  </sheetViews>
  <sheetFormatPr defaultRowHeight="18.75"/>
  <cols>
    <col min="1" max="1" width="38.375" customWidth="1"/>
    <col min="2" max="2" width="86.625" customWidth="1"/>
  </cols>
  <sheetData>
    <row r="1" spans="1:2" ht="24">
      <c r="A1" s="12" t="s">
        <v>378</v>
      </c>
    </row>
    <row r="3" spans="1:2">
      <c r="A3" s="11" t="s">
        <v>307</v>
      </c>
      <c r="B3" s="11" t="s">
        <v>379</v>
      </c>
    </row>
    <row r="4" spans="1:2">
      <c r="A4" t="s">
        <v>380</v>
      </c>
      <c r="B4" s="13">
        <v>46188</v>
      </c>
    </row>
    <row r="5" spans="1:2">
      <c r="A5" t="s">
        <v>381</v>
      </c>
      <c r="B5" t="s">
        <v>382</v>
      </c>
    </row>
    <row r="6" spans="1:2">
      <c r="A6" t="s">
        <v>383</v>
      </c>
      <c r="B6" t="s">
        <v>384</v>
      </c>
    </row>
    <row r="7" spans="1:2">
      <c r="A7" t="s">
        <v>385</v>
      </c>
      <c r="B7" t="s">
        <v>386</v>
      </c>
    </row>
    <row r="8" spans="1:2">
      <c r="A8" t="s">
        <v>387</v>
      </c>
      <c r="B8" t="s">
        <v>388</v>
      </c>
    </row>
    <row r="9" spans="1:2">
      <c r="A9" t="s">
        <v>389</v>
      </c>
      <c r="B9" t="s">
        <v>390</v>
      </c>
    </row>
    <row r="10" spans="1:2">
      <c r="A10" t="s">
        <v>391</v>
      </c>
      <c r="B10" t="s">
        <v>392</v>
      </c>
    </row>
    <row r="11" spans="1:2">
      <c r="A11" t="s">
        <v>393</v>
      </c>
      <c r="B11" t="s">
        <v>394</v>
      </c>
    </row>
    <row r="12" spans="1:2">
      <c r="A12" t="s">
        <v>395</v>
      </c>
      <c r="B12" t="s">
        <v>396</v>
      </c>
    </row>
    <row r="13" spans="1:2">
      <c r="A13" t="s">
        <v>397</v>
      </c>
      <c r="B13" t="s">
        <v>398</v>
      </c>
    </row>
    <row r="14" spans="1:2">
      <c r="A14" t="s">
        <v>399</v>
      </c>
      <c r="B14" t="s">
        <v>400</v>
      </c>
    </row>
    <row r="15" spans="1:2">
      <c r="A15" t="s">
        <v>401</v>
      </c>
      <c r="B15" t="s">
        <v>402</v>
      </c>
    </row>
    <row r="16" spans="1:2">
      <c r="A16" t="s">
        <v>403</v>
      </c>
      <c r="B16" t="s">
        <v>404</v>
      </c>
    </row>
    <row r="17" spans="1:2">
      <c r="A17" t="s">
        <v>405</v>
      </c>
      <c r="B17" t="s">
        <v>406</v>
      </c>
    </row>
    <row r="18" spans="1:2">
      <c r="A18" t="s">
        <v>407</v>
      </c>
      <c r="B18" t="s">
        <v>408</v>
      </c>
    </row>
    <row r="19" spans="1:2">
      <c r="A19" t="s">
        <v>409</v>
      </c>
      <c r="B19" t="s">
        <v>410</v>
      </c>
    </row>
    <row r="20" spans="1:2">
      <c r="A20" t="s">
        <v>411</v>
      </c>
      <c r="B20" t="s">
        <v>412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C33A-6B5B-4D34-90C3-84D376812E9E}">
  <dimension ref="A1:BR225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customWidth="1"/>
    <col min="54" max="54" width="20.625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customWidth="1"/>
    <col min="61" max="61" width="12.875" customWidth="1"/>
    <col min="62" max="62" width="9.125" customWidth="1"/>
    <col min="63" max="63" width="11.5" customWidth="1"/>
    <col min="64" max="64" width="12.75" customWidth="1"/>
    <col min="65" max="65" width="12.875" customWidth="1"/>
    <col min="66" max="67" width="12.75" customWidth="1"/>
    <col min="68" max="68" width="15.375" customWidth="1"/>
    <col min="69" max="69" width="12" customWidth="1"/>
  </cols>
  <sheetData>
    <row r="1" spans="1:7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</row>
    <row r="2" spans="1:70">
      <c r="A2" s="2" t="s">
        <v>70</v>
      </c>
      <c r="B2" s="1">
        <v>13789520</v>
      </c>
      <c r="C2" s="1">
        <v>608.621106065763</v>
      </c>
      <c r="D2" s="1">
        <v>85.147893581579396</v>
      </c>
      <c r="E2" s="1">
        <v>624.86627494838604</v>
      </c>
      <c r="F2" s="1">
        <v>2643264.3898665099</v>
      </c>
      <c r="G2" s="1">
        <v>1562686.9740257801</v>
      </c>
      <c r="H2" s="1">
        <v>2.2019594042733499E-5</v>
      </c>
      <c r="I2" s="1">
        <v>7.2223252690249804E-5</v>
      </c>
      <c r="J2" s="1">
        <v>0.49112124879375701</v>
      </c>
      <c r="K2" s="1">
        <v>7679.7516396704104</v>
      </c>
      <c r="L2" s="1">
        <v>6.5036382888884496E-3</v>
      </c>
      <c r="M2" s="1">
        <v>1</v>
      </c>
      <c r="N2" s="1">
        <v>2440.8000000000002</v>
      </c>
      <c r="O2" s="3">
        <v>2.8502295699234199E-6</v>
      </c>
      <c r="P2" s="3">
        <v>5.9847340050885496E-3</v>
      </c>
      <c r="Q2" s="3">
        <v>1.905E-3</v>
      </c>
      <c r="R2" s="1">
        <v>0.15240000000000001</v>
      </c>
      <c r="S2" s="4">
        <v>4124066.34765625</v>
      </c>
      <c r="T2" s="1">
        <v>499.95139682144003</v>
      </c>
      <c r="U2" s="5">
        <v>570.35522136048598</v>
      </c>
      <c r="V2" s="1">
        <v>0.03</v>
      </c>
      <c r="W2" s="3">
        <v>64379.875272880301</v>
      </c>
      <c r="X2" s="1">
        <v>3.5268930937055201E-2</v>
      </c>
      <c r="Y2" s="1">
        <v>5.32480676679564</v>
      </c>
      <c r="Z2" s="1">
        <v>5.3248067760604396</v>
      </c>
      <c r="AA2" s="1">
        <v>-9.2647987059990605E-9</v>
      </c>
      <c r="AB2" s="1">
        <v>1.85676958313217E-5</v>
      </c>
      <c r="AC2" s="1">
        <v>692.22337763610506</v>
      </c>
      <c r="AD2" s="1">
        <v>2137.3285628537901</v>
      </c>
      <c r="AE2" s="1">
        <v>570.35522136048598</v>
      </c>
      <c r="AF2" s="6">
        <v>0</v>
      </c>
      <c r="AG2" s="1">
        <v>1.8650868215012399E-5</v>
      </c>
      <c r="AH2" s="1">
        <v>42.031957102081797</v>
      </c>
      <c r="AI2" s="1">
        <v>0.25935597833921997</v>
      </c>
      <c r="AJ2" s="1">
        <v>41.8509536566592</v>
      </c>
      <c r="AK2" s="1">
        <v>5.2415739324591604</v>
      </c>
      <c r="AL2" s="1">
        <v>1.1293680422758501</v>
      </c>
      <c r="AM2" s="1">
        <v>608.62110606120098</v>
      </c>
      <c r="AN2" s="1">
        <v>4.5620254240930097E-9</v>
      </c>
      <c r="AO2" s="1">
        <v>8.3172383690752601E-8</v>
      </c>
      <c r="AP2" s="1">
        <v>3.4238055019459801</v>
      </c>
      <c r="AQ2" s="1">
        <v>4.6518328093409101E-5</v>
      </c>
      <c r="AR2" s="1">
        <v>9.3670202993515808E-6</v>
      </c>
      <c r="AS2" s="1">
        <v>21.018792687281199</v>
      </c>
      <c r="AT2" s="1">
        <v>12.177084637093699</v>
      </c>
      <c r="AU2" s="1">
        <v>3.1581996993729202</v>
      </c>
      <c r="AV2" s="1">
        <v>0.26560580257305999</v>
      </c>
      <c r="AW2" s="1">
        <v>1.1163110067097999E-2</v>
      </c>
      <c r="AX2" s="1">
        <v>0.265605792838017</v>
      </c>
      <c r="AY2" s="1">
        <v>9.7350427719078392E-9</v>
      </c>
      <c r="AZ2" s="1">
        <v>1080577.4158407301</v>
      </c>
      <c r="BA2" s="1">
        <v>1.35867320929795E-5</v>
      </c>
      <c r="BB2" s="4">
        <v>4133396.8928206698</v>
      </c>
      <c r="BC2" s="4">
        <v>9330.5451644179393</v>
      </c>
      <c r="BD2" s="7">
        <v>0.22624624285495801</v>
      </c>
      <c r="BE2" s="4">
        <v>4038400</v>
      </c>
      <c r="BF2" s="1">
        <v>1.0235233985788099</v>
      </c>
      <c r="BG2" s="1">
        <v>1</v>
      </c>
      <c r="BH2" s="1">
        <v>-0.05</v>
      </c>
      <c r="BI2" s="1">
        <v>4.5999999999999999E-2</v>
      </c>
      <c r="BJ2" s="1">
        <v>5625</v>
      </c>
      <c r="BK2" s="1">
        <v>1</v>
      </c>
      <c r="BL2" s="1">
        <v>108.669709244323</v>
      </c>
      <c r="BM2" s="1">
        <v>4.1333968928206701</v>
      </c>
      <c r="BN2" s="1">
        <v>108.669709244323</v>
      </c>
      <c r="BO2" s="1">
        <v>1</v>
      </c>
      <c r="BP2" s="1">
        <v>4715.52896769986</v>
      </c>
      <c r="BQ2" s="1">
        <v>1</v>
      </c>
      <c r="BR2" s="1">
        <v>0.15240000000000001</v>
      </c>
    </row>
    <row r="3" spans="1:70">
      <c r="A3" s="2" t="s">
        <v>71</v>
      </c>
      <c r="B3" s="1">
        <v>13789520</v>
      </c>
      <c r="C3" s="1">
        <v>608.621106065763</v>
      </c>
      <c r="D3" s="1">
        <v>85.147893581579396</v>
      </c>
      <c r="E3" s="1">
        <v>624.86627494838604</v>
      </c>
      <c r="F3" s="1">
        <v>2643264.3898665099</v>
      </c>
      <c r="G3" s="1">
        <v>1562686.9740257801</v>
      </c>
      <c r="H3" s="1">
        <v>2.2019594042733499E-5</v>
      </c>
      <c r="I3" s="1">
        <v>7.2223252690249804E-5</v>
      </c>
      <c r="J3" s="1">
        <v>0.49112124879375701</v>
      </c>
      <c r="K3" s="1">
        <v>7679.7516396704104</v>
      </c>
      <c r="L3" s="1">
        <v>6.5036382888884496E-3</v>
      </c>
      <c r="M3" s="1">
        <v>2</v>
      </c>
      <c r="N3" s="1">
        <v>2454.36</v>
      </c>
      <c r="O3" s="3">
        <v>2.8502295699234199E-6</v>
      </c>
      <c r="P3" s="3">
        <v>5.9847340050885496E-3</v>
      </c>
      <c r="Q3" s="3">
        <v>1.905E-3</v>
      </c>
      <c r="R3" s="1">
        <v>0.15240000000000001</v>
      </c>
      <c r="S3" s="4">
        <v>4160719.62890625</v>
      </c>
      <c r="T3" s="1">
        <v>499.39149608425203</v>
      </c>
      <c r="U3" s="5">
        <v>570.02861711650405</v>
      </c>
      <c r="V3" s="1">
        <v>0.03</v>
      </c>
      <c r="W3" s="3">
        <v>64737.541246618501</v>
      </c>
      <c r="X3" s="1">
        <v>3.5176483310940303E-2</v>
      </c>
      <c r="Y3" s="1">
        <v>5.3317992613705796</v>
      </c>
      <c r="Z3" s="1">
        <v>5.33179931108302</v>
      </c>
      <c r="AA3" s="1">
        <v>-4.9712445715499598E-8</v>
      </c>
      <c r="AB3" s="1">
        <v>1.8411354894901698E-5</v>
      </c>
      <c r="AC3" s="1">
        <v>692.63788031278102</v>
      </c>
      <c r="AD3" s="1">
        <v>2146.38399575928</v>
      </c>
      <c r="AE3" s="1">
        <v>570.02861804288295</v>
      </c>
      <c r="AF3" s="6">
        <v>9.2637867510347902E-7</v>
      </c>
      <c r="AG3" s="1">
        <v>1.8494568003600202E-5</v>
      </c>
      <c r="AH3" s="1">
        <v>42.388873557737199</v>
      </c>
      <c r="AI3" s="1">
        <v>0.26045481765728601</v>
      </c>
      <c r="AJ3" s="1">
        <v>41.676057502791799</v>
      </c>
      <c r="AK3" s="1">
        <v>5.2710217151576302</v>
      </c>
      <c r="AL3" s="1">
        <v>1.1293680422758501</v>
      </c>
      <c r="AM3" s="1">
        <v>608.62110599142898</v>
      </c>
      <c r="AN3" s="1">
        <v>7.4333797783765503E-8</v>
      </c>
      <c r="AO3" s="1">
        <v>8.3213108698520106E-8</v>
      </c>
      <c r="AP3" s="1">
        <v>3.4322530699416101</v>
      </c>
      <c r="AQ3" s="1">
        <v>4.6289625173995001E-5</v>
      </c>
      <c r="AR3" s="1">
        <v>9.2888905561493795E-6</v>
      </c>
      <c r="AS3" s="1">
        <v>20.9317858562504</v>
      </c>
      <c r="AT3" s="1">
        <v>12.1563442900453</v>
      </c>
      <c r="AU3" s="1">
        <v>3.1661784354429301</v>
      </c>
      <c r="AV3" s="1">
        <v>0.26607463449868701</v>
      </c>
      <c r="AW3" s="1">
        <v>1.10691161166852E-2</v>
      </c>
      <c r="AX3" s="1">
        <v>0.26607462446156999</v>
      </c>
      <c r="AY3" s="1">
        <v>1.0037116859873401E-8</v>
      </c>
      <c r="AZ3" s="1">
        <v>1080577.4158407301</v>
      </c>
      <c r="BA3" s="1">
        <v>1.3486658539075199E-5</v>
      </c>
      <c r="BB3" s="4">
        <v>4166106.3966605002</v>
      </c>
      <c r="BC3" s="4">
        <v>5386.7677542492702</v>
      </c>
      <c r="BD3" s="7">
        <v>0.129467213239392</v>
      </c>
      <c r="BE3" s="4">
        <v>4038400</v>
      </c>
      <c r="BF3" s="1">
        <v>1.0316230181905</v>
      </c>
      <c r="BG3" s="1">
        <v>1</v>
      </c>
      <c r="BH3" s="1">
        <v>-5.5E-2</v>
      </c>
      <c r="BI3" s="1">
        <v>4.5999999999999999E-2</v>
      </c>
      <c r="BJ3" s="1">
        <v>5625</v>
      </c>
      <c r="BK3" s="1">
        <v>1</v>
      </c>
      <c r="BL3" s="1">
        <v>109.229609981511</v>
      </c>
      <c r="BM3" s="1">
        <v>4.1661063966605001</v>
      </c>
      <c r="BN3" s="1">
        <v>109.229609981511</v>
      </c>
      <c r="BO3" s="1">
        <v>1</v>
      </c>
      <c r="BP3" s="1">
        <v>4792.7388981921204</v>
      </c>
      <c r="BQ3" s="1">
        <v>1</v>
      </c>
      <c r="BR3" s="1">
        <v>0.15240000000000001</v>
      </c>
    </row>
    <row r="4" spans="1:70">
      <c r="A4" s="2" t="s">
        <v>72</v>
      </c>
      <c r="B4" s="1">
        <v>13789520</v>
      </c>
      <c r="C4" s="1">
        <v>608.621106065763</v>
      </c>
      <c r="D4" s="1">
        <v>85.147893581579396</v>
      </c>
      <c r="E4" s="1">
        <v>624.86627494838604</v>
      </c>
      <c r="F4" s="1">
        <v>2643264.3898665099</v>
      </c>
      <c r="G4" s="1">
        <v>1562686.9740257801</v>
      </c>
      <c r="H4" s="1">
        <v>2.2019594042733499E-5</v>
      </c>
      <c r="I4" s="1">
        <v>7.2223252690249804E-5</v>
      </c>
      <c r="J4" s="1">
        <v>0.49112124879375701</v>
      </c>
      <c r="K4" s="1">
        <v>7679.7516396704104</v>
      </c>
      <c r="L4" s="1">
        <v>6.5036382888884496E-3</v>
      </c>
      <c r="M4" s="1">
        <v>3</v>
      </c>
      <c r="N4" s="1">
        <v>3037.44</v>
      </c>
      <c r="O4" s="3">
        <v>2.8502295699234199E-6</v>
      </c>
      <c r="P4" s="3">
        <v>5.9847340050885496E-3</v>
      </c>
      <c r="Q4" s="3">
        <v>1.905E-3</v>
      </c>
      <c r="R4" s="1">
        <v>0.15240000000000001</v>
      </c>
      <c r="S4" s="4">
        <v>5012464.74609375</v>
      </c>
      <c r="T4" s="1">
        <v>495.51145537057801</v>
      </c>
      <c r="U4" s="5">
        <v>564.27312703255598</v>
      </c>
      <c r="V4" s="1">
        <v>0.03</v>
      </c>
      <c r="W4" s="3">
        <v>80117.178117362098</v>
      </c>
      <c r="X4" s="1">
        <v>3.1869500535929997E-2</v>
      </c>
      <c r="Y4" s="1">
        <v>5.6016035854691602</v>
      </c>
      <c r="Z4" s="1">
        <v>5.6016036114539398</v>
      </c>
      <c r="AA4" s="1">
        <v>-2.5984783214028101E-8</v>
      </c>
      <c r="AB4" s="1">
        <v>1.3268567100478401E-5</v>
      </c>
      <c r="AC4" s="1">
        <v>693.21850818249902</v>
      </c>
      <c r="AD4" s="1">
        <v>2528.35634796051</v>
      </c>
      <c r="AE4" s="1">
        <v>564.27312703255598</v>
      </c>
      <c r="AF4" s="6">
        <v>0</v>
      </c>
      <c r="AG4" s="1">
        <v>1.33435952385151E-5</v>
      </c>
      <c r="AH4" s="1">
        <v>58.818453323303899</v>
      </c>
      <c r="AI4" s="1">
        <v>0.30680558226383198</v>
      </c>
      <c r="AJ4" s="1">
        <v>35.419804436656598</v>
      </c>
      <c r="AK4" s="1">
        <v>5.4463953671940804</v>
      </c>
      <c r="AL4" s="1">
        <v>1.1293680422758501</v>
      </c>
      <c r="AM4" s="1">
        <v>608.62110605773603</v>
      </c>
      <c r="AN4" s="1">
        <v>8.02651811682153E-9</v>
      </c>
      <c r="AO4" s="1">
        <v>7.5028138036741205E-8</v>
      </c>
      <c r="AP4" s="1">
        <v>3.7673757372324101</v>
      </c>
      <c r="AQ4" s="1">
        <v>3.8420622350819799E-5</v>
      </c>
      <c r="AR4" s="1">
        <v>6.70931168827594E-6</v>
      </c>
      <c r="AS4" s="1">
        <v>17.809481152229001</v>
      </c>
      <c r="AT4" s="1">
        <v>11.3486548224627</v>
      </c>
      <c r="AU4" s="1">
        <v>3.4818306507169199</v>
      </c>
      <c r="AV4" s="1">
        <v>0.28554508651548899</v>
      </c>
      <c r="AW4" s="1">
        <v>7.9772135606323308E-3</v>
      </c>
      <c r="AX4" s="1">
        <v>0.28554508272508899</v>
      </c>
      <c r="AY4" s="1">
        <v>3.7904001604083199E-9</v>
      </c>
      <c r="AZ4" s="1">
        <v>1080577.4158407301</v>
      </c>
      <c r="BA4" s="1">
        <v>1.01982454181871E-5</v>
      </c>
      <c r="BB4" s="4">
        <v>4967543.5364915496</v>
      </c>
      <c r="BC4" s="4">
        <v>-44921.2096021986</v>
      </c>
      <c r="BD4" s="7">
        <v>-0.89619003579438605</v>
      </c>
      <c r="BE4" s="4">
        <v>5395050</v>
      </c>
      <c r="BF4" s="1">
        <v>0.92075949926164802</v>
      </c>
      <c r="BG4" s="1">
        <v>1</v>
      </c>
      <c r="BH4" s="1">
        <v>-3.3000000000000002E-2</v>
      </c>
      <c r="BI4" s="1">
        <v>4.5999999999999999E-2</v>
      </c>
      <c r="BJ4" s="1">
        <v>5625</v>
      </c>
      <c r="BK4" s="1">
        <v>1</v>
      </c>
      <c r="BL4" s="1">
        <v>113.109650695185</v>
      </c>
      <c r="BM4" s="1">
        <v>4.9675435364915499</v>
      </c>
      <c r="BN4" s="1">
        <v>113.109650695185</v>
      </c>
      <c r="BO4" s="1">
        <v>1</v>
      </c>
      <c r="BP4" s="1">
        <v>5345.0210247719597</v>
      </c>
      <c r="BQ4" s="1">
        <v>1</v>
      </c>
      <c r="BR4" s="1">
        <v>0.15240000000000001</v>
      </c>
    </row>
    <row r="5" spans="1:70">
      <c r="A5" s="2" t="s">
        <v>73</v>
      </c>
      <c r="B5" s="1">
        <v>13789520</v>
      </c>
      <c r="C5" s="1">
        <v>608.621106065763</v>
      </c>
      <c r="D5" s="1">
        <v>85.147893581579396</v>
      </c>
      <c r="E5" s="1">
        <v>624.86627494838604</v>
      </c>
      <c r="F5" s="1">
        <v>2643264.3898665099</v>
      </c>
      <c r="G5" s="1">
        <v>1562686.9740257801</v>
      </c>
      <c r="H5" s="1">
        <v>2.2019594042733499E-5</v>
      </c>
      <c r="I5" s="1">
        <v>7.2223252690249804E-5</v>
      </c>
      <c r="J5" s="1">
        <v>0.49112124879375701</v>
      </c>
      <c r="K5" s="1">
        <v>7679.7516396704104</v>
      </c>
      <c r="L5" s="1">
        <v>6.5036382888884496E-3</v>
      </c>
      <c r="M5" s="1">
        <v>4</v>
      </c>
      <c r="N5" s="1">
        <v>3118.8</v>
      </c>
      <c r="O5" s="3">
        <v>2.8502295699234199E-6</v>
      </c>
      <c r="P5" s="3">
        <v>5.9847340050885496E-3</v>
      </c>
      <c r="Q5" s="3">
        <v>1.905E-3</v>
      </c>
      <c r="R5" s="1">
        <v>0.15240000000000001</v>
      </c>
      <c r="S5" s="4">
        <v>6642123.14453125</v>
      </c>
      <c r="T5" s="1">
        <v>458.882857903603</v>
      </c>
      <c r="U5" s="5">
        <v>547.62342516690398</v>
      </c>
      <c r="V5" s="1">
        <v>0.03</v>
      </c>
      <c r="W5" s="3">
        <v>82263.1739597915</v>
      </c>
      <c r="X5" s="1">
        <v>3.1491139902307098E-2</v>
      </c>
      <c r="Y5" s="1">
        <v>5.6351542621364699</v>
      </c>
      <c r="Z5" s="1">
        <v>5.6351542954879799</v>
      </c>
      <c r="AA5" s="1">
        <v>-3.3351510886347997E-8</v>
      </c>
      <c r="AB5" s="1">
        <v>1.27365341840987E-5</v>
      </c>
      <c r="AC5" s="1">
        <v>723.249946501674</v>
      </c>
      <c r="AD5" s="1">
        <v>2580.6235926735499</v>
      </c>
      <c r="AE5" s="1">
        <v>547.62342639940402</v>
      </c>
      <c r="AF5" s="6">
        <v>1.2324993576839901E-6</v>
      </c>
      <c r="AG5" s="1">
        <v>1.2832823090737E-5</v>
      </c>
      <c r="AH5" s="1">
        <v>61.2754288871593</v>
      </c>
      <c r="AI5" s="1">
        <v>0.313147996164644</v>
      </c>
      <c r="AJ5" s="1">
        <v>34.768174308201303</v>
      </c>
      <c r="AK5" s="1">
        <v>7.40194628203297</v>
      </c>
      <c r="AL5" s="1">
        <v>1.1293680422758501</v>
      </c>
      <c r="AM5" s="1">
        <v>608.62110602010398</v>
      </c>
      <c r="AN5" s="1">
        <v>4.56591351394309E-8</v>
      </c>
      <c r="AO5" s="1">
        <v>9.6288906638255895E-8</v>
      </c>
      <c r="AP5" s="1">
        <v>3.8154368282120599</v>
      </c>
      <c r="AQ5" s="1">
        <v>3.7458789055514002E-5</v>
      </c>
      <c r="AR5" s="1">
        <v>6.4645559986876202E-6</v>
      </c>
      <c r="AS5" s="1">
        <v>17.514525696979099</v>
      </c>
      <c r="AT5" s="1">
        <v>11.2651528823215</v>
      </c>
      <c r="AU5" s="1">
        <v>3.5276600515873202</v>
      </c>
      <c r="AV5" s="1">
        <v>0.287776776624735</v>
      </c>
      <c r="AW5" s="1">
        <v>7.6573493158267397E-3</v>
      </c>
      <c r="AX5" s="1">
        <v>0.28777677054152301</v>
      </c>
      <c r="AY5" s="1">
        <v>6.0832119341824897E-9</v>
      </c>
      <c r="AZ5" s="1">
        <v>1080577.4158407301</v>
      </c>
      <c r="BA5" s="1">
        <v>9.81769342334189E-6</v>
      </c>
      <c r="BB5" s="4">
        <v>6622313.87931275</v>
      </c>
      <c r="BC5" s="4">
        <v>-19809.265218504701</v>
      </c>
      <c r="BD5" s="7">
        <v>-0.29823694604058198</v>
      </c>
      <c r="BE5" s="4">
        <v>6688600</v>
      </c>
      <c r="BF5" s="1">
        <v>0.99008968682724996</v>
      </c>
      <c r="BG5" s="1">
        <v>1</v>
      </c>
      <c r="BH5" s="1">
        <v>-7.4999999999999997E-2</v>
      </c>
      <c r="BI5" s="1">
        <v>4.5999999999999999E-2</v>
      </c>
      <c r="BJ5" s="1">
        <v>5625</v>
      </c>
      <c r="BK5" s="1">
        <v>1</v>
      </c>
      <c r="BL5" s="1">
        <v>149.73824816216</v>
      </c>
      <c r="BM5" s="1">
        <v>6.6223138793127498</v>
      </c>
      <c r="BN5" s="1">
        <v>149.73824816216</v>
      </c>
      <c r="BO5" s="1">
        <v>1</v>
      </c>
      <c r="BP5" s="1">
        <v>12042.4831096998</v>
      </c>
      <c r="BQ5" s="1">
        <v>1</v>
      </c>
      <c r="BR5" s="1">
        <v>0.15240000000000001</v>
      </c>
    </row>
    <row r="6" spans="1:70">
      <c r="A6" s="2" t="s">
        <v>74</v>
      </c>
      <c r="B6" s="1">
        <v>13789520</v>
      </c>
      <c r="C6" s="1">
        <v>608.621106065763</v>
      </c>
      <c r="D6" s="1">
        <v>85.147893581579396</v>
      </c>
      <c r="E6" s="1">
        <v>624.86627494838604</v>
      </c>
      <c r="F6" s="1">
        <v>2643264.3898665099</v>
      </c>
      <c r="G6" s="1">
        <v>1562686.9740257801</v>
      </c>
      <c r="H6" s="1">
        <v>2.2019594042733499E-5</v>
      </c>
      <c r="I6" s="1">
        <v>7.2223252690249804E-5</v>
      </c>
      <c r="J6" s="1">
        <v>0.49112124879375701</v>
      </c>
      <c r="K6" s="1">
        <v>7679.7516396704104</v>
      </c>
      <c r="L6" s="1">
        <v>6.5036382888884496E-3</v>
      </c>
      <c r="M6" s="1">
        <v>5</v>
      </c>
      <c r="N6" s="1">
        <v>3118.8</v>
      </c>
      <c r="O6" s="3">
        <v>2.8502295699234199E-6</v>
      </c>
      <c r="P6" s="3">
        <v>5.9847340050885496E-3</v>
      </c>
      <c r="Q6" s="3">
        <v>1.905E-3</v>
      </c>
      <c r="R6" s="1">
        <v>0.15240000000000001</v>
      </c>
      <c r="S6" s="4">
        <v>5270594.08203125</v>
      </c>
      <c r="T6" s="1">
        <v>491.66308110577302</v>
      </c>
      <c r="U6" s="5">
        <v>562.07964798908097</v>
      </c>
      <c r="V6" s="1">
        <v>0.03</v>
      </c>
      <c r="W6" s="3">
        <v>82263.1739597915</v>
      </c>
      <c r="X6" s="1">
        <v>3.1491139902307098E-2</v>
      </c>
      <c r="Y6" s="1">
        <v>5.6351542621364699</v>
      </c>
      <c r="Z6" s="1">
        <v>5.6351542954879799</v>
      </c>
      <c r="AA6" s="1">
        <v>-3.3351510886347997E-8</v>
      </c>
      <c r="AB6" s="1">
        <v>1.27365341840987E-5</v>
      </c>
      <c r="AC6" s="1">
        <v>696.02091466231298</v>
      </c>
      <c r="AD6" s="1">
        <v>2580.6235926735499</v>
      </c>
      <c r="AE6" s="1">
        <v>562.07964894929</v>
      </c>
      <c r="AF6" s="6">
        <v>9.6020903583848807E-7</v>
      </c>
      <c r="AG6" s="1">
        <v>1.28131235952552E-5</v>
      </c>
      <c r="AH6" s="1">
        <v>61.2754288871593</v>
      </c>
      <c r="AI6" s="1">
        <v>0.313147996164644</v>
      </c>
      <c r="AJ6" s="1">
        <v>34.7148021477771</v>
      </c>
      <c r="AK6" s="1">
        <v>5.6450816948258904</v>
      </c>
      <c r="AL6" s="1">
        <v>1.1293680422758501</v>
      </c>
      <c r="AM6" s="1">
        <v>608.62110604135</v>
      </c>
      <c r="AN6" s="1">
        <v>2.4413452592853001E-8</v>
      </c>
      <c r="AO6" s="1">
        <v>7.6589411156474203E-8</v>
      </c>
      <c r="AP6" s="1">
        <v>3.8109937572651398</v>
      </c>
      <c r="AQ6" s="1">
        <v>3.75461830980626E-5</v>
      </c>
      <c r="AR6" s="1">
        <v>6.4448565032058402E-6</v>
      </c>
      <c r="AS6" s="1">
        <v>17.4611535365549</v>
      </c>
      <c r="AT6" s="1">
        <v>11.2498930780742</v>
      </c>
      <c r="AU6" s="1">
        <v>3.5228814744654202</v>
      </c>
      <c r="AV6" s="1">
        <v>0.28811228279972101</v>
      </c>
      <c r="AW6" s="1">
        <v>7.6573493158267397E-3</v>
      </c>
      <c r="AX6" s="1">
        <v>0.288112276892315</v>
      </c>
      <c r="AY6" s="1">
        <v>5.9074058977870403E-9</v>
      </c>
      <c r="AZ6" s="1">
        <v>1080577.4158407301</v>
      </c>
      <c r="BA6" s="1">
        <v>9.8520715302894192E-6</v>
      </c>
      <c r="BB6" s="4">
        <v>5249091.5380591601</v>
      </c>
      <c r="BC6" s="4">
        <v>-21502.543972089901</v>
      </c>
      <c r="BD6" s="7">
        <v>-0.407971921901505</v>
      </c>
      <c r="BE6" s="4">
        <v>5679000</v>
      </c>
      <c r="BF6" s="1">
        <v>0.924298562785554</v>
      </c>
      <c r="BG6" s="1">
        <v>1</v>
      </c>
      <c r="BH6" s="1">
        <v>-3.5999999999999997E-2</v>
      </c>
      <c r="BI6" s="1">
        <v>4.5999999999999999E-2</v>
      </c>
      <c r="BJ6" s="1">
        <v>5625</v>
      </c>
      <c r="BK6" s="1">
        <v>1</v>
      </c>
      <c r="BL6" s="1">
        <v>116.95802495999</v>
      </c>
      <c r="BM6" s="1">
        <v>5.2490915380591598</v>
      </c>
      <c r="BN6" s="1">
        <v>116.95802495999</v>
      </c>
      <c r="BO6" s="1">
        <v>1</v>
      </c>
      <c r="BP6" s="1">
        <v>5922.5376057424401</v>
      </c>
      <c r="BQ6" s="1">
        <v>1</v>
      </c>
      <c r="BR6" s="1">
        <v>0.15240000000000001</v>
      </c>
    </row>
    <row r="7" spans="1:70">
      <c r="A7" s="2" t="s">
        <v>75</v>
      </c>
      <c r="B7" s="1">
        <v>13789520</v>
      </c>
      <c r="C7" s="1">
        <v>608.621106065763</v>
      </c>
      <c r="D7" s="1">
        <v>85.147893581579396</v>
      </c>
      <c r="E7" s="1">
        <v>624.86627494838604</v>
      </c>
      <c r="F7" s="1">
        <v>2643264.3898665099</v>
      </c>
      <c r="G7" s="1">
        <v>1562686.9740257801</v>
      </c>
      <c r="H7" s="1">
        <v>2.2019594042733499E-5</v>
      </c>
      <c r="I7" s="1">
        <v>7.2223252690249804E-5</v>
      </c>
      <c r="J7" s="1">
        <v>0.49112124879375701</v>
      </c>
      <c r="K7" s="1">
        <v>7679.7516396704104</v>
      </c>
      <c r="L7" s="1">
        <v>6.5036382888884496E-3</v>
      </c>
      <c r="M7" s="1">
        <v>6</v>
      </c>
      <c r="N7" s="1">
        <v>3118.8</v>
      </c>
      <c r="O7" s="3">
        <v>2.8502295699234199E-6</v>
      </c>
      <c r="P7" s="3">
        <v>5.9847340050885496E-3</v>
      </c>
      <c r="Q7" s="3">
        <v>1.905E-3</v>
      </c>
      <c r="R7" s="1">
        <v>0.15240000000000001</v>
      </c>
      <c r="S7" s="4">
        <v>5246751.89453125</v>
      </c>
      <c r="T7" s="1">
        <v>492.22868586317702</v>
      </c>
      <c r="U7" s="5">
        <v>562.32671465294004</v>
      </c>
      <c r="V7" s="1">
        <v>0.03</v>
      </c>
      <c r="W7" s="3">
        <v>82263.1739597915</v>
      </c>
      <c r="X7" s="1">
        <v>3.1491139902307098E-2</v>
      </c>
      <c r="Y7" s="1">
        <v>5.6351542621364699</v>
      </c>
      <c r="Z7" s="1">
        <v>5.6351542954879799</v>
      </c>
      <c r="AA7" s="1">
        <v>-3.3351510886347997E-8</v>
      </c>
      <c r="AB7" s="1">
        <v>1.27365341840987E-5</v>
      </c>
      <c r="AC7" s="1">
        <v>695.55499809770401</v>
      </c>
      <c r="AD7" s="1">
        <v>2580.6235926735499</v>
      </c>
      <c r="AE7" s="1">
        <v>562.32671560848996</v>
      </c>
      <c r="AF7" s="6">
        <v>9.5554992185498101E-7</v>
      </c>
      <c r="AG7" s="1">
        <v>1.2812504443858099E-5</v>
      </c>
      <c r="AH7" s="1">
        <v>61.2754288871593</v>
      </c>
      <c r="AI7" s="1">
        <v>0.313147996164644</v>
      </c>
      <c r="AJ7" s="1">
        <v>34.713124670923797</v>
      </c>
      <c r="AK7" s="1">
        <v>5.6150323405509397</v>
      </c>
      <c r="AL7" s="1">
        <v>1.1293680422758501</v>
      </c>
      <c r="AM7" s="1">
        <v>608.62110604178599</v>
      </c>
      <c r="AN7" s="1">
        <v>2.39774635701906E-8</v>
      </c>
      <c r="AO7" s="1">
        <v>7.5970259759378998E-8</v>
      </c>
      <c r="AP7" s="1">
        <v>3.8108539041678799</v>
      </c>
      <c r="AQ7" s="1">
        <v>3.75489389351953E-5</v>
      </c>
      <c r="AR7" s="1">
        <v>6.44423735180874E-6</v>
      </c>
      <c r="AS7" s="1">
        <v>17.459476059701601</v>
      </c>
      <c r="AT7" s="1">
        <v>11.249412709628899</v>
      </c>
      <c r="AU7" s="1">
        <v>3.5227310480493701</v>
      </c>
      <c r="AV7" s="1">
        <v>0.28812285611850502</v>
      </c>
      <c r="AW7" s="1">
        <v>7.6573493158267397E-3</v>
      </c>
      <c r="AX7" s="1">
        <v>0.28812285021664003</v>
      </c>
      <c r="AY7" s="1">
        <v>5.9018650522268997E-9</v>
      </c>
      <c r="AZ7" s="1">
        <v>1080577.4158407301</v>
      </c>
      <c r="BA7" s="1">
        <v>9.8531562425231007E-6</v>
      </c>
      <c r="BB7" s="4">
        <v>5206084.5145976599</v>
      </c>
      <c r="BC7" s="4">
        <v>-40667.379933594697</v>
      </c>
      <c r="BD7" s="7">
        <v>-0.77509630245681704</v>
      </c>
      <c r="BE7" s="4">
        <v>5521250</v>
      </c>
      <c r="BF7" s="1">
        <v>0.94291772960790698</v>
      </c>
      <c r="BG7" s="1">
        <v>1</v>
      </c>
      <c r="BH7" s="1">
        <v>-4.8000000000000001E-2</v>
      </c>
      <c r="BI7" s="1">
        <v>4.5999999999999999E-2</v>
      </c>
      <c r="BJ7" s="1">
        <v>5625</v>
      </c>
      <c r="BK7" s="1">
        <v>1</v>
      </c>
      <c r="BL7" s="1">
        <v>116.392420202586</v>
      </c>
      <c r="BM7" s="1">
        <v>5.2060845145976504</v>
      </c>
      <c r="BN7" s="1">
        <v>116.392420202586</v>
      </c>
      <c r="BO7" s="1">
        <v>1</v>
      </c>
      <c r="BP7" s="1">
        <v>5835.8018644084696</v>
      </c>
      <c r="BQ7" s="1">
        <v>1</v>
      </c>
      <c r="BR7" s="1">
        <v>0.15240000000000001</v>
      </c>
    </row>
    <row r="8" spans="1:70">
      <c r="A8" s="2" t="s">
        <v>76</v>
      </c>
      <c r="B8" s="1">
        <v>13789520</v>
      </c>
      <c r="C8" s="1">
        <v>608.621106065763</v>
      </c>
      <c r="D8" s="1">
        <v>85.147893581579396</v>
      </c>
      <c r="E8" s="1">
        <v>624.86627494838604</v>
      </c>
      <c r="F8" s="1">
        <v>2643264.3898665099</v>
      </c>
      <c r="G8" s="1">
        <v>1562686.9740257801</v>
      </c>
      <c r="H8" s="1">
        <v>2.2019594042733499E-5</v>
      </c>
      <c r="I8" s="1">
        <v>7.2223252690249804E-5</v>
      </c>
      <c r="J8" s="1">
        <v>0.49112124879375701</v>
      </c>
      <c r="K8" s="1">
        <v>7679.7516396704104</v>
      </c>
      <c r="L8" s="1">
        <v>6.5036382888884496E-3</v>
      </c>
      <c r="M8" s="1">
        <v>7</v>
      </c>
      <c r="N8" s="1">
        <v>3132.36</v>
      </c>
      <c r="O8" s="3">
        <v>2.8502295699234199E-6</v>
      </c>
      <c r="P8" s="3">
        <v>5.9847340050885496E-3</v>
      </c>
      <c r="Q8" s="3">
        <v>1.905E-3</v>
      </c>
      <c r="R8" s="1">
        <v>0.15240000000000001</v>
      </c>
      <c r="S8" s="4">
        <v>6662660.05859375</v>
      </c>
      <c r="T8" s="1">
        <v>458.882857903603</v>
      </c>
      <c r="U8" s="5">
        <v>547.51245782397098</v>
      </c>
      <c r="V8" s="1">
        <v>0.03</v>
      </c>
      <c r="W8" s="3">
        <v>82620.8399335297</v>
      </c>
      <c r="X8" s="1">
        <v>3.1429666814954203E-2</v>
      </c>
      <c r="Y8" s="1">
        <v>5.6406624514571604</v>
      </c>
      <c r="Z8" s="1">
        <v>5.6406624763576003</v>
      </c>
      <c r="AA8" s="1">
        <v>-2.4900441708552999E-8</v>
      </c>
      <c r="AB8" s="1">
        <v>1.2651195938575801E-5</v>
      </c>
      <c r="AC8" s="1">
        <v>723.16766810763795</v>
      </c>
      <c r="AD8" s="1">
        <v>2589.31272200285</v>
      </c>
      <c r="AE8" s="1">
        <v>547.51245782397098</v>
      </c>
      <c r="AF8" s="6">
        <v>0</v>
      </c>
      <c r="AG8" s="1">
        <v>1.27483650002982E-5</v>
      </c>
      <c r="AH8" s="1">
        <v>61.688760371414297</v>
      </c>
      <c r="AI8" s="1">
        <v>0.314202386059245</v>
      </c>
      <c r="AJ8" s="1">
        <v>34.655646908144902</v>
      </c>
      <c r="AK8" s="1">
        <v>7.4005061811071702</v>
      </c>
      <c r="AL8" s="1">
        <v>1.1293680422758501</v>
      </c>
      <c r="AM8" s="1">
        <v>608.62110604038799</v>
      </c>
      <c r="AN8" s="1">
        <v>2.53745611189515E-8</v>
      </c>
      <c r="AO8" s="1">
        <v>9.7169061722370897E-8</v>
      </c>
      <c r="AP8" s="1">
        <v>3.8228184295463499</v>
      </c>
      <c r="AQ8" s="1">
        <v>3.7314267993156701E-5</v>
      </c>
      <c r="AR8" s="1">
        <v>6.4227670310102899E-6</v>
      </c>
      <c r="AS8" s="1">
        <v>17.4598975158587</v>
      </c>
      <c r="AT8" s="1">
        <v>11.2495334037062</v>
      </c>
      <c r="AU8" s="1">
        <v>3.5346302374976601</v>
      </c>
      <c r="AV8" s="1">
        <v>0.288188192048694</v>
      </c>
      <c r="AW8" s="1">
        <v>7.6060429913178103E-3</v>
      </c>
      <c r="AX8" s="1">
        <v>0.28818818555697201</v>
      </c>
      <c r="AY8" s="1">
        <v>6.4917222153404502E-9</v>
      </c>
      <c r="AZ8" s="1">
        <v>1080577.4158407301</v>
      </c>
      <c r="BA8" s="1">
        <v>9.7609312816838896E-6</v>
      </c>
      <c r="BB8" s="4">
        <v>6721709.2980830204</v>
      </c>
      <c r="BC8" s="4">
        <v>59049.239489273197</v>
      </c>
      <c r="BD8" s="7">
        <v>0.88627123356097404</v>
      </c>
      <c r="BE8" s="4">
        <v>6751700</v>
      </c>
      <c r="BF8" s="1">
        <v>0.995558051762226</v>
      </c>
      <c r="BG8" s="1">
        <v>1</v>
      </c>
      <c r="BH8" s="1">
        <v>-7.0999999999999994E-2</v>
      </c>
      <c r="BI8" s="1">
        <v>4.5999999999999999E-2</v>
      </c>
      <c r="BJ8" s="1">
        <v>5625</v>
      </c>
      <c r="BK8" s="1">
        <v>1</v>
      </c>
      <c r="BL8" s="1">
        <v>149.73824816216</v>
      </c>
      <c r="BM8" s="1">
        <v>6.7217092980830202</v>
      </c>
      <c r="BN8" s="1">
        <v>149.73824816216</v>
      </c>
      <c r="BO8" s="1">
        <v>1</v>
      </c>
      <c r="BP8" s="1">
        <v>12042.4831096998</v>
      </c>
      <c r="BQ8" s="1">
        <v>1</v>
      </c>
      <c r="BR8" s="1">
        <v>0.15240000000000001</v>
      </c>
    </row>
    <row r="9" spans="1:70">
      <c r="A9" s="2" t="s">
        <v>77</v>
      </c>
      <c r="B9" s="1">
        <v>13789520</v>
      </c>
      <c r="C9" s="1">
        <v>608.621106065763</v>
      </c>
      <c r="D9" s="1">
        <v>85.147893581579396</v>
      </c>
      <c r="E9" s="1">
        <v>624.86627494838604</v>
      </c>
      <c r="F9" s="1">
        <v>2643264.3898665099</v>
      </c>
      <c r="G9" s="1">
        <v>1562686.9740257801</v>
      </c>
      <c r="H9" s="1">
        <v>2.2019594042733499E-5</v>
      </c>
      <c r="I9" s="1">
        <v>7.2223252690249804E-5</v>
      </c>
      <c r="J9" s="1">
        <v>0.49112124879375701</v>
      </c>
      <c r="K9" s="1">
        <v>7679.7516396704104</v>
      </c>
      <c r="L9" s="1">
        <v>6.5036382888884496E-3</v>
      </c>
      <c r="M9" s="1">
        <v>8</v>
      </c>
      <c r="N9" s="1">
        <v>3145.92</v>
      </c>
      <c r="O9" s="3">
        <v>2.8502295699234199E-6</v>
      </c>
      <c r="P9" s="3">
        <v>5.9847340050885496E-3</v>
      </c>
      <c r="Q9" s="3">
        <v>1.905E-3</v>
      </c>
      <c r="R9" s="1">
        <v>0.15240000000000001</v>
      </c>
      <c r="S9" s="4">
        <v>3751771.9142187499</v>
      </c>
      <c r="T9" s="1">
        <v>527.873770788711</v>
      </c>
      <c r="U9" s="5">
        <v>577.56635204125098</v>
      </c>
      <c r="V9" s="1">
        <v>0.03</v>
      </c>
      <c r="W9" s="3">
        <v>82978.5059072679</v>
      </c>
      <c r="X9" s="1">
        <v>3.1368633029053399E-2</v>
      </c>
      <c r="Y9" s="1">
        <v>5.6461472885750803</v>
      </c>
      <c r="Z9" s="1">
        <v>5.6461473058660498</v>
      </c>
      <c r="AA9" s="1">
        <v>-1.7290977538664301E-8</v>
      </c>
      <c r="AB9" s="1">
        <v>1.25667725740526E-5</v>
      </c>
      <c r="AC9" s="1">
        <v>666.59199839635005</v>
      </c>
      <c r="AD9" s="1">
        <v>2597.9956429087802</v>
      </c>
      <c r="AE9" s="1">
        <v>577.56635204125098</v>
      </c>
      <c r="AF9" s="6">
        <v>0</v>
      </c>
      <c r="AG9" s="1">
        <v>1.2620700381345899E-5</v>
      </c>
      <c r="AH9" s="1">
        <v>62.1031844149093</v>
      </c>
      <c r="AI9" s="1">
        <v>0.31525602258735702</v>
      </c>
      <c r="AJ9" s="1">
        <v>34.423647875268998</v>
      </c>
      <c r="AK9" s="1">
        <v>3.7493913529362501</v>
      </c>
      <c r="AL9" s="1">
        <v>1.1293680422758501</v>
      </c>
      <c r="AM9" s="1">
        <v>608.62110606143096</v>
      </c>
      <c r="AN9" s="1">
        <v>4.3324916987330702E-9</v>
      </c>
      <c r="AO9" s="1">
        <v>5.3927807293226097E-8</v>
      </c>
      <c r="AP9" s="1">
        <v>3.8200143277974399</v>
      </c>
      <c r="AQ9" s="1">
        <v>3.7369069571560502E-5</v>
      </c>
      <c r="AR9" s="1">
        <v>6.3373140943195398E-6</v>
      </c>
      <c r="AS9" s="1">
        <v>17.285369453844201</v>
      </c>
      <c r="AT9" s="1">
        <v>11.199302236956401</v>
      </c>
      <c r="AU9" s="1">
        <v>3.5306474789765701</v>
      </c>
      <c r="AV9" s="1">
        <v>0.289366848820867</v>
      </c>
      <c r="AW9" s="1">
        <v>7.5552867036788396E-3</v>
      </c>
      <c r="AX9" s="1">
        <v>0.28936684232855497</v>
      </c>
      <c r="AY9" s="1">
        <v>6.4923122433668798E-9</v>
      </c>
      <c r="AZ9" s="1">
        <v>1080577.4158407301</v>
      </c>
      <c r="BA9" s="1">
        <v>9.7824422541124198E-6</v>
      </c>
      <c r="BB9" s="4">
        <v>3722274.88040978</v>
      </c>
      <c r="BC9" s="4">
        <v>-29497.0338089736</v>
      </c>
      <c r="BD9" s="7">
        <v>-0.78621607292233098</v>
      </c>
      <c r="BE9" s="4">
        <v>4164600</v>
      </c>
      <c r="BF9" s="1">
        <v>0.89378929078657599</v>
      </c>
      <c r="BG9" s="1">
        <v>1</v>
      </c>
      <c r="BH9" s="1">
        <v>-2.7E-2</v>
      </c>
      <c r="BI9" s="1">
        <v>4.5999999999999999E-2</v>
      </c>
      <c r="BJ9" s="1">
        <v>5625</v>
      </c>
      <c r="BK9" s="1">
        <v>1</v>
      </c>
      <c r="BL9" s="1">
        <v>80.747335277052002</v>
      </c>
      <c r="BM9" s="1">
        <v>3.7222748804097798</v>
      </c>
      <c r="BN9" s="1">
        <v>80.747335277052002</v>
      </c>
      <c r="BO9" s="1">
        <v>1</v>
      </c>
      <c r="BP9" s="1">
        <v>1660.34533218049</v>
      </c>
      <c r="BQ9" s="1">
        <v>1</v>
      </c>
      <c r="BR9" s="1">
        <v>0.15240000000000001</v>
      </c>
    </row>
    <row r="10" spans="1:70">
      <c r="A10" s="2" t="s">
        <v>78</v>
      </c>
      <c r="B10" s="1">
        <v>13789520</v>
      </c>
      <c r="C10" s="1">
        <v>608.621106065763</v>
      </c>
      <c r="D10" s="1">
        <v>85.147893581579396</v>
      </c>
      <c r="E10" s="1">
        <v>624.86627494838604</v>
      </c>
      <c r="F10" s="1">
        <v>2643264.3898665099</v>
      </c>
      <c r="G10" s="1">
        <v>1562686.9740257801</v>
      </c>
      <c r="H10" s="1">
        <v>2.2019594042733499E-5</v>
      </c>
      <c r="I10" s="1">
        <v>7.2223252690249804E-5</v>
      </c>
      <c r="J10" s="1">
        <v>0.49112124879375701</v>
      </c>
      <c r="K10" s="1">
        <v>7679.7516396704104</v>
      </c>
      <c r="L10" s="1">
        <v>6.5036382888884496E-3</v>
      </c>
      <c r="M10" s="1">
        <v>9</v>
      </c>
      <c r="N10" s="1">
        <v>3145.92</v>
      </c>
      <c r="O10" s="3">
        <v>2.8502295699234199E-6</v>
      </c>
      <c r="P10" s="3">
        <v>5.9847340050885496E-3</v>
      </c>
      <c r="Q10" s="3">
        <v>1.905E-3</v>
      </c>
      <c r="R10" s="1">
        <v>0.15240000000000001</v>
      </c>
      <c r="S10" s="4">
        <v>3535281.83984375</v>
      </c>
      <c r="T10" s="1">
        <v>532.84871111815698</v>
      </c>
      <c r="U10" s="5">
        <v>579.67386043261001</v>
      </c>
      <c r="V10" s="1">
        <v>0.03</v>
      </c>
      <c r="W10" s="3">
        <v>82978.5059072679</v>
      </c>
      <c r="X10" s="1">
        <v>3.1368633029053399E-2</v>
      </c>
      <c r="Y10" s="1">
        <v>5.6461472885750803</v>
      </c>
      <c r="Z10" s="1">
        <v>5.6461473058660498</v>
      </c>
      <c r="AA10" s="1">
        <v>-1.7290977538664301E-8</v>
      </c>
      <c r="AB10" s="1">
        <v>1.25667725740526E-5</v>
      </c>
      <c r="AC10" s="1">
        <v>662.65222217497103</v>
      </c>
      <c r="AD10" s="1">
        <v>2597.9956429087802</v>
      </c>
      <c r="AE10" s="1">
        <v>579.67386105913204</v>
      </c>
      <c r="AF10" s="6">
        <v>6.2652202359458897E-7</v>
      </c>
      <c r="AG10" s="1">
        <v>1.26178675478972E-5</v>
      </c>
      <c r="AH10" s="1">
        <v>62.1031844149093</v>
      </c>
      <c r="AI10" s="1">
        <v>0.31525602258735702</v>
      </c>
      <c r="AJ10" s="1">
        <v>34.415921167702798</v>
      </c>
      <c r="AK10" s="1">
        <v>3.4947047551621302</v>
      </c>
      <c r="AL10" s="1">
        <v>1.1293680422758501</v>
      </c>
      <c r="AM10" s="1">
        <v>608.62110606173496</v>
      </c>
      <c r="AN10" s="1">
        <v>4.0275835999636903E-9</v>
      </c>
      <c r="AO10" s="1">
        <v>5.1094973844528797E-8</v>
      </c>
      <c r="AP10" s="1">
        <v>3.8193591945701901</v>
      </c>
      <c r="AQ10" s="1">
        <v>3.7381890475576401E-5</v>
      </c>
      <c r="AR10" s="1">
        <v>6.3344812608708399E-6</v>
      </c>
      <c r="AS10" s="1">
        <v>17.277642746278001</v>
      </c>
      <c r="AT10" s="1">
        <v>11.1970666946228</v>
      </c>
      <c r="AU10" s="1">
        <v>3.5299427107921599</v>
      </c>
      <c r="AV10" s="1">
        <v>0.28941648377802298</v>
      </c>
      <c r="AW10" s="1">
        <v>7.5552867036788396E-3</v>
      </c>
      <c r="AX10" s="1">
        <v>0.28941647731275399</v>
      </c>
      <c r="AY10" s="1">
        <v>6.4652687092881E-9</v>
      </c>
      <c r="AZ10" s="1">
        <v>1080577.4158407301</v>
      </c>
      <c r="BA10" s="1">
        <v>9.7874770534074207E-6</v>
      </c>
      <c r="BB10" s="4">
        <v>3524929.1848958498</v>
      </c>
      <c r="BC10" s="4">
        <v>-10352.654947901099</v>
      </c>
      <c r="BD10" s="7">
        <v>-0.29283817859225297</v>
      </c>
      <c r="BE10" s="4">
        <v>3943750</v>
      </c>
      <c r="BF10" s="1">
        <v>0.89380137810354299</v>
      </c>
      <c r="BG10" s="1">
        <v>1</v>
      </c>
      <c r="BH10" s="1">
        <v>-2.5999999999999999E-2</v>
      </c>
      <c r="BI10" s="1">
        <v>4.5999999999999999E-2</v>
      </c>
      <c r="BJ10" s="1">
        <v>5625</v>
      </c>
      <c r="BK10" s="1">
        <v>1</v>
      </c>
      <c r="BL10" s="1">
        <v>75.772394947606003</v>
      </c>
      <c r="BM10" s="1">
        <v>3.5249291848958499</v>
      </c>
      <c r="BN10" s="1">
        <v>75.772394947606003</v>
      </c>
      <c r="BO10" s="1">
        <v>1</v>
      </c>
      <c r="BP10" s="1">
        <v>1279.66424028751</v>
      </c>
      <c r="BQ10" s="1">
        <v>1</v>
      </c>
      <c r="BR10" s="1">
        <v>0.15240000000000001</v>
      </c>
    </row>
    <row r="11" spans="1:70">
      <c r="A11" s="2" t="s">
        <v>79</v>
      </c>
      <c r="B11" s="1">
        <v>13789520</v>
      </c>
      <c r="C11" s="1">
        <v>608.621106065763</v>
      </c>
      <c r="D11" s="1">
        <v>85.147893581579396</v>
      </c>
      <c r="E11" s="1">
        <v>624.86627494838604</v>
      </c>
      <c r="F11" s="1">
        <v>2643264.3898665099</v>
      </c>
      <c r="G11" s="1">
        <v>1562686.9740257801</v>
      </c>
      <c r="H11" s="1">
        <v>2.2019594042733499E-5</v>
      </c>
      <c r="I11" s="1">
        <v>7.2223252690249804E-5</v>
      </c>
      <c r="J11" s="1">
        <v>0.49112124879375701</v>
      </c>
      <c r="K11" s="1">
        <v>7679.7516396704104</v>
      </c>
      <c r="L11" s="1">
        <v>6.5036382888884496E-3</v>
      </c>
      <c r="M11" s="1">
        <v>10</v>
      </c>
      <c r="N11" s="1">
        <v>3634.08</v>
      </c>
      <c r="O11" s="3">
        <v>2.8502295699234199E-6</v>
      </c>
      <c r="P11" s="3">
        <v>5.9847340050885496E-3</v>
      </c>
      <c r="Q11" s="3">
        <v>1.905E-3</v>
      </c>
      <c r="R11" s="1">
        <v>0.15240000000000001</v>
      </c>
      <c r="S11" s="4">
        <v>3515012.92578125</v>
      </c>
      <c r="T11" s="1">
        <v>541.31775243261598</v>
      </c>
      <c r="U11" s="5">
        <v>581.62055488422402</v>
      </c>
      <c r="V11" s="1">
        <v>0.03</v>
      </c>
      <c r="W11" s="3">
        <v>95854.480961844005</v>
      </c>
      <c r="X11" s="1">
        <v>2.9426133181738898E-2</v>
      </c>
      <c r="Y11" s="1">
        <v>5.8295281243322101</v>
      </c>
      <c r="Z11" s="1">
        <v>5.8295281357081601</v>
      </c>
      <c r="AA11" s="1">
        <v>-1.13759490716347E-8</v>
      </c>
      <c r="AB11" s="1">
        <v>1.0039048089484501E-5</v>
      </c>
      <c r="AC11" s="1">
        <v>654.95066353834602</v>
      </c>
      <c r="AD11" s="1">
        <v>2906.7255552095398</v>
      </c>
      <c r="AE11" s="1">
        <v>581.62055488422402</v>
      </c>
      <c r="AF11" s="6">
        <v>0</v>
      </c>
      <c r="AG11" s="1">
        <v>1.0081321194049001E-5</v>
      </c>
      <c r="AH11" s="1">
        <v>77.740099231529001</v>
      </c>
      <c r="AI11" s="1">
        <v>0.35271912013770901</v>
      </c>
      <c r="AJ11" s="1">
        <v>30.764970021015898</v>
      </c>
      <c r="AK11" s="1">
        <v>3.0519131984293799</v>
      </c>
      <c r="AL11" s="1">
        <v>1.1293680422758501</v>
      </c>
      <c r="AM11" s="1">
        <v>608.621106065758</v>
      </c>
      <c r="AN11" s="1">
        <v>5.4569682106375702E-12</v>
      </c>
      <c r="AO11" s="1">
        <v>4.22731045644969E-8</v>
      </c>
      <c r="AP11" s="1">
        <v>4.0567578326103204</v>
      </c>
      <c r="AQ11" s="1">
        <v>3.3134780786405201E-5</v>
      </c>
      <c r="AR11" s="1">
        <v>5.0617971493067302E-6</v>
      </c>
      <c r="AS11" s="1">
        <v>15.446987012258999</v>
      </c>
      <c r="AT11" s="1">
        <v>10.6370698446901</v>
      </c>
      <c r="AU11" s="1">
        <v>3.75189791646243</v>
      </c>
      <c r="AV11" s="1">
        <v>0.30485991614788499</v>
      </c>
      <c r="AW11" s="1">
        <v>6.0355899735690501E-3</v>
      </c>
      <c r="AX11" s="1">
        <v>0.30485988684059401</v>
      </c>
      <c r="AY11" s="1">
        <v>2.93072912604941E-8</v>
      </c>
      <c r="AZ11" s="1">
        <v>1080577.4158407301</v>
      </c>
      <c r="BA11" s="1">
        <v>8.1677985607252006E-6</v>
      </c>
      <c r="BB11" s="4">
        <v>3494637.2169810901</v>
      </c>
      <c r="BC11" s="4">
        <v>-20375.708800157099</v>
      </c>
      <c r="BD11" s="7">
        <v>-0.57967663932923796</v>
      </c>
      <c r="BE11" s="4">
        <v>4417000</v>
      </c>
      <c r="BF11" s="1">
        <v>0.79117890355016796</v>
      </c>
      <c r="BG11" s="1">
        <v>1</v>
      </c>
      <c r="BH11" s="1">
        <v>1E-3</v>
      </c>
      <c r="BI11" s="1">
        <v>4.5999999999999999E-2</v>
      </c>
      <c r="BJ11" s="1">
        <v>5625</v>
      </c>
      <c r="BK11" s="1">
        <v>1</v>
      </c>
      <c r="BL11" s="1">
        <v>67.303353633146997</v>
      </c>
      <c r="BM11" s="1">
        <v>3.49463721698109</v>
      </c>
      <c r="BN11" s="1">
        <v>67.303353633146997</v>
      </c>
      <c r="BO11" s="1">
        <v>1</v>
      </c>
      <c r="BP11" s="1">
        <v>745.47311961668299</v>
      </c>
      <c r="BQ11" s="1">
        <v>1</v>
      </c>
      <c r="BR11" s="1">
        <v>0.15240000000000001</v>
      </c>
    </row>
    <row r="12" spans="1:70">
      <c r="A12" s="2" t="s">
        <v>80</v>
      </c>
      <c r="B12" s="1">
        <v>13789520</v>
      </c>
      <c r="C12" s="1">
        <v>608.621106065763</v>
      </c>
      <c r="D12" s="1">
        <v>85.147893581579396</v>
      </c>
      <c r="E12" s="1">
        <v>624.86627494838604</v>
      </c>
      <c r="F12" s="1">
        <v>2643264.3898665099</v>
      </c>
      <c r="G12" s="1">
        <v>1562686.9740257801</v>
      </c>
      <c r="H12" s="1">
        <v>2.2019594042733499E-5</v>
      </c>
      <c r="I12" s="1">
        <v>7.2223252690249804E-5</v>
      </c>
      <c r="J12" s="1">
        <v>0.49112124879375701</v>
      </c>
      <c r="K12" s="1">
        <v>7679.7516396704104</v>
      </c>
      <c r="L12" s="1">
        <v>6.5036382888884496E-3</v>
      </c>
      <c r="M12" s="1">
        <v>11</v>
      </c>
      <c r="N12" s="1">
        <v>3851.04</v>
      </c>
      <c r="O12" s="3">
        <v>2.8502295699234199E-6</v>
      </c>
      <c r="P12" s="3">
        <v>5.9847340050885496E-3</v>
      </c>
      <c r="Q12" s="3">
        <v>1.905E-3</v>
      </c>
      <c r="R12" s="1">
        <v>0.15240000000000001</v>
      </c>
      <c r="S12" s="4">
        <v>4025857.05078125</v>
      </c>
      <c r="T12" s="1">
        <v>534.00031274747698</v>
      </c>
      <c r="U12" s="5">
        <v>577.55983655479395</v>
      </c>
      <c r="V12" s="1">
        <v>0.03</v>
      </c>
      <c r="W12" s="3">
        <v>101577.136541656</v>
      </c>
      <c r="X12" s="1">
        <v>2.8694843233965098E-2</v>
      </c>
      <c r="Y12" s="1">
        <v>5.9033437360973897</v>
      </c>
      <c r="Z12" s="1">
        <v>5.9033437630197296</v>
      </c>
      <c r="AA12" s="1">
        <v>-2.6922339912971402E-8</v>
      </c>
      <c r="AB12" s="1">
        <v>9.1675815598689404E-6</v>
      </c>
      <c r="AC12" s="1">
        <v>659.74607261695201</v>
      </c>
      <c r="AD12" s="1">
        <v>3041.7457153528198</v>
      </c>
      <c r="AE12" s="1">
        <v>577.55983655479395</v>
      </c>
      <c r="AF12" s="6">
        <v>0</v>
      </c>
      <c r="AG12" s="1">
        <v>9.2124976108217692E-6</v>
      </c>
      <c r="AH12" s="1">
        <v>85.130041065898297</v>
      </c>
      <c r="AI12" s="1">
        <v>0.36910325795259002</v>
      </c>
      <c r="AJ12" s="1">
        <v>29.4195014545041</v>
      </c>
      <c r="AK12" s="1">
        <v>3.40426198832529</v>
      </c>
      <c r="AL12" s="1">
        <v>1.1293680422758501</v>
      </c>
      <c r="AM12" s="1">
        <v>608.62110606589204</v>
      </c>
      <c r="AN12" s="1">
        <v>-1.2880718713859099E-10</v>
      </c>
      <c r="AO12" s="1">
        <v>4.4916050952832199E-8</v>
      </c>
      <c r="AP12" s="1">
        <v>4.1562829467995899</v>
      </c>
      <c r="AQ12" s="1">
        <v>3.1566908964919503E-5</v>
      </c>
      <c r="AR12" s="1">
        <v>4.6287068308872999E-6</v>
      </c>
      <c r="AS12" s="1">
        <v>14.7814689453814</v>
      </c>
      <c r="AT12" s="1">
        <v>10.416871489775099</v>
      </c>
      <c r="AU12" s="1">
        <v>3.8449012045494499</v>
      </c>
      <c r="AV12" s="1">
        <v>0.31138174225014098</v>
      </c>
      <c r="AW12" s="1">
        <v>5.5116543771295797E-3</v>
      </c>
      <c r="AX12" s="1">
        <v>0.31138173792475698</v>
      </c>
      <c r="AY12" s="1">
        <v>4.32538416195172E-9</v>
      </c>
      <c r="AZ12" s="1">
        <v>1080577.4158407301</v>
      </c>
      <c r="BA12" s="1">
        <v>7.5949855601689698E-6</v>
      </c>
      <c r="BB12" s="4">
        <v>3993168.0311900601</v>
      </c>
      <c r="BC12" s="4">
        <v>-32689.019591187101</v>
      </c>
      <c r="BD12" s="7">
        <v>-0.81197665935117003</v>
      </c>
      <c r="BE12" s="4">
        <v>4858700</v>
      </c>
      <c r="BF12" s="1">
        <v>0.82185935151173395</v>
      </c>
      <c r="BG12" s="1">
        <v>1</v>
      </c>
      <c r="BH12" s="1">
        <v>-1.7999999999999999E-2</v>
      </c>
      <c r="BI12" s="1">
        <v>4.5999999999999999E-2</v>
      </c>
      <c r="BJ12" s="1">
        <v>5625</v>
      </c>
      <c r="BK12" s="1">
        <v>1</v>
      </c>
      <c r="BL12" s="1">
        <v>74.620793318286005</v>
      </c>
      <c r="BM12" s="1">
        <v>3.9931680311900601</v>
      </c>
      <c r="BN12" s="1">
        <v>74.620793318286005</v>
      </c>
      <c r="BO12" s="1">
        <v>1</v>
      </c>
      <c r="BP12" s="1">
        <v>1198.5993299874799</v>
      </c>
      <c r="BQ12" s="1">
        <v>1</v>
      </c>
      <c r="BR12" s="1">
        <v>0.15240000000000001</v>
      </c>
    </row>
    <row r="13" spans="1:70">
      <c r="A13" s="2" t="s">
        <v>81</v>
      </c>
      <c r="B13" s="1">
        <v>13789520</v>
      </c>
      <c r="C13" s="1">
        <v>608.621106065763</v>
      </c>
      <c r="D13" s="1">
        <v>85.147893581579396</v>
      </c>
      <c r="E13" s="1">
        <v>624.86627494838604</v>
      </c>
      <c r="F13" s="1">
        <v>2643264.3898665099</v>
      </c>
      <c r="G13" s="1">
        <v>1562686.9740257801</v>
      </c>
      <c r="H13" s="1">
        <v>2.2019594042733499E-5</v>
      </c>
      <c r="I13" s="1">
        <v>7.2223252690249804E-5</v>
      </c>
      <c r="J13" s="1">
        <v>0.49112124879375701</v>
      </c>
      <c r="K13" s="1">
        <v>7679.7516396704104</v>
      </c>
      <c r="L13" s="1">
        <v>6.5036382888884496E-3</v>
      </c>
      <c r="M13" s="1">
        <v>12</v>
      </c>
      <c r="N13" s="1">
        <v>3905.28</v>
      </c>
      <c r="O13" s="3">
        <v>2.8502295699234199E-6</v>
      </c>
      <c r="P13" s="3">
        <v>5.9847340050885496E-3</v>
      </c>
      <c r="Q13" s="3">
        <v>1.905E-3</v>
      </c>
      <c r="R13" s="1">
        <v>0.15240000000000001</v>
      </c>
      <c r="S13" s="4">
        <v>4119595.80078125</v>
      </c>
      <c r="T13" s="1">
        <v>532.84871111815698</v>
      </c>
      <c r="U13" s="5">
        <v>576.80340223491498</v>
      </c>
      <c r="V13" s="1">
        <v>0.03</v>
      </c>
      <c r="W13" s="3">
        <v>103007.800436608</v>
      </c>
      <c r="X13" s="1">
        <v>2.85224803085561E-2</v>
      </c>
      <c r="Y13" s="1">
        <v>5.9211539858301698</v>
      </c>
      <c r="Z13" s="1">
        <v>5.9211539940556204</v>
      </c>
      <c r="AA13" s="1">
        <v>-8.2254532074443903E-9</v>
      </c>
      <c r="AB13" s="1">
        <v>8.9685669488103606E-6</v>
      </c>
      <c r="AC13" s="1">
        <v>660.32967746039003</v>
      </c>
      <c r="AD13" s="1">
        <v>3075.3090688970001</v>
      </c>
      <c r="AE13" s="1">
        <v>576.80340223491498</v>
      </c>
      <c r="AF13" s="6">
        <v>0</v>
      </c>
      <c r="AG13" s="1">
        <v>9.0140075816042105E-6</v>
      </c>
      <c r="AH13" s="1">
        <v>87.019096709774402</v>
      </c>
      <c r="AI13" s="1">
        <v>0.37317603204361399</v>
      </c>
      <c r="AJ13" s="1">
        <v>29.1032643179147</v>
      </c>
      <c r="AK13" s="1">
        <v>3.45580536947182</v>
      </c>
      <c r="AL13" s="1">
        <v>1.1293680422758501</v>
      </c>
      <c r="AM13" s="1">
        <v>608.62110606227998</v>
      </c>
      <c r="AN13" s="1">
        <v>3.4825688999262601E-9</v>
      </c>
      <c r="AO13" s="1">
        <v>4.54406327938567E-8</v>
      </c>
      <c r="AP13" s="1">
        <v>4.1804653005391801</v>
      </c>
      <c r="AQ13" s="1">
        <v>3.1202760847978903E-5</v>
      </c>
      <c r="AR13" s="1">
        <v>4.5297241071990404E-6</v>
      </c>
      <c r="AS13" s="1">
        <v>14.624988584221001</v>
      </c>
      <c r="AT13" s="1">
        <v>10.3636580627577</v>
      </c>
      <c r="AU13" s="1">
        <v>3.8674687933167098</v>
      </c>
      <c r="AV13" s="1">
        <v>0.31299650722247202</v>
      </c>
      <c r="AW13" s="1">
        <v>5.3920045278219499E-3</v>
      </c>
      <c r="AX13" s="1">
        <v>0.31299650243076699</v>
      </c>
      <c r="AY13" s="1">
        <v>4.79170469969148E-9</v>
      </c>
      <c r="AZ13" s="1">
        <v>1080577.4158407301</v>
      </c>
      <c r="BA13" s="1">
        <v>7.46394446664931E-6</v>
      </c>
      <c r="BB13" s="4">
        <v>4110729.9133121301</v>
      </c>
      <c r="BC13" s="4">
        <v>-8865.8874691226501</v>
      </c>
      <c r="BD13" s="7">
        <v>-0.21521255719896901</v>
      </c>
      <c r="BE13" s="4">
        <v>4890250</v>
      </c>
      <c r="BF13" s="1">
        <v>0.84059708876072303</v>
      </c>
      <c r="BG13" s="1">
        <v>1</v>
      </c>
      <c r="BH13" s="1">
        <v>-2.5999999999999999E-2</v>
      </c>
      <c r="BI13" s="1">
        <v>4.5999999999999999E-2</v>
      </c>
      <c r="BJ13" s="1">
        <v>5625</v>
      </c>
      <c r="BK13" s="1">
        <v>1</v>
      </c>
      <c r="BL13" s="1">
        <v>75.772394947606003</v>
      </c>
      <c r="BM13" s="1">
        <v>4.11072991331213</v>
      </c>
      <c r="BN13" s="1">
        <v>75.772394947606003</v>
      </c>
      <c r="BO13" s="1">
        <v>1</v>
      </c>
      <c r="BP13" s="1">
        <v>1279.66424028751</v>
      </c>
      <c r="BQ13" s="1">
        <v>1</v>
      </c>
      <c r="BR13" s="1">
        <v>0.15240000000000001</v>
      </c>
    </row>
    <row r="14" spans="1:70">
      <c r="A14" s="2" t="s">
        <v>82</v>
      </c>
      <c r="B14" s="1">
        <v>13789520</v>
      </c>
      <c r="C14" s="1">
        <v>608.621106065763</v>
      </c>
      <c r="D14" s="1">
        <v>85.147893581579396</v>
      </c>
      <c r="E14" s="1">
        <v>624.86627494838604</v>
      </c>
      <c r="F14" s="1">
        <v>2643264.3898665099</v>
      </c>
      <c r="G14" s="1">
        <v>1562686.9740257801</v>
      </c>
      <c r="H14" s="1">
        <v>2.2019594042733499E-5</v>
      </c>
      <c r="I14" s="1">
        <v>7.2223252690249804E-5</v>
      </c>
      <c r="J14" s="1">
        <v>0.49112124879375701</v>
      </c>
      <c r="K14" s="1">
        <v>7679.7516396704104</v>
      </c>
      <c r="L14" s="1">
        <v>6.5036382888884496E-3</v>
      </c>
      <c r="M14" s="1">
        <v>13</v>
      </c>
      <c r="N14" s="1">
        <v>3918.84</v>
      </c>
      <c r="O14" s="3">
        <v>2.8502295699234199E-6</v>
      </c>
      <c r="P14" s="3">
        <v>5.9847340050885496E-3</v>
      </c>
      <c r="Q14" s="3">
        <v>1.905E-3</v>
      </c>
      <c r="R14" s="1">
        <v>0.15240000000000001</v>
      </c>
      <c r="S14" s="4">
        <v>4409098.14453125</v>
      </c>
      <c r="T14" s="1">
        <v>527.29080640581196</v>
      </c>
      <c r="U14" s="5">
        <v>574.17160885772398</v>
      </c>
      <c r="V14" s="1">
        <v>0.03</v>
      </c>
      <c r="W14" s="3">
        <v>103365.466410347</v>
      </c>
      <c r="X14" s="1">
        <v>2.8480000643945399E-2</v>
      </c>
      <c r="Y14" s="1">
        <v>5.9255682222598498</v>
      </c>
      <c r="Z14" s="1">
        <v>5.9255682336923297</v>
      </c>
      <c r="AA14" s="1">
        <v>-1.1432471858086E-8</v>
      </c>
      <c r="AB14" s="1">
        <v>8.9198928738435904E-6</v>
      </c>
      <c r="AC14" s="1">
        <v>664.44691819118896</v>
      </c>
      <c r="AD14" s="1">
        <v>3083.68832733613</v>
      </c>
      <c r="AE14" s="1">
        <v>574.17160885772398</v>
      </c>
      <c r="AF14" s="6">
        <v>0</v>
      </c>
      <c r="AG14" s="1">
        <v>8.9682919228015306E-6</v>
      </c>
      <c r="AH14" s="1">
        <v>87.493942551164693</v>
      </c>
      <c r="AI14" s="1">
        <v>0.374192820387721</v>
      </c>
      <c r="AJ14" s="1">
        <v>29.0345586545785</v>
      </c>
      <c r="AK14" s="1">
        <v>3.7339786401632802</v>
      </c>
      <c r="AL14" s="1">
        <v>1.1293680422758501</v>
      </c>
      <c r="AM14" s="1">
        <v>608.62110606584702</v>
      </c>
      <c r="AN14" s="1">
        <v>-8.3787199400831001E-11</v>
      </c>
      <c r="AO14" s="1">
        <v>4.8399048957945298E-8</v>
      </c>
      <c r="AP14" s="1">
        <v>4.1875634716921502</v>
      </c>
      <c r="AQ14" s="1">
        <v>3.1097069399789298E-5</v>
      </c>
      <c r="AR14" s="1">
        <v>4.5083454858797397E-6</v>
      </c>
      <c r="AS14" s="1">
        <v>14.5956245148618</v>
      </c>
      <c r="AT14" s="1">
        <v>10.3536089651758</v>
      </c>
      <c r="AU14" s="1">
        <v>3.87424613987071</v>
      </c>
      <c r="AV14" s="1">
        <v>0.31331733182144</v>
      </c>
      <c r="AW14" s="1">
        <v>5.3627411199546303E-3</v>
      </c>
      <c r="AX14" s="1">
        <v>0.31331732690354203</v>
      </c>
      <c r="AY14" s="1">
        <v>4.9178984218301E-9</v>
      </c>
      <c r="AZ14" s="1">
        <v>1080577.4158407301</v>
      </c>
      <c r="BA14" s="1">
        <v>7.4260532670143097E-6</v>
      </c>
      <c r="BB14" s="4">
        <v>4400699.7636365099</v>
      </c>
      <c r="BC14" s="4">
        <v>-8398.3808947391808</v>
      </c>
      <c r="BD14" s="7">
        <v>-0.190478429362158</v>
      </c>
      <c r="BE14" s="4">
        <v>5426600</v>
      </c>
      <c r="BF14" s="1">
        <v>0.81094972241118002</v>
      </c>
      <c r="BG14" s="1">
        <v>1</v>
      </c>
      <c r="BH14" s="1">
        <v>-1.2E-2</v>
      </c>
      <c r="BI14" s="1">
        <v>4.5999999999999999E-2</v>
      </c>
      <c r="BJ14" s="1">
        <v>5625</v>
      </c>
      <c r="BK14" s="1">
        <v>1</v>
      </c>
      <c r="BL14" s="1">
        <v>81.330299659950995</v>
      </c>
      <c r="BM14" s="1">
        <v>4.4006997636365099</v>
      </c>
      <c r="BN14" s="1">
        <v>81.330299659950995</v>
      </c>
      <c r="BO14" s="1">
        <v>1</v>
      </c>
      <c r="BP14" s="1">
        <v>1708.19366998135</v>
      </c>
      <c r="BQ14" s="1">
        <v>1</v>
      </c>
      <c r="BR14" s="1">
        <v>0.15240000000000001</v>
      </c>
    </row>
    <row r="15" spans="1:70">
      <c r="A15" s="2" t="s">
        <v>83</v>
      </c>
      <c r="B15" s="1">
        <v>13789520</v>
      </c>
      <c r="C15" s="1">
        <v>608.621106065763</v>
      </c>
      <c r="D15" s="1">
        <v>85.147893581579396</v>
      </c>
      <c r="E15" s="1">
        <v>624.86627494838604</v>
      </c>
      <c r="F15" s="1">
        <v>2643264.3898665099</v>
      </c>
      <c r="G15" s="1">
        <v>1562686.9740257801</v>
      </c>
      <c r="H15" s="1">
        <v>2.2019594042733499E-5</v>
      </c>
      <c r="I15" s="1">
        <v>7.2223252690249804E-5</v>
      </c>
      <c r="J15" s="1">
        <v>0.49112124879375701</v>
      </c>
      <c r="K15" s="1">
        <v>7679.7516396704104</v>
      </c>
      <c r="L15" s="1">
        <v>6.5036382888884496E-3</v>
      </c>
      <c r="M15" s="1">
        <v>14</v>
      </c>
      <c r="N15" s="1">
        <v>2752.68</v>
      </c>
      <c r="O15" s="3">
        <v>1.6417322322758899E-5</v>
      </c>
      <c r="P15" s="3">
        <v>1.4363361612212499E-2</v>
      </c>
      <c r="Q15" s="3">
        <v>4.5719999999999997E-3</v>
      </c>
      <c r="R15" s="1">
        <v>0.29527500000000001</v>
      </c>
      <c r="S15" s="4">
        <v>321774.06251274998</v>
      </c>
      <c r="T15" s="1">
        <v>601.93187912108897</v>
      </c>
      <c r="U15" s="5">
        <v>605.86401555928899</v>
      </c>
      <c r="V15" s="1">
        <v>0.03</v>
      </c>
      <c r="W15" s="3">
        <v>174254.862405263</v>
      </c>
      <c r="X15" s="1">
        <v>2.71585731940364E-2</v>
      </c>
      <c r="Y15" s="1">
        <v>6.0680133133750997</v>
      </c>
      <c r="Z15" s="1">
        <v>6.0680133207565996</v>
      </c>
      <c r="AA15" s="1">
        <v>-7.3815025203316501E-9</v>
      </c>
      <c r="AB15" s="1">
        <v>1.8958164748989801E-5</v>
      </c>
      <c r="AC15" s="1">
        <v>613.27115573666697</v>
      </c>
      <c r="AD15" s="1">
        <v>5076.4883207283001</v>
      </c>
      <c r="AE15" s="1">
        <v>605.86401569200098</v>
      </c>
      <c r="AF15" s="6">
        <v>1.32711534206464E-7</v>
      </c>
      <c r="AG15" s="1">
        <v>1.8964788398853001E-5</v>
      </c>
      <c r="AH15" s="1">
        <v>41.1662523772615</v>
      </c>
      <c r="AI15" s="1">
        <v>0.25667118949182999</v>
      </c>
      <c r="AJ15" s="1">
        <v>42.1148411250484</v>
      </c>
      <c r="AK15" s="1">
        <v>0.29125511877593901</v>
      </c>
      <c r="AL15" s="1">
        <v>1.1293680422758501</v>
      </c>
      <c r="AM15" s="1">
        <v>608.62110606539795</v>
      </c>
      <c r="AN15" s="1">
        <v>3.6482106224866599E-10</v>
      </c>
      <c r="AO15" s="1">
        <v>6.62364986320343E-9</v>
      </c>
      <c r="AP15" s="1">
        <v>3.39351395643954</v>
      </c>
      <c r="AQ15" s="1">
        <v>4.73525083287005E-5</v>
      </c>
      <c r="AR15" s="1">
        <v>9.4857060243580903E-6</v>
      </c>
      <c r="AS15" s="1">
        <v>21.0647750859649</v>
      </c>
      <c r="AT15" s="1">
        <v>12.188011091150701</v>
      </c>
      <c r="AU15" s="1">
        <v>3.1283113043052699</v>
      </c>
      <c r="AV15" s="1">
        <v>0.26520265213427102</v>
      </c>
      <c r="AW15" s="1">
        <v>1.13978644246288E-2</v>
      </c>
      <c r="AX15" s="1">
        <v>0.26520264341080002</v>
      </c>
      <c r="AY15" s="1">
        <v>8.7234713341821596E-9</v>
      </c>
      <c r="AZ15" s="1">
        <v>1080577.4158407301</v>
      </c>
      <c r="BA15" s="1">
        <v>1.3953827488714E-5</v>
      </c>
      <c r="BB15" s="4">
        <v>320513.98924795899</v>
      </c>
      <c r="BC15" s="4">
        <v>-1260.0732647908701</v>
      </c>
      <c r="BD15" s="7">
        <v>-0.391601875847574</v>
      </c>
      <c r="BE15" s="4">
        <v>2075990</v>
      </c>
      <c r="BF15" s="1">
        <v>0.15439091192537499</v>
      </c>
      <c r="BG15" s="1">
        <v>1</v>
      </c>
      <c r="BH15" s="1">
        <v>0.13700000000000001</v>
      </c>
      <c r="BI15" s="1">
        <v>4.5999999999999999E-2</v>
      </c>
      <c r="BJ15" s="1">
        <v>5625</v>
      </c>
      <c r="BK15" s="1">
        <v>1</v>
      </c>
      <c r="BL15" s="1">
        <v>6.6892269446740302</v>
      </c>
      <c r="BM15" s="1">
        <v>0.32051398924795899</v>
      </c>
      <c r="BN15" s="1">
        <v>6.6892269446740302</v>
      </c>
      <c r="BO15" s="1">
        <v>1</v>
      </c>
      <c r="BP15" s="1">
        <v>1109.6076015434301</v>
      </c>
      <c r="BQ15" s="1">
        <v>1</v>
      </c>
      <c r="BR15" s="1">
        <v>0.29527500000000001</v>
      </c>
    </row>
    <row r="16" spans="1:70">
      <c r="A16" s="2" t="s">
        <v>84</v>
      </c>
      <c r="B16" s="1">
        <v>13789520</v>
      </c>
      <c r="C16" s="1">
        <v>608.621106065763</v>
      </c>
      <c r="D16" s="1">
        <v>85.147893581579396</v>
      </c>
      <c r="E16" s="1">
        <v>624.86627494838604</v>
      </c>
      <c r="F16" s="1">
        <v>2643264.3898665099</v>
      </c>
      <c r="G16" s="1">
        <v>1562686.9740257801</v>
      </c>
      <c r="H16" s="1">
        <v>2.2019594042733499E-5</v>
      </c>
      <c r="I16" s="1">
        <v>7.2223252690249804E-5</v>
      </c>
      <c r="J16" s="1">
        <v>0.49112124879375701</v>
      </c>
      <c r="K16" s="1">
        <v>7679.7516396704104</v>
      </c>
      <c r="L16" s="1">
        <v>6.5036382888884496E-3</v>
      </c>
      <c r="M16" s="1">
        <v>15</v>
      </c>
      <c r="N16" s="1">
        <v>3403.56</v>
      </c>
      <c r="O16" s="3">
        <v>1.6417322322758899E-5</v>
      </c>
      <c r="P16" s="3">
        <v>1.4363361612212499E-2</v>
      </c>
      <c r="Q16" s="3">
        <v>4.5719999999999997E-3</v>
      </c>
      <c r="R16" s="1">
        <v>0.29527500000000001</v>
      </c>
      <c r="S16" s="4">
        <v>786572.31796875002</v>
      </c>
      <c r="T16" s="1">
        <v>594.22932005256598</v>
      </c>
      <c r="U16" s="5">
        <v>602.00321235179001</v>
      </c>
      <c r="V16" s="1">
        <v>0.03</v>
      </c>
      <c r="W16" s="3">
        <v>215457.98257990601</v>
      </c>
      <c r="X16" s="1">
        <v>2.48435621330972E-2</v>
      </c>
      <c r="Y16" s="1">
        <v>6.3444366739096001</v>
      </c>
      <c r="Z16" s="1">
        <v>6.3444367045684302</v>
      </c>
      <c r="AA16" s="1">
        <v>-3.0658828364948898E-8</v>
      </c>
      <c r="AB16" s="1">
        <v>1.3556076460718E-5</v>
      </c>
      <c r="AC16" s="1">
        <v>618.605382204286</v>
      </c>
      <c r="AD16" s="1">
        <v>6003.3620151630303</v>
      </c>
      <c r="AE16" s="1">
        <v>602.00321235179001</v>
      </c>
      <c r="AF16" s="6">
        <v>0</v>
      </c>
      <c r="AG16" s="1">
        <v>1.3568220860967999E-5</v>
      </c>
      <c r="AH16" s="1">
        <v>57.570979105061902</v>
      </c>
      <c r="AI16" s="1">
        <v>0.303534642853448</v>
      </c>
      <c r="AJ16" s="1">
        <v>35.6320829965344</v>
      </c>
      <c r="AK16" s="1">
        <v>0.64217182619297097</v>
      </c>
      <c r="AL16" s="1">
        <v>1.1293680422758501</v>
      </c>
      <c r="AM16" s="1">
        <v>608.62110606356498</v>
      </c>
      <c r="AN16" s="1">
        <v>2.19847606786061E-9</v>
      </c>
      <c r="AO16" s="1">
        <v>1.2144400249997899E-8</v>
      </c>
      <c r="AP16" s="1">
        <v>3.7318191102142801</v>
      </c>
      <c r="AQ16" s="1">
        <v>3.9156250637634503E-5</v>
      </c>
      <c r="AR16" s="1">
        <v>6.79018263060898E-6</v>
      </c>
      <c r="AS16" s="1">
        <v>17.831987961774999</v>
      </c>
      <c r="AT16" s="1">
        <v>11.3549696049611</v>
      </c>
      <c r="AU16" s="1">
        <v>3.4466266436536199</v>
      </c>
      <c r="AV16" s="1">
        <v>0.28519246656066199</v>
      </c>
      <c r="AW16" s="1">
        <v>8.1500674603747492E-3</v>
      </c>
      <c r="AX16" s="1">
        <v>0.28519246407843202</v>
      </c>
      <c r="AY16" s="1">
        <v>2.4822303101856801E-9</v>
      </c>
      <c r="AZ16" s="1">
        <v>1080577.4158407301</v>
      </c>
      <c r="BA16" s="1">
        <v>1.04925371464176E-5</v>
      </c>
      <c r="BB16" s="4">
        <v>781517.17891224299</v>
      </c>
      <c r="BC16" s="4">
        <v>-5055.1390565074998</v>
      </c>
      <c r="BD16" s="7">
        <v>-0.64267950206561097</v>
      </c>
      <c r="BE16" s="4">
        <v>2161175</v>
      </c>
      <c r="BF16" s="1">
        <v>0.361616795915297</v>
      </c>
      <c r="BG16" s="1">
        <v>1</v>
      </c>
      <c r="BH16" s="1">
        <v>6.0999999999999999E-2</v>
      </c>
      <c r="BI16" s="1">
        <v>4.5999999999999999E-2</v>
      </c>
      <c r="BJ16" s="1">
        <v>5625</v>
      </c>
      <c r="BK16" s="1">
        <v>1</v>
      </c>
      <c r="BL16" s="1">
        <v>14.391786013197001</v>
      </c>
      <c r="BM16" s="1">
        <v>0.78151717891224204</v>
      </c>
      <c r="BN16" s="1">
        <v>14.391786013197001</v>
      </c>
      <c r="BO16" s="1">
        <v>1</v>
      </c>
      <c r="BP16" s="1">
        <v>655.78062359389196</v>
      </c>
      <c r="BQ16" s="1">
        <v>1</v>
      </c>
      <c r="BR16" s="1">
        <v>0.29527500000000001</v>
      </c>
    </row>
    <row r="17" spans="1:70">
      <c r="A17" s="2" t="s">
        <v>85</v>
      </c>
      <c r="B17" s="1">
        <v>13789520</v>
      </c>
      <c r="C17" s="1">
        <v>608.621106065763</v>
      </c>
      <c r="D17" s="1">
        <v>85.147893581579396</v>
      </c>
      <c r="E17" s="1">
        <v>624.86627494838604</v>
      </c>
      <c r="F17" s="1">
        <v>2643264.3898665099</v>
      </c>
      <c r="G17" s="1">
        <v>1562686.9740257801</v>
      </c>
      <c r="H17" s="1">
        <v>2.2019594042733499E-5</v>
      </c>
      <c r="I17" s="1">
        <v>7.2223252690249804E-5</v>
      </c>
      <c r="J17" s="1">
        <v>0.49112124879375701</v>
      </c>
      <c r="K17" s="1">
        <v>7679.7516396704104</v>
      </c>
      <c r="L17" s="1">
        <v>6.5036382888884496E-3</v>
      </c>
      <c r="M17" s="1">
        <v>16</v>
      </c>
      <c r="N17" s="1">
        <v>3403.56</v>
      </c>
      <c r="O17" s="3">
        <v>1.6417322322758899E-5</v>
      </c>
      <c r="P17" s="3">
        <v>1.4363361612212499E-2</v>
      </c>
      <c r="Q17" s="3">
        <v>4.5719999999999997E-3</v>
      </c>
      <c r="R17" s="1">
        <v>0.29527500000000001</v>
      </c>
      <c r="S17" s="4">
        <v>344955.48828125</v>
      </c>
      <c r="T17" s="1">
        <v>602.50136996683705</v>
      </c>
      <c r="U17" s="5">
        <v>605.91065192688598</v>
      </c>
      <c r="V17" s="1">
        <v>0.03</v>
      </c>
      <c r="W17" s="3">
        <v>215457.98257990601</v>
      </c>
      <c r="X17" s="1">
        <v>2.48435621330972E-2</v>
      </c>
      <c r="Y17" s="1">
        <v>6.3444366739096001</v>
      </c>
      <c r="Z17" s="1">
        <v>6.3444367045684302</v>
      </c>
      <c r="AA17" s="1">
        <v>-3.0658828364948898E-8</v>
      </c>
      <c r="AB17" s="1">
        <v>1.3556076460718E-5</v>
      </c>
      <c r="AC17" s="1">
        <v>612.70949154748303</v>
      </c>
      <c r="AD17" s="1">
        <v>6003.3620151630303</v>
      </c>
      <c r="AE17" s="1">
        <v>605.91065192688598</v>
      </c>
      <c r="AF17" s="6">
        <v>0</v>
      </c>
      <c r="AG17" s="1">
        <v>1.35614825847483E-5</v>
      </c>
      <c r="AH17" s="1">
        <v>57.570979105061902</v>
      </c>
      <c r="AI17" s="1">
        <v>0.303534642853448</v>
      </c>
      <c r="AJ17" s="1">
        <v>35.614387322210199</v>
      </c>
      <c r="AK17" s="1">
        <v>0.26297907405732901</v>
      </c>
      <c r="AL17" s="1">
        <v>1.1293680422758501</v>
      </c>
      <c r="AM17" s="1">
        <v>608.62110606487897</v>
      </c>
      <c r="AN17" s="1">
        <v>8.8425622379872896E-10</v>
      </c>
      <c r="AO17" s="1">
        <v>5.4061240302888001E-9</v>
      </c>
      <c r="AP17" s="1">
        <v>3.73041933663582</v>
      </c>
      <c r="AQ17" s="1">
        <v>3.9185641525545501E-5</v>
      </c>
      <c r="AR17" s="1">
        <v>6.78344435438927E-6</v>
      </c>
      <c r="AS17" s="1">
        <v>17.814292287450801</v>
      </c>
      <c r="AT17" s="1">
        <v>11.350005363067099</v>
      </c>
      <c r="AU17" s="1">
        <v>3.4451198242632901</v>
      </c>
      <c r="AV17" s="1">
        <v>0.28529951237252998</v>
      </c>
      <c r="AW17" s="1">
        <v>8.1500674603747492E-3</v>
      </c>
      <c r="AX17" s="1">
        <v>0.28529947748362</v>
      </c>
      <c r="AY17" s="1">
        <v>3.4888909983266103E-8</v>
      </c>
      <c r="AZ17" s="1">
        <v>1080577.4158407301</v>
      </c>
      <c r="BA17" s="1">
        <v>1.05043529934316E-5</v>
      </c>
      <c r="BB17" s="4">
        <v>347503.88956598903</v>
      </c>
      <c r="BC17" s="4">
        <v>2548.4012847386798</v>
      </c>
      <c r="BD17" s="7">
        <v>0.73876235378545596</v>
      </c>
      <c r="BE17" s="4">
        <v>1687925</v>
      </c>
      <c r="BF17" s="1">
        <v>0.205876380506236</v>
      </c>
      <c r="BG17" s="1">
        <v>1</v>
      </c>
      <c r="BH17" s="1">
        <v>7.9000000000000001E-2</v>
      </c>
      <c r="BI17" s="1">
        <v>4.5999999999999999E-2</v>
      </c>
      <c r="BJ17" s="1">
        <v>5625</v>
      </c>
      <c r="BK17" s="1">
        <v>1</v>
      </c>
      <c r="BL17" s="1">
        <v>6.1197360989259604</v>
      </c>
      <c r="BM17" s="1">
        <v>0.34750388956598899</v>
      </c>
      <c r="BN17" s="1">
        <v>6.1197360989259604</v>
      </c>
      <c r="BO17" s="1">
        <v>1</v>
      </c>
      <c r="BP17" s="1">
        <v>1147.8722820064199</v>
      </c>
      <c r="BQ17" s="1">
        <v>1</v>
      </c>
      <c r="BR17" s="1">
        <v>0.29527500000000001</v>
      </c>
    </row>
    <row r="18" spans="1:70">
      <c r="A18" s="2" t="s">
        <v>86</v>
      </c>
      <c r="B18" s="1">
        <v>13789520</v>
      </c>
      <c r="C18" s="1">
        <v>608.621106065763</v>
      </c>
      <c r="D18" s="1">
        <v>85.147893581579396</v>
      </c>
      <c r="E18" s="1">
        <v>624.86627494838604</v>
      </c>
      <c r="F18" s="1">
        <v>2643264.3898665099</v>
      </c>
      <c r="G18" s="1">
        <v>1562686.9740257801</v>
      </c>
      <c r="H18" s="1">
        <v>2.2019594042733499E-5</v>
      </c>
      <c r="I18" s="1">
        <v>7.2223252690249804E-5</v>
      </c>
      <c r="J18" s="1">
        <v>0.49112124879375701</v>
      </c>
      <c r="K18" s="1">
        <v>7679.7516396704104</v>
      </c>
      <c r="L18" s="1">
        <v>6.5036382888884496E-3</v>
      </c>
      <c r="M18" s="1">
        <v>17</v>
      </c>
      <c r="N18" s="1">
        <v>3403.56</v>
      </c>
      <c r="O18" s="3">
        <v>1.6417322322758899E-5</v>
      </c>
      <c r="P18" s="3">
        <v>1.4363361612212499E-2</v>
      </c>
      <c r="Q18" s="3">
        <v>4.5719999999999997E-3</v>
      </c>
      <c r="R18" s="1">
        <v>0.29527500000000001</v>
      </c>
      <c r="S18" s="4">
        <v>376168.39453125</v>
      </c>
      <c r="T18" s="1">
        <v>601.93187912108897</v>
      </c>
      <c r="U18" s="5">
        <v>605.64964609388301</v>
      </c>
      <c r="V18" s="1">
        <v>0.03</v>
      </c>
      <c r="W18" s="3">
        <v>215457.98257990601</v>
      </c>
      <c r="X18" s="1">
        <v>2.48435621330972E-2</v>
      </c>
      <c r="Y18" s="1">
        <v>6.3444366739096001</v>
      </c>
      <c r="Z18" s="1">
        <v>6.3444367045684302</v>
      </c>
      <c r="AA18" s="1">
        <v>-3.0658828364948898E-8</v>
      </c>
      <c r="AB18" s="1">
        <v>1.3556076460718E-5</v>
      </c>
      <c r="AC18" s="1">
        <v>613.10325357419902</v>
      </c>
      <c r="AD18" s="1">
        <v>6003.3620151630303</v>
      </c>
      <c r="AE18" s="1">
        <v>605.64964609388301</v>
      </c>
      <c r="AF18" s="6">
        <v>0</v>
      </c>
      <c r="AG18" s="1">
        <v>1.35619847661684E-5</v>
      </c>
      <c r="AH18" s="1">
        <v>57.570979105061902</v>
      </c>
      <c r="AI18" s="1">
        <v>0.303534642853448</v>
      </c>
      <c r="AJ18" s="1">
        <v>35.615706122237498</v>
      </c>
      <c r="AK18" s="1">
        <v>0.28830549078140699</v>
      </c>
      <c r="AL18" s="1">
        <v>1.1293680422758501</v>
      </c>
      <c r="AM18" s="1">
        <v>608.621106064792</v>
      </c>
      <c r="AN18" s="1">
        <v>9.7077190730487907E-10</v>
      </c>
      <c r="AO18" s="1">
        <v>5.9083054504209601E-9</v>
      </c>
      <c r="AP18" s="1">
        <v>3.7305237047783102</v>
      </c>
      <c r="AQ18" s="1">
        <v>3.9183448977939199E-5</v>
      </c>
      <c r="AR18" s="1">
        <v>6.7839465358093996E-6</v>
      </c>
      <c r="AS18" s="1">
        <v>17.8156110874781</v>
      </c>
      <c r="AT18" s="1">
        <v>11.3503755016032</v>
      </c>
      <c r="AU18" s="1">
        <v>3.4452321741316698</v>
      </c>
      <c r="AV18" s="1">
        <v>0.28529153064663998</v>
      </c>
      <c r="AW18" s="1">
        <v>8.1500674603747492E-3</v>
      </c>
      <c r="AX18" s="1">
        <v>0.28529149571514101</v>
      </c>
      <c r="AY18" s="1">
        <v>3.4931499359736098E-8</v>
      </c>
      <c r="AZ18" s="1">
        <v>1080577.4158407301</v>
      </c>
      <c r="BA18" s="1">
        <v>1.0503471383320901E-5</v>
      </c>
      <c r="BB18" s="4">
        <v>379815.824685967</v>
      </c>
      <c r="BC18" s="4">
        <v>3647.4301547165401</v>
      </c>
      <c r="BD18" s="7">
        <v>0.96962695636927798</v>
      </c>
      <c r="BE18" s="4">
        <v>1687925</v>
      </c>
      <c r="BF18" s="1">
        <v>0.22501937271263001</v>
      </c>
      <c r="BG18" s="1">
        <v>1</v>
      </c>
      <c r="BH18" s="1">
        <v>7.4999999999999997E-2</v>
      </c>
      <c r="BI18" s="1">
        <v>4.5999999999999999E-2</v>
      </c>
      <c r="BJ18" s="1">
        <v>5625</v>
      </c>
      <c r="BK18" s="1">
        <v>1</v>
      </c>
      <c r="BL18" s="1">
        <v>6.6892269446740302</v>
      </c>
      <c r="BM18" s="1">
        <v>0.37981582468596697</v>
      </c>
      <c r="BN18" s="1">
        <v>6.6892269446740302</v>
      </c>
      <c r="BO18" s="1">
        <v>1</v>
      </c>
      <c r="BP18" s="1">
        <v>1109.6076015434301</v>
      </c>
      <c r="BQ18" s="1">
        <v>1</v>
      </c>
      <c r="BR18" s="1">
        <v>0.29527500000000001</v>
      </c>
    </row>
    <row r="19" spans="1:70">
      <c r="A19" s="2" t="s">
        <v>87</v>
      </c>
      <c r="B19" s="1">
        <v>13789520</v>
      </c>
      <c r="C19" s="1">
        <v>608.621106065763</v>
      </c>
      <c r="D19" s="1">
        <v>85.147893581579396</v>
      </c>
      <c r="E19" s="1">
        <v>624.86627494838604</v>
      </c>
      <c r="F19" s="1">
        <v>2643264.3898665099</v>
      </c>
      <c r="G19" s="1">
        <v>1562686.9740257801</v>
      </c>
      <c r="H19" s="1">
        <v>2.2019594042733499E-5</v>
      </c>
      <c r="I19" s="1">
        <v>7.2223252690249804E-5</v>
      </c>
      <c r="J19" s="1">
        <v>0.49112124879375701</v>
      </c>
      <c r="K19" s="1">
        <v>7679.7516396704104</v>
      </c>
      <c r="L19" s="1">
        <v>6.5036382888884496E-3</v>
      </c>
      <c r="M19" s="1">
        <v>18</v>
      </c>
      <c r="N19" s="1">
        <v>3403.56</v>
      </c>
      <c r="O19" s="3">
        <v>1.6417322322758899E-5</v>
      </c>
      <c r="P19" s="3">
        <v>1.4363361612212499E-2</v>
      </c>
      <c r="Q19" s="3">
        <v>4.5719999999999997E-3</v>
      </c>
      <c r="R19" s="1">
        <v>0.29527500000000001</v>
      </c>
      <c r="S19" s="4">
        <v>699206.40234375</v>
      </c>
      <c r="T19" s="1">
        <v>595.90081561821296</v>
      </c>
      <c r="U19" s="5">
        <v>602.81124857215298</v>
      </c>
      <c r="V19" s="1">
        <v>0.03</v>
      </c>
      <c r="W19" s="3">
        <v>215457.98257990601</v>
      </c>
      <c r="X19" s="1">
        <v>2.48435621330972E-2</v>
      </c>
      <c r="Y19" s="1">
        <v>6.3444366739096001</v>
      </c>
      <c r="Z19" s="1">
        <v>6.3444367045684302</v>
      </c>
      <c r="AA19" s="1">
        <v>-3.0658828364948898E-8</v>
      </c>
      <c r="AB19" s="1">
        <v>1.3556076460718E-5</v>
      </c>
      <c r="AC19" s="1">
        <v>617.38597445283699</v>
      </c>
      <c r="AD19" s="1">
        <v>6003.3620151630303</v>
      </c>
      <c r="AE19" s="1">
        <v>602.81124874601301</v>
      </c>
      <c r="AF19" s="6">
        <v>1.73859689311939E-7</v>
      </c>
      <c r="AG19" s="1">
        <v>1.3566914820874E-5</v>
      </c>
      <c r="AH19" s="1">
        <v>57.570979105061902</v>
      </c>
      <c r="AI19" s="1">
        <v>0.303534642853448</v>
      </c>
      <c r="AJ19" s="1">
        <v>35.628653148988398</v>
      </c>
      <c r="AK19" s="1">
        <v>0.56375029930233</v>
      </c>
      <c r="AL19" s="1">
        <v>1.1293680422758501</v>
      </c>
      <c r="AM19" s="1">
        <v>608.62110606383999</v>
      </c>
      <c r="AN19" s="1">
        <v>1.9233539205743E-9</v>
      </c>
      <c r="AO19" s="1">
        <v>1.0838360156058401E-8</v>
      </c>
      <c r="AP19" s="1">
        <v>3.7315478972998002</v>
      </c>
      <c r="AQ19" s="1">
        <v>3.91619426812973E-5</v>
      </c>
      <c r="AR19" s="1">
        <v>6.7888765905150404E-6</v>
      </c>
      <c r="AS19" s="1">
        <v>17.828558114229001</v>
      </c>
      <c r="AT19" s="1">
        <v>11.3540078004084</v>
      </c>
      <c r="AU19" s="1">
        <v>3.44633470265223</v>
      </c>
      <c r="AV19" s="1">
        <v>0.28521319464756301</v>
      </c>
      <c r="AW19" s="1">
        <v>8.1500674603747492E-3</v>
      </c>
      <c r="AX19" s="1">
        <v>0.28521319217344798</v>
      </c>
      <c r="AY19" s="1">
        <v>2.47411496845373E-9</v>
      </c>
      <c r="AZ19" s="1">
        <v>1080577.4158407301</v>
      </c>
      <c r="BA19" s="1">
        <v>1.0494825139357199E-5</v>
      </c>
      <c r="BB19" s="4">
        <v>697318.75116664497</v>
      </c>
      <c r="BC19" s="4">
        <v>-1887.6511771047999</v>
      </c>
      <c r="BD19" s="7">
        <v>-0.26997052240616798</v>
      </c>
      <c r="BE19" s="4">
        <v>2665975</v>
      </c>
      <c r="BF19" s="1">
        <v>0.261562374428359</v>
      </c>
      <c r="BG19" s="1">
        <v>1</v>
      </c>
      <c r="BH19" s="1">
        <v>0.107</v>
      </c>
      <c r="BI19" s="1">
        <v>4.5999999999999999E-2</v>
      </c>
      <c r="BJ19" s="1">
        <v>5625</v>
      </c>
      <c r="BK19" s="1">
        <v>1</v>
      </c>
      <c r="BL19" s="1">
        <v>12.720290447549999</v>
      </c>
      <c r="BM19" s="1">
        <v>0.69731875116664499</v>
      </c>
      <c r="BN19" s="1">
        <v>12.720290447549999</v>
      </c>
      <c r="BO19" s="1">
        <v>1</v>
      </c>
      <c r="BP19" s="1">
        <v>744.182553266029</v>
      </c>
      <c r="BQ19" s="1">
        <v>1</v>
      </c>
      <c r="BR19" s="1">
        <v>0.29527500000000001</v>
      </c>
    </row>
    <row r="20" spans="1:70">
      <c r="A20" s="2" t="s">
        <v>88</v>
      </c>
      <c r="B20" s="1">
        <v>13789520</v>
      </c>
      <c r="C20" s="1">
        <v>608.621106065763</v>
      </c>
      <c r="D20" s="1">
        <v>85.147893581579396</v>
      </c>
      <c r="E20" s="1">
        <v>624.86627494838604</v>
      </c>
      <c r="F20" s="1">
        <v>2643264.3898665099</v>
      </c>
      <c r="G20" s="1">
        <v>1562686.9740257801</v>
      </c>
      <c r="H20" s="1">
        <v>2.2019594042733499E-5</v>
      </c>
      <c r="I20" s="1">
        <v>7.2223252690249804E-5</v>
      </c>
      <c r="J20" s="1">
        <v>0.49112124879375701</v>
      </c>
      <c r="K20" s="1">
        <v>7679.7516396704104</v>
      </c>
      <c r="L20" s="1">
        <v>6.5036382888884496E-3</v>
      </c>
      <c r="M20" s="1">
        <v>19</v>
      </c>
      <c r="N20" s="1">
        <v>3444.24</v>
      </c>
      <c r="O20" s="3">
        <v>1.6417322322758899E-5</v>
      </c>
      <c r="P20" s="3">
        <v>1.4363361612212499E-2</v>
      </c>
      <c r="Q20" s="3">
        <v>4.5719999999999997E-3</v>
      </c>
      <c r="R20" s="1">
        <v>0.29527500000000001</v>
      </c>
      <c r="S20" s="4">
        <v>822223.73046875</v>
      </c>
      <c r="T20" s="1">
        <v>593.67847141905202</v>
      </c>
      <c r="U20" s="5">
        <v>601.70873634397799</v>
      </c>
      <c r="V20" s="1">
        <v>0.03</v>
      </c>
      <c r="W20" s="3">
        <v>218033.177590821</v>
      </c>
      <c r="X20" s="1">
        <v>2.47226537432798E-2</v>
      </c>
      <c r="Y20" s="1">
        <v>6.3599317746615602</v>
      </c>
      <c r="Z20" s="1">
        <v>6.3599317991332303</v>
      </c>
      <c r="AA20" s="1">
        <v>-2.44716771291564E-8</v>
      </c>
      <c r="AB20" s="1">
        <v>1.3302485657419E-5</v>
      </c>
      <c r="AC20" s="1">
        <v>618.98645578676803</v>
      </c>
      <c r="AD20" s="1">
        <v>6060.3141614017104</v>
      </c>
      <c r="AE20" s="1">
        <v>601.70873634397799</v>
      </c>
      <c r="AF20" s="6">
        <v>0</v>
      </c>
      <c r="AG20" s="1">
        <v>1.33151351161184E-5</v>
      </c>
      <c r="AH20" s="1">
        <v>58.668478565985303</v>
      </c>
      <c r="AI20" s="1">
        <v>0.30641418756933098</v>
      </c>
      <c r="AJ20" s="1">
        <v>35.299169687309501</v>
      </c>
      <c r="AK20" s="1">
        <v>0.66768964101612804</v>
      </c>
      <c r="AL20" s="1">
        <v>1.1293680422758501</v>
      </c>
      <c r="AM20" s="1">
        <v>608.62110606489</v>
      </c>
      <c r="AN20" s="1">
        <v>8.7311491370201101E-10</v>
      </c>
      <c r="AO20" s="1">
        <v>1.2649458699391E-8</v>
      </c>
      <c r="AP20" s="1">
        <v>3.7514200928355299</v>
      </c>
      <c r="AQ20" s="1">
        <v>3.8748140699449801E-5</v>
      </c>
      <c r="AR20" s="1">
        <v>6.6638922874089004E-6</v>
      </c>
      <c r="AS20" s="1">
        <v>17.6663520557479</v>
      </c>
      <c r="AT20" s="1">
        <v>11.3083090828012</v>
      </c>
      <c r="AU20" s="1">
        <v>3.4650263403894099</v>
      </c>
      <c r="AV20" s="1">
        <v>0.28639375244612097</v>
      </c>
      <c r="AW20" s="1">
        <v>7.9976057831183597E-3</v>
      </c>
      <c r="AX20" s="1">
        <v>0.286393749207767</v>
      </c>
      <c r="AY20" s="1">
        <v>3.2383534187552202E-9</v>
      </c>
      <c r="AZ20" s="1">
        <v>1080577.4158407301</v>
      </c>
      <c r="BA20" s="1">
        <v>1.03289260441535E-5</v>
      </c>
      <c r="BB20" s="4">
        <v>826912.85947977495</v>
      </c>
      <c r="BC20" s="4">
        <v>4689.1290110253003</v>
      </c>
      <c r="BD20" s="7">
        <v>0.57029842818475096</v>
      </c>
      <c r="BE20" s="4">
        <v>2688060</v>
      </c>
      <c r="BF20" s="1">
        <v>0.30762440551169801</v>
      </c>
      <c r="BG20" s="1">
        <v>1</v>
      </c>
      <c r="BH20" s="1">
        <v>9.2999999999999999E-2</v>
      </c>
      <c r="BI20" s="1">
        <v>4.5999999999999999E-2</v>
      </c>
      <c r="BJ20" s="1">
        <v>5625</v>
      </c>
      <c r="BK20" s="1">
        <v>1</v>
      </c>
      <c r="BL20" s="1">
        <v>14.942634646710999</v>
      </c>
      <c r="BM20" s="1">
        <v>0.826912859479775</v>
      </c>
      <c r="BN20" s="1">
        <v>14.942634646710999</v>
      </c>
      <c r="BO20" s="1">
        <v>1</v>
      </c>
      <c r="BP20" s="1">
        <v>627.87155844820904</v>
      </c>
      <c r="BQ20" s="1">
        <v>1</v>
      </c>
      <c r="BR20" s="1">
        <v>0.29527500000000001</v>
      </c>
    </row>
    <row r="21" spans="1:70">
      <c r="A21" s="2" t="s">
        <v>89</v>
      </c>
      <c r="B21" s="1">
        <v>13789520</v>
      </c>
      <c r="C21" s="1">
        <v>608.621106065763</v>
      </c>
      <c r="D21" s="1">
        <v>85.147893581579396</v>
      </c>
      <c r="E21" s="1">
        <v>624.86627494838604</v>
      </c>
      <c r="F21" s="1">
        <v>2643264.3898665099</v>
      </c>
      <c r="G21" s="1">
        <v>1562686.9740257801</v>
      </c>
      <c r="H21" s="1">
        <v>2.2019594042733499E-5</v>
      </c>
      <c r="I21" s="1">
        <v>7.2223252690249804E-5</v>
      </c>
      <c r="J21" s="1">
        <v>0.49112124879375701</v>
      </c>
      <c r="K21" s="1">
        <v>7679.7516396704104</v>
      </c>
      <c r="L21" s="1">
        <v>6.5036382888884496E-3</v>
      </c>
      <c r="M21" s="1">
        <v>20</v>
      </c>
      <c r="N21" s="1">
        <v>3444.24</v>
      </c>
      <c r="O21" s="3">
        <v>1.6417322322758899E-5</v>
      </c>
      <c r="P21" s="3">
        <v>1.4363361612212499E-2</v>
      </c>
      <c r="Q21" s="3">
        <v>4.5719999999999997E-3</v>
      </c>
      <c r="R21" s="1">
        <v>0.29527500000000001</v>
      </c>
      <c r="S21" s="4">
        <v>851135.68359375</v>
      </c>
      <c r="T21" s="1">
        <v>593.12482744566205</v>
      </c>
      <c r="U21" s="5">
        <v>601.43746155368001</v>
      </c>
      <c r="V21" s="1">
        <v>0.03</v>
      </c>
      <c r="W21" s="3">
        <v>218033.177590821</v>
      </c>
      <c r="X21" s="1">
        <v>2.47226537432798E-2</v>
      </c>
      <c r="Y21" s="1">
        <v>6.3599317746615602</v>
      </c>
      <c r="Z21" s="1">
        <v>6.3599317991332303</v>
      </c>
      <c r="AA21" s="1">
        <v>-2.44716771291564E-8</v>
      </c>
      <c r="AB21" s="1">
        <v>1.3302485657419E-5</v>
      </c>
      <c r="AC21" s="1">
        <v>619.39337495326595</v>
      </c>
      <c r="AD21" s="1">
        <v>6060.3141614017104</v>
      </c>
      <c r="AE21" s="1">
        <v>601.43746155367899</v>
      </c>
      <c r="AF21" s="6">
        <v>0</v>
      </c>
      <c r="AG21" s="1">
        <v>1.3315542786301999E-5</v>
      </c>
      <c r="AH21" s="1">
        <v>58.668478565985303</v>
      </c>
      <c r="AI21" s="1">
        <v>0.30641418756933098</v>
      </c>
      <c r="AJ21" s="1">
        <v>35.300250443821703</v>
      </c>
      <c r="AK21" s="1">
        <v>0.69389813925295796</v>
      </c>
      <c r="AL21" s="1">
        <v>1.1293680422758501</v>
      </c>
      <c r="AM21" s="1">
        <v>608.62110606485396</v>
      </c>
      <c r="AN21" s="1">
        <v>9.0915364125976298E-10</v>
      </c>
      <c r="AO21" s="1">
        <v>1.3057128882975399E-8</v>
      </c>
      <c r="AP21" s="1">
        <v>3.7515071684818402</v>
      </c>
      <c r="AQ21" s="1">
        <v>3.8746341966254702E-5</v>
      </c>
      <c r="AR21" s="1">
        <v>6.6642999575924797E-6</v>
      </c>
      <c r="AS21" s="1">
        <v>17.667432812260099</v>
      </c>
      <c r="AT21" s="1">
        <v>11.308614953377001</v>
      </c>
      <c r="AU21" s="1">
        <v>3.4651200634734098</v>
      </c>
      <c r="AV21" s="1">
        <v>0.28638710500842401</v>
      </c>
      <c r="AW21" s="1">
        <v>7.9976057831183597E-3</v>
      </c>
      <c r="AX21" s="1">
        <v>0.28638710176723498</v>
      </c>
      <c r="AY21" s="1">
        <v>3.2411893169381801E-9</v>
      </c>
      <c r="AZ21" s="1">
        <v>1080577.4158407301</v>
      </c>
      <c r="BA21" s="1">
        <v>1.0328206831585099E-5</v>
      </c>
      <c r="BB21" s="4">
        <v>853622.26974826795</v>
      </c>
      <c r="BC21" s="4">
        <v>2486.5861545181801</v>
      </c>
      <c r="BD21" s="7">
        <v>0.29214920751754497</v>
      </c>
      <c r="BE21" s="4">
        <v>2722765</v>
      </c>
      <c r="BF21" s="1">
        <v>0.313513017005973</v>
      </c>
      <c r="BG21" s="1">
        <v>1</v>
      </c>
      <c r="BH21" s="1">
        <v>9.1999999999999998E-2</v>
      </c>
      <c r="BI21" s="1">
        <v>4.5999999999999999E-2</v>
      </c>
      <c r="BJ21" s="1">
        <v>5625</v>
      </c>
      <c r="BK21" s="1">
        <v>1</v>
      </c>
      <c r="BL21" s="1">
        <v>15.496278620101</v>
      </c>
      <c r="BM21" s="1">
        <v>0.85362226974826805</v>
      </c>
      <c r="BN21" s="1">
        <v>15.496278620101</v>
      </c>
      <c r="BO21" s="1">
        <v>1</v>
      </c>
      <c r="BP21" s="1">
        <v>600.43236146372203</v>
      </c>
      <c r="BQ21" s="1">
        <v>1</v>
      </c>
      <c r="BR21" s="1">
        <v>0.29527500000000001</v>
      </c>
    </row>
    <row r="22" spans="1:70">
      <c r="A22" s="2" t="s">
        <v>90</v>
      </c>
      <c r="B22" s="1">
        <v>13789520</v>
      </c>
      <c r="C22" s="1">
        <v>608.621106065763</v>
      </c>
      <c r="D22" s="1">
        <v>85.147893581579396</v>
      </c>
      <c r="E22" s="1">
        <v>624.86627494838604</v>
      </c>
      <c r="F22" s="1">
        <v>2643264.3898665099</v>
      </c>
      <c r="G22" s="1">
        <v>1562686.9740257801</v>
      </c>
      <c r="H22" s="1">
        <v>2.2019594042733499E-5</v>
      </c>
      <c r="I22" s="1">
        <v>7.2223252690249804E-5</v>
      </c>
      <c r="J22" s="1">
        <v>0.49112124879375701</v>
      </c>
      <c r="K22" s="1">
        <v>7679.7516396704104</v>
      </c>
      <c r="L22" s="1">
        <v>6.5036382888884496E-3</v>
      </c>
      <c r="M22" s="1">
        <v>21</v>
      </c>
      <c r="N22" s="1">
        <v>3444.24</v>
      </c>
      <c r="O22" s="3">
        <v>1.6417322322758899E-5</v>
      </c>
      <c r="P22" s="3">
        <v>1.4363361612212499E-2</v>
      </c>
      <c r="Q22" s="3">
        <v>4.5719999999999997E-3</v>
      </c>
      <c r="R22" s="1">
        <v>0.29527500000000001</v>
      </c>
      <c r="S22" s="4">
        <v>648098.73046875</v>
      </c>
      <c r="T22" s="1">
        <v>596.97613648179595</v>
      </c>
      <c r="U22" s="5">
        <v>603.30580602344901</v>
      </c>
      <c r="V22" s="1">
        <v>0.03</v>
      </c>
      <c r="W22" s="3">
        <v>218033.177590821</v>
      </c>
      <c r="X22" s="1">
        <v>2.47226537432798E-2</v>
      </c>
      <c r="Y22" s="1">
        <v>6.3599317746615602</v>
      </c>
      <c r="Z22" s="1">
        <v>6.3599317991332303</v>
      </c>
      <c r="AA22" s="1">
        <v>-2.44716771291564E-8</v>
      </c>
      <c r="AB22" s="1">
        <v>1.3302485657419E-5</v>
      </c>
      <c r="AC22" s="1">
        <v>616.59095143832201</v>
      </c>
      <c r="AD22" s="1">
        <v>6060.3141614017104</v>
      </c>
      <c r="AE22" s="1">
        <v>603.30580618935801</v>
      </c>
      <c r="AF22" s="6">
        <v>1.6590945506322899E-7</v>
      </c>
      <c r="AG22" s="1">
        <v>1.3312478914658601E-5</v>
      </c>
      <c r="AH22" s="1">
        <v>58.668478565985303</v>
      </c>
      <c r="AI22" s="1">
        <v>0.30641418756933098</v>
      </c>
      <c r="AJ22" s="1">
        <v>35.292127948323298</v>
      </c>
      <c r="AK22" s="1">
        <v>0.51339841994187996</v>
      </c>
      <c r="AL22" s="1">
        <v>1.1293680422758501</v>
      </c>
      <c r="AM22" s="1">
        <v>608.62110606509998</v>
      </c>
      <c r="AN22" s="1">
        <v>6.6324901126790802E-10</v>
      </c>
      <c r="AO22" s="1">
        <v>9.9932572395768202E-9</v>
      </c>
      <c r="AP22" s="1">
        <v>3.75085262239284</v>
      </c>
      <c r="AQ22" s="1">
        <v>3.8759866080367599E-5</v>
      </c>
      <c r="AR22" s="1">
        <v>6.6612360859490896E-6</v>
      </c>
      <c r="AS22" s="1">
        <v>17.659310316761701</v>
      </c>
      <c r="AT22" s="1">
        <v>11.306315705011</v>
      </c>
      <c r="AU22" s="1">
        <v>3.4644155411533299</v>
      </c>
      <c r="AV22" s="1">
        <v>0.28643708123951001</v>
      </c>
      <c r="AW22" s="1">
        <v>7.9976057831183597E-3</v>
      </c>
      <c r="AX22" s="1">
        <v>0.28643707801964202</v>
      </c>
      <c r="AY22" s="1">
        <v>3.2198676502836998E-9</v>
      </c>
      <c r="AZ22" s="1">
        <v>1080577.4158407301</v>
      </c>
      <c r="BA22" s="1">
        <v>1.0333614775736201E-5</v>
      </c>
      <c r="BB22" s="4">
        <v>652976.83051102399</v>
      </c>
      <c r="BC22" s="4">
        <v>4878.1000422741099</v>
      </c>
      <c r="BD22" s="7">
        <v>0.75267853691765796</v>
      </c>
      <c r="BE22" s="4">
        <v>2126470</v>
      </c>
      <c r="BF22" s="1">
        <v>0.30707079362089501</v>
      </c>
      <c r="BG22" s="1">
        <v>1</v>
      </c>
      <c r="BH22" s="1">
        <v>7.2999999999999995E-2</v>
      </c>
      <c r="BI22" s="1">
        <v>4.5999999999999999E-2</v>
      </c>
      <c r="BJ22" s="1">
        <v>5625</v>
      </c>
      <c r="BK22" s="1">
        <v>1</v>
      </c>
      <c r="BL22" s="1">
        <v>11.6449695839671</v>
      </c>
      <c r="BM22" s="1">
        <v>0.65297683051102395</v>
      </c>
      <c r="BN22" s="1">
        <v>11.6449695839671</v>
      </c>
      <c r="BO22" s="1">
        <v>1</v>
      </c>
      <c r="BP22" s="1">
        <v>804.00774989415402</v>
      </c>
      <c r="BQ22" s="1">
        <v>1</v>
      </c>
      <c r="BR22" s="1">
        <v>0.29527500000000001</v>
      </c>
    </row>
    <row r="23" spans="1:70">
      <c r="A23" s="2" t="s">
        <v>91</v>
      </c>
      <c r="B23" s="1">
        <v>13789520</v>
      </c>
      <c r="C23" s="1">
        <v>608.621106065763</v>
      </c>
      <c r="D23" s="1">
        <v>85.147893581579396</v>
      </c>
      <c r="E23" s="1">
        <v>624.86627494838604</v>
      </c>
      <c r="F23" s="1">
        <v>2643264.3898665099</v>
      </c>
      <c r="G23" s="1">
        <v>1562686.9740257801</v>
      </c>
      <c r="H23" s="1">
        <v>2.2019594042733499E-5</v>
      </c>
      <c r="I23" s="1">
        <v>7.2223252690249804E-5</v>
      </c>
      <c r="J23" s="1">
        <v>0.49112124879375701</v>
      </c>
      <c r="K23" s="1">
        <v>7679.7516396704104</v>
      </c>
      <c r="L23" s="1">
        <v>6.5036382888884496E-3</v>
      </c>
      <c r="M23" s="1">
        <v>22</v>
      </c>
      <c r="N23" s="1">
        <v>3444.24</v>
      </c>
      <c r="O23" s="3">
        <v>1.6417322322758899E-5</v>
      </c>
      <c r="P23" s="3">
        <v>1.4363361612212499E-2</v>
      </c>
      <c r="Q23" s="3">
        <v>4.5719999999999997E-3</v>
      </c>
      <c r="R23" s="1">
        <v>0.29527500000000001</v>
      </c>
      <c r="S23" s="4">
        <v>676646.38671875</v>
      </c>
      <c r="T23" s="1">
        <v>596.439958239725</v>
      </c>
      <c r="U23" s="5">
        <v>603.04843905156895</v>
      </c>
      <c r="V23" s="1">
        <v>0.03</v>
      </c>
      <c r="W23" s="3">
        <v>218033.177590821</v>
      </c>
      <c r="X23" s="1">
        <v>2.47226537432798E-2</v>
      </c>
      <c r="Y23" s="1">
        <v>6.3599317746615602</v>
      </c>
      <c r="Z23" s="1">
        <v>6.3599317991332303</v>
      </c>
      <c r="AA23" s="1">
        <v>-2.44716771291564E-8</v>
      </c>
      <c r="AB23" s="1">
        <v>1.3302485657419E-5</v>
      </c>
      <c r="AC23" s="1">
        <v>616.97692906150905</v>
      </c>
      <c r="AD23" s="1">
        <v>6060.3141614017104</v>
      </c>
      <c r="AE23" s="1">
        <v>603.04843905156895</v>
      </c>
      <c r="AF23" s="6">
        <v>0</v>
      </c>
      <c r="AG23" s="1">
        <v>1.33127846181364E-5</v>
      </c>
      <c r="AH23" s="1">
        <v>58.668478565985303</v>
      </c>
      <c r="AI23" s="1">
        <v>0.30641418756933098</v>
      </c>
      <c r="AJ23" s="1">
        <v>35.292938385381902</v>
      </c>
      <c r="AK23" s="1">
        <v>0.53826018679302101</v>
      </c>
      <c r="AL23" s="1">
        <v>1.1293680422758501</v>
      </c>
      <c r="AM23" s="1">
        <v>608.62110606506701</v>
      </c>
      <c r="AN23" s="1">
        <v>6.9644556788262E-10</v>
      </c>
      <c r="AO23" s="1">
        <v>1.02989607174168E-8</v>
      </c>
      <c r="AP23" s="1">
        <v>3.7509179437348701</v>
      </c>
      <c r="AQ23" s="1">
        <v>3.8758516104462197E-5</v>
      </c>
      <c r="AR23" s="1">
        <v>6.6615417894269304E-6</v>
      </c>
      <c r="AS23" s="1">
        <v>17.660120753820301</v>
      </c>
      <c r="AT23" s="1">
        <v>11.306545164273</v>
      </c>
      <c r="AU23" s="1">
        <v>3.46448585072668</v>
      </c>
      <c r="AV23" s="1">
        <v>0.286432093008195</v>
      </c>
      <c r="AW23" s="1">
        <v>7.9976057831183597E-3</v>
      </c>
      <c r="AX23" s="1">
        <v>0.286432089786196</v>
      </c>
      <c r="AY23" s="1">
        <v>3.22199972258019E-9</v>
      </c>
      <c r="AZ23" s="1">
        <v>1080577.4158407301</v>
      </c>
      <c r="BA23" s="1">
        <v>1.0333074912822399E-5</v>
      </c>
      <c r="BB23" s="4">
        <v>672987.18723393895</v>
      </c>
      <c r="BC23" s="4">
        <v>-3659.1994848111599</v>
      </c>
      <c r="BD23" s="7">
        <v>-0.54078460428284503</v>
      </c>
      <c r="BE23" s="4">
        <v>2148555</v>
      </c>
      <c r="BF23" s="1">
        <v>0.31322781461677202</v>
      </c>
      <c r="BG23" s="1">
        <v>1</v>
      </c>
      <c r="BH23" s="1">
        <v>7.1999999999999995E-2</v>
      </c>
      <c r="BI23" s="1">
        <v>4.5999999999999999E-2</v>
      </c>
      <c r="BJ23" s="1">
        <v>5625</v>
      </c>
      <c r="BK23" s="1">
        <v>1</v>
      </c>
      <c r="BL23" s="1">
        <v>12.181147826038</v>
      </c>
      <c r="BM23" s="1">
        <v>0.67298718723393902</v>
      </c>
      <c r="BN23" s="1">
        <v>12.181147826038</v>
      </c>
      <c r="BO23" s="1">
        <v>1</v>
      </c>
      <c r="BP23" s="1">
        <v>773.88853627674996</v>
      </c>
      <c r="BQ23" s="1">
        <v>1</v>
      </c>
      <c r="BR23" s="1">
        <v>0.29527500000000001</v>
      </c>
    </row>
    <row r="24" spans="1:70">
      <c r="A24" s="2" t="s">
        <v>92</v>
      </c>
      <c r="B24" s="1">
        <v>13789520</v>
      </c>
      <c r="C24" s="1">
        <v>608.621106065763</v>
      </c>
      <c r="D24" s="1">
        <v>85.147893581579396</v>
      </c>
      <c r="E24" s="1">
        <v>624.86627494838604</v>
      </c>
      <c r="F24" s="1">
        <v>2643264.3898665099</v>
      </c>
      <c r="G24" s="1">
        <v>1562686.9740257801</v>
      </c>
      <c r="H24" s="1">
        <v>2.2019594042733499E-5</v>
      </c>
      <c r="I24" s="1">
        <v>7.2223252690249804E-5</v>
      </c>
      <c r="J24" s="1">
        <v>0.49112124879375701</v>
      </c>
      <c r="K24" s="1">
        <v>7679.7516396704104</v>
      </c>
      <c r="L24" s="1">
        <v>6.5036382888884496E-3</v>
      </c>
      <c r="M24" s="1">
        <v>23</v>
      </c>
      <c r="N24" s="1">
        <v>3444.24</v>
      </c>
      <c r="O24" s="3">
        <v>1.6417322322758899E-5</v>
      </c>
      <c r="P24" s="3">
        <v>1.4363361612212499E-2</v>
      </c>
      <c r="Q24" s="3">
        <v>4.5719999999999997E-3</v>
      </c>
      <c r="R24" s="1">
        <v>0.29527500000000001</v>
      </c>
      <c r="S24" s="4">
        <v>705256.64171875</v>
      </c>
      <c r="T24" s="1">
        <v>595.90081561821296</v>
      </c>
      <c r="U24" s="5">
        <v>602.78871907222401</v>
      </c>
      <c r="V24" s="1">
        <v>0.03</v>
      </c>
      <c r="W24" s="3">
        <v>218033.177590821</v>
      </c>
      <c r="X24" s="1">
        <v>2.47226537432798E-2</v>
      </c>
      <c r="Y24" s="1">
        <v>6.3599317746615602</v>
      </c>
      <c r="Z24" s="1">
        <v>6.3599317991332303</v>
      </c>
      <c r="AA24" s="1">
        <v>-2.44716771291564E-8</v>
      </c>
      <c r="AB24" s="1">
        <v>1.3302485657419E-5</v>
      </c>
      <c r="AC24" s="1">
        <v>617.36647409557099</v>
      </c>
      <c r="AD24" s="1">
        <v>6060.3141614017104</v>
      </c>
      <c r="AE24" s="1">
        <v>602.78871907222401</v>
      </c>
      <c r="AF24" s="6">
        <v>0</v>
      </c>
      <c r="AG24" s="1">
        <v>1.33132125723476E-5</v>
      </c>
      <c r="AH24" s="1">
        <v>58.668478565985303</v>
      </c>
      <c r="AI24" s="1">
        <v>0.30641418756933098</v>
      </c>
      <c r="AJ24" s="1">
        <v>35.294072915988401</v>
      </c>
      <c r="AK24" s="1">
        <v>0.56335073911745304</v>
      </c>
      <c r="AL24" s="1">
        <v>1.1293680422758501</v>
      </c>
      <c r="AM24" s="1">
        <v>608.62110606503302</v>
      </c>
      <c r="AN24" s="1">
        <v>7.3021055868593997E-10</v>
      </c>
      <c r="AO24" s="1">
        <v>1.07269149286054E-8</v>
      </c>
      <c r="AP24" s="1">
        <v>3.7510093822986899</v>
      </c>
      <c r="AQ24" s="1">
        <v>3.8756626490499302E-5</v>
      </c>
      <c r="AR24" s="1">
        <v>6.6619697436381097E-6</v>
      </c>
      <c r="AS24" s="1">
        <v>17.661255284426801</v>
      </c>
      <c r="AT24" s="1">
        <v>11.306866366540399</v>
      </c>
      <c r="AU24" s="1">
        <v>3.4645842716584698</v>
      </c>
      <c r="AV24" s="1">
        <v>0.28642511064022103</v>
      </c>
      <c r="AW24" s="1">
        <v>7.9976057831183597E-3</v>
      </c>
      <c r="AX24" s="1">
        <v>0.28642510741525201</v>
      </c>
      <c r="AY24" s="1">
        <v>3.2249691805930099E-9</v>
      </c>
      <c r="AZ24" s="1">
        <v>1080577.4158407301</v>
      </c>
      <c r="BA24" s="1">
        <v>1.0332319261422001E-5</v>
      </c>
      <c r="BB24" s="4">
        <v>701003.18554490397</v>
      </c>
      <c r="BC24" s="4">
        <v>-4253.4561738461498</v>
      </c>
      <c r="BD24" s="7">
        <v>-0.60310756712339997</v>
      </c>
      <c r="BE24" s="4">
        <v>2148555</v>
      </c>
      <c r="BF24" s="1">
        <v>0.32626727523610199</v>
      </c>
      <c r="BG24" s="1">
        <v>1</v>
      </c>
      <c r="BH24" s="1">
        <v>6.8000000000000005E-2</v>
      </c>
      <c r="BI24" s="1">
        <v>4.5999999999999999E-2</v>
      </c>
      <c r="BJ24" s="1">
        <v>5625</v>
      </c>
      <c r="BK24" s="1">
        <v>1</v>
      </c>
      <c r="BL24" s="1">
        <v>12.720290447549999</v>
      </c>
      <c r="BM24" s="1">
        <v>0.70100318554490404</v>
      </c>
      <c r="BN24" s="1">
        <v>12.720290447549999</v>
      </c>
      <c r="BO24" s="1">
        <v>1</v>
      </c>
      <c r="BP24" s="1">
        <v>744.182553266029</v>
      </c>
      <c r="BQ24" s="1">
        <v>1</v>
      </c>
      <c r="BR24" s="1">
        <v>0.29527500000000001</v>
      </c>
    </row>
    <row r="25" spans="1:70">
      <c r="A25" s="2" t="s">
        <v>93</v>
      </c>
      <c r="B25" s="1">
        <v>13789520</v>
      </c>
      <c r="C25" s="1">
        <v>608.621106065763</v>
      </c>
      <c r="D25" s="1">
        <v>85.147893581579396</v>
      </c>
      <c r="E25" s="1">
        <v>624.86627494838604</v>
      </c>
      <c r="F25" s="1">
        <v>2643264.3898665099</v>
      </c>
      <c r="G25" s="1">
        <v>1562686.9740257801</v>
      </c>
      <c r="H25" s="1">
        <v>2.2019594042733499E-5</v>
      </c>
      <c r="I25" s="1">
        <v>7.2223252690249804E-5</v>
      </c>
      <c r="J25" s="1">
        <v>0.49112124879375701</v>
      </c>
      <c r="K25" s="1">
        <v>7679.7516396704104</v>
      </c>
      <c r="L25" s="1">
        <v>6.5036382888884496E-3</v>
      </c>
      <c r="M25" s="1">
        <v>24</v>
      </c>
      <c r="N25" s="1">
        <v>3484.92</v>
      </c>
      <c r="O25" s="3">
        <v>1.6417322322758899E-5</v>
      </c>
      <c r="P25" s="3">
        <v>1.4363361612212499E-2</v>
      </c>
      <c r="Q25" s="3">
        <v>4.5719999999999997E-3</v>
      </c>
      <c r="R25" s="1">
        <v>0.29527500000000001</v>
      </c>
      <c r="S25" s="4">
        <v>1232276.9239062499</v>
      </c>
      <c r="T25" s="1">
        <v>585.88293483903703</v>
      </c>
      <c r="U25" s="5">
        <v>597.77750563002496</v>
      </c>
      <c r="V25" s="1">
        <v>0.03</v>
      </c>
      <c r="W25" s="3">
        <v>220608.37260173599</v>
      </c>
      <c r="X25" s="1">
        <v>2.46040175636443E-2</v>
      </c>
      <c r="Y25" s="1">
        <v>6.3752465632928796</v>
      </c>
      <c r="Z25" s="1">
        <v>6.37524658222552</v>
      </c>
      <c r="AA25" s="1">
        <v>-1.8932640344360198E-8</v>
      </c>
      <c r="AB25" s="1">
        <v>1.30563878868422E-5</v>
      </c>
      <c r="AC25" s="1">
        <v>624.78705217099798</v>
      </c>
      <c r="AD25" s="1">
        <v>6117.1624777381203</v>
      </c>
      <c r="AE25" s="1">
        <v>597.77750587789603</v>
      </c>
      <c r="AF25" s="6">
        <v>2.4787038910289999E-7</v>
      </c>
      <c r="AG25" s="1">
        <v>1.3074988116776201E-5</v>
      </c>
      <c r="AH25" s="1">
        <v>59.7743113509297</v>
      </c>
      <c r="AI25" s="1">
        <v>0.30928848256476998</v>
      </c>
      <c r="AJ25" s="1">
        <v>34.9876757238913</v>
      </c>
      <c r="AK25" s="1">
        <v>1.0428267210970401</v>
      </c>
      <c r="AL25" s="1">
        <v>1.1293680422758501</v>
      </c>
      <c r="AM25" s="1">
        <v>608.62110606167903</v>
      </c>
      <c r="AN25" s="1">
        <v>4.0840859583113301E-9</v>
      </c>
      <c r="AO25" s="1">
        <v>1.8600229934020701E-8</v>
      </c>
      <c r="AP25" s="1">
        <v>3.77205179622996</v>
      </c>
      <c r="AQ25" s="1">
        <v>3.8325424432158503E-5</v>
      </c>
      <c r="AR25" s="1">
        <v>6.5467941733551402E-6</v>
      </c>
      <c r="AS25" s="1">
        <v>17.5187242636582</v>
      </c>
      <c r="AT25" s="1">
        <v>11.2663513342789</v>
      </c>
      <c r="AU25" s="1">
        <v>3.4845527082207099</v>
      </c>
      <c r="AV25" s="1">
        <v>0.287499088009253</v>
      </c>
      <c r="AW25" s="1">
        <v>7.8496490024185205E-3</v>
      </c>
      <c r="AX25" s="1">
        <v>0.287499083888064</v>
      </c>
      <c r="AY25" s="1">
        <v>4.1211896673054599E-9</v>
      </c>
      <c r="AZ25" s="1">
        <v>1080577.4158407301</v>
      </c>
      <c r="BA25" s="1">
        <v>1.01603653667915E-5</v>
      </c>
      <c r="BB25" s="4">
        <v>1236095.3131056</v>
      </c>
      <c r="BC25" s="4">
        <v>3818.3891993544498</v>
      </c>
      <c r="BD25" s="7">
        <v>0.30986453817948401</v>
      </c>
      <c r="BE25" s="4">
        <v>3139225</v>
      </c>
      <c r="BF25" s="1">
        <v>0.39375811326222399</v>
      </c>
      <c r="BG25" s="1">
        <v>1</v>
      </c>
      <c r="BH25" s="1">
        <v>7.6999999999999999E-2</v>
      </c>
      <c r="BI25" s="1">
        <v>4.5999999999999999E-2</v>
      </c>
      <c r="BJ25" s="1">
        <v>5625</v>
      </c>
      <c r="BK25" s="1">
        <v>1</v>
      </c>
      <c r="BL25" s="1">
        <v>22.738171226725999</v>
      </c>
      <c r="BM25" s="1">
        <v>1.2360953131056001</v>
      </c>
      <c r="BN25" s="1">
        <v>22.738171226725999</v>
      </c>
      <c r="BO25" s="1">
        <v>1</v>
      </c>
      <c r="BP25" s="1">
        <v>297.97073259783099</v>
      </c>
      <c r="BQ25" s="1">
        <v>1</v>
      </c>
      <c r="BR25" s="1">
        <v>0.29527500000000001</v>
      </c>
    </row>
    <row r="26" spans="1:70">
      <c r="A26" s="2" t="s">
        <v>94</v>
      </c>
      <c r="B26" s="1">
        <v>13789520</v>
      </c>
      <c r="C26" s="1">
        <v>608.621106065763</v>
      </c>
      <c r="D26" s="1">
        <v>85.147893581579396</v>
      </c>
      <c r="E26" s="1">
        <v>624.86627494838604</v>
      </c>
      <c r="F26" s="1">
        <v>2643264.3898665099</v>
      </c>
      <c r="G26" s="1">
        <v>1562686.9740257801</v>
      </c>
      <c r="H26" s="1">
        <v>2.2019594042733499E-5</v>
      </c>
      <c r="I26" s="1">
        <v>7.2223252690249804E-5</v>
      </c>
      <c r="J26" s="1">
        <v>0.49112124879375701</v>
      </c>
      <c r="K26" s="1">
        <v>7679.7516396704104</v>
      </c>
      <c r="L26" s="1">
        <v>6.5036382888884496E-3</v>
      </c>
      <c r="M26" s="1">
        <v>25</v>
      </c>
      <c r="N26" s="1">
        <v>3484.92</v>
      </c>
      <c r="O26" s="3">
        <v>1.6417322322758899E-5</v>
      </c>
      <c r="P26" s="3">
        <v>1.4363361612212499E-2</v>
      </c>
      <c r="Q26" s="3">
        <v>4.5719999999999997E-3</v>
      </c>
      <c r="R26" s="1">
        <v>0.29527500000000001</v>
      </c>
      <c r="S26" s="4">
        <v>1288034.69921875</v>
      </c>
      <c r="T26" s="1">
        <v>584.781818283598</v>
      </c>
      <c r="U26" s="5">
        <v>597.21459180543002</v>
      </c>
      <c r="V26" s="1">
        <v>0.03</v>
      </c>
      <c r="W26" s="3">
        <v>220608.37260173599</v>
      </c>
      <c r="X26" s="1">
        <v>2.46040175636443E-2</v>
      </c>
      <c r="Y26" s="1">
        <v>6.3752465632928796</v>
      </c>
      <c r="Z26" s="1">
        <v>6.37524658222552</v>
      </c>
      <c r="AA26" s="1">
        <v>-1.8932640344360198E-8</v>
      </c>
      <c r="AB26" s="1">
        <v>1.30563878868422E-5</v>
      </c>
      <c r="AC26" s="1">
        <v>625.62664751397904</v>
      </c>
      <c r="AD26" s="1">
        <v>6117.1624777381203</v>
      </c>
      <c r="AE26" s="1">
        <v>597.21459180543002</v>
      </c>
      <c r="AF26" s="6">
        <v>0</v>
      </c>
      <c r="AG26" s="1">
        <v>1.3075729096402101E-5</v>
      </c>
      <c r="AH26" s="1">
        <v>59.7743113509297</v>
      </c>
      <c r="AI26" s="1">
        <v>0.30928848256476998</v>
      </c>
      <c r="AJ26" s="1">
        <v>34.989658529124803</v>
      </c>
      <c r="AK26" s="1">
        <v>1.0969769937135101</v>
      </c>
      <c r="AL26" s="1">
        <v>1.1293680422758501</v>
      </c>
      <c r="AM26" s="1">
        <v>608.62110606144597</v>
      </c>
      <c r="AN26" s="1">
        <v>4.3169166019651997E-9</v>
      </c>
      <c r="AO26" s="1">
        <v>1.9341209559858101E-8</v>
      </c>
      <c r="AP26" s="1">
        <v>3.77221442139657</v>
      </c>
      <c r="AQ26" s="1">
        <v>3.8322119983636697E-5</v>
      </c>
      <c r="AR26" s="1">
        <v>6.5475351529809701E-6</v>
      </c>
      <c r="AS26" s="1">
        <v>17.520707068891699</v>
      </c>
      <c r="AT26" s="1">
        <v>11.266917212536701</v>
      </c>
      <c r="AU26" s="1">
        <v>3.4847277278483801</v>
      </c>
      <c r="AV26" s="1">
        <v>0.287486693548195</v>
      </c>
      <c r="AW26" s="1">
        <v>7.8496490024185205E-3</v>
      </c>
      <c r="AX26" s="1">
        <v>0.28748668942126099</v>
      </c>
      <c r="AY26" s="1">
        <v>4.1269339612348696E-9</v>
      </c>
      <c r="AZ26" s="1">
        <v>1080577.4158407301</v>
      </c>
      <c r="BA26" s="1">
        <v>1.01590513429639E-5</v>
      </c>
      <c r="BB26" s="4">
        <v>1285504.0448652401</v>
      </c>
      <c r="BC26" s="4">
        <v>-2530.65435351408</v>
      </c>
      <c r="BD26" s="7">
        <v>-0.196474082184978</v>
      </c>
      <c r="BE26" s="4">
        <v>3123450</v>
      </c>
      <c r="BF26" s="1">
        <v>0.41156543081055802</v>
      </c>
      <c r="BG26" s="1">
        <v>1</v>
      </c>
      <c r="BH26" s="1">
        <v>7.0000000000000007E-2</v>
      </c>
      <c r="BI26" s="1">
        <v>4.5999999999999999E-2</v>
      </c>
      <c r="BJ26" s="1">
        <v>5625</v>
      </c>
      <c r="BK26" s="1">
        <v>1</v>
      </c>
      <c r="BL26" s="1">
        <v>23.839287782165002</v>
      </c>
      <c r="BM26" s="1">
        <v>1.2855040448652399</v>
      </c>
      <c r="BN26" s="1">
        <v>23.839287782165002</v>
      </c>
      <c r="BO26" s="1">
        <v>1</v>
      </c>
      <c r="BP26" s="1">
        <v>261.16861938768102</v>
      </c>
      <c r="BQ26" s="1">
        <v>1</v>
      </c>
      <c r="BR26" s="1">
        <v>0.29527500000000001</v>
      </c>
    </row>
    <row r="27" spans="1:70">
      <c r="A27" s="2" t="s">
        <v>95</v>
      </c>
      <c r="B27" s="1">
        <v>13789520</v>
      </c>
      <c r="C27" s="1">
        <v>608.621106065763</v>
      </c>
      <c r="D27" s="1">
        <v>85.147893581579396</v>
      </c>
      <c r="E27" s="1">
        <v>624.86627494838604</v>
      </c>
      <c r="F27" s="1">
        <v>2643264.3898665099</v>
      </c>
      <c r="G27" s="1">
        <v>1562686.9740257801</v>
      </c>
      <c r="H27" s="1">
        <v>2.2019594042733499E-5</v>
      </c>
      <c r="I27" s="1">
        <v>7.2223252690249804E-5</v>
      </c>
      <c r="J27" s="1">
        <v>0.49112124879375701</v>
      </c>
      <c r="K27" s="1">
        <v>7679.7516396704104</v>
      </c>
      <c r="L27" s="1">
        <v>6.5036382888884496E-3</v>
      </c>
      <c r="M27" s="1">
        <v>26</v>
      </c>
      <c r="N27" s="1">
        <v>3484.92</v>
      </c>
      <c r="O27" s="3">
        <v>1.6417322322758899E-5</v>
      </c>
      <c r="P27" s="3">
        <v>1.4363361612212499E-2</v>
      </c>
      <c r="Q27" s="3">
        <v>4.5719999999999997E-3</v>
      </c>
      <c r="R27" s="1">
        <v>0.29527500000000001</v>
      </c>
      <c r="S27" s="4">
        <v>1316005.89359375</v>
      </c>
      <c r="T27" s="1">
        <v>584.22817624184802</v>
      </c>
      <c r="U27" s="5">
        <v>596.93094212103699</v>
      </c>
      <c r="V27" s="1">
        <v>0.03</v>
      </c>
      <c r="W27" s="3">
        <v>220608.37260173599</v>
      </c>
      <c r="X27" s="1">
        <v>2.46040175636443E-2</v>
      </c>
      <c r="Y27" s="1">
        <v>6.3752465632928796</v>
      </c>
      <c r="Z27" s="1">
        <v>6.37524658222552</v>
      </c>
      <c r="AA27" s="1">
        <v>-1.8932640344360198E-8</v>
      </c>
      <c r="AB27" s="1">
        <v>1.30563878868422E-5</v>
      </c>
      <c r="AC27" s="1">
        <v>626.04983555202102</v>
      </c>
      <c r="AD27" s="1">
        <v>6117.1624777381203</v>
      </c>
      <c r="AE27" s="1">
        <v>596.93094212103699</v>
      </c>
      <c r="AF27" s="6">
        <v>0</v>
      </c>
      <c r="AG27" s="1">
        <v>1.3076299565301699E-5</v>
      </c>
      <c r="AH27" s="1">
        <v>59.7743113509297</v>
      </c>
      <c r="AI27" s="1">
        <v>0.30928848256476998</v>
      </c>
      <c r="AJ27" s="1">
        <v>34.991185060597999</v>
      </c>
      <c r="AK27" s="1">
        <v>1.12426768776796</v>
      </c>
      <c r="AL27" s="1">
        <v>1.1293680422758501</v>
      </c>
      <c r="AM27" s="1">
        <v>608.62110606132205</v>
      </c>
      <c r="AN27" s="1">
        <v>4.4407215682440396E-9</v>
      </c>
      <c r="AO27" s="1">
        <v>1.99116784595109E-8</v>
      </c>
      <c r="AP27" s="1">
        <v>3.7723396121672499</v>
      </c>
      <c r="AQ27" s="1">
        <v>3.83195764713231E-5</v>
      </c>
      <c r="AR27" s="1">
        <v>6.5481056218806297E-6</v>
      </c>
      <c r="AS27" s="1">
        <v>17.522233600364899</v>
      </c>
      <c r="AT27" s="1">
        <v>11.267352829937799</v>
      </c>
      <c r="AU27" s="1">
        <v>3.4848624592933399</v>
      </c>
      <c r="AV27" s="1">
        <v>0.28747715287390702</v>
      </c>
      <c r="AW27" s="1">
        <v>7.8496490024185205E-3</v>
      </c>
      <c r="AX27" s="1">
        <v>0.28747714874255498</v>
      </c>
      <c r="AY27" s="1">
        <v>4.1313522047836704E-9</v>
      </c>
      <c r="AZ27" s="1">
        <v>1080577.4158407301</v>
      </c>
      <c r="BA27" s="1">
        <v>1.01580399462783E-5</v>
      </c>
      <c r="BB27" s="4">
        <v>1323551.74939697</v>
      </c>
      <c r="BC27" s="4">
        <v>7545.8558032210003</v>
      </c>
      <c r="BD27" s="7">
        <v>0.57339073023562004</v>
      </c>
      <c r="BE27" s="4">
        <v>3155000</v>
      </c>
      <c r="BF27" s="1">
        <v>0.41950927080728101</v>
      </c>
      <c r="BG27" s="1">
        <v>1</v>
      </c>
      <c r="BH27" s="1">
        <v>6.9000000000000006E-2</v>
      </c>
      <c r="BI27" s="1">
        <v>4.5999999999999999E-2</v>
      </c>
      <c r="BJ27" s="1">
        <v>5625</v>
      </c>
      <c r="BK27" s="1">
        <v>1</v>
      </c>
      <c r="BL27" s="1">
        <v>24.392929823915001</v>
      </c>
      <c r="BM27" s="1">
        <v>1.32355174939697</v>
      </c>
      <c r="BN27" s="1">
        <v>24.392929823915001</v>
      </c>
      <c r="BO27" s="1">
        <v>1</v>
      </c>
      <c r="BP27" s="1">
        <v>243.580639481242</v>
      </c>
      <c r="BQ27" s="1">
        <v>1</v>
      </c>
      <c r="BR27" s="1">
        <v>0.29527500000000001</v>
      </c>
    </row>
    <row r="28" spans="1:70">
      <c r="A28" s="2" t="s">
        <v>96</v>
      </c>
      <c r="B28" s="1">
        <v>13789520</v>
      </c>
      <c r="C28" s="1">
        <v>608.621106065763</v>
      </c>
      <c r="D28" s="1">
        <v>85.147893581579396</v>
      </c>
      <c r="E28" s="1">
        <v>624.86627494838604</v>
      </c>
      <c r="F28" s="1">
        <v>2643264.3898665099</v>
      </c>
      <c r="G28" s="1">
        <v>1562686.9740257801</v>
      </c>
      <c r="H28" s="1">
        <v>2.2019594042733499E-5</v>
      </c>
      <c r="I28" s="1">
        <v>7.2223252690249804E-5</v>
      </c>
      <c r="J28" s="1">
        <v>0.49112124879375701</v>
      </c>
      <c r="K28" s="1">
        <v>7679.7516396704104</v>
      </c>
      <c r="L28" s="1">
        <v>6.5036382888884496E-3</v>
      </c>
      <c r="M28" s="1">
        <v>27</v>
      </c>
      <c r="N28" s="1">
        <v>3525.6</v>
      </c>
      <c r="O28" s="3">
        <v>1.6417322322758899E-5</v>
      </c>
      <c r="P28" s="3">
        <v>1.4363361612212499E-2</v>
      </c>
      <c r="Q28" s="3">
        <v>4.5719999999999997E-3</v>
      </c>
      <c r="R28" s="1">
        <v>0.29527500000000001</v>
      </c>
      <c r="S28" s="4">
        <v>1298728.41796875</v>
      </c>
      <c r="T28" s="1">
        <v>584.781818283598</v>
      </c>
      <c r="U28" s="5">
        <v>597.17316698618095</v>
      </c>
      <c r="V28" s="1">
        <v>0.03</v>
      </c>
      <c r="W28" s="3">
        <v>223183.567612652</v>
      </c>
      <c r="X28" s="1">
        <v>2.44875838519109E-2</v>
      </c>
      <c r="Y28" s="1">
        <v>6.3903851198577204</v>
      </c>
      <c r="Z28" s="1">
        <v>6.3903851340290903</v>
      </c>
      <c r="AA28" s="1">
        <v>-1.41713742962679E-8</v>
      </c>
      <c r="AB28" s="1">
        <v>1.2817481132582999E-5</v>
      </c>
      <c r="AC28" s="1">
        <v>625.58754870936298</v>
      </c>
      <c r="AD28" s="1">
        <v>6173.9085809520902</v>
      </c>
      <c r="AE28" s="1">
        <v>597.17316698618095</v>
      </c>
      <c r="AF28" s="6">
        <v>0</v>
      </c>
      <c r="AG28" s="1">
        <v>1.2836583009507799E-5</v>
      </c>
      <c r="AH28" s="1">
        <v>60.888452777409299</v>
      </c>
      <c r="AI28" s="1">
        <v>0.312157609585409</v>
      </c>
      <c r="AJ28" s="1">
        <v>34.668368325679701</v>
      </c>
      <c r="AK28" s="1">
        <v>1.09608545893668</v>
      </c>
      <c r="AL28" s="1">
        <v>1.1293680422758501</v>
      </c>
      <c r="AM28" s="1">
        <v>608.62110605918997</v>
      </c>
      <c r="AN28" s="1">
        <v>6.5732592702261197E-9</v>
      </c>
      <c r="AO28" s="1">
        <v>1.91018769247592E-8</v>
      </c>
      <c r="AP28" s="1">
        <v>3.7913582875847802</v>
      </c>
      <c r="AQ28" s="1">
        <v>3.7936094027743203E-5</v>
      </c>
      <c r="AR28" s="1">
        <v>6.4278424432162598E-6</v>
      </c>
      <c r="AS28" s="1">
        <v>17.359978835162199</v>
      </c>
      <c r="AT28" s="1">
        <v>11.220837450293899</v>
      </c>
      <c r="AU28" s="1">
        <v>3.5026697960301698</v>
      </c>
      <c r="AV28" s="1">
        <v>0.28868849155461002</v>
      </c>
      <c r="AW28" s="1">
        <v>7.7060155425753198E-3</v>
      </c>
      <c r="AX28" s="1">
        <v>0.28868848650059897</v>
      </c>
      <c r="AY28" s="1">
        <v>5.0540118201603004E-9</v>
      </c>
      <c r="AZ28" s="1">
        <v>1080577.4158407301</v>
      </c>
      <c r="BA28" s="1">
        <v>1.0005937489993799E-5</v>
      </c>
      <c r="BB28" s="4">
        <v>1289024.67056951</v>
      </c>
      <c r="BC28" s="4">
        <v>-9703.7473992423602</v>
      </c>
      <c r="BD28" s="7">
        <v>-0.74717294739875695</v>
      </c>
      <c r="BE28" s="4">
        <v>3082435</v>
      </c>
      <c r="BF28" s="1">
        <v>0.418183893762401</v>
      </c>
      <c r="BG28" s="1">
        <v>1</v>
      </c>
      <c r="BH28" s="1">
        <v>6.5000000000000002E-2</v>
      </c>
      <c r="BI28" s="1">
        <v>4.5999999999999999E-2</v>
      </c>
      <c r="BJ28" s="1">
        <v>5625</v>
      </c>
      <c r="BK28" s="1">
        <v>1</v>
      </c>
      <c r="BL28" s="1">
        <v>23.839287782165002</v>
      </c>
      <c r="BM28" s="1">
        <v>1.2890246705695101</v>
      </c>
      <c r="BN28" s="1">
        <v>23.839287782165002</v>
      </c>
      <c r="BO28" s="1">
        <v>1</v>
      </c>
      <c r="BP28" s="1">
        <v>261.16861938768102</v>
      </c>
      <c r="BQ28" s="1">
        <v>1</v>
      </c>
      <c r="BR28" s="1">
        <v>0.29527500000000001</v>
      </c>
    </row>
    <row r="29" spans="1:70">
      <c r="A29" s="2" t="s">
        <v>97</v>
      </c>
      <c r="B29" s="1">
        <v>13789520</v>
      </c>
      <c r="C29" s="1">
        <v>608.621106065763</v>
      </c>
      <c r="D29" s="1">
        <v>85.147893581579396</v>
      </c>
      <c r="E29" s="1">
        <v>624.86627494838604</v>
      </c>
      <c r="F29" s="1">
        <v>2643264.3898665099</v>
      </c>
      <c r="G29" s="1">
        <v>1562686.9740257801</v>
      </c>
      <c r="H29" s="1">
        <v>2.2019594042733499E-5</v>
      </c>
      <c r="I29" s="1">
        <v>7.2223252690249804E-5</v>
      </c>
      <c r="J29" s="1">
        <v>0.49112124879375701</v>
      </c>
      <c r="K29" s="1">
        <v>7679.7516396704104</v>
      </c>
      <c r="L29" s="1">
        <v>6.5036382888884496E-3</v>
      </c>
      <c r="M29" s="1">
        <v>28</v>
      </c>
      <c r="N29" s="1">
        <v>3634.08</v>
      </c>
      <c r="O29" s="3">
        <v>1.6417322322758899E-5</v>
      </c>
      <c r="P29" s="3">
        <v>1.4363361612212499E-2</v>
      </c>
      <c r="Q29" s="3">
        <v>4.5719999999999997E-3</v>
      </c>
      <c r="R29" s="1">
        <v>0.29527500000000001</v>
      </c>
      <c r="S29" s="4">
        <v>427540.99609375</v>
      </c>
      <c r="T29" s="1">
        <v>601.35806991756397</v>
      </c>
      <c r="U29" s="5">
        <v>605.31553009704805</v>
      </c>
      <c r="V29" s="1">
        <v>0.03</v>
      </c>
      <c r="W29" s="3">
        <v>230050.754308426</v>
      </c>
      <c r="X29" s="1">
        <v>2.4187362497839902E-2</v>
      </c>
      <c r="Y29" s="1">
        <v>6.4299225721843003</v>
      </c>
      <c r="Z29" s="1">
        <v>6.4299226083853203</v>
      </c>
      <c r="AA29" s="1">
        <v>-3.6201019959492E-8</v>
      </c>
      <c r="AB29" s="1">
        <v>1.22134179005848E-5</v>
      </c>
      <c r="AC29" s="1">
        <v>613.443270036478</v>
      </c>
      <c r="AD29" s="1">
        <v>6324.7436715753302</v>
      </c>
      <c r="AE29" s="1">
        <v>605.31553009704805</v>
      </c>
      <c r="AF29" s="6">
        <v>0</v>
      </c>
      <c r="AG29" s="1">
        <v>1.2219500025505099E-5</v>
      </c>
      <c r="AH29" s="1">
        <v>63.899933746575996</v>
      </c>
      <c r="AI29" s="1">
        <v>0.31978394883439198</v>
      </c>
      <c r="AJ29" s="1">
        <v>33.808051380633501</v>
      </c>
      <c r="AK29" s="1">
        <v>0.31279641045284501</v>
      </c>
      <c r="AL29" s="1">
        <v>1.1293680422758501</v>
      </c>
      <c r="AM29" s="1">
        <v>608.62110606567501</v>
      </c>
      <c r="AN29" s="1">
        <v>8.7766238721087601E-11</v>
      </c>
      <c r="AO29" s="1">
        <v>6.0821249203349503E-9</v>
      </c>
      <c r="AP29" s="1">
        <v>3.8385858445605598</v>
      </c>
      <c r="AQ29" s="1">
        <v>3.7008352628581902E-5</v>
      </c>
      <c r="AR29" s="1">
        <v>6.11279107521274E-6</v>
      </c>
      <c r="AS29" s="1">
        <v>16.912439487582599</v>
      </c>
      <c r="AT29" s="1">
        <v>11.0902470776026</v>
      </c>
      <c r="AU29" s="1">
        <v>3.5464830040248398</v>
      </c>
      <c r="AV29" s="1">
        <v>0.29210284053572799</v>
      </c>
      <c r="AW29" s="1">
        <v>7.3428458521871496E-3</v>
      </c>
      <c r="AX29" s="1">
        <v>0.29210283270098703</v>
      </c>
      <c r="AY29" s="1">
        <v>7.83474057852729E-9</v>
      </c>
      <c r="AZ29" s="1">
        <v>1080577.4158407301</v>
      </c>
      <c r="BA29" s="1">
        <v>9.6411423704446399E-6</v>
      </c>
      <c r="BB29" s="4">
        <v>425960.97451734397</v>
      </c>
      <c r="BC29" s="4">
        <v>-1580.02157640568</v>
      </c>
      <c r="BD29" s="7">
        <v>-0.36956025055880598</v>
      </c>
      <c r="BE29" s="4">
        <v>2176950</v>
      </c>
      <c r="BF29" s="1">
        <v>0.195668699105328</v>
      </c>
      <c r="BG29" s="1">
        <v>1</v>
      </c>
      <c r="BH29" s="1">
        <v>9.6000000000000002E-2</v>
      </c>
      <c r="BI29" s="1">
        <v>4.5999999999999999E-2</v>
      </c>
      <c r="BJ29" s="1">
        <v>5625</v>
      </c>
      <c r="BK29" s="1">
        <v>1</v>
      </c>
      <c r="BL29" s="1">
        <v>7.2630361481990304</v>
      </c>
      <c r="BM29" s="1">
        <v>0.42596097451734399</v>
      </c>
      <c r="BN29" s="1">
        <v>7.2630361481990304</v>
      </c>
      <c r="BO29" s="1">
        <v>1</v>
      </c>
      <c r="BP29" s="1">
        <v>1071.70880223412</v>
      </c>
      <c r="BQ29" s="1">
        <v>1</v>
      </c>
      <c r="BR29" s="1">
        <v>0.29527500000000001</v>
      </c>
    </row>
    <row r="30" spans="1:70">
      <c r="A30" s="2" t="s">
        <v>98</v>
      </c>
      <c r="B30" s="1">
        <v>13789520</v>
      </c>
      <c r="C30" s="1">
        <v>608.621106065763</v>
      </c>
      <c r="D30" s="1">
        <v>85.147893581579396</v>
      </c>
      <c r="E30" s="1">
        <v>624.86627494838604</v>
      </c>
      <c r="F30" s="1">
        <v>2643264.3898665099</v>
      </c>
      <c r="G30" s="1">
        <v>1562686.9740257801</v>
      </c>
      <c r="H30" s="1">
        <v>2.2019594042733499E-5</v>
      </c>
      <c r="I30" s="1">
        <v>7.2223252690249804E-5</v>
      </c>
      <c r="J30" s="1">
        <v>0.49112124879375701</v>
      </c>
      <c r="K30" s="1">
        <v>7679.7516396704104</v>
      </c>
      <c r="L30" s="1">
        <v>6.5036382888884496E-3</v>
      </c>
      <c r="M30" s="1">
        <v>29</v>
      </c>
      <c r="N30" s="1">
        <v>3634.08</v>
      </c>
      <c r="O30" s="3">
        <v>1.6417322322758899E-5</v>
      </c>
      <c r="P30" s="3">
        <v>1.4363361612212499E-2</v>
      </c>
      <c r="Q30" s="3">
        <v>4.5719999999999997E-3</v>
      </c>
      <c r="R30" s="1">
        <v>0.29527500000000001</v>
      </c>
      <c r="S30" s="4">
        <v>427540.99609375</v>
      </c>
      <c r="T30" s="1">
        <v>601.35806991756397</v>
      </c>
      <c r="U30" s="5">
        <v>605.31553009704805</v>
      </c>
      <c r="V30" s="1">
        <v>0.03</v>
      </c>
      <c r="W30" s="3">
        <v>230050.754308426</v>
      </c>
      <c r="X30" s="1">
        <v>2.4187362497839902E-2</v>
      </c>
      <c r="Y30" s="1">
        <v>6.4299225721843003</v>
      </c>
      <c r="Z30" s="1">
        <v>6.4299226083853203</v>
      </c>
      <c r="AA30" s="1">
        <v>-3.6201019959492E-8</v>
      </c>
      <c r="AB30" s="1">
        <v>1.22134179005848E-5</v>
      </c>
      <c r="AC30" s="1">
        <v>613.443270036478</v>
      </c>
      <c r="AD30" s="1">
        <v>6324.7436715753302</v>
      </c>
      <c r="AE30" s="1">
        <v>605.31553009704805</v>
      </c>
      <c r="AF30" s="6">
        <v>0</v>
      </c>
      <c r="AG30" s="1">
        <v>1.2219500025505099E-5</v>
      </c>
      <c r="AH30" s="1">
        <v>63.899933746575996</v>
      </c>
      <c r="AI30" s="1">
        <v>0.31978394883439198</v>
      </c>
      <c r="AJ30" s="1">
        <v>33.808051380633501</v>
      </c>
      <c r="AK30" s="1">
        <v>0.31279641045284501</v>
      </c>
      <c r="AL30" s="1">
        <v>1.1293680422758501</v>
      </c>
      <c r="AM30" s="1">
        <v>608.62110606567501</v>
      </c>
      <c r="AN30" s="1">
        <v>8.7766238721087601E-11</v>
      </c>
      <c r="AO30" s="1">
        <v>6.0821249203349503E-9</v>
      </c>
      <c r="AP30" s="1">
        <v>3.8385858445605598</v>
      </c>
      <c r="AQ30" s="1">
        <v>3.7008352628581902E-5</v>
      </c>
      <c r="AR30" s="1">
        <v>6.11279107521274E-6</v>
      </c>
      <c r="AS30" s="1">
        <v>16.912439487582599</v>
      </c>
      <c r="AT30" s="1">
        <v>11.0902470776026</v>
      </c>
      <c r="AU30" s="1">
        <v>3.5464830040248398</v>
      </c>
      <c r="AV30" s="1">
        <v>0.29210284053572799</v>
      </c>
      <c r="AW30" s="1">
        <v>7.3428458521871496E-3</v>
      </c>
      <c r="AX30" s="1">
        <v>0.29210283270098703</v>
      </c>
      <c r="AY30" s="1">
        <v>7.83474057852729E-9</v>
      </c>
      <c r="AZ30" s="1">
        <v>1080577.4158407301</v>
      </c>
      <c r="BA30" s="1">
        <v>9.6411423704446399E-6</v>
      </c>
      <c r="BB30" s="4">
        <v>425960.97451734397</v>
      </c>
      <c r="BC30" s="4">
        <v>-1580.02157640568</v>
      </c>
      <c r="BD30" s="7">
        <v>-0.36956025055880598</v>
      </c>
      <c r="BE30" s="4">
        <v>2318925</v>
      </c>
      <c r="BF30" s="1">
        <v>0.18368898283357299</v>
      </c>
      <c r="BG30" s="1">
        <v>1</v>
      </c>
      <c r="BH30" s="1">
        <v>0.105</v>
      </c>
      <c r="BI30" s="1">
        <v>4.5999999999999999E-2</v>
      </c>
      <c r="BJ30" s="1">
        <v>5625</v>
      </c>
      <c r="BK30" s="1">
        <v>1</v>
      </c>
      <c r="BL30" s="1">
        <v>7.2630361481990304</v>
      </c>
      <c r="BM30" s="1">
        <v>0.42596097451734399</v>
      </c>
      <c r="BN30" s="1">
        <v>7.2630361481990304</v>
      </c>
      <c r="BO30" s="1">
        <v>1</v>
      </c>
      <c r="BP30" s="1">
        <v>1071.70880223412</v>
      </c>
      <c r="BQ30" s="1">
        <v>1</v>
      </c>
      <c r="BR30" s="1">
        <v>0.29527500000000001</v>
      </c>
    </row>
    <row r="31" spans="1:70">
      <c r="A31" s="2" t="s">
        <v>99</v>
      </c>
      <c r="B31" s="1">
        <v>13789520</v>
      </c>
      <c r="C31" s="1">
        <v>608.621106065763</v>
      </c>
      <c r="D31" s="1">
        <v>85.147893581579396</v>
      </c>
      <c r="E31" s="1">
        <v>624.86627494838604</v>
      </c>
      <c r="F31" s="1">
        <v>2643264.3898665099</v>
      </c>
      <c r="G31" s="1">
        <v>1562686.9740257801</v>
      </c>
      <c r="H31" s="1">
        <v>2.2019594042733499E-5</v>
      </c>
      <c r="I31" s="1">
        <v>7.2223252690249804E-5</v>
      </c>
      <c r="J31" s="1">
        <v>0.49112124879375701</v>
      </c>
      <c r="K31" s="1">
        <v>7679.7516396704104</v>
      </c>
      <c r="L31" s="1">
        <v>6.5036382888884496E-3</v>
      </c>
      <c r="M31" s="1">
        <v>30</v>
      </c>
      <c r="N31" s="1">
        <v>3674.76</v>
      </c>
      <c r="O31" s="3">
        <v>1.6417322322758899E-5</v>
      </c>
      <c r="P31" s="3">
        <v>1.4363361612212499E-2</v>
      </c>
      <c r="Q31" s="3">
        <v>4.5719999999999997E-3</v>
      </c>
      <c r="R31" s="1">
        <v>0.29527500000000001</v>
      </c>
      <c r="S31" s="4">
        <v>464228.25140625</v>
      </c>
      <c r="T31" s="1">
        <v>600.78000150085597</v>
      </c>
      <c r="U31" s="5">
        <v>605.02948217711298</v>
      </c>
      <c r="V31" s="1">
        <v>0.03</v>
      </c>
      <c r="W31" s="3">
        <v>232625.94931934099</v>
      </c>
      <c r="X31" s="1">
        <v>2.4078453622407601E-2</v>
      </c>
      <c r="Y31" s="1">
        <v>6.4444477070153798</v>
      </c>
      <c r="Z31" s="1">
        <v>6.4444477301210199</v>
      </c>
      <c r="AA31" s="1">
        <v>-2.31056374033756E-8</v>
      </c>
      <c r="AB31" s="1">
        <v>1.19985328575276E-5</v>
      </c>
      <c r="AC31" s="1">
        <v>613.83118294897804</v>
      </c>
      <c r="AD31" s="1">
        <v>6381.1281323843996</v>
      </c>
      <c r="AE31" s="1">
        <v>605.02948231542405</v>
      </c>
      <c r="AF31" s="6">
        <v>1.3831174783263099E-7</v>
      </c>
      <c r="AG31" s="1">
        <v>1.20050540775983E-5</v>
      </c>
      <c r="AH31" s="1">
        <v>65.044335331130398</v>
      </c>
      <c r="AI31" s="1">
        <v>0.32263479093435898</v>
      </c>
      <c r="AJ31" s="1">
        <v>33.510843528153401</v>
      </c>
      <c r="AK31" s="1">
        <v>0.33844354499142298</v>
      </c>
      <c r="AL31" s="1">
        <v>1.1293680422758501</v>
      </c>
      <c r="AM31" s="1">
        <v>608.62110606557599</v>
      </c>
      <c r="AN31" s="1">
        <v>1.8678747437661501E-10</v>
      </c>
      <c r="AO31" s="1">
        <v>6.5212200706757499E-9</v>
      </c>
      <c r="AP31" s="1">
        <v>3.8572124405357799</v>
      </c>
      <c r="AQ31" s="1">
        <v>3.6651786729390698E-5</v>
      </c>
      <c r="AR31" s="1">
        <v>6.0057876488344997E-6</v>
      </c>
      <c r="AS31" s="1">
        <v>16.764523413431601</v>
      </c>
      <c r="AT31" s="1">
        <v>11.046324760210499</v>
      </c>
      <c r="AU31" s="1">
        <v>3.5639286796035501</v>
      </c>
      <c r="AV31" s="1">
        <v>0.29328376093223402</v>
      </c>
      <c r="AW31" s="1">
        <v>7.2136545185283096E-3</v>
      </c>
      <c r="AX31" s="1">
        <v>0.29328375183466898</v>
      </c>
      <c r="AY31" s="1">
        <v>9.0975643685098395E-9</v>
      </c>
      <c r="AZ31" s="1">
        <v>1080577.4158407301</v>
      </c>
      <c r="BA31" s="1">
        <v>9.5021436579986793E-6</v>
      </c>
      <c r="BB31" s="4">
        <v>463393.81911891903</v>
      </c>
      <c r="BC31" s="4">
        <v>-834.43228733050603</v>
      </c>
      <c r="BD31" s="7">
        <v>-0.179746123766235</v>
      </c>
      <c r="BE31" s="4">
        <v>2353630</v>
      </c>
      <c r="BF31" s="1">
        <v>0.19688473511933499</v>
      </c>
      <c r="BG31" s="1">
        <v>1</v>
      </c>
      <c r="BH31" s="1">
        <v>0.10199999999999999</v>
      </c>
      <c r="BI31" s="1">
        <v>4.5999999999999999E-2</v>
      </c>
      <c r="BJ31" s="1">
        <v>5625</v>
      </c>
      <c r="BK31" s="1">
        <v>1</v>
      </c>
      <c r="BL31" s="1">
        <v>7.8411045649070301</v>
      </c>
      <c r="BM31" s="1">
        <v>0.46339381911891903</v>
      </c>
      <c r="BN31" s="1">
        <v>7.8411045649070301</v>
      </c>
      <c r="BO31" s="1">
        <v>1</v>
      </c>
      <c r="BP31" s="1">
        <v>1034.1945556052401</v>
      </c>
      <c r="BQ31" s="1">
        <v>1</v>
      </c>
      <c r="BR31" s="1">
        <v>0.29527500000000001</v>
      </c>
    </row>
    <row r="32" spans="1:70">
      <c r="A32" s="2" t="s">
        <v>100</v>
      </c>
      <c r="B32" s="1">
        <v>13789520</v>
      </c>
      <c r="C32" s="1">
        <v>608.621106065763</v>
      </c>
      <c r="D32" s="1">
        <v>85.147893581579396</v>
      </c>
      <c r="E32" s="1">
        <v>624.86627494838604</v>
      </c>
      <c r="F32" s="1">
        <v>2643264.3898665099</v>
      </c>
      <c r="G32" s="1">
        <v>1562686.9740257801</v>
      </c>
      <c r="H32" s="1">
        <v>2.2019594042733499E-5</v>
      </c>
      <c r="I32" s="1">
        <v>7.2223252690249804E-5</v>
      </c>
      <c r="J32" s="1">
        <v>0.49112124879375701</v>
      </c>
      <c r="K32" s="1">
        <v>7679.7516396704104</v>
      </c>
      <c r="L32" s="1">
        <v>6.5036382888884496E-3</v>
      </c>
      <c r="M32" s="1">
        <v>31</v>
      </c>
      <c r="N32" s="1">
        <v>3715.44</v>
      </c>
      <c r="O32" s="3">
        <v>1.6417322322758899E-5</v>
      </c>
      <c r="P32" s="3">
        <v>1.4363361612212499E-2</v>
      </c>
      <c r="Q32" s="3">
        <v>4.5719999999999997E-3</v>
      </c>
      <c r="R32" s="1">
        <v>0.29527500000000001</v>
      </c>
      <c r="S32" s="4">
        <v>654733.52734375</v>
      </c>
      <c r="T32" s="1">
        <v>597.50931537045801</v>
      </c>
      <c r="U32" s="5">
        <v>603.43703427204002</v>
      </c>
      <c r="V32" s="1">
        <v>0.03</v>
      </c>
      <c r="W32" s="3">
        <v>235201.14433025601</v>
      </c>
      <c r="X32" s="1">
        <v>2.39714582232173E-2</v>
      </c>
      <c r="Y32" s="1">
        <v>6.4588139283871202</v>
      </c>
      <c r="Z32" s="1">
        <v>6.4588139413719903</v>
      </c>
      <c r="AA32" s="1">
        <v>-1.29848691798884E-8</v>
      </c>
      <c r="AB32" s="1">
        <v>1.1789618163145301E-5</v>
      </c>
      <c r="AC32" s="1">
        <v>616.10015770344296</v>
      </c>
      <c r="AD32" s="1">
        <v>6437.4173781273103</v>
      </c>
      <c r="AE32" s="1">
        <v>603.43703443304196</v>
      </c>
      <c r="AF32" s="6">
        <v>1.61001480591949E-7</v>
      </c>
      <c r="AG32" s="1">
        <v>1.1798717858672001E-5</v>
      </c>
      <c r="AH32" s="1">
        <v>66.196935631578299</v>
      </c>
      <c r="AI32" s="1">
        <v>0.32548081888668101</v>
      </c>
      <c r="AJ32" s="1">
        <v>33.225403054696599</v>
      </c>
      <c r="AK32" s="1">
        <v>0.48651068356414401</v>
      </c>
      <c r="AL32" s="1">
        <v>1.1293680422758501</v>
      </c>
      <c r="AM32" s="1">
        <v>608.62110606527096</v>
      </c>
      <c r="AN32" s="1">
        <v>4.9169557314598902E-10</v>
      </c>
      <c r="AO32" s="1">
        <v>9.0996955267561306E-9</v>
      </c>
      <c r="AP32" s="1">
        <v>3.8762352113424998</v>
      </c>
      <c r="AQ32" s="1">
        <v>3.6292929391007497E-5</v>
      </c>
      <c r="AR32" s="1">
        <v>5.9039087770993996E-6</v>
      </c>
      <c r="AS32" s="1">
        <v>16.625513981005302</v>
      </c>
      <c r="AT32" s="1">
        <v>11.0046925110736</v>
      </c>
      <c r="AU32" s="1">
        <v>3.5818163301003501</v>
      </c>
      <c r="AV32" s="1">
        <v>0.29441888124214999</v>
      </c>
      <c r="AW32" s="1">
        <v>7.08805262644591E-3</v>
      </c>
      <c r="AX32" s="1">
        <v>0.29441887075627998</v>
      </c>
      <c r="AY32" s="1">
        <v>1.04858702831834E-8</v>
      </c>
      <c r="AZ32" s="1">
        <v>1080577.4158407301</v>
      </c>
      <c r="BA32" s="1">
        <v>9.3629326942824397E-6</v>
      </c>
      <c r="BB32" s="4">
        <v>656232.79750369396</v>
      </c>
      <c r="BC32" s="4">
        <v>1499.2701599438401</v>
      </c>
      <c r="BD32" s="7">
        <v>0.22898936702178299</v>
      </c>
      <c r="BE32" s="4">
        <v>2539775</v>
      </c>
      <c r="BF32" s="1">
        <v>0.258382257288025</v>
      </c>
      <c r="BG32" s="1">
        <v>1</v>
      </c>
      <c r="BH32" s="1">
        <v>9.1999999999999998E-2</v>
      </c>
      <c r="BI32" s="1">
        <v>4.5999999999999999E-2</v>
      </c>
      <c r="BJ32" s="1">
        <v>5625</v>
      </c>
      <c r="BK32" s="1">
        <v>1</v>
      </c>
      <c r="BL32" s="1">
        <v>11.111790695305</v>
      </c>
      <c r="BM32" s="1">
        <v>0.65623279750369401</v>
      </c>
      <c r="BN32" s="1">
        <v>11.111790695305</v>
      </c>
      <c r="BO32" s="1">
        <v>1</v>
      </c>
      <c r="BP32" s="1">
        <v>834.52863683186695</v>
      </c>
      <c r="BQ32" s="1">
        <v>1</v>
      </c>
      <c r="BR32" s="1">
        <v>0.29527500000000001</v>
      </c>
    </row>
    <row r="33" spans="1:70">
      <c r="A33" s="2" t="s">
        <v>101</v>
      </c>
      <c r="B33" s="1">
        <v>13789520</v>
      </c>
      <c r="C33" s="1">
        <v>608.621106065763</v>
      </c>
      <c r="D33" s="1">
        <v>85.147893581579396</v>
      </c>
      <c r="E33" s="1">
        <v>624.86627494838604</v>
      </c>
      <c r="F33" s="1">
        <v>2643264.3898665099</v>
      </c>
      <c r="G33" s="1">
        <v>1562686.9740257801</v>
      </c>
      <c r="H33" s="1">
        <v>2.2019594042733499E-5</v>
      </c>
      <c r="I33" s="1">
        <v>7.2223252690249804E-5</v>
      </c>
      <c r="J33" s="1">
        <v>0.49112124879375701</v>
      </c>
      <c r="K33" s="1">
        <v>7679.7516396704104</v>
      </c>
      <c r="L33" s="1">
        <v>6.5036382888884496E-3</v>
      </c>
      <c r="M33" s="1">
        <v>32</v>
      </c>
      <c r="N33" s="1">
        <v>3905.28</v>
      </c>
      <c r="O33" s="3">
        <v>1.6417322322758899E-5</v>
      </c>
      <c r="P33" s="3">
        <v>1.4363361612212499E-2</v>
      </c>
      <c r="Q33" s="3">
        <v>4.5719999999999997E-3</v>
      </c>
      <c r="R33" s="1">
        <v>0.29527500000000001</v>
      </c>
      <c r="S33" s="4">
        <v>772462.47078125004</v>
      </c>
      <c r="T33" s="1">
        <v>595.90081561821296</v>
      </c>
      <c r="U33" s="5">
        <v>602.55444312752195</v>
      </c>
      <c r="V33" s="1">
        <v>0.03</v>
      </c>
      <c r="W33" s="3">
        <v>247218.72104785999</v>
      </c>
      <c r="X33" s="1">
        <v>2.3495887988577199E-2</v>
      </c>
      <c r="Y33" s="1">
        <v>6.5238515246960702</v>
      </c>
      <c r="Z33" s="1">
        <v>6.5238515441796503</v>
      </c>
      <c r="AA33" s="1">
        <v>-1.9483579194456999E-8</v>
      </c>
      <c r="AB33" s="1">
        <v>1.08872571369839E-5</v>
      </c>
      <c r="AC33" s="1">
        <v>617.15752754693005</v>
      </c>
      <c r="AD33" s="1">
        <v>6698.8815359861901</v>
      </c>
      <c r="AE33" s="1">
        <v>602.55444329909699</v>
      </c>
      <c r="AF33" s="6">
        <v>1.7157526599476101E-7</v>
      </c>
      <c r="AG33" s="1">
        <v>1.0897372180265E-5</v>
      </c>
      <c r="AH33" s="1">
        <v>71.683490602557896</v>
      </c>
      <c r="AI33" s="1">
        <v>0.33870064963722002</v>
      </c>
      <c r="AJ33" s="1">
        <v>31.933598114237299</v>
      </c>
      <c r="AK33" s="1">
        <v>0.55889671108969097</v>
      </c>
      <c r="AL33" s="1">
        <v>1.1293680422758501</v>
      </c>
      <c r="AM33" s="1">
        <v>608.62110606555802</v>
      </c>
      <c r="AN33" s="1">
        <v>2.0463630789890901E-10</v>
      </c>
      <c r="AO33" s="1">
        <v>1.0115043281099499E-8</v>
      </c>
      <c r="AP33" s="1">
        <v>3.9602796622532099</v>
      </c>
      <c r="AQ33" s="1">
        <v>3.4768868498655497E-5</v>
      </c>
      <c r="AR33" s="1">
        <v>5.4537436117730301E-6</v>
      </c>
      <c r="AS33" s="1">
        <v>15.981619590073899</v>
      </c>
      <c r="AT33" s="1">
        <v>10.807196431354599</v>
      </c>
      <c r="AU33" s="1">
        <v>3.6604044520568402</v>
      </c>
      <c r="AV33" s="1">
        <v>0.29987521019636998</v>
      </c>
      <c r="AW33" s="1">
        <v>6.5455429070489001E-3</v>
      </c>
      <c r="AX33" s="1">
        <v>0.29987519205310498</v>
      </c>
      <c r="AY33" s="1">
        <v>1.8143265001491199E-8</v>
      </c>
      <c r="AZ33" s="1">
        <v>1080577.4158407301</v>
      </c>
      <c r="BA33" s="1">
        <v>8.7793972809671893E-6</v>
      </c>
      <c r="BB33" s="4">
        <v>777939.84439499001</v>
      </c>
      <c r="BC33" s="4">
        <v>5477.3736137396199</v>
      </c>
      <c r="BD33" s="7">
        <v>0.70907957615079198</v>
      </c>
      <c r="BE33" s="4">
        <v>2520845</v>
      </c>
      <c r="BF33" s="1">
        <v>0.30860280754865499</v>
      </c>
      <c r="BG33" s="1">
        <v>1</v>
      </c>
      <c r="BH33" s="1">
        <v>7.3999999999999996E-2</v>
      </c>
      <c r="BI33" s="1">
        <v>4.5999999999999999E-2</v>
      </c>
      <c r="BJ33" s="1">
        <v>5625</v>
      </c>
      <c r="BK33" s="1">
        <v>1</v>
      </c>
      <c r="BL33" s="1">
        <v>12.720290447549999</v>
      </c>
      <c r="BM33" s="1">
        <v>0.77793984439498998</v>
      </c>
      <c r="BN33" s="1">
        <v>12.720290447549999</v>
      </c>
      <c r="BO33" s="1">
        <v>1</v>
      </c>
      <c r="BP33" s="1">
        <v>744.182553266029</v>
      </c>
      <c r="BQ33" s="1">
        <v>1</v>
      </c>
      <c r="BR33" s="1">
        <v>0.29527500000000001</v>
      </c>
    </row>
    <row r="34" spans="1:70">
      <c r="A34" s="2" t="s">
        <v>102</v>
      </c>
      <c r="B34" s="1">
        <v>13789520</v>
      </c>
      <c r="C34" s="1">
        <v>608.621106065763</v>
      </c>
      <c r="D34" s="1">
        <v>85.147893581579396</v>
      </c>
      <c r="E34" s="1">
        <v>624.86627494838604</v>
      </c>
      <c r="F34" s="1">
        <v>2643264.3898665099</v>
      </c>
      <c r="G34" s="1">
        <v>1562686.9740257801</v>
      </c>
      <c r="H34" s="1">
        <v>2.2019594042733499E-5</v>
      </c>
      <c r="I34" s="1">
        <v>7.2223252690249804E-5</v>
      </c>
      <c r="J34" s="1">
        <v>0.49112124879375701</v>
      </c>
      <c r="K34" s="1">
        <v>7679.7516396704104</v>
      </c>
      <c r="L34" s="1">
        <v>6.5036382888884496E-3</v>
      </c>
      <c r="M34" s="1">
        <v>33</v>
      </c>
      <c r="N34" s="1">
        <v>3945.96</v>
      </c>
      <c r="O34" s="3">
        <v>1.6417322322758899E-5</v>
      </c>
      <c r="P34" s="3">
        <v>1.4363361612212499E-2</v>
      </c>
      <c r="Q34" s="3">
        <v>4.5719999999999997E-3</v>
      </c>
      <c r="R34" s="1">
        <v>0.29527500000000001</v>
      </c>
      <c r="S34" s="4">
        <v>811944.37610624998</v>
      </c>
      <c r="T34" s="1">
        <v>595.32250153328698</v>
      </c>
      <c r="U34" s="5">
        <v>602.24410749732704</v>
      </c>
      <c r="V34" s="1">
        <v>0.03</v>
      </c>
      <c r="W34" s="3">
        <v>249793.916058776</v>
      </c>
      <c r="X34" s="1">
        <v>2.33987578413094E-2</v>
      </c>
      <c r="Y34" s="1">
        <v>6.5373780210311701</v>
      </c>
      <c r="Z34" s="1">
        <v>6.5373780397205703</v>
      </c>
      <c r="AA34" s="1">
        <v>-1.86894002496274E-8</v>
      </c>
      <c r="AB34" s="1">
        <v>1.07082015798802E-5</v>
      </c>
      <c r="AC34" s="1">
        <v>617.54803485522905</v>
      </c>
      <c r="AD34" s="1">
        <v>6754.6565066327103</v>
      </c>
      <c r="AE34" s="1">
        <v>602.24410749732704</v>
      </c>
      <c r="AF34" s="6">
        <v>0</v>
      </c>
      <c r="AG34" s="1">
        <v>1.0718685651585201E-5</v>
      </c>
      <c r="AH34" s="1">
        <v>72.882135141440102</v>
      </c>
      <c r="AI34" s="1">
        <v>0.34152067544152698</v>
      </c>
      <c r="AJ34" s="1">
        <v>31.671495966330301</v>
      </c>
      <c r="AK34" s="1">
        <v>0.58525350894473704</v>
      </c>
      <c r="AL34" s="1">
        <v>1.1293680422758501</v>
      </c>
      <c r="AM34" s="1">
        <v>608.62110606567796</v>
      </c>
      <c r="AN34" s="1">
        <v>8.5151441453490406E-11</v>
      </c>
      <c r="AO34" s="1">
        <v>1.04840717049987E-8</v>
      </c>
      <c r="AP34" s="1">
        <v>3.9779236024468698</v>
      </c>
      <c r="AQ34" s="1">
        <v>3.4461120332625497E-5</v>
      </c>
      <c r="AR34" s="1">
        <v>5.3645848616451201E-6</v>
      </c>
      <c r="AS34" s="1">
        <v>15.8512371133397</v>
      </c>
      <c r="AT34" s="1">
        <v>10.7662377429613</v>
      </c>
      <c r="AU34" s="1">
        <v>3.6768927859401899</v>
      </c>
      <c r="AV34" s="1">
        <v>0.30103081650667701</v>
      </c>
      <c r="AW34" s="1">
        <v>6.43789266814842E-3</v>
      </c>
      <c r="AX34" s="1">
        <v>0.30103079644063901</v>
      </c>
      <c r="AY34" s="1">
        <v>2.0066038053378999E-8</v>
      </c>
      <c r="AZ34" s="1">
        <v>1080577.4158407301</v>
      </c>
      <c r="BA34" s="1">
        <v>8.6630925519605395E-6</v>
      </c>
      <c r="BB34" s="4">
        <v>817146.64254005102</v>
      </c>
      <c r="BC34" s="4">
        <v>5202.2664338007999</v>
      </c>
      <c r="BD34" s="7">
        <v>0.64071709674851396</v>
      </c>
      <c r="BE34" s="4">
        <v>2650200</v>
      </c>
      <c r="BF34" s="1">
        <v>0.308333953112992</v>
      </c>
      <c r="BG34" s="1">
        <v>1</v>
      </c>
      <c r="BH34" s="1">
        <v>7.5999999999999998E-2</v>
      </c>
      <c r="BI34" s="1">
        <v>4.5999999999999999E-2</v>
      </c>
      <c r="BJ34" s="1">
        <v>5625</v>
      </c>
      <c r="BK34" s="1">
        <v>1</v>
      </c>
      <c r="BL34" s="1">
        <v>13.298604532476</v>
      </c>
      <c r="BM34" s="1">
        <v>0.81714664254005098</v>
      </c>
      <c r="BN34" s="1">
        <v>13.298604532476</v>
      </c>
      <c r="BO34" s="1">
        <v>1</v>
      </c>
      <c r="BP34" s="1">
        <v>712.96451991311005</v>
      </c>
      <c r="BQ34" s="1">
        <v>1</v>
      </c>
      <c r="BR34" s="1">
        <v>0.29527500000000001</v>
      </c>
    </row>
    <row r="35" spans="1:70">
      <c r="A35" s="2" t="s">
        <v>103</v>
      </c>
      <c r="B35" s="1">
        <v>13789520</v>
      </c>
      <c r="C35" s="1">
        <v>608.621106065763</v>
      </c>
      <c r="D35" s="1">
        <v>85.147893581579396</v>
      </c>
      <c r="E35" s="1">
        <v>624.86627494838604</v>
      </c>
      <c r="F35" s="1">
        <v>2643264.3898665099</v>
      </c>
      <c r="G35" s="1">
        <v>1562686.9740257801</v>
      </c>
      <c r="H35" s="1">
        <v>2.2019594042733499E-5</v>
      </c>
      <c r="I35" s="1">
        <v>7.2223252690249804E-5</v>
      </c>
      <c r="J35" s="1">
        <v>0.49112124879375701</v>
      </c>
      <c r="K35" s="1">
        <v>7679.7516396704104</v>
      </c>
      <c r="L35" s="1">
        <v>6.5036382888884496E-3</v>
      </c>
      <c r="M35" s="1">
        <v>34</v>
      </c>
      <c r="N35" s="1">
        <v>3986.64</v>
      </c>
      <c r="O35" s="3">
        <v>1.6417322322758899E-5</v>
      </c>
      <c r="P35" s="3">
        <v>1.4363361612212499E-2</v>
      </c>
      <c r="Q35" s="3">
        <v>4.5719999999999997E-3</v>
      </c>
      <c r="R35" s="1">
        <v>0.29527500000000001</v>
      </c>
      <c r="S35" s="4">
        <v>849852.18359375</v>
      </c>
      <c r="T35" s="1">
        <v>594.77734103104399</v>
      </c>
      <c r="U35" s="5">
        <v>601.94817466999802</v>
      </c>
      <c r="V35" s="1">
        <v>0.03</v>
      </c>
      <c r="W35" s="3">
        <v>252369.11106969099</v>
      </c>
      <c r="X35" s="1">
        <v>2.3303212557601299E-2</v>
      </c>
      <c r="Y35" s="1">
        <v>6.5507662330680096</v>
      </c>
      <c r="Z35" s="1">
        <v>6.5507662492108496</v>
      </c>
      <c r="AA35" s="1">
        <v>-1.6142836400945301E-8</v>
      </c>
      <c r="AB35" s="1">
        <v>1.05337949832357E-5</v>
      </c>
      <c r="AC35" s="1">
        <v>617.91482145455302</v>
      </c>
      <c r="AD35" s="1">
        <v>6810.3449066225603</v>
      </c>
      <c r="AE35" s="1">
        <v>601.94817484914597</v>
      </c>
      <c r="AF35" s="6">
        <v>1.79148059942236E-7</v>
      </c>
      <c r="AG35" s="1">
        <v>1.05446253216269E-5</v>
      </c>
      <c r="AH35" s="1">
        <v>74.088834642088898</v>
      </c>
      <c r="AI35" s="1">
        <v>0.34433632416624199</v>
      </c>
      <c r="AJ35" s="1">
        <v>31.4140574590485</v>
      </c>
      <c r="AK35" s="1">
        <v>0.61011635631745198</v>
      </c>
      <c r="AL35" s="1">
        <v>1.1293680422758501</v>
      </c>
      <c r="AM35" s="1">
        <v>608.62110606574799</v>
      </c>
      <c r="AN35" s="1">
        <v>1.50066625792533E-11</v>
      </c>
      <c r="AO35" s="1">
        <v>1.08303383911925E-8</v>
      </c>
      <c r="AP35" s="1">
        <v>3.9954226171268399</v>
      </c>
      <c r="AQ35" s="1">
        <v>3.4159918116569698E-5</v>
      </c>
      <c r="AR35" s="1">
        <v>5.2777278300090402E-6</v>
      </c>
      <c r="AS35" s="1">
        <v>15.7231613497997</v>
      </c>
      <c r="AT35" s="1">
        <v>10.7256743522963</v>
      </c>
      <c r="AU35" s="1">
        <v>3.6932392806738399</v>
      </c>
      <c r="AV35" s="1">
        <v>0.302183336452997</v>
      </c>
      <c r="AW35" s="1">
        <v>6.33303743718934E-3</v>
      </c>
      <c r="AX35" s="1">
        <v>0.30218331436871998</v>
      </c>
      <c r="AY35" s="1">
        <v>2.2084277240264098E-8</v>
      </c>
      <c r="AZ35" s="1">
        <v>1080577.4158407301</v>
      </c>
      <c r="BA35" s="1">
        <v>8.5497634142979594E-6</v>
      </c>
      <c r="BB35" s="4">
        <v>855324.47840467596</v>
      </c>
      <c r="BC35" s="4">
        <v>5472.2948109257304</v>
      </c>
      <c r="BD35" s="7">
        <v>0.64391136677265004</v>
      </c>
      <c r="BE35" s="4">
        <v>2681750</v>
      </c>
      <c r="BF35" s="1">
        <v>0.318942659981235</v>
      </c>
      <c r="BG35" s="1">
        <v>1</v>
      </c>
      <c r="BH35" s="1">
        <v>7.2999999999999995E-2</v>
      </c>
      <c r="BI35" s="1">
        <v>4.5999999999999999E-2</v>
      </c>
      <c r="BJ35" s="1">
        <v>5625</v>
      </c>
      <c r="BK35" s="1">
        <v>1</v>
      </c>
      <c r="BL35" s="1">
        <v>13.843765034719</v>
      </c>
      <c r="BM35" s="1">
        <v>0.85532447840467596</v>
      </c>
      <c r="BN35" s="1">
        <v>13.843765034719</v>
      </c>
      <c r="BO35" s="1">
        <v>1</v>
      </c>
      <c r="BP35" s="1">
        <v>684.14862755898798</v>
      </c>
      <c r="BQ35" s="1">
        <v>1</v>
      </c>
      <c r="BR35" s="1">
        <v>0.29527500000000001</v>
      </c>
    </row>
    <row r="36" spans="1:70">
      <c r="A36" s="2" t="s">
        <v>104</v>
      </c>
      <c r="B36" s="1">
        <v>13789520</v>
      </c>
      <c r="C36" s="1">
        <v>608.621106065763</v>
      </c>
      <c r="D36" s="1">
        <v>85.147893581579396</v>
      </c>
      <c r="E36" s="1">
        <v>624.86627494838604</v>
      </c>
      <c r="F36" s="1">
        <v>2643264.3898665099</v>
      </c>
      <c r="G36" s="1">
        <v>1562686.9740257801</v>
      </c>
      <c r="H36" s="1">
        <v>2.2019594042733499E-5</v>
      </c>
      <c r="I36" s="1">
        <v>7.2223252690249804E-5</v>
      </c>
      <c r="J36" s="1">
        <v>0.49112124879375701</v>
      </c>
      <c r="K36" s="1">
        <v>7679.7516396704104</v>
      </c>
      <c r="L36" s="1">
        <v>6.5036382888884496E-3</v>
      </c>
      <c r="M36" s="1">
        <v>35</v>
      </c>
      <c r="N36" s="1">
        <v>4013.76</v>
      </c>
      <c r="O36" s="3">
        <v>1.6417322322758899E-5</v>
      </c>
      <c r="P36" s="3">
        <v>1.4363361612212499E-2</v>
      </c>
      <c r="Q36" s="3">
        <v>4.5719999999999997E-3</v>
      </c>
      <c r="R36" s="1">
        <v>0.29527500000000001</v>
      </c>
      <c r="S36" s="4">
        <v>660826.54695624998</v>
      </c>
      <c r="T36" s="1">
        <v>598.039459378179</v>
      </c>
      <c r="U36" s="5">
        <v>603.57766853252497</v>
      </c>
      <c r="V36" s="1">
        <v>0.03</v>
      </c>
      <c r="W36" s="3">
        <v>254085.90774363399</v>
      </c>
      <c r="X36" s="1">
        <v>2.32403751947017E-2</v>
      </c>
      <c r="Y36" s="1">
        <v>6.5596162409472196</v>
      </c>
      <c r="Z36" s="1">
        <v>6.5596162549430597</v>
      </c>
      <c r="AA36" s="1">
        <v>-1.3995842707004199E-8</v>
      </c>
      <c r="AB36" s="1">
        <v>1.04200250191068E-5</v>
      </c>
      <c r="AC36" s="1">
        <v>615.62105504492501</v>
      </c>
      <c r="AD36" s="1">
        <v>6847.4229958732803</v>
      </c>
      <c r="AE36" s="1">
        <v>603.577668688735</v>
      </c>
      <c r="AF36" s="6">
        <v>1.56210489876685E-7</v>
      </c>
      <c r="AG36" s="1">
        <v>1.0428384738007801E-5</v>
      </c>
      <c r="AH36" s="1">
        <v>74.897765910883805</v>
      </c>
      <c r="AI36" s="1">
        <v>0.34621102113603702</v>
      </c>
      <c r="AJ36" s="1">
        <v>31.236903527930298</v>
      </c>
      <c r="AK36" s="1">
        <v>0.45996146761213302</v>
      </c>
      <c r="AL36" s="1">
        <v>1.1293680422758501</v>
      </c>
      <c r="AM36" s="1">
        <v>608.62110606566102</v>
      </c>
      <c r="AN36" s="1">
        <v>1.01636032923125E-10</v>
      </c>
      <c r="AO36" s="1">
        <v>8.35971890101053E-9</v>
      </c>
      <c r="AP36" s="1">
        <v>4.00617984200235</v>
      </c>
      <c r="AQ36" s="1">
        <v>3.3976714873880701E-5</v>
      </c>
      <c r="AR36" s="1">
        <v>5.2183722284544098E-6</v>
      </c>
      <c r="AS36" s="1">
        <v>15.6309720026882</v>
      </c>
      <c r="AT36" s="1">
        <v>10.696271653857901</v>
      </c>
      <c r="AU36" s="1">
        <v>3.7031671316305701</v>
      </c>
      <c r="AV36" s="1">
        <v>0.30301271037177502</v>
      </c>
      <c r="AW36" s="1">
        <v>6.2646376398511E-3</v>
      </c>
      <c r="AX36" s="1">
        <v>0.30301268694414901</v>
      </c>
      <c r="AY36" s="1">
        <v>2.3427625617245001E-8</v>
      </c>
      <c r="AZ36" s="1">
        <v>1080577.4158407301</v>
      </c>
      <c r="BA36" s="1">
        <v>8.4810757913700102E-6</v>
      </c>
      <c r="BB36" s="4">
        <v>665554.61968692997</v>
      </c>
      <c r="BC36" s="4">
        <v>4728.07273068011</v>
      </c>
      <c r="BD36" s="7">
        <v>0.71547863088392705</v>
      </c>
      <c r="BE36" s="4">
        <v>2501915</v>
      </c>
      <c r="BF36" s="1">
        <v>0.266018078027003</v>
      </c>
      <c r="BG36" s="1">
        <v>1</v>
      </c>
      <c r="BH36" s="1">
        <v>8.1000000000000003E-2</v>
      </c>
      <c r="BI36" s="1">
        <v>4.5999999999999999E-2</v>
      </c>
      <c r="BJ36" s="1">
        <v>5625</v>
      </c>
      <c r="BK36" s="1">
        <v>1</v>
      </c>
      <c r="BL36" s="1">
        <v>10.581646687584</v>
      </c>
      <c r="BM36" s="1">
        <v>0.66555461968692997</v>
      </c>
      <c r="BN36" s="1">
        <v>10.581646687584</v>
      </c>
      <c r="BO36" s="1">
        <v>1</v>
      </c>
      <c r="BP36" s="1">
        <v>865.43951161413804</v>
      </c>
      <c r="BQ36" s="1">
        <v>1</v>
      </c>
      <c r="BR36" s="1">
        <v>0.29527500000000001</v>
      </c>
    </row>
    <row r="37" spans="1:70">
      <c r="A37" s="2" t="s">
        <v>105</v>
      </c>
      <c r="B37" s="1">
        <v>13789520</v>
      </c>
      <c r="C37" s="1">
        <v>608.621106065763</v>
      </c>
      <c r="D37" s="1">
        <v>85.147893581579396</v>
      </c>
      <c r="E37" s="1">
        <v>624.86627494838604</v>
      </c>
      <c r="F37" s="1">
        <v>2643264.3898665099</v>
      </c>
      <c r="G37" s="1">
        <v>1562686.9740257801</v>
      </c>
      <c r="H37" s="1">
        <v>2.2019594042733499E-5</v>
      </c>
      <c r="I37" s="1">
        <v>7.2223252690249804E-5</v>
      </c>
      <c r="J37" s="1">
        <v>0.49112124879375701</v>
      </c>
      <c r="K37" s="1">
        <v>7679.7516396704104</v>
      </c>
      <c r="L37" s="1">
        <v>6.5036382888884496E-3</v>
      </c>
      <c r="M37" s="1">
        <v>36</v>
      </c>
      <c r="N37" s="1">
        <v>4068</v>
      </c>
      <c r="O37" s="3">
        <v>1.6417322322758899E-5</v>
      </c>
      <c r="P37" s="3">
        <v>1.4363361612212499E-2</v>
      </c>
      <c r="Q37" s="3">
        <v>4.5719999999999997E-3</v>
      </c>
      <c r="R37" s="1">
        <v>0.29527500000000001</v>
      </c>
      <c r="S37" s="4">
        <v>603562.89140624995</v>
      </c>
      <c r="T37" s="1">
        <v>599.09049781334397</v>
      </c>
      <c r="U37" s="5">
        <v>604.08135173488802</v>
      </c>
      <c r="V37" s="1">
        <v>0.03</v>
      </c>
      <c r="W37" s="3">
        <v>257519.501091521</v>
      </c>
      <c r="X37" s="1">
        <v>2.3116708671465602E-2</v>
      </c>
      <c r="Y37" s="1">
        <v>6.5771386945223496</v>
      </c>
      <c r="Z37" s="1">
        <v>6.5771387040627598</v>
      </c>
      <c r="AA37" s="1">
        <v>-9.5404093514161997E-9</v>
      </c>
      <c r="AB37" s="1">
        <v>1.0198277135691401E-5</v>
      </c>
      <c r="AC37" s="1">
        <v>614.879905089418</v>
      </c>
      <c r="AD37" s="1">
        <v>6921.4666881376797</v>
      </c>
      <c r="AE37" s="1">
        <v>604.08135188368703</v>
      </c>
      <c r="AF37" s="6">
        <v>1.48798903865099E-7</v>
      </c>
      <c r="AG37" s="1">
        <v>1.02057062671523E-5</v>
      </c>
      <c r="AH37" s="1">
        <v>76.526317561550002</v>
      </c>
      <c r="AI37" s="1">
        <v>0.34995472768417801</v>
      </c>
      <c r="AJ37" s="1">
        <v>30.9004619234525</v>
      </c>
      <c r="AK37" s="1">
        <v>0.411993958898832</v>
      </c>
      <c r="AL37" s="1">
        <v>1.1293680422758501</v>
      </c>
      <c r="AM37" s="1">
        <v>608.62110606571298</v>
      </c>
      <c r="AN37" s="1">
        <v>4.9794834922067802E-11</v>
      </c>
      <c r="AO37" s="1">
        <v>7.4291314608587999E-9</v>
      </c>
      <c r="AP37" s="1">
        <v>4.0287099789612997</v>
      </c>
      <c r="AQ37" s="1">
        <v>3.3597755080662001E-5</v>
      </c>
      <c r="AR37" s="1">
        <v>5.1065676993065601E-6</v>
      </c>
      <c r="AS37" s="1">
        <v>15.4614777871698</v>
      </c>
      <c r="AT37" s="1">
        <v>10.6417581318847</v>
      </c>
      <c r="AU37" s="1">
        <v>3.7241335691246</v>
      </c>
      <c r="AV37" s="1">
        <v>0.30457640983670697</v>
      </c>
      <c r="AW37" s="1">
        <v>6.1313202884575903E-3</v>
      </c>
      <c r="AX37" s="1">
        <v>0.30457638352561101</v>
      </c>
      <c r="AY37" s="1">
        <v>2.6311096523734501E-8</v>
      </c>
      <c r="AZ37" s="1">
        <v>1080577.4158407301</v>
      </c>
      <c r="BA37" s="1">
        <v>8.3395814680421008E-6</v>
      </c>
      <c r="BB37" s="4">
        <v>601501.56277781096</v>
      </c>
      <c r="BC37" s="4">
        <v>-2061.3286284388701</v>
      </c>
      <c r="BD37" s="7">
        <v>-0.34152673363270503</v>
      </c>
      <c r="BE37" s="4">
        <v>2587100</v>
      </c>
      <c r="BF37" s="1">
        <v>0.232500314165595</v>
      </c>
      <c r="BG37" s="1">
        <v>1</v>
      </c>
      <c r="BH37" s="1">
        <v>9.0999999999999998E-2</v>
      </c>
      <c r="BI37" s="1">
        <v>4.5999999999999999E-2</v>
      </c>
      <c r="BJ37" s="1">
        <v>5625</v>
      </c>
      <c r="BK37" s="1">
        <v>1</v>
      </c>
      <c r="BL37" s="1">
        <v>9.5306082524190305</v>
      </c>
      <c r="BM37" s="1">
        <v>0.60150156277781097</v>
      </c>
      <c r="BN37" s="1">
        <v>9.5306082524190305</v>
      </c>
      <c r="BO37" s="1">
        <v>1</v>
      </c>
      <c r="BP37" s="1">
        <v>928.38383346755495</v>
      </c>
      <c r="BQ37" s="1">
        <v>1</v>
      </c>
      <c r="BR37" s="1">
        <v>0.29527500000000001</v>
      </c>
    </row>
    <row r="38" spans="1:70">
      <c r="A38" s="2" t="s">
        <v>106</v>
      </c>
      <c r="B38" s="1">
        <v>13789520</v>
      </c>
      <c r="C38" s="1">
        <v>608.621106065763</v>
      </c>
      <c r="D38" s="1">
        <v>85.147893581579396</v>
      </c>
      <c r="E38" s="1">
        <v>624.86627494838604</v>
      </c>
      <c r="F38" s="1">
        <v>2643264.3898665099</v>
      </c>
      <c r="G38" s="1">
        <v>1562686.9740257801</v>
      </c>
      <c r="H38" s="1">
        <v>2.2019594042733499E-5</v>
      </c>
      <c r="I38" s="1">
        <v>7.2223252690249804E-5</v>
      </c>
      <c r="J38" s="1">
        <v>0.49112124879375701</v>
      </c>
      <c r="K38" s="1">
        <v>7679.7516396704104</v>
      </c>
      <c r="L38" s="1">
        <v>6.5036382888884496E-3</v>
      </c>
      <c r="M38" s="1">
        <v>37</v>
      </c>
      <c r="N38" s="1">
        <v>4068</v>
      </c>
      <c r="O38" s="3">
        <v>1.6417322322758899E-5</v>
      </c>
      <c r="P38" s="3">
        <v>1.4363361612212499E-2</v>
      </c>
      <c r="Q38" s="3">
        <v>4.5719999999999997E-3</v>
      </c>
      <c r="R38" s="1">
        <v>0.29527500000000001</v>
      </c>
      <c r="S38" s="4">
        <v>635394.44921875</v>
      </c>
      <c r="T38" s="1">
        <v>598.56653241397998</v>
      </c>
      <c r="U38" s="5">
        <v>603.82060108480596</v>
      </c>
      <c r="V38" s="1">
        <v>0.03</v>
      </c>
      <c r="W38" s="3">
        <v>257519.501091521</v>
      </c>
      <c r="X38" s="1">
        <v>2.3116708671465602E-2</v>
      </c>
      <c r="Y38" s="1">
        <v>6.5771386945223496</v>
      </c>
      <c r="Z38" s="1">
        <v>6.5771387040627598</v>
      </c>
      <c r="AA38" s="1">
        <v>-9.5404093514161997E-9</v>
      </c>
      <c r="AB38" s="1">
        <v>1.0198277135691401E-5</v>
      </c>
      <c r="AC38" s="1">
        <v>615.23948936378099</v>
      </c>
      <c r="AD38" s="1">
        <v>6921.4666881376797</v>
      </c>
      <c r="AE38" s="1">
        <v>603.82060108480596</v>
      </c>
      <c r="AF38" s="6">
        <v>0</v>
      </c>
      <c r="AG38" s="1">
        <v>1.02060857947484E-5</v>
      </c>
      <c r="AH38" s="1">
        <v>76.526317561550002</v>
      </c>
      <c r="AI38" s="1">
        <v>0.34995472768417801</v>
      </c>
      <c r="AJ38" s="1">
        <v>30.9016110431435</v>
      </c>
      <c r="AK38" s="1">
        <v>0.43566141673326703</v>
      </c>
      <c r="AL38" s="1">
        <v>1.1293680422758501</v>
      </c>
      <c r="AM38" s="1">
        <v>608.62110606571002</v>
      </c>
      <c r="AN38" s="1">
        <v>5.2978066378273102E-11</v>
      </c>
      <c r="AO38" s="1">
        <v>7.8086590569700806E-9</v>
      </c>
      <c r="AP38" s="1">
        <v>4.0288308798668302</v>
      </c>
      <c r="AQ38" s="1">
        <v>3.3595738645529398E-5</v>
      </c>
      <c r="AR38" s="1">
        <v>5.1069472269026696E-6</v>
      </c>
      <c r="AS38" s="1">
        <v>15.462626906860899</v>
      </c>
      <c r="AT38" s="1">
        <v>10.6421297254047</v>
      </c>
      <c r="AU38" s="1">
        <v>3.7242636100336899</v>
      </c>
      <c r="AV38" s="1">
        <v>0.30456726983313698</v>
      </c>
      <c r="AW38" s="1">
        <v>6.1313202884575903E-3</v>
      </c>
      <c r="AX38" s="1">
        <v>0.30456724351411202</v>
      </c>
      <c r="AY38" s="1">
        <v>2.6319025681065299E-8</v>
      </c>
      <c r="AZ38" s="1">
        <v>1080577.4158407301</v>
      </c>
      <c r="BA38" s="1">
        <v>8.3388307048122708E-6</v>
      </c>
      <c r="BB38" s="4">
        <v>632287.03446526802</v>
      </c>
      <c r="BC38" s="4">
        <v>-3107.4147534815102</v>
      </c>
      <c r="BD38" s="7">
        <v>-0.489052864295909</v>
      </c>
      <c r="BE38" s="4">
        <v>2587100</v>
      </c>
      <c r="BF38" s="1">
        <v>0.244399920554006</v>
      </c>
      <c r="BG38" s="1">
        <v>1</v>
      </c>
      <c r="BH38" s="1">
        <v>8.6999999999999994E-2</v>
      </c>
      <c r="BI38" s="1">
        <v>4.5999999999999999E-2</v>
      </c>
      <c r="BJ38" s="1">
        <v>5625</v>
      </c>
      <c r="BK38" s="1">
        <v>1</v>
      </c>
      <c r="BL38" s="1">
        <v>10.054573651783</v>
      </c>
      <c r="BM38" s="1">
        <v>0.63228703446526802</v>
      </c>
      <c r="BN38" s="1">
        <v>10.054573651783</v>
      </c>
      <c r="BO38" s="1">
        <v>1</v>
      </c>
      <c r="BP38" s="1">
        <v>896.72855917648803</v>
      </c>
      <c r="BQ38" s="1">
        <v>1</v>
      </c>
      <c r="BR38" s="1">
        <v>0.29527500000000001</v>
      </c>
    </row>
    <row r="39" spans="1:70">
      <c r="A39" s="2" t="s">
        <v>107</v>
      </c>
      <c r="B39" s="1">
        <v>13789520</v>
      </c>
      <c r="C39" s="1">
        <v>608.621106065763</v>
      </c>
      <c r="D39" s="1">
        <v>85.147893581579396</v>
      </c>
      <c r="E39" s="1">
        <v>624.86627494838604</v>
      </c>
      <c r="F39" s="1">
        <v>2643264.3898665099</v>
      </c>
      <c r="G39" s="1">
        <v>1562686.9740257801</v>
      </c>
      <c r="H39" s="1">
        <v>2.2019594042733499E-5</v>
      </c>
      <c r="I39" s="1">
        <v>7.2223252690249804E-5</v>
      </c>
      <c r="J39" s="1">
        <v>0.49112124879375701</v>
      </c>
      <c r="K39" s="1">
        <v>7679.7516396704104</v>
      </c>
      <c r="L39" s="1">
        <v>6.5036382888884496E-3</v>
      </c>
      <c r="M39" s="1">
        <v>38</v>
      </c>
      <c r="N39" s="1">
        <v>4068</v>
      </c>
      <c r="O39" s="3">
        <v>1.6417322322758899E-5</v>
      </c>
      <c r="P39" s="3">
        <v>1.4363361612212499E-2</v>
      </c>
      <c r="Q39" s="3">
        <v>4.5719999999999997E-3</v>
      </c>
      <c r="R39" s="1">
        <v>0.29527500000000001</v>
      </c>
      <c r="S39" s="4">
        <v>699294.33984375</v>
      </c>
      <c r="T39" s="1">
        <v>597.50931537045801</v>
      </c>
      <c r="U39" s="5">
        <v>603.29177142933099</v>
      </c>
      <c r="V39" s="1">
        <v>0.03</v>
      </c>
      <c r="W39" s="3">
        <v>257519.501091521</v>
      </c>
      <c r="X39" s="1">
        <v>2.3116708671465602E-2</v>
      </c>
      <c r="Y39" s="1">
        <v>6.5771386945223496</v>
      </c>
      <c r="Z39" s="1">
        <v>6.5771387040627598</v>
      </c>
      <c r="AA39" s="1">
        <v>-9.5404093514161997E-9</v>
      </c>
      <c r="AB39" s="1">
        <v>1.0198277135691401E-5</v>
      </c>
      <c r="AC39" s="1">
        <v>615.96883416511298</v>
      </c>
      <c r="AD39" s="1">
        <v>6921.4666881376797</v>
      </c>
      <c r="AE39" s="1">
        <v>603.29177158901905</v>
      </c>
      <c r="AF39" s="6">
        <v>1.5968817024258899E-7</v>
      </c>
      <c r="AG39" s="1">
        <v>1.02069928479438E-5</v>
      </c>
      <c r="AH39" s="1">
        <v>76.526317561550002</v>
      </c>
      <c r="AI39" s="1">
        <v>0.34995472768417801</v>
      </c>
      <c r="AJ39" s="1">
        <v>30.904357385434299</v>
      </c>
      <c r="AK39" s="1">
        <v>0.483664163006708</v>
      </c>
      <c r="AL39" s="1">
        <v>1.1293680422758501</v>
      </c>
      <c r="AM39" s="1">
        <v>608.62110606570297</v>
      </c>
      <c r="AN39" s="1">
        <v>5.9912963479291596E-11</v>
      </c>
      <c r="AO39" s="1">
        <v>8.7157122524309004E-9</v>
      </c>
      <c r="AP39" s="1">
        <v>4.0291197930463101</v>
      </c>
      <c r="AQ39" s="1">
        <v>3.3590920767596597E-5</v>
      </c>
      <c r="AR39" s="1">
        <v>5.1078542800981296E-6</v>
      </c>
      <c r="AS39" s="1">
        <v>15.4653732491517</v>
      </c>
      <c r="AT39" s="1">
        <v>10.643017704674</v>
      </c>
      <c r="AU39" s="1">
        <v>3.72457436257708</v>
      </c>
      <c r="AV39" s="1">
        <v>0.30454543046923599</v>
      </c>
      <c r="AW39" s="1">
        <v>6.1313202884575903E-3</v>
      </c>
      <c r="AX39" s="1">
        <v>0.30454540413101799</v>
      </c>
      <c r="AY39" s="1">
        <v>2.63382179399585E-8</v>
      </c>
      <c r="AZ39" s="1">
        <v>1080577.4158407301</v>
      </c>
      <c r="BA39" s="1">
        <v>8.3370369939284894E-6</v>
      </c>
      <c r="BB39" s="4">
        <v>705885.28284633695</v>
      </c>
      <c r="BC39" s="4">
        <v>6590.9430025869497</v>
      </c>
      <c r="BD39" s="7">
        <v>0.94251342060907095</v>
      </c>
      <c r="BE39" s="4">
        <v>2665975</v>
      </c>
      <c r="BF39" s="1">
        <v>0.26477565725347602</v>
      </c>
      <c r="BG39" s="1">
        <v>1</v>
      </c>
      <c r="BH39" s="1">
        <v>8.5999999999999993E-2</v>
      </c>
      <c r="BI39" s="1">
        <v>4.5999999999999999E-2</v>
      </c>
      <c r="BJ39" s="1">
        <v>5625</v>
      </c>
      <c r="BK39" s="1">
        <v>1</v>
      </c>
      <c r="BL39" s="1">
        <v>11.111790695305</v>
      </c>
      <c r="BM39" s="1">
        <v>0.705885282846337</v>
      </c>
      <c r="BN39" s="1">
        <v>11.111790695305</v>
      </c>
      <c r="BO39" s="1">
        <v>1</v>
      </c>
      <c r="BP39" s="1">
        <v>834.52863683186695</v>
      </c>
      <c r="BQ39" s="1">
        <v>1</v>
      </c>
      <c r="BR39" s="1">
        <v>0.29527500000000001</v>
      </c>
    </row>
    <row r="40" spans="1:70">
      <c r="A40" s="2" t="s">
        <v>108</v>
      </c>
      <c r="B40" s="1">
        <v>13789520</v>
      </c>
      <c r="C40" s="1">
        <v>608.621106065763</v>
      </c>
      <c r="D40" s="1">
        <v>85.147893581579396</v>
      </c>
      <c r="E40" s="1">
        <v>624.86627494838604</v>
      </c>
      <c r="F40" s="1">
        <v>2643264.3898665099</v>
      </c>
      <c r="G40" s="1">
        <v>1562686.9740257801</v>
      </c>
      <c r="H40" s="1">
        <v>2.2019594042733499E-5</v>
      </c>
      <c r="I40" s="1">
        <v>7.2223252690249804E-5</v>
      </c>
      <c r="J40" s="1">
        <v>0.49112124879375701</v>
      </c>
      <c r="K40" s="1">
        <v>7679.7516396704104</v>
      </c>
      <c r="L40" s="1">
        <v>6.5036382888884496E-3</v>
      </c>
      <c r="M40" s="1">
        <v>39</v>
      </c>
      <c r="N40" s="1">
        <v>2739.12</v>
      </c>
      <c r="O40" s="3">
        <v>1.7530051946856999E-5</v>
      </c>
      <c r="P40" s="3">
        <v>1.48421403326196E-2</v>
      </c>
      <c r="Q40" s="3">
        <v>4.7244000000000001E-3</v>
      </c>
      <c r="R40" s="1">
        <v>0.30480000000000002</v>
      </c>
      <c r="S40" s="4">
        <v>4997875.1789062498</v>
      </c>
      <c r="T40" s="1">
        <v>483.34023209662797</v>
      </c>
      <c r="U40" s="5">
        <v>544.65364123042104</v>
      </c>
      <c r="V40" s="1">
        <v>0.03</v>
      </c>
      <c r="W40" s="3">
        <v>179176.34620390099</v>
      </c>
      <c r="X40" s="1">
        <v>2.7016272721832199E-2</v>
      </c>
      <c r="Y40" s="1">
        <v>6.08397308544511</v>
      </c>
      <c r="Z40" s="1">
        <v>6.0839730934391998</v>
      </c>
      <c r="AA40" s="1">
        <v>-7.9940862818261799E-9</v>
      </c>
      <c r="AB40" s="1">
        <v>1.9247181791581701E-5</v>
      </c>
      <c r="AC40" s="1">
        <v>716.35676576981098</v>
      </c>
      <c r="AD40" s="1">
        <v>5206.1706901739799</v>
      </c>
      <c r="AE40" s="1">
        <v>544.65364123042104</v>
      </c>
      <c r="AF40" s="6">
        <v>0</v>
      </c>
      <c r="AG40" s="1">
        <v>1.93509819804075E-5</v>
      </c>
      <c r="AH40" s="1">
        <v>40.548097021038203</v>
      </c>
      <c r="AI40" s="1">
        <v>0.25473680394280102</v>
      </c>
      <c r="AJ40" s="1">
        <v>42.648596737144203</v>
      </c>
      <c r="AK40" s="1">
        <v>6.7347244038631002</v>
      </c>
      <c r="AL40" s="1">
        <v>1.1293680422758501</v>
      </c>
      <c r="AM40" s="1">
        <v>608.62110595738602</v>
      </c>
      <c r="AN40" s="1">
        <v>1.08376752905315E-7</v>
      </c>
      <c r="AO40" s="1">
        <v>1.03800188825759E-7</v>
      </c>
      <c r="AP40" s="1">
        <v>3.39057705577327</v>
      </c>
      <c r="AQ40" s="1">
        <v>4.7434576862562703E-5</v>
      </c>
      <c r="AR40" s="1">
        <v>9.7273910846166092E-6</v>
      </c>
      <c r="AS40" s="1">
        <v>21.438683581657202</v>
      </c>
      <c r="AT40" s="1">
        <v>12.2759846710413</v>
      </c>
      <c r="AU40" s="1">
        <v>3.1271451003518802</v>
      </c>
      <c r="AV40" s="1">
        <v>0.26343195542139097</v>
      </c>
      <c r="AW40" s="1">
        <v>1.1571624760161599E-2</v>
      </c>
      <c r="AX40" s="1">
        <v>0.26343194705758299</v>
      </c>
      <c r="AY40" s="1">
        <v>8.36380759094979E-9</v>
      </c>
      <c r="AZ40" s="1">
        <v>1080577.4158407301</v>
      </c>
      <c r="BA40" s="1">
        <v>1.3990119110195101E-5</v>
      </c>
      <c r="BB40" s="4">
        <v>5009792.1018941598</v>
      </c>
      <c r="BC40" s="4">
        <v>11916.92298791</v>
      </c>
      <c r="BD40" s="7">
        <v>0.238439788136484</v>
      </c>
      <c r="BE40" s="4">
        <v>5174200</v>
      </c>
      <c r="BF40" s="1">
        <v>0.96822544584557202</v>
      </c>
      <c r="BG40" s="1">
        <v>1</v>
      </c>
      <c r="BH40" s="1">
        <v>-0.159</v>
      </c>
      <c r="BI40" s="1">
        <v>4.5999999999999999E-2</v>
      </c>
      <c r="BJ40" s="1">
        <v>5625</v>
      </c>
      <c r="BK40" s="1">
        <v>1</v>
      </c>
      <c r="BL40" s="1">
        <v>125.280873969135</v>
      </c>
      <c r="BM40" s="1">
        <v>5.0097921018941598</v>
      </c>
      <c r="BN40" s="1">
        <v>125.280873969135</v>
      </c>
      <c r="BO40" s="1">
        <v>1</v>
      </c>
      <c r="BP40" s="1">
        <v>7272.8274649394898</v>
      </c>
      <c r="BQ40" s="1">
        <v>1</v>
      </c>
      <c r="BR40" s="1">
        <v>0.30480000000000002</v>
      </c>
    </row>
    <row r="41" spans="1:70">
      <c r="A41" s="2" t="s">
        <v>109</v>
      </c>
      <c r="B41" s="1">
        <v>13789520</v>
      </c>
      <c r="C41" s="1">
        <v>608.621106065763</v>
      </c>
      <c r="D41" s="1">
        <v>85.147893581579396</v>
      </c>
      <c r="E41" s="1">
        <v>624.86627494838604</v>
      </c>
      <c r="F41" s="1">
        <v>2643264.3898665099</v>
      </c>
      <c r="G41" s="1">
        <v>1562686.9740257801</v>
      </c>
      <c r="H41" s="1">
        <v>2.2019594042733499E-5</v>
      </c>
      <c r="I41" s="1">
        <v>7.2223252690249804E-5</v>
      </c>
      <c r="J41" s="1">
        <v>0.49112124879375701</v>
      </c>
      <c r="K41" s="1">
        <v>7679.7516396704104</v>
      </c>
      <c r="L41" s="1">
        <v>6.5036382888884496E-3</v>
      </c>
      <c r="M41" s="1">
        <v>40</v>
      </c>
      <c r="N41" s="1">
        <v>2759.46</v>
      </c>
      <c r="O41" s="3">
        <v>1.7530051946856999E-5</v>
      </c>
      <c r="P41" s="3">
        <v>1.48421403326196E-2</v>
      </c>
      <c r="Q41" s="3">
        <v>4.7244000000000001E-3</v>
      </c>
      <c r="R41" s="1">
        <v>0.30480000000000002</v>
      </c>
      <c r="S41" s="4">
        <v>1554029.35546875</v>
      </c>
      <c r="T41" s="1">
        <v>573.63997230882796</v>
      </c>
      <c r="U41" s="5">
        <v>592.56411582848</v>
      </c>
      <c r="V41" s="1">
        <v>0.03</v>
      </c>
      <c r="W41" s="3">
        <v>180506.86362620699</v>
      </c>
      <c r="X41" s="1">
        <v>2.6930964972430499E-2</v>
      </c>
      <c r="Y41" s="1">
        <v>6.0936014016155697</v>
      </c>
      <c r="Z41" s="1">
        <v>6.0936014084825096</v>
      </c>
      <c r="AA41" s="1">
        <v>-6.8669399055920597E-9</v>
      </c>
      <c r="AB41" s="1">
        <v>1.9024558052984499E-5</v>
      </c>
      <c r="AC41" s="1">
        <v>635.51578929672701</v>
      </c>
      <c r="AD41" s="1">
        <v>5236.5431749017198</v>
      </c>
      <c r="AE41" s="1">
        <v>592.56411582848</v>
      </c>
      <c r="AF41" s="6">
        <v>0</v>
      </c>
      <c r="AG41" s="1">
        <v>1.9056642877251801E-5</v>
      </c>
      <c r="AH41" s="1">
        <v>41.022587357512002</v>
      </c>
      <c r="AI41" s="1">
        <v>0.256222923040269</v>
      </c>
      <c r="AJ41" s="1">
        <v>42.2449128758835</v>
      </c>
      <c r="AK41" s="1">
        <v>1.68373116046981</v>
      </c>
      <c r="AL41" s="1">
        <v>1.1293680422758501</v>
      </c>
      <c r="AM41" s="1">
        <v>608.621106059407</v>
      </c>
      <c r="AN41" s="1">
        <v>6.3562310970155497E-9</v>
      </c>
      <c r="AO41" s="1">
        <v>3.20848242672619E-8</v>
      </c>
      <c r="AP41" s="1">
        <v>3.3932651311068098</v>
      </c>
      <c r="AQ41" s="1">
        <v>4.7359453224065799E-5</v>
      </c>
      <c r="AR41" s="1">
        <v>9.5443638507595094E-6</v>
      </c>
      <c r="AS41" s="1">
        <v>21.158019380862498</v>
      </c>
      <c r="AT41" s="1">
        <v>12.210095002852601</v>
      </c>
      <c r="AU41" s="1">
        <v>3.1285062322302699</v>
      </c>
      <c r="AV41" s="1">
        <v>0.26475889887653198</v>
      </c>
      <c r="AW41" s="1">
        <v>1.1437780834663999E-2</v>
      </c>
      <c r="AX41" s="1">
        <v>0.26475889022752902</v>
      </c>
      <c r="AY41" s="1">
        <v>8.6490035688946404E-9</v>
      </c>
      <c r="AZ41" s="1">
        <v>1080577.4158407301</v>
      </c>
      <c r="BA41" s="1">
        <v>1.3956897381790599E-5</v>
      </c>
      <c r="BB41" s="4">
        <v>1552221.7044804201</v>
      </c>
      <c r="BC41" s="4">
        <v>-1807.6509883250101</v>
      </c>
      <c r="BD41" s="7">
        <v>-0.11632026010086299</v>
      </c>
      <c r="BE41" s="4">
        <v>2943615</v>
      </c>
      <c r="BF41" s="1">
        <v>0.52731818002028996</v>
      </c>
      <c r="BG41" s="1">
        <v>1</v>
      </c>
      <c r="BH41" s="1">
        <v>5.1999999999999998E-2</v>
      </c>
      <c r="BI41" s="1">
        <v>4.5999999999999999E-2</v>
      </c>
      <c r="BJ41" s="1">
        <v>5625</v>
      </c>
      <c r="BK41" s="1">
        <v>1</v>
      </c>
      <c r="BL41" s="1">
        <v>34.981133756935002</v>
      </c>
      <c r="BM41" s="1">
        <v>1.5522217044804201</v>
      </c>
      <c r="BN41" s="1">
        <v>34.981133756935002</v>
      </c>
      <c r="BO41" s="1">
        <v>1</v>
      </c>
      <c r="BP41" s="1">
        <v>25.189018365776999</v>
      </c>
      <c r="BQ41" s="1">
        <v>1</v>
      </c>
      <c r="BR41" s="1">
        <v>0.30480000000000002</v>
      </c>
    </row>
    <row r="42" spans="1:70">
      <c r="A42" s="2" t="s">
        <v>110</v>
      </c>
      <c r="B42" s="1">
        <v>13789520</v>
      </c>
      <c r="C42" s="1">
        <v>608.621106065763</v>
      </c>
      <c r="D42" s="1">
        <v>85.147893581579396</v>
      </c>
      <c r="E42" s="1">
        <v>624.86627494838604</v>
      </c>
      <c r="F42" s="1">
        <v>2643264.3898665099</v>
      </c>
      <c r="G42" s="1">
        <v>1562686.9740257801</v>
      </c>
      <c r="H42" s="1">
        <v>2.2019594042733499E-5</v>
      </c>
      <c r="I42" s="1">
        <v>7.2223252690249804E-5</v>
      </c>
      <c r="J42" s="1">
        <v>0.49112124879375701</v>
      </c>
      <c r="K42" s="1">
        <v>7679.7516396704104</v>
      </c>
      <c r="L42" s="1">
        <v>6.5036382888884496E-3</v>
      </c>
      <c r="M42" s="1">
        <v>41</v>
      </c>
      <c r="N42" s="1">
        <v>2759.46</v>
      </c>
      <c r="O42" s="3">
        <v>1.7530051946856999E-5</v>
      </c>
      <c r="P42" s="3">
        <v>1.48421403326196E-2</v>
      </c>
      <c r="Q42" s="3">
        <v>4.7244000000000001E-3</v>
      </c>
      <c r="R42" s="1">
        <v>0.30480000000000002</v>
      </c>
      <c r="S42" s="4">
        <v>3167922.11328125</v>
      </c>
      <c r="T42" s="1">
        <v>532.84871111815698</v>
      </c>
      <c r="U42" s="5">
        <v>571.42598285362601</v>
      </c>
      <c r="V42" s="1">
        <v>0.03</v>
      </c>
      <c r="W42" s="3">
        <v>180506.86362620699</v>
      </c>
      <c r="X42" s="1">
        <v>2.6930964972430499E-2</v>
      </c>
      <c r="Y42" s="1">
        <v>6.0936014016155697</v>
      </c>
      <c r="Z42" s="1">
        <v>6.0936014084825096</v>
      </c>
      <c r="AA42" s="1">
        <v>-6.8669399055920597E-9</v>
      </c>
      <c r="AB42" s="1">
        <v>1.9024558052984499E-5</v>
      </c>
      <c r="AC42" s="1">
        <v>670.96727069597</v>
      </c>
      <c r="AD42" s="1">
        <v>5236.5431749017198</v>
      </c>
      <c r="AE42" s="1">
        <v>571.42598356329802</v>
      </c>
      <c r="AF42" s="6">
        <v>7.0967257670417904E-7</v>
      </c>
      <c r="AG42" s="1">
        <v>1.9090361367905199E-5</v>
      </c>
      <c r="AH42" s="1">
        <v>41.022587357512002</v>
      </c>
      <c r="AI42" s="1">
        <v>0.256222923040269</v>
      </c>
      <c r="AJ42" s="1">
        <v>42.319660285966997</v>
      </c>
      <c r="AK42" s="1">
        <v>3.9020776925596001</v>
      </c>
      <c r="AL42" s="1">
        <v>1.1293680422758501</v>
      </c>
      <c r="AM42" s="1">
        <v>608.62110604657505</v>
      </c>
      <c r="AN42" s="1">
        <v>1.9187723410141199E-8</v>
      </c>
      <c r="AO42" s="1">
        <v>6.5803314920697098E-8</v>
      </c>
      <c r="AP42" s="1">
        <v>3.3974564735003101</v>
      </c>
      <c r="AQ42" s="1">
        <v>4.7242673365981097E-5</v>
      </c>
      <c r="AR42" s="1">
        <v>9.5780823414129396E-6</v>
      </c>
      <c r="AS42" s="1">
        <v>21.232766790945998</v>
      </c>
      <c r="AT42" s="1">
        <v>12.227727959044801</v>
      </c>
      <c r="AU42" s="1">
        <v>3.13302419980768</v>
      </c>
      <c r="AV42" s="1">
        <v>0.26443227369263</v>
      </c>
      <c r="AW42" s="1">
        <v>1.1437780834663999E-2</v>
      </c>
      <c r="AX42" s="1">
        <v>0.26443226495084798</v>
      </c>
      <c r="AY42" s="1">
        <v>8.7417812433265901E-9</v>
      </c>
      <c r="AZ42" s="1">
        <v>1080577.4158407301</v>
      </c>
      <c r="BA42" s="1">
        <v>1.3905306435702E-5</v>
      </c>
      <c r="BB42" s="4">
        <v>3195289.2662133402</v>
      </c>
      <c r="BC42" s="4">
        <v>27367.152932094399</v>
      </c>
      <c r="BD42" s="7">
        <v>0.86388338959975997</v>
      </c>
      <c r="BE42" s="4">
        <v>4227700</v>
      </c>
      <c r="BF42" s="1">
        <v>0.755798487644191</v>
      </c>
      <c r="BG42" s="1">
        <v>1</v>
      </c>
      <c r="BH42" s="1">
        <v>-3.1E-2</v>
      </c>
      <c r="BI42" s="1">
        <v>4.5999999999999999E-2</v>
      </c>
      <c r="BJ42" s="1">
        <v>5625</v>
      </c>
      <c r="BK42" s="1">
        <v>1</v>
      </c>
      <c r="BL42" s="1">
        <v>75.772394947606003</v>
      </c>
      <c r="BM42" s="1">
        <v>3.1952892662133401</v>
      </c>
      <c r="BN42" s="1">
        <v>75.772394947606003</v>
      </c>
      <c r="BO42" s="1">
        <v>1</v>
      </c>
      <c r="BP42" s="1">
        <v>1279.66424028751</v>
      </c>
      <c r="BQ42" s="1">
        <v>1</v>
      </c>
      <c r="BR42" s="1">
        <v>0.30480000000000002</v>
      </c>
    </row>
    <row r="43" spans="1:70">
      <c r="A43" s="2" t="s">
        <v>111</v>
      </c>
      <c r="B43" s="1">
        <v>13789520</v>
      </c>
      <c r="C43" s="1">
        <v>608.621106065763</v>
      </c>
      <c r="D43" s="1">
        <v>85.147893581579396</v>
      </c>
      <c r="E43" s="1">
        <v>624.86627494838604</v>
      </c>
      <c r="F43" s="1">
        <v>2643264.3898665099</v>
      </c>
      <c r="G43" s="1">
        <v>1562686.9740257801</v>
      </c>
      <c r="H43" s="1">
        <v>2.2019594042733499E-5</v>
      </c>
      <c r="I43" s="1">
        <v>7.2223252690249804E-5</v>
      </c>
      <c r="J43" s="1">
        <v>0.49112124879375701</v>
      </c>
      <c r="K43" s="1">
        <v>7679.7516396704104</v>
      </c>
      <c r="L43" s="1">
        <v>6.5036382888884496E-3</v>
      </c>
      <c r="M43" s="1">
        <v>42</v>
      </c>
      <c r="N43" s="1">
        <v>2759.46</v>
      </c>
      <c r="O43" s="3">
        <v>1.7530051946856999E-5</v>
      </c>
      <c r="P43" s="3">
        <v>1.48421403326196E-2</v>
      </c>
      <c r="Q43" s="3">
        <v>4.7244000000000001E-3</v>
      </c>
      <c r="R43" s="1">
        <v>0.30480000000000002</v>
      </c>
      <c r="S43" s="4">
        <v>3190008.30078125</v>
      </c>
      <c r="T43" s="1">
        <v>532.27181435384398</v>
      </c>
      <c r="U43" s="5">
        <v>571.11803994181298</v>
      </c>
      <c r="V43" s="1">
        <v>0.03</v>
      </c>
      <c r="W43" s="3">
        <v>180506.86362620699</v>
      </c>
      <c r="X43" s="1">
        <v>2.6930964972430499E-2</v>
      </c>
      <c r="Y43" s="1">
        <v>6.0936014016155697</v>
      </c>
      <c r="Z43" s="1">
        <v>6.0936014084825096</v>
      </c>
      <c r="AA43" s="1">
        <v>-6.8669399055920597E-9</v>
      </c>
      <c r="AB43" s="1">
        <v>1.9024558052984499E-5</v>
      </c>
      <c r="AC43" s="1">
        <v>671.48342608206201</v>
      </c>
      <c r="AD43" s="1">
        <v>5236.5431749017198</v>
      </c>
      <c r="AE43" s="1">
        <v>571.11804065664705</v>
      </c>
      <c r="AF43" s="6">
        <v>7.1483418651041596E-7</v>
      </c>
      <c r="AG43" s="1">
        <v>1.9090349740379298E-5</v>
      </c>
      <c r="AH43" s="1">
        <v>41.022587357512002</v>
      </c>
      <c r="AI43" s="1">
        <v>0.256222923040269</v>
      </c>
      <c r="AJ43" s="1">
        <v>42.319634509977902</v>
      </c>
      <c r="AK43" s="1">
        <v>3.9343828360555002</v>
      </c>
      <c r="AL43" s="1">
        <v>1.1293680422758501</v>
      </c>
      <c r="AM43" s="1">
        <v>608.62110604641805</v>
      </c>
      <c r="AN43" s="1">
        <v>1.9344838619872498E-8</v>
      </c>
      <c r="AO43" s="1">
        <v>6.5791687394776104E-8</v>
      </c>
      <c r="AP43" s="1">
        <v>3.3974550305687101</v>
      </c>
      <c r="AQ43" s="1">
        <v>4.7242713494818599E-5</v>
      </c>
      <c r="AR43" s="1">
        <v>9.5780707138870203E-6</v>
      </c>
      <c r="AS43" s="1">
        <v>21.2327410149569</v>
      </c>
      <c r="AT43" s="1">
        <v>12.22772188918</v>
      </c>
      <c r="AU43" s="1">
        <v>3.13302264456917</v>
      </c>
      <c r="AV43" s="1">
        <v>0.264432385999538</v>
      </c>
      <c r="AW43" s="1">
        <v>1.1437780834663999E-2</v>
      </c>
      <c r="AX43" s="1">
        <v>0.26443237725775598</v>
      </c>
      <c r="AY43" s="1">
        <v>8.7417814098600405E-9</v>
      </c>
      <c r="AZ43" s="1">
        <v>1080577.4158407301</v>
      </c>
      <c r="BA43" s="1">
        <v>1.3905324152858801E-5</v>
      </c>
      <c r="BB43" s="4">
        <v>3194720.58422013</v>
      </c>
      <c r="BC43" s="4">
        <v>4712.2834388800002</v>
      </c>
      <c r="BD43" s="7">
        <v>0.14772009959114901</v>
      </c>
      <c r="BE43" s="4">
        <v>4196150</v>
      </c>
      <c r="BF43" s="1">
        <v>0.761345658334457</v>
      </c>
      <c r="BG43" s="1">
        <v>1</v>
      </c>
      <c r="BH43" s="1">
        <v>-3.5999999999999997E-2</v>
      </c>
      <c r="BI43" s="1">
        <v>4.5999999999999999E-2</v>
      </c>
      <c r="BJ43" s="1">
        <v>5625</v>
      </c>
      <c r="BK43" s="1">
        <v>1</v>
      </c>
      <c r="BL43" s="1">
        <v>76.349291711918994</v>
      </c>
      <c r="BM43" s="1">
        <v>3.1947205842201298</v>
      </c>
      <c r="BN43" s="1">
        <v>76.349291711918994</v>
      </c>
      <c r="BO43" s="1">
        <v>1</v>
      </c>
      <c r="BP43" s="1">
        <v>1321.27100795819</v>
      </c>
      <c r="BQ43" s="1">
        <v>1</v>
      </c>
      <c r="BR43" s="1">
        <v>0.30480000000000002</v>
      </c>
    </row>
    <row r="44" spans="1:70">
      <c r="A44" s="2" t="s">
        <v>112</v>
      </c>
      <c r="B44" s="1">
        <v>13789520</v>
      </c>
      <c r="C44" s="1">
        <v>608.621106065763</v>
      </c>
      <c r="D44" s="1">
        <v>85.147893581579396</v>
      </c>
      <c r="E44" s="1">
        <v>624.86627494838604</v>
      </c>
      <c r="F44" s="1">
        <v>2643264.3898665099</v>
      </c>
      <c r="G44" s="1">
        <v>1562686.9740257801</v>
      </c>
      <c r="H44" s="1">
        <v>2.2019594042733499E-5</v>
      </c>
      <c r="I44" s="1">
        <v>7.2223252690249804E-5</v>
      </c>
      <c r="J44" s="1">
        <v>0.49112124879375701</v>
      </c>
      <c r="K44" s="1">
        <v>7679.7516396704104</v>
      </c>
      <c r="L44" s="1">
        <v>6.5036382888884496E-3</v>
      </c>
      <c r="M44" s="1">
        <v>43</v>
      </c>
      <c r="N44" s="1">
        <v>2766.24</v>
      </c>
      <c r="O44" s="3">
        <v>1.7530051946856999E-5</v>
      </c>
      <c r="P44" s="3">
        <v>1.48421403326196E-2</v>
      </c>
      <c r="Q44" s="3">
        <v>4.7244000000000001E-3</v>
      </c>
      <c r="R44" s="1">
        <v>0.30480000000000002</v>
      </c>
      <c r="S44" s="4">
        <v>3173239.16015625</v>
      </c>
      <c r="T44" s="1">
        <v>532.84871111815698</v>
      </c>
      <c r="U44" s="5">
        <v>571.39602019133895</v>
      </c>
      <c r="V44" s="1">
        <v>0.03</v>
      </c>
      <c r="W44" s="3">
        <v>180950.36943364199</v>
      </c>
      <c r="X44" s="1">
        <v>2.6902755474970001E-2</v>
      </c>
      <c r="Y44" s="1">
        <v>6.0967953568832902</v>
      </c>
      <c r="Z44" s="1">
        <v>6.09679536327066</v>
      </c>
      <c r="AA44" s="1">
        <v>-6.3873750733023396E-9</v>
      </c>
      <c r="AB44" s="1">
        <v>1.8951265668188598E-5</v>
      </c>
      <c r="AC44" s="1">
        <v>670.935483824568</v>
      </c>
      <c r="AD44" s="1">
        <v>5246.65934293999</v>
      </c>
      <c r="AE44" s="1">
        <v>571.39602019133895</v>
      </c>
      <c r="AF44" s="6">
        <v>0</v>
      </c>
      <c r="AG44" s="1">
        <v>1.9016875766912899E-5</v>
      </c>
      <c r="AH44" s="1">
        <v>41.1812386745571</v>
      </c>
      <c r="AI44" s="1">
        <v>0.25671790495069302</v>
      </c>
      <c r="AJ44" s="1">
        <v>42.238196984168397</v>
      </c>
      <c r="AK44" s="1">
        <v>3.9012644067573699</v>
      </c>
      <c r="AL44" s="1">
        <v>1.1293680422758501</v>
      </c>
      <c r="AM44" s="1">
        <v>608.62110605571797</v>
      </c>
      <c r="AN44" s="1">
        <v>1.0045482667919701E-8</v>
      </c>
      <c r="AO44" s="1">
        <v>6.5610098724314696E-8</v>
      </c>
      <c r="AP44" s="1">
        <v>3.4012547611659301</v>
      </c>
      <c r="AQ44" s="1">
        <v>4.7137217537298897E-5</v>
      </c>
      <c r="AR44" s="1">
        <v>9.5412429328186104E-6</v>
      </c>
      <c r="AS44" s="1">
        <v>21.191961466739802</v>
      </c>
      <c r="AT44" s="1">
        <v>12.218109668376799</v>
      </c>
      <c r="AU44" s="1">
        <v>3.1366075165235001</v>
      </c>
      <c r="AV44" s="1">
        <v>0.264647244642436</v>
      </c>
      <c r="AW44" s="1">
        <v>1.1393716618727401E-2</v>
      </c>
      <c r="AX44" s="1">
        <v>0.26464723574303201</v>
      </c>
      <c r="AY44" s="1">
        <v>8.8994039915135692E-9</v>
      </c>
      <c r="AZ44" s="1">
        <v>1080577.4158407301</v>
      </c>
      <c r="BA44" s="1">
        <v>1.38587729668155E-5</v>
      </c>
      <c r="BB44" s="4">
        <v>3196604.3286740002</v>
      </c>
      <c r="BC44" s="4">
        <v>23365.168517746501</v>
      </c>
      <c r="BD44" s="7">
        <v>0.73631917855810103</v>
      </c>
      <c r="BE44" s="4">
        <v>4224545</v>
      </c>
      <c r="BF44" s="1">
        <v>0.75667422850839505</v>
      </c>
      <c r="BG44" s="1">
        <v>1</v>
      </c>
      <c r="BH44" s="1">
        <v>-3.2000000000000001E-2</v>
      </c>
      <c r="BI44" s="1">
        <v>4.5999999999999999E-2</v>
      </c>
      <c r="BJ44" s="1">
        <v>5625</v>
      </c>
      <c r="BK44" s="1">
        <v>1</v>
      </c>
      <c r="BL44" s="1">
        <v>75.772394947606003</v>
      </c>
      <c r="BM44" s="1">
        <v>3.1966043286739998</v>
      </c>
      <c r="BN44" s="1">
        <v>75.772394947606003</v>
      </c>
      <c r="BO44" s="1">
        <v>1</v>
      </c>
      <c r="BP44" s="1">
        <v>1279.66424028751</v>
      </c>
      <c r="BQ44" s="1">
        <v>1</v>
      </c>
      <c r="BR44" s="1">
        <v>0.30480000000000002</v>
      </c>
    </row>
    <row r="45" spans="1:70">
      <c r="A45" s="2" t="s">
        <v>113</v>
      </c>
      <c r="B45" s="1">
        <v>13789520</v>
      </c>
      <c r="C45" s="1">
        <v>608.621106065763</v>
      </c>
      <c r="D45" s="1">
        <v>85.147893581579396</v>
      </c>
      <c r="E45" s="1">
        <v>624.86627494838604</v>
      </c>
      <c r="F45" s="1">
        <v>2643264.3898665099</v>
      </c>
      <c r="G45" s="1">
        <v>1562686.9740257801</v>
      </c>
      <c r="H45" s="1">
        <v>2.2019594042733499E-5</v>
      </c>
      <c r="I45" s="1">
        <v>7.2223252690249804E-5</v>
      </c>
      <c r="J45" s="1">
        <v>0.49112124879375701</v>
      </c>
      <c r="K45" s="1">
        <v>7679.7516396704104</v>
      </c>
      <c r="L45" s="1">
        <v>6.5036382888884496E-3</v>
      </c>
      <c r="M45" s="1">
        <v>44</v>
      </c>
      <c r="N45" s="1">
        <v>2779.8</v>
      </c>
      <c r="O45" s="3">
        <v>1.7530051946856999E-5</v>
      </c>
      <c r="P45" s="3">
        <v>1.48421403326196E-2</v>
      </c>
      <c r="Q45" s="3">
        <v>4.7244000000000001E-3</v>
      </c>
      <c r="R45" s="1">
        <v>0.30480000000000002</v>
      </c>
      <c r="S45" s="4">
        <v>3183847.75390625</v>
      </c>
      <c r="T45" s="1">
        <v>532.84871111815698</v>
      </c>
      <c r="U45" s="5">
        <v>571.33622509144197</v>
      </c>
      <c r="V45" s="1">
        <v>0.03</v>
      </c>
      <c r="W45" s="3">
        <v>181837.38104851299</v>
      </c>
      <c r="X45" s="1">
        <v>2.68466716729229E-2</v>
      </c>
      <c r="Y45" s="1">
        <v>6.1031602626924704</v>
      </c>
      <c r="Z45" s="1">
        <v>6.1031602680645403</v>
      </c>
      <c r="AA45" s="1">
        <v>-5.3720743409257904E-9</v>
      </c>
      <c r="AB45" s="1">
        <v>1.8806030895976101E-5</v>
      </c>
      <c r="AC45" s="1">
        <v>670.87158033377602</v>
      </c>
      <c r="AD45" s="1">
        <v>5266.8797671340399</v>
      </c>
      <c r="AE45" s="1">
        <v>571.33622580015799</v>
      </c>
      <c r="AF45" s="6">
        <v>7.0871578827791403E-7</v>
      </c>
      <c r="AG45" s="1">
        <v>1.8870692345338599E-5</v>
      </c>
      <c r="AH45" s="1">
        <v>41.499272174098301</v>
      </c>
      <c r="AI45" s="1">
        <v>0.25770728592571202</v>
      </c>
      <c r="AJ45" s="1">
        <v>42.075043478738102</v>
      </c>
      <c r="AK45" s="1">
        <v>3.8996258260758299</v>
      </c>
      <c r="AL45" s="1">
        <v>1.1293680422758501</v>
      </c>
      <c r="AM45" s="1">
        <v>608.62110603116798</v>
      </c>
      <c r="AN45" s="1">
        <v>3.4594791031850003E-8</v>
      </c>
      <c r="AO45" s="1">
        <v>6.4661449362497702E-8</v>
      </c>
      <c r="AP45" s="1">
        <v>3.4087609577370901</v>
      </c>
      <c r="AQ45" s="1">
        <v>4.6929850894448797E-5</v>
      </c>
      <c r="AR45" s="1">
        <v>9.4676768973505602E-6</v>
      </c>
      <c r="AS45" s="1">
        <v>21.1096079470062</v>
      </c>
      <c r="AT45" s="1">
        <v>12.198641448895099</v>
      </c>
      <c r="AU45" s="1">
        <v>3.1436787797756498</v>
      </c>
      <c r="AV45" s="1">
        <v>0.26508217796144301</v>
      </c>
      <c r="AW45" s="1">
        <v>1.13063998206439E-2</v>
      </c>
      <c r="AX45" s="1">
        <v>0.26508216875476998</v>
      </c>
      <c r="AY45" s="1">
        <v>9.2066726464778997E-9</v>
      </c>
      <c r="AZ45" s="1">
        <v>1080577.4158407301</v>
      </c>
      <c r="BA45" s="1">
        <v>1.3767422085707999E-5</v>
      </c>
      <c r="BB45" s="4">
        <v>3171288.69817896</v>
      </c>
      <c r="BC45" s="4">
        <v>-12559.0557272891</v>
      </c>
      <c r="BD45" s="7">
        <v>-0.39446156657083897</v>
      </c>
      <c r="BE45" s="4">
        <v>4192995</v>
      </c>
      <c r="BF45" s="1">
        <v>0.75633018836868704</v>
      </c>
      <c r="BG45" s="1">
        <v>1</v>
      </c>
      <c r="BH45" s="1">
        <v>-3.6999999999999998E-2</v>
      </c>
      <c r="BI45" s="1">
        <v>4.5999999999999999E-2</v>
      </c>
      <c r="BJ45" s="1">
        <v>5625</v>
      </c>
      <c r="BK45" s="1">
        <v>1</v>
      </c>
      <c r="BL45" s="1">
        <v>75.772394947606003</v>
      </c>
      <c r="BM45" s="1">
        <v>3.1712886981789601</v>
      </c>
      <c r="BN45" s="1">
        <v>75.772394947606003</v>
      </c>
      <c r="BO45" s="1">
        <v>1</v>
      </c>
      <c r="BP45" s="1">
        <v>1279.66424028751</v>
      </c>
      <c r="BQ45" s="1">
        <v>1</v>
      </c>
      <c r="BR45" s="1">
        <v>0.30480000000000002</v>
      </c>
    </row>
    <row r="46" spans="1:70">
      <c r="A46" s="2" t="s">
        <v>114</v>
      </c>
      <c r="B46" s="1">
        <v>13789520</v>
      </c>
      <c r="C46" s="1">
        <v>608.621106065763</v>
      </c>
      <c r="D46" s="1">
        <v>85.147893581579396</v>
      </c>
      <c r="E46" s="1">
        <v>624.86627494838604</v>
      </c>
      <c r="F46" s="1">
        <v>2643264.3898665099</v>
      </c>
      <c r="G46" s="1">
        <v>1562686.9740257801</v>
      </c>
      <c r="H46" s="1">
        <v>2.2019594042733499E-5</v>
      </c>
      <c r="I46" s="1">
        <v>7.2223252690249804E-5</v>
      </c>
      <c r="J46" s="1">
        <v>0.49112124879375701</v>
      </c>
      <c r="K46" s="1">
        <v>7679.7516396704104</v>
      </c>
      <c r="L46" s="1">
        <v>6.5036382888884496E-3</v>
      </c>
      <c r="M46" s="1">
        <v>45</v>
      </c>
      <c r="N46" s="1">
        <v>2793.36</v>
      </c>
      <c r="O46" s="3">
        <v>1.7530051946856999E-5</v>
      </c>
      <c r="P46" s="3">
        <v>1.48421403326196E-2</v>
      </c>
      <c r="Q46" s="3">
        <v>4.7244000000000001E-3</v>
      </c>
      <c r="R46" s="1">
        <v>0.30480000000000002</v>
      </c>
      <c r="S46" s="4">
        <v>3129604.55859375</v>
      </c>
      <c r="T46" s="1">
        <v>534.52714511009196</v>
      </c>
      <c r="U46" s="5">
        <v>572.17529800959301</v>
      </c>
      <c r="V46" s="1">
        <v>0.03</v>
      </c>
      <c r="W46" s="3">
        <v>182724.392663384</v>
      </c>
      <c r="X46" s="1">
        <v>2.67910299549288E-2</v>
      </c>
      <c r="Y46" s="1">
        <v>6.1094947370234403</v>
      </c>
      <c r="Z46" s="1">
        <v>6.1094947413837097</v>
      </c>
      <c r="AA46" s="1">
        <v>-4.3602650379170898E-9</v>
      </c>
      <c r="AB46" s="1">
        <v>1.86625707959308E-5</v>
      </c>
      <c r="AC46" s="1">
        <v>669.312016950984</v>
      </c>
      <c r="AD46" s="1">
        <v>5287.0843949454502</v>
      </c>
      <c r="AE46" s="1">
        <v>572.17529870271301</v>
      </c>
      <c r="AF46" s="6">
        <v>6.9312011419242502E-7</v>
      </c>
      <c r="AG46" s="1">
        <v>1.87264977130102E-5</v>
      </c>
      <c r="AH46" s="1">
        <v>41.818279121372697</v>
      </c>
      <c r="AI46" s="1">
        <v>0.25869589398715098</v>
      </c>
      <c r="AJ46" s="1">
        <v>41.913713415645603</v>
      </c>
      <c r="AK46" s="1">
        <v>3.8042171701234402</v>
      </c>
      <c r="AL46" s="1">
        <v>1.1293680422758501</v>
      </c>
      <c r="AM46" s="1">
        <v>608.62110606186195</v>
      </c>
      <c r="AN46" s="1">
        <v>3.9005954022286501E-9</v>
      </c>
      <c r="AO46" s="1">
        <v>6.3926917079369201E-8</v>
      </c>
      <c r="AP46" s="1">
        <v>3.4162671376754701</v>
      </c>
      <c r="AQ46" s="1">
        <v>4.67238500776717E-5</v>
      </c>
      <c r="AR46" s="1">
        <v>9.3952123150447896E-6</v>
      </c>
      <c r="AS46" s="1">
        <v>21.028397433778999</v>
      </c>
      <c r="AT46" s="1">
        <v>12.179368914981699</v>
      </c>
      <c r="AU46" s="1">
        <v>3.15075272966053</v>
      </c>
      <c r="AV46" s="1">
        <v>0.26551440801494097</v>
      </c>
      <c r="AW46" s="1">
        <v>1.1220149975666401E-2</v>
      </c>
      <c r="AX46" s="1">
        <v>0.26551439851068598</v>
      </c>
      <c r="AY46" s="1">
        <v>9.5042557157754004E-9</v>
      </c>
      <c r="AZ46" s="1">
        <v>1080577.4158407301</v>
      </c>
      <c r="BA46" s="1">
        <v>1.36768725028523E-5</v>
      </c>
      <c r="BB46" s="4">
        <v>3156021.3654002598</v>
      </c>
      <c r="BC46" s="4">
        <v>26416.8068065103</v>
      </c>
      <c r="BD46" s="7">
        <v>0.84409408000033004</v>
      </c>
      <c r="BE46" s="4">
        <v>4126740</v>
      </c>
      <c r="BF46" s="1">
        <v>0.76477349321747001</v>
      </c>
      <c r="BG46" s="1">
        <v>1</v>
      </c>
      <c r="BH46" s="1">
        <v>-3.6999999999999998E-2</v>
      </c>
      <c r="BI46" s="1">
        <v>4.5999999999999999E-2</v>
      </c>
      <c r="BJ46" s="1">
        <v>5625</v>
      </c>
      <c r="BK46" s="1">
        <v>1</v>
      </c>
      <c r="BL46" s="1">
        <v>74.093960955670994</v>
      </c>
      <c r="BM46" s="1">
        <v>3.1560213654002598</v>
      </c>
      <c r="BN46" s="1">
        <v>74.093960955670994</v>
      </c>
      <c r="BO46" s="1">
        <v>1</v>
      </c>
      <c r="BP46" s="1">
        <v>1162.3981736468199</v>
      </c>
      <c r="BQ46" s="1">
        <v>1</v>
      </c>
      <c r="BR46" s="1">
        <v>0.30480000000000002</v>
      </c>
    </row>
    <row r="47" spans="1:70">
      <c r="A47" s="2" t="s">
        <v>115</v>
      </c>
      <c r="B47" s="1">
        <v>13789520</v>
      </c>
      <c r="C47" s="1">
        <v>608.621106065763</v>
      </c>
      <c r="D47" s="1">
        <v>85.147893581579396</v>
      </c>
      <c r="E47" s="1">
        <v>624.86627494838604</v>
      </c>
      <c r="F47" s="1">
        <v>2643264.3898665099</v>
      </c>
      <c r="G47" s="1">
        <v>1562686.9740257801</v>
      </c>
      <c r="H47" s="1">
        <v>2.2019594042733499E-5</v>
      </c>
      <c r="I47" s="1">
        <v>7.2223252690249804E-5</v>
      </c>
      <c r="J47" s="1">
        <v>0.49112124879375701</v>
      </c>
      <c r="K47" s="1">
        <v>7679.7516396704104</v>
      </c>
      <c r="L47" s="1">
        <v>6.5036382888884496E-3</v>
      </c>
      <c r="M47" s="1">
        <v>46</v>
      </c>
      <c r="N47" s="1">
        <v>2793.36</v>
      </c>
      <c r="O47" s="3">
        <v>1.7530051946856999E-5</v>
      </c>
      <c r="P47" s="3">
        <v>1.48421403326196E-2</v>
      </c>
      <c r="Q47" s="3">
        <v>4.7244000000000001E-3</v>
      </c>
      <c r="R47" s="1">
        <v>0.30480000000000002</v>
      </c>
      <c r="S47" s="4">
        <v>3194468.84765625</v>
      </c>
      <c r="T47" s="1">
        <v>532.84871111815698</v>
      </c>
      <c r="U47" s="5">
        <v>571.27716089754199</v>
      </c>
      <c r="V47" s="1">
        <v>0.03</v>
      </c>
      <c r="W47" s="3">
        <v>182724.392663384</v>
      </c>
      <c r="X47" s="1">
        <v>2.67910299549288E-2</v>
      </c>
      <c r="Y47" s="1">
        <v>6.1094947370234403</v>
      </c>
      <c r="Z47" s="1">
        <v>6.1094947413837097</v>
      </c>
      <c r="AA47" s="1">
        <v>-4.3602650379170898E-9</v>
      </c>
      <c r="AB47" s="1">
        <v>1.86625707959308E-5</v>
      </c>
      <c r="AC47" s="1">
        <v>670.80915998037597</v>
      </c>
      <c r="AD47" s="1">
        <v>5287.0843949454502</v>
      </c>
      <c r="AE47" s="1">
        <v>571.27716160563295</v>
      </c>
      <c r="AF47" s="6">
        <v>7.0809142016514702E-7</v>
      </c>
      <c r="AG47" s="1">
        <v>1.8727602180165001E-5</v>
      </c>
      <c r="AH47" s="1">
        <v>41.818279121372697</v>
      </c>
      <c r="AI47" s="1">
        <v>0.25869589398715098</v>
      </c>
      <c r="AJ47" s="1">
        <v>41.916185437937898</v>
      </c>
      <c r="AK47" s="1">
        <v>3.8980248048541899</v>
      </c>
      <c r="AL47" s="1">
        <v>1.1293680422758501</v>
      </c>
      <c r="AM47" s="1">
        <v>608.62110606176304</v>
      </c>
      <c r="AN47" s="1">
        <v>4.0002987589104999E-9</v>
      </c>
      <c r="AO47" s="1">
        <v>6.5031384234194206E-8</v>
      </c>
      <c r="AP47" s="1">
        <v>3.4164082208842301</v>
      </c>
      <c r="AQ47" s="1">
        <v>4.6719991162601298E-5</v>
      </c>
      <c r="AR47" s="1">
        <v>9.3963167821996095E-6</v>
      </c>
      <c r="AS47" s="1">
        <v>21.030869456071301</v>
      </c>
      <c r="AT47" s="1">
        <v>12.1799566623388</v>
      </c>
      <c r="AU47" s="1">
        <v>3.15090477748848</v>
      </c>
      <c r="AV47" s="1">
        <v>0.265503443395748</v>
      </c>
      <c r="AW47" s="1">
        <v>1.1220149975666401E-2</v>
      </c>
      <c r="AX47" s="1">
        <v>0.26550343388910302</v>
      </c>
      <c r="AY47" s="1">
        <v>9.5066458039028101E-9</v>
      </c>
      <c r="AZ47" s="1">
        <v>1080577.4158407301</v>
      </c>
      <c r="BA47" s="1">
        <v>1.36751781818712E-5</v>
      </c>
      <c r="BB47" s="4">
        <v>3210945.8148261099</v>
      </c>
      <c r="BC47" s="4">
        <v>16476.9671698641</v>
      </c>
      <c r="BD47" s="7">
        <v>0.515796771095548</v>
      </c>
      <c r="BE47" s="4">
        <v>4164600</v>
      </c>
      <c r="BF47" s="1">
        <v>0.77100941622871699</v>
      </c>
      <c r="BG47" s="1">
        <v>1</v>
      </c>
      <c r="BH47" s="1">
        <v>-3.9E-2</v>
      </c>
      <c r="BI47" s="1">
        <v>4.5999999999999999E-2</v>
      </c>
      <c r="BJ47" s="1">
        <v>5625</v>
      </c>
      <c r="BK47" s="1">
        <v>1</v>
      </c>
      <c r="BL47" s="1">
        <v>75.772394947606003</v>
      </c>
      <c r="BM47" s="1">
        <v>3.2109458148261099</v>
      </c>
      <c r="BN47" s="1">
        <v>75.772394947606003</v>
      </c>
      <c r="BO47" s="1">
        <v>1</v>
      </c>
      <c r="BP47" s="1">
        <v>1279.66424028751</v>
      </c>
      <c r="BQ47" s="1">
        <v>1</v>
      </c>
      <c r="BR47" s="1">
        <v>0.30480000000000002</v>
      </c>
    </row>
    <row r="48" spans="1:70">
      <c r="A48" s="2" t="s">
        <v>116</v>
      </c>
      <c r="B48" s="1">
        <v>13789520</v>
      </c>
      <c r="C48" s="1">
        <v>608.621106065763</v>
      </c>
      <c r="D48" s="1">
        <v>85.147893581579396</v>
      </c>
      <c r="E48" s="1">
        <v>624.86627494838604</v>
      </c>
      <c r="F48" s="1">
        <v>2643264.3898665099</v>
      </c>
      <c r="G48" s="1">
        <v>1562686.9740257801</v>
      </c>
      <c r="H48" s="1">
        <v>2.2019594042733499E-5</v>
      </c>
      <c r="I48" s="1">
        <v>7.2223252690249804E-5</v>
      </c>
      <c r="J48" s="1">
        <v>0.49112124879375701</v>
      </c>
      <c r="K48" s="1">
        <v>7679.7516396704104</v>
      </c>
      <c r="L48" s="1">
        <v>6.5036382888884496E-3</v>
      </c>
      <c r="M48" s="1">
        <v>47</v>
      </c>
      <c r="N48" s="1">
        <v>2797.4279999999999</v>
      </c>
      <c r="O48" s="3">
        <v>1.7530051946856999E-5</v>
      </c>
      <c r="P48" s="3">
        <v>1.48421403326196E-2</v>
      </c>
      <c r="Q48" s="3">
        <v>4.7244000000000001E-3</v>
      </c>
      <c r="R48" s="1">
        <v>0.30480000000000002</v>
      </c>
      <c r="S48" s="4">
        <v>3260827.3592812498</v>
      </c>
      <c r="T48" s="1">
        <v>531.212292416884</v>
      </c>
      <c r="U48" s="5">
        <v>570.38197087987305</v>
      </c>
      <c r="V48" s="1">
        <v>0.03</v>
      </c>
      <c r="W48" s="3">
        <v>182990.496147845</v>
      </c>
      <c r="X48" s="1">
        <v>2.6774422788588E-2</v>
      </c>
      <c r="Y48" s="1">
        <v>6.1113891880796603</v>
      </c>
      <c r="Z48" s="1">
        <v>6.1113891921477101</v>
      </c>
      <c r="AA48" s="1">
        <v>-4.0680481205868099E-9</v>
      </c>
      <c r="AB48" s="1">
        <v>1.8619874352375501E-5</v>
      </c>
      <c r="AC48" s="1">
        <v>672.25132062481998</v>
      </c>
      <c r="AD48" s="1">
        <v>5293.1427183207497</v>
      </c>
      <c r="AE48" s="1">
        <v>570.38197160238599</v>
      </c>
      <c r="AF48" s="6">
        <v>7.2251316396432198E-7</v>
      </c>
      <c r="AG48" s="1">
        <v>1.8685445573508501E-5</v>
      </c>
      <c r="AH48" s="1">
        <v>41.914170842245703</v>
      </c>
      <c r="AI48" s="1">
        <v>0.25899232643735698</v>
      </c>
      <c r="AJ48" s="1">
        <v>41.869752847343698</v>
      </c>
      <c r="AK48" s="1">
        <v>3.9891140779874399</v>
      </c>
      <c r="AL48" s="1">
        <v>1.1293680422758501</v>
      </c>
      <c r="AM48" s="1">
        <v>608.62110606193198</v>
      </c>
      <c r="AN48" s="1">
        <v>3.8310190575430203E-9</v>
      </c>
      <c r="AO48" s="1">
        <v>6.5571221133040493E-8</v>
      </c>
      <c r="AP48" s="1">
        <v>3.41875280269534</v>
      </c>
      <c r="AQ48" s="1">
        <v>4.6655931965035601E-5</v>
      </c>
      <c r="AR48" s="1">
        <v>9.3755083973207808E-6</v>
      </c>
      <c r="AS48" s="1">
        <v>21.008341378305602</v>
      </c>
      <c r="AT48" s="1">
        <v>12.174597836738799</v>
      </c>
      <c r="AU48" s="1">
        <v>3.1531274171761901</v>
      </c>
      <c r="AV48" s="1">
        <v>0.26562538551915699</v>
      </c>
      <c r="AW48" s="1">
        <v>1.11944803878396E-2</v>
      </c>
      <c r="AX48" s="1">
        <v>0.26562537592395402</v>
      </c>
      <c r="AY48" s="1">
        <v>9.5952027434620407E-9</v>
      </c>
      <c r="AZ48" s="1">
        <v>1080577.4158407301</v>
      </c>
      <c r="BA48" s="1">
        <v>1.3647062147415899E-5</v>
      </c>
      <c r="BB48" s="4">
        <v>3244270.6269636899</v>
      </c>
      <c r="BC48" s="4">
        <v>-16556.7323175645</v>
      </c>
      <c r="BD48" s="7">
        <v>-0.50774636291122099</v>
      </c>
      <c r="BE48" s="4">
        <v>4312885</v>
      </c>
      <c r="BF48" s="1">
        <v>0.75222748275543705</v>
      </c>
      <c r="BG48" s="1">
        <v>1</v>
      </c>
      <c r="BH48" s="1">
        <v>-3.5999999999999997E-2</v>
      </c>
      <c r="BI48" s="1">
        <v>4.5999999999999999E-2</v>
      </c>
      <c r="BJ48" s="1">
        <v>5625</v>
      </c>
      <c r="BK48" s="1">
        <v>1</v>
      </c>
      <c r="BL48" s="1">
        <v>77.408813648879004</v>
      </c>
      <c r="BM48" s="1">
        <v>3.2442706269636901</v>
      </c>
      <c r="BN48" s="1">
        <v>77.408813648879004</v>
      </c>
      <c r="BO48" s="1">
        <v>1</v>
      </c>
      <c r="BP48" s="1">
        <v>1399.41933861656</v>
      </c>
      <c r="BQ48" s="1">
        <v>1</v>
      </c>
      <c r="BR48" s="1">
        <v>0.30480000000000002</v>
      </c>
    </row>
    <row r="49" spans="1:70">
      <c r="A49" s="2" t="s">
        <v>117</v>
      </c>
      <c r="B49" s="1">
        <v>13789520</v>
      </c>
      <c r="C49" s="1">
        <v>608.621106065763</v>
      </c>
      <c r="D49" s="1">
        <v>85.147893581579396</v>
      </c>
      <c r="E49" s="1">
        <v>624.86627494838604</v>
      </c>
      <c r="F49" s="1">
        <v>2643264.3898665099</v>
      </c>
      <c r="G49" s="1">
        <v>1562686.9740257801</v>
      </c>
      <c r="H49" s="1">
        <v>2.2019594042733499E-5</v>
      </c>
      <c r="I49" s="1">
        <v>7.2223252690249804E-5</v>
      </c>
      <c r="J49" s="1">
        <v>0.49112124879375701</v>
      </c>
      <c r="K49" s="1">
        <v>7679.7516396704104</v>
      </c>
      <c r="L49" s="1">
        <v>6.5036382888884496E-3</v>
      </c>
      <c r="M49" s="1">
        <v>48</v>
      </c>
      <c r="N49" s="1">
        <v>2797.4279999999999</v>
      </c>
      <c r="O49" s="3">
        <v>1.7530051946856999E-5</v>
      </c>
      <c r="P49" s="3">
        <v>1.48421403326196E-2</v>
      </c>
      <c r="Q49" s="3">
        <v>4.7244000000000001E-3</v>
      </c>
      <c r="R49" s="1">
        <v>0.30480000000000002</v>
      </c>
      <c r="S49" s="4">
        <v>3197649.12109375</v>
      </c>
      <c r="T49" s="1">
        <v>532.84871111815698</v>
      </c>
      <c r="U49" s="5">
        <v>571.25948056726702</v>
      </c>
      <c r="V49" s="1">
        <v>0.03</v>
      </c>
      <c r="W49" s="3">
        <v>182990.496147845</v>
      </c>
      <c r="X49" s="1">
        <v>2.6774422788588E-2</v>
      </c>
      <c r="Y49" s="1">
        <v>6.1113891880796603</v>
      </c>
      <c r="Z49" s="1">
        <v>6.1113891921477101</v>
      </c>
      <c r="AA49" s="1">
        <v>-4.0680481205868099E-9</v>
      </c>
      <c r="AB49" s="1">
        <v>1.8619874352375501E-5</v>
      </c>
      <c r="AC49" s="1">
        <v>670.790368220696</v>
      </c>
      <c r="AD49" s="1">
        <v>5293.1427183207497</v>
      </c>
      <c r="AE49" s="1">
        <v>571.259480567266</v>
      </c>
      <c r="AF49" s="6">
        <v>0</v>
      </c>
      <c r="AG49" s="1">
        <v>1.8684890784234101E-5</v>
      </c>
      <c r="AH49" s="1">
        <v>41.914170842245703</v>
      </c>
      <c r="AI49" s="1">
        <v>0.25899232643735698</v>
      </c>
      <c r="AJ49" s="1">
        <v>41.868509693162103</v>
      </c>
      <c r="AK49" s="1">
        <v>3.8975419882721001</v>
      </c>
      <c r="AL49" s="1">
        <v>1.1293680422758501</v>
      </c>
      <c r="AM49" s="1">
        <v>608.62110606202498</v>
      </c>
      <c r="AN49" s="1">
        <v>3.7382505979621799E-9</v>
      </c>
      <c r="AO49" s="1">
        <v>6.5016431858657806E-8</v>
      </c>
      <c r="AP49" s="1">
        <v>3.4186816967632301</v>
      </c>
      <c r="AQ49" s="1">
        <v>4.6657872799735098E-5</v>
      </c>
      <c r="AR49" s="1">
        <v>9.3749536080463898E-6</v>
      </c>
      <c r="AS49" s="1">
        <v>21.007098224124</v>
      </c>
      <c r="AT49" s="1">
        <v>12.174301956416301</v>
      </c>
      <c r="AU49" s="1">
        <v>3.1530507864431101</v>
      </c>
      <c r="AV49" s="1">
        <v>0.26563091032011799</v>
      </c>
      <c r="AW49" s="1">
        <v>1.11944803878396E-2</v>
      </c>
      <c r="AX49" s="1">
        <v>0.26563090072609202</v>
      </c>
      <c r="AY49" s="1">
        <v>9.5940260735893901E-9</v>
      </c>
      <c r="AZ49" s="1">
        <v>1080577.4158407301</v>
      </c>
      <c r="BA49" s="1">
        <v>1.3647913710103601E-5</v>
      </c>
      <c r="BB49" s="4">
        <v>3216620.5761273098</v>
      </c>
      <c r="BC49" s="4">
        <v>18971.455033563499</v>
      </c>
      <c r="BD49" s="7">
        <v>0.59329383291042204</v>
      </c>
      <c r="BE49" s="4">
        <v>4259250</v>
      </c>
      <c r="BF49" s="1">
        <v>0.75520821180426401</v>
      </c>
      <c r="BG49" s="1">
        <v>1</v>
      </c>
      <c r="BH49" s="1">
        <v>-3.3000000000000002E-2</v>
      </c>
      <c r="BI49" s="1">
        <v>4.5999999999999999E-2</v>
      </c>
      <c r="BJ49" s="1">
        <v>5625</v>
      </c>
      <c r="BK49" s="1">
        <v>1</v>
      </c>
      <c r="BL49" s="1">
        <v>75.772394947606003</v>
      </c>
      <c r="BM49" s="1">
        <v>3.2166205761273101</v>
      </c>
      <c r="BN49" s="1">
        <v>75.772394947606003</v>
      </c>
      <c r="BO49" s="1">
        <v>1</v>
      </c>
      <c r="BP49" s="1">
        <v>1279.66424028751</v>
      </c>
      <c r="BQ49" s="1">
        <v>1</v>
      </c>
      <c r="BR49" s="1">
        <v>0.30480000000000002</v>
      </c>
    </row>
    <row r="50" spans="1:70">
      <c r="A50" s="2" t="s">
        <v>118</v>
      </c>
      <c r="B50" s="1">
        <v>13789520</v>
      </c>
      <c r="C50" s="1">
        <v>608.621106065763</v>
      </c>
      <c r="D50" s="1">
        <v>85.147893581579396</v>
      </c>
      <c r="E50" s="1">
        <v>624.86627494838604</v>
      </c>
      <c r="F50" s="1">
        <v>2643264.3898665099</v>
      </c>
      <c r="G50" s="1">
        <v>1562686.9740257801</v>
      </c>
      <c r="H50" s="1">
        <v>2.2019594042733499E-5</v>
      </c>
      <c r="I50" s="1">
        <v>7.2223252690249804E-5</v>
      </c>
      <c r="J50" s="1">
        <v>0.49112124879375701</v>
      </c>
      <c r="K50" s="1">
        <v>7679.7516396704104</v>
      </c>
      <c r="L50" s="1">
        <v>6.5036382888884496E-3</v>
      </c>
      <c r="M50" s="1">
        <v>49</v>
      </c>
      <c r="N50" s="1">
        <v>2820.48</v>
      </c>
      <c r="O50" s="3">
        <v>1.7530051946856999E-5</v>
      </c>
      <c r="P50" s="3">
        <v>1.48421403326196E-2</v>
      </c>
      <c r="Q50" s="3">
        <v>4.7244000000000001E-3</v>
      </c>
      <c r="R50" s="1">
        <v>0.30480000000000002</v>
      </c>
      <c r="S50" s="4">
        <v>3252995.5644062501</v>
      </c>
      <c r="T50" s="1">
        <v>531.88681381594404</v>
      </c>
      <c r="U50" s="5">
        <v>570.64304737275995</v>
      </c>
      <c r="V50" s="1">
        <v>0.03</v>
      </c>
      <c r="W50" s="3">
        <v>184498.415893125</v>
      </c>
      <c r="X50" s="1">
        <v>2.6681050006293099E-2</v>
      </c>
      <c r="Y50" s="1">
        <v>6.1220735321033803</v>
      </c>
      <c r="Z50" s="1">
        <v>6.1220735346898003</v>
      </c>
      <c r="AA50" s="1">
        <v>-2.5864146380172298E-9</v>
      </c>
      <c r="AB50" s="1">
        <v>1.8380855977977701E-5</v>
      </c>
      <c r="AC50" s="1">
        <v>671.54082908774001</v>
      </c>
      <c r="AD50" s="1">
        <v>5327.4466695021101</v>
      </c>
      <c r="AE50" s="1">
        <v>570.64304737275995</v>
      </c>
      <c r="AF50" s="6">
        <v>0</v>
      </c>
      <c r="AG50" s="1">
        <v>1.8445927182149298E-5</v>
      </c>
      <c r="AH50" s="1">
        <v>42.459208406924297</v>
      </c>
      <c r="AI50" s="1">
        <v>0.26067081133664</v>
      </c>
      <c r="AJ50" s="1">
        <v>41.600920045897901</v>
      </c>
      <c r="AK50" s="1">
        <v>3.9485581617130698</v>
      </c>
      <c r="AL50" s="1">
        <v>1.1293680422758501</v>
      </c>
      <c r="AM50" s="1">
        <v>608.62110602400696</v>
      </c>
      <c r="AN50" s="1">
        <v>4.1756038626772398E-8</v>
      </c>
      <c r="AO50" s="1">
        <v>6.5071204171655197E-8</v>
      </c>
      <c r="AP50" s="1">
        <v>3.4315413722966399</v>
      </c>
      <c r="AQ50" s="1">
        <v>4.6308827992754402E-5</v>
      </c>
      <c r="AR50" s="1">
        <v>9.2554991931604904E-6</v>
      </c>
      <c r="AS50" s="1">
        <v>20.873837249674999</v>
      </c>
      <c r="AT50" s="1">
        <v>12.142482842856101</v>
      </c>
      <c r="AU50" s="1">
        <v>3.1651908542885199</v>
      </c>
      <c r="AV50" s="1">
        <v>0.26635051800811999</v>
      </c>
      <c r="AW50" s="1">
        <v>1.10507798206987E-2</v>
      </c>
      <c r="AX50" s="1">
        <v>0.26635050794193199</v>
      </c>
      <c r="AY50" s="1">
        <v>1.0066187772217501E-8</v>
      </c>
      <c r="AZ50" s="1">
        <v>1080577.4158407301</v>
      </c>
      <c r="BA50" s="1">
        <v>1.3495051630912199E-5</v>
      </c>
      <c r="BB50" s="4">
        <v>3255796.6005587899</v>
      </c>
      <c r="BC50" s="4">
        <v>2801.0361525425701</v>
      </c>
      <c r="BD50" s="7">
        <v>8.6106362492191904E-2</v>
      </c>
      <c r="BE50" s="4">
        <v>4284490</v>
      </c>
      <c r="BF50" s="1">
        <v>0.75990295240712302</v>
      </c>
      <c r="BG50" s="1">
        <v>1</v>
      </c>
      <c r="BH50" s="1">
        <v>-3.9E-2</v>
      </c>
      <c r="BI50" s="1">
        <v>4.5999999999999999E-2</v>
      </c>
      <c r="BJ50" s="1">
        <v>5625</v>
      </c>
      <c r="BK50" s="1">
        <v>1</v>
      </c>
      <c r="BL50" s="1">
        <v>76.734292249819006</v>
      </c>
      <c r="BM50" s="1">
        <v>3.2557966005587899</v>
      </c>
      <c r="BN50" s="1">
        <v>76.734292249819006</v>
      </c>
      <c r="BO50" s="1">
        <v>1</v>
      </c>
      <c r="BP50" s="1">
        <v>1349.4082270951101</v>
      </c>
      <c r="BQ50" s="1">
        <v>1</v>
      </c>
      <c r="BR50" s="1">
        <v>0.30480000000000002</v>
      </c>
    </row>
    <row r="51" spans="1:70">
      <c r="A51" s="2" t="s">
        <v>119</v>
      </c>
      <c r="B51" s="1">
        <v>13789520</v>
      </c>
      <c r="C51" s="1">
        <v>608.621106065763</v>
      </c>
      <c r="D51" s="1">
        <v>85.147893581579396</v>
      </c>
      <c r="E51" s="1">
        <v>624.86627494838604</v>
      </c>
      <c r="F51" s="1">
        <v>2643264.3898665099</v>
      </c>
      <c r="G51" s="1">
        <v>1562686.9740257801</v>
      </c>
      <c r="H51" s="1">
        <v>2.2019594042733499E-5</v>
      </c>
      <c r="I51" s="1">
        <v>7.2223252690249804E-5</v>
      </c>
      <c r="J51" s="1">
        <v>0.49112124879375701</v>
      </c>
      <c r="K51" s="1">
        <v>7679.7516396704104</v>
      </c>
      <c r="L51" s="1">
        <v>6.5036382888884496E-3</v>
      </c>
      <c r="M51" s="1">
        <v>50</v>
      </c>
      <c r="N51" s="1">
        <v>2834.04</v>
      </c>
      <c r="O51" s="3">
        <v>1.7530051946856999E-5</v>
      </c>
      <c r="P51" s="3">
        <v>1.48421403326196E-2</v>
      </c>
      <c r="Q51" s="3">
        <v>4.7244000000000001E-3</v>
      </c>
      <c r="R51" s="1">
        <v>0.30480000000000002</v>
      </c>
      <c r="S51" s="4">
        <v>3312442.9851562502</v>
      </c>
      <c r="T51" s="1">
        <v>530.63335550763395</v>
      </c>
      <c r="U51" s="5">
        <v>569.90902113120796</v>
      </c>
      <c r="V51" s="1">
        <v>0.03</v>
      </c>
      <c r="W51" s="3">
        <v>185385.42750799601</v>
      </c>
      <c r="X51" s="1">
        <v>2.66267006458492E-2</v>
      </c>
      <c r="Y51" s="1">
        <v>6.1283184133100903</v>
      </c>
      <c r="Z51" s="1">
        <v>6.1283184151948102</v>
      </c>
      <c r="AA51" s="1">
        <v>-1.8847252647447001E-9</v>
      </c>
      <c r="AB51" s="1">
        <v>1.8242543520100501E-5</v>
      </c>
      <c r="AC51" s="1">
        <v>672.59475334738897</v>
      </c>
      <c r="AD51" s="1">
        <v>5347.6045173894199</v>
      </c>
      <c r="AE51" s="1">
        <v>569.90902185715595</v>
      </c>
      <c r="AF51" s="6">
        <v>7.2594741595821699E-7</v>
      </c>
      <c r="AG51" s="1">
        <v>1.83083335215412E-5</v>
      </c>
      <c r="AH51" s="1">
        <v>42.781128289851303</v>
      </c>
      <c r="AI51" s="1">
        <v>0.261657130466528</v>
      </c>
      <c r="AJ51" s="1">
        <v>41.446840676346604</v>
      </c>
      <c r="AK51" s="1">
        <v>4.0170362337640801</v>
      </c>
      <c r="AL51" s="1">
        <v>1.1293680422758501</v>
      </c>
      <c r="AM51" s="1">
        <v>608.62110605263604</v>
      </c>
      <c r="AN51" s="1">
        <v>1.31268507175264E-8</v>
      </c>
      <c r="AO51" s="1">
        <v>6.57900014406891E-8</v>
      </c>
      <c r="AP51" s="1">
        <v>3.4391641427952</v>
      </c>
      <c r="AQ51" s="1">
        <v>4.61037721441587E-5</v>
      </c>
      <c r="AR51" s="1">
        <v>9.1870617614909396E-6</v>
      </c>
      <c r="AS51" s="1">
        <v>20.797888822828099</v>
      </c>
      <c r="AT51" s="1">
        <v>12.124257413267101</v>
      </c>
      <c r="AU51" s="1">
        <v>3.17239840379299</v>
      </c>
      <c r="AV51" s="1">
        <v>0.26676573900221301</v>
      </c>
      <c r="AW51" s="1">
        <v>1.09676247967819E-2</v>
      </c>
      <c r="AX51" s="1">
        <v>0.26676572867873999</v>
      </c>
      <c r="AY51" s="1">
        <v>1.03234735204794E-8</v>
      </c>
      <c r="AZ51" s="1">
        <v>1080577.4158407301</v>
      </c>
      <c r="BA51" s="1">
        <v>1.3405516640065799E-5</v>
      </c>
      <c r="BB51" s="4">
        <v>3313746.7290742202</v>
      </c>
      <c r="BC51" s="4">
        <v>1303.7439179713799</v>
      </c>
      <c r="BD51" s="7">
        <v>3.9358984405580201E-2</v>
      </c>
      <c r="BE51" s="4">
        <v>4290800</v>
      </c>
      <c r="BF51" s="1">
        <v>0.77229111799063599</v>
      </c>
      <c r="BG51" s="1">
        <v>1</v>
      </c>
      <c r="BH51" s="1">
        <v>-4.4999999999999998E-2</v>
      </c>
      <c r="BI51" s="1">
        <v>4.5999999999999999E-2</v>
      </c>
      <c r="BJ51" s="1">
        <v>5625</v>
      </c>
      <c r="BK51" s="1">
        <v>1</v>
      </c>
      <c r="BL51" s="1">
        <v>77.987750558129093</v>
      </c>
      <c r="BM51" s="1">
        <v>3.3137467290742202</v>
      </c>
      <c r="BN51" s="1">
        <v>77.987750558129093</v>
      </c>
      <c r="BO51" s="1">
        <v>1</v>
      </c>
      <c r="BP51" s="1">
        <v>1443.0691924666301</v>
      </c>
      <c r="BQ51" s="1">
        <v>1</v>
      </c>
      <c r="BR51" s="1">
        <v>0.30480000000000002</v>
      </c>
    </row>
    <row r="52" spans="1:70">
      <c r="A52" s="2" t="s">
        <v>120</v>
      </c>
      <c r="B52" s="1">
        <v>13789520</v>
      </c>
      <c r="C52" s="1">
        <v>608.621106065763</v>
      </c>
      <c r="D52" s="1">
        <v>85.147893581579396</v>
      </c>
      <c r="E52" s="1">
        <v>624.86627494838604</v>
      </c>
      <c r="F52" s="1">
        <v>2643264.3898665099</v>
      </c>
      <c r="G52" s="1">
        <v>1562686.9740257801</v>
      </c>
      <c r="H52" s="1">
        <v>2.2019594042733499E-5</v>
      </c>
      <c r="I52" s="1">
        <v>7.2223252690249804E-5</v>
      </c>
      <c r="J52" s="1">
        <v>0.49112124879375701</v>
      </c>
      <c r="K52" s="1">
        <v>7679.7516396704104</v>
      </c>
      <c r="L52" s="1">
        <v>6.5036382888884496E-3</v>
      </c>
      <c r="M52" s="1">
        <v>51</v>
      </c>
      <c r="N52" s="1">
        <v>3417.12</v>
      </c>
      <c r="O52" s="3">
        <v>1.7530051946856999E-5</v>
      </c>
      <c r="P52" s="3">
        <v>1.48421403326196E-2</v>
      </c>
      <c r="Q52" s="3">
        <v>4.7244000000000001E-3</v>
      </c>
      <c r="R52" s="1">
        <v>0.30480000000000002</v>
      </c>
      <c r="S52" s="4">
        <v>5960589.16015625</v>
      </c>
      <c r="T52" s="1">
        <v>479.48806170427099</v>
      </c>
      <c r="U52" s="5">
        <v>538.10323808447401</v>
      </c>
      <c r="V52" s="1">
        <v>0.03</v>
      </c>
      <c r="W52" s="3">
        <v>223526.92694743999</v>
      </c>
      <c r="X52" s="1">
        <v>2.4627077270517599E-2</v>
      </c>
      <c r="Y52" s="1">
        <v>6.3722611146904002</v>
      </c>
      <c r="Z52" s="1">
        <v>6.3722611346379603</v>
      </c>
      <c r="AA52" s="1">
        <v>-1.99475591600162E-8</v>
      </c>
      <c r="AB52" s="1">
        <v>1.3566923130281601E-5</v>
      </c>
      <c r="AC52" s="1">
        <v>714.44332840131494</v>
      </c>
      <c r="AD52" s="1">
        <v>6200.9937672651504</v>
      </c>
      <c r="AE52" s="1">
        <v>538.10323922890802</v>
      </c>
      <c r="AF52" s="6">
        <v>1.1444332130849899E-6</v>
      </c>
      <c r="AG52" s="1">
        <v>1.3659173278012099E-5</v>
      </c>
      <c r="AH52" s="1">
        <v>57.524951469995798</v>
      </c>
      <c r="AI52" s="1">
        <v>0.30341328157443997</v>
      </c>
      <c r="AJ52" s="1">
        <v>35.856594853504198</v>
      </c>
      <c r="AK52" s="1">
        <v>6.7994398956736299</v>
      </c>
      <c r="AL52" s="1">
        <v>1.1293680422758501</v>
      </c>
      <c r="AM52" s="1">
        <v>608.62110603707299</v>
      </c>
      <c r="AN52" s="1">
        <v>2.8689782993751601E-8</v>
      </c>
      <c r="AO52" s="1">
        <v>9.2250147730471499E-8</v>
      </c>
      <c r="AP52" s="1">
        <v>3.7475158791549501</v>
      </c>
      <c r="AQ52" s="1">
        <v>3.8828919449546002E-5</v>
      </c>
      <c r="AR52" s="1">
        <v>6.8757117128712803E-6</v>
      </c>
      <c r="AS52" s="1">
        <v>18.049380017368101</v>
      </c>
      <c r="AT52" s="1">
        <v>11.415556680603601</v>
      </c>
      <c r="AU52" s="1">
        <v>3.4636315134609701</v>
      </c>
      <c r="AV52" s="1">
        <v>0.28388436569398001</v>
      </c>
      <c r="AW52" s="1">
        <v>8.1565886015707596E-3</v>
      </c>
      <c r="AX52" s="1">
        <v>0.28388436274141399</v>
      </c>
      <c r="AY52" s="1">
        <v>2.9525653033601901E-9</v>
      </c>
      <c r="AZ52" s="1">
        <v>1080577.4158407301</v>
      </c>
      <c r="BA52" s="1">
        <v>1.0361242140567499E-5</v>
      </c>
      <c r="BB52" s="4">
        <v>6011712.7258564103</v>
      </c>
      <c r="BC52" s="4">
        <v>51123.5657001613</v>
      </c>
      <c r="BD52" s="7">
        <v>0.85769316298292098</v>
      </c>
      <c r="BE52" s="4">
        <v>6215350</v>
      </c>
      <c r="BF52" s="1">
        <v>0.96723639470929401</v>
      </c>
      <c r="BG52" s="1">
        <v>1</v>
      </c>
      <c r="BH52" s="1">
        <v>-0.191</v>
      </c>
      <c r="BI52" s="1">
        <v>4.5999999999999999E-2</v>
      </c>
      <c r="BJ52" s="1">
        <v>5625</v>
      </c>
      <c r="BK52" s="1">
        <v>1</v>
      </c>
      <c r="BL52" s="1">
        <v>129.13304436149201</v>
      </c>
      <c r="BM52" s="1">
        <v>6.0117127258564098</v>
      </c>
      <c r="BN52" s="1">
        <v>129.13304436149201</v>
      </c>
      <c r="BO52" s="1">
        <v>1</v>
      </c>
      <c r="BP52" s="1">
        <v>7944.6995971476999</v>
      </c>
      <c r="BQ52" s="1">
        <v>1</v>
      </c>
      <c r="BR52" s="1">
        <v>0.30480000000000002</v>
      </c>
    </row>
    <row r="53" spans="1:70">
      <c r="A53" s="2" t="s">
        <v>121</v>
      </c>
      <c r="B53" s="1">
        <v>13789520</v>
      </c>
      <c r="C53" s="1">
        <v>608.621106065763</v>
      </c>
      <c r="D53" s="1">
        <v>85.147893581579396</v>
      </c>
      <c r="E53" s="1">
        <v>624.86627494838604</v>
      </c>
      <c r="F53" s="1">
        <v>2643264.3898665099</v>
      </c>
      <c r="G53" s="1">
        <v>1562686.9740257801</v>
      </c>
      <c r="H53" s="1">
        <v>2.2019594042733499E-5</v>
      </c>
      <c r="I53" s="1">
        <v>7.2223252690249804E-5</v>
      </c>
      <c r="J53" s="1">
        <v>0.49112124879375701</v>
      </c>
      <c r="K53" s="1">
        <v>7679.7516396704104</v>
      </c>
      <c r="L53" s="1">
        <v>6.5036382888884496E-3</v>
      </c>
      <c r="M53" s="1">
        <v>52</v>
      </c>
      <c r="N53" s="1">
        <v>3451.02</v>
      </c>
      <c r="O53" s="3">
        <v>1.7530051946856999E-5</v>
      </c>
      <c r="P53" s="3">
        <v>1.48421403326196E-2</v>
      </c>
      <c r="Q53" s="3">
        <v>4.7244000000000001E-3</v>
      </c>
      <c r="R53" s="1">
        <v>0.30480000000000002</v>
      </c>
      <c r="S53" s="4">
        <v>3590926.03515625</v>
      </c>
      <c r="T53" s="1">
        <v>535.10115911890296</v>
      </c>
      <c r="U53" s="5">
        <v>570.06668797541204</v>
      </c>
      <c r="V53" s="1">
        <v>0.03</v>
      </c>
      <c r="W53" s="3">
        <v>225744.455984617</v>
      </c>
      <c r="X53" s="1">
        <v>2.4527777240697501E-2</v>
      </c>
      <c r="Y53" s="1">
        <v>6.3851470474837404</v>
      </c>
      <c r="Z53" s="1">
        <v>6.3851470632081497</v>
      </c>
      <c r="AA53" s="1">
        <v>-1.5724404001105099E-8</v>
      </c>
      <c r="AB53" s="1">
        <v>1.3355543071362601E-5</v>
      </c>
      <c r="AC53" s="1">
        <v>666.12460376142405</v>
      </c>
      <c r="AD53" s="1">
        <v>6249.8731217512104</v>
      </c>
      <c r="AE53" s="1">
        <v>570.06668797541204</v>
      </c>
      <c r="AF53" s="6">
        <v>0</v>
      </c>
      <c r="AG53" s="1">
        <v>1.34104942008306E-5</v>
      </c>
      <c r="AH53" s="1">
        <v>58.435406968964998</v>
      </c>
      <c r="AI53" s="1">
        <v>0.30580493779963203</v>
      </c>
      <c r="AJ53" s="1">
        <v>35.481283233922397</v>
      </c>
      <c r="AK53" s="1">
        <v>3.7010520721003601</v>
      </c>
      <c r="AL53" s="1">
        <v>1.1293680422758501</v>
      </c>
      <c r="AM53" s="1">
        <v>608.62110605851205</v>
      </c>
      <c r="AN53" s="1">
        <v>7.2512875703978402E-9</v>
      </c>
      <c r="AO53" s="1">
        <v>5.4951129467967497E-8</v>
      </c>
      <c r="AP53" s="1">
        <v>3.7562615192267299</v>
      </c>
      <c r="AQ53" s="1">
        <v>3.8648320506370901E-5</v>
      </c>
      <c r="AR53" s="1">
        <v>6.7327226651492704E-6</v>
      </c>
      <c r="AS53" s="1">
        <v>17.8133360516136</v>
      </c>
      <c r="AT53" s="1">
        <v>11.349736965791701</v>
      </c>
      <c r="AU53" s="1">
        <v>3.4708056068661102</v>
      </c>
      <c r="AV53" s="1">
        <v>0.28545591236062601</v>
      </c>
      <c r="AW53" s="1">
        <v>8.0295045042686995E-3</v>
      </c>
      <c r="AX53" s="1">
        <v>0.28545590899975098</v>
      </c>
      <c r="AY53" s="1">
        <v>3.3608741900614798E-9</v>
      </c>
      <c r="AZ53" s="1">
        <v>1080577.4158407301</v>
      </c>
      <c r="BA53" s="1">
        <v>1.02890387978969E-5</v>
      </c>
      <c r="BB53" s="4">
        <v>3606158.3301898302</v>
      </c>
      <c r="BC53" s="4">
        <v>15232.295033582001</v>
      </c>
      <c r="BD53" s="7">
        <v>0.42418849300857903</v>
      </c>
      <c r="BE53" s="4">
        <v>4732500</v>
      </c>
      <c r="BF53" s="1">
        <v>0.761998590637048</v>
      </c>
      <c r="BG53" s="1">
        <v>1</v>
      </c>
      <c r="BH53" s="1">
        <v>-5.8999999999999997E-2</v>
      </c>
      <c r="BI53" s="1">
        <v>4.5999999999999999E-2</v>
      </c>
      <c r="BJ53" s="1">
        <v>5625</v>
      </c>
      <c r="BK53" s="1">
        <v>1</v>
      </c>
      <c r="BL53" s="1">
        <v>73.519946946860003</v>
      </c>
      <c r="BM53" s="1">
        <v>3.6061583301898299</v>
      </c>
      <c r="BN53" s="1">
        <v>73.519946946860003</v>
      </c>
      <c r="BO53" s="1">
        <v>1</v>
      </c>
      <c r="BP53" s="1">
        <v>1123.58684332031</v>
      </c>
      <c r="BQ53" s="1">
        <v>1</v>
      </c>
      <c r="BR53" s="1">
        <v>0.30480000000000002</v>
      </c>
    </row>
    <row r="54" spans="1:70">
      <c r="A54" s="2" t="s">
        <v>122</v>
      </c>
      <c r="B54" s="1">
        <v>13789520</v>
      </c>
      <c r="C54" s="1">
        <v>608.621106065763</v>
      </c>
      <c r="D54" s="1">
        <v>85.147893581579396</v>
      </c>
      <c r="E54" s="1">
        <v>624.86627494838604</v>
      </c>
      <c r="F54" s="1">
        <v>2643264.3898665099</v>
      </c>
      <c r="G54" s="1">
        <v>1562686.9740257801</v>
      </c>
      <c r="H54" s="1">
        <v>2.2019594042733499E-5</v>
      </c>
      <c r="I54" s="1">
        <v>7.2223252690249804E-5</v>
      </c>
      <c r="J54" s="1">
        <v>0.49112124879375701</v>
      </c>
      <c r="K54" s="1">
        <v>7679.7516396704104</v>
      </c>
      <c r="L54" s="1">
        <v>6.5036382888884496E-3</v>
      </c>
      <c r="M54" s="1">
        <v>53</v>
      </c>
      <c r="N54" s="1">
        <v>3579.84</v>
      </c>
      <c r="O54" s="3">
        <v>1.7530051946856999E-5</v>
      </c>
      <c r="P54" s="3">
        <v>1.48421403326196E-2</v>
      </c>
      <c r="Q54" s="3">
        <v>4.7244000000000001E-3</v>
      </c>
      <c r="R54" s="1">
        <v>0.30480000000000002</v>
      </c>
      <c r="S54" s="4">
        <v>1194437.44921875</v>
      </c>
      <c r="T54" s="1">
        <v>586.97568839527196</v>
      </c>
      <c r="U54" s="5">
        <v>598.18763221093798</v>
      </c>
      <c r="V54" s="1">
        <v>0.03</v>
      </c>
      <c r="W54" s="3">
        <v>234171.06632588999</v>
      </c>
      <c r="X54" s="1">
        <v>2.4164267021167699E-2</v>
      </c>
      <c r="Y54" s="1">
        <v>6.4329946012287698</v>
      </c>
      <c r="Z54" s="1">
        <v>6.4329946343917497</v>
      </c>
      <c r="AA54" s="1">
        <v>-3.3162973700484599E-8</v>
      </c>
      <c r="AB54" s="1">
        <v>1.25983549178858E-5</v>
      </c>
      <c r="AC54" s="1">
        <v>623.87848594192201</v>
      </c>
      <c r="AD54" s="1">
        <v>6434.9482325499403</v>
      </c>
      <c r="AE54" s="1">
        <v>598.18763221093798</v>
      </c>
      <c r="AF54" s="6">
        <v>0</v>
      </c>
      <c r="AG54" s="1">
        <v>1.261580137375E-5</v>
      </c>
      <c r="AH54" s="1">
        <v>61.947500269153103</v>
      </c>
      <c r="AI54" s="1">
        <v>0.31486062287411598</v>
      </c>
      <c r="AJ54" s="1">
        <v>34.367127572692397</v>
      </c>
      <c r="AK54" s="1">
        <v>0.98706591612152506</v>
      </c>
      <c r="AL54" s="1">
        <v>1.1293680422758501</v>
      </c>
      <c r="AM54" s="1">
        <v>608.62110606460305</v>
      </c>
      <c r="AN54" s="1">
        <v>1.16006049211137E-9</v>
      </c>
      <c r="AO54" s="1">
        <v>1.74464558642723E-8</v>
      </c>
      <c r="AP54" s="1">
        <v>3.8089395196788698</v>
      </c>
      <c r="AQ54" s="1">
        <v>3.7586692840311201E-5</v>
      </c>
      <c r="AR54" s="1">
        <v>6.3166239148071503E-6</v>
      </c>
      <c r="AS54" s="1">
        <v>17.207327024075401</v>
      </c>
      <c r="AT54" s="1">
        <v>11.1766764144168</v>
      </c>
      <c r="AU54" s="1">
        <v>3.5190952975057002</v>
      </c>
      <c r="AV54" s="1">
        <v>0.28984422217317102</v>
      </c>
      <c r="AW54" s="1">
        <v>7.5742743682544102E-3</v>
      </c>
      <c r="AX54" s="1">
        <v>0.28984421617558997</v>
      </c>
      <c r="AY54" s="1">
        <v>5.9975800992262399E-9</v>
      </c>
      <c r="AZ54" s="1">
        <v>1080577.4158407301</v>
      </c>
      <c r="BA54" s="1">
        <v>9.8680203889086801E-6</v>
      </c>
      <c r="BB54" s="4">
        <v>1193768.5968420601</v>
      </c>
      <c r="BC54" s="4">
        <v>-668.852376686409</v>
      </c>
      <c r="BD54" s="7">
        <v>-5.5997271110671203E-2</v>
      </c>
      <c r="BE54" s="4">
        <v>3186550</v>
      </c>
      <c r="BF54" s="1">
        <v>0.37462729184919902</v>
      </c>
      <c r="BG54" s="1">
        <v>1</v>
      </c>
      <c r="BH54" s="1">
        <v>8.1000000000000003E-2</v>
      </c>
      <c r="BI54" s="1">
        <v>4.5999999999999999E-2</v>
      </c>
      <c r="BJ54" s="1">
        <v>5625</v>
      </c>
      <c r="BK54" s="1">
        <v>1</v>
      </c>
      <c r="BL54" s="1">
        <v>21.645417670491</v>
      </c>
      <c r="BM54" s="1">
        <v>1.1937685968420599</v>
      </c>
      <c r="BN54" s="1">
        <v>21.645417670491</v>
      </c>
      <c r="BO54" s="1">
        <v>1</v>
      </c>
      <c r="BP54" s="1">
        <v>336.89069249072202</v>
      </c>
      <c r="BQ54" s="1">
        <v>1</v>
      </c>
      <c r="BR54" s="1">
        <v>0.30480000000000002</v>
      </c>
    </row>
    <row r="55" spans="1:70">
      <c r="A55" s="2" t="s">
        <v>123</v>
      </c>
      <c r="B55" s="1">
        <v>13789520</v>
      </c>
      <c r="C55" s="1">
        <v>608.621106065763</v>
      </c>
      <c r="D55" s="1">
        <v>85.147893581579396</v>
      </c>
      <c r="E55" s="1">
        <v>624.86627494838604</v>
      </c>
      <c r="F55" s="1">
        <v>2643264.3898665099</v>
      </c>
      <c r="G55" s="1">
        <v>1562686.9740257801</v>
      </c>
      <c r="H55" s="1">
        <v>2.2019594042733499E-5</v>
      </c>
      <c r="I55" s="1">
        <v>7.2223252690249804E-5</v>
      </c>
      <c r="J55" s="1">
        <v>0.49112124879375701</v>
      </c>
      <c r="K55" s="1">
        <v>7679.7516396704104</v>
      </c>
      <c r="L55" s="1">
        <v>6.5036382888884496E-3</v>
      </c>
      <c r="M55" s="1">
        <v>54</v>
      </c>
      <c r="N55" s="1">
        <v>4068</v>
      </c>
      <c r="O55" s="3">
        <v>1.7530051946856999E-5</v>
      </c>
      <c r="P55" s="3">
        <v>1.48421403326196E-2</v>
      </c>
      <c r="Q55" s="3">
        <v>4.7244000000000001E-3</v>
      </c>
      <c r="R55" s="1">
        <v>0.30480000000000002</v>
      </c>
      <c r="S55" s="4">
        <v>3905055.56640625</v>
      </c>
      <c r="T55" s="1">
        <v>537.38968663960395</v>
      </c>
      <c r="U55" s="5">
        <v>569.64694046221996</v>
      </c>
      <c r="V55" s="1">
        <v>0.03</v>
      </c>
      <c r="W55" s="3">
        <v>266103.48446123902</v>
      </c>
      <c r="X55" s="1">
        <v>2.2957021152822998E-2</v>
      </c>
      <c r="Y55" s="1">
        <v>6.59997412347618</v>
      </c>
      <c r="Z55" s="1">
        <v>6.59997412806133</v>
      </c>
      <c r="AA55" s="1">
        <v>-4.5851500374283197E-9</v>
      </c>
      <c r="AB55" s="1">
        <v>1.02692156759919E-5</v>
      </c>
      <c r="AC55" s="1">
        <v>662.15061771972205</v>
      </c>
      <c r="AD55" s="1">
        <v>7127.4362156440402</v>
      </c>
      <c r="AE55" s="1">
        <v>569.64694046221996</v>
      </c>
      <c r="AF55" s="6">
        <v>0</v>
      </c>
      <c r="AG55" s="1">
        <v>1.03169310325761E-5</v>
      </c>
      <c r="AH55" s="1">
        <v>75.997682714092306</v>
      </c>
      <c r="AI55" s="1">
        <v>0.34874390985798798</v>
      </c>
      <c r="AJ55" s="1">
        <v>31.1291456590824</v>
      </c>
      <c r="AK55" s="1">
        <v>3.5193824564671599</v>
      </c>
      <c r="AL55" s="1">
        <v>1.1293680422758501</v>
      </c>
      <c r="AM55" s="1">
        <v>608.62110606361296</v>
      </c>
      <c r="AN55" s="1">
        <v>2.1499317881534799E-9</v>
      </c>
      <c r="AO55" s="1">
        <v>4.7715356584167901E-8</v>
      </c>
      <c r="AP55" s="1">
        <v>4.0340067327011804</v>
      </c>
      <c r="AQ55" s="1">
        <v>3.3509583585529301E-5</v>
      </c>
      <c r="AR55" s="1">
        <v>5.1823231945801104E-6</v>
      </c>
      <c r="AS55" s="1">
        <v>15.636558300830799</v>
      </c>
      <c r="AT55" s="1">
        <v>10.6980582670466</v>
      </c>
      <c r="AU55" s="1">
        <v>3.7308826679384102</v>
      </c>
      <c r="AV55" s="1">
        <v>0.30312406476276299</v>
      </c>
      <c r="AW55" s="1">
        <v>6.1739693462926296E-3</v>
      </c>
      <c r="AX55" s="1">
        <v>0.303124038580939</v>
      </c>
      <c r="AY55" s="1">
        <v>2.61818234870148E-8</v>
      </c>
      <c r="AZ55" s="1">
        <v>1080577.4158407301</v>
      </c>
      <c r="BA55" s="1">
        <v>8.3067743327962299E-6</v>
      </c>
      <c r="BB55" s="4">
        <v>3878544.0982644102</v>
      </c>
      <c r="BC55" s="4">
        <v>-26511.468141844001</v>
      </c>
      <c r="BD55" s="7">
        <v>-0.678901175438127</v>
      </c>
      <c r="BE55" s="4">
        <v>5016450</v>
      </c>
      <c r="BF55" s="1">
        <v>0.77316510645265202</v>
      </c>
      <c r="BG55" s="1">
        <v>1</v>
      </c>
      <c r="BH55" s="1">
        <v>-8.2000000000000003E-2</v>
      </c>
      <c r="BI55" s="1">
        <v>4.5999999999999999E-2</v>
      </c>
      <c r="BJ55" s="1">
        <v>5625</v>
      </c>
      <c r="BK55" s="1">
        <v>1</v>
      </c>
      <c r="BL55" s="1">
        <v>71.231419426159107</v>
      </c>
      <c r="BM55" s="1">
        <v>3.8785440982644102</v>
      </c>
      <c r="BN55" s="1">
        <v>71.231419426159107</v>
      </c>
      <c r="BO55" s="1">
        <v>1</v>
      </c>
      <c r="BP55" s="1">
        <v>975.40155937266502</v>
      </c>
      <c r="BQ55" s="1">
        <v>1</v>
      </c>
      <c r="BR55" s="1">
        <v>0.30480000000000002</v>
      </c>
    </row>
    <row r="56" spans="1:70">
      <c r="A56" s="2" t="s">
        <v>124</v>
      </c>
      <c r="B56" s="1">
        <v>13789520</v>
      </c>
      <c r="C56" s="1">
        <v>608.621106065763</v>
      </c>
      <c r="D56" s="1">
        <v>85.147893581579396</v>
      </c>
      <c r="E56" s="1">
        <v>624.86627494838604</v>
      </c>
      <c r="F56" s="1">
        <v>2643264.3898665099</v>
      </c>
      <c r="G56" s="1">
        <v>1562686.9740257801</v>
      </c>
      <c r="H56" s="1">
        <v>2.2019594042733499E-5</v>
      </c>
      <c r="I56" s="1">
        <v>7.2223252690249804E-5</v>
      </c>
      <c r="J56" s="1">
        <v>0.49112124879375701</v>
      </c>
      <c r="K56" s="1">
        <v>7679.7516396704104</v>
      </c>
      <c r="L56" s="1">
        <v>6.5036382888884496E-3</v>
      </c>
      <c r="M56" s="1">
        <v>55</v>
      </c>
      <c r="N56" s="1">
        <v>2752.68</v>
      </c>
      <c r="O56" s="3">
        <v>1.7719053836560401E-5</v>
      </c>
      <c r="P56" s="3">
        <v>1.4921936786020801E-2</v>
      </c>
      <c r="Q56" s="3">
        <v>4.7498000000000002E-3</v>
      </c>
      <c r="R56" s="1">
        <v>0.3175</v>
      </c>
      <c r="S56" s="4">
        <v>902558.10546875</v>
      </c>
      <c r="T56" s="1">
        <v>588.56034428011105</v>
      </c>
      <c r="U56" s="5">
        <v>599.97599482686405</v>
      </c>
      <c r="V56" s="1">
        <v>0.03</v>
      </c>
      <c r="W56" s="3">
        <v>181031.44038769</v>
      </c>
      <c r="X56" s="1">
        <v>2.69268936237952E-2</v>
      </c>
      <c r="Y56" s="1">
        <v>6.0940620607316998</v>
      </c>
      <c r="Z56" s="1">
        <v>6.09406206753121</v>
      </c>
      <c r="AA56" s="1">
        <v>-6.7995067354331704E-9</v>
      </c>
      <c r="AB56" s="1">
        <v>1.9121281205086501E-5</v>
      </c>
      <c r="AC56" s="1">
        <v>623.10160535080604</v>
      </c>
      <c r="AD56" s="1">
        <v>5251.3642719095396</v>
      </c>
      <c r="AE56" s="1">
        <v>599.97599482686405</v>
      </c>
      <c r="AF56" s="6">
        <v>0</v>
      </c>
      <c r="AG56" s="1">
        <v>1.9140167544432998E-5</v>
      </c>
      <c r="AH56" s="1">
        <v>40.815078565917901</v>
      </c>
      <c r="AI56" s="1">
        <v>0.255574062009018</v>
      </c>
      <c r="AJ56" s="1">
        <v>42.322620742430502</v>
      </c>
      <c r="AK56" s="1">
        <v>0.906285336596105</v>
      </c>
      <c r="AL56" s="1">
        <v>1.1293680422758501</v>
      </c>
      <c r="AM56" s="1">
        <v>608.62110605960299</v>
      </c>
      <c r="AN56" s="1">
        <v>6.1601213019457596E-9</v>
      </c>
      <c r="AO56" s="1">
        <v>1.8886339346558101E-8</v>
      </c>
      <c r="AP56" s="1">
        <v>3.3866471175070401</v>
      </c>
      <c r="AQ56" s="1">
        <v>4.7544728946467502E-5</v>
      </c>
      <c r="AR56" s="1">
        <v>9.5795269418898002E-6</v>
      </c>
      <c r="AS56" s="1">
        <v>21.182191049911498</v>
      </c>
      <c r="AT56" s="1">
        <v>12.215803919135499</v>
      </c>
      <c r="AU56" s="1">
        <v>3.12204262831915</v>
      </c>
      <c r="AV56" s="1">
        <v>0.26460448918788898</v>
      </c>
      <c r="AW56" s="1">
        <v>1.1495931894588699E-2</v>
      </c>
      <c r="AX56" s="1">
        <v>0.26460448079114401</v>
      </c>
      <c r="AY56" s="1">
        <v>8.3967449659993998E-9</v>
      </c>
      <c r="AZ56" s="1">
        <v>1080577.4158407301</v>
      </c>
      <c r="BA56" s="1">
        <v>1.40388789551437E-5</v>
      </c>
      <c r="BB56" s="4">
        <v>908360.68985416903</v>
      </c>
      <c r="BC56" s="4">
        <v>5802.5843854195</v>
      </c>
      <c r="BD56" s="7">
        <v>0.64290424630399701</v>
      </c>
      <c r="BE56" s="4">
        <v>2665975</v>
      </c>
      <c r="BF56" s="1">
        <v>0.34072363388785298</v>
      </c>
      <c r="BG56" s="1">
        <v>1</v>
      </c>
      <c r="BH56" s="1">
        <v>0.11700000000000001</v>
      </c>
      <c r="BI56" s="1">
        <v>4.5999999999999999E-2</v>
      </c>
      <c r="BJ56" s="1">
        <v>5625</v>
      </c>
      <c r="BK56" s="1">
        <v>1</v>
      </c>
      <c r="BL56" s="1">
        <v>20.060761785651898</v>
      </c>
      <c r="BM56" s="1">
        <v>0.90836068985416896</v>
      </c>
      <c r="BN56" s="1">
        <v>20.060761785651898</v>
      </c>
      <c r="BO56" s="1">
        <v>1</v>
      </c>
      <c r="BP56" s="1">
        <v>397.57322056851802</v>
      </c>
      <c r="BQ56" s="1">
        <v>1</v>
      </c>
      <c r="BR56" s="1">
        <v>0.3175</v>
      </c>
    </row>
    <row r="57" spans="1:70">
      <c r="A57" s="2" t="s">
        <v>125</v>
      </c>
      <c r="B57" s="1">
        <v>13789520</v>
      </c>
      <c r="C57" s="1">
        <v>608.621106065763</v>
      </c>
      <c r="D57" s="1">
        <v>85.147893581579396</v>
      </c>
      <c r="E57" s="1">
        <v>624.86627494838604</v>
      </c>
      <c r="F57" s="1">
        <v>2643264.3898665099</v>
      </c>
      <c r="G57" s="1">
        <v>1562686.9740257801</v>
      </c>
      <c r="H57" s="1">
        <v>2.2019594042733499E-5</v>
      </c>
      <c r="I57" s="1">
        <v>7.2223252690249804E-5</v>
      </c>
      <c r="J57" s="1">
        <v>0.49112124879375701</v>
      </c>
      <c r="K57" s="1">
        <v>7679.7516396704104</v>
      </c>
      <c r="L57" s="1">
        <v>6.5036382888884496E-3</v>
      </c>
      <c r="M57" s="1">
        <v>56</v>
      </c>
      <c r="N57" s="1">
        <v>2861.16</v>
      </c>
      <c r="O57" s="3">
        <v>1.7719053836560401E-5</v>
      </c>
      <c r="P57" s="3">
        <v>1.4921936786020801E-2</v>
      </c>
      <c r="Q57" s="3">
        <v>4.7498000000000002E-3</v>
      </c>
      <c r="R57" s="1">
        <v>0.3175</v>
      </c>
      <c r="S57" s="4">
        <v>2083577.12109375</v>
      </c>
      <c r="T57" s="1">
        <v>560.91989777978495</v>
      </c>
      <c r="U57" s="5">
        <v>586.27402455872198</v>
      </c>
      <c r="V57" s="1">
        <v>0.03</v>
      </c>
      <c r="W57" s="3">
        <v>188165.68434385501</v>
      </c>
      <c r="X57" s="1">
        <v>2.6487587648389901E-2</v>
      </c>
      <c r="Y57" s="1">
        <v>6.1443903242986799</v>
      </c>
      <c r="Z57" s="1">
        <v>6.1443903505649899</v>
      </c>
      <c r="AA57" s="1">
        <v>-2.6266310904077299E-8</v>
      </c>
      <c r="AB57" s="1">
        <v>1.79923545897351E-5</v>
      </c>
      <c r="AC57" s="1">
        <v>645.30743013322001</v>
      </c>
      <c r="AD57" s="1">
        <v>5413.6059219729696</v>
      </c>
      <c r="AE57" s="1">
        <v>586.27402455872198</v>
      </c>
      <c r="AF57" s="6">
        <v>0</v>
      </c>
      <c r="AG57" s="1">
        <v>1.8033377302808102E-5</v>
      </c>
      <c r="AH57" s="1">
        <v>43.3760123375883</v>
      </c>
      <c r="AI57" s="1">
        <v>0.26347005919884497</v>
      </c>
      <c r="AJ57" s="1">
        <v>41.1072458459956</v>
      </c>
      <c r="AK57" s="1">
        <v>2.3065883600644002</v>
      </c>
      <c r="AL57" s="1">
        <v>1.1293680422758501</v>
      </c>
      <c r="AM57" s="1">
        <v>608.62110606488</v>
      </c>
      <c r="AN57" s="1">
        <v>8.8255092123290503E-10</v>
      </c>
      <c r="AO57" s="1">
        <v>4.1022713072960699E-8</v>
      </c>
      <c r="AP57" s="1">
        <v>3.4496093505024299</v>
      </c>
      <c r="AQ57" s="1">
        <v>4.5824995996027102E-5</v>
      </c>
      <c r="AR57" s="1">
        <v>9.0372000079405295E-6</v>
      </c>
      <c r="AS57" s="1">
        <v>20.600378744806498</v>
      </c>
      <c r="AT57" s="1">
        <v>12.0765473064837</v>
      </c>
      <c r="AU57" s="1">
        <v>3.18180863375692</v>
      </c>
      <c r="AV57" s="1">
        <v>0.26780071674550798</v>
      </c>
      <c r="AW57" s="1">
        <v>1.08172083642525E-2</v>
      </c>
      <c r="AX57" s="1">
        <v>0.26780070601544598</v>
      </c>
      <c r="AY57" s="1">
        <v>1.0730061672514801E-8</v>
      </c>
      <c r="AZ57" s="1">
        <v>1080577.4158407301</v>
      </c>
      <c r="BA57" s="1">
        <v>1.32841117181436E-5</v>
      </c>
      <c r="BB57" s="4">
        <v>2085138.14070052</v>
      </c>
      <c r="BC57" s="4">
        <v>1561.0196067683901</v>
      </c>
      <c r="BD57" s="7">
        <v>7.4920174106583901E-2</v>
      </c>
      <c r="BE57" s="4">
        <v>3691350</v>
      </c>
      <c r="BF57" s="1">
        <v>0.56487142663267298</v>
      </c>
      <c r="BG57" s="1">
        <v>1</v>
      </c>
      <c r="BH57" s="1">
        <v>5.2999999999999999E-2</v>
      </c>
      <c r="BI57" s="1">
        <v>4.5999999999999999E-2</v>
      </c>
      <c r="BJ57" s="1">
        <v>5625</v>
      </c>
      <c r="BK57" s="1">
        <v>1</v>
      </c>
      <c r="BL57" s="1">
        <v>47.701208285978097</v>
      </c>
      <c r="BM57" s="1">
        <v>2.0851381407005198</v>
      </c>
      <c r="BN57" s="1">
        <v>47.701208285978097</v>
      </c>
      <c r="BO57" s="1">
        <v>1</v>
      </c>
      <c r="BP57" s="1">
        <v>59.308609064016999</v>
      </c>
      <c r="BQ57" s="1">
        <v>1</v>
      </c>
      <c r="BR57" s="1">
        <v>0.3175</v>
      </c>
    </row>
    <row r="58" spans="1:70">
      <c r="A58" s="2" t="s">
        <v>126</v>
      </c>
      <c r="B58" s="1">
        <v>13789520</v>
      </c>
      <c r="C58" s="1">
        <v>608.621106065763</v>
      </c>
      <c r="D58" s="1">
        <v>85.147893581579396</v>
      </c>
      <c r="E58" s="1">
        <v>624.86627494838604</v>
      </c>
      <c r="F58" s="1">
        <v>2643264.3898665099</v>
      </c>
      <c r="G58" s="1">
        <v>1562686.9740257801</v>
      </c>
      <c r="H58" s="1">
        <v>2.2019594042733499E-5</v>
      </c>
      <c r="I58" s="1">
        <v>7.2223252690249804E-5</v>
      </c>
      <c r="J58" s="1">
        <v>0.49112124879375701</v>
      </c>
      <c r="K58" s="1">
        <v>7679.7516396704104</v>
      </c>
      <c r="L58" s="1">
        <v>6.5036382888884496E-3</v>
      </c>
      <c r="M58" s="1">
        <v>57</v>
      </c>
      <c r="N58" s="1">
        <v>2861.16</v>
      </c>
      <c r="O58" s="3">
        <v>1.7719053836560401E-5</v>
      </c>
      <c r="P58" s="3">
        <v>1.4921936786020801E-2</v>
      </c>
      <c r="Q58" s="3">
        <v>4.7498000000000002E-3</v>
      </c>
      <c r="R58" s="1">
        <v>0.3175</v>
      </c>
      <c r="S58" s="4">
        <v>1470945.17578125</v>
      </c>
      <c r="T58" s="1">
        <v>575.85741467334606</v>
      </c>
      <c r="U58" s="5">
        <v>593.756694759531</v>
      </c>
      <c r="V58" s="1">
        <v>0.03</v>
      </c>
      <c r="W58" s="3">
        <v>188165.68434385501</v>
      </c>
      <c r="X58" s="1">
        <v>2.6487587648389901E-2</v>
      </c>
      <c r="Y58" s="1">
        <v>6.1443903242986799</v>
      </c>
      <c r="Z58" s="1">
        <v>6.1443903505649899</v>
      </c>
      <c r="AA58" s="1">
        <v>-2.6266310904077299E-8</v>
      </c>
      <c r="AB58" s="1">
        <v>1.79923545897351E-5</v>
      </c>
      <c r="AC58" s="1">
        <v>633.01671647436694</v>
      </c>
      <c r="AD58" s="1">
        <v>5413.6059219729696</v>
      </c>
      <c r="AE58" s="1">
        <v>593.75669508969804</v>
      </c>
      <c r="AF58" s="6">
        <v>3.3016715406120099E-7</v>
      </c>
      <c r="AG58" s="1">
        <v>1.8021440562799799E-5</v>
      </c>
      <c r="AH58" s="1">
        <v>43.3760123375883</v>
      </c>
      <c r="AI58" s="1">
        <v>0.26347005919884497</v>
      </c>
      <c r="AJ58" s="1">
        <v>41.080035939726699</v>
      </c>
      <c r="AK58" s="1">
        <v>1.53399092362165</v>
      </c>
      <c r="AL58" s="1">
        <v>1.1293680422758501</v>
      </c>
      <c r="AM58" s="1">
        <v>608.62110606560498</v>
      </c>
      <c r="AN58" s="1">
        <v>1.58138391270768E-10</v>
      </c>
      <c r="AO58" s="1">
        <v>2.9085973064675301E-8</v>
      </c>
      <c r="AP58" s="1">
        <v>3.44799367225131</v>
      </c>
      <c r="AQ58" s="1">
        <v>4.5867951873028302E-5</v>
      </c>
      <c r="AR58" s="1">
        <v>9.0252632679322492E-6</v>
      </c>
      <c r="AS58" s="1">
        <v>20.573168838537701</v>
      </c>
      <c r="AT58" s="1">
        <v>12.069938716302101</v>
      </c>
      <c r="AU58" s="1">
        <v>3.1800674681105501</v>
      </c>
      <c r="AV58" s="1">
        <v>0.26792620414075902</v>
      </c>
      <c r="AW58" s="1">
        <v>1.08172083642525E-2</v>
      </c>
      <c r="AX58" s="1">
        <v>0.26792619341985302</v>
      </c>
      <c r="AY58" s="1">
        <v>1.07209054411861E-8</v>
      </c>
      <c r="AZ58" s="1">
        <v>1080577.4158407301</v>
      </c>
      <c r="BA58" s="1">
        <v>1.33027946780075E-5</v>
      </c>
      <c r="BB58" s="4">
        <v>1476330.8050327599</v>
      </c>
      <c r="BC58" s="4">
        <v>5385.6292515075802</v>
      </c>
      <c r="BD58" s="7">
        <v>0.36613392124877497</v>
      </c>
      <c r="BE58" s="4">
        <v>3129760</v>
      </c>
      <c r="BF58" s="1">
        <v>0.47170735297043798</v>
      </c>
      <c r="BG58" s="1">
        <v>1</v>
      </c>
      <c r="BH58" s="1">
        <v>7.9000000000000001E-2</v>
      </c>
      <c r="BI58" s="1">
        <v>4.5999999999999999E-2</v>
      </c>
      <c r="BJ58" s="1">
        <v>5625</v>
      </c>
      <c r="BK58" s="1">
        <v>1</v>
      </c>
      <c r="BL58" s="1">
        <v>32.763691392416902</v>
      </c>
      <c r="BM58" s="1">
        <v>1.4763308050327599</v>
      </c>
      <c r="BN58" s="1">
        <v>32.763691392416902</v>
      </c>
      <c r="BO58" s="1">
        <v>1</v>
      </c>
      <c r="BP58" s="1">
        <v>52.364162264180599</v>
      </c>
      <c r="BQ58" s="1">
        <v>1</v>
      </c>
      <c r="BR58" s="1">
        <v>0.3175</v>
      </c>
    </row>
    <row r="59" spans="1:70">
      <c r="A59" s="2" t="s">
        <v>127</v>
      </c>
      <c r="B59" s="1">
        <v>13789520</v>
      </c>
      <c r="C59" s="1">
        <v>608.621106065763</v>
      </c>
      <c r="D59" s="1">
        <v>85.147893581579396</v>
      </c>
      <c r="E59" s="1">
        <v>624.86627494838604</v>
      </c>
      <c r="F59" s="1">
        <v>2643264.3898665099</v>
      </c>
      <c r="G59" s="1">
        <v>1562686.9740257801</v>
      </c>
      <c r="H59" s="1">
        <v>2.2019594042733499E-5</v>
      </c>
      <c r="I59" s="1">
        <v>7.2223252690249804E-5</v>
      </c>
      <c r="J59" s="1">
        <v>0.49112124879375701</v>
      </c>
      <c r="K59" s="1">
        <v>7679.7516396704104</v>
      </c>
      <c r="L59" s="1">
        <v>6.5036382888884496E-3</v>
      </c>
      <c r="M59" s="1">
        <v>58</v>
      </c>
      <c r="N59" s="1">
        <v>2861.16</v>
      </c>
      <c r="O59" s="3">
        <v>1.7719053836560401E-5</v>
      </c>
      <c r="P59" s="3">
        <v>1.4921936786020801E-2</v>
      </c>
      <c r="Q59" s="3">
        <v>4.7498000000000002E-3</v>
      </c>
      <c r="R59" s="1">
        <v>0.3175</v>
      </c>
      <c r="S59" s="4">
        <v>1493587.0132812499</v>
      </c>
      <c r="T59" s="1">
        <v>575.31581159469101</v>
      </c>
      <c r="U59" s="5">
        <v>593.49061016909104</v>
      </c>
      <c r="V59" s="1">
        <v>0.03</v>
      </c>
      <c r="W59" s="3">
        <v>188165.68434385501</v>
      </c>
      <c r="X59" s="1">
        <v>2.6487587648389901E-2</v>
      </c>
      <c r="Y59" s="1">
        <v>6.1443903242986799</v>
      </c>
      <c r="Z59" s="1">
        <v>6.1443903505649899</v>
      </c>
      <c r="AA59" s="1">
        <v>-2.6266310904077299E-8</v>
      </c>
      <c r="AB59" s="1">
        <v>1.79923545897351E-5</v>
      </c>
      <c r="AC59" s="1">
        <v>633.45374895095199</v>
      </c>
      <c r="AD59" s="1">
        <v>5413.6059219729696</v>
      </c>
      <c r="AE59" s="1">
        <v>593.49061016909104</v>
      </c>
      <c r="AF59" s="6">
        <v>0</v>
      </c>
      <c r="AG59" s="1">
        <v>1.8022019849431799E-5</v>
      </c>
      <c r="AH59" s="1">
        <v>43.3760123375883</v>
      </c>
      <c r="AI59" s="1">
        <v>0.26347005919884497</v>
      </c>
      <c r="AJ59" s="1">
        <v>41.0813564288175</v>
      </c>
      <c r="AK59" s="1">
        <v>1.5614635450694301</v>
      </c>
      <c r="AL59" s="1">
        <v>1.1293680422758501</v>
      </c>
      <c r="AM59" s="1">
        <v>608.62110606558895</v>
      </c>
      <c r="AN59" s="1">
        <v>1.7428192222723701E-10</v>
      </c>
      <c r="AO59" s="1">
        <v>2.96652596967017E-8</v>
      </c>
      <c r="AP59" s="1">
        <v>3.4480721274630199</v>
      </c>
      <c r="AQ59" s="1">
        <v>4.5865864597123302E-5</v>
      </c>
      <c r="AR59" s="1">
        <v>9.0258425545642705E-6</v>
      </c>
      <c r="AS59" s="1">
        <v>20.574489327628399</v>
      </c>
      <c r="AT59" s="1">
        <v>12.0702596310638</v>
      </c>
      <c r="AU59" s="1">
        <v>3.1801520195417998</v>
      </c>
      <c r="AV59" s="1">
        <v>0.267920107921225</v>
      </c>
      <c r="AW59" s="1">
        <v>1.08172083642525E-2</v>
      </c>
      <c r="AX59" s="1">
        <v>0.26792009719986398</v>
      </c>
      <c r="AY59" s="1">
        <v>1.07213606326262E-8</v>
      </c>
      <c r="AZ59" s="1">
        <v>1080577.4158407301</v>
      </c>
      <c r="BA59" s="1">
        <v>1.3301886649009801E-5</v>
      </c>
      <c r="BB59" s="4">
        <v>1505836.7230185801</v>
      </c>
      <c r="BC59" s="4">
        <v>12249.7097373251</v>
      </c>
      <c r="BD59" s="7">
        <v>0.82015373917946599</v>
      </c>
      <c r="BE59" s="4">
        <v>3249650</v>
      </c>
      <c r="BF59" s="1">
        <v>0.46338427923578701</v>
      </c>
      <c r="BG59" s="1">
        <v>1</v>
      </c>
      <c r="BH59" s="1">
        <v>8.6999999999999994E-2</v>
      </c>
      <c r="BI59" s="1">
        <v>4.5999999999999999E-2</v>
      </c>
      <c r="BJ59" s="1">
        <v>5625</v>
      </c>
      <c r="BK59" s="1">
        <v>1</v>
      </c>
      <c r="BL59" s="1">
        <v>33.305294471072003</v>
      </c>
      <c r="BM59" s="1">
        <v>1.5058367230185801</v>
      </c>
      <c r="BN59" s="1">
        <v>33.305294471072003</v>
      </c>
      <c r="BO59" s="1">
        <v>1</v>
      </c>
      <c r="BP59" s="1">
        <v>44.819082119059303</v>
      </c>
      <c r="BQ59" s="1">
        <v>1</v>
      </c>
      <c r="BR59" s="1">
        <v>0.3175</v>
      </c>
    </row>
    <row r="60" spans="1:70">
      <c r="A60" s="2" t="s">
        <v>128</v>
      </c>
      <c r="B60" s="1">
        <v>13789520</v>
      </c>
      <c r="C60" s="1">
        <v>608.621106065763</v>
      </c>
      <c r="D60" s="1">
        <v>85.147893581579396</v>
      </c>
      <c r="E60" s="1">
        <v>624.86627494838604</v>
      </c>
      <c r="F60" s="1">
        <v>2643264.3898665099</v>
      </c>
      <c r="G60" s="1">
        <v>1562686.9740257801</v>
      </c>
      <c r="H60" s="1">
        <v>2.2019594042733499E-5</v>
      </c>
      <c r="I60" s="1">
        <v>7.2223252690249804E-5</v>
      </c>
      <c r="J60" s="1">
        <v>0.49112124879375701</v>
      </c>
      <c r="K60" s="1">
        <v>7679.7516396704104</v>
      </c>
      <c r="L60" s="1">
        <v>6.5036382888884496E-3</v>
      </c>
      <c r="M60" s="1">
        <v>59</v>
      </c>
      <c r="N60" s="1">
        <v>3037.44</v>
      </c>
      <c r="O60" s="3">
        <v>1.7719053836560401E-5</v>
      </c>
      <c r="P60" s="3">
        <v>1.4921936786020801E-2</v>
      </c>
      <c r="Q60" s="3">
        <v>4.7498000000000002E-3</v>
      </c>
      <c r="R60" s="1">
        <v>0.3175</v>
      </c>
      <c r="S60" s="4">
        <v>2771085.4857812501</v>
      </c>
      <c r="T60" s="1">
        <v>546.46403770430902</v>
      </c>
      <c r="U60" s="5">
        <v>578.22717839319898</v>
      </c>
      <c r="V60" s="1">
        <v>0.03</v>
      </c>
      <c r="W60" s="3">
        <v>199758.83077262301</v>
      </c>
      <c r="X60" s="1">
        <v>2.5828430167953501E-2</v>
      </c>
      <c r="Y60" s="1">
        <v>6.2223006925849997</v>
      </c>
      <c r="Z60" s="1">
        <v>6.2223006947724198</v>
      </c>
      <c r="AA60" s="1">
        <v>-2.1874164701784999E-9</v>
      </c>
      <c r="AB60" s="1">
        <v>1.6371982484804101E-5</v>
      </c>
      <c r="AC60" s="1">
        <v>656.98280924712503</v>
      </c>
      <c r="AD60" s="1">
        <v>5675.1847435444397</v>
      </c>
      <c r="AE60" s="1">
        <v>578.22717839319898</v>
      </c>
      <c r="AF60" s="6">
        <v>0</v>
      </c>
      <c r="AG60" s="1">
        <v>1.6422213551125601E-5</v>
      </c>
      <c r="AH60" s="1">
        <v>47.669034302412101</v>
      </c>
      <c r="AI60" s="1">
        <v>0.27620061044286398</v>
      </c>
      <c r="AJ60" s="1">
        <v>39.243376900323</v>
      </c>
      <c r="AK60" s="1">
        <v>3.0629975475770799</v>
      </c>
      <c r="AL60" s="1">
        <v>1.1293680422758501</v>
      </c>
      <c r="AM60" s="1">
        <v>608.62110603027304</v>
      </c>
      <c r="AN60" s="1">
        <v>3.5489620131556902E-8</v>
      </c>
      <c r="AO60" s="1">
        <v>5.0231066321564798E-8</v>
      </c>
      <c r="AP60" s="1">
        <v>3.5456821764516602</v>
      </c>
      <c r="AQ60" s="1">
        <v>4.3375316816536497E-5</v>
      </c>
      <c r="AR60" s="1">
        <v>8.2362223087236E-6</v>
      </c>
      <c r="AS60" s="1">
        <v>19.681705836417802</v>
      </c>
      <c r="AT60" s="1">
        <v>11.8484478327375</v>
      </c>
      <c r="AU60" s="1">
        <v>3.2725485242025201</v>
      </c>
      <c r="AV60" s="1">
        <v>0.27313365224914499</v>
      </c>
      <c r="AW60" s="1">
        <v>9.8430222120597308E-3</v>
      </c>
      <c r="AX60" s="1">
        <v>0.27313364145394697</v>
      </c>
      <c r="AY60" s="1">
        <v>1.07951982908361E-8</v>
      </c>
      <c r="AZ60" s="1">
        <v>1080577.4158407301</v>
      </c>
      <c r="BA60" s="1">
        <v>1.2233278296799899E-5</v>
      </c>
      <c r="BB60" s="4">
        <v>2772506.1242673001</v>
      </c>
      <c r="BC60" s="4">
        <v>1420.63848605053</v>
      </c>
      <c r="BD60" s="7">
        <v>5.1266498032629802E-2</v>
      </c>
      <c r="BE60" s="4">
        <v>4297110</v>
      </c>
      <c r="BF60" s="1">
        <v>0.645202502208996</v>
      </c>
      <c r="BG60" s="1">
        <v>1</v>
      </c>
      <c r="BH60" s="1">
        <v>1.4999999999999999E-2</v>
      </c>
      <c r="BI60" s="1">
        <v>4.5999999999999999E-2</v>
      </c>
      <c r="BJ60" s="1">
        <v>5625</v>
      </c>
      <c r="BK60" s="1">
        <v>1</v>
      </c>
      <c r="BL60" s="1">
        <v>62.157068361454002</v>
      </c>
      <c r="BM60" s="1">
        <v>2.7725061242672999</v>
      </c>
      <c r="BN60" s="1">
        <v>62.157068361454002</v>
      </c>
      <c r="BO60" s="1">
        <v>1</v>
      </c>
      <c r="BP60" s="1">
        <v>490.93567837414503</v>
      </c>
      <c r="BQ60" s="1">
        <v>1</v>
      </c>
      <c r="BR60" s="1">
        <v>0.3175</v>
      </c>
    </row>
    <row r="61" spans="1:70">
      <c r="A61" s="2" t="s">
        <v>129</v>
      </c>
      <c r="B61" s="1">
        <v>13789520</v>
      </c>
      <c r="C61" s="1">
        <v>608.621106065763</v>
      </c>
      <c r="D61" s="1">
        <v>85.147893581579396</v>
      </c>
      <c r="E61" s="1">
        <v>624.86627494838604</v>
      </c>
      <c r="F61" s="1">
        <v>2643264.3898665099</v>
      </c>
      <c r="G61" s="1">
        <v>1562686.9740257801</v>
      </c>
      <c r="H61" s="1">
        <v>2.2019594042733499E-5</v>
      </c>
      <c r="I61" s="1">
        <v>7.2223252690249804E-5</v>
      </c>
      <c r="J61" s="1">
        <v>0.49112124879375701</v>
      </c>
      <c r="K61" s="1">
        <v>7679.7516396704104</v>
      </c>
      <c r="L61" s="1">
        <v>6.5036382888884496E-3</v>
      </c>
      <c r="M61" s="1">
        <v>60</v>
      </c>
      <c r="N61" s="1">
        <v>3240.84</v>
      </c>
      <c r="O61" s="3">
        <v>1.7719053836560401E-5</v>
      </c>
      <c r="P61" s="3">
        <v>1.4921936786020801E-2</v>
      </c>
      <c r="Q61" s="3">
        <v>4.7498000000000002E-3</v>
      </c>
      <c r="R61" s="1">
        <v>0.3175</v>
      </c>
      <c r="S61" s="4">
        <v>3473975.09765625</v>
      </c>
      <c r="T61" s="1">
        <v>532.84871111815698</v>
      </c>
      <c r="U61" s="5">
        <v>570.16945855758399</v>
      </c>
      <c r="V61" s="1">
        <v>0.03</v>
      </c>
      <c r="W61" s="3">
        <v>213135.538190433</v>
      </c>
      <c r="X61" s="1">
        <v>2.5140656755995701E-2</v>
      </c>
      <c r="Y61" s="1">
        <v>6.3068382175993598</v>
      </c>
      <c r="Z61" s="1">
        <v>6.3068382264170504</v>
      </c>
      <c r="AA61" s="1">
        <v>-8.8176905777004305E-9</v>
      </c>
      <c r="AB61" s="1">
        <v>1.47748438042285E-5</v>
      </c>
      <c r="AC61" s="1">
        <v>667.79379004468296</v>
      </c>
      <c r="AD61" s="1">
        <v>5974.0546358768597</v>
      </c>
      <c r="AE61" s="1">
        <v>570.16945855758399</v>
      </c>
      <c r="AF61" s="6">
        <v>0</v>
      </c>
      <c r="AG61" s="1">
        <v>1.48327889037722E-5</v>
      </c>
      <c r="AH61" s="1">
        <v>52.821986141285301</v>
      </c>
      <c r="AI61" s="1">
        <v>0.290746048245414</v>
      </c>
      <c r="AJ61" s="1">
        <v>37.3118410516498</v>
      </c>
      <c r="AK61" s="1">
        <v>3.7779046492442898</v>
      </c>
      <c r="AL61" s="1">
        <v>1.1293680422758501</v>
      </c>
      <c r="AM61" s="1">
        <v>608.621106055616</v>
      </c>
      <c r="AN61" s="1">
        <v>1.0146550266654199E-8</v>
      </c>
      <c r="AO61" s="1">
        <v>5.7945099543645402E-8</v>
      </c>
      <c r="AP61" s="1">
        <v>3.6518999507241698</v>
      </c>
      <c r="AQ61" s="1">
        <v>4.0888815210792302E-5</v>
      </c>
      <c r="AR61" s="1">
        <v>7.4453670016579099E-6</v>
      </c>
      <c r="AS61" s="1">
        <v>18.7288008977469</v>
      </c>
      <c r="AT61" s="1">
        <v>11.60031246999</v>
      </c>
      <c r="AU61" s="1">
        <v>3.3727450090616</v>
      </c>
      <c r="AV61" s="1">
        <v>0.27915494166257698</v>
      </c>
      <c r="AW61" s="1">
        <v>8.8828042590270995E-3</v>
      </c>
      <c r="AX61" s="1">
        <v>0.27915493811131897</v>
      </c>
      <c r="AY61" s="1">
        <v>3.5512583984598202E-9</v>
      </c>
      <c r="AZ61" s="1">
        <v>1080577.4158407301</v>
      </c>
      <c r="BA61" s="1">
        <v>1.11965869170879E-5</v>
      </c>
      <c r="BB61" s="4">
        <v>3494411.3693396002</v>
      </c>
      <c r="BC61" s="4">
        <v>20436.2716833511</v>
      </c>
      <c r="BD61" s="7">
        <v>0.58826765042554996</v>
      </c>
      <c r="BE61" s="4">
        <v>5016450</v>
      </c>
      <c r="BF61" s="1">
        <v>0.69659049115202998</v>
      </c>
      <c r="BG61" s="1">
        <v>1</v>
      </c>
      <c r="BH61" s="1">
        <v>-1.4E-2</v>
      </c>
      <c r="BI61" s="1">
        <v>4.5999999999999999E-2</v>
      </c>
      <c r="BJ61" s="1">
        <v>5625</v>
      </c>
      <c r="BK61" s="1">
        <v>1</v>
      </c>
      <c r="BL61" s="1">
        <v>75.772394947606003</v>
      </c>
      <c r="BM61" s="1">
        <v>3.4944113693396002</v>
      </c>
      <c r="BN61" s="1">
        <v>75.772394947606003</v>
      </c>
      <c r="BO61" s="1">
        <v>1</v>
      </c>
      <c r="BP61" s="1">
        <v>1279.66424028751</v>
      </c>
      <c r="BQ61" s="1">
        <v>1</v>
      </c>
      <c r="BR61" s="1">
        <v>0.3175</v>
      </c>
    </row>
    <row r="62" spans="1:70">
      <c r="A62" s="2" t="s">
        <v>130</v>
      </c>
      <c r="B62" s="1">
        <v>13789520</v>
      </c>
      <c r="C62" s="1">
        <v>608.621106065763</v>
      </c>
      <c r="D62" s="1">
        <v>85.147893581579396</v>
      </c>
      <c r="E62" s="1">
        <v>624.86627494838604</v>
      </c>
      <c r="F62" s="1">
        <v>2643264.3898665099</v>
      </c>
      <c r="G62" s="1">
        <v>1562686.9740257801</v>
      </c>
      <c r="H62" s="1">
        <v>2.2019594042733499E-5</v>
      </c>
      <c r="I62" s="1">
        <v>7.2223252690249804E-5</v>
      </c>
      <c r="J62" s="1">
        <v>0.49112124879375701</v>
      </c>
      <c r="K62" s="1">
        <v>7679.7516396704104</v>
      </c>
      <c r="L62" s="1">
        <v>6.5036382888884496E-3</v>
      </c>
      <c r="M62" s="1">
        <v>61</v>
      </c>
      <c r="N62" s="1">
        <v>3254.4</v>
      </c>
      <c r="O62" s="3">
        <v>1.7719053836560401E-5</v>
      </c>
      <c r="P62" s="3">
        <v>1.4921936786020801E-2</v>
      </c>
      <c r="Q62" s="3">
        <v>4.7498000000000002E-3</v>
      </c>
      <c r="R62" s="1">
        <v>0.3175</v>
      </c>
      <c r="S62" s="4">
        <v>3530403.29296875</v>
      </c>
      <c r="T62" s="1">
        <v>531.74235590187595</v>
      </c>
      <c r="U62" s="5">
        <v>569.511279760261</v>
      </c>
      <c r="V62" s="1">
        <v>0.03</v>
      </c>
      <c r="W62" s="3">
        <v>214027.318684953</v>
      </c>
      <c r="X62" s="1">
        <v>2.5097279250446199E-2</v>
      </c>
      <c r="Y62" s="1">
        <v>6.3122861547861699</v>
      </c>
      <c r="Z62" s="1">
        <v>6.3122861986763299</v>
      </c>
      <c r="AA62" s="1">
        <v>-4.3890162615412003E-8</v>
      </c>
      <c r="AB62" s="1">
        <v>1.46773007210318E-5</v>
      </c>
      <c r="AC62" s="1">
        <v>668.67809075085995</v>
      </c>
      <c r="AD62" s="1">
        <v>5993.8730869541596</v>
      </c>
      <c r="AE62" s="1">
        <v>569.51128044704205</v>
      </c>
      <c r="AF62" s="6">
        <v>6.8678082243422999E-7</v>
      </c>
      <c r="AG62" s="1">
        <v>1.47355864701398E-5</v>
      </c>
      <c r="AH62" s="1">
        <v>53.173032937063702</v>
      </c>
      <c r="AI62" s="1">
        <v>0.29171057513448301</v>
      </c>
      <c r="AJ62" s="1">
        <v>37.1902965025293</v>
      </c>
      <c r="AK62" s="1">
        <v>3.8363611538928102</v>
      </c>
      <c r="AL62" s="1">
        <v>1.1293680422758501</v>
      </c>
      <c r="AM62" s="1">
        <v>608.621106058039</v>
      </c>
      <c r="AN62" s="1">
        <v>7.7235426942934299E-9</v>
      </c>
      <c r="AO62" s="1">
        <v>5.8285749107976199E-8</v>
      </c>
      <c r="AP62" s="1">
        <v>3.6587987247163798</v>
      </c>
      <c r="AQ62" s="1">
        <v>4.07347664212909E-5</v>
      </c>
      <c r="AR62" s="1">
        <v>7.3969361096238896E-6</v>
      </c>
      <c r="AS62" s="1">
        <v>18.668700270914201</v>
      </c>
      <c r="AT62" s="1">
        <v>11.5842416960893</v>
      </c>
      <c r="AU62" s="1">
        <v>3.3792458076630698</v>
      </c>
      <c r="AV62" s="1">
        <v>0.27955291705330598</v>
      </c>
      <c r="AW62" s="1">
        <v>8.8241602471959696E-3</v>
      </c>
      <c r="AX62" s="1">
        <v>0.27955291132186899</v>
      </c>
      <c r="AY62" s="1">
        <v>5.7314372692296403E-9</v>
      </c>
      <c r="AZ62" s="1">
        <v>1080577.4158407301</v>
      </c>
      <c r="BA62" s="1">
        <v>1.11333717665622E-5</v>
      </c>
      <c r="BB62" s="4">
        <v>3534912.2991045802</v>
      </c>
      <c r="BC62" s="4">
        <v>4509.0061358264602</v>
      </c>
      <c r="BD62" s="7">
        <v>0.127719293283199</v>
      </c>
      <c r="BE62" s="4">
        <v>4101500</v>
      </c>
      <c r="BF62" s="1">
        <v>0.86185841743376201</v>
      </c>
      <c r="BG62" s="1">
        <v>1</v>
      </c>
      <c r="BH62" s="1">
        <v>-0.09</v>
      </c>
      <c r="BI62" s="1">
        <v>4.5999999999999999E-2</v>
      </c>
      <c r="BJ62" s="1">
        <v>5625</v>
      </c>
      <c r="BK62" s="1">
        <v>1</v>
      </c>
      <c r="BL62" s="1">
        <v>76.878750163887005</v>
      </c>
      <c r="BM62" s="1">
        <v>3.53491229910458</v>
      </c>
      <c r="BN62" s="1">
        <v>76.878750163887005</v>
      </c>
      <c r="BO62" s="1">
        <v>1</v>
      </c>
      <c r="BP62" s="1">
        <v>1360.0422136504001</v>
      </c>
      <c r="BQ62" s="1">
        <v>1</v>
      </c>
      <c r="BR62" s="1">
        <v>0.3175</v>
      </c>
    </row>
    <row r="63" spans="1:70">
      <c r="A63" s="2" t="s">
        <v>131</v>
      </c>
      <c r="B63" s="1">
        <v>13789520</v>
      </c>
      <c r="C63" s="1">
        <v>608.621106065763</v>
      </c>
      <c r="D63" s="1">
        <v>85.147893581579396</v>
      </c>
      <c r="E63" s="1">
        <v>624.86627494838604</v>
      </c>
      <c r="F63" s="1">
        <v>2643264.3898665099</v>
      </c>
      <c r="G63" s="1">
        <v>1562686.9740257801</v>
      </c>
      <c r="H63" s="1">
        <v>2.2019594042733499E-5</v>
      </c>
      <c r="I63" s="1">
        <v>7.2223252690249804E-5</v>
      </c>
      <c r="J63" s="1">
        <v>0.49112124879375701</v>
      </c>
      <c r="K63" s="1">
        <v>7679.7516396704104</v>
      </c>
      <c r="L63" s="1">
        <v>6.5036382888884496E-3</v>
      </c>
      <c r="M63" s="1">
        <v>62</v>
      </c>
      <c r="N63" s="1">
        <v>3390</v>
      </c>
      <c r="O63" s="3">
        <v>1.7719053836560401E-5</v>
      </c>
      <c r="P63" s="3">
        <v>1.4921936786020801E-2</v>
      </c>
      <c r="Q63" s="3">
        <v>4.7498000000000002E-3</v>
      </c>
      <c r="R63" s="1">
        <v>0.3175</v>
      </c>
      <c r="S63" s="4">
        <v>4885709.98828125</v>
      </c>
      <c r="T63" s="1">
        <v>502.18664486312503</v>
      </c>
      <c r="U63" s="5">
        <v>552.36416666430205</v>
      </c>
      <c r="V63" s="1">
        <v>0.03</v>
      </c>
      <c r="W63" s="3">
        <v>222945.12363016</v>
      </c>
      <c r="X63" s="1">
        <v>2.4678932692460701E-2</v>
      </c>
      <c r="Y63" s="1">
        <v>6.3655628904620603</v>
      </c>
      <c r="Z63" s="1">
        <v>6.3655629128054798</v>
      </c>
      <c r="AA63" s="1">
        <v>-2.2343423999870999E-8</v>
      </c>
      <c r="AB63" s="1">
        <v>1.37558974038971E-5</v>
      </c>
      <c r="AC63" s="1">
        <v>693.26798740051697</v>
      </c>
      <c r="AD63" s="1">
        <v>6191.3616856873095</v>
      </c>
      <c r="AE63" s="1">
        <v>552.36416666430205</v>
      </c>
      <c r="AF63" s="6">
        <v>0</v>
      </c>
      <c r="AG63" s="1">
        <v>1.3832502417047099E-5</v>
      </c>
      <c r="AH63" s="1">
        <v>56.7346914382709</v>
      </c>
      <c r="AI63" s="1">
        <v>0.30132197528980798</v>
      </c>
      <c r="AJ63" s="1">
        <v>36.061318574290397</v>
      </c>
      <c r="AK63" s="1">
        <v>5.4338823225485502</v>
      </c>
      <c r="AL63" s="1">
        <v>1.1293680422758501</v>
      </c>
      <c r="AM63" s="1">
        <v>608.62110603496501</v>
      </c>
      <c r="AN63" s="1">
        <v>3.0798105399298901E-8</v>
      </c>
      <c r="AO63" s="1">
        <v>7.6605013149958406E-8</v>
      </c>
      <c r="AP63" s="1">
        <v>3.7297833475328699</v>
      </c>
      <c r="AQ63" s="1">
        <v>3.9199006251297001E-5</v>
      </c>
      <c r="AR63" s="1">
        <v>6.9545537150985101E-6</v>
      </c>
      <c r="AS63" s="1">
        <v>18.130513879622399</v>
      </c>
      <c r="AT63" s="1">
        <v>11.437981842625801</v>
      </c>
      <c r="AU63" s="1">
        <v>3.4465152821489702</v>
      </c>
      <c r="AV63" s="1">
        <v>0.28326806538390498</v>
      </c>
      <c r="AW63" s="1">
        <v>8.2702020857307601E-3</v>
      </c>
      <c r="AX63" s="1">
        <v>0.28326803186954802</v>
      </c>
      <c r="AY63" s="1">
        <v>3.3514357067332399E-8</v>
      </c>
      <c r="AZ63" s="1">
        <v>1080577.4158407301</v>
      </c>
      <c r="BA63" s="1">
        <v>1.0509727402055601E-5</v>
      </c>
      <c r="BB63" s="4">
        <v>4921627.1787898298</v>
      </c>
      <c r="BC63" s="4">
        <v>35917.190508576998</v>
      </c>
      <c r="BD63" s="7">
        <v>0.73514782078197805</v>
      </c>
      <c r="BE63" s="4">
        <v>5300400</v>
      </c>
      <c r="BF63" s="1">
        <v>0.92853882325670301</v>
      </c>
      <c r="BG63" s="1">
        <v>1</v>
      </c>
      <c r="BH63" s="1">
        <v>-0.14399999999999999</v>
      </c>
      <c r="BI63" s="1">
        <v>4.5999999999999999E-2</v>
      </c>
      <c r="BJ63" s="1">
        <v>5625</v>
      </c>
      <c r="BK63" s="1">
        <v>1</v>
      </c>
      <c r="BL63" s="1">
        <v>106.434461202638</v>
      </c>
      <c r="BM63" s="1">
        <v>4.92162717878983</v>
      </c>
      <c r="BN63" s="1">
        <v>106.434461202638</v>
      </c>
      <c r="BO63" s="1">
        <v>1</v>
      </c>
      <c r="BP63" s="1">
        <v>4413.5376352848098</v>
      </c>
      <c r="BQ63" s="1">
        <v>1</v>
      </c>
      <c r="BR63" s="1">
        <v>0.3175</v>
      </c>
    </row>
    <row r="64" spans="1:70">
      <c r="A64" s="2" t="s">
        <v>132</v>
      </c>
      <c r="B64" s="1">
        <v>13789520</v>
      </c>
      <c r="C64" s="1">
        <v>608.621106065763</v>
      </c>
      <c r="D64" s="1">
        <v>85.147893581579396</v>
      </c>
      <c r="E64" s="1">
        <v>624.86627494838604</v>
      </c>
      <c r="F64" s="1">
        <v>2643264.3898665099</v>
      </c>
      <c r="G64" s="1">
        <v>1562686.9740257801</v>
      </c>
      <c r="H64" s="1">
        <v>2.2019594042733499E-5</v>
      </c>
      <c r="I64" s="1">
        <v>7.2223252690249804E-5</v>
      </c>
      <c r="J64" s="1">
        <v>0.49112124879375701</v>
      </c>
      <c r="K64" s="1">
        <v>7679.7516396704104</v>
      </c>
      <c r="L64" s="1">
        <v>6.5036382888884496E-3</v>
      </c>
      <c r="M64" s="1">
        <v>63</v>
      </c>
      <c r="N64" s="1">
        <v>3390</v>
      </c>
      <c r="O64" s="3">
        <v>1.7719053836560401E-5</v>
      </c>
      <c r="P64" s="3">
        <v>1.4921936786020801E-2</v>
      </c>
      <c r="Q64" s="3">
        <v>4.7498000000000002E-3</v>
      </c>
      <c r="R64" s="1">
        <v>0.3175</v>
      </c>
      <c r="S64" s="4">
        <v>3749439.2742187502</v>
      </c>
      <c r="T64" s="1">
        <v>528.989187332651</v>
      </c>
      <c r="U64" s="5">
        <v>567.49691115898599</v>
      </c>
      <c r="V64" s="1">
        <v>0.03</v>
      </c>
      <c r="W64" s="3">
        <v>222945.12363016</v>
      </c>
      <c r="X64" s="1">
        <v>2.4678932692460701E-2</v>
      </c>
      <c r="Y64" s="1">
        <v>6.3655628904620603</v>
      </c>
      <c r="Z64" s="1">
        <v>6.3655629128054798</v>
      </c>
      <c r="AA64" s="1">
        <v>-2.2343423999870999E-8</v>
      </c>
      <c r="AB64" s="1">
        <v>1.37558974038971E-5</v>
      </c>
      <c r="AC64" s="1">
        <v>670.46613761571598</v>
      </c>
      <c r="AD64" s="1">
        <v>6191.3616856873095</v>
      </c>
      <c r="AE64" s="1">
        <v>567.49691115898599</v>
      </c>
      <c r="AF64" s="6">
        <v>0</v>
      </c>
      <c r="AG64" s="1">
        <v>1.3814490314596299E-5</v>
      </c>
      <c r="AH64" s="1">
        <v>56.7346914382709</v>
      </c>
      <c r="AI64" s="1">
        <v>0.30132197528980798</v>
      </c>
      <c r="AJ64" s="1">
        <v>36.014361043029297</v>
      </c>
      <c r="AK64" s="1">
        <v>3.9709544885741699</v>
      </c>
      <c r="AL64" s="1">
        <v>1.1293680422758501</v>
      </c>
      <c r="AM64" s="1">
        <v>608.62110604338795</v>
      </c>
      <c r="AN64" s="1">
        <v>2.23747065319913E-8</v>
      </c>
      <c r="AO64" s="1">
        <v>5.8592910699236397E-8</v>
      </c>
      <c r="AP64" s="1">
        <v>3.72615224812558</v>
      </c>
      <c r="AQ64" s="1">
        <v>3.9275441582524797E-5</v>
      </c>
      <c r="AR64" s="1">
        <v>6.9365416126477898E-6</v>
      </c>
      <c r="AS64" s="1">
        <v>18.083556348361299</v>
      </c>
      <c r="AT64" s="1">
        <v>11.425015181523399</v>
      </c>
      <c r="AU64" s="1">
        <v>3.44260814221269</v>
      </c>
      <c r="AV64" s="1">
        <v>0.28354410591289197</v>
      </c>
      <c r="AW64" s="1">
        <v>8.2702020857307601E-3</v>
      </c>
      <c r="AX64" s="1">
        <v>0.28354407383298103</v>
      </c>
      <c r="AY64" s="1">
        <v>3.2079910783355801E-8</v>
      </c>
      <c r="AZ64" s="1">
        <v>1080577.4158407301</v>
      </c>
      <c r="BA64" s="1">
        <v>1.05404822366778E-5</v>
      </c>
      <c r="BB64" s="4">
        <v>3753423.4619365502</v>
      </c>
      <c r="BC64" s="4">
        <v>3984.1877177995598</v>
      </c>
      <c r="BD64" s="7">
        <v>0.10626089466750301</v>
      </c>
      <c r="BE64" s="4">
        <v>5300400</v>
      </c>
      <c r="BF64" s="1">
        <v>0.708139661523008</v>
      </c>
      <c r="BG64" s="1">
        <v>1</v>
      </c>
      <c r="BH64" s="1">
        <v>-2.7E-2</v>
      </c>
      <c r="BI64" s="1">
        <v>4.5999999999999999E-2</v>
      </c>
      <c r="BJ64" s="1">
        <v>5625</v>
      </c>
      <c r="BK64" s="1">
        <v>1</v>
      </c>
      <c r="BL64" s="1">
        <v>79.631918733112002</v>
      </c>
      <c r="BM64" s="1">
        <v>3.7534234619365501</v>
      </c>
      <c r="BN64" s="1">
        <v>79.631918733112002</v>
      </c>
      <c r="BO64" s="1">
        <v>1</v>
      </c>
      <c r="BP64" s="1">
        <v>1570.6889824679899</v>
      </c>
      <c r="BQ64" s="1">
        <v>1</v>
      </c>
      <c r="BR64" s="1">
        <v>0.3175</v>
      </c>
    </row>
    <row r="65" spans="1:70">
      <c r="A65" s="2" t="s">
        <v>133</v>
      </c>
      <c r="B65" s="1">
        <v>13789520</v>
      </c>
      <c r="C65" s="1">
        <v>608.621106065763</v>
      </c>
      <c r="D65" s="1">
        <v>85.147893581579396</v>
      </c>
      <c r="E65" s="1">
        <v>624.86627494838604</v>
      </c>
      <c r="F65" s="1">
        <v>2643264.3898665099</v>
      </c>
      <c r="G65" s="1">
        <v>1562686.9740257801</v>
      </c>
      <c r="H65" s="1">
        <v>2.2019594042733499E-5</v>
      </c>
      <c r="I65" s="1">
        <v>7.2223252690249804E-5</v>
      </c>
      <c r="J65" s="1">
        <v>0.49112124879375701</v>
      </c>
      <c r="K65" s="1">
        <v>7679.7516396704104</v>
      </c>
      <c r="L65" s="1">
        <v>6.5036382888884496E-3</v>
      </c>
      <c r="M65" s="1">
        <v>64</v>
      </c>
      <c r="N65" s="1">
        <v>3403.56</v>
      </c>
      <c r="O65" s="3">
        <v>1.7719053836560401E-5</v>
      </c>
      <c r="P65" s="3">
        <v>1.4921936786020801E-2</v>
      </c>
      <c r="Q65" s="3">
        <v>4.7498000000000002E-3</v>
      </c>
      <c r="R65" s="1">
        <v>0.3175</v>
      </c>
      <c r="S65" s="4">
        <v>5572082.51953125</v>
      </c>
      <c r="T65" s="1">
        <v>486.08905396706899</v>
      </c>
      <c r="U65" s="5">
        <v>543.08780650687902</v>
      </c>
      <c r="V65" s="1">
        <v>0.03</v>
      </c>
      <c r="W65" s="3">
        <v>223836.90412468</v>
      </c>
      <c r="X65" s="1">
        <v>2.4638575604823201E-2</v>
      </c>
      <c r="Y65" s="1">
        <v>6.3707740372673998</v>
      </c>
      <c r="Z65" s="1">
        <v>6.3707740577340601</v>
      </c>
      <c r="AA65" s="1">
        <v>-2.04666577019452E-8</v>
      </c>
      <c r="AB65" s="1">
        <v>1.36688594841877E-5</v>
      </c>
      <c r="AC65" s="1">
        <v>707.05414403807504</v>
      </c>
      <c r="AD65" s="1">
        <v>6211.0424832401304</v>
      </c>
      <c r="AE65" s="1">
        <v>543.08780650687902</v>
      </c>
      <c r="AF65" s="6">
        <v>0</v>
      </c>
      <c r="AG65" s="1">
        <v>1.3755376036409E-5</v>
      </c>
      <c r="AH65" s="1">
        <v>57.095955633272197</v>
      </c>
      <c r="AI65" s="1">
        <v>0.30227980283970002</v>
      </c>
      <c r="AJ65" s="1">
        <v>35.974240993338597</v>
      </c>
      <c r="AK65" s="1">
        <v>6.3213333636802602</v>
      </c>
      <c r="AL65" s="1">
        <v>1.1293680422758501</v>
      </c>
      <c r="AM65" s="1">
        <v>608.62110603347298</v>
      </c>
      <c r="AN65" s="1">
        <v>3.2289904083881999E-8</v>
      </c>
      <c r="AO65" s="1">
        <v>8.6516552221310898E-8</v>
      </c>
      <c r="AP65" s="1">
        <v>3.7384554819493001</v>
      </c>
      <c r="AQ65" s="1">
        <v>3.9017356490988899E-5</v>
      </c>
      <c r="AR65" s="1">
        <v>6.9209462943151696E-6</v>
      </c>
      <c r="AS65" s="1">
        <v>18.1002532562276</v>
      </c>
      <c r="AT65" s="1">
        <v>11.4296296511533</v>
      </c>
      <c r="AU65" s="1">
        <v>3.4549461974814202</v>
      </c>
      <c r="AV65" s="1">
        <v>0.28350928446788298</v>
      </c>
      <c r="AW65" s="1">
        <v>8.2178738977555996E-3</v>
      </c>
      <c r="AX65" s="1">
        <v>0.28350928184437502</v>
      </c>
      <c r="AY65" s="1">
        <v>2.6235089656267998E-9</v>
      </c>
      <c r="AZ65" s="1">
        <v>1080577.4158407301</v>
      </c>
      <c r="BA65" s="1">
        <v>1.04367583563265E-5</v>
      </c>
      <c r="BB65" s="4">
        <v>5597273.7517769001</v>
      </c>
      <c r="BC65" s="4">
        <v>25191.2322456455</v>
      </c>
      <c r="BD65" s="7">
        <v>0.452097257306317</v>
      </c>
      <c r="BE65" s="4">
        <v>5836750</v>
      </c>
      <c r="BF65" s="1">
        <v>0.95897096017079597</v>
      </c>
      <c r="BG65" s="1">
        <v>1</v>
      </c>
      <c r="BH65" s="1">
        <v>-0.17399999999999999</v>
      </c>
      <c r="BI65" s="1">
        <v>4.5999999999999999E-2</v>
      </c>
      <c r="BJ65" s="1">
        <v>5625</v>
      </c>
      <c r="BK65" s="1">
        <v>1</v>
      </c>
      <c r="BL65" s="1">
        <v>122.532052098694</v>
      </c>
      <c r="BM65" s="1">
        <v>5.5972737517768998</v>
      </c>
      <c r="BN65" s="1">
        <v>122.532052098694</v>
      </c>
      <c r="BO65" s="1">
        <v>1</v>
      </c>
      <c r="BP65" s="1">
        <v>6811.5396236215402</v>
      </c>
      <c r="BQ65" s="1">
        <v>1</v>
      </c>
      <c r="BR65" s="1">
        <v>0.3175</v>
      </c>
    </row>
    <row r="66" spans="1:70">
      <c r="A66" s="2" t="s">
        <v>134</v>
      </c>
      <c r="B66" s="1">
        <v>13789520</v>
      </c>
      <c r="C66" s="1">
        <v>608.621106065763</v>
      </c>
      <c r="D66" s="1">
        <v>85.147893581579396</v>
      </c>
      <c r="E66" s="1">
        <v>624.86627494838604</v>
      </c>
      <c r="F66" s="1">
        <v>2643264.3898665099</v>
      </c>
      <c r="G66" s="1">
        <v>1562686.9740257801</v>
      </c>
      <c r="H66" s="1">
        <v>2.2019594042733499E-5</v>
      </c>
      <c r="I66" s="1">
        <v>7.2223252690249804E-5</v>
      </c>
      <c r="J66" s="1">
        <v>0.49112124879375701</v>
      </c>
      <c r="K66" s="1">
        <v>7679.7516396704104</v>
      </c>
      <c r="L66" s="1">
        <v>6.5036382888884496E-3</v>
      </c>
      <c r="M66" s="1">
        <v>65</v>
      </c>
      <c r="N66" s="1">
        <v>3403.56</v>
      </c>
      <c r="O66" s="3">
        <v>1.7719053836560401E-5</v>
      </c>
      <c r="P66" s="3">
        <v>1.4921936786020801E-2</v>
      </c>
      <c r="Q66" s="3">
        <v>4.7498000000000002E-3</v>
      </c>
      <c r="R66" s="1">
        <v>0.3175</v>
      </c>
      <c r="S66" s="4">
        <v>4404402.59765625</v>
      </c>
      <c r="T66" s="1">
        <v>513.90123078477097</v>
      </c>
      <c r="U66" s="5">
        <v>558.95538295669996</v>
      </c>
      <c r="V66" s="1">
        <v>0.03</v>
      </c>
      <c r="W66" s="3">
        <v>223836.90412468</v>
      </c>
      <c r="X66" s="1">
        <v>2.4638575604823201E-2</v>
      </c>
      <c r="Y66" s="1">
        <v>6.3707740372673998</v>
      </c>
      <c r="Z66" s="1">
        <v>6.3707740577340601</v>
      </c>
      <c r="AA66" s="1">
        <v>-2.04666577019452E-8</v>
      </c>
      <c r="AB66" s="1">
        <v>1.36688594841877E-5</v>
      </c>
      <c r="AC66" s="1">
        <v>683.18080760142402</v>
      </c>
      <c r="AD66" s="1">
        <v>6211.0424832401304</v>
      </c>
      <c r="AE66" s="1">
        <v>558.95538378850802</v>
      </c>
      <c r="AF66" s="6">
        <v>8.3180805177107697E-7</v>
      </c>
      <c r="AG66" s="1">
        <v>1.37371379987487E-5</v>
      </c>
      <c r="AH66" s="1">
        <v>57.095955633272197</v>
      </c>
      <c r="AI66" s="1">
        <v>0.30227980283970002</v>
      </c>
      <c r="AJ66" s="1">
        <v>35.926543310606903</v>
      </c>
      <c r="AK66" s="1">
        <v>4.7892166647712298</v>
      </c>
      <c r="AL66" s="1">
        <v>1.1293680422758501</v>
      </c>
      <c r="AM66" s="1">
        <v>608.62110604179304</v>
      </c>
      <c r="AN66" s="1">
        <v>2.3969619178387799E-8</v>
      </c>
      <c r="AO66" s="1">
        <v>6.8278514560952304E-8</v>
      </c>
      <c r="AP66" s="1">
        <v>3.73474877545193</v>
      </c>
      <c r="AQ66" s="1">
        <v>3.9094843715698999E-5</v>
      </c>
      <c r="AR66" s="1">
        <v>6.9027082566548203E-6</v>
      </c>
      <c r="AS66" s="1">
        <v>18.052555573495901</v>
      </c>
      <c r="AT66" s="1">
        <v>11.4164362888806</v>
      </c>
      <c r="AU66" s="1">
        <v>3.4509581105348301</v>
      </c>
      <c r="AV66" s="1">
        <v>0.28379066491709798</v>
      </c>
      <c r="AW66" s="1">
        <v>8.2178738977555996E-3</v>
      </c>
      <c r="AX66" s="1">
        <v>0.28379066240308398</v>
      </c>
      <c r="AY66" s="1">
        <v>2.51401333084544E-9</v>
      </c>
      <c r="AZ66" s="1">
        <v>1080577.4158407301</v>
      </c>
      <c r="BA66" s="1">
        <v>1.04678643909504E-5</v>
      </c>
      <c r="BB66" s="4">
        <v>4404219.4308126597</v>
      </c>
      <c r="BC66" s="4">
        <v>-183.166843592189</v>
      </c>
      <c r="BD66" s="7">
        <v>-4.1587216320701304E-3</v>
      </c>
      <c r="BE66" s="4">
        <v>5836750</v>
      </c>
      <c r="BF66" s="1">
        <v>0.75456708456121302</v>
      </c>
      <c r="BG66" s="1">
        <v>1</v>
      </c>
      <c r="BH66" s="1">
        <v>-5.6000000000000001E-2</v>
      </c>
      <c r="BI66" s="1">
        <v>4.5999999999999999E-2</v>
      </c>
      <c r="BJ66" s="1">
        <v>5625</v>
      </c>
      <c r="BK66" s="1">
        <v>1</v>
      </c>
      <c r="BL66" s="1">
        <v>94.719875280991999</v>
      </c>
      <c r="BM66" s="1">
        <v>4.4042194308126597</v>
      </c>
      <c r="BN66" s="1">
        <v>94.719875280991999</v>
      </c>
      <c r="BO66" s="1">
        <v>1</v>
      </c>
      <c r="BP66" s="1">
        <v>2994.26475076732</v>
      </c>
      <c r="BQ66" s="1">
        <v>1</v>
      </c>
      <c r="BR66" s="1">
        <v>0.3175</v>
      </c>
    </row>
    <row r="67" spans="1:70">
      <c r="A67" s="2" t="s">
        <v>135</v>
      </c>
      <c r="B67" s="1">
        <v>13789520</v>
      </c>
      <c r="C67" s="1">
        <v>608.621106065763</v>
      </c>
      <c r="D67" s="1">
        <v>85.147893581579396</v>
      </c>
      <c r="E67" s="1">
        <v>624.86627494838604</v>
      </c>
      <c r="F67" s="1">
        <v>2643264.3898665099</v>
      </c>
      <c r="G67" s="1">
        <v>1562686.9740257801</v>
      </c>
      <c r="H67" s="1">
        <v>2.2019594042733499E-5</v>
      </c>
      <c r="I67" s="1">
        <v>7.2223252690249804E-5</v>
      </c>
      <c r="J67" s="1">
        <v>0.49112124879375701</v>
      </c>
      <c r="K67" s="1">
        <v>7679.7516396704104</v>
      </c>
      <c r="L67" s="1">
        <v>6.5036382888884496E-3</v>
      </c>
      <c r="M67" s="1">
        <v>66</v>
      </c>
      <c r="N67" s="1">
        <v>3457.8</v>
      </c>
      <c r="O67" s="3">
        <v>1.7719053836560401E-5</v>
      </c>
      <c r="P67" s="3">
        <v>1.4921936786020801E-2</v>
      </c>
      <c r="Q67" s="3">
        <v>4.7498000000000002E-3</v>
      </c>
      <c r="R67" s="1">
        <v>0.3175</v>
      </c>
      <c r="S67" s="4">
        <v>3680812.01171875</v>
      </c>
      <c r="T67" s="1">
        <v>531.74235590187595</v>
      </c>
      <c r="U67" s="5">
        <v>568.80402635069197</v>
      </c>
      <c r="V67" s="1">
        <v>0.03</v>
      </c>
      <c r="W67" s="3">
        <v>227404.02610276299</v>
      </c>
      <c r="X67" s="1">
        <v>2.4479693484813901E-2</v>
      </c>
      <c r="Y67" s="1">
        <v>6.3914149207841797</v>
      </c>
      <c r="Z67" s="1">
        <v>6.3914149346502196</v>
      </c>
      <c r="AA67" s="1">
        <v>-1.38660345427866E-8</v>
      </c>
      <c r="AB67" s="1">
        <v>1.3329350327789201E-5</v>
      </c>
      <c r="AC67" s="1">
        <v>667.89513907234902</v>
      </c>
      <c r="AD67" s="1">
        <v>6289.6452084297298</v>
      </c>
      <c r="AE67" s="1">
        <v>568.80402702964295</v>
      </c>
      <c r="AF67" s="6">
        <v>6.7895132360718001E-7</v>
      </c>
      <c r="AG67" s="1">
        <v>1.3384908292661599E-5</v>
      </c>
      <c r="AH67" s="1">
        <v>58.5502350433053</v>
      </c>
      <c r="AI67" s="1">
        <v>0.30610525023232199</v>
      </c>
      <c r="AJ67" s="1">
        <v>35.448365955707899</v>
      </c>
      <c r="AK67" s="1">
        <v>3.8155774795814499</v>
      </c>
      <c r="AL67" s="1">
        <v>1.1293680422758501</v>
      </c>
      <c r="AM67" s="1">
        <v>608.62110605902501</v>
      </c>
      <c r="AN67" s="1">
        <v>6.7379914980847397E-9</v>
      </c>
      <c r="AO67" s="1">
        <v>5.5557964872483199E-8</v>
      </c>
      <c r="AP67" s="1">
        <v>3.7584447917412298</v>
      </c>
      <c r="AQ67" s="1">
        <v>3.8603432095051697E-5</v>
      </c>
      <c r="AR67" s="1">
        <v>6.7202331287670599E-6</v>
      </c>
      <c r="AS67" s="1">
        <v>17.797752367628298</v>
      </c>
      <c r="AT67" s="1">
        <v>11.345360889217901</v>
      </c>
      <c r="AU67" s="1">
        <v>3.47287453397003</v>
      </c>
      <c r="AV67" s="1">
        <v>0.28557025777119999</v>
      </c>
      <c r="AW67" s="1">
        <v>8.0137571287124797E-3</v>
      </c>
      <c r="AX67" s="1">
        <v>0.28557025432128502</v>
      </c>
      <c r="AY67" s="1">
        <v>3.44991490930369E-9</v>
      </c>
      <c r="AZ67" s="1">
        <v>1080577.4158407301</v>
      </c>
      <c r="BA67" s="1">
        <v>1.02711185700741E-5</v>
      </c>
      <c r="BB67" s="4">
        <v>3652343.01625962</v>
      </c>
      <c r="BC67" s="4">
        <v>-28468.995459132799</v>
      </c>
      <c r="BD67" s="7">
        <v>-0.77344334262371806</v>
      </c>
      <c r="BE67" s="4">
        <v>4764050</v>
      </c>
      <c r="BF67" s="1">
        <v>0.76664665909459795</v>
      </c>
      <c r="BG67" s="1">
        <v>1</v>
      </c>
      <c r="BH67" s="1">
        <v>-6.0999999999999999E-2</v>
      </c>
      <c r="BI67" s="1">
        <v>4.5999999999999999E-2</v>
      </c>
      <c r="BJ67" s="1">
        <v>5625</v>
      </c>
      <c r="BK67" s="1">
        <v>1</v>
      </c>
      <c r="BL67" s="1">
        <v>76.878750163887005</v>
      </c>
      <c r="BM67" s="1">
        <v>3.65234301625962</v>
      </c>
      <c r="BN67" s="1">
        <v>76.878750163887005</v>
      </c>
      <c r="BO67" s="1">
        <v>1</v>
      </c>
      <c r="BP67" s="1">
        <v>1360.0422136504001</v>
      </c>
      <c r="BQ67" s="1">
        <v>1</v>
      </c>
      <c r="BR67" s="1">
        <v>0.3175</v>
      </c>
    </row>
    <row r="68" spans="1:70">
      <c r="A68" s="2" t="s">
        <v>136</v>
      </c>
      <c r="B68" s="1">
        <v>13789520</v>
      </c>
      <c r="C68" s="1">
        <v>608.621106065763</v>
      </c>
      <c r="D68" s="1">
        <v>85.147893581579396</v>
      </c>
      <c r="E68" s="1">
        <v>624.86627494838604</v>
      </c>
      <c r="F68" s="1">
        <v>2643264.3898665099</v>
      </c>
      <c r="G68" s="1">
        <v>1562686.9740257801</v>
      </c>
      <c r="H68" s="1">
        <v>2.2019594042733499E-5</v>
      </c>
      <c r="I68" s="1">
        <v>7.2223252690249804E-5</v>
      </c>
      <c r="J68" s="1">
        <v>0.49112124879375701</v>
      </c>
      <c r="K68" s="1">
        <v>7679.7516396704104</v>
      </c>
      <c r="L68" s="1">
        <v>6.5036382888884496E-3</v>
      </c>
      <c r="M68" s="1">
        <v>67</v>
      </c>
      <c r="N68" s="1">
        <v>3471.36</v>
      </c>
      <c r="O68" s="3">
        <v>1.7719053836560401E-5</v>
      </c>
      <c r="P68" s="3">
        <v>1.4921936786020801E-2</v>
      </c>
      <c r="Q68" s="3">
        <v>4.7498000000000002E-3</v>
      </c>
      <c r="R68" s="1">
        <v>0.3175</v>
      </c>
      <c r="S68" s="4">
        <v>5036472.20703125</v>
      </c>
      <c r="T68" s="1">
        <v>500.510864523382</v>
      </c>
      <c r="U68" s="5">
        <v>551.02442828563596</v>
      </c>
      <c r="V68" s="1">
        <v>0.03</v>
      </c>
      <c r="W68" s="3">
        <v>228295.80659728299</v>
      </c>
      <c r="X68" s="1">
        <v>2.4440596296902501E-2</v>
      </c>
      <c r="Y68" s="1">
        <v>6.3965249944564002</v>
      </c>
      <c r="Z68" s="1">
        <v>6.3965250069065602</v>
      </c>
      <c r="AA68" s="1">
        <v>-1.2450162678589999E-8</v>
      </c>
      <c r="AB68" s="1">
        <v>1.3246574634701799E-5</v>
      </c>
      <c r="AC68" s="1">
        <v>694.24448389806901</v>
      </c>
      <c r="AD68" s="1">
        <v>6309.2660898415897</v>
      </c>
      <c r="AE68" s="1">
        <v>551.02442922808098</v>
      </c>
      <c r="AF68" s="6">
        <v>9.4244478532345997E-7</v>
      </c>
      <c r="AG68" s="1">
        <v>1.33222097363374E-5</v>
      </c>
      <c r="AH68" s="1">
        <v>58.916105951052501</v>
      </c>
      <c r="AI68" s="1">
        <v>0.30706016177587098</v>
      </c>
      <c r="AJ68" s="1">
        <v>35.392381208148201</v>
      </c>
      <c r="AK68" s="1">
        <v>5.51313513733625</v>
      </c>
      <c r="AL68" s="1">
        <v>1.1293680422758501</v>
      </c>
      <c r="AM68" s="1">
        <v>608.62110605838598</v>
      </c>
      <c r="AN68" s="1">
        <v>7.3767978392425001E-9</v>
      </c>
      <c r="AO68" s="1">
        <v>7.5635101635648197E-8</v>
      </c>
      <c r="AP68" s="1">
        <v>3.76925362299077</v>
      </c>
      <c r="AQ68" s="1">
        <v>3.8382348690362099E-5</v>
      </c>
      <c r="AR68" s="1">
        <v>6.6989224189865301E-6</v>
      </c>
      <c r="AS68" s="1">
        <v>17.7966584094452</v>
      </c>
      <c r="AT68" s="1">
        <v>11.345053549340699</v>
      </c>
      <c r="AU68" s="1">
        <v>3.4836139782164799</v>
      </c>
      <c r="AV68" s="1">
        <v>0.28563964477429898</v>
      </c>
      <c r="AW68" s="1">
        <v>7.9639914398941507E-3</v>
      </c>
      <c r="AX68" s="1">
        <v>0.28563964090361299</v>
      </c>
      <c r="AY68" s="1">
        <v>3.8706863825233004E-9</v>
      </c>
      <c r="AZ68" s="1">
        <v>1080577.4158407301</v>
      </c>
      <c r="BA68" s="1">
        <v>1.0183010359463999E-5</v>
      </c>
      <c r="BB68" s="4">
        <v>5015222.2255241098</v>
      </c>
      <c r="BC68" s="4">
        <v>-21249.981507143901</v>
      </c>
      <c r="BD68" s="7">
        <v>-0.42192194523534798</v>
      </c>
      <c r="BE68" s="4">
        <v>5742100</v>
      </c>
      <c r="BF68" s="1">
        <v>0.87341255386080097</v>
      </c>
      <c r="BG68" s="1">
        <v>1</v>
      </c>
      <c r="BH68" s="1">
        <v>-0.128</v>
      </c>
      <c r="BI68" s="1">
        <v>4.5999999999999999E-2</v>
      </c>
      <c r="BJ68" s="1">
        <v>5625</v>
      </c>
      <c r="BK68" s="1">
        <v>1</v>
      </c>
      <c r="BL68" s="1">
        <v>108.110241542381</v>
      </c>
      <c r="BM68" s="1">
        <v>5.0152222255241101</v>
      </c>
      <c r="BN68" s="1">
        <v>108.110241542381</v>
      </c>
      <c r="BO68" s="1">
        <v>1</v>
      </c>
      <c r="BP68" s="1">
        <v>4639.0050029614804</v>
      </c>
      <c r="BQ68" s="1">
        <v>1</v>
      </c>
      <c r="BR68" s="1">
        <v>0.3175</v>
      </c>
    </row>
    <row r="69" spans="1:70">
      <c r="A69" s="2" t="s">
        <v>137</v>
      </c>
      <c r="B69" s="1">
        <v>13789520</v>
      </c>
      <c r="C69" s="1">
        <v>608.621106065763</v>
      </c>
      <c r="D69" s="1">
        <v>85.147893581579396</v>
      </c>
      <c r="E69" s="1">
        <v>624.86627494838604</v>
      </c>
      <c r="F69" s="1">
        <v>2643264.3898665099</v>
      </c>
      <c r="G69" s="1">
        <v>1562686.9740257801</v>
      </c>
      <c r="H69" s="1">
        <v>2.2019594042733499E-5</v>
      </c>
      <c r="I69" s="1">
        <v>7.2223252690249804E-5</v>
      </c>
      <c r="J69" s="1">
        <v>0.49112124879375701</v>
      </c>
      <c r="K69" s="1">
        <v>7679.7516396704104</v>
      </c>
      <c r="L69" s="1">
        <v>6.5036382888884496E-3</v>
      </c>
      <c r="M69" s="1">
        <v>68</v>
      </c>
      <c r="N69" s="1">
        <v>3593.4</v>
      </c>
      <c r="O69" s="3">
        <v>1.7719053836560401E-5</v>
      </c>
      <c r="P69" s="3">
        <v>1.4921936786020801E-2</v>
      </c>
      <c r="Q69" s="3">
        <v>4.7498000000000002E-3</v>
      </c>
      <c r="R69" s="1">
        <v>0.3175</v>
      </c>
      <c r="S69" s="4">
        <v>7492968.26171875</v>
      </c>
      <c r="T69" s="1">
        <v>446.050522823802</v>
      </c>
      <c r="U69" s="5">
        <v>518.64934118170095</v>
      </c>
      <c r="V69" s="1">
        <v>0.03</v>
      </c>
      <c r="W69" s="3">
        <v>236321.831047969</v>
      </c>
      <c r="X69" s="1">
        <v>2.4099415895864999E-2</v>
      </c>
      <c r="Y69" s="1">
        <v>6.4416443265370704</v>
      </c>
      <c r="Z69" s="1">
        <v>6.4416443519234496</v>
      </c>
      <c r="AA69" s="1">
        <v>-2.53863881027883E-8</v>
      </c>
      <c r="AB69" s="1">
        <v>1.25370989752036E-5</v>
      </c>
      <c r="AC69" s="1">
        <v>740.19477849764803</v>
      </c>
      <c r="AD69" s="1">
        <v>6485.33048417599</v>
      </c>
      <c r="AE69" s="1">
        <v>518.64934118170095</v>
      </c>
      <c r="AF69" s="6">
        <v>0</v>
      </c>
      <c r="AG69" s="1">
        <v>1.26446293599603E-5</v>
      </c>
      <c r="AH69" s="1">
        <v>62.250174159922899</v>
      </c>
      <c r="AI69" s="1">
        <v>0.31562888603594502</v>
      </c>
      <c r="AJ69" s="1">
        <v>34.529706618913202</v>
      </c>
      <c r="AK69" s="1">
        <v>8.5055777177989995</v>
      </c>
      <c r="AL69" s="1">
        <v>1.1293680422758501</v>
      </c>
      <c r="AM69" s="1">
        <v>608.62110605634598</v>
      </c>
      <c r="AN69" s="1">
        <v>9.4165670816437308E-9</v>
      </c>
      <c r="AO69" s="1">
        <v>1.07530384756665E-7</v>
      </c>
      <c r="AP69" s="1">
        <v>3.8348976446980099</v>
      </c>
      <c r="AQ69" s="1">
        <v>3.7079572176089402E-5</v>
      </c>
      <c r="AR69" s="1">
        <v>6.3760798723584598E-6</v>
      </c>
      <c r="AS69" s="1">
        <v>17.411674245545999</v>
      </c>
      <c r="AT69" s="1">
        <v>11.235704574486</v>
      </c>
      <c r="AU69" s="1">
        <v>3.5463129186739799</v>
      </c>
      <c r="AV69" s="1">
        <v>0.28858472602403201</v>
      </c>
      <c r="AW69" s="1">
        <v>7.5374465983126197E-3</v>
      </c>
      <c r="AX69" s="1">
        <v>0.28858471886925602</v>
      </c>
      <c r="AY69" s="1">
        <v>7.1547758828671704E-9</v>
      </c>
      <c r="AZ69" s="1">
        <v>1080577.4158407301</v>
      </c>
      <c r="BA69" s="1">
        <v>9.6689861403091698E-6</v>
      </c>
      <c r="BB69" s="4">
        <v>7509192.4406170901</v>
      </c>
      <c r="BC69" s="4">
        <v>16224.178898341999</v>
      </c>
      <c r="BD69" s="7">
        <v>0.216525391962896</v>
      </c>
      <c r="BE69" s="4">
        <v>6941000</v>
      </c>
      <c r="BF69" s="1">
        <v>1.0818603141646901</v>
      </c>
      <c r="BG69" s="1">
        <v>1</v>
      </c>
      <c r="BH69" s="1">
        <v>-0.28399999999999997</v>
      </c>
      <c r="BI69" s="1">
        <v>4.5999999999999999E-2</v>
      </c>
      <c r="BJ69" s="1">
        <v>5625</v>
      </c>
      <c r="BK69" s="1">
        <v>1</v>
      </c>
      <c r="BL69" s="1">
        <v>162.570583241961</v>
      </c>
      <c r="BM69" s="1">
        <v>7.50919244061709</v>
      </c>
      <c r="BN69" s="1">
        <v>162.570583241961</v>
      </c>
      <c r="BO69" s="1">
        <v>1</v>
      </c>
      <c r="BP69" s="1">
        <v>15023.547876274501</v>
      </c>
      <c r="BQ69" s="1">
        <v>1</v>
      </c>
      <c r="BR69" s="1">
        <v>0.3175</v>
      </c>
    </row>
    <row r="70" spans="1:70">
      <c r="A70" s="2" t="s">
        <v>138</v>
      </c>
      <c r="B70" s="1">
        <v>13789520</v>
      </c>
      <c r="C70" s="1">
        <v>608.621106065763</v>
      </c>
      <c r="D70" s="1">
        <v>85.147893581579396</v>
      </c>
      <c r="E70" s="1">
        <v>624.86627494838604</v>
      </c>
      <c r="F70" s="1">
        <v>2643264.3898665099</v>
      </c>
      <c r="G70" s="1">
        <v>1562686.9740257801</v>
      </c>
      <c r="H70" s="1">
        <v>2.2019594042733499E-5</v>
      </c>
      <c r="I70" s="1">
        <v>7.2223252690249804E-5</v>
      </c>
      <c r="J70" s="1">
        <v>0.49112124879375701</v>
      </c>
      <c r="K70" s="1">
        <v>7679.7516396704104</v>
      </c>
      <c r="L70" s="1">
        <v>6.5036382888884496E-3</v>
      </c>
      <c r="M70" s="1">
        <v>69</v>
      </c>
      <c r="N70" s="1">
        <v>3593.4</v>
      </c>
      <c r="O70" s="3">
        <v>1.7719053836560401E-5</v>
      </c>
      <c r="P70" s="3">
        <v>1.4921936786020801E-2</v>
      </c>
      <c r="Q70" s="3">
        <v>4.7498000000000002E-3</v>
      </c>
      <c r="R70" s="1">
        <v>0.3175</v>
      </c>
      <c r="S70" s="4">
        <v>6064939.00390625</v>
      </c>
      <c r="T70" s="1">
        <v>479.48806170427099</v>
      </c>
      <c r="U70" s="5">
        <v>538.25080961898402</v>
      </c>
      <c r="V70" s="1">
        <v>0.03</v>
      </c>
      <c r="W70" s="3">
        <v>236321.831047969</v>
      </c>
      <c r="X70" s="1">
        <v>2.4099415895864999E-2</v>
      </c>
      <c r="Y70" s="1">
        <v>6.4416443265370704</v>
      </c>
      <c r="Z70" s="1">
        <v>6.4416443519234496</v>
      </c>
      <c r="AA70" s="1">
        <v>-2.53863881027883E-8</v>
      </c>
      <c r="AB70" s="1">
        <v>1.25370989752036E-5</v>
      </c>
      <c r="AC70" s="1">
        <v>711.46289529769797</v>
      </c>
      <c r="AD70" s="1">
        <v>6485.33048417599</v>
      </c>
      <c r="AE70" s="1">
        <v>538.25081073361298</v>
      </c>
      <c r="AF70" s="6">
        <v>1.11462884433422E-6</v>
      </c>
      <c r="AG70" s="1">
        <v>1.2623975986143601E-5</v>
      </c>
      <c r="AH70" s="1">
        <v>62.250174159922899</v>
      </c>
      <c r="AI70" s="1">
        <v>0.31562888603594502</v>
      </c>
      <c r="AJ70" s="1">
        <v>34.473306789524997</v>
      </c>
      <c r="AK70" s="1">
        <v>6.6499624852158998</v>
      </c>
      <c r="AL70" s="1">
        <v>1.1293680422758501</v>
      </c>
      <c r="AM70" s="1">
        <v>608.62110605824205</v>
      </c>
      <c r="AN70" s="1">
        <v>7.5206116889603403E-9</v>
      </c>
      <c r="AO70" s="1">
        <v>8.6877010940043293E-8</v>
      </c>
      <c r="AP70" s="1">
        <v>3.8301361839714501</v>
      </c>
      <c r="AQ70" s="1">
        <v>3.7171820942031301E-5</v>
      </c>
      <c r="AR70" s="1">
        <v>6.3554264985418397E-6</v>
      </c>
      <c r="AS70" s="1">
        <v>17.355274416157801</v>
      </c>
      <c r="AT70" s="1">
        <v>11.219482305626199</v>
      </c>
      <c r="AU70" s="1">
        <v>3.54119270202479</v>
      </c>
      <c r="AV70" s="1">
        <v>0.28894348194665698</v>
      </c>
      <c r="AW70" s="1">
        <v>7.5374465983126197E-3</v>
      </c>
      <c r="AX70" s="1">
        <v>0.28894347499154099</v>
      </c>
      <c r="AY70" s="1">
        <v>6.9551159831426901E-9</v>
      </c>
      <c r="AZ70" s="1">
        <v>1080577.4158407301</v>
      </c>
      <c r="BA70" s="1">
        <v>9.7050911916892006E-6</v>
      </c>
      <c r="BB70" s="4">
        <v>6044330.7616324397</v>
      </c>
      <c r="BC70" s="4">
        <v>-20608.242273806602</v>
      </c>
      <c r="BD70" s="7">
        <v>-0.33979306734220099</v>
      </c>
      <c r="BE70" s="4">
        <v>6941000</v>
      </c>
      <c r="BF70" s="1">
        <v>0.87081555418995005</v>
      </c>
      <c r="BG70" s="1">
        <v>1</v>
      </c>
      <c r="BH70" s="1">
        <v>-0.14799999999999999</v>
      </c>
      <c r="BI70" s="1">
        <v>4.5999999999999999E-2</v>
      </c>
      <c r="BJ70" s="1">
        <v>5625</v>
      </c>
      <c r="BK70" s="1">
        <v>1</v>
      </c>
      <c r="BL70" s="1">
        <v>129.13304436149201</v>
      </c>
      <c r="BM70" s="1">
        <v>6.0443307616324402</v>
      </c>
      <c r="BN70" s="1">
        <v>129.13304436149201</v>
      </c>
      <c r="BO70" s="1">
        <v>1</v>
      </c>
      <c r="BP70" s="1">
        <v>7944.6995971476999</v>
      </c>
      <c r="BQ70" s="1">
        <v>1</v>
      </c>
      <c r="BR70" s="1">
        <v>0.3175</v>
      </c>
    </row>
    <row r="71" spans="1:70">
      <c r="A71" s="2" t="s">
        <v>139</v>
      </c>
      <c r="B71" s="1">
        <v>13789520</v>
      </c>
      <c r="C71" s="1">
        <v>608.621106065763</v>
      </c>
      <c r="D71" s="1">
        <v>85.147893581579396</v>
      </c>
      <c r="E71" s="1">
        <v>624.86627494838604</v>
      </c>
      <c r="F71" s="1">
        <v>2643264.3898665099</v>
      </c>
      <c r="G71" s="1">
        <v>1562686.9740257801</v>
      </c>
      <c r="H71" s="1">
        <v>2.2019594042733499E-5</v>
      </c>
      <c r="I71" s="1">
        <v>7.2223252690249804E-5</v>
      </c>
      <c r="J71" s="1">
        <v>0.49112124879375701</v>
      </c>
      <c r="K71" s="1">
        <v>7679.7516396704104</v>
      </c>
      <c r="L71" s="1">
        <v>6.5036382888884496E-3</v>
      </c>
      <c r="M71" s="1">
        <v>70</v>
      </c>
      <c r="N71" s="1">
        <v>3606.96</v>
      </c>
      <c r="O71" s="3">
        <v>1.7719053836560401E-5</v>
      </c>
      <c r="P71" s="3">
        <v>1.4921936786020801E-2</v>
      </c>
      <c r="Q71" s="3">
        <v>4.7498000000000002E-3</v>
      </c>
      <c r="R71" s="1">
        <v>0.3175</v>
      </c>
      <c r="S71" s="4">
        <v>6249201.23046875</v>
      </c>
      <c r="T71" s="1">
        <v>475.56753850351203</v>
      </c>
      <c r="U71" s="5">
        <v>535.88796532619801</v>
      </c>
      <c r="V71" s="1">
        <v>0.03</v>
      </c>
      <c r="W71" s="3">
        <v>237213.61154248999</v>
      </c>
      <c r="X71" s="1">
        <v>2.4062651639905699E-2</v>
      </c>
      <c r="Y71" s="1">
        <v>6.4465633993775704</v>
      </c>
      <c r="Z71" s="1">
        <v>6.4465634208098503</v>
      </c>
      <c r="AA71" s="1">
        <v>-2.1432279950772701E-8</v>
      </c>
      <c r="AB71" s="1">
        <v>1.24620233863153E-5</v>
      </c>
      <c r="AC71" s="1">
        <v>714.72366405820401</v>
      </c>
      <c r="AD71" s="1">
        <v>6504.8361010318004</v>
      </c>
      <c r="AE71" s="1">
        <v>535.88796532619801</v>
      </c>
      <c r="AF71" s="6">
        <v>0</v>
      </c>
      <c r="AG71" s="1">
        <v>1.2551380424587599E-5</v>
      </c>
      <c r="AH71" s="1">
        <v>62.625190988135998</v>
      </c>
      <c r="AI71" s="1">
        <v>0.31657818786947001</v>
      </c>
      <c r="AJ71" s="1">
        <v>34.378151713184302</v>
      </c>
      <c r="AK71" s="1">
        <v>6.8638774880129798</v>
      </c>
      <c r="AL71" s="1">
        <v>1.1293680422758501</v>
      </c>
      <c r="AM71" s="1">
        <v>608.62110605980899</v>
      </c>
      <c r="AN71" s="1">
        <v>5.9537796914810298E-9</v>
      </c>
      <c r="AO71" s="1">
        <v>8.9357038272298001E-8</v>
      </c>
      <c r="AP71" s="1">
        <v>3.83712591168206</v>
      </c>
      <c r="AQ71" s="1">
        <v>3.7036519538149002E-5</v>
      </c>
      <c r="AR71" s="1">
        <v>6.3203687314299597E-6</v>
      </c>
      <c r="AS71" s="1">
        <v>17.311450038333501</v>
      </c>
      <c r="AT71" s="1">
        <v>11.2068406725156</v>
      </c>
      <c r="AU71" s="1">
        <v>3.5478413118468799</v>
      </c>
      <c r="AV71" s="1">
        <v>0.28928459983517701</v>
      </c>
      <c r="AW71" s="1">
        <v>7.4923102997796502E-3</v>
      </c>
      <c r="AX71" s="1">
        <v>0.28928459247035798</v>
      </c>
      <c r="AY71" s="1">
        <v>7.3648192544517599E-9</v>
      </c>
      <c r="AZ71" s="1">
        <v>1080577.4158407301</v>
      </c>
      <c r="BA71" s="1">
        <v>9.6521512169803997E-6</v>
      </c>
      <c r="BB71" s="4">
        <v>6250972.9662439404</v>
      </c>
      <c r="BC71" s="4">
        <v>1771.7357751894699</v>
      </c>
      <c r="BD71" s="7">
        <v>2.8351395800012901E-2</v>
      </c>
      <c r="BE71" s="4">
        <v>6215350</v>
      </c>
      <c r="BF71" s="1">
        <v>1.00573144975648</v>
      </c>
      <c r="BG71" s="1">
        <v>1</v>
      </c>
      <c r="BH71" s="1">
        <v>-0.216</v>
      </c>
      <c r="BI71" s="1">
        <v>4.5999999999999999E-2</v>
      </c>
      <c r="BJ71" s="1">
        <v>5625</v>
      </c>
      <c r="BK71" s="1">
        <v>1</v>
      </c>
      <c r="BL71" s="1">
        <v>133.053567562251</v>
      </c>
      <c r="BM71" s="1">
        <v>6.2509729662439399</v>
      </c>
      <c r="BN71" s="1">
        <v>133.053567562251</v>
      </c>
      <c r="BO71" s="1">
        <v>1</v>
      </c>
      <c r="BP71" s="1">
        <v>8658.9664360624101</v>
      </c>
      <c r="BQ71" s="1">
        <v>1</v>
      </c>
      <c r="BR71" s="1">
        <v>0.3175</v>
      </c>
    </row>
    <row r="72" spans="1:70">
      <c r="A72" s="2" t="s">
        <v>140</v>
      </c>
      <c r="B72" s="1">
        <v>13789520</v>
      </c>
      <c r="C72" s="1">
        <v>608.621106065763</v>
      </c>
      <c r="D72" s="1">
        <v>85.147893581579396</v>
      </c>
      <c r="E72" s="1">
        <v>624.86627494838604</v>
      </c>
      <c r="F72" s="1">
        <v>2643264.3898665099</v>
      </c>
      <c r="G72" s="1">
        <v>1562686.9740257801</v>
      </c>
      <c r="H72" s="1">
        <v>2.2019594042733499E-5</v>
      </c>
      <c r="I72" s="1">
        <v>7.2223252690249804E-5</v>
      </c>
      <c r="J72" s="1">
        <v>0.49112124879375701</v>
      </c>
      <c r="K72" s="1">
        <v>7679.7516396704104</v>
      </c>
      <c r="L72" s="1">
        <v>6.5036382888884496E-3</v>
      </c>
      <c r="M72" s="1">
        <v>71</v>
      </c>
      <c r="N72" s="1">
        <v>3606.96</v>
      </c>
      <c r="O72" s="3">
        <v>1.7719053836560401E-5</v>
      </c>
      <c r="P72" s="3">
        <v>1.4921936786020801E-2</v>
      </c>
      <c r="Q72" s="3">
        <v>4.7498000000000002E-3</v>
      </c>
      <c r="R72" s="1">
        <v>0.3175</v>
      </c>
      <c r="S72" s="4">
        <v>4899584.35546875</v>
      </c>
      <c r="T72" s="1">
        <v>506.68610815273303</v>
      </c>
      <c r="U72" s="5">
        <v>553.97935550963803</v>
      </c>
      <c r="V72" s="1">
        <v>0.03</v>
      </c>
      <c r="W72" s="3">
        <v>237213.61154248999</v>
      </c>
      <c r="X72" s="1">
        <v>2.4062651639905699E-2</v>
      </c>
      <c r="Y72" s="1">
        <v>6.4465633993775704</v>
      </c>
      <c r="Z72" s="1">
        <v>6.4465634208098503</v>
      </c>
      <c r="AA72" s="1">
        <v>-2.1432279950772701E-8</v>
      </c>
      <c r="AB72" s="1">
        <v>1.24620233863153E-5</v>
      </c>
      <c r="AC72" s="1">
        <v>688.283190183221</v>
      </c>
      <c r="AD72" s="1">
        <v>6504.8361010318004</v>
      </c>
      <c r="AE72" s="1">
        <v>553.97935550963803</v>
      </c>
      <c r="AF72" s="6">
        <v>0</v>
      </c>
      <c r="AG72" s="1">
        <v>1.2532029044890001E-5</v>
      </c>
      <c r="AH72" s="1">
        <v>62.625190988135998</v>
      </c>
      <c r="AI72" s="1">
        <v>0.31657818786947001</v>
      </c>
      <c r="AJ72" s="1">
        <v>34.325148406408601</v>
      </c>
      <c r="AK72" s="1">
        <v>5.1547038645301901</v>
      </c>
      <c r="AL72" s="1">
        <v>1.1293680422758501</v>
      </c>
      <c r="AM72" s="1">
        <v>608.62110606179397</v>
      </c>
      <c r="AN72" s="1">
        <v>3.9690348785370597E-9</v>
      </c>
      <c r="AO72" s="1">
        <v>7.0005658574699297E-8</v>
      </c>
      <c r="AP72" s="1">
        <v>3.83261271773089</v>
      </c>
      <c r="AQ72" s="1">
        <v>3.7123797552377897E-5</v>
      </c>
      <c r="AR72" s="1">
        <v>6.3010173517323602E-6</v>
      </c>
      <c r="AS72" s="1">
        <v>17.258446731557701</v>
      </c>
      <c r="AT72" s="1">
        <v>11.191508446139199</v>
      </c>
      <c r="AU72" s="1">
        <v>3.5429874634046201</v>
      </c>
      <c r="AV72" s="1">
        <v>0.28962525432627101</v>
      </c>
      <c r="AW72" s="1">
        <v>7.4923102997796502E-3</v>
      </c>
      <c r="AX72" s="1">
        <v>0.289625247154006</v>
      </c>
      <c r="AY72" s="1">
        <v>7.1722653371963896E-9</v>
      </c>
      <c r="AZ72" s="1">
        <v>1080577.4158407301</v>
      </c>
      <c r="BA72" s="1">
        <v>9.6862898201614206E-6</v>
      </c>
      <c r="BB72" s="4">
        <v>4879986.9262682498</v>
      </c>
      <c r="BC72" s="4">
        <v>-19597.429200501199</v>
      </c>
      <c r="BD72" s="7">
        <v>-0.39998146329753897</v>
      </c>
      <c r="BE72" s="4">
        <v>6215350</v>
      </c>
      <c r="BF72" s="1">
        <v>0.78515078415024897</v>
      </c>
      <c r="BG72" s="1">
        <v>1</v>
      </c>
      <c r="BH72" s="1">
        <v>-8.5000000000000006E-2</v>
      </c>
      <c r="BI72" s="1">
        <v>4.5999999999999999E-2</v>
      </c>
      <c r="BJ72" s="1">
        <v>5625</v>
      </c>
      <c r="BK72" s="1">
        <v>1</v>
      </c>
      <c r="BL72" s="1">
        <v>101.93499791303</v>
      </c>
      <c r="BM72" s="1">
        <v>4.8799869262682503</v>
      </c>
      <c r="BN72" s="1">
        <v>101.93499791303</v>
      </c>
      <c r="BO72" s="1">
        <v>1</v>
      </c>
      <c r="BP72" s="1">
        <v>3835.9439664870301</v>
      </c>
      <c r="BQ72" s="1">
        <v>1</v>
      </c>
      <c r="BR72" s="1">
        <v>0.3175</v>
      </c>
    </row>
    <row r="73" spans="1:70">
      <c r="A73" s="2" t="s">
        <v>141</v>
      </c>
      <c r="B73" s="1">
        <v>13789520</v>
      </c>
      <c r="C73" s="1">
        <v>608.621106065763</v>
      </c>
      <c r="D73" s="1">
        <v>85.147893581579396</v>
      </c>
      <c r="E73" s="1">
        <v>624.86627494838604</v>
      </c>
      <c r="F73" s="1">
        <v>2643264.3898665099</v>
      </c>
      <c r="G73" s="1">
        <v>1562686.9740257801</v>
      </c>
      <c r="H73" s="1">
        <v>2.2019594042733499E-5</v>
      </c>
      <c r="I73" s="1">
        <v>7.2223252690249804E-5</v>
      </c>
      <c r="J73" s="1">
        <v>0.49112124879375701</v>
      </c>
      <c r="K73" s="1">
        <v>7679.7516396704104</v>
      </c>
      <c r="L73" s="1">
        <v>6.5036382888884496E-3</v>
      </c>
      <c r="M73" s="1">
        <v>72</v>
      </c>
      <c r="N73" s="1">
        <v>3647.64</v>
      </c>
      <c r="O73" s="3">
        <v>1.7719053836560401E-5</v>
      </c>
      <c r="P73" s="3">
        <v>1.4921936786020801E-2</v>
      </c>
      <c r="Q73" s="3">
        <v>4.7498000000000002E-3</v>
      </c>
      <c r="R73" s="1">
        <v>0.3175</v>
      </c>
      <c r="S73" s="4">
        <v>8937289.16015625</v>
      </c>
      <c r="T73" s="1">
        <v>414.08396642751802</v>
      </c>
      <c r="U73" s="5">
        <v>499.38907938972102</v>
      </c>
      <c r="V73" s="1">
        <v>0.03</v>
      </c>
      <c r="W73" s="3">
        <v>239888.95302605201</v>
      </c>
      <c r="X73" s="1">
        <v>2.3953673772885199E-2</v>
      </c>
      <c r="Y73" s="1">
        <v>6.4612111628115603</v>
      </c>
      <c r="Z73" s="1">
        <v>6.4612111743555198</v>
      </c>
      <c r="AA73" s="1">
        <v>-1.1543957789683601E-8</v>
      </c>
      <c r="AB73" s="1">
        <v>1.22410487732576E-5</v>
      </c>
      <c r="AC73" s="1">
        <v>767.25532476945295</v>
      </c>
      <c r="AD73" s="1">
        <v>6563.2859359548402</v>
      </c>
      <c r="AE73" s="1">
        <v>499.38907938972102</v>
      </c>
      <c r="AF73" s="6">
        <v>0</v>
      </c>
      <c r="AG73" s="1">
        <v>1.23657291499711E-5</v>
      </c>
      <c r="AH73" s="1">
        <v>63.755696846139301</v>
      </c>
      <c r="AI73" s="1">
        <v>0.31942283184416997</v>
      </c>
      <c r="AJ73" s="1">
        <v>34.1739931019548</v>
      </c>
      <c r="AK73" s="1">
        <v>10.272096733806499</v>
      </c>
      <c r="AL73" s="1">
        <v>1.1293680422758501</v>
      </c>
      <c r="AM73" s="1">
        <v>608.62110603921303</v>
      </c>
      <c r="AN73" s="1">
        <v>2.6550310394668499E-8</v>
      </c>
      <c r="AO73" s="1">
        <v>1.24680376713564E-7</v>
      </c>
      <c r="AP73" s="1">
        <v>3.8647017632661802</v>
      </c>
      <c r="AQ73" s="1">
        <v>3.6509870946349497E-5</v>
      </c>
      <c r="AR73" s="1">
        <v>6.2452047633423499E-6</v>
      </c>
      <c r="AS73" s="1">
        <v>17.2592802182842</v>
      </c>
      <c r="AT73" s="1">
        <v>11.191749912423401</v>
      </c>
      <c r="AU73" s="1">
        <v>3.5749004503180202</v>
      </c>
      <c r="AV73" s="1">
        <v>0.28980131294815697</v>
      </c>
      <c r="AW73" s="1">
        <v>7.3594578473263504E-3</v>
      </c>
      <c r="AX73" s="1">
        <v>0.28980130398009202</v>
      </c>
      <c r="AY73" s="1">
        <v>8.96806556793805E-9</v>
      </c>
      <c r="AZ73" s="1">
        <v>1080577.4158407301</v>
      </c>
      <c r="BA73" s="1">
        <v>9.4470086394179701E-6</v>
      </c>
      <c r="BB73" s="4">
        <v>8911416.9799250308</v>
      </c>
      <c r="BC73" s="4">
        <v>-25872.180231219201</v>
      </c>
      <c r="BD73" s="7">
        <v>-0.28948576875593501</v>
      </c>
      <c r="BE73" s="4">
        <v>8171450</v>
      </c>
      <c r="BF73" s="1">
        <v>1.0905551621713401</v>
      </c>
      <c r="BG73" s="1">
        <v>1</v>
      </c>
      <c r="BH73" s="1">
        <v>-0.33400000000000002</v>
      </c>
      <c r="BI73" s="1">
        <v>4.5999999999999999E-2</v>
      </c>
      <c r="BJ73" s="1">
        <v>5625</v>
      </c>
      <c r="BK73" s="1">
        <v>1</v>
      </c>
      <c r="BL73" s="1">
        <v>194.53713963824501</v>
      </c>
      <c r="BM73" s="1">
        <v>8.9114169799250291</v>
      </c>
      <c r="BN73" s="1">
        <v>194.53713963824501</v>
      </c>
      <c r="BO73" s="1">
        <v>1</v>
      </c>
      <c r="BP73" s="1">
        <v>23881.727527570401</v>
      </c>
      <c r="BQ73" s="1">
        <v>1</v>
      </c>
      <c r="BR73" s="1">
        <v>0.3175</v>
      </c>
    </row>
    <row r="74" spans="1:70">
      <c r="A74" s="2" t="s">
        <v>142</v>
      </c>
      <c r="B74" s="1">
        <v>13789520</v>
      </c>
      <c r="C74" s="1">
        <v>608.621106065763</v>
      </c>
      <c r="D74" s="1">
        <v>85.147893581579396</v>
      </c>
      <c r="E74" s="1">
        <v>624.86627494838604</v>
      </c>
      <c r="F74" s="1">
        <v>2643264.3898665099</v>
      </c>
      <c r="G74" s="1">
        <v>1562686.9740257801</v>
      </c>
      <c r="H74" s="1">
        <v>2.2019594042733499E-5</v>
      </c>
      <c r="I74" s="1">
        <v>7.2223252690249804E-5</v>
      </c>
      <c r="J74" s="1">
        <v>0.49112124879375701</v>
      </c>
      <c r="K74" s="1">
        <v>7679.7516396704104</v>
      </c>
      <c r="L74" s="1">
        <v>6.5036382888884496E-3</v>
      </c>
      <c r="M74" s="1">
        <v>73</v>
      </c>
      <c r="N74" s="1">
        <v>3647.64</v>
      </c>
      <c r="O74" s="3">
        <v>1.7719053836560401E-5</v>
      </c>
      <c r="P74" s="3">
        <v>1.4921936786020801E-2</v>
      </c>
      <c r="Q74" s="3">
        <v>4.7498000000000002E-3</v>
      </c>
      <c r="R74" s="1">
        <v>0.3175</v>
      </c>
      <c r="S74" s="4">
        <v>8715213.37890625</v>
      </c>
      <c r="T74" s="1">
        <v>419.27906470028603</v>
      </c>
      <c r="U74" s="5">
        <v>502.46449693310598</v>
      </c>
      <c r="V74" s="1">
        <v>0.03</v>
      </c>
      <c r="W74" s="3">
        <v>239888.95302605201</v>
      </c>
      <c r="X74" s="1">
        <v>2.3953673772885199E-2</v>
      </c>
      <c r="Y74" s="1">
        <v>6.4612111628115603</v>
      </c>
      <c r="Z74" s="1">
        <v>6.4612111743555198</v>
      </c>
      <c r="AA74" s="1">
        <v>-1.1543957789683601E-8</v>
      </c>
      <c r="AB74" s="1">
        <v>1.22410487732576E-5</v>
      </c>
      <c r="AC74" s="1">
        <v>762.77530272390197</v>
      </c>
      <c r="AD74" s="1">
        <v>6563.2859359548402</v>
      </c>
      <c r="AE74" s="1">
        <v>502.46449693310598</v>
      </c>
      <c r="AF74" s="6">
        <v>0</v>
      </c>
      <c r="AG74" s="1">
        <v>1.2362963191760199E-5</v>
      </c>
      <c r="AH74" s="1">
        <v>63.755696846139301</v>
      </c>
      <c r="AI74" s="1">
        <v>0.31942283184416997</v>
      </c>
      <c r="AJ74" s="1">
        <v>34.166349085522299</v>
      </c>
      <c r="AK74" s="1">
        <v>9.9823618095200608</v>
      </c>
      <c r="AL74" s="1">
        <v>1.1293680422758501</v>
      </c>
      <c r="AM74" s="1">
        <v>608.62110604176405</v>
      </c>
      <c r="AN74" s="1">
        <v>2.3999291443033101E-8</v>
      </c>
      <c r="AO74" s="1">
        <v>1.2191441850261601E-7</v>
      </c>
      <c r="AP74" s="1">
        <v>3.8640436163623502</v>
      </c>
      <c r="AQ74" s="1">
        <v>3.6522309162517602E-5</v>
      </c>
      <c r="AR74" s="1">
        <v>6.2424388051314E-6</v>
      </c>
      <c r="AS74" s="1">
        <v>17.251636201851699</v>
      </c>
      <c r="AT74" s="1">
        <v>11.1895349563022</v>
      </c>
      <c r="AU74" s="1">
        <v>3.5741929427613699</v>
      </c>
      <c r="AV74" s="1">
        <v>0.28985067360098299</v>
      </c>
      <c r="AW74" s="1">
        <v>7.3594578473263504E-3</v>
      </c>
      <c r="AX74" s="1">
        <v>0.28985066466280601</v>
      </c>
      <c r="AY74" s="1">
        <v>8.9381775869590302E-9</v>
      </c>
      <c r="AZ74" s="1">
        <v>1080577.4158407301</v>
      </c>
      <c r="BA74" s="1">
        <v>9.4518366738572306E-6</v>
      </c>
      <c r="BB74" s="4">
        <v>8709271.6194788702</v>
      </c>
      <c r="BC74" s="4">
        <v>-5941.7594273835402</v>
      </c>
      <c r="BD74" s="7">
        <v>-6.8176866922898302E-2</v>
      </c>
      <c r="BE74" s="4">
        <v>7950600</v>
      </c>
      <c r="BF74" s="1">
        <v>1.09542319063704</v>
      </c>
      <c r="BG74" s="1">
        <v>1</v>
      </c>
      <c r="BH74" s="1">
        <v>-0.32900000000000001</v>
      </c>
      <c r="BI74" s="1">
        <v>4.5999999999999999E-2</v>
      </c>
      <c r="BJ74" s="1">
        <v>5625</v>
      </c>
      <c r="BK74" s="1">
        <v>1</v>
      </c>
      <c r="BL74" s="1">
        <v>189.342041365477</v>
      </c>
      <c r="BM74" s="1">
        <v>8.7092716194788693</v>
      </c>
      <c r="BN74" s="1">
        <v>189.342041365477</v>
      </c>
      <c r="BO74" s="1">
        <v>1</v>
      </c>
      <c r="BP74" s="1">
        <v>22303.045319207798</v>
      </c>
      <c r="BQ74" s="1">
        <v>1</v>
      </c>
      <c r="BR74" s="1">
        <v>0.3175</v>
      </c>
    </row>
    <row r="75" spans="1:70">
      <c r="A75" s="2" t="s">
        <v>143</v>
      </c>
      <c r="B75" s="1">
        <v>13789520</v>
      </c>
      <c r="C75" s="1">
        <v>608.621106065763</v>
      </c>
      <c r="D75" s="1">
        <v>85.147893581579396</v>
      </c>
      <c r="E75" s="1">
        <v>624.86627494838604</v>
      </c>
      <c r="F75" s="1">
        <v>2643264.3898665099</v>
      </c>
      <c r="G75" s="1">
        <v>1562686.9740257801</v>
      </c>
      <c r="H75" s="1">
        <v>2.2019594042733499E-5</v>
      </c>
      <c r="I75" s="1">
        <v>7.2223252690249804E-5</v>
      </c>
      <c r="J75" s="1">
        <v>0.49112124879375701</v>
      </c>
      <c r="K75" s="1">
        <v>7679.7516396704104</v>
      </c>
      <c r="L75" s="1">
        <v>6.5036382888884496E-3</v>
      </c>
      <c r="M75" s="1">
        <v>74</v>
      </c>
      <c r="N75" s="1">
        <v>3701.88</v>
      </c>
      <c r="O75" s="3">
        <v>1.7719053836560401E-5</v>
      </c>
      <c r="P75" s="3">
        <v>1.4921936786020801E-2</v>
      </c>
      <c r="Q75" s="3">
        <v>4.7498000000000002E-3</v>
      </c>
      <c r="R75" s="1">
        <v>0.3175</v>
      </c>
      <c r="S75" s="4">
        <v>343091.71203125</v>
      </c>
      <c r="T75" s="1">
        <v>602.76785429697395</v>
      </c>
      <c r="U75" s="5">
        <v>605.99463248764505</v>
      </c>
      <c r="V75" s="1">
        <v>0.03</v>
      </c>
      <c r="W75" s="3">
        <v>243456.07500413401</v>
      </c>
      <c r="X75" s="1">
        <v>2.38113586163918E-2</v>
      </c>
      <c r="Y75" s="1">
        <v>6.4804910037808199</v>
      </c>
      <c r="Z75" s="1">
        <v>6.4804910224067402</v>
      </c>
      <c r="AA75" s="1">
        <v>-1.8625915920722501E-8</v>
      </c>
      <c r="AB75" s="1">
        <v>1.1955998419780099E-5</v>
      </c>
      <c r="AC75" s="1">
        <v>612.39260201987804</v>
      </c>
      <c r="AD75" s="1">
        <v>6641.0647532744497</v>
      </c>
      <c r="AE75" s="1">
        <v>605.99463248764505</v>
      </c>
      <c r="AF75" s="6">
        <v>0</v>
      </c>
      <c r="AG75" s="1">
        <v>1.19608039316626E-5</v>
      </c>
      <c r="AH75" s="1">
        <v>65.275735849501004</v>
      </c>
      <c r="AI75" s="1">
        <v>0.32320818118414202</v>
      </c>
      <c r="AJ75" s="1">
        <v>33.446660243122203</v>
      </c>
      <c r="AK75" s="1">
        <v>0.24507047008594901</v>
      </c>
      <c r="AL75" s="1">
        <v>1.1293680422758501</v>
      </c>
      <c r="AM75" s="1">
        <v>608.62110606504098</v>
      </c>
      <c r="AN75" s="1">
        <v>7.21911419532262E-10</v>
      </c>
      <c r="AO75" s="1">
        <v>4.8055118825275699E-9</v>
      </c>
      <c r="AP75" s="1">
        <v>3.8604913537548899</v>
      </c>
      <c r="AQ75" s="1">
        <v>3.6589552686973402E-5</v>
      </c>
      <c r="AR75" s="1">
        <v>5.9828047217725603E-6</v>
      </c>
      <c r="AS75" s="1">
        <v>16.730049081429801</v>
      </c>
      <c r="AT75" s="1">
        <v>11.036032243660101</v>
      </c>
      <c r="AU75" s="1">
        <v>3.5669359089629298</v>
      </c>
      <c r="AV75" s="1">
        <v>0.29355544479196</v>
      </c>
      <c r="AW75" s="1">
        <v>7.1880823304371301E-3</v>
      </c>
      <c r="AX75" s="1">
        <v>0.29355543545025498</v>
      </c>
      <c r="AY75" s="1">
        <v>9.3417046320709607E-9</v>
      </c>
      <c r="AZ75" s="1">
        <v>1080577.4158407301</v>
      </c>
      <c r="BA75" s="1">
        <v>9.4779522434067404E-6</v>
      </c>
      <c r="BB75" s="4">
        <v>342348.24952539202</v>
      </c>
      <c r="BC75" s="4">
        <v>-743.46250585804205</v>
      </c>
      <c r="BD75" s="7">
        <v>-0.21669497682017</v>
      </c>
      <c r="BE75" s="4">
        <v>2508225</v>
      </c>
      <c r="BF75" s="1">
        <v>0.13649024689786299</v>
      </c>
      <c r="BG75" s="1">
        <v>1</v>
      </c>
      <c r="BH75" s="1">
        <v>0.13</v>
      </c>
      <c r="BI75" s="1">
        <v>4.5999999999999999E-2</v>
      </c>
      <c r="BJ75" s="1">
        <v>5625</v>
      </c>
      <c r="BK75" s="1">
        <v>1</v>
      </c>
      <c r="BL75" s="1">
        <v>5.8532517687890504</v>
      </c>
      <c r="BM75" s="1">
        <v>0.342348249525392</v>
      </c>
      <c r="BN75" s="1">
        <v>5.8532517687890504</v>
      </c>
      <c r="BO75" s="1">
        <v>1</v>
      </c>
      <c r="BP75" s="1">
        <v>1166.00041476571</v>
      </c>
      <c r="BQ75" s="1">
        <v>1</v>
      </c>
      <c r="BR75" s="1">
        <v>0.3175</v>
      </c>
    </row>
    <row r="76" spans="1:70">
      <c r="A76" s="2" t="s">
        <v>144</v>
      </c>
      <c r="B76" s="1">
        <v>13789520</v>
      </c>
      <c r="C76" s="1">
        <v>608.621106065763</v>
      </c>
      <c r="D76" s="1">
        <v>85.147893581579396</v>
      </c>
      <c r="E76" s="1">
        <v>624.86627494838604</v>
      </c>
      <c r="F76" s="1">
        <v>2643264.3898665099</v>
      </c>
      <c r="G76" s="1">
        <v>1562686.9740257801</v>
      </c>
      <c r="H76" s="1">
        <v>2.2019594042733499E-5</v>
      </c>
      <c r="I76" s="1">
        <v>7.2223252690249804E-5</v>
      </c>
      <c r="J76" s="1">
        <v>0.49112124879375701</v>
      </c>
      <c r="K76" s="1">
        <v>7679.7516396704104</v>
      </c>
      <c r="L76" s="1">
        <v>6.5036382888884496E-3</v>
      </c>
      <c r="M76" s="1">
        <v>75</v>
      </c>
      <c r="N76" s="1">
        <v>3769.68</v>
      </c>
      <c r="O76" s="3">
        <v>1.7719053836560401E-5</v>
      </c>
      <c r="P76" s="3">
        <v>1.4921936786020801E-2</v>
      </c>
      <c r="Q76" s="3">
        <v>4.7498000000000002E-3</v>
      </c>
      <c r="R76" s="1">
        <v>0.3175</v>
      </c>
      <c r="S76" s="4">
        <v>395973.67578125</v>
      </c>
      <c r="T76" s="1">
        <v>601.93187912108897</v>
      </c>
      <c r="U76" s="5">
        <v>605.58903146712396</v>
      </c>
      <c r="V76" s="1">
        <v>0.03</v>
      </c>
      <c r="W76" s="3">
        <v>247914.977476737</v>
      </c>
      <c r="X76" s="1">
        <v>2.3638084170766901E-2</v>
      </c>
      <c r="Y76" s="1">
        <v>6.5041996338577102</v>
      </c>
      <c r="Z76" s="1">
        <v>6.50419964825935</v>
      </c>
      <c r="AA76" s="1">
        <v>-1.4401643433359399E-8</v>
      </c>
      <c r="AB76" s="1">
        <v>1.1614311032901801E-5</v>
      </c>
      <c r="AC76" s="1">
        <v>612.93563773502001</v>
      </c>
      <c r="AD76" s="1">
        <v>6738.0450939333195</v>
      </c>
      <c r="AE76" s="1">
        <v>605.58903146712396</v>
      </c>
      <c r="AF76" s="6">
        <v>0</v>
      </c>
      <c r="AG76" s="1">
        <v>1.16197106655659E-5</v>
      </c>
      <c r="AH76" s="1">
        <v>67.196116278937197</v>
      </c>
      <c r="AI76" s="1">
        <v>0.32792803269583198</v>
      </c>
      <c r="AJ76" s="1">
        <v>32.967339442941103</v>
      </c>
      <c r="AK76" s="1">
        <v>0.28101568778087099</v>
      </c>
      <c r="AL76" s="1">
        <v>1.1293680422758501</v>
      </c>
      <c r="AM76" s="1">
        <v>608.62110606490296</v>
      </c>
      <c r="AN76" s="1">
        <v>8.5969986685086E-10</v>
      </c>
      <c r="AO76" s="1">
        <v>5.3996326640436796E-9</v>
      </c>
      <c r="AP76" s="1">
        <v>3.8909692359207799</v>
      </c>
      <c r="AQ76" s="1">
        <v>3.6018587229291099E-5</v>
      </c>
      <c r="AR76" s="1">
        <v>5.81255514911496E-6</v>
      </c>
      <c r="AS76" s="1">
        <v>16.491329616283199</v>
      </c>
      <c r="AT76" s="1">
        <v>10.9641738249684</v>
      </c>
      <c r="AU76" s="1">
        <v>3.5954599525569999</v>
      </c>
      <c r="AV76" s="1">
        <v>0.29550928336377902</v>
      </c>
      <c r="AW76" s="1">
        <v>6.9826559844375097E-3</v>
      </c>
      <c r="AX76" s="1">
        <v>0.29550927168105401</v>
      </c>
      <c r="AY76" s="1">
        <v>1.1682724287975801E-8</v>
      </c>
      <c r="AZ76" s="1">
        <v>1080577.4158407301</v>
      </c>
      <c r="BA76" s="1">
        <v>9.25697044756189E-6</v>
      </c>
      <c r="BB76" s="4">
        <v>393856.76624953799</v>
      </c>
      <c r="BC76" s="4">
        <v>-2116.9095317117199</v>
      </c>
      <c r="BD76" s="7">
        <v>-0.53460865233909505</v>
      </c>
      <c r="BE76" s="4">
        <v>2637580</v>
      </c>
      <c r="BF76" s="1">
        <v>0.149325050330052</v>
      </c>
      <c r="BG76" s="1">
        <v>1</v>
      </c>
      <c r="BH76" s="1">
        <v>0.13</v>
      </c>
      <c r="BI76" s="1">
        <v>4.5999999999999999E-2</v>
      </c>
      <c r="BJ76" s="1">
        <v>5625</v>
      </c>
      <c r="BK76" s="1">
        <v>1</v>
      </c>
      <c r="BL76" s="1">
        <v>6.6892269446740302</v>
      </c>
      <c r="BM76" s="1">
        <v>0.39385676624953803</v>
      </c>
      <c r="BN76" s="1">
        <v>6.6892269446740302</v>
      </c>
      <c r="BO76" s="1">
        <v>1</v>
      </c>
      <c r="BP76" s="1">
        <v>1109.6076015434301</v>
      </c>
      <c r="BQ76" s="1">
        <v>1</v>
      </c>
      <c r="BR76" s="1">
        <v>0.3175</v>
      </c>
    </row>
    <row r="77" spans="1:70">
      <c r="A77" s="2" t="s">
        <v>145</v>
      </c>
      <c r="B77" s="1">
        <v>13789520</v>
      </c>
      <c r="C77" s="1">
        <v>608.621106065763</v>
      </c>
      <c r="D77" s="1">
        <v>85.147893581579396</v>
      </c>
      <c r="E77" s="1">
        <v>624.86627494838604</v>
      </c>
      <c r="F77" s="1">
        <v>2643264.3898665099</v>
      </c>
      <c r="G77" s="1">
        <v>1562686.9740257801</v>
      </c>
      <c r="H77" s="1">
        <v>2.2019594042733499E-5</v>
      </c>
      <c r="I77" s="1">
        <v>7.2223252690249804E-5</v>
      </c>
      <c r="J77" s="1">
        <v>0.49112124879375701</v>
      </c>
      <c r="K77" s="1">
        <v>7679.7516396704104</v>
      </c>
      <c r="L77" s="1">
        <v>6.5036382888884496E-3</v>
      </c>
      <c r="M77" s="1">
        <v>76</v>
      </c>
      <c r="N77" s="1">
        <v>3783.24</v>
      </c>
      <c r="O77" s="3">
        <v>1.7719053836560401E-5</v>
      </c>
      <c r="P77" s="3">
        <v>1.4921936786020801E-2</v>
      </c>
      <c r="Q77" s="3">
        <v>4.7498000000000002E-3</v>
      </c>
      <c r="R77" s="1">
        <v>0.3175</v>
      </c>
      <c r="S77" s="4">
        <v>11638893.4570312</v>
      </c>
      <c r="T77" s="1">
        <v>357.53101423134598</v>
      </c>
      <c r="U77" s="5">
        <v>464.640768342532</v>
      </c>
      <c r="V77" s="1">
        <v>0.03</v>
      </c>
      <c r="W77" s="3">
        <v>248806.75797125799</v>
      </c>
      <c r="X77" s="1">
        <v>2.3604025735671399E-2</v>
      </c>
      <c r="Y77" s="1">
        <v>6.5088904228757496</v>
      </c>
      <c r="Z77" s="1">
        <v>6.5088904394100497</v>
      </c>
      <c r="AA77" s="1">
        <v>-1.65342939340007E-8</v>
      </c>
      <c r="AB77" s="1">
        <v>1.1547841993175801E-5</v>
      </c>
      <c r="AC77" s="1">
        <v>814.16076863196702</v>
      </c>
      <c r="AD77" s="1">
        <v>6757.4092639581604</v>
      </c>
      <c r="AE77" s="1">
        <v>464.640768342532</v>
      </c>
      <c r="AF77" s="6">
        <v>0</v>
      </c>
      <c r="AG77" s="1">
        <v>1.17011639435356E-5</v>
      </c>
      <c r="AH77" s="1">
        <v>67.582895152861596</v>
      </c>
      <c r="AI77" s="1">
        <v>0.32887045057705899</v>
      </c>
      <c r="AJ77" s="1">
        <v>33.293845480290003</v>
      </c>
      <c r="AK77" s="1">
        <v>13.3658374674278</v>
      </c>
      <c r="AL77" s="1">
        <v>1.1293680422758501</v>
      </c>
      <c r="AM77" s="1">
        <v>608.62110605998805</v>
      </c>
      <c r="AN77" s="1">
        <v>5.7754050430958201E-9</v>
      </c>
      <c r="AO77" s="1">
        <v>1.5332195035978101E-7</v>
      </c>
      <c r="AP77" s="1">
        <v>3.93563559680035</v>
      </c>
      <c r="AQ77" s="1">
        <v>3.52056614583871E-5</v>
      </c>
      <c r="AR77" s="1">
        <v>5.9272429469476998E-6</v>
      </c>
      <c r="AS77" s="1">
        <v>16.8650496439577</v>
      </c>
      <c r="AT77" s="1">
        <v>11.076217060589</v>
      </c>
      <c r="AU77" s="1">
        <v>3.6426404954052098</v>
      </c>
      <c r="AV77" s="1">
        <v>0.29299510139514601</v>
      </c>
      <c r="AW77" s="1">
        <v>6.94269404121869E-3</v>
      </c>
      <c r="AX77" s="1">
        <v>0.29299508715564099</v>
      </c>
      <c r="AY77" s="1">
        <v>1.4239505075064299E-8</v>
      </c>
      <c r="AZ77" s="1">
        <v>1080577.4158407301</v>
      </c>
      <c r="BA77" s="1">
        <v>8.9453559895151606E-6</v>
      </c>
      <c r="BB77" s="4">
        <v>11573099.2849983</v>
      </c>
      <c r="BC77" s="4">
        <v>-65794.172032989605</v>
      </c>
      <c r="BD77" s="7">
        <v>-0.56529576695490902</v>
      </c>
      <c r="BE77" s="4">
        <v>9969800</v>
      </c>
      <c r="BF77" s="1">
        <v>1.16081559158642</v>
      </c>
      <c r="BG77" s="1">
        <v>1</v>
      </c>
      <c r="BH77" s="1">
        <v>-0.45700000000000002</v>
      </c>
      <c r="BI77" s="1">
        <v>4.5999999999999999E-2</v>
      </c>
      <c r="BJ77" s="1">
        <v>5625</v>
      </c>
      <c r="BK77" s="1">
        <v>1</v>
      </c>
      <c r="BL77" s="1">
        <v>251.090091834417</v>
      </c>
      <c r="BM77" s="1">
        <v>11.5730992849983</v>
      </c>
      <c r="BN77" s="1">
        <v>251.090091834417</v>
      </c>
      <c r="BO77" s="1">
        <v>1</v>
      </c>
      <c r="BP77" s="1">
        <v>44559.026870662601</v>
      </c>
      <c r="BQ77" s="1">
        <v>1</v>
      </c>
      <c r="BR77" s="1">
        <v>0.3175</v>
      </c>
    </row>
    <row r="78" spans="1:70">
      <c r="A78" s="2" t="s">
        <v>146</v>
      </c>
      <c r="B78" s="1">
        <v>13789520</v>
      </c>
      <c r="C78" s="1">
        <v>608.621106065763</v>
      </c>
      <c r="D78" s="1">
        <v>85.147893581579396</v>
      </c>
      <c r="E78" s="1">
        <v>624.86627494838604</v>
      </c>
      <c r="F78" s="1">
        <v>2643264.3898665099</v>
      </c>
      <c r="G78" s="1">
        <v>1562686.9740257801</v>
      </c>
      <c r="H78" s="1">
        <v>2.2019594042733499E-5</v>
      </c>
      <c r="I78" s="1">
        <v>7.2223252690249804E-5</v>
      </c>
      <c r="J78" s="1">
        <v>0.49112124879375701</v>
      </c>
      <c r="K78" s="1">
        <v>7679.7516396704104</v>
      </c>
      <c r="L78" s="1">
        <v>6.5036382888884496E-3</v>
      </c>
      <c r="M78" s="1">
        <v>77</v>
      </c>
      <c r="N78" s="1">
        <v>3905.28</v>
      </c>
      <c r="O78" s="3">
        <v>1.7719053836560401E-5</v>
      </c>
      <c r="P78" s="3">
        <v>1.4921936786020801E-2</v>
      </c>
      <c r="Q78" s="3">
        <v>4.7498000000000002E-3</v>
      </c>
      <c r="R78" s="1">
        <v>0.3175</v>
      </c>
      <c r="S78" s="4">
        <v>1161834.5414062501</v>
      </c>
      <c r="T78" s="1">
        <v>588.56034428011105</v>
      </c>
      <c r="U78" s="5">
        <v>598.91828280463506</v>
      </c>
      <c r="V78" s="1">
        <v>0.03</v>
      </c>
      <c r="W78" s="3">
        <v>256832.78242194399</v>
      </c>
      <c r="X78" s="1">
        <v>2.33060340740632E-2</v>
      </c>
      <c r="Y78" s="1">
        <v>6.5503696908217401</v>
      </c>
      <c r="Z78" s="1">
        <v>6.5503697070469604</v>
      </c>
      <c r="AA78" s="1">
        <v>-1.6225222054799798E-8</v>
      </c>
      <c r="AB78" s="1">
        <v>1.0975946116808E-5</v>
      </c>
      <c r="AC78" s="1">
        <v>622.19119190899903</v>
      </c>
      <c r="AD78" s="1">
        <v>6931.2195591048803</v>
      </c>
      <c r="AE78" s="1">
        <v>598.91828280463506</v>
      </c>
      <c r="AF78" s="6">
        <v>0</v>
      </c>
      <c r="AG78" s="1">
        <v>1.09911930462593E-5</v>
      </c>
      <c r="AH78" s="1">
        <v>71.104266216421294</v>
      </c>
      <c r="AI78" s="1">
        <v>0.33732947205215402</v>
      </c>
      <c r="AJ78" s="1">
        <v>32.078138961695203</v>
      </c>
      <c r="AK78" s="1">
        <v>0.88780459897739805</v>
      </c>
      <c r="AL78" s="1">
        <v>1.1293680422758501</v>
      </c>
      <c r="AM78" s="1">
        <v>608.62110606472402</v>
      </c>
      <c r="AN78" s="1">
        <v>1.03932507045101E-9</v>
      </c>
      <c r="AO78" s="1">
        <v>1.5246929451240499E-8</v>
      </c>
      <c r="AP78" s="1">
        <v>3.95317418217161</v>
      </c>
      <c r="AQ78" s="1">
        <v>3.4893968742646803E-5</v>
      </c>
      <c r="AR78" s="1">
        <v>5.50321998785526E-6</v>
      </c>
      <c r="AS78" s="1">
        <v>16.0613187998987</v>
      </c>
      <c r="AT78" s="1">
        <v>10.832069111009501</v>
      </c>
      <c r="AU78" s="1">
        <v>3.6539761544492899</v>
      </c>
      <c r="AV78" s="1">
        <v>0.29919802772231302</v>
      </c>
      <c r="AW78" s="1">
        <v>6.5988637311570697E-3</v>
      </c>
      <c r="AX78" s="1">
        <v>0.29919801038694299</v>
      </c>
      <c r="AY78" s="1">
        <v>1.7335369861815099E-8</v>
      </c>
      <c r="AZ78" s="1">
        <v>1080577.4158407301</v>
      </c>
      <c r="BA78" s="1">
        <v>8.8268229869594207E-6</v>
      </c>
      <c r="BB78" s="4">
        <v>1166328.6548264299</v>
      </c>
      <c r="BC78" s="4">
        <v>4494.1134201819104</v>
      </c>
      <c r="BD78" s="7">
        <v>0.386811827331486</v>
      </c>
      <c r="BE78" s="4">
        <v>3344300</v>
      </c>
      <c r="BF78" s="1">
        <v>0.34875120498353401</v>
      </c>
      <c r="BG78" s="1">
        <v>1</v>
      </c>
      <c r="BH78" s="1">
        <v>8.8999999999999996E-2</v>
      </c>
      <c r="BI78" s="1">
        <v>4.5999999999999999E-2</v>
      </c>
      <c r="BJ78" s="1">
        <v>5625</v>
      </c>
      <c r="BK78" s="1">
        <v>1</v>
      </c>
      <c r="BL78" s="1">
        <v>20.060761785651898</v>
      </c>
      <c r="BM78" s="1">
        <v>1.16632865482643</v>
      </c>
      <c r="BN78" s="1">
        <v>20.060761785651898</v>
      </c>
      <c r="BO78" s="1">
        <v>1</v>
      </c>
      <c r="BP78" s="1">
        <v>397.57322056851802</v>
      </c>
      <c r="BQ78" s="1">
        <v>1</v>
      </c>
      <c r="BR78" s="1">
        <v>0.3175</v>
      </c>
    </row>
    <row r="79" spans="1:70">
      <c r="A79" s="2" t="s">
        <v>147</v>
      </c>
      <c r="B79" s="1">
        <v>13789520</v>
      </c>
      <c r="C79" s="1">
        <v>608.621106065763</v>
      </c>
      <c r="D79" s="1">
        <v>85.147893581579396</v>
      </c>
      <c r="E79" s="1">
        <v>624.86627494838604</v>
      </c>
      <c r="F79" s="1">
        <v>2643264.3898665099</v>
      </c>
      <c r="G79" s="1">
        <v>1562686.9740257801</v>
      </c>
      <c r="H79" s="1">
        <v>2.2019594042733499E-5</v>
      </c>
      <c r="I79" s="1">
        <v>7.2223252690249804E-5</v>
      </c>
      <c r="J79" s="1">
        <v>0.49112124879375701</v>
      </c>
      <c r="K79" s="1">
        <v>7679.7516396704104</v>
      </c>
      <c r="L79" s="1">
        <v>6.5036382888884496E-3</v>
      </c>
      <c r="M79" s="1">
        <v>78</v>
      </c>
      <c r="N79" s="1">
        <v>3973.08</v>
      </c>
      <c r="O79" s="3">
        <v>1.7719053836560401E-5</v>
      </c>
      <c r="P79" s="3">
        <v>1.4921936786020801E-2</v>
      </c>
      <c r="Q79" s="3">
        <v>4.7498000000000002E-3</v>
      </c>
      <c r="R79" s="1">
        <v>0.3175</v>
      </c>
      <c r="S79" s="4">
        <v>1197501.66015625</v>
      </c>
      <c r="T79" s="1">
        <v>588.17556002646495</v>
      </c>
      <c r="U79" s="5">
        <v>598.66929367476405</v>
      </c>
      <c r="V79" s="1">
        <v>0.03</v>
      </c>
      <c r="W79" s="3">
        <v>261291.68489454701</v>
      </c>
      <c r="X79" s="1">
        <v>2.3146820560291399E-2</v>
      </c>
      <c r="Y79" s="1">
        <v>6.5728591754018701</v>
      </c>
      <c r="Z79" s="1">
        <v>6.5728591860058199</v>
      </c>
      <c r="AA79" s="1">
        <v>-1.0603954159194E-8</v>
      </c>
      <c r="AB79" s="1">
        <v>1.06774791808225E-5</v>
      </c>
      <c r="AC79" s="1">
        <v>622.42114520249402</v>
      </c>
      <c r="AD79" s="1">
        <v>7027.4258631631301</v>
      </c>
      <c r="AE79" s="1">
        <v>598.66929367476405</v>
      </c>
      <c r="AF79" s="6">
        <v>0</v>
      </c>
      <c r="AG79" s="1">
        <v>1.06929171415234E-5</v>
      </c>
      <c r="AH79" s="1">
        <v>73.091839510990198</v>
      </c>
      <c r="AI79" s="1">
        <v>0.34201165265245398</v>
      </c>
      <c r="AJ79" s="1">
        <v>31.6407774950532</v>
      </c>
      <c r="AK79" s="1">
        <v>0.90488075623402298</v>
      </c>
      <c r="AL79" s="1">
        <v>1.1293680422758501</v>
      </c>
      <c r="AM79" s="1">
        <v>608.62110606561896</v>
      </c>
      <c r="AN79" s="1">
        <v>1.44268597068731E-10</v>
      </c>
      <c r="AO79" s="1">
        <v>1.5437960700939599E-8</v>
      </c>
      <c r="AP79" s="1">
        <v>3.9824366295774301</v>
      </c>
      <c r="AQ79" s="1">
        <v>3.43830596561858E-5</v>
      </c>
      <c r="AR79" s="1">
        <v>5.3541775511121699E-6</v>
      </c>
      <c r="AS79" s="1">
        <v>15.843229524886601</v>
      </c>
      <c r="AT79" s="1">
        <v>10.763711248758099</v>
      </c>
      <c r="AU79" s="1">
        <v>3.68131467286155</v>
      </c>
      <c r="AV79" s="1">
        <v>0.30112195671587599</v>
      </c>
      <c r="AW79" s="1">
        <v>6.4194220121594897E-3</v>
      </c>
      <c r="AX79" s="1">
        <v>0.30112193621344902</v>
      </c>
      <c r="AY79" s="1">
        <v>2.0502427977575601E-8</v>
      </c>
      <c r="AZ79" s="1">
        <v>1080577.4158407301</v>
      </c>
      <c r="BA79" s="1">
        <v>8.6336740177668893E-6</v>
      </c>
      <c r="BB79" s="4">
        <v>1207361.3144408199</v>
      </c>
      <c r="BC79" s="4">
        <v>9859.6542845682707</v>
      </c>
      <c r="BD79" s="7">
        <v>0.82335203470881102</v>
      </c>
      <c r="BE79" s="4">
        <v>3129760</v>
      </c>
      <c r="BF79" s="1">
        <v>0.385768018774864</v>
      </c>
      <c r="BG79" s="1">
        <v>1</v>
      </c>
      <c r="BH79" s="1">
        <v>7.1999999999999995E-2</v>
      </c>
      <c r="BI79" s="1">
        <v>4.5999999999999999E-2</v>
      </c>
      <c r="BJ79" s="1">
        <v>5625</v>
      </c>
      <c r="BK79" s="1">
        <v>1</v>
      </c>
      <c r="BL79" s="1">
        <v>20.445546039298101</v>
      </c>
      <c r="BM79" s="1">
        <v>1.20736131444082</v>
      </c>
      <c r="BN79" s="1">
        <v>20.445546039298101</v>
      </c>
      <c r="BO79" s="1">
        <v>1</v>
      </c>
      <c r="BP79" s="1">
        <v>382.37666970121199</v>
      </c>
      <c r="BQ79" s="1">
        <v>1</v>
      </c>
      <c r="BR79" s="1">
        <v>0.3175</v>
      </c>
    </row>
    <row r="80" spans="1:70">
      <c r="A80" s="2" t="s">
        <v>148</v>
      </c>
      <c r="B80" s="1">
        <v>13789520</v>
      </c>
      <c r="C80" s="1">
        <v>608.621106065763</v>
      </c>
      <c r="D80" s="1">
        <v>85.147893581579396</v>
      </c>
      <c r="E80" s="1">
        <v>624.86627494838604</v>
      </c>
      <c r="F80" s="1">
        <v>2643264.3898665099</v>
      </c>
      <c r="G80" s="1">
        <v>1562686.9740257801</v>
      </c>
      <c r="H80" s="1">
        <v>2.2019594042733499E-5</v>
      </c>
      <c r="I80" s="1">
        <v>7.2223252690249804E-5</v>
      </c>
      <c r="J80" s="1">
        <v>0.49112124879375701</v>
      </c>
      <c r="K80" s="1">
        <v>7679.7516396704104</v>
      </c>
      <c r="L80" s="1">
        <v>6.5036382888884496E-3</v>
      </c>
      <c r="M80" s="1">
        <v>79</v>
      </c>
      <c r="N80" s="1">
        <v>2766.24</v>
      </c>
      <c r="O80" s="3">
        <v>4.7446061512773302E-5</v>
      </c>
      <c r="P80" s="3">
        <v>2.44177147407613E-2</v>
      </c>
      <c r="Q80" s="3">
        <v>7.7723999999999996E-3</v>
      </c>
      <c r="R80" s="1">
        <v>0.59055000000000002</v>
      </c>
      <c r="S80" s="4">
        <v>928553.09140625002</v>
      </c>
      <c r="T80" s="1">
        <v>584.781818283598</v>
      </c>
      <c r="U80" s="5">
        <v>598.06589056438997</v>
      </c>
      <c r="V80" s="1">
        <v>0.03</v>
      </c>
      <c r="W80" s="3">
        <v>297692.54326179798</v>
      </c>
      <c r="X80" s="1">
        <v>2.41208123571655E-2</v>
      </c>
      <c r="Y80" s="1">
        <v>6.4387866497231201</v>
      </c>
      <c r="Z80" s="1">
        <v>6.4387866773748099</v>
      </c>
      <c r="AA80" s="1">
        <v>-2.76516951558392E-8</v>
      </c>
      <c r="AB80" s="1">
        <v>2.11369857143727E-5</v>
      </c>
      <c r="AC80" s="1">
        <v>624.77140799284996</v>
      </c>
      <c r="AD80" s="1">
        <v>8173.1398903448398</v>
      </c>
      <c r="AE80" s="1">
        <v>598.06589081210404</v>
      </c>
      <c r="AF80" s="6">
        <v>2.4771406970103298E-7</v>
      </c>
      <c r="AG80" s="1">
        <v>2.11580682730889E-5</v>
      </c>
      <c r="AH80" s="1">
        <v>36.922795199503497</v>
      </c>
      <c r="AI80" s="1">
        <v>0.24308252720246501</v>
      </c>
      <c r="AJ80" s="1">
        <v>44.497929032325303</v>
      </c>
      <c r="AK80" s="1">
        <v>1.00292741507064</v>
      </c>
      <c r="AL80" s="1">
        <v>1.1293680422758501</v>
      </c>
      <c r="AM80" s="1">
        <v>608.62110604699296</v>
      </c>
      <c r="AN80" s="1">
        <v>1.8769810594676498E-8</v>
      </c>
      <c r="AO80" s="1">
        <v>2.1082558716213102E-8</v>
      </c>
      <c r="AP80" s="1">
        <v>3.2894832598426298</v>
      </c>
      <c r="AQ80" s="1">
        <v>5.0394937066926603E-5</v>
      </c>
      <c r="AR80" s="1">
        <v>1.0589575415902601E-5</v>
      </c>
      <c r="AS80" s="1">
        <v>22.271134077898299</v>
      </c>
      <c r="AT80" s="1">
        <v>12.466457019957399</v>
      </c>
      <c r="AU80" s="1">
        <v>3.0303778776721502</v>
      </c>
      <c r="AV80" s="1">
        <v>0.25910538217047602</v>
      </c>
      <c r="AW80" s="1">
        <v>1.2707796387863599E-2</v>
      </c>
      <c r="AX80" s="1">
        <v>0.25910537792836202</v>
      </c>
      <c r="AY80" s="1">
        <v>4.24211454852497E-9</v>
      </c>
      <c r="AZ80" s="1">
        <v>1080577.4158407301</v>
      </c>
      <c r="BA80" s="1">
        <v>1.5320016271898399E-5</v>
      </c>
      <c r="BB80" s="4">
        <v>929195.42789374397</v>
      </c>
      <c r="BC80" s="4">
        <v>642.33648749371105</v>
      </c>
      <c r="BD80" s="7">
        <v>6.9176064722472896E-2</v>
      </c>
      <c r="BE80" s="4">
        <v>2236895</v>
      </c>
      <c r="BF80" s="1">
        <v>0.41539519194854602</v>
      </c>
      <c r="BG80" s="1">
        <v>1</v>
      </c>
      <c r="BH80" s="1">
        <v>8.3000000000000004E-2</v>
      </c>
      <c r="BI80" s="1">
        <v>4.5999999999999999E-2</v>
      </c>
      <c r="BJ80" s="1">
        <v>5625</v>
      </c>
      <c r="BK80" s="1">
        <v>1</v>
      </c>
      <c r="BL80" s="1">
        <v>23.839287782165002</v>
      </c>
      <c r="BM80" s="1">
        <v>0.92919542789374399</v>
      </c>
      <c r="BN80" s="1">
        <v>23.839287782165002</v>
      </c>
      <c r="BO80" s="1">
        <v>1</v>
      </c>
      <c r="BP80" s="1">
        <v>261.16861938768102</v>
      </c>
      <c r="BQ80" s="1">
        <v>1</v>
      </c>
      <c r="BR80" s="1">
        <v>0.59055000000000002</v>
      </c>
    </row>
    <row r="81" spans="1:70">
      <c r="A81" s="2" t="s">
        <v>149</v>
      </c>
      <c r="B81" s="1">
        <v>13789520</v>
      </c>
      <c r="C81" s="1">
        <v>608.621106065763</v>
      </c>
      <c r="D81" s="1">
        <v>85.147893581579396</v>
      </c>
      <c r="E81" s="1">
        <v>624.86627494838604</v>
      </c>
      <c r="F81" s="1">
        <v>2643264.3898665099</v>
      </c>
      <c r="G81" s="1">
        <v>1562686.9740257801</v>
      </c>
      <c r="H81" s="1">
        <v>2.2019594042733499E-5</v>
      </c>
      <c r="I81" s="1">
        <v>7.2223252690249804E-5</v>
      </c>
      <c r="J81" s="1">
        <v>0.49112124879375701</v>
      </c>
      <c r="K81" s="1">
        <v>7679.7516396704104</v>
      </c>
      <c r="L81" s="1">
        <v>6.5036382888884496E-3</v>
      </c>
      <c r="M81" s="1">
        <v>80</v>
      </c>
      <c r="N81" s="1">
        <v>2766.24</v>
      </c>
      <c r="O81" s="3">
        <v>4.7446061512773302E-5</v>
      </c>
      <c r="P81" s="3">
        <v>2.44177147407613E-2</v>
      </c>
      <c r="Q81" s="3">
        <v>7.7723999999999996E-3</v>
      </c>
      <c r="R81" s="1">
        <v>0.59055000000000002</v>
      </c>
      <c r="S81" s="4">
        <v>948801.94766874996</v>
      </c>
      <c r="T81" s="1">
        <v>584.22817624184802</v>
      </c>
      <c r="U81" s="5">
        <v>597.801932841915</v>
      </c>
      <c r="V81" s="1">
        <v>0.03</v>
      </c>
      <c r="W81" s="3">
        <v>297692.54326179798</v>
      </c>
      <c r="X81" s="1">
        <v>2.41208123571655E-2</v>
      </c>
      <c r="Y81" s="1">
        <v>6.4387866497231201</v>
      </c>
      <c r="Z81" s="1">
        <v>6.4387866773748099</v>
      </c>
      <c r="AA81" s="1">
        <v>-2.76516951558392E-8</v>
      </c>
      <c r="AB81" s="1">
        <v>2.11369857143727E-5</v>
      </c>
      <c r="AC81" s="1">
        <v>625.17547905653703</v>
      </c>
      <c r="AD81" s="1">
        <v>8173.1398903448398</v>
      </c>
      <c r="AE81" s="1">
        <v>597.801932841915</v>
      </c>
      <c r="AF81" s="6">
        <v>0</v>
      </c>
      <c r="AG81" s="1">
        <v>2.11587021350687E-5</v>
      </c>
      <c r="AH81" s="1">
        <v>36.922795199503497</v>
      </c>
      <c r="AI81" s="1">
        <v>0.24308252720246501</v>
      </c>
      <c r="AJ81" s="1">
        <v>44.499262119308</v>
      </c>
      <c r="AK81" s="1">
        <v>1.02801528839669</v>
      </c>
      <c r="AL81" s="1">
        <v>1.1293680422758501</v>
      </c>
      <c r="AM81" s="1">
        <v>608.62110604652401</v>
      </c>
      <c r="AN81" s="1">
        <v>1.9239337234466799E-8</v>
      </c>
      <c r="AO81" s="1">
        <v>2.1716420696023899E-8</v>
      </c>
      <c r="AP81" s="1">
        <v>3.2895506970518702</v>
      </c>
      <c r="AQ81" s="1">
        <v>5.0392870852179697E-5</v>
      </c>
      <c r="AR81" s="1">
        <v>1.0590209277882399E-5</v>
      </c>
      <c r="AS81" s="1">
        <v>22.272467164881</v>
      </c>
      <c r="AT81" s="1">
        <v>12.4667562968335</v>
      </c>
      <c r="AU81" s="1">
        <v>3.0304506266515299</v>
      </c>
      <c r="AV81" s="1">
        <v>0.259100070400338</v>
      </c>
      <c r="AW81" s="1">
        <v>1.2707796387863599E-2</v>
      </c>
      <c r="AX81" s="1">
        <v>0.25910006615627001</v>
      </c>
      <c r="AY81" s="1">
        <v>4.2440679304256401E-9</v>
      </c>
      <c r="AZ81" s="1">
        <v>1080577.4158407301</v>
      </c>
      <c r="BA81" s="1">
        <v>1.53190740903742E-5</v>
      </c>
      <c r="BB81" s="4">
        <v>957191.21031483402</v>
      </c>
      <c r="BC81" s="4">
        <v>8389.2626460834908</v>
      </c>
      <c r="BD81" s="7">
        <v>0.88419534410698597</v>
      </c>
      <c r="BE81" s="4">
        <v>2255825</v>
      </c>
      <c r="BF81" s="1">
        <v>0.42431979888281801</v>
      </c>
      <c r="BG81" s="1">
        <v>1</v>
      </c>
      <c r="BH81" s="1">
        <v>8.2000000000000003E-2</v>
      </c>
      <c r="BI81" s="1">
        <v>4.5999999999999999E-2</v>
      </c>
      <c r="BJ81" s="1">
        <v>5625</v>
      </c>
      <c r="BK81" s="1">
        <v>1</v>
      </c>
      <c r="BL81" s="1">
        <v>24.392929823915001</v>
      </c>
      <c r="BM81" s="1">
        <v>0.95719121031483401</v>
      </c>
      <c r="BN81" s="1">
        <v>24.392929823915001</v>
      </c>
      <c r="BO81" s="1">
        <v>1</v>
      </c>
      <c r="BP81" s="1">
        <v>243.580639481242</v>
      </c>
      <c r="BQ81" s="1">
        <v>1</v>
      </c>
      <c r="BR81" s="1">
        <v>0.59055000000000002</v>
      </c>
    </row>
    <row r="82" spans="1:70">
      <c r="A82" s="2" t="s">
        <v>150</v>
      </c>
      <c r="B82" s="1">
        <v>13789520</v>
      </c>
      <c r="C82" s="1">
        <v>608.621106065763</v>
      </c>
      <c r="D82" s="1">
        <v>85.147893581579396</v>
      </c>
      <c r="E82" s="1">
        <v>624.86627494838604</v>
      </c>
      <c r="F82" s="1">
        <v>2643264.3898665099</v>
      </c>
      <c r="G82" s="1">
        <v>1562686.9740257801</v>
      </c>
      <c r="H82" s="1">
        <v>2.2019594042733499E-5</v>
      </c>
      <c r="I82" s="1">
        <v>7.2223252690249804E-5</v>
      </c>
      <c r="J82" s="1">
        <v>0.49112124879375701</v>
      </c>
      <c r="K82" s="1">
        <v>7679.7516396704104</v>
      </c>
      <c r="L82" s="1">
        <v>6.5036382888884496E-3</v>
      </c>
      <c r="M82" s="1">
        <v>81</v>
      </c>
      <c r="N82" s="1">
        <v>2888.28</v>
      </c>
      <c r="O82" s="3">
        <v>4.7446061512773302E-5</v>
      </c>
      <c r="P82" s="3">
        <v>2.44177147407613E-2</v>
      </c>
      <c r="Q82" s="3">
        <v>7.7723999999999996E-3</v>
      </c>
      <c r="R82" s="1">
        <v>0.59055000000000002</v>
      </c>
      <c r="S82" s="4">
        <v>1330065.30078125</v>
      </c>
      <c r="T82" s="1">
        <v>574.77270588422698</v>
      </c>
      <c r="U82" s="5">
        <v>592.99688676828805</v>
      </c>
      <c r="V82" s="1">
        <v>0.03</v>
      </c>
      <c r="W82" s="3">
        <v>310826.03781746601</v>
      </c>
      <c r="X82" s="1">
        <v>2.36996304818783E-2</v>
      </c>
      <c r="Y82" s="1">
        <v>6.4957486639876496</v>
      </c>
      <c r="Z82" s="1">
        <v>6.49574867255531</v>
      </c>
      <c r="AA82" s="1">
        <v>-8.5676630234843304E-9</v>
      </c>
      <c r="AB82" s="1">
        <v>1.9733064588115901E-5</v>
      </c>
      <c r="AC82" s="1">
        <v>632.02126424257801</v>
      </c>
      <c r="AD82" s="1">
        <v>8458.88636088147</v>
      </c>
      <c r="AE82" s="1">
        <v>592.99688676828805</v>
      </c>
      <c r="AF82" s="6">
        <v>0</v>
      </c>
      <c r="AG82" s="1">
        <v>1.9761478312417301E-5</v>
      </c>
      <c r="AH82" s="1">
        <v>39.549690377876097</v>
      </c>
      <c r="AI82" s="1">
        <v>0.25158109386462202</v>
      </c>
      <c r="AJ82" s="1">
        <v>43.013766498832197</v>
      </c>
      <c r="AK82" s="1">
        <v>1.4608340156927</v>
      </c>
      <c r="AL82" s="1">
        <v>1.1293680422758501</v>
      </c>
      <c r="AM82" s="1">
        <v>608.62110605589305</v>
      </c>
      <c r="AN82" s="1">
        <v>9.8702912509907004E-9</v>
      </c>
      <c r="AO82" s="1">
        <v>2.8413724301424099E-8</v>
      </c>
      <c r="AP82" s="1">
        <v>3.3569805301774398</v>
      </c>
      <c r="AQ82" s="1">
        <v>4.8388774534276903E-5</v>
      </c>
      <c r="AR82" s="1">
        <v>9.8949460183593594E-6</v>
      </c>
      <c r="AS82" s="1">
        <v>21.537806576182</v>
      </c>
      <c r="AT82" s="1">
        <v>12.299049181411901</v>
      </c>
      <c r="AU82" s="1">
        <v>3.0942082465543801</v>
      </c>
      <c r="AV82" s="1">
        <v>0.26277228362305899</v>
      </c>
      <c r="AW82" s="1">
        <v>1.18637430276458E-2</v>
      </c>
      <c r="AX82" s="1">
        <v>0.26277227655163798</v>
      </c>
      <c r="AY82" s="1">
        <v>7.07142111533443E-9</v>
      </c>
      <c r="AZ82" s="1">
        <v>1080577.4158407301</v>
      </c>
      <c r="BA82" s="1">
        <v>1.4414374494962901E-5</v>
      </c>
      <c r="BB82" s="4">
        <v>1330991.6572084499</v>
      </c>
      <c r="BC82" s="4">
        <v>926.35642720432998</v>
      </c>
      <c r="BD82" s="7">
        <v>6.9647439615198495E-2</v>
      </c>
      <c r="BE82" s="4">
        <v>2527155</v>
      </c>
      <c r="BF82" s="1">
        <v>0.52667590915810603</v>
      </c>
      <c r="BG82" s="1">
        <v>1</v>
      </c>
      <c r="BH82" s="1">
        <v>4.9000000000000002E-2</v>
      </c>
      <c r="BI82" s="1">
        <v>4.5999999999999999E-2</v>
      </c>
      <c r="BJ82" s="1">
        <v>5625</v>
      </c>
      <c r="BK82" s="1">
        <v>1</v>
      </c>
      <c r="BL82" s="1">
        <v>33.848400181536</v>
      </c>
      <c r="BM82" s="1">
        <v>1.3309916572084499</v>
      </c>
      <c r="BN82" s="1">
        <v>33.848400181536</v>
      </c>
      <c r="BO82" s="1">
        <v>1</v>
      </c>
      <c r="BP82" s="1">
        <v>37.842180326526098</v>
      </c>
      <c r="BQ82" s="1">
        <v>1</v>
      </c>
      <c r="BR82" s="1">
        <v>0.59055000000000002</v>
      </c>
    </row>
    <row r="83" spans="1:70">
      <c r="A83" s="2" t="s">
        <v>151</v>
      </c>
      <c r="B83" s="1">
        <v>13789520</v>
      </c>
      <c r="C83" s="1">
        <v>608.621106065763</v>
      </c>
      <c r="D83" s="1">
        <v>85.147893581579396</v>
      </c>
      <c r="E83" s="1">
        <v>624.86627494838604</v>
      </c>
      <c r="F83" s="1">
        <v>2643264.3898665099</v>
      </c>
      <c r="G83" s="1">
        <v>1562686.9740257801</v>
      </c>
      <c r="H83" s="1">
        <v>2.2019594042733499E-5</v>
      </c>
      <c r="I83" s="1">
        <v>7.2223252690249804E-5</v>
      </c>
      <c r="J83" s="1">
        <v>0.49112124879375701</v>
      </c>
      <c r="K83" s="1">
        <v>7679.7516396704104</v>
      </c>
      <c r="L83" s="1">
        <v>6.5036382888884496E-3</v>
      </c>
      <c r="M83" s="1">
        <v>82</v>
      </c>
      <c r="N83" s="1">
        <v>2915.4</v>
      </c>
      <c r="O83" s="3">
        <v>4.7446061512773302E-5</v>
      </c>
      <c r="P83" s="3">
        <v>2.44177147407613E-2</v>
      </c>
      <c r="Q83" s="3">
        <v>7.7723999999999996E-3</v>
      </c>
      <c r="R83" s="1">
        <v>0.59055000000000002</v>
      </c>
      <c r="S83" s="4">
        <v>923147.01953125</v>
      </c>
      <c r="T83" s="1">
        <v>585.88293483903703</v>
      </c>
      <c r="U83" s="5">
        <v>598.41397347917302</v>
      </c>
      <c r="V83" s="1">
        <v>0.03</v>
      </c>
      <c r="W83" s="3">
        <v>313744.59216316999</v>
      </c>
      <c r="X83" s="1">
        <v>2.36098747398341E-2</v>
      </c>
      <c r="Y83" s="1">
        <v>6.5080841313188298</v>
      </c>
      <c r="Z83" s="1">
        <v>6.5080841474443201</v>
      </c>
      <c r="AA83" s="1">
        <v>-1.6125491164586901E-8</v>
      </c>
      <c r="AB83" s="1">
        <v>1.9441273774930802E-5</v>
      </c>
      <c r="AC83" s="1">
        <v>623.83479306701895</v>
      </c>
      <c r="AD83" s="1">
        <v>8522.1289477333594</v>
      </c>
      <c r="AE83" s="1">
        <v>598.41397347917302</v>
      </c>
      <c r="AF83" s="6">
        <v>0</v>
      </c>
      <c r="AG83" s="1">
        <v>1.9460924162401401E-5</v>
      </c>
      <c r="AH83" s="1">
        <v>40.143285038914101</v>
      </c>
      <c r="AI83" s="1">
        <v>0.253462031673718</v>
      </c>
      <c r="AJ83" s="1">
        <v>42.676266057857198</v>
      </c>
      <c r="AK83" s="1">
        <v>0.95093495926393901</v>
      </c>
      <c r="AL83" s="1">
        <v>1.1293680422758501</v>
      </c>
      <c r="AM83" s="1">
        <v>608.62110604673501</v>
      </c>
      <c r="AN83" s="1">
        <v>1.9028448150493201E-8</v>
      </c>
      <c r="AO83" s="1">
        <v>1.9650387470562101E-8</v>
      </c>
      <c r="AP83" s="1">
        <v>3.3704927362222898</v>
      </c>
      <c r="AQ83" s="1">
        <v>4.8001573889143899E-5</v>
      </c>
      <c r="AR83" s="1">
        <v>9.7402872749359798E-6</v>
      </c>
      <c r="AS83" s="1">
        <v>21.3596789009754</v>
      </c>
      <c r="AT83" s="1">
        <v>12.257524906265701</v>
      </c>
      <c r="AU83" s="1">
        <v>3.1068171660332999</v>
      </c>
      <c r="AV83" s="1">
        <v>0.26367557018899701</v>
      </c>
      <c r="AW83" s="1">
        <v>1.16883150696621E-2</v>
      </c>
      <c r="AX83" s="1">
        <v>0.26367556250242302</v>
      </c>
      <c r="AY83" s="1">
        <v>7.6865744880194597E-9</v>
      </c>
      <c r="AZ83" s="1">
        <v>1080577.4158407301</v>
      </c>
      <c r="BA83" s="1">
        <v>1.4241708155391199E-5</v>
      </c>
      <c r="BB83" s="4">
        <v>931648.32755148702</v>
      </c>
      <c r="BC83" s="4">
        <v>8501.3080202374804</v>
      </c>
      <c r="BD83" s="7">
        <v>0.920905103994619</v>
      </c>
      <c r="BE83" s="4">
        <v>2271600</v>
      </c>
      <c r="BF83" s="1">
        <v>0.41012868795187901</v>
      </c>
      <c r="BG83" s="1">
        <v>1</v>
      </c>
      <c r="BH83" s="1">
        <v>8.1000000000000003E-2</v>
      </c>
      <c r="BI83" s="1">
        <v>4.5999999999999999E-2</v>
      </c>
      <c r="BJ83" s="1">
        <v>5625</v>
      </c>
      <c r="BK83" s="1">
        <v>1</v>
      </c>
      <c r="BL83" s="1">
        <v>22.738171226725999</v>
      </c>
      <c r="BM83" s="1">
        <v>0.93164832755148697</v>
      </c>
      <c r="BN83" s="1">
        <v>22.738171226725999</v>
      </c>
      <c r="BO83" s="1">
        <v>1</v>
      </c>
      <c r="BP83" s="1">
        <v>297.97073259783099</v>
      </c>
      <c r="BQ83" s="1">
        <v>1</v>
      </c>
      <c r="BR83" s="1">
        <v>0.59055000000000002</v>
      </c>
    </row>
    <row r="84" spans="1:70">
      <c r="A84" s="2" t="s">
        <v>152</v>
      </c>
      <c r="B84" s="1">
        <v>13789520</v>
      </c>
      <c r="C84" s="1">
        <v>608.621106065763</v>
      </c>
      <c r="D84" s="1">
        <v>85.147893581579396</v>
      </c>
      <c r="E84" s="1">
        <v>624.86627494838604</v>
      </c>
      <c r="F84" s="1">
        <v>2643264.3898665099</v>
      </c>
      <c r="G84" s="1">
        <v>1562686.9740257801</v>
      </c>
      <c r="H84" s="1">
        <v>2.2019594042733499E-5</v>
      </c>
      <c r="I84" s="1">
        <v>7.2223252690249804E-5</v>
      </c>
      <c r="J84" s="1">
        <v>0.49112124879375701</v>
      </c>
      <c r="K84" s="1">
        <v>7679.7516396704104</v>
      </c>
      <c r="L84" s="1">
        <v>6.5036382888884496E-3</v>
      </c>
      <c r="M84" s="1">
        <v>83</v>
      </c>
      <c r="N84" s="1">
        <v>2915.4</v>
      </c>
      <c r="O84" s="3">
        <v>4.7446061512773302E-5</v>
      </c>
      <c r="P84" s="3">
        <v>2.44177147407613E-2</v>
      </c>
      <c r="Q84" s="3">
        <v>7.7723999999999996E-3</v>
      </c>
      <c r="R84" s="1">
        <v>0.59055000000000002</v>
      </c>
      <c r="S84" s="4">
        <v>944118.84079375002</v>
      </c>
      <c r="T84" s="1">
        <v>585.33341139100696</v>
      </c>
      <c r="U84" s="5">
        <v>598.14912700786897</v>
      </c>
      <c r="V84" s="1">
        <v>0.03</v>
      </c>
      <c r="W84" s="3">
        <v>313744.59216316999</v>
      </c>
      <c r="X84" s="1">
        <v>2.36098747398341E-2</v>
      </c>
      <c r="Y84" s="1">
        <v>6.5080841313188298</v>
      </c>
      <c r="Z84" s="1">
        <v>6.5080841474443201</v>
      </c>
      <c r="AA84" s="1">
        <v>-1.6125491164586901E-8</v>
      </c>
      <c r="AB84" s="1">
        <v>1.9441273774930802E-5</v>
      </c>
      <c r="AC84" s="1">
        <v>624.22957118093098</v>
      </c>
      <c r="AD84" s="1">
        <v>8522.1289477333594</v>
      </c>
      <c r="AE84" s="1">
        <v>598.14912700786897</v>
      </c>
      <c r="AF84" s="6">
        <v>0</v>
      </c>
      <c r="AG84" s="1">
        <v>1.94610061573336E-5</v>
      </c>
      <c r="AH84" s="1">
        <v>40.143285038914101</v>
      </c>
      <c r="AI84" s="1">
        <v>0.253462031673718</v>
      </c>
      <c r="AJ84" s="1">
        <v>42.676445866252401</v>
      </c>
      <c r="AK84" s="1">
        <v>0.97561001255653701</v>
      </c>
      <c r="AL84" s="1">
        <v>1.1293680422758501</v>
      </c>
      <c r="AM84" s="1">
        <v>608.62110604623899</v>
      </c>
      <c r="AN84" s="1">
        <v>1.9524236449797199E-8</v>
      </c>
      <c r="AO84" s="1">
        <v>1.97323824027785E-8</v>
      </c>
      <c r="AP84" s="1">
        <v>3.3705026305159702</v>
      </c>
      <c r="AQ84" s="1">
        <v>4.8001292067098998E-5</v>
      </c>
      <c r="AR84" s="1">
        <v>9.7403692698681996E-6</v>
      </c>
      <c r="AS84" s="1">
        <v>21.359858709370599</v>
      </c>
      <c r="AT84" s="1">
        <v>12.257566996701399</v>
      </c>
      <c r="AU84" s="1">
        <v>3.1068278343606499</v>
      </c>
      <c r="AV84" s="1">
        <v>0.26367479615531902</v>
      </c>
      <c r="AW84" s="1">
        <v>1.16883150696621E-2</v>
      </c>
      <c r="AX84" s="1">
        <v>0.26367478846847697</v>
      </c>
      <c r="AY84" s="1">
        <v>7.6868422183018498E-9</v>
      </c>
      <c r="AZ84" s="1">
        <v>1080577.4158407301</v>
      </c>
      <c r="BA84" s="1">
        <v>1.42415827338342E-5</v>
      </c>
      <c r="BB84" s="4">
        <v>935544.04416598601</v>
      </c>
      <c r="BC84" s="4">
        <v>-8574.7966277637806</v>
      </c>
      <c r="BD84" s="7">
        <v>-0.90823276236651296</v>
      </c>
      <c r="BE84" s="4">
        <v>2258980</v>
      </c>
      <c r="BF84" s="1">
        <v>0.41414445642103398</v>
      </c>
      <c r="BG84" s="1">
        <v>1</v>
      </c>
      <c r="BH84" s="1">
        <v>7.6999999999999999E-2</v>
      </c>
      <c r="BI84" s="1">
        <v>4.5999999999999999E-2</v>
      </c>
      <c r="BJ84" s="1">
        <v>5625</v>
      </c>
      <c r="BK84" s="1">
        <v>1</v>
      </c>
      <c r="BL84" s="1">
        <v>23.287694674756001</v>
      </c>
      <c r="BM84" s="1">
        <v>0.93554404416598602</v>
      </c>
      <c r="BN84" s="1">
        <v>23.287694674756001</v>
      </c>
      <c r="BO84" s="1">
        <v>1</v>
      </c>
      <c r="BP84" s="1">
        <v>279.301149284178</v>
      </c>
      <c r="BQ84" s="1">
        <v>1</v>
      </c>
      <c r="BR84" s="1">
        <v>0.59055000000000002</v>
      </c>
    </row>
    <row r="85" spans="1:70">
      <c r="A85" s="2" t="s">
        <v>153</v>
      </c>
      <c r="B85" s="1">
        <v>13789520</v>
      </c>
      <c r="C85" s="1">
        <v>608.621106065763</v>
      </c>
      <c r="D85" s="1">
        <v>85.147893581579396</v>
      </c>
      <c r="E85" s="1">
        <v>624.86627494838604</v>
      </c>
      <c r="F85" s="1">
        <v>2643264.3898665099</v>
      </c>
      <c r="G85" s="1">
        <v>1562686.9740257801</v>
      </c>
      <c r="H85" s="1">
        <v>2.2019594042733499E-5</v>
      </c>
      <c r="I85" s="1">
        <v>7.2223252690249804E-5</v>
      </c>
      <c r="J85" s="1">
        <v>0.49112124879375701</v>
      </c>
      <c r="K85" s="1">
        <v>7679.7516396704104</v>
      </c>
      <c r="L85" s="1">
        <v>6.5036382888884496E-3</v>
      </c>
      <c r="M85" s="1">
        <v>84</v>
      </c>
      <c r="N85" s="1">
        <v>2996.76</v>
      </c>
      <c r="O85" s="3">
        <v>4.7446061512773302E-5</v>
      </c>
      <c r="P85" s="3">
        <v>2.44177147407613E-2</v>
      </c>
      <c r="Q85" s="3">
        <v>7.7723999999999996E-3</v>
      </c>
      <c r="R85" s="1">
        <v>0.59055000000000002</v>
      </c>
      <c r="S85" s="4">
        <v>1429043.1976562501</v>
      </c>
      <c r="T85" s="1">
        <v>573.09232433052603</v>
      </c>
      <c r="U85" s="5">
        <v>591.96388165066799</v>
      </c>
      <c r="V85" s="1">
        <v>0.03</v>
      </c>
      <c r="W85" s="3">
        <v>322500.25520028197</v>
      </c>
      <c r="X85" s="1">
        <v>2.3348415220437301E-2</v>
      </c>
      <c r="Y85" s="1">
        <v>6.5444220008767502</v>
      </c>
      <c r="Z85" s="1">
        <v>6.5444220182639503</v>
      </c>
      <c r="AA85" s="1">
        <v>-1.7387197459584101E-8</v>
      </c>
      <c r="AB85" s="1">
        <v>1.8606014860463901E-5</v>
      </c>
      <c r="AC85" s="1">
        <v>633.11775042722297</v>
      </c>
      <c r="AD85" s="1">
        <v>8711.3161924750802</v>
      </c>
      <c r="AE85" s="1">
        <v>591.96388198184502</v>
      </c>
      <c r="AF85" s="6">
        <v>3.3117748898803299E-7</v>
      </c>
      <c r="AG85" s="1">
        <v>1.8635044409057402E-5</v>
      </c>
      <c r="AH85" s="1">
        <v>41.945392418500703</v>
      </c>
      <c r="AI85" s="1">
        <v>0.25908876927802799</v>
      </c>
      <c r="AJ85" s="1">
        <v>41.772364805752098</v>
      </c>
      <c r="AK85" s="1">
        <v>1.53630767978107</v>
      </c>
      <c r="AL85" s="1">
        <v>1.1293680422758501</v>
      </c>
      <c r="AM85" s="1">
        <v>608.62110606449903</v>
      </c>
      <c r="AN85" s="1">
        <v>1.2636292012757601E-9</v>
      </c>
      <c r="AO85" s="1">
        <v>2.9029548593450001E-8</v>
      </c>
      <c r="AP85" s="1">
        <v>3.4147955549139999</v>
      </c>
      <c r="AQ85" s="1">
        <v>4.6764129401347E-5</v>
      </c>
      <c r="AR85" s="1">
        <v>9.3320369788254208E-6</v>
      </c>
      <c r="AS85" s="1">
        <v>20.918718759306799</v>
      </c>
      <c r="AT85" s="1">
        <v>12.1532219627309</v>
      </c>
      <c r="AU85" s="1">
        <v>3.1487633210866401</v>
      </c>
      <c r="AV85" s="1">
        <v>0.26603223382736302</v>
      </c>
      <c r="AW85" s="1">
        <v>1.1186147903556799E-2</v>
      </c>
      <c r="AX85" s="1">
        <v>0.26603222428322998</v>
      </c>
      <c r="AY85" s="1">
        <v>9.5441337610857602E-9</v>
      </c>
      <c r="AZ85" s="1">
        <v>1080577.4158407301</v>
      </c>
      <c r="BA85" s="1">
        <v>1.36945619874818E-5</v>
      </c>
      <c r="BB85" s="4">
        <v>1431314.6244925901</v>
      </c>
      <c r="BC85" s="4">
        <v>2271.4268363364999</v>
      </c>
      <c r="BD85" s="7">
        <v>0.15894738801890901</v>
      </c>
      <c r="BE85" s="4">
        <v>2587100</v>
      </c>
      <c r="BF85" s="1">
        <v>0.55325059893030304</v>
      </c>
      <c r="BG85" s="1">
        <v>1</v>
      </c>
      <c r="BH85" s="1">
        <v>3.6999999999999998E-2</v>
      </c>
      <c r="BI85" s="1">
        <v>4.5999999999999999E-2</v>
      </c>
      <c r="BJ85" s="1">
        <v>5625</v>
      </c>
      <c r="BK85" s="1">
        <v>1</v>
      </c>
      <c r="BL85" s="1">
        <v>35.528781735236997</v>
      </c>
      <c r="BM85" s="1">
        <v>1.4313146244925901</v>
      </c>
      <c r="BN85" s="1">
        <v>35.528781735236997</v>
      </c>
      <c r="BO85" s="1">
        <v>1</v>
      </c>
      <c r="BP85" s="1">
        <v>19.9917927711505</v>
      </c>
      <c r="BQ85" s="1">
        <v>1</v>
      </c>
      <c r="BR85" s="1">
        <v>0.59055000000000002</v>
      </c>
    </row>
    <row r="86" spans="1:70">
      <c r="A86" s="2" t="s">
        <v>154</v>
      </c>
      <c r="B86" s="1">
        <v>13789520</v>
      </c>
      <c r="C86" s="1">
        <v>608.621106065763</v>
      </c>
      <c r="D86" s="1">
        <v>85.147893581579396</v>
      </c>
      <c r="E86" s="1">
        <v>624.86627494838604</v>
      </c>
      <c r="F86" s="1">
        <v>2643264.3898665099</v>
      </c>
      <c r="G86" s="1">
        <v>1562686.9740257801</v>
      </c>
      <c r="H86" s="1">
        <v>2.2019594042733499E-5</v>
      </c>
      <c r="I86" s="1">
        <v>7.2223252690249804E-5</v>
      </c>
      <c r="J86" s="1">
        <v>0.49112124879375701</v>
      </c>
      <c r="K86" s="1">
        <v>7679.7516396704104</v>
      </c>
      <c r="L86" s="1">
        <v>6.5036382888884496E-3</v>
      </c>
      <c r="M86" s="1">
        <v>85</v>
      </c>
      <c r="N86" s="1">
        <v>3051</v>
      </c>
      <c r="O86" s="3">
        <v>4.7446061512773302E-5</v>
      </c>
      <c r="P86" s="3">
        <v>2.44177147407613E-2</v>
      </c>
      <c r="Q86" s="3">
        <v>7.7723999999999996E-3</v>
      </c>
      <c r="R86" s="1">
        <v>0.59055000000000002</v>
      </c>
      <c r="S86" s="4">
        <v>1447764.24228125</v>
      </c>
      <c r="T86" s="1">
        <v>573.09232433052603</v>
      </c>
      <c r="U86" s="5">
        <v>591.87121722994596</v>
      </c>
      <c r="V86" s="1">
        <v>0.03</v>
      </c>
      <c r="W86" s="3">
        <v>328337.36389168899</v>
      </c>
      <c r="X86" s="1">
        <v>2.3180308583188799E-2</v>
      </c>
      <c r="Y86" s="1">
        <v>6.56810963522911</v>
      </c>
      <c r="Z86" s="1">
        <v>6.5681096469750804</v>
      </c>
      <c r="AA86" s="1">
        <v>-1.17459659776387E-8</v>
      </c>
      <c r="AB86" s="1">
        <v>1.80805263628992E-5</v>
      </c>
      <c r="AC86" s="1">
        <v>633.03739973695997</v>
      </c>
      <c r="AD86" s="1">
        <v>8837.0014135973706</v>
      </c>
      <c r="AE86" s="1">
        <v>591.87121722994596</v>
      </c>
      <c r="AF86" s="6">
        <v>0</v>
      </c>
      <c r="AG86" s="1">
        <v>1.8109203067865998E-5</v>
      </c>
      <c r="AH86" s="1">
        <v>43.164484208161802</v>
      </c>
      <c r="AI86" s="1">
        <v>0.26282685300011099</v>
      </c>
      <c r="AJ86" s="1">
        <v>41.179314783040901</v>
      </c>
      <c r="AK86" s="1">
        <v>1.53470914107833</v>
      </c>
      <c r="AL86" s="1">
        <v>1.1293680422758501</v>
      </c>
      <c r="AM86" s="1">
        <v>608.62110604730594</v>
      </c>
      <c r="AN86" s="1">
        <v>1.8457058104104399E-8</v>
      </c>
      <c r="AO86" s="1">
        <v>2.86767049667954E-8</v>
      </c>
      <c r="AP86" s="1">
        <v>3.4430890015921798</v>
      </c>
      <c r="AQ86" s="1">
        <v>4.5998722486401498E-5</v>
      </c>
      <c r="AR86" s="1">
        <v>9.0689398864163901E-6</v>
      </c>
      <c r="AS86" s="1">
        <v>20.622262003008402</v>
      </c>
      <c r="AT86" s="1">
        <v>12.0818558601961</v>
      </c>
      <c r="AU86" s="1">
        <v>3.1754361541362801</v>
      </c>
      <c r="AV86" s="1">
        <v>0.26765284745590001</v>
      </c>
      <c r="AW86" s="1">
        <v>1.0870218237829901E-2</v>
      </c>
      <c r="AX86" s="1">
        <v>0.26765283688726799</v>
      </c>
      <c r="AY86" s="1">
        <v>1.0568632080598701E-8</v>
      </c>
      <c r="AZ86" s="1">
        <v>1080577.4158407301</v>
      </c>
      <c r="BA86" s="1">
        <v>1.3359725079755499E-5</v>
      </c>
      <c r="BB86" s="4">
        <v>1449354.7535731001</v>
      </c>
      <c r="BC86" s="4">
        <v>1590.5112918545501</v>
      </c>
      <c r="BD86" s="7">
        <v>0.109859826994233</v>
      </c>
      <c r="BE86" s="4">
        <v>2602875</v>
      </c>
      <c r="BF86" s="1">
        <v>0.55682841226455504</v>
      </c>
      <c r="BG86" s="1">
        <v>1</v>
      </c>
      <c r="BH86" s="1">
        <v>3.4000000000000002E-2</v>
      </c>
      <c r="BI86" s="1">
        <v>4.5999999999999999E-2</v>
      </c>
      <c r="BJ86" s="1">
        <v>5625</v>
      </c>
      <c r="BK86" s="1">
        <v>1</v>
      </c>
      <c r="BL86" s="1">
        <v>35.528781735236997</v>
      </c>
      <c r="BM86" s="1">
        <v>1.4493547535731</v>
      </c>
      <c r="BN86" s="1">
        <v>35.528781735236997</v>
      </c>
      <c r="BO86" s="1">
        <v>1</v>
      </c>
      <c r="BP86" s="1">
        <v>19.9917927711505</v>
      </c>
      <c r="BQ86" s="1">
        <v>1</v>
      </c>
      <c r="BR86" s="1">
        <v>0.59055000000000002</v>
      </c>
    </row>
    <row r="87" spans="1:70">
      <c r="A87" s="2" t="s">
        <v>155</v>
      </c>
      <c r="B87" s="1">
        <v>13789520</v>
      </c>
      <c r="C87" s="1">
        <v>608.621106065763</v>
      </c>
      <c r="D87" s="1">
        <v>85.147893581579396</v>
      </c>
      <c r="E87" s="1">
        <v>624.86627494838604</v>
      </c>
      <c r="F87" s="1">
        <v>2643264.3898665099</v>
      </c>
      <c r="G87" s="1">
        <v>1562686.9740257801</v>
      </c>
      <c r="H87" s="1">
        <v>2.2019594042733499E-5</v>
      </c>
      <c r="I87" s="1">
        <v>7.2223252690249804E-5</v>
      </c>
      <c r="J87" s="1">
        <v>0.49112124879375701</v>
      </c>
      <c r="K87" s="1">
        <v>7679.7516396704104</v>
      </c>
      <c r="L87" s="1">
        <v>6.5036382888884496E-3</v>
      </c>
      <c r="M87" s="1">
        <v>86</v>
      </c>
      <c r="N87" s="1">
        <v>3051</v>
      </c>
      <c r="O87" s="3">
        <v>4.7446061512773302E-5</v>
      </c>
      <c r="P87" s="3">
        <v>2.44177147407613E-2</v>
      </c>
      <c r="Q87" s="3">
        <v>7.7723999999999996E-3</v>
      </c>
      <c r="R87" s="1">
        <v>0.59055000000000002</v>
      </c>
      <c r="S87" s="4">
        <v>1468476.4337812499</v>
      </c>
      <c r="T87" s="1">
        <v>572.54322596837198</v>
      </c>
      <c r="U87" s="5">
        <v>591.59077588702996</v>
      </c>
      <c r="V87" s="1">
        <v>0.03</v>
      </c>
      <c r="W87" s="3">
        <v>328337.36389168899</v>
      </c>
      <c r="X87" s="1">
        <v>2.3180308583188799E-2</v>
      </c>
      <c r="Y87" s="1">
        <v>6.56810963522911</v>
      </c>
      <c r="Z87" s="1">
        <v>6.5681096469750804</v>
      </c>
      <c r="AA87" s="1">
        <v>-1.17459659776387E-8</v>
      </c>
      <c r="AB87" s="1">
        <v>1.80805263628992E-5</v>
      </c>
      <c r="AC87" s="1">
        <v>633.44645304266601</v>
      </c>
      <c r="AD87" s="1">
        <v>8837.0014135973706</v>
      </c>
      <c r="AE87" s="1">
        <v>591.59077622149402</v>
      </c>
      <c r="AF87" s="6">
        <v>3.3446451652707802E-7</v>
      </c>
      <c r="AG87" s="1">
        <v>1.81096842913626E-5</v>
      </c>
      <c r="AH87" s="1">
        <v>43.164484208161802</v>
      </c>
      <c r="AI87" s="1">
        <v>0.26282685300011099</v>
      </c>
      <c r="AJ87" s="1">
        <v>41.180409058353398</v>
      </c>
      <c r="AK87" s="1">
        <v>1.5604140561861899</v>
      </c>
      <c r="AL87" s="1">
        <v>1.1293680422758501</v>
      </c>
      <c r="AM87" s="1">
        <v>608.62110604676104</v>
      </c>
      <c r="AN87" s="1">
        <v>1.9001959117304101E-8</v>
      </c>
      <c r="AO87" s="1">
        <v>2.9157928463386701E-8</v>
      </c>
      <c r="AP87" s="1">
        <v>3.4431537019404002</v>
      </c>
      <c r="AQ87" s="1">
        <v>4.5996993777399298E-5</v>
      </c>
      <c r="AR87" s="1">
        <v>9.0694211099129797E-6</v>
      </c>
      <c r="AS87" s="1">
        <v>20.623356278320902</v>
      </c>
      <c r="AT87" s="1">
        <v>12.082121167241599</v>
      </c>
      <c r="AU87" s="1">
        <v>3.1755058839521402</v>
      </c>
      <c r="AV87" s="1">
        <v>0.26764781798825898</v>
      </c>
      <c r="AW87" s="1">
        <v>1.0870218237829901E-2</v>
      </c>
      <c r="AX87" s="1">
        <v>0.267647807419156</v>
      </c>
      <c r="AY87" s="1">
        <v>1.05691034812949E-8</v>
      </c>
      <c r="AZ87" s="1">
        <v>1080577.4158407301</v>
      </c>
      <c r="BA87" s="1">
        <v>1.3358971965578399E-5</v>
      </c>
      <c r="BB87" s="4">
        <v>1473759.4398034499</v>
      </c>
      <c r="BC87" s="4">
        <v>5283.0060221960302</v>
      </c>
      <c r="BD87" s="7">
        <v>0.35976103536047699</v>
      </c>
      <c r="BE87" s="4">
        <v>2618650</v>
      </c>
      <c r="BF87" s="1">
        <v>0.56279359204301704</v>
      </c>
      <c r="BG87" s="1">
        <v>1</v>
      </c>
      <c r="BH87" s="1">
        <v>3.3000000000000002E-2</v>
      </c>
      <c r="BI87" s="1">
        <v>4.5999999999999999E-2</v>
      </c>
      <c r="BJ87" s="1">
        <v>5625</v>
      </c>
      <c r="BK87" s="1">
        <v>1</v>
      </c>
      <c r="BL87" s="1">
        <v>36.077880097391002</v>
      </c>
      <c r="BM87" s="1">
        <v>1.4737594398034499</v>
      </c>
      <c r="BN87" s="1">
        <v>36.077880097391002</v>
      </c>
      <c r="BO87" s="1">
        <v>1</v>
      </c>
      <c r="BP87" s="1">
        <v>15.383024530441499</v>
      </c>
      <c r="BQ87" s="1">
        <v>1</v>
      </c>
      <c r="BR87" s="1">
        <v>0.59055000000000002</v>
      </c>
    </row>
    <row r="88" spans="1:70">
      <c r="A88" s="2" t="s">
        <v>156</v>
      </c>
      <c r="B88" s="1">
        <v>10962664.096137701</v>
      </c>
      <c r="C88" s="1">
        <v>590.91885773675403</v>
      </c>
      <c r="D88" s="1">
        <v>62.329534958311001</v>
      </c>
      <c r="E88" s="1">
        <v>672.42409881111701</v>
      </c>
      <c r="F88" s="1">
        <v>2706878.8036725</v>
      </c>
      <c r="G88" s="1">
        <v>1448743.0254953799</v>
      </c>
      <c r="H88" s="1">
        <v>2.0627960844486401E-5</v>
      </c>
      <c r="I88" s="1">
        <v>7.9154719957673402E-5</v>
      </c>
      <c r="J88" s="1">
        <v>0.52383293111878604</v>
      </c>
      <c r="K88" s="1">
        <v>6433.0576498432902</v>
      </c>
      <c r="L88" s="1">
        <v>1.0258316120707199E-2</v>
      </c>
      <c r="M88" s="1">
        <v>87</v>
      </c>
      <c r="N88" s="1">
        <v>1017.17242424647</v>
      </c>
      <c r="O88" s="3">
        <v>6.8620353649299505E-5</v>
      </c>
      <c r="P88" s="3">
        <v>2.93650948516345E-2</v>
      </c>
      <c r="Q88" s="3">
        <v>9.3472E-3</v>
      </c>
      <c r="R88" s="1">
        <v>1.524</v>
      </c>
      <c r="S88" s="4">
        <v>725513.61298125004</v>
      </c>
      <c r="T88" s="1">
        <v>506.55651294115302</v>
      </c>
      <c r="U88" s="5">
        <v>578.86628082813002</v>
      </c>
      <c r="V88" s="1">
        <v>0.03</v>
      </c>
      <c r="W88" s="3">
        <v>120115.567195496</v>
      </c>
      <c r="X88" s="1">
        <v>4.1253861327832902E-2</v>
      </c>
      <c r="Y88" s="1">
        <v>4.9234292085143698</v>
      </c>
      <c r="Z88" s="1">
        <v>4.9234292704113702</v>
      </c>
      <c r="AA88" s="1">
        <v>-6.18969977494999E-8</v>
      </c>
      <c r="AB88" s="1">
        <v>1.5514465597390599E-4</v>
      </c>
      <c r="AC88" s="1">
        <v>626.31003637928802</v>
      </c>
      <c r="AD88" s="1">
        <v>4312.7730943669103</v>
      </c>
      <c r="AE88" s="1">
        <v>578.86628109123001</v>
      </c>
      <c r="AF88" s="6">
        <v>2.63100218944601E-7</v>
      </c>
      <c r="AG88" s="1">
        <v>1.5526360365178599E-4</v>
      </c>
      <c r="AH88" s="1">
        <v>7.9345171559883498</v>
      </c>
      <c r="AI88" s="1">
        <v>0.10862720794115199</v>
      </c>
      <c r="AJ88" s="1">
        <v>143.27642339178999</v>
      </c>
      <c r="AK88" s="1">
        <v>2.0096721484842002</v>
      </c>
      <c r="AL88" s="1">
        <v>0.972078780265621</v>
      </c>
      <c r="AM88" s="1">
        <v>590.91885767358303</v>
      </c>
      <c r="AN88" s="1">
        <v>6.3171455622068606E-8</v>
      </c>
      <c r="AO88" s="1">
        <v>1.1894767788049301E-7</v>
      </c>
      <c r="AP88" s="1">
        <v>2.0088175811370999</v>
      </c>
      <c r="AQ88" s="1">
        <v>2.8001386205052099E-4</v>
      </c>
      <c r="AR88" s="1">
        <v>7.7691275664833203E-5</v>
      </c>
      <c r="AS88" s="1">
        <v>71.693093836514805</v>
      </c>
      <c r="AT88" s="1">
        <v>16.180986056736799</v>
      </c>
      <c r="AU88" s="1">
        <v>1.7576953370780299</v>
      </c>
      <c r="AV88" s="1">
        <v>0.25112224405907702</v>
      </c>
      <c r="AW88" s="1">
        <v>7.8962181485626004E-2</v>
      </c>
      <c r="AX88" s="1">
        <v>0.25112223923710703</v>
      </c>
      <c r="AY88" s="1">
        <v>4.82196960138737E-9</v>
      </c>
      <c r="AZ88" s="1">
        <v>1258135.77817712</v>
      </c>
      <c r="BA88" s="1">
        <v>1.3939237921843401E-4</v>
      </c>
      <c r="BB88" s="4">
        <v>721917.749092852</v>
      </c>
      <c r="BC88" s="4">
        <v>-3595.8638883983899</v>
      </c>
      <c r="BD88" s="7">
        <v>-0.49563010590834</v>
      </c>
      <c r="BE88" s="4">
        <v>1462152.81033672</v>
      </c>
      <c r="BF88" s="1">
        <v>0.49373618406314201</v>
      </c>
      <c r="BG88" s="1">
        <v>1</v>
      </c>
      <c r="BH88" s="1">
        <v>0.39500000000000002</v>
      </c>
      <c r="BI88" s="1">
        <v>4.5999999999999999E-2</v>
      </c>
      <c r="BJ88" s="1">
        <v>5625</v>
      </c>
      <c r="BK88" s="1">
        <v>1</v>
      </c>
      <c r="BL88" s="1">
        <v>84.362344795601103</v>
      </c>
      <c r="BM88" s="1">
        <v>0.721917749092852</v>
      </c>
      <c r="BN88" s="1">
        <v>84.362344795601103</v>
      </c>
      <c r="BO88" s="1">
        <v>1</v>
      </c>
      <c r="BP88" s="1">
        <v>1968.0176357637999</v>
      </c>
      <c r="BQ88" s="1">
        <v>1</v>
      </c>
      <c r="BR88" s="1">
        <v>1.524</v>
      </c>
    </row>
    <row r="89" spans="1:70">
      <c r="A89" s="2" t="s">
        <v>157</v>
      </c>
      <c r="B89" s="1">
        <v>10997137.8826035</v>
      </c>
      <c r="C89" s="1">
        <v>591.14538588286302</v>
      </c>
      <c r="D89" s="1">
        <v>62.591709712512603</v>
      </c>
      <c r="E89" s="1">
        <v>671.85012637514706</v>
      </c>
      <c r="F89" s="1">
        <v>2706154.0000695102</v>
      </c>
      <c r="G89" s="1">
        <v>1450155.2183028101</v>
      </c>
      <c r="H89" s="1">
        <v>2.0644130954317801E-5</v>
      </c>
      <c r="I89" s="1">
        <v>7.9067733661598901E-5</v>
      </c>
      <c r="J89" s="1">
        <v>0.52342986170916905</v>
      </c>
      <c r="K89" s="1">
        <v>6446.0268474749801</v>
      </c>
      <c r="L89" s="1">
        <v>1.0209472461236E-2</v>
      </c>
      <c r="M89" s="1">
        <v>88</v>
      </c>
      <c r="N89" s="1">
        <v>1017.17242424647</v>
      </c>
      <c r="O89" s="3">
        <v>6.8620353649299505E-5</v>
      </c>
      <c r="P89" s="3">
        <v>2.93650948516345E-2</v>
      </c>
      <c r="Q89" s="3">
        <v>9.3472E-3</v>
      </c>
      <c r="R89" s="1">
        <v>1.524</v>
      </c>
      <c r="S89" s="4">
        <v>1188180.2075597499</v>
      </c>
      <c r="T89" s="1">
        <v>451.88649460669899</v>
      </c>
      <c r="U89" s="5">
        <v>570.07059368549994</v>
      </c>
      <c r="V89" s="1">
        <v>0.03</v>
      </c>
      <c r="W89" s="3">
        <v>120247.712228715</v>
      </c>
      <c r="X89" s="1">
        <v>4.1194604914599801E-2</v>
      </c>
      <c r="Y89" s="1">
        <v>4.9269689914128501</v>
      </c>
      <c r="Z89" s="1">
        <v>4.9269690481970603</v>
      </c>
      <c r="AA89" s="1">
        <v>-5.6784205781923401E-8</v>
      </c>
      <c r="AB89" s="1">
        <v>1.5449607142591001E-4</v>
      </c>
      <c r="AC89" s="1">
        <v>652.95846178296495</v>
      </c>
      <c r="AD89" s="1">
        <v>4314.4158653772101</v>
      </c>
      <c r="AE89" s="1">
        <v>570.07059368549994</v>
      </c>
      <c r="AF89" s="6">
        <v>0</v>
      </c>
      <c r="AG89" s="1">
        <v>1.5469044254814101E-4</v>
      </c>
      <c r="AH89" s="1">
        <v>7.9298889870856897</v>
      </c>
      <c r="AI89" s="1">
        <v>0.108641899987035</v>
      </c>
      <c r="AJ89" s="1">
        <v>142.801887100291</v>
      </c>
      <c r="AK89" s="1">
        <v>3.50865612123788</v>
      </c>
      <c r="AL89" s="1">
        <v>0.97371734254408104</v>
      </c>
      <c r="AM89" s="1">
        <v>591.14538579878604</v>
      </c>
      <c r="AN89" s="1">
        <v>8.40765324028325E-8</v>
      </c>
      <c r="AO89" s="1">
        <v>1.94371122231218E-7</v>
      </c>
      <c r="AP89" s="1">
        <v>2.0076138653053799</v>
      </c>
      <c r="AQ89" s="1">
        <v>2.77965558303188E-4</v>
      </c>
      <c r="AR89" s="1">
        <v>7.7442406835186004E-5</v>
      </c>
      <c r="AS89" s="1">
        <v>71.4906600271147</v>
      </c>
      <c r="AT89" s="1">
        <v>16.1739170304396</v>
      </c>
      <c r="AU89" s="1">
        <v>1.75716507641963</v>
      </c>
      <c r="AV89" s="1">
        <v>0.250448788885753</v>
      </c>
      <c r="AW89" s="1">
        <v>7.8765917651280604E-2</v>
      </c>
      <c r="AX89" s="1">
        <v>0.25044878434705098</v>
      </c>
      <c r="AY89" s="1">
        <v>4.5387023583920397E-9</v>
      </c>
      <c r="AZ89" s="1">
        <v>1255998.7817667101</v>
      </c>
      <c r="BA89" s="1">
        <v>1.3845568767324E-4</v>
      </c>
      <c r="BB89" s="4">
        <v>1184629.55217652</v>
      </c>
      <c r="BC89" s="4">
        <v>-3550.6553832301902</v>
      </c>
      <c r="BD89" s="7">
        <v>-0.298831386067474</v>
      </c>
      <c r="BE89" s="4">
        <v>1810104.16951718</v>
      </c>
      <c r="BF89" s="1">
        <v>0.65445380002218501</v>
      </c>
      <c r="BG89" s="1">
        <v>1</v>
      </c>
      <c r="BH89" s="1">
        <v>0.378</v>
      </c>
      <c r="BI89" s="1">
        <v>4.5999999999999999E-2</v>
      </c>
      <c r="BJ89" s="1">
        <v>5625</v>
      </c>
      <c r="BK89" s="1">
        <v>1</v>
      </c>
      <c r="BL89" s="1">
        <v>139.25889127616401</v>
      </c>
      <c r="BM89" s="1">
        <v>1.18462955217652</v>
      </c>
      <c r="BN89" s="1">
        <v>139.25889127616401</v>
      </c>
      <c r="BO89" s="1">
        <v>1</v>
      </c>
      <c r="BP89" s="1">
        <v>9852.3274973732605</v>
      </c>
      <c r="BQ89" s="1">
        <v>1</v>
      </c>
      <c r="BR89" s="1">
        <v>1.524</v>
      </c>
    </row>
    <row r="90" spans="1:70">
      <c r="A90" s="2" t="s">
        <v>158</v>
      </c>
      <c r="B90" s="1">
        <v>10997137.8826035</v>
      </c>
      <c r="C90" s="1">
        <v>591.14538588286302</v>
      </c>
      <c r="D90" s="1">
        <v>62.591709712512603</v>
      </c>
      <c r="E90" s="1">
        <v>671.85012637514706</v>
      </c>
      <c r="F90" s="1">
        <v>2706154.0000695102</v>
      </c>
      <c r="G90" s="1">
        <v>1450155.2183028101</v>
      </c>
      <c r="H90" s="1">
        <v>2.0644130954317801E-5</v>
      </c>
      <c r="I90" s="1">
        <v>7.9067733661598901E-5</v>
      </c>
      <c r="J90" s="1">
        <v>0.52342986170916905</v>
      </c>
      <c r="K90" s="1">
        <v>6446.0268474749801</v>
      </c>
      <c r="L90" s="1">
        <v>1.0209472461236E-2</v>
      </c>
      <c r="M90" s="1">
        <v>89</v>
      </c>
      <c r="N90" s="1">
        <v>1017.17242424647</v>
      </c>
      <c r="O90" s="3">
        <v>6.8620353649299505E-5</v>
      </c>
      <c r="P90" s="3">
        <v>2.93650948516345E-2</v>
      </c>
      <c r="Q90" s="3">
        <v>9.3472E-3</v>
      </c>
      <c r="R90" s="1">
        <v>1.524</v>
      </c>
      <c r="S90" s="4">
        <v>1188180.2075597499</v>
      </c>
      <c r="T90" s="1">
        <v>451.88649460669899</v>
      </c>
      <c r="U90" s="5">
        <v>570.07059368549994</v>
      </c>
      <c r="V90" s="1">
        <v>0.03</v>
      </c>
      <c r="W90" s="3">
        <v>120247.712228715</v>
      </c>
      <c r="X90" s="1">
        <v>4.1194604914599801E-2</v>
      </c>
      <c r="Y90" s="1">
        <v>4.9269689914128501</v>
      </c>
      <c r="Z90" s="1">
        <v>4.9269690481970603</v>
      </c>
      <c r="AA90" s="1">
        <v>-5.6784205781923401E-8</v>
      </c>
      <c r="AB90" s="1">
        <v>1.5449607142591001E-4</v>
      </c>
      <c r="AC90" s="1">
        <v>652.95846178296495</v>
      </c>
      <c r="AD90" s="1">
        <v>4314.4158653772101</v>
      </c>
      <c r="AE90" s="1">
        <v>570.07059368549994</v>
      </c>
      <c r="AF90" s="6">
        <v>0</v>
      </c>
      <c r="AG90" s="1">
        <v>1.5469044254814101E-4</v>
      </c>
      <c r="AH90" s="1">
        <v>7.9298889870856897</v>
      </c>
      <c r="AI90" s="1">
        <v>0.108641899987035</v>
      </c>
      <c r="AJ90" s="1">
        <v>142.801887100291</v>
      </c>
      <c r="AK90" s="1">
        <v>3.50865612123788</v>
      </c>
      <c r="AL90" s="1">
        <v>0.97371734254408104</v>
      </c>
      <c r="AM90" s="1">
        <v>591.14538579878604</v>
      </c>
      <c r="AN90" s="1">
        <v>8.40765324028325E-8</v>
      </c>
      <c r="AO90" s="1">
        <v>1.94371122231218E-7</v>
      </c>
      <c r="AP90" s="1">
        <v>2.0076138653053799</v>
      </c>
      <c r="AQ90" s="1">
        <v>2.77965558303188E-4</v>
      </c>
      <c r="AR90" s="1">
        <v>7.7442406835186004E-5</v>
      </c>
      <c r="AS90" s="1">
        <v>71.4906600271147</v>
      </c>
      <c r="AT90" s="1">
        <v>16.1739170304396</v>
      </c>
      <c r="AU90" s="1">
        <v>1.75716507641963</v>
      </c>
      <c r="AV90" s="1">
        <v>0.250448788885753</v>
      </c>
      <c r="AW90" s="1">
        <v>7.8765917651280604E-2</v>
      </c>
      <c r="AX90" s="1">
        <v>0.25044878434705098</v>
      </c>
      <c r="AY90" s="1">
        <v>4.5387023583920397E-9</v>
      </c>
      <c r="AZ90" s="1">
        <v>1255998.7817667101</v>
      </c>
      <c r="BA90" s="1">
        <v>1.3845568767324E-4</v>
      </c>
      <c r="BB90" s="4">
        <v>1184629.55217652</v>
      </c>
      <c r="BC90" s="4">
        <v>-3550.6553832301902</v>
      </c>
      <c r="BD90" s="7">
        <v>-0.298831386067474</v>
      </c>
      <c r="BE90" s="4">
        <v>1810104.16951718</v>
      </c>
      <c r="BF90" s="1">
        <v>0.65445380002218501</v>
      </c>
      <c r="BG90" s="1">
        <v>1</v>
      </c>
      <c r="BH90" s="1">
        <v>0.378</v>
      </c>
      <c r="BI90" s="1">
        <v>4.5999999999999999E-2</v>
      </c>
      <c r="BJ90" s="1">
        <v>5625</v>
      </c>
      <c r="BK90" s="1">
        <v>1</v>
      </c>
      <c r="BL90" s="1">
        <v>139.25889127616401</v>
      </c>
      <c r="BM90" s="1">
        <v>1.18462955217652</v>
      </c>
      <c r="BN90" s="1">
        <v>139.25889127616401</v>
      </c>
      <c r="BO90" s="1">
        <v>1</v>
      </c>
      <c r="BP90" s="1">
        <v>9852.3274973732605</v>
      </c>
      <c r="BQ90" s="1">
        <v>1</v>
      </c>
      <c r="BR90" s="1">
        <v>1.524</v>
      </c>
    </row>
    <row r="91" spans="1:70">
      <c r="A91" s="2" t="s">
        <v>159</v>
      </c>
      <c r="B91" s="1">
        <v>11066085.455535199</v>
      </c>
      <c r="C91" s="1">
        <v>591.59844217507998</v>
      </c>
      <c r="D91" s="1">
        <v>63.116059220916597</v>
      </c>
      <c r="E91" s="1">
        <v>670.70218150320602</v>
      </c>
      <c r="F91" s="1">
        <v>2704704.39286354</v>
      </c>
      <c r="G91" s="1">
        <v>1452979.60391767</v>
      </c>
      <c r="H91" s="1">
        <v>2.06764711739806E-5</v>
      </c>
      <c r="I91" s="1">
        <v>7.8893761069449804E-5</v>
      </c>
      <c r="J91" s="1">
        <v>0.52262372288993397</v>
      </c>
      <c r="K91" s="1">
        <v>6471.9652427383999</v>
      </c>
      <c r="L91" s="1">
        <v>1.01117851422936E-2</v>
      </c>
      <c r="M91" s="1">
        <v>90</v>
      </c>
      <c r="N91" s="1">
        <v>1017.17242424647</v>
      </c>
      <c r="O91" s="3">
        <v>6.8620353649299505E-5</v>
      </c>
      <c r="P91" s="3">
        <v>2.93650948516345E-2</v>
      </c>
      <c r="Q91" s="3">
        <v>9.3472E-3</v>
      </c>
      <c r="R91" s="1">
        <v>1.524</v>
      </c>
      <c r="S91" s="4">
        <v>726588.21618125006</v>
      </c>
      <c r="T91" s="1">
        <v>507.48014958658098</v>
      </c>
      <c r="U91" s="5">
        <v>579.46167056604497</v>
      </c>
      <c r="V91" s="1">
        <v>0.03</v>
      </c>
      <c r="W91" s="3">
        <v>120512.876494087</v>
      </c>
      <c r="X91" s="1">
        <v>4.1075713965040901E-2</v>
      </c>
      <c r="Y91" s="1">
        <v>4.9340942329244299</v>
      </c>
      <c r="Z91" s="1">
        <v>4.9340942800857697</v>
      </c>
      <c r="AA91" s="1">
        <v>-4.7161330840594902E-8</v>
      </c>
      <c r="AB91" s="1">
        <v>1.5319849834416501E-4</v>
      </c>
      <c r="AC91" s="1">
        <v>627.08447248755294</v>
      </c>
      <c r="AD91" s="1">
        <v>4317.6856869005596</v>
      </c>
      <c r="AE91" s="1">
        <v>579.46167083688999</v>
      </c>
      <c r="AF91" s="6">
        <v>2.7084468001703499E-7</v>
      </c>
      <c r="AG91" s="1">
        <v>1.53317308433426E-4</v>
      </c>
      <c r="AH91" s="1">
        <v>7.9205359725475999</v>
      </c>
      <c r="AI91" s="1">
        <v>0.108670690327047</v>
      </c>
      <c r="AJ91" s="1">
        <v>141.64155002078101</v>
      </c>
      <c r="AK91" s="1">
        <v>2.0131418366618798</v>
      </c>
      <c r="AL91" s="1">
        <v>0.976989097790955</v>
      </c>
      <c r="AM91" s="1">
        <v>591.59844215540397</v>
      </c>
      <c r="AN91" s="1">
        <v>1.96760083781555E-8</v>
      </c>
      <c r="AO91" s="1">
        <v>1.1881008926123E-7</v>
      </c>
      <c r="AP91" s="1">
        <v>2.0044818350882498</v>
      </c>
      <c r="AQ91" s="1">
        <v>2.7410841002442198E-4</v>
      </c>
      <c r="AR91" s="1">
        <v>7.6718059261343696E-5</v>
      </c>
      <c r="AS91" s="1">
        <v>70.8756561108124</v>
      </c>
      <c r="AT91" s="1">
        <v>16.152317548251201</v>
      </c>
      <c r="AU91" s="1">
        <v>1.75528349835014</v>
      </c>
      <c r="AV91" s="1">
        <v>0.24919833673811301</v>
      </c>
      <c r="AW91" s="1">
        <v>7.8372967922635497E-2</v>
      </c>
      <c r="AX91" s="1">
        <v>0.249198332872582</v>
      </c>
      <c r="AY91" s="1">
        <v>3.8655313117086398E-9</v>
      </c>
      <c r="AZ91" s="1">
        <v>1251724.78894587</v>
      </c>
      <c r="BA91" s="1">
        <v>1.3674776454751601E-4</v>
      </c>
      <c r="BB91" s="4">
        <v>729409.90843988897</v>
      </c>
      <c r="BC91" s="4">
        <v>2821.6922586390301</v>
      </c>
      <c r="BD91" s="7">
        <v>0.38834819995692699</v>
      </c>
      <c r="BE91" s="4">
        <v>1463730.1057092501</v>
      </c>
      <c r="BF91" s="1">
        <v>0.49832267956697801</v>
      </c>
      <c r="BG91" s="1">
        <v>1</v>
      </c>
      <c r="BH91" s="1">
        <v>0.39800000000000002</v>
      </c>
      <c r="BI91" s="1">
        <v>4.5999999999999999E-2</v>
      </c>
      <c r="BJ91" s="1">
        <v>5625</v>
      </c>
      <c r="BK91" s="1">
        <v>1</v>
      </c>
      <c r="BL91" s="1">
        <v>84.118292588498903</v>
      </c>
      <c r="BM91" s="1">
        <v>0.72940990843988895</v>
      </c>
      <c r="BN91" s="1">
        <v>84.118292588498903</v>
      </c>
      <c r="BO91" s="1">
        <v>1</v>
      </c>
      <c r="BP91" s="1">
        <v>1946.4237409243999</v>
      </c>
      <c r="BQ91" s="1">
        <v>1</v>
      </c>
      <c r="BR91" s="1">
        <v>1.524</v>
      </c>
    </row>
    <row r="92" spans="1:70">
      <c r="A92" s="2" t="s">
        <v>160</v>
      </c>
      <c r="B92" s="1">
        <v>11100559.2420011</v>
      </c>
      <c r="C92" s="1">
        <v>591.82497032118897</v>
      </c>
      <c r="D92" s="1">
        <v>63.378233975119002</v>
      </c>
      <c r="E92" s="1">
        <v>670.12820906723402</v>
      </c>
      <c r="F92" s="1">
        <v>2703979.5892605502</v>
      </c>
      <c r="G92" s="1">
        <v>1454391.7967250999</v>
      </c>
      <c r="H92" s="1">
        <v>2.0692641283812099E-5</v>
      </c>
      <c r="I92" s="1">
        <v>7.8806774773375099E-5</v>
      </c>
      <c r="J92" s="1">
        <v>0.52222065348031699</v>
      </c>
      <c r="K92" s="1">
        <v>6484.9344403701298</v>
      </c>
      <c r="L92" s="1">
        <v>1.00629414828223E-2</v>
      </c>
      <c r="M92" s="1">
        <v>91</v>
      </c>
      <c r="N92" s="1">
        <v>1017.17242424647</v>
      </c>
      <c r="O92" s="3">
        <v>6.8620353649299505E-5</v>
      </c>
      <c r="P92" s="3">
        <v>2.93650948516345E-2</v>
      </c>
      <c r="Q92" s="3">
        <v>9.3472E-3</v>
      </c>
      <c r="R92" s="1">
        <v>1.524</v>
      </c>
      <c r="S92" s="4">
        <v>251440.26521874999</v>
      </c>
      <c r="T92" s="1">
        <v>563.20065007780795</v>
      </c>
      <c r="U92" s="5">
        <v>588.06047589334605</v>
      </c>
      <c r="V92" s="1">
        <v>0.03</v>
      </c>
      <c r="W92" s="3">
        <v>120645.89765610899</v>
      </c>
      <c r="X92" s="1">
        <v>4.1016077268350097E-2</v>
      </c>
      <c r="Y92" s="1">
        <v>4.9376799756223502</v>
      </c>
      <c r="Z92" s="1">
        <v>4.9376800182882796</v>
      </c>
      <c r="AA92" s="1">
        <v>-4.2665931232477299E-8</v>
      </c>
      <c r="AB92" s="1">
        <v>1.5254950471217199E-4</v>
      </c>
      <c r="AC92" s="1">
        <v>602.81274499643905</v>
      </c>
      <c r="AD92" s="1">
        <v>4319.3125504361997</v>
      </c>
      <c r="AE92" s="1">
        <v>588.06047589334605</v>
      </c>
      <c r="AF92" s="6">
        <v>0</v>
      </c>
      <c r="AG92" s="1">
        <v>1.52590530515719E-4</v>
      </c>
      <c r="AH92" s="1">
        <v>7.91581054436769</v>
      </c>
      <c r="AI92" s="1">
        <v>0.10868478377249099</v>
      </c>
      <c r="AJ92" s="1">
        <v>141.02323552171001</v>
      </c>
      <c r="AK92" s="1">
        <v>0.62319530768709197</v>
      </c>
      <c r="AL92" s="1">
        <v>0.9786222824709</v>
      </c>
      <c r="AM92" s="1">
        <v>591.82497029275601</v>
      </c>
      <c r="AN92" s="1">
        <v>2.8433078114176199E-8</v>
      </c>
      <c r="AO92" s="1">
        <v>4.1025803547065301E-8</v>
      </c>
      <c r="AP92" s="1">
        <v>2.0027780608325001</v>
      </c>
      <c r="AQ92" s="1">
        <v>2.7223569252637502E-4</v>
      </c>
      <c r="AR92" s="1">
        <v>7.6315778159632993E-5</v>
      </c>
      <c r="AS92" s="1">
        <v>70.530575659279194</v>
      </c>
      <c r="AT92" s="1">
        <v>16.140115782733702</v>
      </c>
      <c r="AU92" s="1">
        <v>1.7541849939093801</v>
      </c>
      <c r="AV92" s="1">
        <v>0.248593066923116</v>
      </c>
      <c r="AW92" s="1">
        <v>7.8176278185764697E-2</v>
      </c>
      <c r="AX92" s="1">
        <v>0.24859306340225401</v>
      </c>
      <c r="AY92" s="1">
        <v>3.5208623794247298E-9</v>
      </c>
      <c r="AZ92" s="1">
        <v>1249587.7925354501</v>
      </c>
      <c r="BA92" s="1">
        <v>1.35929036696764E-4</v>
      </c>
      <c r="BB92" s="4">
        <v>252737.410062738</v>
      </c>
      <c r="BC92" s="4">
        <v>1297.1448439883</v>
      </c>
      <c r="BD92" s="7">
        <v>0.51588588759234499</v>
      </c>
      <c r="BE92" s="4">
        <v>1117356.04190133</v>
      </c>
      <c r="BF92" s="1">
        <v>0.226192368936111</v>
      </c>
      <c r="BG92" s="1">
        <v>1</v>
      </c>
      <c r="BH92" s="1">
        <v>0.44</v>
      </c>
      <c r="BI92" s="1">
        <v>4.5999999999999999E-2</v>
      </c>
      <c r="BJ92" s="1">
        <v>5625</v>
      </c>
      <c r="BK92" s="1">
        <v>1</v>
      </c>
      <c r="BL92" s="1">
        <v>28.6243202433809</v>
      </c>
      <c r="BM92" s="1">
        <v>0.25273741006273798</v>
      </c>
      <c r="BN92" s="1">
        <v>28.6243202433809</v>
      </c>
      <c r="BO92" s="1">
        <v>1</v>
      </c>
      <c r="BP92" s="1">
        <v>129.406089925153</v>
      </c>
      <c r="BQ92" s="1">
        <v>1</v>
      </c>
      <c r="BR92" s="1">
        <v>1.524</v>
      </c>
    </row>
    <row r="93" spans="1:70">
      <c r="A93" s="2" t="s">
        <v>161</v>
      </c>
      <c r="B93" s="1">
        <v>11100559.2420011</v>
      </c>
      <c r="C93" s="1">
        <v>591.82497032118897</v>
      </c>
      <c r="D93" s="1">
        <v>63.378233975119002</v>
      </c>
      <c r="E93" s="1">
        <v>670.12820906723402</v>
      </c>
      <c r="F93" s="1">
        <v>2703979.5892605502</v>
      </c>
      <c r="G93" s="1">
        <v>1454391.7967250999</v>
      </c>
      <c r="H93" s="1">
        <v>2.0692641283812099E-5</v>
      </c>
      <c r="I93" s="1">
        <v>7.8806774773375099E-5</v>
      </c>
      <c r="J93" s="1">
        <v>0.52222065348031699</v>
      </c>
      <c r="K93" s="1">
        <v>6484.9344403701298</v>
      </c>
      <c r="L93" s="1">
        <v>1.00629414828223E-2</v>
      </c>
      <c r="M93" s="1">
        <v>92</v>
      </c>
      <c r="N93" s="1">
        <v>1017.17242424647</v>
      </c>
      <c r="O93" s="3">
        <v>6.8620353649299505E-5</v>
      </c>
      <c r="P93" s="3">
        <v>2.93650948516345E-2</v>
      </c>
      <c r="Q93" s="3">
        <v>9.3472E-3</v>
      </c>
      <c r="R93" s="1">
        <v>1.524</v>
      </c>
      <c r="S93" s="4">
        <v>251440.26521874999</v>
      </c>
      <c r="T93" s="1">
        <v>563.20065007780795</v>
      </c>
      <c r="U93" s="5">
        <v>588.06047589334605</v>
      </c>
      <c r="V93" s="1">
        <v>0.03</v>
      </c>
      <c r="W93" s="3">
        <v>120645.89765610899</v>
      </c>
      <c r="X93" s="1">
        <v>4.1016077268350097E-2</v>
      </c>
      <c r="Y93" s="1">
        <v>4.9376799756223502</v>
      </c>
      <c r="Z93" s="1">
        <v>4.9376800182882796</v>
      </c>
      <c r="AA93" s="1">
        <v>-4.2665931232477299E-8</v>
      </c>
      <c r="AB93" s="1">
        <v>1.5254950471217199E-4</v>
      </c>
      <c r="AC93" s="1">
        <v>602.81274499643905</v>
      </c>
      <c r="AD93" s="1">
        <v>4319.3125504361997</v>
      </c>
      <c r="AE93" s="1">
        <v>588.06047589334605</v>
      </c>
      <c r="AF93" s="6">
        <v>0</v>
      </c>
      <c r="AG93" s="1">
        <v>1.52590530515719E-4</v>
      </c>
      <c r="AH93" s="1">
        <v>7.91581054436769</v>
      </c>
      <c r="AI93" s="1">
        <v>0.10868478377249099</v>
      </c>
      <c r="AJ93" s="1">
        <v>141.02323552171001</v>
      </c>
      <c r="AK93" s="1">
        <v>0.62319530768709197</v>
      </c>
      <c r="AL93" s="1">
        <v>0.9786222824709</v>
      </c>
      <c r="AM93" s="1">
        <v>591.82497029275601</v>
      </c>
      <c r="AN93" s="1">
        <v>2.8433078114176199E-8</v>
      </c>
      <c r="AO93" s="1">
        <v>4.1025803547065301E-8</v>
      </c>
      <c r="AP93" s="1">
        <v>2.0027780608325001</v>
      </c>
      <c r="AQ93" s="1">
        <v>2.7223569252637502E-4</v>
      </c>
      <c r="AR93" s="1">
        <v>7.6315778159632993E-5</v>
      </c>
      <c r="AS93" s="1">
        <v>70.530575659279194</v>
      </c>
      <c r="AT93" s="1">
        <v>16.140115782733702</v>
      </c>
      <c r="AU93" s="1">
        <v>1.7541849939093801</v>
      </c>
      <c r="AV93" s="1">
        <v>0.248593066923116</v>
      </c>
      <c r="AW93" s="1">
        <v>7.8176278185764697E-2</v>
      </c>
      <c r="AX93" s="1">
        <v>0.24859306340225401</v>
      </c>
      <c r="AY93" s="1">
        <v>3.5208623794247298E-9</v>
      </c>
      <c r="AZ93" s="1">
        <v>1249587.7925354501</v>
      </c>
      <c r="BA93" s="1">
        <v>1.35929036696764E-4</v>
      </c>
      <c r="BB93" s="4">
        <v>252737.410062738</v>
      </c>
      <c r="BC93" s="4">
        <v>1297.1448439883</v>
      </c>
      <c r="BD93" s="7">
        <v>0.51588588759234499</v>
      </c>
      <c r="BE93" s="4">
        <v>1123980.68246596</v>
      </c>
      <c r="BF93" s="1">
        <v>0.22485921155534799</v>
      </c>
      <c r="BG93" s="1">
        <v>1</v>
      </c>
      <c r="BH93" s="1">
        <v>0.44400000000000001</v>
      </c>
      <c r="BI93" s="1">
        <v>4.5999999999999999E-2</v>
      </c>
      <c r="BJ93" s="1">
        <v>5625</v>
      </c>
      <c r="BK93" s="1">
        <v>1</v>
      </c>
      <c r="BL93" s="1">
        <v>28.6243202433809</v>
      </c>
      <c r="BM93" s="1">
        <v>0.25273741006273798</v>
      </c>
      <c r="BN93" s="1">
        <v>28.6243202433809</v>
      </c>
      <c r="BO93" s="1">
        <v>1</v>
      </c>
      <c r="BP93" s="1">
        <v>129.406089925153</v>
      </c>
      <c r="BQ93" s="1">
        <v>1</v>
      </c>
      <c r="BR93" s="1">
        <v>1.524</v>
      </c>
    </row>
    <row r="94" spans="1:70">
      <c r="A94" s="2" t="s">
        <v>162</v>
      </c>
      <c r="B94" s="1">
        <v>10997137.8826035</v>
      </c>
      <c r="C94" s="1">
        <v>591.14538588286302</v>
      </c>
      <c r="D94" s="1">
        <v>62.591709712512603</v>
      </c>
      <c r="E94" s="1">
        <v>671.85012637514706</v>
      </c>
      <c r="F94" s="1">
        <v>2706154.0000695102</v>
      </c>
      <c r="G94" s="1">
        <v>1450155.2183028101</v>
      </c>
      <c r="H94" s="1">
        <v>2.0644130954317801E-5</v>
      </c>
      <c r="I94" s="1">
        <v>7.9067733661598901E-5</v>
      </c>
      <c r="J94" s="1">
        <v>0.52342986170916905</v>
      </c>
      <c r="K94" s="1">
        <v>6446.0268474749801</v>
      </c>
      <c r="L94" s="1">
        <v>1.0209472461236E-2</v>
      </c>
      <c r="M94" s="1">
        <v>93</v>
      </c>
      <c r="N94" s="1">
        <v>2034.3448484929399</v>
      </c>
      <c r="O94" s="3">
        <v>6.8620353649299505E-5</v>
      </c>
      <c r="P94" s="3">
        <v>2.93650948516345E-2</v>
      </c>
      <c r="Q94" s="3">
        <v>9.3472E-3</v>
      </c>
      <c r="R94" s="1">
        <v>1.524</v>
      </c>
      <c r="S94" s="4">
        <v>1299408.29296875</v>
      </c>
      <c r="T94" s="1">
        <v>508.01717724928898</v>
      </c>
      <c r="U94" s="5">
        <v>572.64095967848402</v>
      </c>
      <c r="V94" s="1">
        <v>0.03</v>
      </c>
      <c r="W94" s="3">
        <v>240495.42445742901</v>
      </c>
      <c r="X94" s="1">
        <v>2.9492300038704899E-2</v>
      </c>
      <c r="Y94" s="1">
        <v>5.8229850920735604</v>
      </c>
      <c r="Z94" s="1">
        <v>5.8229851049200798</v>
      </c>
      <c r="AA94" s="1">
        <v>-1.28465176274517E-8</v>
      </c>
      <c r="AB94" s="1">
        <v>5.3949714119411298E-5</v>
      </c>
      <c r="AC94" s="1">
        <v>626.04803472220203</v>
      </c>
      <c r="AD94" s="1">
        <v>7301.0639212210599</v>
      </c>
      <c r="AE94" s="1">
        <v>572.64095993896399</v>
      </c>
      <c r="AF94" s="6">
        <v>2.6048030576930598E-7</v>
      </c>
      <c r="AG94" s="1">
        <v>5.4012325329542003E-5</v>
      </c>
      <c r="AH94" s="1">
        <v>22.708863528667301</v>
      </c>
      <c r="AI94" s="1">
        <v>0.18384909593292001</v>
      </c>
      <c r="AJ94" s="1">
        <v>84.377661709340401</v>
      </c>
      <c r="AK94" s="1">
        <v>2.1410147180321699</v>
      </c>
      <c r="AL94" s="1">
        <v>0.97371734254408104</v>
      </c>
      <c r="AM94" s="1">
        <v>591.14538578752297</v>
      </c>
      <c r="AN94" s="1">
        <v>9.5339601102750695E-8</v>
      </c>
      <c r="AO94" s="1">
        <v>6.2611210130637704E-8</v>
      </c>
      <c r="AP94" s="1">
        <v>3.0139892426275501</v>
      </c>
      <c r="AQ94" s="1">
        <v>1.2332978216019201E-4</v>
      </c>
      <c r="AR94" s="1">
        <v>2.70374682698363E-5</v>
      </c>
      <c r="AS94" s="1">
        <v>42.237736243166097</v>
      </c>
      <c r="AT94" s="1">
        <v>14.8582851130845</v>
      </c>
      <c r="AU94" s="1">
        <v>2.7316822851541498</v>
      </c>
      <c r="AV94" s="1">
        <v>0.28230695747340201</v>
      </c>
      <c r="AW94" s="1">
        <v>2.7504898347383101E-2</v>
      </c>
      <c r="AX94" s="1">
        <v>0.28230694540041901</v>
      </c>
      <c r="AY94" s="1">
        <v>1.20729831132316E-8</v>
      </c>
      <c r="AZ94" s="1">
        <v>1255998.7817667101</v>
      </c>
      <c r="BA94" s="1">
        <v>4.0919118229059998E-5</v>
      </c>
      <c r="BB94" s="4">
        <v>1291181.9691208301</v>
      </c>
      <c r="BC94" s="4">
        <v>-8226.3238479215706</v>
      </c>
      <c r="BD94" s="7">
        <v>-0.63308229541362504</v>
      </c>
      <c r="BE94" s="4">
        <v>1988969.46476225</v>
      </c>
      <c r="BF94" s="1">
        <v>0.64917133822120698</v>
      </c>
      <c r="BG94" s="1">
        <v>1</v>
      </c>
      <c r="BH94" s="1">
        <v>0.151</v>
      </c>
      <c r="BI94" s="1">
        <v>4.5999999999999999E-2</v>
      </c>
      <c r="BJ94" s="1">
        <v>5625</v>
      </c>
      <c r="BK94" s="1">
        <v>1</v>
      </c>
      <c r="BL94" s="1">
        <v>83.128208633573607</v>
      </c>
      <c r="BM94" s="1">
        <v>1.2911819691208299</v>
      </c>
      <c r="BN94" s="1">
        <v>83.128208633573607</v>
      </c>
      <c r="BO94" s="1">
        <v>1</v>
      </c>
      <c r="BP94" s="1">
        <v>1860.0423799410501</v>
      </c>
      <c r="BQ94" s="1">
        <v>1</v>
      </c>
      <c r="BR94" s="1">
        <v>1.524</v>
      </c>
    </row>
    <row r="95" spans="1:70">
      <c r="A95" s="2" t="s">
        <v>163</v>
      </c>
      <c r="B95" s="1">
        <v>11031611.6690694</v>
      </c>
      <c r="C95" s="1">
        <v>591.37191402897201</v>
      </c>
      <c r="D95" s="1">
        <v>62.853884466715002</v>
      </c>
      <c r="E95" s="1">
        <v>671.27615393917495</v>
      </c>
      <c r="F95" s="1">
        <v>2705429.1964665302</v>
      </c>
      <c r="G95" s="1">
        <v>1451567.41111024</v>
      </c>
      <c r="H95" s="1">
        <v>2.0660301064149199E-5</v>
      </c>
      <c r="I95" s="1">
        <v>7.8980747365524196E-5</v>
      </c>
      <c r="J95" s="1">
        <v>0.52302679229955096</v>
      </c>
      <c r="K95" s="1">
        <v>6458.99604510671</v>
      </c>
      <c r="L95" s="1">
        <v>1.01606288017648E-2</v>
      </c>
      <c r="M95" s="1">
        <v>94</v>
      </c>
      <c r="N95" s="1">
        <v>2034.3448484929399</v>
      </c>
      <c r="O95" s="3">
        <v>6.8620353649299505E-5</v>
      </c>
      <c r="P95" s="3">
        <v>2.93650948516345E-2</v>
      </c>
      <c r="Q95" s="3">
        <v>9.3472E-3</v>
      </c>
      <c r="R95" s="1">
        <v>1.524</v>
      </c>
      <c r="S95" s="4">
        <v>451398.55546875001</v>
      </c>
      <c r="T95" s="1">
        <v>563.22085425488206</v>
      </c>
      <c r="U95" s="5">
        <v>585.625289234104</v>
      </c>
      <c r="V95" s="1">
        <v>0.03</v>
      </c>
      <c r="W95" s="3">
        <v>240760.29668128499</v>
      </c>
      <c r="X95" s="1">
        <v>2.9455365014964E-2</v>
      </c>
      <c r="Y95" s="1">
        <v>5.8266347618927004</v>
      </c>
      <c r="Z95" s="1">
        <v>5.8266347737278803</v>
      </c>
      <c r="AA95" s="1">
        <v>-1.18351852762544E-8</v>
      </c>
      <c r="AB95" s="1">
        <v>5.37130090298092E-5</v>
      </c>
      <c r="AC95" s="1">
        <v>602.19725747098698</v>
      </c>
      <c r="AD95" s="1">
        <v>7304.5267714927304</v>
      </c>
      <c r="AE95" s="1">
        <v>585.625289234104</v>
      </c>
      <c r="AF95" s="6">
        <v>0</v>
      </c>
      <c r="AG95" s="1">
        <v>5.3734838739493302E-5</v>
      </c>
      <c r="AH95" s="1">
        <v>22.699816640976199</v>
      </c>
      <c r="AI95" s="1">
        <v>0.18389103818348901</v>
      </c>
      <c r="AJ95" s="1">
        <v>83.983988388923706</v>
      </c>
      <c r="AK95" s="1">
        <v>0.66391238979575995</v>
      </c>
      <c r="AL95" s="1">
        <v>0.97535411643181102</v>
      </c>
      <c r="AM95" s="1">
        <v>591.371914003798</v>
      </c>
      <c r="AN95" s="1">
        <v>2.5174017537210599E-8</v>
      </c>
      <c r="AO95" s="1">
        <v>2.18297096841286E-8</v>
      </c>
      <c r="AP95" s="1">
        <v>3.0114546114637499</v>
      </c>
      <c r="AQ95" s="1">
        <v>1.2248628476811501E-4</v>
      </c>
      <c r="AR95" s="1">
        <v>2.6878334224588698E-5</v>
      </c>
      <c r="AS95" s="1">
        <v>42.009053388530802</v>
      </c>
      <c r="AT95" s="1">
        <v>14.844712879810301</v>
      </c>
      <c r="AU95" s="1">
        <v>2.7298096630041302</v>
      </c>
      <c r="AV95" s="1">
        <v>0.28164494845962601</v>
      </c>
      <c r="AW95" s="1">
        <v>2.7431118692853401E-2</v>
      </c>
      <c r="AX95" s="1">
        <v>0.28164493660667</v>
      </c>
      <c r="AY95" s="1">
        <v>1.18529564496761E-8</v>
      </c>
      <c r="AZ95" s="1">
        <v>1253861.7853562899</v>
      </c>
      <c r="BA95" s="1">
        <v>4.0673462021258601E-5</v>
      </c>
      <c r="BB95" s="4">
        <v>451739.12483486498</v>
      </c>
      <c r="BC95" s="4">
        <v>340.56936611537799</v>
      </c>
      <c r="BD95" s="7">
        <v>7.5447597691516197E-2</v>
      </c>
      <c r="BE95" s="4">
        <v>1385496.2552316899</v>
      </c>
      <c r="BF95" s="1">
        <v>0.32604860758669002</v>
      </c>
      <c r="BG95" s="1">
        <v>1</v>
      </c>
      <c r="BH95" s="1">
        <v>0.224</v>
      </c>
      <c r="BI95" s="1">
        <v>4.5999999999999999E-2</v>
      </c>
      <c r="BJ95" s="1">
        <v>5625</v>
      </c>
      <c r="BK95" s="1">
        <v>1</v>
      </c>
      <c r="BL95" s="1">
        <v>28.1510597740895</v>
      </c>
      <c r="BM95" s="1">
        <v>0.451739124834865</v>
      </c>
      <c r="BN95" s="1">
        <v>28.1510597740895</v>
      </c>
      <c r="BO95" s="1">
        <v>1</v>
      </c>
      <c r="BP95" s="1">
        <v>140.39738447720001</v>
      </c>
      <c r="BQ95" s="1">
        <v>1</v>
      </c>
      <c r="BR95" s="1">
        <v>1.524</v>
      </c>
    </row>
    <row r="96" spans="1:70">
      <c r="A96" s="2" t="s">
        <v>164</v>
      </c>
      <c r="B96" s="1">
        <v>11031611.6690694</v>
      </c>
      <c r="C96" s="1">
        <v>591.37191402897201</v>
      </c>
      <c r="D96" s="1">
        <v>62.853884466715002</v>
      </c>
      <c r="E96" s="1">
        <v>671.27615393917495</v>
      </c>
      <c r="F96" s="1">
        <v>2705429.1964665302</v>
      </c>
      <c r="G96" s="1">
        <v>1451567.41111024</v>
      </c>
      <c r="H96" s="1">
        <v>2.0660301064149199E-5</v>
      </c>
      <c r="I96" s="1">
        <v>7.8980747365524196E-5</v>
      </c>
      <c r="J96" s="1">
        <v>0.52302679229955096</v>
      </c>
      <c r="K96" s="1">
        <v>6458.99604510671</v>
      </c>
      <c r="L96" s="1">
        <v>1.01606288017648E-2</v>
      </c>
      <c r="M96" s="1">
        <v>95</v>
      </c>
      <c r="N96" s="1">
        <v>2034.3448484929399</v>
      </c>
      <c r="O96" s="3">
        <v>6.8620353649299505E-5</v>
      </c>
      <c r="P96" s="3">
        <v>2.93650948516345E-2</v>
      </c>
      <c r="Q96" s="3">
        <v>9.3472E-3</v>
      </c>
      <c r="R96" s="1">
        <v>1.524</v>
      </c>
      <c r="S96" s="4">
        <v>2153254.4355937499</v>
      </c>
      <c r="T96" s="1">
        <v>451.67797883511702</v>
      </c>
      <c r="U96" s="5">
        <v>558.55126943722303</v>
      </c>
      <c r="V96" s="1">
        <v>0.03</v>
      </c>
      <c r="W96" s="3">
        <v>240760.29668128499</v>
      </c>
      <c r="X96" s="1">
        <v>2.9455365014964E-2</v>
      </c>
      <c r="Y96" s="1">
        <v>5.8266347618927004</v>
      </c>
      <c r="Z96" s="1">
        <v>5.8266347737278803</v>
      </c>
      <c r="AA96" s="1">
        <v>-1.18351852762544E-8</v>
      </c>
      <c r="AB96" s="1">
        <v>5.37130090298092E-5</v>
      </c>
      <c r="AC96" s="1">
        <v>653.24085099632498</v>
      </c>
      <c r="AD96" s="1">
        <v>7304.5267714927304</v>
      </c>
      <c r="AE96" s="1">
        <v>558.55126943722303</v>
      </c>
      <c r="AF96" s="6">
        <v>0</v>
      </c>
      <c r="AG96" s="1">
        <v>5.3817922994773903E-5</v>
      </c>
      <c r="AH96" s="1">
        <v>22.699816640976199</v>
      </c>
      <c r="AI96" s="1">
        <v>0.18389103818348901</v>
      </c>
      <c r="AJ96" s="1">
        <v>84.113843568439805</v>
      </c>
      <c r="AK96" s="1">
        <v>3.7934894324591899</v>
      </c>
      <c r="AL96" s="1">
        <v>0.97535411643181102</v>
      </c>
      <c r="AM96" s="1">
        <v>591.37191387782002</v>
      </c>
      <c r="AN96" s="1">
        <v>1.5115131191123499E-7</v>
      </c>
      <c r="AO96" s="1">
        <v>1.04913964964723E-7</v>
      </c>
      <c r="AP96" s="1">
        <v>3.0127521912218702</v>
      </c>
      <c r="AQ96" s="1">
        <v>1.2238079882888E-4</v>
      </c>
      <c r="AR96" s="1">
        <v>2.6961418479869299E-5</v>
      </c>
      <c r="AS96" s="1">
        <v>42.138908568047</v>
      </c>
      <c r="AT96" s="1">
        <v>14.8524287697484</v>
      </c>
      <c r="AU96" s="1">
        <v>2.7312285460153598</v>
      </c>
      <c r="AV96" s="1">
        <v>0.28152364520651102</v>
      </c>
      <c r="AW96" s="1">
        <v>2.7431118692853401E-2</v>
      </c>
      <c r="AX96" s="1">
        <v>0.28152363331136998</v>
      </c>
      <c r="AY96" s="1">
        <v>1.1895141316386999E-8</v>
      </c>
      <c r="AZ96" s="1">
        <v>1253861.7853562899</v>
      </c>
      <c r="BA96" s="1">
        <v>4.0620930983124299E-5</v>
      </c>
      <c r="BB96" s="4">
        <v>2173873.7275675898</v>
      </c>
      <c r="BC96" s="4">
        <v>20619.291973835301</v>
      </c>
      <c r="BD96" s="7">
        <v>0.95758734467204998</v>
      </c>
      <c r="BE96" s="4">
        <v>2603483.7419005302</v>
      </c>
      <c r="BF96" s="1">
        <v>0.83498648083766003</v>
      </c>
      <c r="BG96" s="1">
        <v>1</v>
      </c>
      <c r="BH96" s="1">
        <v>0.11600000000000001</v>
      </c>
      <c r="BI96" s="1">
        <v>4.5999999999999999E-2</v>
      </c>
      <c r="BJ96" s="1">
        <v>5625</v>
      </c>
      <c r="BK96" s="1">
        <v>1</v>
      </c>
      <c r="BL96" s="1">
        <v>139.693935193855</v>
      </c>
      <c r="BM96" s="1">
        <v>2.1738737275675901</v>
      </c>
      <c r="BN96" s="1">
        <v>139.693935193855</v>
      </c>
      <c r="BO96" s="1">
        <v>1</v>
      </c>
      <c r="BP96" s="1">
        <v>9938.8807144364691</v>
      </c>
      <c r="BQ96" s="1">
        <v>1</v>
      </c>
      <c r="BR96" s="1">
        <v>1.524</v>
      </c>
    </row>
    <row r="97" spans="1:70">
      <c r="A97" s="2" t="s">
        <v>165</v>
      </c>
      <c r="B97" s="1">
        <v>11066085.455535199</v>
      </c>
      <c r="C97" s="1">
        <v>591.59844217507998</v>
      </c>
      <c r="D97" s="1">
        <v>63.116059220916597</v>
      </c>
      <c r="E97" s="1">
        <v>670.70218150320602</v>
      </c>
      <c r="F97" s="1">
        <v>2704704.39286354</v>
      </c>
      <c r="G97" s="1">
        <v>1452979.60391767</v>
      </c>
      <c r="H97" s="1">
        <v>2.06764711739806E-5</v>
      </c>
      <c r="I97" s="1">
        <v>7.8893761069449804E-5</v>
      </c>
      <c r="J97" s="1">
        <v>0.52262372288993397</v>
      </c>
      <c r="K97" s="1">
        <v>6471.9652427383999</v>
      </c>
      <c r="L97" s="1">
        <v>1.01117851422936E-2</v>
      </c>
      <c r="M97" s="1">
        <v>96</v>
      </c>
      <c r="N97" s="1">
        <v>2034.3448484929399</v>
      </c>
      <c r="O97" s="3">
        <v>6.8620353649299505E-5</v>
      </c>
      <c r="P97" s="3">
        <v>2.93650948516345E-2</v>
      </c>
      <c r="Q97" s="3">
        <v>9.3472E-3</v>
      </c>
      <c r="R97" s="1">
        <v>1.524</v>
      </c>
      <c r="S97" s="4">
        <v>451329.86321874999</v>
      </c>
      <c r="T97" s="1">
        <v>563.49230128878798</v>
      </c>
      <c r="U97" s="5">
        <v>585.848437332863</v>
      </c>
      <c r="V97" s="1">
        <v>0.03</v>
      </c>
      <c r="W97" s="3">
        <v>241025.752988174</v>
      </c>
      <c r="X97" s="1">
        <v>2.94183448568998E-2</v>
      </c>
      <c r="Y97" s="1">
        <v>5.8302997390222604</v>
      </c>
      <c r="Z97" s="1">
        <v>5.8302997498897398</v>
      </c>
      <c r="AA97" s="1">
        <v>-1.0867479360854301E-8</v>
      </c>
      <c r="AB97" s="1">
        <v>5.3476306437943699E-5</v>
      </c>
      <c r="AC97" s="1">
        <v>602.41986682774404</v>
      </c>
      <c r="AD97" s="1">
        <v>7307.9838090413796</v>
      </c>
      <c r="AE97" s="1">
        <v>585.84843735706102</v>
      </c>
      <c r="AF97" s="6">
        <v>2.4198470782721399E-8</v>
      </c>
      <c r="AG97" s="1">
        <v>5.3498126759829902E-5</v>
      </c>
      <c r="AH97" s="1">
        <v>22.690688603995799</v>
      </c>
      <c r="AI97" s="1">
        <v>0.18393271373060499</v>
      </c>
      <c r="AJ97" s="1">
        <v>83.6535955526533</v>
      </c>
      <c r="AK97" s="1">
        <v>0.66345757994855004</v>
      </c>
      <c r="AL97" s="1">
        <v>0.976989097790955</v>
      </c>
      <c r="AM97" s="1">
        <v>591.59844215339103</v>
      </c>
      <c r="AN97" s="1">
        <v>2.1688720153179E-8</v>
      </c>
      <c r="AO97" s="1">
        <v>2.1820321886230101E-8</v>
      </c>
      <c r="AP97" s="1">
        <v>3.0095433583736502</v>
      </c>
      <c r="AQ97" s="1">
        <v>1.21597711445486E-4</v>
      </c>
      <c r="AR97" s="1">
        <v>2.67599735408581E-5</v>
      </c>
      <c r="AS97" s="1">
        <v>41.843857704332102</v>
      </c>
      <c r="AT97" s="1">
        <v>14.8348625421319</v>
      </c>
      <c r="AU97" s="1">
        <v>2.7286165251948198</v>
      </c>
      <c r="AV97" s="1">
        <v>0.28092683317883299</v>
      </c>
      <c r="AW97" s="1">
        <v>2.73572971953456E-2</v>
      </c>
      <c r="AX97" s="1">
        <v>0.28092682152989901</v>
      </c>
      <c r="AY97" s="1">
        <v>1.16489334844871E-8</v>
      </c>
      <c r="AZ97" s="1">
        <v>1251724.78894587</v>
      </c>
      <c r="BA97" s="1">
        <v>4.04040404027264E-5</v>
      </c>
      <c r="BB97" s="4">
        <v>453393.12253326899</v>
      </c>
      <c r="BC97" s="4">
        <v>2063.2593145193</v>
      </c>
      <c r="BD97" s="7">
        <v>0.45715107345318201</v>
      </c>
      <c r="BE97" s="4">
        <v>1385496.2552316899</v>
      </c>
      <c r="BF97" s="1">
        <v>0.32724240200667298</v>
      </c>
      <c r="BG97" s="1">
        <v>1</v>
      </c>
      <c r="BH97" s="1">
        <v>0.224</v>
      </c>
      <c r="BI97" s="1">
        <v>4.5999999999999999E-2</v>
      </c>
      <c r="BJ97" s="1">
        <v>5625</v>
      </c>
      <c r="BK97" s="1">
        <v>1</v>
      </c>
      <c r="BL97" s="1">
        <v>28.1061408862919</v>
      </c>
      <c r="BM97" s="1">
        <v>0.45339312253326902</v>
      </c>
      <c r="BN97" s="1">
        <v>28.1061408862919</v>
      </c>
      <c r="BO97" s="1">
        <v>1</v>
      </c>
      <c r="BP97" s="1">
        <v>141.463884616738</v>
      </c>
      <c r="BQ97" s="1">
        <v>1</v>
      </c>
      <c r="BR97" s="1">
        <v>1.524</v>
      </c>
    </row>
    <row r="98" spans="1:70">
      <c r="A98" s="2" t="s">
        <v>166</v>
      </c>
      <c r="B98" s="1">
        <v>11066085.455535199</v>
      </c>
      <c r="C98" s="1">
        <v>591.59844217507998</v>
      </c>
      <c r="D98" s="1">
        <v>63.116059220916597</v>
      </c>
      <c r="E98" s="1">
        <v>670.70218150320602</v>
      </c>
      <c r="F98" s="1">
        <v>2704704.39286354</v>
      </c>
      <c r="G98" s="1">
        <v>1452979.60391767</v>
      </c>
      <c r="H98" s="1">
        <v>2.06764711739806E-5</v>
      </c>
      <c r="I98" s="1">
        <v>7.8893761069449804E-5</v>
      </c>
      <c r="J98" s="1">
        <v>0.52262372288993397</v>
      </c>
      <c r="K98" s="1">
        <v>6471.9652427383999</v>
      </c>
      <c r="L98" s="1">
        <v>1.01117851422936E-2</v>
      </c>
      <c r="M98" s="1">
        <v>97</v>
      </c>
      <c r="N98" s="1">
        <v>2034.3448484929399</v>
      </c>
      <c r="O98" s="3">
        <v>6.8620353649299505E-5</v>
      </c>
      <c r="P98" s="3">
        <v>2.93650948516345E-2</v>
      </c>
      <c r="Q98" s="3">
        <v>9.3472E-3</v>
      </c>
      <c r="R98" s="1">
        <v>1.524</v>
      </c>
      <c r="S98" s="4">
        <v>2154258.5570312501</v>
      </c>
      <c r="T98" s="1">
        <v>452.00279575601002</v>
      </c>
      <c r="U98" s="5">
        <v>558.71166060185396</v>
      </c>
      <c r="V98" s="1">
        <v>0.03</v>
      </c>
      <c r="W98" s="3">
        <v>241025.752988174</v>
      </c>
      <c r="X98" s="1">
        <v>2.94183448568998E-2</v>
      </c>
      <c r="Y98" s="1">
        <v>5.8302997390222604</v>
      </c>
      <c r="Z98" s="1">
        <v>5.8302997498897398</v>
      </c>
      <c r="AA98" s="1">
        <v>-1.0867479360854301E-8</v>
      </c>
      <c r="AB98" s="1">
        <v>5.3476306437943699E-5</v>
      </c>
      <c r="AC98" s="1">
        <v>653.53298473016002</v>
      </c>
      <c r="AD98" s="1">
        <v>7307.9838090413796</v>
      </c>
      <c r="AE98" s="1">
        <v>558.71166060185396</v>
      </c>
      <c r="AF98" s="6">
        <v>0</v>
      </c>
      <c r="AG98" s="1">
        <v>5.3580538550913797E-5</v>
      </c>
      <c r="AH98" s="1">
        <v>22.690688603995799</v>
      </c>
      <c r="AI98" s="1">
        <v>0.18393271373060499</v>
      </c>
      <c r="AJ98" s="1">
        <v>83.782460674810906</v>
      </c>
      <c r="AK98" s="1">
        <v>3.79628844602572</v>
      </c>
      <c r="AL98" s="1">
        <v>0.976989097790955</v>
      </c>
      <c r="AM98" s="1">
        <v>591.59844204424098</v>
      </c>
      <c r="AN98" s="1">
        <v>1.3083854355500101E-7</v>
      </c>
      <c r="AO98" s="1">
        <v>1.04232112970179E-7</v>
      </c>
      <c r="AP98" s="1">
        <v>3.01083664075774</v>
      </c>
      <c r="AQ98" s="1">
        <v>1.21493271104178E-4</v>
      </c>
      <c r="AR98" s="1">
        <v>2.6842385331942002E-5</v>
      </c>
      <c r="AS98" s="1">
        <v>41.972722826489701</v>
      </c>
      <c r="AT98" s="1">
        <v>14.8425498769575</v>
      </c>
      <c r="AU98" s="1">
        <v>2.7300304775506401</v>
      </c>
      <c r="AV98" s="1">
        <v>0.280806163207104</v>
      </c>
      <c r="AW98" s="1">
        <v>2.73572971953456E-2</v>
      </c>
      <c r="AX98" s="1">
        <v>0.28080615151260702</v>
      </c>
      <c r="AY98" s="1">
        <v>1.16944974259958E-8</v>
      </c>
      <c r="AZ98" s="1">
        <v>1251724.78894587</v>
      </c>
      <c r="BA98" s="1">
        <v>4.0351997002933202E-5</v>
      </c>
      <c r="BB98" s="4">
        <v>2168578.1671704999</v>
      </c>
      <c r="BC98" s="4">
        <v>14319.610139254501</v>
      </c>
      <c r="BD98" s="7">
        <v>0.66471176788491504</v>
      </c>
      <c r="BE98" s="4">
        <v>2603483.7419005302</v>
      </c>
      <c r="BF98" s="1">
        <v>0.83295245223519399</v>
      </c>
      <c r="BG98" s="1">
        <v>1</v>
      </c>
      <c r="BH98" s="1">
        <v>0.11600000000000001</v>
      </c>
      <c r="BI98" s="1">
        <v>4.5999999999999999E-2</v>
      </c>
      <c r="BJ98" s="1">
        <v>5625</v>
      </c>
      <c r="BK98" s="1">
        <v>1</v>
      </c>
      <c r="BL98" s="1">
        <v>139.59564641906999</v>
      </c>
      <c r="BM98" s="1">
        <v>2.1685781671704998</v>
      </c>
      <c r="BN98" s="1">
        <v>139.59564641906999</v>
      </c>
      <c r="BO98" s="1">
        <v>1</v>
      </c>
      <c r="BP98" s="1">
        <v>9919.2927856323804</v>
      </c>
      <c r="BQ98" s="1">
        <v>1</v>
      </c>
      <c r="BR98" s="1">
        <v>1.524</v>
      </c>
    </row>
    <row r="99" spans="1:70">
      <c r="A99" s="2" t="s">
        <v>167</v>
      </c>
      <c r="B99" s="1">
        <v>11100559.2420011</v>
      </c>
      <c r="C99" s="1">
        <v>591.82497032118897</v>
      </c>
      <c r="D99" s="1">
        <v>63.378233975119002</v>
      </c>
      <c r="E99" s="1">
        <v>670.12820906723402</v>
      </c>
      <c r="F99" s="1">
        <v>2703979.5892605502</v>
      </c>
      <c r="G99" s="1">
        <v>1454391.7967250999</v>
      </c>
      <c r="H99" s="1">
        <v>2.0692641283812099E-5</v>
      </c>
      <c r="I99" s="1">
        <v>7.8806774773375099E-5</v>
      </c>
      <c r="J99" s="1">
        <v>0.52222065348031699</v>
      </c>
      <c r="K99" s="1">
        <v>6484.9344403701298</v>
      </c>
      <c r="L99" s="1">
        <v>1.00629414828223E-2</v>
      </c>
      <c r="M99" s="1">
        <v>98</v>
      </c>
      <c r="N99" s="1">
        <v>2034.3448484929399</v>
      </c>
      <c r="O99" s="3">
        <v>6.8620353649299505E-5</v>
      </c>
      <c r="P99" s="3">
        <v>2.93650948516345E-2</v>
      </c>
      <c r="Q99" s="3">
        <v>9.3472E-3</v>
      </c>
      <c r="R99" s="1">
        <v>1.524</v>
      </c>
      <c r="S99" s="4">
        <v>1326521.77734375</v>
      </c>
      <c r="T99" s="1">
        <v>507.23595773091199</v>
      </c>
      <c r="U99" s="5">
        <v>572.81236868600297</v>
      </c>
      <c r="V99" s="1">
        <v>0.03</v>
      </c>
      <c r="W99" s="3">
        <v>241291.795312217</v>
      </c>
      <c r="X99" s="1">
        <v>2.93812388502834E-2</v>
      </c>
      <c r="Y99" s="1">
        <v>5.8339801638063502</v>
      </c>
      <c r="Z99" s="1">
        <v>5.8339801737503301</v>
      </c>
      <c r="AA99" s="1">
        <v>-9.9439816381163804E-9</v>
      </c>
      <c r="AB99" s="1">
        <v>5.3239605589866302E-5</v>
      </c>
      <c r="AC99" s="1">
        <v>627.58430642792405</v>
      </c>
      <c r="AD99" s="1">
        <v>7311.4349003299303</v>
      </c>
      <c r="AE99" s="1">
        <v>572.812368961846</v>
      </c>
      <c r="AF99" s="6">
        <v>2.7584303552430398E-7</v>
      </c>
      <c r="AG99" s="1">
        <v>5.33025977823904E-5</v>
      </c>
      <c r="AH99" s="1">
        <v>22.681478657845702</v>
      </c>
      <c r="AI99" s="1">
        <v>0.18397411901316399</v>
      </c>
      <c r="AJ99" s="1">
        <v>83.387211936070301</v>
      </c>
      <c r="AK99" s="1">
        <v>2.1914344414628202</v>
      </c>
      <c r="AL99" s="1">
        <v>0.9786222824709</v>
      </c>
      <c r="AM99" s="1">
        <v>591.82497025833698</v>
      </c>
      <c r="AN99" s="1">
        <v>6.2851427173882297E-8</v>
      </c>
      <c r="AO99" s="1">
        <v>6.2992192524084399E-8</v>
      </c>
      <c r="AP99" s="1">
        <v>3.0082709524647</v>
      </c>
      <c r="AQ99" s="1">
        <v>1.20663749015276E-4</v>
      </c>
      <c r="AR99" s="1">
        <v>2.6682794987457202E-5</v>
      </c>
      <c r="AS99" s="1">
        <v>41.7428788320873</v>
      </c>
      <c r="AT99" s="1">
        <v>14.8288221746314</v>
      </c>
      <c r="AU99" s="1">
        <v>2.7281194955806898</v>
      </c>
      <c r="AV99" s="1">
        <v>0.28015145688401499</v>
      </c>
      <c r="AW99" s="1">
        <v>2.7283433171066199E-2</v>
      </c>
      <c r="AX99" s="1">
        <v>0.28015144541717302</v>
      </c>
      <c r="AY99" s="1">
        <v>1.14668425865716E-8</v>
      </c>
      <c r="AZ99" s="1">
        <v>1249587.7925354501</v>
      </c>
      <c r="BA99" s="1">
        <v>4.0110665203350398E-5</v>
      </c>
      <c r="BB99" s="4">
        <v>1315078.0655078101</v>
      </c>
      <c r="BC99" s="4">
        <v>-11443.711835935001</v>
      </c>
      <c r="BD99" s="7">
        <v>-0.86268556094496196</v>
      </c>
      <c r="BE99" s="4">
        <v>1988969.46476225</v>
      </c>
      <c r="BF99" s="1">
        <v>0.66118564855142803</v>
      </c>
      <c r="BG99" s="1">
        <v>1</v>
      </c>
      <c r="BH99" s="1">
        <v>0.156</v>
      </c>
      <c r="BI99" s="1">
        <v>4.5999999999999999E-2</v>
      </c>
      <c r="BJ99" s="1">
        <v>5625</v>
      </c>
      <c r="BK99" s="1">
        <v>1</v>
      </c>
      <c r="BL99" s="1">
        <v>84.589012590276894</v>
      </c>
      <c r="BM99" s="1">
        <v>1.31507806550781</v>
      </c>
      <c r="BN99" s="1">
        <v>84.589012590276894</v>
      </c>
      <c r="BO99" s="1">
        <v>1</v>
      </c>
      <c r="BP99" s="1">
        <v>1988.18004377587</v>
      </c>
      <c r="BQ99" s="1">
        <v>1</v>
      </c>
      <c r="BR99" s="1">
        <v>1.524</v>
      </c>
    </row>
    <row r="100" spans="1:70">
      <c r="A100" s="2" t="s">
        <v>168</v>
      </c>
      <c r="B100" s="1">
        <v>10962664.096137701</v>
      </c>
      <c r="C100" s="1">
        <v>590.91885773675403</v>
      </c>
      <c r="D100" s="1">
        <v>62.329534958311001</v>
      </c>
      <c r="E100" s="1">
        <v>672.42409881111701</v>
      </c>
      <c r="F100" s="1">
        <v>2706878.8036725</v>
      </c>
      <c r="G100" s="1">
        <v>1448743.0254953799</v>
      </c>
      <c r="H100" s="1">
        <v>2.0627960844486401E-5</v>
      </c>
      <c r="I100" s="1">
        <v>7.9154719957673402E-5</v>
      </c>
      <c r="J100" s="1">
        <v>0.52383293111878604</v>
      </c>
      <c r="K100" s="1">
        <v>6433.0576498432902</v>
      </c>
      <c r="L100" s="1">
        <v>1.0258316120707199E-2</v>
      </c>
      <c r="M100" s="1">
        <v>99</v>
      </c>
      <c r="N100" s="1">
        <v>4068.6896969858799</v>
      </c>
      <c r="O100" s="3">
        <v>6.8620353649299505E-5</v>
      </c>
      <c r="P100" s="3">
        <v>2.93650948516345E-2</v>
      </c>
      <c r="Q100" s="3">
        <v>9.3472E-3</v>
      </c>
      <c r="R100" s="1">
        <v>1.524</v>
      </c>
      <c r="S100" s="4">
        <v>2321258.04296875</v>
      </c>
      <c r="T100" s="1">
        <v>507.70933491723503</v>
      </c>
      <c r="U100" s="5">
        <v>565.547543356608</v>
      </c>
      <c r="V100" s="1">
        <v>0.03</v>
      </c>
      <c r="W100" s="3">
        <v>480462.26878198498</v>
      </c>
      <c r="X100" s="1">
        <v>2.2025520592233502E-2</v>
      </c>
      <c r="Y100" s="1">
        <v>6.7380915735687399</v>
      </c>
      <c r="Z100" s="1">
        <v>6.7380916019165999</v>
      </c>
      <c r="AA100" s="1">
        <v>-2.8347860059341201E-8</v>
      </c>
      <c r="AB100" s="1">
        <v>1.8161648258494202E-5</v>
      </c>
      <c r="AC100" s="1">
        <v>624.24978069358497</v>
      </c>
      <c r="AD100" s="1">
        <v>12605.1317591428</v>
      </c>
      <c r="AE100" s="1">
        <v>565.54754359910601</v>
      </c>
      <c r="AF100" s="6">
        <v>2.4249777652585202E-7</v>
      </c>
      <c r="AG100" s="1">
        <v>1.81971544594288E-5</v>
      </c>
      <c r="AH100" s="1">
        <v>67.780077940289701</v>
      </c>
      <c r="AI100" s="1">
        <v>0.31748952211616899</v>
      </c>
      <c r="AJ100" s="1">
        <v>49.079409791718099</v>
      </c>
      <c r="AK100" s="1">
        <v>2.2321682627030199</v>
      </c>
      <c r="AL100" s="1">
        <v>0.972078780265621</v>
      </c>
      <c r="AM100" s="1">
        <v>590.91885773530896</v>
      </c>
      <c r="AN100" s="1">
        <v>1.4447323337663E-9</v>
      </c>
      <c r="AO100" s="1">
        <v>3.55062009346428E-8</v>
      </c>
      <c r="AP100" s="1">
        <v>4.4466260218320999</v>
      </c>
      <c r="AQ100" s="1">
        <v>5.7147774523518597E-5</v>
      </c>
      <c r="AR100" s="1">
        <v>9.1163303301817402E-6</v>
      </c>
      <c r="AS100" s="1">
        <v>24.587586650935201</v>
      </c>
      <c r="AT100" s="1">
        <v>12.961208539477299</v>
      </c>
      <c r="AU100" s="1">
        <v>4.1150479052466498</v>
      </c>
      <c r="AV100" s="1">
        <v>0.331578116585454</v>
      </c>
      <c r="AW100" s="1">
        <v>9.2435240960315607E-3</v>
      </c>
      <c r="AX100" s="1">
        <v>0.33157810941410798</v>
      </c>
      <c r="AY100" s="1">
        <v>7.1713453508870398E-9</v>
      </c>
      <c r="AZ100" s="1">
        <v>1258135.77817712</v>
      </c>
      <c r="BA100" s="1">
        <v>1.2851940829503899E-5</v>
      </c>
      <c r="BB100" s="4">
        <v>2337255.93600797</v>
      </c>
      <c r="BC100" s="4">
        <v>15997.8930392209</v>
      </c>
      <c r="BD100" s="7">
        <v>0.68919063469396102</v>
      </c>
      <c r="BE100" s="4">
        <v>3141972.3820827999</v>
      </c>
      <c r="BF100" s="1">
        <v>0.743881756993234</v>
      </c>
      <c r="BG100" s="1">
        <v>1</v>
      </c>
      <c r="BH100" s="1">
        <v>5.3999999999999999E-2</v>
      </c>
      <c r="BI100" s="1">
        <v>4.5999999999999999E-2</v>
      </c>
      <c r="BJ100" s="1">
        <v>5625</v>
      </c>
      <c r="BK100" s="1">
        <v>1</v>
      </c>
      <c r="BL100" s="1">
        <v>83.209522819519094</v>
      </c>
      <c r="BM100" s="1">
        <v>2.3372559360079701</v>
      </c>
      <c r="BN100" s="1">
        <v>83.209522819519094</v>
      </c>
      <c r="BO100" s="1">
        <v>1</v>
      </c>
      <c r="BP100" s="1">
        <v>1867.0628622905399</v>
      </c>
      <c r="BQ100" s="1">
        <v>1</v>
      </c>
      <c r="BR100" s="1">
        <v>1.524</v>
      </c>
    </row>
    <row r="101" spans="1:70">
      <c r="A101" s="2" t="s">
        <v>169</v>
      </c>
      <c r="B101" s="1">
        <v>11066085.455535199</v>
      </c>
      <c r="C101" s="1">
        <v>591.59844217507998</v>
      </c>
      <c r="D101" s="1">
        <v>63.116059220916597</v>
      </c>
      <c r="E101" s="1">
        <v>670.70218150320602</v>
      </c>
      <c r="F101" s="1">
        <v>2704704.39286354</v>
      </c>
      <c r="G101" s="1">
        <v>1452979.60391767</v>
      </c>
      <c r="H101" s="1">
        <v>2.06764711739806E-5</v>
      </c>
      <c r="I101" s="1">
        <v>7.8893761069449804E-5</v>
      </c>
      <c r="J101" s="1">
        <v>0.52262372288993397</v>
      </c>
      <c r="K101" s="1">
        <v>6471.9652427383999</v>
      </c>
      <c r="L101" s="1">
        <v>1.01117851422936E-2</v>
      </c>
      <c r="M101" s="1">
        <v>100</v>
      </c>
      <c r="N101" s="1">
        <v>4068.6896969858799</v>
      </c>
      <c r="O101" s="3">
        <v>6.8620353649299505E-5</v>
      </c>
      <c r="P101" s="3">
        <v>2.93650948516345E-2</v>
      </c>
      <c r="Q101" s="3">
        <v>9.3472E-3</v>
      </c>
      <c r="R101" s="1">
        <v>1.524</v>
      </c>
      <c r="S101" s="4">
        <v>814219.75390625</v>
      </c>
      <c r="T101" s="1">
        <v>563.49230128878798</v>
      </c>
      <c r="U101" s="5">
        <v>583.65804819758296</v>
      </c>
      <c r="V101" s="1">
        <v>0.03</v>
      </c>
      <c r="W101" s="3">
        <v>482051.50597634801</v>
      </c>
      <c r="X101" s="1">
        <v>2.19536601587824E-2</v>
      </c>
      <c r="Y101" s="1">
        <v>6.7491103875770904</v>
      </c>
      <c r="Z101" s="1">
        <v>6.7491104089474598</v>
      </c>
      <c r="AA101" s="1">
        <v>-2.1370364144956999E-8</v>
      </c>
      <c r="AB101" s="1">
        <v>1.7914830751301099E-5</v>
      </c>
      <c r="AC101" s="1">
        <v>602.00428867084202</v>
      </c>
      <c r="AD101" s="1">
        <v>12626.1784584409</v>
      </c>
      <c r="AE101" s="1">
        <v>583.65804819758296</v>
      </c>
      <c r="AF101" s="6">
        <v>0</v>
      </c>
      <c r="AG101" s="1">
        <v>1.7927129864331101E-5</v>
      </c>
      <c r="AH101" s="1">
        <v>67.732385190806497</v>
      </c>
      <c r="AI101" s="1">
        <v>0.31778494980171201</v>
      </c>
      <c r="AJ101" s="1">
        <v>48.431860003999098</v>
      </c>
      <c r="AK101" s="1">
        <v>0.69630713858187598</v>
      </c>
      <c r="AL101" s="1">
        <v>0.976989097790955</v>
      </c>
      <c r="AM101" s="1">
        <v>591.59844217037596</v>
      </c>
      <c r="AN101" s="1">
        <v>4.7043613449204697E-9</v>
      </c>
      <c r="AO101" s="1">
        <v>1.2299113029984499E-8</v>
      </c>
      <c r="AP101" s="1">
        <v>4.4258123043440101</v>
      </c>
      <c r="AQ101" s="1">
        <v>5.6226445162387198E-5</v>
      </c>
      <c r="AR101" s="1">
        <v>8.9697144886805392E-6</v>
      </c>
      <c r="AS101" s="1">
        <v>24.232543618483302</v>
      </c>
      <c r="AT101" s="1">
        <v>12.888482536911599</v>
      </c>
      <c r="AU101" s="1">
        <v>4.0957657760127004</v>
      </c>
      <c r="AV101" s="1">
        <v>0.33004652833131098</v>
      </c>
      <c r="AW101" s="1">
        <v>9.1648317117113895E-3</v>
      </c>
      <c r="AX101" s="1">
        <v>0.33004652544413998</v>
      </c>
      <c r="AY101" s="1">
        <v>2.8871704471633601E-9</v>
      </c>
      <c r="AZ101" s="1">
        <v>1251724.78894587</v>
      </c>
      <c r="BA101" s="1">
        <v>1.27042091475954E-5</v>
      </c>
      <c r="BB101" s="4">
        <v>812764.50671567605</v>
      </c>
      <c r="BC101" s="4">
        <v>-1455.2471905744201</v>
      </c>
      <c r="BD101" s="7">
        <v>-0.17872904502658099</v>
      </c>
      <c r="BE101" s="4">
        <v>1832501.76380712</v>
      </c>
      <c r="BF101" s="1">
        <v>0.44352727117004997</v>
      </c>
      <c r="BG101" s="1">
        <v>1</v>
      </c>
      <c r="BH101" s="1">
        <v>0.104</v>
      </c>
      <c r="BI101" s="1">
        <v>4.5999999999999999E-2</v>
      </c>
      <c r="BJ101" s="1">
        <v>5625</v>
      </c>
      <c r="BK101" s="1">
        <v>1</v>
      </c>
      <c r="BL101" s="1">
        <v>28.1061408862919</v>
      </c>
      <c r="BM101" s="1">
        <v>0.81276450671567602</v>
      </c>
      <c r="BN101" s="1">
        <v>28.1061408862919</v>
      </c>
      <c r="BO101" s="1">
        <v>1</v>
      </c>
      <c r="BP101" s="1">
        <v>141.463884616738</v>
      </c>
      <c r="BQ101" s="1">
        <v>1</v>
      </c>
      <c r="BR101" s="1">
        <v>1.524</v>
      </c>
    </row>
    <row r="102" spans="1:70">
      <c r="A102" s="2" t="s">
        <v>170</v>
      </c>
      <c r="B102" s="1">
        <v>11066085.455535199</v>
      </c>
      <c r="C102" s="1">
        <v>591.59844217507998</v>
      </c>
      <c r="D102" s="1">
        <v>63.116059220916597</v>
      </c>
      <c r="E102" s="1">
        <v>670.70218150320602</v>
      </c>
      <c r="F102" s="1">
        <v>2704704.39286354</v>
      </c>
      <c r="G102" s="1">
        <v>1452979.60391767</v>
      </c>
      <c r="H102" s="1">
        <v>2.06764711739806E-5</v>
      </c>
      <c r="I102" s="1">
        <v>7.8893761069449804E-5</v>
      </c>
      <c r="J102" s="1">
        <v>0.52262372288993397</v>
      </c>
      <c r="K102" s="1">
        <v>6471.9652427383999</v>
      </c>
      <c r="L102" s="1">
        <v>1.01117851422936E-2</v>
      </c>
      <c r="M102" s="1">
        <v>101</v>
      </c>
      <c r="N102" s="1">
        <v>4068.6896969858799</v>
      </c>
      <c r="O102" s="3">
        <v>6.8620353649299505E-5</v>
      </c>
      <c r="P102" s="3">
        <v>2.93650948516345E-2</v>
      </c>
      <c r="Q102" s="3">
        <v>9.3472E-3</v>
      </c>
      <c r="R102" s="1">
        <v>1.524</v>
      </c>
      <c r="S102" s="4">
        <v>2338283.68359375</v>
      </c>
      <c r="T102" s="1">
        <v>508.03105271669699</v>
      </c>
      <c r="U102" s="5">
        <v>565.94322782433596</v>
      </c>
      <c r="V102" s="1">
        <v>0.03</v>
      </c>
      <c r="W102" s="3">
        <v>482051.50597634801</v>
      </c>
      <c r="X102" s="1">
        <v>2.19536601587824E-2</v>
      </c>
      <c r="Y102" s="1">
        <v>6.7491103875770904</v>
      </c>
      <c r="Z102" s="1">
        <v>6.7491104089474598</v>
      </c>
      <c r="AA102" s="1">
        <v>-2.1370364144956999E-8</v>
      </c>
      <c r="AB102" s="1">
        <v>1.7914830751301099E-5</v>
      </c>
      <c r="AC102" s="1">
        <v>625.23613909343101</v>
      </c>
      <c r="AD102" s="1">
        <v>12626.1784584409</v>
      </c>
      <c r="AE102" s="1">
        <v>565.94322782433596</v>
      </c>
      <c r="AF102" s="6">
        <v>0</v>
      </c>
      <c r="AG102" s="1">
        <v>1.79501309759705E-5</v>
      </c>
      <c r="AH102" s="1">
        <v>67.732385190806497</v>
      </c>
      <c r="AI102" s="1">
        <v>0.31778494980171201</v>
      </c>
      <c r="AJ102" s="1">
        <v>48.493999712211497</v>
      </c>
      <c r="AK102" s="1">
        <v>2.2503835292113301</v>
      </c>
      <c r="AL102" s="1">
        <v>0.976989097790955</v>
      </c>
      <c r="AM102" s="1">
        <v>591.59844215929297</v>
      </c>
      <c r="AN102" s="1">
        <v>1.57873500938877E-8</v>
      </c>
      <c r="AO102" s="1">
        <v>3.53002246693494E-8</v>
      </c>
      <c r="AP102" s="1">
        <v>4.4295994078993699</v>
      </c>
      <c r="AQ102" s="1">
        <v>5.6130344216991898E-5</v>
      </c>
      <c r="AR102" s="1">
        <v>8.9927156003199093E-6</v>
      </c>
      <c r="AS102" s="1">
        <v>24.294683326695701</v>
      </c>
      <c r="AT102" s="1">
        <v>12.901287666338501</v>
      </c>
      <c r="AU102" s="1">
        <v>4.0998350534248296</v>
      </c>
      <c r="AV102" s="1">
        <v>0.329764354474545</v>
      </c>
      <c r="AW102" s="1">
        <v>9.1648317117113895E-3</v>
      </c>
      <c r="AX102" s="1">
        <v>0.32976435086020001</v>
      </c>
      <c r="AY102" s="1">
        <v>3.61434465689925E-9</v>
      </c>
      <c r="AZ102" s="1">
        <v>1251724.78894587</v>
      </c>
      <c r="BA102" s="1">
        <v>1.2671652456177799E-5</v>
      </c>
      <c r="BB102" s="4">
        <v>2338744.5492774402</v>
      </c>
      <c r="BC102" s="4">
        <v>460.86568369204201</v>
      </c>
      <c r="BD102" s="7">
        <v>1.9709571038178299E-2</v>
      </c>
      <c r="BE102" s="4">
        <v>3154590.7450630502</v>
      </c>
      <c r="BF102" s="1">
        <v>0.74137811788663499</v>
      </c>
      <c r="BG102" s="1">
        <v>1</v>
      </c>
      <c r="BH102" s="1">
        <v>5.3999999999999999E-2</v>
      </c>
      <c r="BI102" s="1">
        <v>4.5999999999999999E-2</v>
      </c>
      <c r="BJ102" s="1">
        <v>5625</v>
      </c>
      <c r="BK102" s="1">
        <v>1</v>
      </c>
      <c r="BL102" s="1">
        <v>83.567389458382905</v>
      </c>
      <c r="BM102" s="1">
        <v>2.3387445492774401</v>
      </c>
      <c r="BN102" s="1">
        <v>83.567389458382905</v>
      </c>
      <c r="BO102" s="1">
        <v>1</v>
      </c>
      <c r="BP102" s="1">
        <v>1898.11742421841</v>
      </c>
      <c r="BQ102" s="1">
        <v>1</v>
      </c>
      <c r="BR102" s="1">
        <v>1.524</v>
      </c>
    </row>
    <row r="103" spans="1:70">
      <c r="A103" s="2" t="s">
        <v>171</v>
      </c>
      <c r="B103" s="1">
        <v>11100559.2420011</v>
      </c>
      <c r="C103" s="1">
        <v>591.82497032118897</v>
      </c>
      <c r="D103" s="1">
        <v>63.378233975119002</v>
      </c>
      <c r="E103" s="1">
        <v>670.12820906723402</v>
      </c>
      <c r="F103" s="1">
        <v>2703979.5892605502</v>
      </c>
      <c r="G103" s="1">
        <v>1454391.7967250999</v>
      </c>
      <c r="H103" s="1">
        <v>2.0692641283812099E-5</v>
      </c>
      <c r="I103" s="1">
        <v>7.8806774773375099E-5</v>
      </c>
      <c r="J103" s="1">
        <v>0.52222065348031699</v>
      </c>
      <c r="K103" s="1">
        <v>6484.9344403701298</v>
      </c>
      <c r="L103" s="1">
        <v>1.00629414828223E-2</v>
      </c>
      <c r="M103" s="1">
        <v>102</v>
      </c>
      <c r="N103" s="1">
        <v>4068.6896969858799</v>
      </c>
      <c r="O103" s="3">
        <v>6.8620353649299505E-5</v>
      </c>
      <c r="P103" s="3">
        <v>2.93650948516345E-2</v>
      </c>
      <c r="Q103" s="3">
        <v>9.3472E-3</v>
      </c>
      <c r="R103" s="1">
        <v>1.524</v>
      </c>
      <c r="S103" s="4">
        <v>829931.21953124995</v>
      </c>
      <c r="T103" s="1">
        <v>563.20065007780795</v>
      </c>
      <c r="U103" s="5">
        <v>583.71441458811296</v>
      </c>
      <c r="V103" s="1">
        <v>0.03</v>
      </c>
      <c r="W103" s="3">
        <v>482583.590624434</v>
      </c>
      <c r="X103" s="1">
        <v>2.19295914946466E-2</v>
      </c>
      <c r="Y103" s="1">
        <v>6.7528130904714203</v>
      </c>
      <c r="Z103" s="1">
        <v>6.7528131097325703</v>
      </c>
      <c r="AA103" s="1">
        <v>-1.9261148231919401E-8</v>
      </c>
      <c r="AB103" s="1">
        <v>1.7832588998666498E-5</v>
      </c>
      <c r="AC103" s="1">
        <v>602.44673908530501</v>
      </c>
      <c r="AD103" s="1">
        <v>12633.1843058634</v>
      </c>
      <c r="AE103" s="1">
        <v>583.71441461257996</v>
      </c>
      <c r="AF103" s="6">
        <v>2.4467226467095299E-8</v>
      </c>
      <c r="AG103" s="1">
        <v>1.7845233036161598E-5</v>
      </c>
      <c r="AH103" s="1">
        <v>67.716077459586799</v>
      </c>
      <c r="AI103" s="1">
        <v>0.31788273911831899</v>
      </c>
      <c r="AJ103" s="1">
        <v>48.237358337665199</v>
      </c>
      <c r="AK103" s="1">
        <v>0.71051600455188102</v>
      </c>
      <c r="AL103" s="1">
        <v>0.9786222824709</v>
      </c>
      <c r="AM103" s="1">
        <v>591.82497031702997</v>
      </c>
      <c r="AN103" s="1">
        <v>4.1585508370189903E-9</v>
      </c>
      <c r="AO103" s="1">
        <v>1.2644037495100101E-8</v>
      </c>
      <c r="AP103" s="1">
        <v>4.42011370409951</v>
      </c>
      <c r="AQ103" s="1">
        <v>5.5891251248146498E-5</v>
      </c>
      <c r="AR103" s="1">
        <v>8.9289385368283595E-6</v>
      </c>
      <c r="AS103" s="1">
        <v>24.1357681854414</v>
      </c>
      <c r="AT103" s="1">
        <v>12.8684744864814</v>
      </c>
      <c r="AU103" s="1">
        <v>4.0906659180369003</v>
      </c>
      <c r="AV103" s="1">
        <v>0.329447786062607</v>
      </c>
      <c r="AW103" s="1">
        <v>9.1385772832399698E-3</v>
      </c>
      <c r="AX103" s="1">
        <v>0.329447784262068</v>
      </c>
      <c r="AY103" s="1">
        <v>1.80053860709961E-9</v>
      </c>
      <c r="AZ103" s="1">
        <v>1249587.7925354501</v>
      </c>
      <c r="BA103" s="1">
        <v>1.2644754182750799E-5</v>
      </c>
      <c r="BB103" s="4">
        <v>837336.56768416299</v>
      </c>
      <c r="BC103" s="4">
        <v>7405.3481529128003</v>
      </c>
      <c r="BD103" s="7">
        <v>0.89228456270091705</v>
      </c>
      <c r="BE103" s="4">
        <v>1868148.63922634</v>
      </c>
      <c r="BF103" s="1">
        <v>0.44821731531540798</v>
      </c>
      <c r="BG103" s="1">
        <v>1</v>
      </c>
      <c r="BH103" s="1">
        <v>0.106</v>
      </c>
      <c r="BI103" s="1">
        <v>4.5999999999999999E-2</v>
      </c>
      <c r="BJ103" s="1">
        <v>5625</v>
      </c>
      <c r="BK103" s="1">
        <v>1</v>
      </c>
      <c r="BL103" s="1">
        <v>28.6243202433809</v>
      </c>
      <c r="BM103" s="1">
        <v>0.83733656768416298</v>
      </c>
      <c r="BN103" s="1">
        <v>28.6243202433809</v>
      </c>
      <c r="BO103" s="1">
        <v>1</v>
      </c>
      <c r="BP103" s="1">
        <v>129.406089925153</v>
      </c>
      <c r="BQ103" s="1">
        <v>1</v>
      </c>
      <c r="BR103" s="1">
        <v>1.524</v>
      </c>
    </row>
    <row r="104" spans="1:70">
      <c r="A104" s="2" t="s">
        <v>172</v>
      </c>
      <c r="B104" s="1">
        <v>12065825.263044599</v>
      </c>
      <c r="C104" s="1">
        <v>598.16775841223</v>
      </c>
      <c r="D104" s="1">
        <v>70.719127092772794</v>
      </c>
      <c r="E104" s="1">
        <v>654.056980860061</v>
      </c>
      <c r="F104" s="1">
        <v>2683685.08837691</v>
      </c>
      <c r="G104" s="1">
        <v>1493933.1953330799</v>
      </c>
      <c r="H104" s="1">
        <v>2.11454043590923E-5</v>
      </c>
      <c r="I104" s="1">
        <v>7.6371158483287804E-5</v>
      </c>
      <c r="J104" s="1">
        <v>0.51093471001103696</v>
      </c>
      <c r="K104" s="1">
        <v>6848.0719740579098</v>
      </c>
      <c r="L104" s="1">
        <v>8.69531901762856E-3</v>
      </c>
      <c r="M104" s="1">
        <v>103</v>
      </c>
      <c r="N104" s="1">
        <v>2305.590828292</v>
      </c>
      <c r="O104" s="3">
        <v>2.8502295699234199E-6</v>
      </c>
      <c r="P104" s="3">
        <v>5.98473400508856E-3</v>
      </c>
      <c r="Q104" s="3">
        <v>1.905E-3</v>
      </c>
      <c r="R104" s="1">
        <v>0.15240000000000001</v>
      </c>
      <c r="S104" s="4">
        <v>3116361.46484375</v>
      </c>
      <c r="T104" s="1">
        <v>509.74524427840402</v>
      </c>
      <c r="U104" s="5">
        <v>572.905990408874</v>
      </c>
      <c r="V104" s="1">
        <v>0.03</v>
      </c>
      <c r="W104" s="3">
        <v>57510.591892584504</v>
      </c>
      <c r="X104" s="1">
        <v>3.9249802747889001E-2</v>
      </c>
      <c r="Y104" s="1">
        <v>5.0475573345957896</v>
      </c>
      <c r="Z104" s="1">
        <v>5.04755734622014</v>
      </c>
      <c r="AA104" s="1">
        <v>-1.1624356588413301E-8</v>
      </c>
      <c r="AB104" s="1">
        <v>2.6167991399821499E-5</v>
      </c>
      <c r="AC104" s="1">
        <v>659.72297118324298</v>
      </c>
      <c r="AD104" s="1">
        <v>2014.1489646177099</v>
      </c>
      <c r="AE104" s="1">
        <v>572.905990408874</v>
      </c>
      <c r="AF104" s="6">
        <v>0</v>
      </c>
      <c r="AG104" s="1">
        <v>2.62392935741995E-5</v>
      </c>
      <c r="AH104" s="1">
        <v>39.874603525074001</v>
      </c>
      <c r="AI104" s="1">
        <v>0.246910976061682</v>
      </c>
      <c r="AJ104" s="1">
        <v>55.485402608686897</v>
      </c>
      <c r="AK104" s="1">
        <v>3.9178380092004699</v>
      </c>
      <c r="AL104" s="1">
        <v>1.0236047381170099</v>
      </c>
      <c r="AM104" s="1">
        <v>598.16775841085405</v>
      </c>
      <c r="AN104" s="1">
        <v>1.37617917062016E-9</v>
      </c>
      <c r="AO104" s="1">
        <v>7.1302174378045305E-8</v>
      </c>
      <c r="AP104" s="1">
        <v>3.6355816830110501</v>
      </c>
      <c r="AQ104" s="1">
        <v>6.4769264744604904E-5</v>
      </c>
      <c r="AR104" s="1">
        <v>1.31552978742888E-5</v>
      </c>
      <c r="AS104" s="1">
        <v>27.818088811271799</v>
      </c>
      <c r="AT104" s="1">
        <v>13.5784324288138</v>
      </c>
      <c r="AU104" s="1">
        <v>3.3526640043860301</v>
      </c>
      <c r="AV104" s="1">
        <v>0.28291767862502798</v>
      </c>
      <c r="AW104" s="1">
        <v>1.4145212846796E-2</v>
      </c>
      <c r="AX104" s="1">
        <v>0.28291766355242598</v>
      </c>
      <c r="AY104" s="1">
        <v>1.5072602110865999E-8</v>
      </c>
      <c r="AZ104" s="1">
        <v>1189751.8930438301</v>
      </c>
      <c r="BA104" s="1">
        <v>1.7815378773435198E-5</v>
      </c>
      <c r="BB104" s="4">
        <v>3114438.09877531</v>
      </c>
      <c r="BC104" s="4">
        <v>-1923.3660684428201</v>
      </c>
      <c r="BD104" s="7">
        <v>-6.1718324082127997E-2</v>
      </c>
      <c r="BE104" s="4">
        <v>3217681.8</v>
      </c>
      <c r="BF104" s="1">
        <v>0.96791363856280199</v>
      </c>
      <c r="BG104" s="1">
        <v>1</v>
      </c>
      <c r="BH104" s="1">
        <v>-2.1000000000000001E-2</v>
      </c>
      <c r="BI104" s="1">
        <v>4.5999999999999999E-2</v>
      </c>
      <c r="BJ104" s="1">
        <v>5625</v>
      </c>
      <c r="BK104" s="1">
        <v>1</v>
      </c>
      <c r="BL104" s="1">
        <v>88.422514133825999</v>
      </c>
      <c r="BM104" s="1">
        <v>3.11443809877531</v>
      </c>
      <c r="BN104" s="1">
        <v>88.422514133825999</v>
      </c>
      <c r="BO104" s="1">
        <v>1</v>
      </c>
      <c r="BP104" s="1">
        <v>2344.73987504058</v>
      </c>
      <c r="BQ104" s="1">
        <v>1</v>
      </c>
      <c r="BR104" s="1">
        <v>0.15240000000000001</v>
      </c>
    </row>
    <row r="105" spans="1:70">
      <c r="A105" s="2" t="s">
        <v>173</v>
      </c>
      <c r="B105" s="1">
        <v>12065825.263044599</v>
      </c>
      <c r="C105" s="1">
        <v>598.16775841223</v>
      </c>
      <c r="D105" s="1">
        <v>70.719127092772794</v>
      </c>
      <c r="E105" s="1">
        <v>654.056980860061</v>
      </c>
      <c r="F105" s="1">
        <v>2683685.08837691</v>
      </c>
      <c r="G105" s="1">
        <v>1493933.1953330799</v>
      </c>
      <c r="H105" s="1">
        <v>2.11454043590923E-5</v>
      </c>
      <c r="I105" s="1">
        <v>7.6371158483287804E-5</v>
      </c>
      <c r="J105" s="1">
        <v>0.51093471001103696</v>
      </c>
      <c r="K105" s="1">
        <v>6848.0719740579098</v>
      </c>
      <c r="L105" s="1">
        <v>8.69531901762856E-3</v>
      </c>
      <c r="M105" s="1">
        <v>104</v>
      </c>
      <c r="N105" s="1">
        <v>2359.8400242518101</v>
      </c>
      <c r="O105" s="3">
        <v>2.8502295699234199E-6</v>
      </c>
      <c r="P105" s="3">
        <v>5.98473400508856E-3</v>
      </c>
      <c r="Q105" s="3">
        <v>1.905E-3</v>
      </c>
      <c r="R105" s="1">
        <v>0.15240000000000001</v>
      </c>
      <c r="S105" s="4">
        <v>3323367.87890625</v>
      </c>
      <c r="T105" s="1">
        <v>505.32839124330701</v>
      </c>
      <c r="U105" s="5">
        <v>571.13621323246002</v>
      </c>
      <c r="V105" s="1">
        <v>0.03</v>
      </c>
      <c r="W105" s="3">
        <v>58863.782290057097</v>
      </c>
      <c r="X105" s="1">
        <v>3.8799010040635601E-2</v>
      </c>
      <c r="Y105" s="1">
        <v>5.0767955918201002</v>
      </c>
      <c r="Z105" s="1">
        <v>5.0767956483501004</v>
      </c>
      <c r="AA105" s="1">
        <v>-5.6530007341848399E-8</v>
      </c>
      <c r="AB105" s="1">
        <v>2.5268913480376799E-5</v>
      </c>
      <c r="AC105" s="1">
        <v>662.974878688339</v>
      </c>
      <c r="AD105" s="1">
        <v>2049.6678894582801</v>
      </c>
      <c r="AE105" s="1">
        <v>571.13621386220802</v>
      </c>
      <c r="AF105" s="6">
        <v>6.2974868342280398E-7</v>
      </c>
      <c r="AG105" s="1">
        <v>2.5342561666786901E-5</v>
      </c>
      <c r="AH105" s="1">
        <v>41.293357663586598</v>
      </c>
      <c r="AI105" s="1">
        <v>0.251265178533847</v>
      </c>
      <c r="AJ105" s="1">
        <v>54.534209853049198</v>
      </c>
      <c r="AK105" s="1">
        <v>4.1361944496332299</v>
      </c>
      <c r="AL105" s="1">
        <v>1.0236047381170099</v>
      </c>
      <c r="AM105" s="1">
        <v>598.16775830021095</v>
      </c>
      <c r="AN105" s="1">
        <v>1.12018938125402E-7</v>
      </c>
      <c r="AO105" s="1">
        <v>7.3648186410037306E-8</v>
      </c>
      <c r="AP105" s="1">
        <v>3.6751098206559099</v>
      </c>
      <c r="AQ105" s="1">
        <v>6.3383488425854895E-5</v>
      </c>
      <c r="AR105" s="1">
        <v>1.27081049265985E-5</v>
      </c>
      <c r="AS105" s="1">
        <v>27.346346040856101</v>
      </c>
      <c r="AT105" s="1">
        <v>13.492914599870099</v>
      </c>
      <c r="AU105" s="1">
        <v>3.39029959587831</v>
      </c>
      <c r="AV105" s="1">
        <v>0.28481022477759899</v>
      </c>
      <c r="AW105" s="1">
        <v>1.3659212666572501E-2</v>
      </c>
      <c r="AX105" s="1">
        <v>0.28481021272900597</v>
      </c>
      <c r="AY105" s="1">
        <v>1.20485920684921E-8</v>
      </c>
      <c r="AZ105" s="1">
        <v>1189751.8930438301</v>
      </c>
      <c r="BA105" s="1">
        <v>1.7246692349058198E-5</v>
      </c>
      <c r="BB105" s="4">
        <v>3322983.8472857899</v>
      </c>
      <c r="BC105" s="4">
        <v>-384.03162046475302</v>
      </c>
      <c r="BD105" s="7">
        <v>-1.15554953426083E-2</v>
      </c>
      <c r="BE105" s="4">
        <v>3438503.1</v>
      </c>
      <c r="BF105" s="1">
        <v>0.96640420283052397</v>
      </c>
      <c r="BG105" s="1">
        <v>1</v>
      </c>
      <c r="BH105" s="1">
        <v>-2.1000000000000001E-2</v>
      </c>
      <c r="BI105" s="1">
        <v>4.5999999999999999E-2</v>
      </c>
      <c r="BJ105" s="1">
        <v>5625</v>
      </c>
      <c r="BK105" s="1">
        <v>1</v>
      </c>
      <c r="BL105" s="1">
        <v>92.839367168923005</v>
      </c>
      <c r="BM105" s="1">
        <v>3.32298384728578</v>
      </c>
      <c r="BN105" s="1">
        <v>92.839367168923005</v>
      </c>
      <c r="BO105" s="1">
        <v>1</v>
      </c>
      <c r="BP105" s="1">
        <v>2791.99872281226</v>
      </c>
      <c r="BQ105" s="1">
        <v>1</v>
      </c>
      <c r="BR105" s="1">
        <v>0.15240000000000001</v>
      </c>
    </row>
    <row r="106" spans="1:70">
      <c r="A106" s="2" t="s">
        <v>174</v>
      </c>
      <c r="B106" s="1">
        <v>12065825.263044599</v>
      </c>
      <c r="C106" s="1">
        <v>598.16775841223</v>
      </c>
      <c r="D106" s="1">
        <v>70.719127092772794</v>
      </c>
      <c r="E106" s="1">
        <v>654.056980860061</v>
      </c>
      <c r="F106" s="1">
        <v>2683685.08837691</v>
      </c>
      <c r="G106" s="1">
        <v>1493933.1953330799</v>
      </c>
      <c r="H106" s="1">
        <v>2.11454043590923E-5</v>
      </c>
      <c r="I106" s="1">
        <v>7.6371158483287804E-5</v>
      </c>
      <c r="J106" s="1">
        <v>0.51093471001103696</v>
      </c>
      <c r="K106" s="1">
        <v>6848.0719740579098</v>
      </c>
      <c r="L106" s="1">
        <v>8.69531901762856E-3</v>
      </c>
      <c r="M106" s="1">
        <v>105</v>
      </c>
      <c r="N106" s="1">
        <v>2373.4023232417599</v>
      </c>
      <c r="O106" s="3">
        <v>2.8502295699234199E-6</v>
      </c>
      <c r="P106" s="3">
        <v>5.98473400508856E-3</v>
      </c>
      <c r="Q106" s="3">
        <v>1.905E-3</v>
      </c>
      <c r="R106" s="1">
        <v>0.15240000000000001</v>
      </c>
      <c r="S106" s="4">
        <v>3872772.55859375</v>
      </c>
      <c r="T106" s="1">
        <v>489.74374548652298</v>
      </c>
      <c r="U106" s="5">
        <v>565.99241875713005</v>
      </c>
      <c r="V106" s="1">
        <v>0.03</v>
      </c>
      <c r="W106" s="3">
        <v>59202.079889425098</v>
      </c>
      <c r="X106" s="1">
        <v>3.8689057939631698E-2</v>
      </c>
      <c r="Y106" s="1">
        <v>5.0840044557431696</v>
      </c>
      <c r="Z106" s="1">
        <v>5.0840044978888601</v>
      </c>
      <c r="AA106" s="1">
        <v>-4.2145681611316403E-8</v>
      </c>
      <c r="AB106" s="1">
        <v>2.5051945446299999E-5</v>
      </c>
      <c r="AC106" s="1">
        <v>675.01812988454299</v>
      </c>
      <c r="AD106" s="1">
        <v>2058.5245604412498</v>
      </c>
      <c r="AE106" s="1">
        <v>565.99241875713005</v>
      </c>
      <c r="AF106" s="6">
        <v>0</v>
      </c>
      <c r="AG106" s="1">
        <v>2.5136620968882202E-5</v>
      </c>
      <c r="AH106" s="1">
        <v>41.650988117952103</v>
      </c>
      <c r="AI106" s="1">
        <v>0.25235090223923201</v>
      </c>
      <c r="AJ106" s="1">
        <v>54.324778615166899</v>
      </c>
      <c r="AK106" s="1">
        <v>4.9078457773538098</v>
      </c>
      <c r="AL106" s="1">
        <v>1.0236047381170099</v>
      </c>
      <c r="AM106" s="1">
        <v>598.16775831803398</v>
      </c>
      <c r="AN106" s="1">
        <v>9.4196025202109E-8</v>
      </c>
      <c r="AO106" s="1">
        <v>8.4675522582185395E-8</v>
      </c>
      <c r="AP106" s="1">
        <v>3.6858810005906202</v>
      </c>
      <c r="AQ106" s="1">
        <v>6.3013580978410496E-5</v>
      </c>
      <c r="AR106" s="1">
        <v>1.26106482457322E-5</v>
      </c>
      <c r="AS106" s="1">
        <v>27.253888857664101</v>
      </c>
      <c r="AT106" s="1">
        <v>13.4759811065005</v>
      </c>
      <c r="AU106" s="1">
        <v>3.4006759907842299</v>
      </c>
      <c r="AV106" s="1">
        <v>0.28520500980639302</v>
      </c>
      <c r="AW106" s="1">
        <v>1.3541929724367401E-2</v>
      </c>
      <c r="AX106" s="1">
        <v>0.28520499360575702</v>
      </c>
      <c r="AY106" s="1">
        <v>1.6200636721031E-8</v>
      </c>
      <c r="AZ106" s="1">
        <v>1189751.8930438301</v>
      </c>
      <c r="BA106" s="1">
        <v>1.7095934721797401E-5</v>
      </c>
      <c r="BB106" s="4">
        <v>3854224.64911727</v>
      </c>
      <c r="BC106" s="4">
        <v>-18547.9094764777</v>
      </c>
      <c r="BD106" s="7">
        <v>-0.47893102927822401</v>
      </c>
      <c r="BE106" s="4">
        <v>3974783.4</v>
      </c>
      <c r="BF106" s="1">
        <v>0.96966910174709697</v>
      </c>
      <c r="BG106" s="1">
        <v>1</v>
      </c>
      <c r="BH106" s="1">
        <v>-2.3E-2</v>
      </c>
      <c r="BI106" s="1">
        <v>4.5999999999999999E-2</v>
      </c>
      <c r="BJ106" s="1">
        <v>5625</v>
      </c>
      <c r="BK106" s="1">
        <v>1</v>
      </c>
      <c r="BL106" s="1">
        <v>108.424012925707</v>
      </c>
      <c r="BM106" s="1">
        <v>3.85422464911727</v>
      </c>
      <c r="BN106" s="1">
        <v>108.424012925707</v>
      </c>
      <c r="BO106" s="1">
        <v>1</v>
      </c>
      <c r="BP106" s="1">
        <v>4681.8455448573204</v>
      </c>
      <c r="BQ106" s="1">
        <v>1</v>
      </c>
      <c r="BR106" s="1">
        <v>0.15240000000000001</v>
      </c>
    </row>
    <row r="107" spans="1:70">
      <c r="A107" s="2" t="s">
        <v>175</v>
      </c>
      <c r="B107" s="1">
        <v>12065825.263044599</v>
      </c>
      <c r="C107" s="1">
        <v>598.16775841223</v>
      </c>
      <c r="D107" s="1">
        <v>70.719127092772794</v>
      </c>
      <c r="E107" s="1">
        <v>654.056980860061</v>
      </c>
      <c r="F107" s="1">
        <v>2683685.08837691</v>
      </c>
      <c r="G107" s="1">
        <v>1493933.1953330799</v>
      </c>
      <c r="H107" s="1">
        <v>2.11454043590923E-5</v>
      </c>
      <c r="I107" s="1">
        <v>7.6371158483287804E-5</v>
      </c>
      <c r="J107" s="1">
        <v>0.51093471001103696</v>
      </c>
      <c r="K107" s="1">
        <v>6848.0719740579098</v>
      </c>
      <c r="L107" s="1">
        <v>8.69531901762856E-3</v>
      </c>
      <c r="M107" s="1">
        <v>106</v>
      </c>
      <c r="N107" s="1">
        <v>2427.65151920157</v>
      </c>
      <c r="O107" s="3">
        <v>2.8502295699234199E-6</v>
      </c>
      <c r="P107" s="3">
        <v>5.98473400508856E-3</v>
      </c>
      <c r="Q107" s="3">
        <v>1.905E-3</v>
      </c>
      <c r="R107" s="1">
        <v>0.15240000000000001</v>
      </c>
      <c r="S107" s="4">
        <v>3996234.31640625</v>
      </c>
      <c r="T107" s="1">
        <v>488.095222083176</v>
      </c>
      <c r="U107" s="5">
        <v>565.016459415393</v>
      </c>
      <c r="V107" s="1">
        <v>0.03</v>
      </c>
      <c r="W107" s="3">
        <v>60555.270286897699</v>
      </c>
      <c r="X107" s="1">
        <v>3.82597250109772E-2</v>
      </c>
      <c r="Y107" s="1">
        <v>5.1124500501846102</v>
      </c>
      <c r="Z107" s="1">
        <v>5.1124500834252897</v>
      </c>
      <c r="AA107" s="1">
        <v>-3.3240684871316301E-8</v>
      </c>
      <c r="AB107" s="1">
        <v>2.42135130078799E-5</v>
      </c>
      <c r="AC107" s="1">
        <v>676.12142444051005</v>
      </c>
      <c r="AD107" s="1">
        <v>2093.8611544431301</v>
      </c>
      <c r="AE107" s="1">
        <v>565.01646017660698</v>
      </c>
      <c r="AF107" s="6">
        <v>7.6121420988783896E-7</v>
      </c>
      <c r="AG107" s="1">
        <v>2.4298526274741E-5</v>
      </c>
      <c r="AH107" s="1">
        <v>43.093221614552803</v>
      </c>
      <c r="AI107" s="1">
        <v>0.25668275309484001</v>
      </c>
      <c r="AJ107" s="1">
        <v>53.414950421938002</v>
      </c>
      <c r="AK107" s="1">
        <v>4.9917653237325199</v>
      </c>
      <c r="AL107" s="1">
        <v>1.0236047381170099</v>
      </c>
      <c r="AM107" s="1">
        <v>598.16775827399897</v>
      </c>
      <c r="AN107" s="1">
        <v>1.382314849252E-7</v>
      </c>
      <c r="AO107" s="1">
        <v>8.5013266861042495E-8</v>
      </c>
      <c r="AP107" s="1">
        <v>3.72462494034481</v>
      </c>
      <c r="AQ107" s="1">
        <v>6.1709451513758797E-5</v>
      </c>
      <c r="AR107" s="1">
        <v>1.2191769770800999E-5</v>
      </c>
      <c r="AS107" s="1">
        <v>26.800916668760401</v>
      </c>
      <c r="AT107" s="1">
        <v>13.3921804549505</v>
      </c>
      <c r="AU107" s="1">
        <v>3.4375417491195801</v>
      </c>
      <c r="AV107" s="1">
        <v>0.28708319122522502</v>
      </c>
      <c r="AW107" s="1">
        <v>1.30887117024756E-2</v>
      </c>
      <c r="AX107" s="1">
        <v>0.28708315801375001</v>
      </c>
      <c r="AY107" s="1">
        <v>3.3211474848027203E-8</v>
      </c>
      <c r="AZ107" s="1">
        <v>1189751.8930438301</v>
      </c>
      <c r="BA107" s="1">
        <v>1.6567963889552399E-5</v>
      </c>
      <c r="BB107" s="4">
        <v>3992910.31786429</v>
      </c>
      <c r="BC107" s="4">
        <v>-3323.99854195956</v>
      </c>
      <c r="BD107" s="7">
        <v>-8.3178269310013306E-2</v>
      </c>
      <c r="BE107" s="4">
        <v>4069421.1</v>
      </c>
      <c r="BF107" s="1">
        <v>0.98119860779811896</v>
      </c>
      <c r="BG107" s="1">
        <v>1</v>
      </c>
      <c r="BH107" s="1">
        <v>-2.9000000000000001E-2</v>
      </c>
      <c r="BI107" s="1">
        <v>4.5999999999999999E-2</v>
      </c>
      <c r="BJ107" s="1">
        <v>5625</v>
      </c>
      <c r="BK107" s="1">
        <v>1</v>
      </c>
      <c r="BL107" s="1">
        <v>110.072536329054</v>
      </c>
      <c r="BM107" s="1">
        <v>3.9929103178642902</v>
      </c>
      <c r="BN107" s="1">
        <v>110.072536329054</v>
      </c>
      <c r="BO107" s="1">
        <v>1</v>
      </c>
      <c r="BP107" s="1">
        <v>4910.1603475865904</v>
      </c>
      <c r="BQ107" s="1">
        <v>1</v>
      </c>
      <c r="BR107" s="1">
        <v>0.15240000000000001</v>
      </c>
    </row>
    <row r="108" spans="1:70">
      <c r="A108" s="2" t="s">
        <v>176</v>
      </c>
      <c r="B108" s="1">
        <v>12065825.263044599</v>
      </c>
      <c r="C108" s="1">
        <v>598.16775841223</v>
      </c>
      <c r="D108" s="1">
        <v>70.719127092772794</v>
      </c>
      <c r="E108" s="1">
        <v>654.056980860061</v>
      </c>
      <c r="F108" s="1">
        <v>2683685.08837691</v>
      </c>
      <c r="G108" s="1">
        <v>1493933.1953330799</v>
      </c>
      <c r="H108" s="1">
        <v>2.11454043590923E-5</v>
      </c>
      <c r="I108" s="1">
        <v>7.6371158483287804E-5</v>
      </c>
      <c r="J108" s="1">
        <v>0.51093471001103696</v>
      </c>
      <c r="K108" s="1">
        <v>6848.0719740579098</v>
      </c>
      <c r="L108" s="1">
        <v>8.69531901762856E-3</v>
      </c>
      <c r="M108" s="1">
        <v>107</v>
      </c>
      <c r="N108" s="1">
        <v>2509.0253131412901</v>
      </c>
      <c r="O108" s="3">
        <v>2.8502295699234199E-6</v>
      </c>
      <c r="P108" s="3">
        <v>5.98473400508856E-3</v>
      </c>
      <c r="Q108" s="3">
        <v>1.905E-3</v>
      </c>
      <c r="R108" s="1">
        <v>0.15240000000000001</v>
      </c>
      <c r="S108" s="4">
        <v>5177421.33203125</v>
      </c>
      <c r="T108" s="1">
        <v>457.53598356801803</v>
      </c>
      <c r="U108" s="5">
        <v>553.96109025150304</v>
      </c>
      <c r="V108" s="1">
        <v>0.03</v>
      </c>
      <c r="W108" s="3">
        <v>62585.055883106601</v>
      </c>
      <c r="X108" s="1">
        <v>3.7645423118246299E-2</v>
      </c>
      <c r="Y108" s="1">
        <v>5.1539939996903597</v>
      </c>
      <c r="Z108" s="1">
        <v>5.1539940048134598</v>
      </c>
      <c r="AA108" s="1">
        <v>-5.1230975017801897E-9</v>
      </c>
      <c r="AB108" s="1">
        <v>2.3038280944948399E-5</v>
      </c>
      <c r="AC108" s="1">
        <v>699.84347499628996</v>
      </c>
      <c r="AD108" s="1">
        <v>2146.6030722262399</v>
      </c>
      <c r="AE108" s="1">
        <v>553.96109025150395</v>
      </c>
      <c r="AF108" s="6">
        <v>0</v>
      </c>
      <c r="AG108" s="1">
        <v>2.3142600953323599E-5</v>
      </c>
      <c r="AH108" s="1">
        <v>45.291499162146501</v>
      </c>
      <c r="AI108" s="1">
        <v>0.26314829195415801</v>
      </c>
      <c r="AJ108" s="1">
        <v>52.155357801270704</v>
      </c>
      <c r="AK108" s="1">
        <v>6.5357761019731102</v>
      </c>
      <c r="AL108" s="1">
        <v>1.0236047381170099</v>
      </c>
      <c r="AM108" s="1">
        <v>598.16775834802002</v>
      </c>
      <c r="AN108" s="1">
        <v>6.4209530137304696E-8</v>
      </c>
      <c r="AO108" s="1">
        <v>1.04320008375231E-7</v>
      </c>
      <c r="AP108" s="1">
        <v>3.78376731985268</v>
      </c>
      <c r="AQ108" s="1">
        <v>5.9795422178840497E-5</v>
      </c>
      <c r="AR108" s="1">
        <v>1.16234604808494E-5</v>
      </c>
      <c r="AS108" s="1">
        <v>26.195229373324601</v>
      </c>
      <c r="AT108" s="1">
        <v>13.277886545999801</v>
      </c>
      <c r="AU108" s="1">
        <v>3.4940531653409299</v>
      </c>
      <c r="AV108" s="1">
        <v>0.28971415451174298</v>
      </c>
      <c r="AW108" s="1">
        <v>1.2453435290902801E-2</v>
      </c>
      <c r="AX108" s="1">
        <v>0.28971414970586501</v>
      </c>
      <c r="AY108" s="1">
        <v>4.8058774182457903E-9</v>
      </c>
      <c r="AZ108" s="1">
        <v>1189751.8930438301</v>
      </c>
      <c r="BA108" s="1">
        <v>1.58031446239059E-5</v>
      </c>
      <c r="BB108" s="4">
        <v>5136840.5882146498</v>
      </c>
      <c r="BC108" s="4">
        <v>-40580.743816600203</v>
      </c>
      <c r="BD108" s="7">
        <v>-0.78380222922053</v>
      </c>
      <c r="BE108" s="4">
        <v>5110435.8</v>
      </c>
      <c r="BF108" s="1">
        <v>1.0051668368898501</v>
      </c>
      <c r="BG108" s="1">
        <v>1</v>
      </c>
      <c r="BH108" s="1">
        <v>-4.5999999999999999E-2</v>
      </c>
      <c r="BI108" s="1">
        <v>4.5999999999999999E-2</v>
      </c>
      <c r="BJ108" s="1">
        <v>5625</v>
      </c>
      <c r="BK108" s="1">
        <v>1</v>
      </c>
      <c r="BL108" s="1">
        <v>140.631774844212</v>
      </c>
      <c r="BM108" s="1">
        <v>5.1368405882146497</v>
      </c>
      <c r="BN108" s="1">
        <v>140.631774844212</v>
      </c>
      <c r="BO108" s="1">
        <v>1</v>
      </c>
      <c r="BP108" s="1">
        <v>10126.7541082962</v>
      </c>
      <c r="BQ108" s="1">
        <v>1</v>
      </c>
      <c r="BR108" s="1">
        <v>0.15240000000000001</v>
      </c>
    </row>
    <row r="109" spans="1:70">
      <c r="A109" s="2" t="s">
        <v>177</v>
      </c>
      <c r="B109" s="1">
        <v>12065825.263044599</v>
      </c>
      <c r="C109" s="1">
        <v>598.16775841223</v>
      </c>
      <c r="D109" s="1">
        <v>70.719127092772794</v>
      </c>
      <c r="E109" s="1">
        <v>654.056980860061</v>
      </c>
      <c r="F109" s="1">
        <v>2683685.08837691</v>
      </c>
      <c r="G109" s="1">
        <v>1493933.1953330799</v>
      </c>
      <c r="H109" s="1">
        <v>2.11454043590923E-5</v>
      </c>
      <c r="I109" s="1">
        <v>7.6371158483287804E-5</v>
      </c>
      <c r="J109" s="1">
        <v>0.51093471001103696</v>
      </c>
      <c r="K109" s="1">
        <v>6848.0719740579098</v>
      </c>
      <c r="L109" s="1">
        <v>8.69531901762856E-3</v>
      </c>
      <c r="M109" s="1">
        <v>108</v>
      </c>
      <c r="N109" s="1">
        <v>2509.0253131412901</v>
      </c>
      <c r="O109" s="3">
        <v>2.8502295699234199E-6</v>
      </c>
      <c r="P109" s="3">
        <v>5.98473400508856E-3</v>
      </c>
      <c r="Q109" s="3">
        <v>1.905E-3</v>
      </c>
      <c r="R109" s="1">
        <v>0.15240000000000001</v>
      </c>
      <c r="S109" s="4">
        <v>5156818.41796875</v>
      </c>
      <c r="T109" s="1">
        <v>458.12079612380802</v>
      </c>
      <c r="U109" s="5">
        <v>554.16219090535196</v>
      </c>
      <c r="V109" s="1">
        <v>0.03</v>
      </c>
      <c r="W109" s="3">
        <v>62585.055883106601</v>
      </c>
      <c r="X109" s="1">
        <v>3.7645423118246299E-2</v>
      </c>
      <c r="Y109" s="1">
        <v>5.1539939996903597</v>
      </c>
      <c r="Z109" s="1">
        <v>5.1539940048134598</v>
      </c>
      <c r="AA109" s="1">
        <v>-5.1230975017801897E-9</v>
      </c>
      <c r="AB109" s="1">
        <v>2.3038280944948399E-5</v>
      </c>
      <c r="AC109" s="1">
        <v>699.37960283900497</v>
      </c>
      <c r="AD109" s="1">
        <v>2146.6030722262399</v>
      </c>
      <c r="AE109" s="1">
        <v>554.16219090535196</v>
      </c>
      <c r="AF109" s="6">
        <v>0</v>
      </c>
      <c r="AG109" s="1">
        <v>2.31420236618074E-5</v>
      </c>
      <c r="AH109" s="1">
        <v>45.291499162146501</v>
      </c>
      <c r="AI109" s="1">
        <v>0.26314829195415801</v>
      </c>
      <c r="AJ109" s="1">
        <v>52.154056787368098</v>
      </c>
      <c r="AK109" s="1">
        <v>6.5059842020458403</v>
      </c>
      <c r="AL109" s="1">
        <v>1.0236047381170099</v>
      </c>
      <c r="AM109" s="1">
        <v>598.16775834836699</v>
      </c>
      <c r="AN109" s="1">
        <v>6.3863467403280096E-8</v>
      </c>
      <c r="AO109" s="1">
        <v>1.03742716859005E-7</v>
      </c>
      <c r="AP109" s="1">
        <v>3.7837066183736101</v>
      </c>
      <c r="AQ109" s="1">
        <v>5.9797340773514398E-5</v>
      </c>
      <c r="AR109" s="1">
        <v>1.1622883189333201E-5</v>
      </c>
      <c r="AS109" s="1">
        <v>26.1939283594219</v>
      </c>
      <c r="AT109" s="1">
        <v>13.277638209519599</v>
      </c>
      <c r="AU109" s="1">
        <v>3.4939878160203501</v>
      </c>
      <c r="AV109" s="1">
        <v>0.28971880235325698</v>
      </c>
      <c r="AW109" s="1">
        <v>1.2453435290902801E-2</v>
      </c>
      <c r="AX109" s="1">
        <v>0.289718797549677</v>
      </c>
      <c r="AY109" s="1">
        <v>4.8035798672074698E-9</v>
      </c>
      <c r="AZ109" s="1">
        <v>1189751.8930438301</v>
      </c>
      <c r="BA109" s="1">
        <v>1.58039052190621E-5</v>
      </c>
      <c r="BB109" s="4">
        <v>5108168.2183710197</v>
      </c>
      <c r="BC109" s="4">
        <v>-48650.199597733103</v>
      </c>
      <c r="BD109" s="7">
        <v>-0.94341502171597102</v>
      </c>
      <c r="BE109" s="4">
        <v>5110435.8</v>
      </c>
      <c r="BF109" s="1">
        <v>0.99955628409831798</v>
      </c>
      <c r="BG109" s="1">
        <v>1</v>
      </c>
      <c r="BH109" s="1">
        <v>-4.2999999999999997E-2</v>
      </c>
      <c r="BI109" s="1">
        <v>4.5999999999999999E-2</v>
      </c>
      <c r="BJ109" s="1">
        <v>5625</v>
      </c>
      <c r="BK109" s="1">
        <v>1</v>
      </c>
      <c r="BL109" s="1">
        <v>140.04696228842201</v>
      </c>
      <c r="BM109" s="1">
        <v>5.10816821837102</v>
      </c>
      <c r="BN109" s="1">
        <v>140.04696228842201</v>
      </c>
      <c r="BO109" s="1">
        <v>1</v>
      </c>
      <c r="BP109" s="1">
        <v>10009.3946631409</v>
      </c>
      <c r="BQ109" s="1">
        <v>1</v>
      </c>
      <c r="BR109" s="1">
        <v>0.15240000000000001</v>
      </c>
    </row>
    <row r="110" spans="1:70">
      <c r="A110" s="2" t="s">
        <v>178</v>
      </c>
      <c r="B110" s="1">
        <v>12065825.263044599</v>
      </c>
      <c r="C110" s="1">
        <v>598.16775841223</v>
      </c>
      <c r="D110" s="1">
        <v>70.719127092772794</v>
      </c>
      <c r="E110" s="1">
        <v>654.056980860061</v>
      </c>
      <c r="F110" s="1">
        <v>2683685.08837691</v>
      </c>
      <c r="G110" s="1">
        <v>1493933.1953330799</v>
      </c>
      <c r="H110" s="1">
        <v>2.11454043590923E-5</v>
      </c>
      <c r="I110" s="1">
        <v>7.6371158483287804E-5</v>
      </c>
      <c r="J110" s="1">
        <v>0.51093471001103696</v>
      </c>
      <c r="K110" s="1">
        <v>6848.0719740579098</v>
      </c>
      <c r="L110" s="1">
        <v>8.69531901762856E-3</v>
      </c>
      <c r="M110" s="1">
        <v>109</v>
      </c>
      <c r="N110" s="1">
        <v>2563.2745091011002</v>
      </c>
      <c r="O110" s="3">
        <v>2.8502295699234199E-6</v>
      </c>
      <c r="P110" s="3">
        <v>5.98473400508856E-3</v>
      </c>
      <c r="Q110" s="3">
        <v>1.905E-3</v>
      </c>
      <c r="R110" s="1">
        <v>0.15240000000000001</v>
      </c>
      <c r="S110" s="4">
        <v>4541772.94921875</v>
      </c>
      <c r="T110" s="1">
        <v>477.56256686264697</v>
      </c>
      <c r="U110" s="5">
        <v>560.35906386805698</v>
      </c>
      <c r="V110" s="1">
        <v>0.03</v>
      </c>
      <c r="W110" s="3">
        <v>63938.2462805791</v>
      </c>
      <c r="X110" s="1">
        <v>3.72543332247815E-2</v>
      </c>
      <c r="Y110" s="1">
        <v>5.1809762634966701</v>
      </c>
      <c r="Z110" s="1">
        <v>5.1809763082277902</v>
      </c>
      <c r="AA110" s="1">
        <v>-4.4731123693963997E-8</v>
      </c>
      <c r="AB110" s="1">
        <v>2.2305158130225799E-5</v>
      </c>
      <c r="AC110" s="1">
        <v>683.84871322237098</v>
      </c>
      <c r="AD110" s="1">
        <v>2181.5949940127598</v>
      </c>
      <c r="AE110" s="1">
        <v>560.35906470654402</v>
      </c>
      <c r="AF110" s="6">
        <v>8.3848703980038398E-7</v>
      </c>
      <c r="AG110" s="1">
        <v>2.2394769029829302E-5</v>
      </c>
      <c r="AH110" s="1">
        <v>46.780133815839598</v>
      </c>
      <c r="AI110" s="1">
        <v>0.26743789004961099</v>
      </c>
      <c r="AJ110" s="1">
        <v>51.292720217897703</v>
      </c>
      <c r="AK110" s="1">
        <v>5.52242437259192</v>
      </c>
      <c r="AL110" s="1">
        <v>1.0236047381170099</v>
      </c>
      <c r="AM110" s="1">
        <v>598.16775834528403</v>
      </c>
      <c r="AN110" s="1">
        <v>6.6946427068614906E-8</v>
      </c>
      <c r="AO110" s="1">
        <v>8.9610899603444706E-8</v>
      </c>
      <c r="AP110" s="1">
        <v>3.81970098796186</v>
      </c>
      <c r="AQ110" s="1">
        <v>5.8675668507990003E-5</v>
      </c>
      <c r="AR110" s="1">
        <v>1.12421899647164E-5</v>
      </c>
      <c r="AS110" s="1">
        <v>25.748981993454802</v>
      </c>
      <c r="AT110" s="1">
        <v>13.1919754604674</v>
      </c>
      <c r="AU110" s="1">
        <v>3.52803408273365</v>
      </c>
      <c r="AV110" s="1">
        <v>0.29166690522820099</v>
      </c>
      <c r="AW110" s="1">
        <v>1.2057142809044101E-2</v>
      </c>
      <c r="AX110" s="1">
        <v>0.29166689847382099</v>
      </c>
      <c r="AY110" s="1">
        <v>6.7543798332181398E-9</v>
      </c>
      <c r="AZ110" s="1">
        <v>1189751.8930438301</v>
      </c>
      <c r="BA110" s="1">
        <v>1.5361325059975099E-5</v>
      </c>
      <c r="BB110" s="4">
        <v>4539459.5201459099</v>
      </c>
      <c r="BC110" s="4">
        <v>-2313.4290728382798</v>
      </c>
      <c r="BD110" s="7">
        <v>-5.0936695838928299E-2</v>
      </c>
      <c r="BE110" s="4">
        <v>4605701.4000000004</v>
      </c>
      <c r="BF110" s="1">
        <v>0.98561741760894706</v>
      </c>
      <c r="BG110" s="1">
        <v>1</v>
      </c>
      <c r="BH110" s="1">
        <v>-3.5999999999999997E-2</v>
      </c>
      <c r="BI110" s="1">
        <v>4.5999999999999999E-2</v>
      </c>
      <c r="BJ110" s="1">
        <v>5625</v>
      </c>
      <c r="BK110" s="1">
        <v>1</v>
      </c>
      <c r="BL110" s="1">
        <v>120.605191549583</v>
      </c>
      <c r="BM110" s="1">
        <v>4.5394595201459103</v>
      </c>
      <c r="BN110" s="1">
        <v>120.605191549583</v>
      </c>
      <c r="BO110" s="1">
        <v>1</v>
      </c>
      <c r="BP110" s="1">
        <v>6497.1969047449702</v>
      </c>
      <c r="BQ110" s="1">
        <v>1</v>
      </c>
      <c r="BR110" s="1">
        <v>0.15240000000000001</v>
      </c>
    </row>
    <row r="111" spans="1:70">
      <c r="A111" s="2" t="s">
        <v>179</v>
      </c>
      <c r="B111" s="1">
        <v>12065825.263044599</v>
      </c>
      <c r="C111" s="1">
        <v>598.16775841223</v>
      </c>
      <c r="D111" s="1">
        <v>70.719127092772794</v>
      </c>
      <c r="E111" s="1">
        <v>654.056980860061</v>
      </c>
      <c r="F111" s="1">
        <v>2683685.08837691</v>
      </c>
      <c r="G111" s="1">
        <v>1493933.1953330799</v>
      </c>
      <c r="H111" s="1">
        <v>2.11454043590923E-5</v>
      </c>
      <c r="I111" s="1">
        <v>7.6371158483287804E-5</v>
      </c>
      <c r="J111" s="1">
        <v>0.51093471001103696</v>
      </c>
      <c r="K111" s="1">
        <v>6848.0719740579098</v>
      </c>
      <c r="L111" s="1">
        <v>8.69531901762856E-3</v>
      </c>
      <c r="M111" s="1">
        <v>110</v>
      </c>
      <c r="N111" s="1">
        <v>2576.83680809105</v>
      </c>
      <c r="O111" s="3">
        <v>2.8502295699234199E-6</v>
      </c>
      <c r="P111" s="3">
        <v>5.98473400508856E-3</v>
      </c>
      <c r="Q111" s="3">
        <v>1.905E-3</v>
      </c>
      <c r="R111" s="1">
        <v>0.15240000000000001</v>
      </c>
      <c r="S111" s="4">
        <v>4077429.4766562502</v>
      </c>
      <c r="T111" s="1">
        <v>490.87515158354</v>
      </c>
      <c r="U111" s="5">
        <v>564.81545100795302</v>
      </c>
      <c r="V111" s="1">
        <v>0.03</v>
      </c>
      <c r="W111" s="3">
        <v>64276.543879947203</v>
      </c>
      <c r="X111" s="1">
        <v>3.71587429954593E-2</v>
      </c>
      <c r="Y111" s="1">
        <v>5.1876359695613896</v>
      </c>
      <c r="Z111" s="1">
        <v>5.1876360006330202</v>
      </c>
      <c r="AA111" s="1">
        <v>-3.1071621720002401E-8</v>
      </c>
      <c r="AB111" s="1">
        <v>2.2127762093614899E-5</v>
      </c>
      <c r="AC111" s="1">
        <v>673.46298451091104</v>
      </c>
      <c r="AD111" s="1">
        <v>2190.3223508466499</v>
      </c>
      <c r="AE111" s="1">
        <v>564.81545100795302</v>
      </c>
      <c r="AF111" s="6">
        <v>0</v>
      </c>
      <c r="AG111" s="1">
        <v>2.2206947011831699E-5</v>
      </c>
      <c r="AH111" s="1">
        <v>47.155165429789001</v>
      </c>
      <c r="AI111" s="1">
        <v>0.268507761361092</v>
      </c>
      <c r="AJ111" s="1">
        <v>51.066007752317297</v>
      </c>
      <c r="AK111" s="1">
        <v>4.8564958755838497</v>
      </c>
      <c r="AL111" s="1">
        <v>1.0236047381170099</v>
      </c>
      <c r="AM111" s="1">
        <v>598.16775837556804</v>
      </c>
      <c r="AN111" s="1">
        <v>3.6662186175817597E-8</v>
      </c>
      <c r="AO111" s="1">
        <v>7.9184918216793594E-8</v>
      </c>
      <c r="AP111" s="1">
        <v>3.8278298271159099</v>
      </c>
      <c r="AQ111" s="1">
        <v>5.8426723989637297E-5</v>
      </c>
      <c r="AR111" s="1">
        <v>1.1143065965024301E-5</v>
      </c>
      <c r="AS111" s="1">
        <v>25.624048756064301</v>
      </c>
      <c r="AT111" s="1">
        <v>13.167656575274901</v>
      </c>
      <c r="AU111" s="1">
        <v>3.5356179893987298</v>
      </c>
      <c r="AV111" s="1">
        <v>0.29221183771718201</v>
      </c>
      <c r="AW111" s="1">
        <v>1.19612506689979E-2</v>
      </c>
      <c r="AX111" s="1">
        <v>0.29221183046017002</v>
      </c>
      <c r="AY111" s="1">
        <v>7.2570114362235902E-9</v>
      </c>
      <c r="AZ111" s="1">
        <v>1189751.8930438301</v>
      </c>
      <c r="BA111" s="1">
        <v>1.5263668090924301E-5</v>
      </c>
      <c r="BB111" s="4">
        <v>4036970.2469377401</v>
      </c>
      <c r="BC111" s="4">
        <v>-40459.229718508701</v>
      </c>
      <c r="BD111" s="7">
        <v>-0.99227294917404196</v>
      </c>
      <c r="BE111" s="4">
        <v>3974783.4</v>
      </c>
      <c r="BF111" s="1">
        <v>1.01564534231922</v>
      </c>
      <c r="BG111" s="1">
        <v>1</v>
      </c>
      <c r="BH111" s="1">
        <v>-5.3999999999999999E-2</v>
      </c>
      <c r="BI111" s="1">
        <v>4.5999999999999999E-2</v>
      </c>
      <c r="BJ111" s="1">
        <v>5625</v>
      </c>
      <c r="BK111" s="1">
        <v>1</v>
      </c>
      <c r="BL111" s="1">
        <v>107.29260682869</v>
      </c>
      <c r="BM111" s="1">
        <v>4.0369702469377398</v>
      </c>
      <c r="BN111" s="1">
        <v>107.29260682869</v>
      </c>
      <c r="BO111" s="1">
        <v>1</v>
      </c>
      <c r="BP111" s="1">
        <v>4528.2949338006601</v>
      </c>
      <c r="BQ111" s="1">
        <v>1</v>
      </c>
      <c r="BR111" s="1">
        <v>0.15240000000000001</v>
      </c>
    </row>
    <row r="112" spans="1:70">
      <c r="A112" s="2" t="s">
        <v>180</v>
      </c>
      <c r="B112" s="1">
        <v>12065825.263044599</v>
      </c>
      <c r="C112" s="1">
        <v>598.16775841223</v>
      </c>
      <c r="D112" s="1">
        <v>70.719127092772794</v>
      </c>
      <c r="E112" s="1">
        <v>654.056980860061</v>
      </c>
      <c r="F112" s="1">
        <v>2683685.08837691</v>
      </c>
      <c r="G112" s="1">
        <v>1493933.1953330799</v>
      </c>
      <c r="H112" s="1">
        <v>2.11454043590923E-5</v>
      </c>
      <c r="I112" s="1">
        <v>7.6371158483287804E-5</v>
      </c>
      <c r="J112" s="1">
        <v>0.51093471001103696</v>
      </c>
      <c r="K112" s="1">
        <v>6848.0719740579098</v>
      </c>
      <c r="L112" s="1">
        <v>8.69531901762856E-3</v>
      </c>
      <c r="M112" s="1">
        <v>111</v>
      </c>
      <c r="N112" s="1">
        <v>2590.3991070810098</v>
      </c>
      <c r="O112" s="3">
        <v>2.8502295699234199E-6</v>
      </c>
      <c r="P112" s="3">
        <v>5.98473400508856E-3</v>
      </c>
      <c r="Q112" s="3">
        <v>1.905E-3</v>
      </c>
      <c r="R112" s="1">
        <v>0.15240000000000001</v>
      </c>
      <c r="S112" s="4">
        <v>4577493.00390625</v>
      </c>
      <c r="T112" s="1">
        <v>477.56256686264697</v>
      </c>
      <c r="U112" s="5">
        <v>560.13644264998595</v>
      </c>
      <c r="V112" s="1">
        <v>0.03</v>
      </c>
      <c r="W112" s="3">
        <v>64614.841479315503</v>
      </c>
      <c r="X112" s="1">
        <v>3.7064000565584697E-2</v>
      </c>
      <c r="Y112" s="1">
        <v>5.1942620156714003</v>
      </c>
      <c r="Z112" s="1">
        <v>5.1942620358384497</v>
      </c>
      <c r="AA112" s="1">
        <v>-2.0167054692876701E-8</v>
      </c>
      <c r="AB112" s="1">
        <v>2.19526362518863E-5</v>
      </c>
      <c r="AC112" s="1">
        <v>683.74516302586301</v>
      </c>
      <c r="AD112" s="1">
        <v>2199.0415788359201</v>
      </c>
      <c r="AE112" s="1">
        <v>560.13644348743799</v>
      </c>
      <c r="AF112" s="6">
        <v>8.3745158008241603E-7</v>
      </c>
      <c r="AG112" s="1">
        <v>2.2042438728113199E-5</v>
      </c>
      <c r="AH112" s="1">
        <v>47.531342939541801</v>
      </c>
      <c r="AI112" s="1">
        <v>0.26957663617182098</v>
      </c>
      <c r="AJ112" s="1">
        <v>50.889490038912299</v>
      </c>
      <c r="AK112" s="1">
        <v>5.5227737062762401</v>
      </c>
      <c r="AL112" s="1">
        <v>1.0236047381170099</v>
      </c>
      <c r="AM112" s="1">
        <v>598.16775827583103</v>
      </c>
      <c r="AN112" s="1">
        <v>1.3639896678796501E-7</v>
      </c>
      <c r="AO112" s="1">
        <v>8.9802476226831696E-8</v>
      </c>
      <c r="AP112" s="1">
        <v>3.83828387513182</v>
      </c>
      <c r="AQ112" s="1">
        <v>5.81088923709499E-5</v>
      </c>
      <c r="AR112" s="1">
        <v>1.106612060217E-5</v>
      </c>
      <c r="AS112" s="1">
        <v>25.5484087355219</v>
      </c>
      <c r="AT112" s="1">
        <v>13.152875171500501</v>
      </c>
      <c r="AU112" s="1">
        <v>3.5457078447209698</v>
      </c>
      <c r="AV112" s="1">
        <v>0.29257603041084201</v>
      </c>
      <c r="AW112" s="1">
        <v>1.1866585691912899E-2</v>
      </c>
      <c r="AX112" s="1">
        <v>0.29257602252564502</v>
      </c>
      <c r="AY112" s="1">
        <v>7.8851968843274295E-9</v>
      </c>
      <c r="AZ112" s="1">
        <v>1189751.8930438301</v>
      </c>
      <c r="BA112" s="1">
        <v>1.5139289917412501E-5</v>
      </c>
      <c r="BB112" s="4">
        <v>4615883.0428418703</v>
      </c>
      <c r="BC112" s="4">
        <v>38390.038935623103</v>
      </c>
      <c r="BD112" s="7">
        <v>0.83866952724695798</v>
      </c>
      <c r="BE112" s="4">
        <v>4542609.5999999996</v>
      </c>
      <c r="BF112" s="1">
        <v>1.0161302531570999</v>
      </c>
      <c r="BG112" s="1">
        <v>1</v>
      </c>
      <c r="BH112" s="1">
        <v>-4.7E-2</v>
      </c>
      <c r="BI112" s="1">
        <v>4.5999999999999999E-2</v>
      </c>
      <c r="BJ112" s="1">
        <v>5625</v>
      </c>
      <c r="BK112" s="1">
        <v>1</v>
      </c>
      <c r="BL112" s="1">
        <v>120.605191549583</v>
      </c>
      <c r="BM112" s="1">
        <v>4.6158830428418698</v>
      </c>
      <c r="BN112" s="1">
        <v>120.605191549583</v>
      </c>
      <c r="BO112" s="1">
        <v>1</v>
      </c>
      <c r="BP112" s="1">
        <v>6497.1969047449702</v>
      </c>
      <c r="BQ112" s="1">
        <v>1</v>
      </c>
      <c r="BR112" s="1">
        <v>0.15240000000000001</v>
      </c>
    </row>
    <row r="113" spans="1:70">
      <c r="A113" s="2" t="s">
        <v>181</v>
      </c>
      <c r="B113" s="1">
        <v>12065825.263044599</v>
      </c>
      <c r="C113" s="1">
        <v>598.16775841223</v>
      </c>
      <c r="D113" s="1">
        <v>70.719127092772794</v>
      </c>
      <c r="E113" s="1">
        <v>654.056980860061</v>
      </c>
      <c r="F113" s="1">
        <v>2683685.08837691</v>
      </c>
      <c r="G113" s="1">
        <v>1493933.1953330799</v>
      </c>
      <c r="H113" s="1">
        <v>2.11454043590923E-5</v>
      </c>
      <c r="I113" s="1">
        <v>7.6371158483287804E-5</v>
      </c>
      <c r="J113" s="1">
        <v>0.51093471001103696</v>
      </c>
      <c r="K113" s="1">
        <v>6848.0719740579098</v>
      </c>
      <c r="L113" s="1">
        <v>8.69531901762856E-3</v>
      </c>
      <c r="M113" s="1">
        <v>112</v>
      </c>
      <c r="N113" s="1">
        <v>2590.3991070810098</v>
      </c>
      <c r="O113" s="3">
        <v>2.8502295699234199E-6</v>
      </c>
      <c r="P113" s="3">
        <v>5.98473400508856E-3</v>
      </c>
      <c r="Q113" s="3">
        <v>1.905E-3</v>
      </c>
      <c r="R113" s="1">
        <v>0.15240000000000001</v>
      </c>
      <c r="S113" s="4">
        <v>4093466.7398437499</v>
      </c>
      <c r="T113" s="1">
        <v>490.87515158354</v>
      </c>
      <c r="U113" s="5">
        <v>564.71762689197101</v>
      </c>
      <c r="V113" s="1">
        <v>0.03</v>
      </c>
      <c r="W113" s="3">
        <v>64614.841479315503</v>
      </c>
      <c r="X113" s="1">
        <v>3.7064000565584697E-2</v>
      </c>
      <c r="Y113" s="1">
        <v>5.1942620156714003</v>
      </c>
      <c r="Z113" s="1">
        <v>5.1942620358384497</v>
      </c>
      <c r="AA113" s="1">
        <v>-2.0167054692876701E-8</v>
      </c>
      <c r="AB113" s="1">
        <v>2.19526362518863E-5</v>
      </c>
      <c r="AC113" s="1">
        <v>673.41935335890105</v>
      </c>
      <c r="AD113" s="1">
        <v>2199.0415788359201</v>
      </c>
      <c r="AE113" s="1">
        <v>564.71762689197101</v>
      </c>
      <c r="AF113" s="6">
        <v>0</v>
      </c>
      <c r="AG113" s="1">
        <v>2.2032772056932801E-5</v>
      </c>
      <c r="AH113" s="1">
        <v>47.531342939541801</v>
      </c>
      <c r="AI113" s="1">
        <v>0.26957663617182098</v>
      </c>
      <c r="AJ113" s="1">
        <v>50.867172546151501</v>
      </c>
      <c r="AK113" s="1">
        <v>4.85673695998263</v>
      </c>
      <c r="AL113" s="1">
        <v>1.0236047381170099</v>
      </c>
      <c r="AM113" s="1">
        <v>598.16775829606502</v>
      </c>
      <c r="AN113" s="1">
        <v>1.1616521078394699E-7</v>
      </c>
      <c r="AO113" s="1">
        <v>8.0135805046410303E-8</v>
      </c>
      <c r="AP113" s="1">
        <v>3.8371893860664401</v>
      </c>
      <c r="AQ113" s="1">
        <v>5.8142046125541198E-5</v>
      </c>
      <c r="AR113" s="1">
        <v>1.1056453930989601E-5</v>
      </c>
      <c r="AS113" s="1">
        <v>25.526091242761101</v>
      </c>
      <c r="AT113" s="1">
        <v>13.1485055752851</v>
      </c>
      <c r="AU113" s="1">
        <v>3.5445299036717799</v>
      </c>
      <c r="AV113" s="1">
        <v>0.292659482394662</v>
      </c>
      <c r="AW113" s="1">
        <v>1.1866585691912899E-2</v>
      </c>
      <c r="AX113" s="1">
        <v>0.29265947455921099</v>
      </c>
      <c r="AY113" s="1">
        <v>7.8354506771738402E-9</v>
      </c>
      <c r="AZ113" s="1">
        <v>1189751.8930438301</v>
      </c>
      <c r="BA113" s="1">
        <v>1.5152248241034399E-5</v>
      </c>
      <c r="BB113" s="4">
        <v>4115489.6821276401</v>
      </c>
      <c r="BC113" s="4">
        <v>22022.9422838883</v>
      </c>
      <c r="BD113" s="7">
        <v>0.53800222851521096</v>
      </c>
      <c r="BE113" s="4">
        <v>3974783.4</v>
      </c>
      <c r="BF113" s="1">
        <v>1.0353997357761999</v>
      </c>
      <c r="BG113" s="1">
        <v>1</v>
      </c>
      <c r="BH113" s="1">
        <v>-5.6000000000000001E-2</v>
      </c>
      <c r="BI113" s="1">
        <v>4.5999999999999999E-2</v>
      </c>
      <c r="BJ113" s="1">
        <v>5625</v>
      </c>
      <c r="BK113" s="1">
        <v>1</v>
      </c>
      <c r="BL113" s="1">
        <v>107.29260682869</v>
      </c>
      <c r="BM113" s="1">
        <v>4.1154896821276399</v>
      </c>
      <c r="BN113" s="1">
        <v>107.29260682869</v>
      </c>
      <c r="BO113" s="1">
        <v>1</v>
      </c>
      <c r="BP113" s="1">
        <v>4528.2949338006601</v>
      </c>
      <c r="BQ113" s="1">
        <v>1</v>
      </c>
      <c r="BR113" s="1">
        <v>0.15240000000000001</v>
      </c>
    </row>
    <row r="114" spans="1:70">
      <c r="A114" s="2" t="s">
        <v>182</v>
      </c>
      <c r="B114" s="1">
        <v>12065825.263044599</v>
      </c>
      <c r="C114" s="1">
        <v>598.16775841223</v>
      </c>
      <c r="D114" s="1">
        <v>70.719127092772794</v>
      </c>
      <c r="E114" s="1">
        <v>654.056980860061</v>
      </c>
      <c r="F114" s="1">
        <v>2683685.08837691</v>
      </c>
      <c r="G114" s="1">
        <v>1493933.1953330799</v>
      </c>
      <c r="H114" s="1">
        <v>2.11454043590923E-5</v>
      </c>
      <c r="I114" s="1">
        <v>7.6371158483287804E-5</v>
      </c>
      <c r="J114" s="1">
        <v>0.51093471001103696</v>
      </c>
      <c r="K114" s="1">
        <v>6848.0719740579098</v>
      </c>
      <c r="L114" s="1">
        <v>8.69531901762856E-3</v>
      </c>
      <c r="M114" s="1">
        <v>113</v>
      </c>
      <c r="N114" s="1">
        <v>3200.7025616288902</v>
      </c>
      <c r="O114" s="3">
        <v>2.8502295699234199E-6</v>
      </c>
      <c r="P114" s="3">
        <v>5.98473400508856E-3</v>
      </c>
      <c r="Q114" s="3">
        <v>1.905E-3</v>
      </c>
      <c r="R114" s="1">
        <v>0.15240000000000001</v>
      </c>
      <c r="S114" s="4">
        <v>6357331.34765625</v>
      </c>
      <c r="T114" s="1">
        <v>453.64790590713602</v>
      </c>
      <c r="U114" s="5">
        <v>546.46141491773199</v>
      </c>
      <c r="V114" s="1">
        <v>0.03</v>
      </c>
      <c r="W114" s="3">
        <v>79838.233450882006</v>
      </c>
      <c r="X114" s="1">
        <v>3.3515797014276497E-2</v>
      </c>
      <c r="Y114" s="1">
        <v>5.4622959187728899</v>
      </c>
      <c r="Z114" s="1">
        <v>5.4622959290082296</v>
      </c>
      <c r="AA114" s="1">
        <v>-1.02353396869148E-8</v>
      </c>
      <c r="AB114" s="1">
        <v>1.5901282462099201E-5</v>
      </c>
      <c r="AC114" s="1">
        <v>699.640973229015</v>
      </c>
      <c r="AD114" s="1">
        <v>2583.81077803982</v>
      </c>
      <c r="AE114" s="1">
        <v>546.46141591414198</v>
      </c>
      <c r="AF114" s="6">
        <v>9.9640965345315593E-7</v>
      </c>
      <c r="AG114" s="1">
        <v>1.59936572901927E-5</v>
      </c>
      <c r="AH114" s="1">
        <v>65.6197564317511</v>
      </c>
      <c r="AI114" s="1">
        <v>0.316744814992169</v>
      </c>
      <c r="AJ114" s="1">
        <v>43.3853901172441</v>
      </c>
      <c r="AK114" s="1">
        <v>6.7216238866612201</v>
      </c>
      <c r="AL114" s="1">
        <v>1.0236047381170099</v>
      </c>
      <c r="AM114" s="1">
        <v>598.16775839742604</v>
      </c>
      <c r="AN114" s="1">
        <v>1.48037315739202E-8</v>
      </c>
      <c r="AO114" s="1">
        <v>9.2374828093437796E-8</v>
      </c>
      <c r="AP114" s="1">
        <v>4.2281964881233698</v>
      </c>
      <c r="AQ114" s="1">
        <v>4.7885768101605797E-5</v>
      </c>
      <c r="AR114" s="1">
        <v>8.0430160591430603E-6</v>
      </c>
      <c r="AS114" s="1">
        <v>21.8179859124002</v>
      </c>
      <c r="AT114" s="1">
        <v>12.3636733574416</v>
      </c>
      <c r="AU114" s="1">
        <v>3.9161294302264502</v>
      </c>
      <c r="AV114" s="1">
        <v>0.31206705789692002</v>
      </c>
      <c r="AW114" s="1">
        <v>8.5955020974575694E-3</v>
      </c>
      <c r="AX114" s="1">
        <v>0.31206705782268601</v>
      </c>
      <c r="AY114" s="1">
        <v>7.4233785785082799E-11</v>
      </c>
      <c r="AZ114" s="1">
        <v>1189751.8930438301</v>
      </c>
      <c r="BA114" s="1">
        <v>1.1325341250368299E-5</v>
      </c>
      <c r="BB114" s="4">
        <v>6347085.3175980002</v>
      </c>
      <c r="BC114" s="4">
        <v>-10246.0300582498</v>
      </c>
      <c r="BD114" s="7">
        <v>-0.16116872785036199</v>
      </c>
      <c r="BE114" s="4">
        <v>6561547.2000000002</v>
      </c>
      <c r="BF114" s="1">
        <v>0.96731534867233804</v>
      </c>
      <c r="BG114" s="1">
        <v>1</v>
      </c>
      <c r="BH114" s="1">
        <v>-5.6000000000000001E-2</v>
      </c>
      <c r="BI114" s="1">
        <v>4.5999999999999999E-2</v>
      </c>
      <c r="BJ114" s="1">
        <v>5625</v>
      </c>
      <c r="BK114" s="1">
        <v>1</v>
      </c>
      <c r="BL114" s="1">
        <v>144.51985250509401</v>
      </c>
      <c r="BM114" s="1">
        <v>6.3470853175980002</v>
      </c>
      <c r="BN114" s="1">
        <v>144.51985250509401</v>
      </c>
      <c r="BO114" s="1">
        <v>1</v>
      </c>
      <c r="BP114" s="1">
        <v>10924.3995676866</v>
      </c>
      <c r="BQ114" s="1">
        <v>1</v>
      </c>
      <c r="BR114" s="1">
        <v>0.15240000000000001</v>
      </c>
    </row>
    <row r="115" spans="1:70">
      <c r="A115" s="2" t="s">
        <v>183</v>
      </c>
      <c r="B115" s="1">
        <v>12065825.263044599</v>
      </c>
      <c r="C115" s="1">
        <v>598.16775841223</v>
      </c>
      <c r="D115" s="1">
        <v>70.719127092772794</v>
      </c>
      <c r="E115" s="1">
        <v>654.056980860061</v>
      </c>
      <c r="F115" s="1">
        <v>2683685.08837691</v>
      </c>
      <c r="G115" s="1">
        <v>1493933.1953330799</v>
      </c>
      <c r="H115" s="1">
        <v>2.11454043590923E-5</v>
      </c>
      <c r="I115" s="1">
        <v>7.6371158483287804E-5</v>
      </c>
      <c r="J115" s="1">
        <v>0.51093471001103696</v>
      </c>
      <c r="K115" s="1">
        <v>6848.0719740579098</v>
      </c>
      <c r="L115" s="1">
        <v>8.69531901762856E-3</v>
      </c>
      <c r="M115" s="1">
        <v>114</v>
      </c>
      <c r="N115" s="1">
        <v>3200.7025616288902</v>
      </c>
      <c r="O115" s="3">
        <v>2.8502295699234199E-6</v>
      </c>
      <c r="P115" s="3">
        <v>5.98473400508856E-3</v>
      </c>
      <c r="Q115" s="3">
        <v>1.905E-3</v>
      </c>
      <c r="R115" s="1">
        <v>0.15240000000000001</v>
      </c>
      <c r="S115" s="4">
        <v>4883532.71484375</v>
      </c>
      <c r="T115" s="1">
        <v>488.66227888857202</v>
      </c>
      <c r="U115" s="5">
        <v>559.95914589862502</v>
      </c>
      <c r="V115" s="1">
        <v>0.03</v>
      </c>
      <c r="W115" s="3">
        <v>79838.233450882006</v>
      </c>
      <c r="X115" s="1">
        <v>3.3515797014276497E-2</v>
      </c>
      <c r="Y115" s="1">
        <v>5.4622959187728899</v>
      </c>
      <c r="Z115" s="1">
        <v>5.4622959290082296</v>
      </c>
      <c r="AA115" s="1">
        <v>-1.02353396869148E-8</v>
      </c>
      <c r="AB115" s="1">
        <v>1.5901282462099201E-5</v>
      </c>
      <c r="AC115" s="1">
        <v>673.10301178076304</v>
      </c>
      <c r="AD115" s="1">
        <v>2583.81077803982</v>
      </c>
      <c r="AE115" s="1">
        <v>559.95914589862502</v>
      </c>
      <c r="AF115" s="6">
        <v>0</v>
      </c>
      <c r="AG115" s="1">
        <v>1.5972448838284999E-5</v>
      </c>
      <c r="AH115" s="1">
        <v>65.6197564317511</v>
      </c>
      <c r="AI115" s="1">
        <v>0.316744814992169</v>
      </c>
      <c r="AJ115" s="1">
        <v>43.327858750708998</v>
      </c>
      <c r="AK115" s="1">
        <v>4.9648303264076104</v>
      </c>
      <c r="AL115" s="1">
        <v>1.0236047381170099</v>
      </c>
      <c r="AM115" s="1">
        <v>598.16775839063905</v>
      </c>
      <c r="AN115" s="1">
        <v>2.1591063159576201E-8</v>
      </c>
      <c r="AO115" s="1">
        <v>7.1166376185743596E-8</v>
      </c>
      <c r="AP115" s="1">
        <v>4.2243025472005096</v>
      </c>
      <c r="AQ115" s="1">
        <v>4.7974090512655502E-5</v>
      </c>
      <c r="AR115" s="1">
        <v>8.0218076072353593E-6</v>
      </c>
      <c r="AS115" s="1">
        <v>21.760454545865102</v>
      </c>
      <c r="AT115" s="1">
        <v>12.350471554129401</v>
      </c>
      <c r="AU115" s="1">
        <v>3.91194782747875</v>
      </c>
      <c r="AV115" s="1">
        <v>0.31235471972176199</v>
      </c>
      <c r="AW115" s="1">
        <v>8.5955020974575694E-3</v>
      </c>
      <c r="AX115" s="1">
        <v>0.31235471967302803</v>
      </c>
      <c r="AY115" s="1">
        <v>4.8733850288584803E-11</v>
      </c>
      <c r="AZ115" s="1">
        <v>1189751.8930438301</v>
      </c>
      <c r="BA115" s="1">
        <v>1.13566890573329E-5</v>
      </c>
      <c r="BB115" s="4">
        <v>4876352.6626540702</v>
      </c>
      <c r="BC115" s="4">
        <v>-7180.0521896770197</v>
      </c>
      <c r="BD115" s="7">
        <v>-0.14702578254166099</v>
      </c>
      <c r="BE115" s="4">
        <v>5205073.5</v>
      </c>
      <c r="BF115" s="1">
        <v>0.93684607194385905</v>
      </c>
      <c r="BG115" s="1">
        <v>1</v>
      </c>
      <c r="BH115" s="1">
        <v>-0.04</v>
      </c>
      <c r="BI115" s="1">
        <v>4.5999999999999999E-2</v>
      </c>
      <c r="BJ115" s="1">
        <v>5625</v>
      </c>
      <c r="BK115" s="1">
        <v>1</v>
      </c>
      <c r="BL115" s="1">
        <v>109.505479523658</v>
      </c>
      <c r="BM115" s="1">
        <v>4.8763526626540701</v>
      </c>
      <c r="BN115" s="1">
        <v>109.505479523658</v>
      </c>
      <c r="BO115" s="1">
        <v>1</v>
      </c>
      <c r="BP115" s="1">
        <v>4831.01168381364</v>
      </c>
      <c r="BQ115" s="1">
        <v>1</v>
      </c>
      <c r="BR115" s="1">
        <v>0.15240000000000001</v>
      </c>
    </row>
    <row r="116" spans="1:70">
      <c r="A116" s="2" t="s">
        <v>184</v>
      </c>
      <c r="B116" s="1">
        <v>12065825.263044599</v>
      </c>
      <c r="C116" s="1">
        <v>598.16775841223</v>
      </c>
      <c r="D116" s="1">
        <v>70.719127092772794</v>
      </c>
      <c r="E116" s="1">
        <v>654.056980860061</v>
      </c>
      <c r="F116" s="1">
        <v>2683685.08837691</v>
      </c>
      <c r="G116" s="1">
        <v>1493933.1953330799</v>
      </c>
      <c r="H116" s="1">
        <v>2.11454043590923E-5</v>
      </c>
      <c r="I116" s="1">
        <v>7.6371158483287804E-5</v>
      </c>
      <c r="J116" s="1">
        <v>0.51093471001103696</v>
      </c>
      <c r="K116" s="1">
        <v>6848.0719740579098</v>
      </c>
      <c r="L116" s="1">
        <v>8.69531901762856E-3</v>
      </c>
      <c r="M116" s="1">
        <v>115</v>
      </c>
      <c r="N116" s="1">
        <v>3200.7025616288902</v>
      </c>
      <c r="O116" s="3">
        <v>2.8502295699234199E-6</v>
      </c>
      <c r="P116" s="3">
        <v>5.98473400508856E-3</v>
      </c>
      <c r="Q116" s="3">
        <v>1.905E-3</v>
      </c>
      <c r="R116" s="1">
        <v>0.15240000000000001</v>
      </c>
      <c r="S116" s="4">
        <v>4953449.27734375</v>
      </c>
      <c r="T116" s="1">
        <v>487.01157338752699</v>
      </c>
      <c r="U116" s="5">
        <v>559.32918340258004</v>
      </c>
      <c r="V116" s="1">
        <v>0.03</v>
      </c>
      <c r="W116" s="3">
        <v>79838.233450882006</v>
      </c>
      <c r="X116" s="1">
        <v>3.3515797014276497E-2</v>
      </c>
      <c r="Y116" s="1">
        <v>5.4622959187728899</v>
      </c>
      <c r="Z116" s="1">
        <v>5.4622959290082296</v>
      </c>
      <c r="AA116" s="1">
        <v>-1.02353396869148E-8</v>
      </c>
      <c r="AB116" s="1">
        <v>1.5901282462099201E-5</v>
      </c>
      <c r="AC116" s="1">
        <v>674.33957684745496</v>
      </c>
      <c r="AD116" s="1">
        <v>2583.81077803982</v>
      </c>
      <c r="AE116" s="1">
        <v>559.329184145976</v>
      </c>
      <c r="AF116" s="6">
        <v>7.4339573075121703E-7</v>
      </c>
      <c r="AG116" s="1">
        <v>1.5972908620923099E-5</v>
      </c>
      <c r="AH116" s="1">
        <v>65.6197564317511</v>
      </c>
      <c r="AI116" s="1">
        <v>0.316744814992169</v>
      </c>
      <c r="AJ116" s="1">
        <v>43.3291059857074</v>
      </c>
      <c r="AK116" s="1">
        <v>5.0467348016123896</v>
      </c>
      <c r="AL116" s="1">
        <v>1.0236047381170099</v>
      </c>
      <c r="AM116" s="1">
        <v>598.16775839050194</v>
      </c>
      <c r="AN116" s="1">
        <v>2.1727942112193E-8</v>
      </c>
      <c r="AO116" s="1">
        <v>7.1626158823867099E-8</v>
      </c>
      <c r="AP116" s="1">
        <v>4.2243870686709597</v>
      </c>
      <c r="AQ116" s="1">
        <v>4.7972170802154098E-5</v>
      </c>
      <c r="AR116" s="1">
        <v>8.0222673898734896E-6</v>
      </c>
      <c r="AS116" s="1">
        <v>21.7617017808635</v>
      </c>
      <c r="AT116" s="1">
        <v>12.350758128854499</v>
      </c>
      <c r="AU116" s="1">
        <v>3.91203859853705</v>
      </c>
      <c r="AV116" s="1">
        <v>0.31234847013390798</v>
      </c>
      <c r="AW116" s="1">
        <v>8.5955020974575694E-3</v>
      </c>
      <c r="AX116" s="1">
        <v>0.31234847008467898</v>
      </c>
      <c r="AY116" s="1">
        <v>4.9229620380231199E-11</v>
      </c>
      <c r="AZ116" s="1">
        <v>1189751.8930438301</v>
      </c>
      <c r="BA116" s="1">
        <v>1.13560073976002E-5</v>
      </c>
      <c r="BB116" s="4">
        <v>4908151.7801970504</v>
      </c>
      <c r="BC116" s="4">
        <v>-45297.497146699599</v>
      </c>
      <c r="BD116" s="7">
        <v>-0.91446373245170298</v>
      </c>
      <c r="BE116" s="4">
        <v>5394348.9000000004</v>
      </c>
      <c r="BF116" s="1">
        <v>0.90986917442382198</v>
      </c>
      <c r="BG116" s="1">
        <v>1</v>
      </c>
      <c r="BH116" s="1">
        <v>-0.03</v>
      </c>
      <c r="BI116" s="1">
        <v>4.5999999999999999E-2</v>
      </c>
      <c r="BJ116" s="1">
        <v>5625</v>
      </c>
      <c r="BK116" s="1">
        <v>1</v>
      </c>
      <c r="BL116" s="1">
        <v>111.15618502470301</v>
      </c>
      <c r="BM116" s="1">
        <v>4.9081517801970502</v>
      </c>
      <c r="BN116" s="1">
        <v>111.15618502470301</v>
      </c>
      <c r="BO116" s="1">
        <v>1</v>
      </c>
      <c r="BP116" s="1">
        <v>5063.2026672697702</v>
      </c>
      <c r="BQ116" s="1">
        <v>1</v>
      </c>
      <c r="BR116" s="1">
        <v>0.15240000000000001</v>
      </c>
    </row>
    <row r="117" spans="1:70">
      <c r="A117" s="2" t="s">
        <v>185</v>
      </c>
      <c r="B117" s="1">
        <v>12065825.263044599</v>
      </c>
      <c r="C117" s="1">
        <v>598.16775841223</v>
      </c>
      <c r="D117" s="1">
        <v>70.719127092772794</v>
      </c>
      <c r="E117" s="1">
        <v>654.056980860061</v>
      </c>
      <c r="F117" s="1">
        <v>2683685.08837691</v>
      </c>
      <c r="G117" s="1">
        <v>1493933.1953330799</v>
      </c>
      <c r="H117" s="1">
        <v>2.11454043590923E-5</v>
      </c>
      <c r="I117" s="1">
        <v>7.6371158483287804E-5</v>
      </c>
      <c r="J117" s="1">
        <v>0.51093471001103696</v>
      </c>
      <c r="K117" s="1">
        <v>6848.0719740579098</v>
      </c>
      <c r="L117" s="1">
        <v>8.69531901762856E-3</v>
      </c>
      <c r="M117" s="1">
        <v>116</v>
      </c>
      <c r="N117" s="1">
        <v>3200.7025616288902</v>
      </c>
      <c r="O117" s="3">
        <v>2.8502295699234199E-6</v>
      </c>
      <c r="P117" s="3">
        <v>5.98473400508856E-3</v>
      </c>
      <c r="Q117" s="3">
        <v>1.905E-3</v>
      </c>
      <c r="R117" s="1">
        <v>0.15240000000000001</v>
      </c>
      <c r="S117" s="4">
        <v>3264593.3301562499</v>
      </c>
      <c r="T117" s="1">
        <v>526.45012634417299</v>
      </c>
      <c r="U117" s="5">
        <v>574.11137693733201</v>
      </c>
      <c r="V117" s="1">
        <v>0.03</v>
      </c>
      <c r="W117" s="3">
        <v>79838.233450882006</v>
      </c>
      <c r="X117" s="1">
        <v>3.3515797014276497E-2</v>
      </c>
      <c r="Y117" s="1">
        <v>5.4622959187728899</v>
      </c>
      <c r="Z117" s="1">
        <v>5.4622959290082296</v>
      </c>
      <c r="AA117" s="1">
        <v>-1.02353396869148E-8</v>
      </c>
      <c r="AB117" s="1">
        <v>1.5901282462099201E-5</v>
      </c>
      <c r="AC117" s="1">
        <v>645.313949436499</v>
      </c>
      <c r="AD117" s="1">
        <v>2583.81077803982</v>
      </c>
      <c r="AE117" s="1">
        <v>574.11137739047103</v>
      </c>
      <c r="AF117" s="6">
        <v>4.5313947794056699E-7</v>
      </c>
      <c r="AG117" s="1">
        <v>1.5949323744599101E-5</v>
      </c>
      <c r="AH117" s="1">
        <v>65.6197564317511</v>
      </c>
      <c r="AI117" s="1">
        <v>0.316744814992169</v>
      </c>
      <c r="AJ117" s="1">
        <v>43.265128182405803</v>
      </c>
      <c r="AK117" s="1">
        <v>3.1244176275591302</v>
      </c>
      <c r="AL117" s="1">
        <v>1.0236047381170099</v>
      </c>
      <c r="AM117" s="1">
        <v>598.16775839232503</v>
      </c>
      <c r="AN117" s="1">
        <v>1.99054284166778E-8</v>
      </c>
      <c r="AO117" s="1">
        <v>4.8041282499859398E-8</v>
      </c>
      <c r="AP117" s="1">
        <v>4.2200455202264102</v>
      </c>
      <c r="AQ117" s="1">
        <v>4.8070928333356502E-5</v>
      </c>
      <c r="AR117" s="1">
        <v>7.9986825135494802E-6</v>
      </c>
      <c r="AS117" s="1">
        <v>21.697723977561999</v>
      </c>
      <c r="AT117" s="1">
        <v>12.3360368460944</v>
      </c>
      <c r="AU117" s="1">
        <v>3.9073757085527498</v>
      </c>
      <c r="AV117" s="1">
        <v>0.31266981167366198</v>
      </c>
      <c r="AW117" s="1">
        <v>8.5955020974575694E-3</v>
      </c>
      <c r="AX117" s="1">
        <v>0.31266981164555901</v>
      </c>
      <c r="AY117" s="1">
        <v>2.8103408489244001E-11</v>
      </c>
      <c r="AZ117" s="1">
        <v>1189751.8930438301</v>
      </c>
      <c r="BA117" s="1">
        <v>1.13910923716239E-5</v>
      </c>
      <c r="BB117" s="4">
        <v>3281868.7526511699</v>
      </c>
      <c r="BC117" s="4">
        <v>17275.4224949237</v>
      </c>
      <c r="BD117" s="7">
        <v>0.52917532898643904</v>
      </c>
      <c r="BE117" s="4">
        <v>3974783.4</v>
      </c>
      <c r="BF117" s="1">
        <v>0.82567235051126897</v>
      </c>
      <c r="BG117" s="1">
        <v>1</v>
      </c>
      <c r="BH117" s="1">
        <v>4.0000000000000001E-3</v>
      </c>
      <c r="BI117" s="1">
        <v>4.5999999999999999E-2</v>
      </c>
      <c r="BJ117" s="1">
        <v>5625</v>
      </c>
      <c r="BK117" s="1">
        <v>1</v>
      </c>
      <c r="BL117" s="1">
        <v>71.717632068057</v>
      </c>
      <c r="BM117" s="1">
        <v>3.2818687526511701</v>
      </c>
      <c r="BN117" s="1">
        <v>71.717632068057</v>
      </c>
      <c r="BO117" s="1">
        <v>1</v>
      </c>
      <c r="BP117" s="1">
        <v>1006.00818400464</v>
      </c>
      <c r="BQ117" s="1">
        <v>1</v>
      </c>
      <c r="BR117" s="1">
        <v>0.15240000000000001</v>
      </c>
    </row>
    <row r="118" spans="1:70">
      <c r="A118" s="2" t="s">
        <v>186</v>
      </c>
      <c r="B118" s="1">
        <v>12065825.263044599</v>
      </c>
      <c r="C118" s="1">
        <v>598.16775841223</v>
      </c>
      <c r="D118" s="1">
        <v>70.719127092772794</v>
      </c>
      <c r="E118" s="1">
        <v>654.056980860061</v>
      </c>
      <c r="F118" s="1">
        <v>2683685.08837691</v>
      </c>
      <c r="G118" s="1">
        <v>1493933.1953330799</v>
      </c>
      <c r="H118" s="1">
        <v>2.11454043590923E-5</v>
      </c>
      <c r="I118" s="1">
        <v>7.6371158483287804E-5</v>
      </c>
      <c r="J118" s="1">
        <v>0.51093471001103696</v>
      </c>
      <c r="K118" s="1">
        <v>6848.0719740579098</v>
      </c>
      <c r="L118" s="1">
        <v>8.69531901762856E-3</v>
      </c>
      <c r="M118" s="1">
        <v>117</v>
      </c>
      <c r="N118" s="1">
        <v>3214.26486061884</v>
      </c>
      <c r="O118" s="3">
        <v>2.8502295699234199E-6</v>
      </c>
      <c r="P118" s="3">
        <v>5.98473400508856E-3</v>
      </c>
      <c r="Q118" s="3">
        <v>1.905E-3</v>
      </c>
      <c r="R118" s="1">
        <v>0.15240000000000001</v>
      </c>
      <c r="S118" s="4">
        <v>4947044.5704687499</v>
      </c>
      <c r="T118" s="1">
        <v>487.52777357266399</v>
      </c>
      <c r="U118" s="5">
        <v>559.44713536386598</v>
      </c>
      <c r="V118" s="1">
        <v>0.03</v>
      </c>
      <c r="W118" s="3">
        <v>80176.531050250007</v>
      </c>
      <c r="X118" s="1">
        <v>3.34499327767354E-2</v>
      </c>
      <c r="Y118" s="1">
        <v>5.4676710122319498</v>
      </c>
      <c r="Z118" s="1">
        <v>5.4676710211262503</v>
      </c>
      <c r="AA118" s="1">
        <v>-8.8942986309348304E-9</v>
      </c>
      <c r="AB118" s="1">
        <v>1.5798424110076499E-5</v>
      </c>
      <c r="AC118" s="1">
        <v>673.90977288117301</v>
      </c>
      <c r="AD118" s="1">
        <v>2592.2083036275699</v>
      </c>
      <c r="AE118" s="1">
        <v>559.44713536386598</v>
      </c>
      <c r="AF118" s="6">
        <v>0</v>
      </c>
      <c r="AG118" s="1">
        <v>1.5870784299300701E-5</v>
      </c>
      <c r="AH118" s="1">
        <v>66.046985119857993</v>
      </c>
      <c r="AI118" s="1">
        <v>0.31777425287178901</v>
      </c>
      <c r="AJ118" s="1">
        <v>43.191998788167297</v>
      </c>
      <c r="AK118" s="1">
        <v>5.0208940650482798</v>
      </c>
      <c r="AL118" s="1">
        <v>1.0236047381170099</v>
      </c>
      <c r="AM118" s="1">
        <v>598.16775836189902</v>
      </c>
      <c r="AN118" s="1">
        <v>5.0330868361925201E-8</v>
      </c>
      <c r="AO118" s="1">
        <v>7.2360189224236599E-8</v>
      </c>
      <c r="AP118" s="1">
        <v>4.2325922073177296</v>
      </c>
      <c r="AQ118" s="1">
        <v>4.7786357113151997E-5</v>
      </c>
      <c r="AR118" s="1">
        <v>7.9715722442624808E-6</v>
      </c>
      <c r="AS118" s="1">
        <v>21.694462744928298</v>
      </c>
      <c r="AT118" s="1">
        <v>12.3352852746973</v>
      </c>
      <c r="AU118" s="1">
        <v>3.9198360621272998</v>
      </c>
      <c r="AV118" s="1">
        <v>0.31275614519042699</v>
      </c>
      <c r="AW118" s="1">
        <v>8.5399016021729997E-3</v>
      </c>
      <c r="AX118" s="1">
        <v>0.31275614507799498</v>
      </c>
      <c r="AY118" s="1">
        <v>1.12431230991916E-10</v>
      </c>
      <c r="AZ118" s="1">
        <v>1189751.8930438301</v>
      </c>
      <c r="BA118" s="1">
        <v>1.12900924002398E-5</v>
      </c>
      <c r="BB118" s="4">
        <v>4987399.8444548296</v>
      </c>
      <c r="BC118" s="4">
        <v>40355.273986075998</v>
      </c>
      <c r="BD118" s="7">
        <v>0.81574510621908902</v>
      </c>
      <c r="BE118" s="4">
        <v>5425894.7999999998</v>
      </c>
      <c r="BF118" s="1">
        <v>0.919184766437939</v>
      </c>
      <c r="BG118" s="1">
        <v>1</v>
      </c>
      <c r="BH118" s="1">
        <v>-2.8000000000000001E-2</v>
      </c>
      <c r="BI118" s="1">
        <v>4.5999999999999999E-2</v>
      </c>
      <c r="BJ118" s="1">
        <v>5625</v>
      </c>
      <c r="BK118" s="1">
        <v>1</v>
      </c>
      <c r="BL118" s="1">
        <v>110.639984839566</v>
      </c>
      <c r="BM118" s="1">
        <v>4.9873998444548304</v>
      </c>
      <c r="BN118" s="1">
        <v>110.639984839566</v>
      </c>
      <c r="BO118" s="1">
        <v>1</v>
      </c>
      <c r="BP118" s="1">
        <v>4990.0074581341196</v>
      </c>
      <c r="BQ118" s="1">
        <v>1</v>
      </c>
      <c r="BR118" s="1">
        <v>0.15240000000000001</v>
      </c>
    </row>
    <row r="119" spans="1:70">
      <c r="A119" s="2" t="s">
        <v>187</v>
      </c>
      <c r="B119" s="1">
        <v>12065825.263044599</v>
      </c>
      <c r="C119" s="1">
        <v>598.16775841223</v>
      </c>
      <c r="D119" s="1">
        <v>70.719127092772794</v>
      </c>
      <c r="E119" s="1">
        <v>654.056980860061</v>
      </c>
      <c r="F119" s="1">
        <v>2683685.08837691</v>
      </c>
      <c r="G119" s="1">
        <v>1493933.1953330799</v>
      </c>
      <c r="H119" s="1">
        <v>2.11454043590923E-5</v>
      </c>
      <c r="I119" s="1">
        <v>7.6371158483287804E-5</v>
      </c>
      <c r="J119" s="1">
        <v>0.51093471001103696</v>
      </c>
      <c r="K119" s="1">
        <v>6848.0719740579098</v>
      </c>
      <c r="L119" s="1">
        <v>8.69531901762856E-3</v>
      </c>
      <c r="M119" s="1">
        <v>118</v>
      </c>
      <c r="N119" s="1">
        <v>3254.9517575886998</v>
      </c>
      <c r="O119" s="3">
        <v>2.8502295699234199E-6</v>
      </c>
      <c r="P119" s="3">
        <v>5.98473400508856E-3</v>
      </c>
      <c r="Q119" s="3">
        <v>1.905E-3</v>
      </c>
      <c r="R119" s="1">
        <v>0.15240000000000001</v>
      </c>
      <c r="S119" s="4">
        <v>6246432.3570312504</v>
      </c>
      <c r="T119" s="1">
        <v>458.12079612380802</v>
      </c>
      <c r="U119" s="5">
        <v>547.79533400455205</v>
      </c>
      <c r="V119" s="1">
        <v>0.03</v>
      </c>
      <c r="W119" s="3">
        <v>81191.423848354505</v>
      </c>
      <c r="X119" s="1">
        <v>3.3255093087555303E-2</v>
      </c>
      <c r="Y119" s="1">
        <v>5.4836650054080103</v>
      </c>
      <c r="Z119" s="1">
        <v>5.4836650106196796</v>
      </c>
      <c r="AA119" s="1">
        <v>-5.2116648774358501E-9</v>
      </c>
      <c r="AB119" s="1">
        <v>1.54961944859755E-5</v>
      </c>
      <c r="AC119" s="1">
        <v>695.98221146749404</v>
      </c>
      <c r="AD119" s="1">
        <v>2617.3647697636402</v>
      </c>
      <c r="AE119" s="1">
        <v>547.79533400455205</v>
      </c>
      <c r="AF119" s="6">
        <v>0</v>
      </c>
      <c r="AG119" s="1">
        <v>1.55844713769516E-5</v>
      </c>
      <c r="AH119" s="1">
        <v>67.335130767735805</v>
      </c>
      <c r="AI119" s="1">
        <v>0.320858139772427</v>
      </c>
      <c r="AJ119" s="1">
        <v>42.824405603593497</v>
      </c>
      <c r="AK119" s="1">
        <v>6.49326059173542</v>
      </c>
      <c r="AL119" s="1">
        <v>1.0236047381170099</v>
      </c>
      <c r="AM119" s="1">
        <v>598.16775834414204</v>
      </c>
      <c r="AN119" s="1">
        <v>6.8088070293015295E-8</v>
      </c>
      <c r="AO119" s="1">
        <v>8.8276890976055906E-8</v>
      </c>
      <c r="AP119" s="1">
        <v>4.2597095136069996</v>
      </c>
      <c r="AQ119" s="1">
        <v>4.7179877901942403E-5</v>
      </c>
      <c r="AR119" s="1">
        <v>7.8363741339638008E-6</v>
      </c>
      <c r="AS119" s="1">
        <v>21.533490373673398</v>
      </c>
      <c r="AT119" s="1">
        <v>12.298047074944501</v>
      </c>
      <c r="AU119" s="1">
        <v>3.9459285073004402</v>
      </c>
      <c r="AV119" s="1">
        <v>0.31378100630656602</v>
      </c>
      <c r="AW119" s="1">
        <v>8.3765301650536497E-3</v>
      </c>
      <c r="AX119" s="1">
        <v>0.31378100572039602</v>
      </c>
      <c r="AY119" s="1">
        <v>5.86170501026828E-10</v>
      </c>
      <c r="AZ119" s="1">
        <v>1189751.8930438301</v>
      </c>
      <c r="BA119" s="1">
        <v>1.10758439633579E-5</v>
      </c>
      <c r="BB119" s="4">
        <v>6202148.9270475795</v>
      </c>
      <c r="BC119" s="4">
        <v>-44283.429983667098</v>
      </c>
      <c r="BD119" s="7">
        <v>-0.70893955865574698</v>
      </c>
      <c r="BE119" s="4">
        <v>6624639</v>
      </c>
      <c r="BF119" s="1">
        <v>0.936224438350163</v>
      </c>
      <c r="BG119" s="1">
        <v>1</v>
      </c>
      <c r="BH119" s="1">
        <v>-4.3999999999999997E-2</v>
      </c>
      <c r="BI119" s="1">
        <v>4.5999999999999999E-2</v>
      </c>
      <c r="BJ119" s="1">
        <v>5625</v>
      </c>
      <c r="BK119" s="1">
        <v>1</v>
      </c>
      <c r="BL119" s="1">
        <v>140.04696228842201</v>
      </c>
      <c r="BM119" s="1">
        <v>6.2021489270475803</v>
      </c>
      <c r="BN119" s="1">
        <v>140.04696228842201</v>
      </c>
      <c r="BO119" s="1">
        <v>1</v>
      </c>
      <c r="BP119" s="1">
        <v>10009.3946631409</v>
      </c>
      <c r="BQ119" s="1">
        <v>1</v>
      </c>
      <c r="BR119" s="1">
        <v>0.15240000000000001</v>
      </c>
    </row>
    <row r="120" spans="1:70">
      <c r="A120" s="2" t="s">
        <v>188</v>
      </c>
      <c r="B120" s="1">
        <v>12065825.263044599</v>
      </c>
      <c r="C120" s="1">
        <v>598.16775841223</v>
      </c>
      <c r="D120" s="1">
        <v>70.719127092772794</v>
      </c>
      <c r="E120" s="1">
        <v>654.056980860061</v>
      </c>
      <c r="F120" s="1">
        <v>2683685.08837691</v>
      </c>
      <c r="G120" s="1">
        <v>1493933.1953330799</v>
      </c>
      <c r="H120" s="1">
        <v>2.11454043590923E-5</v>
      </c>
      <c r="I120" s="1">
        <v>7.6371158483287804E-5</v>
      </c>
      <c r="J120" s="1">
        <v>0.51093471001103696</v>
      </c>
      <c r="K120" s="1">
        <v>6848.0719740579098</v>
      </c>
      <c r="L120" s="1">
        <v>8.69531901762856E-3</v>
      </c>
      <c r="M120" s="1">
        <v>119</v>
      </c>
      <c r="N120" s="1">
        <v>3295.6386545585601</v>
      </c>
      <c r="O120" s="3">
        <v>2.8502295699234199E-6</v>
      </c>
      <c r="P120" s="3">
        <v>5.98473400508856E-3</v>
      </c>
      <c r="Q120" s="3">
        <v>1.905E-3</v>
      </c>
      <c r="R120" s="1">
        <v>0.15240000000000001</v>
      </c>
      <c r="S120" s="4">
        <v>3506963.10546875</v>
      </c>
      <c r="T120" s="1">
        <v>522.60407503228396</v>
      </c>
      <c r="U120" s="5">
        <v>572.32890091332695</v>
      </c>
      <c r="V120" s="1">
        <v>0.03</v>
      </c>
      <c r="W120" s="3">
        <v>82206.316646459003</v>
      </c>
      <c r="X120" s="1">
        <v>3.3064274849559601E-2</v>
      </c>
      <c r="Y120" s="1">
        <v>5.4994657138155496</v>
      </c>
      <c r="Z120" s="1">
        <v>5.4994657451812596</v>
      </c>
      <c r="AA120" s="1">
        <v>-3.1365715358333499E-8</v>
      </c>
      <c r="AB120" s="1">
        <v>1.52031702906789E-5</v>
      </c>
      <c r="AC120" s="1">
        <v>647.89564415913605</v>
      </c>
      <c r="AD120" s="1">
        <v>2642.4677860546999</v>
      </c>
      <c r="AE120" s="1">
        <v>572.328901392283</v>
      </c>
      <c r="AF120" s="6">
        <v>4.7895639454509396E-7</v>
      </c>
      <c r="AG120" s="1">
        <v>1.5252302040983E-5</v>
      </c>
      <c r="AH120" s="1">
        <v>68.632940509464703</v>
      </c>
      <c r="AI120" s="1">
        <v>0.32393547435065501</v>
      </c>
      <c r="AJ120" s="1">
        <v>42.313613445117099</v>
      </c>
      <c r="AK120" s="1">
        <v>3.3076953844922099</v>
      </c>
      <c r="AL120" s="1">
        <v>1.0236047381170099</v>
      </c>
      <c r="AM120" s="1">
        <v>598.16775839966101</v>
      </c>
      <c r="AN120" s="1">
        <v>1.25686483443133E-8</v>
      </c>
      <c r="AO120" s="1">
        <v>4.9131750304099498E-8</v>
      </c>
      <c r="AP120" s="1">
        <v>4.27598387537354</v>
      </c>
      <c r="AQ120" s="1">
        <v>4.6821428824333801E-5</v>
      </c>
      <c r="AR120" s="1">
        <v>7.6507168956435598E-6</v>
      </c>
      <c r="AS120" s="1">
        <v>21.2249584640027</v>
      </c>
      <c r="AT120" s="1">
        <v>12.225888876290201</v>
      </c>
      <c r="AU120" s="1">
        <v>3.9603991124994802</v>
      </c>
      <c r="AV120" s="1">
        <v>0.31558476287406001</v>
      </c>
      <c r="AW120" s="1">
        <v>8.2181347594452708E-3</v>
      </c>
      <c r="AX120" s="1">
        <v>0.315584761784584</v>
      </c>
      <c r="AY120" s="1">
        <v>1.0894765090085899E-9</v>
      </c>
      <c r="AZ120" s="1">
        <v>1189751.8930438301</v>
      </c>
      <c r="BA120" s="1">
        <v>1.09498609417099E-5</v>
      </c>
      <c r="BB120" s="4">
        <v>3491609.1423074701</v>
      </c>
      <c r="BC120" s="4">
        <v>-15353.9631612832</v>
      </c>
      <c r="BD120" s="7">
        <v>-0.43781364957447799</v>
      </c>
      <c r="BE120" s="4">
        <v>4037875.2</v>
      </c>
      <c r="BF120" s="1">
        <v>0.86471447713576399</v>
      </c>
      <c r="BG120" s="1">
        <v>1</v>
      </c>
      <c r="BH120" s="1">
        <v>-1.6E-2</v>
      </c>
      <c r="BI120" s="1">
        <v>4.5999999999999999E-2</v>
      </c>
      <c r="BJ120" s="1">
        <v>5625</v>
      </c>
      <c r="BK120" s="1">
        <v>1</v>
      </c>
      <c r="BL120" s="1">
        <v>75.563683379945999</v>
      </c>
      <c r="BM120" s="1">
        <v>3.4916091423074702</v>
      </c>
      <c r="BN120" s="1">
        <v>75.563683379945999</v>
      </c>
      <c r="BO120" s="1">
        <v>1</v>
      </c>
      <c r="BP120" s="1">
        <v>1264.77557554905</v>
      </c>
      <c r="BQ120" s="1">
        <v>1</v>
      </c>
      <c r="BR120" s="1">
        <v>0.15240000000000001</v>
      </c>
    </row>
    <row r="121" spans="1:70">
      <c r="A121" s="2" t="s">
        <v>189</v>
      </c>
      <c r="B121" s="1">
        <v>12065825.263044599</v>
      </c>
      <c r="C121" s="1">
        <v>598.16775841223</v>
      </c>
      <c r="D121" s="1">
        <v>70.719127092772794</v>
      </c>
      <c r="E121" s="1">
        <v>654.056980860061</v>
      </c>
      <c r="F121" s="1">
        <v>2683685.08837691</v>
      </c>
      <c r="G121" s="1">
        <v>1493933.1953330799</v>
      </c>
      <c r="H121" s="1">
        <v>2.11454043590923E-5</v>
      </c>
      <c r="I121" s="1">
        <v>7.6371158483287804E-5</v>
      </c>
      <c r="J121" s="1">
        <v>0.51093471001103696</v>
      </c>
      <c r="K121" s="1">
        <v>6848.0719740579098</v>
      </c>
      <c r="L121" s="1">
        <v>8.69531901762856E-3</v>
      </c>
      <c r="M121" s="1">
        <v>120</v>
      </c>
      <c r="N121" s="1">
        <v>3811.0060161767701</v>
      </c>
      <c r="O121" s="3">
        <v>2.8502295699234199E-6</v>
      </c>
      <c r="P121" s="3">
        <v>5.98473400508856E-3</v>
      </c>
      <c r="Q121" s="3">
        <v>1.905E-3</v>
      </c>
      <c r="R121" s="1">
        <v>0.15240000000000001</v>
      </c>
      <c r="S121" s="4">
        <v>3272268.95703125</v>
      </c>
      <c r="T121" s="1">
        <v>535.47689091834604</v>
      </c>
      <c r="U121" s="5">
        <v>575.59967125462299</v>
      </c>
      <c r="V121" s="1">
        <v>0.03</v>
      </c>
      <c r="W121" s="3">
        <v>95061.6254224484</v>
      </c>
      <c r="X121" s="1">
        <v>3.0945300439482602E-2</v>
      </c>
      <c r="Y121" s="1">
        <v>5.6846358323022699</v>
      </c>
      <c r="Z121" s="1">
        <v>5.6846358673975699</v>
      </c>
      <c r="AA121" s="1">
        <v>-3.5095298223097897E-8</v>
      </c>
      <c r="AB121" s="1">
        <v>1.21478205091792E-5</v>
      </c>
      <c r="AC121" s="1">
        <v>637.921188663007</v>
      </c>
      <c r="AD121" s="1">
        <v>2956.15770076538</v>
      </c>
      <c r="AE121" s="1">
        <v>575.59967125462299</v>
      </c>
      <c r="AF121" s="6">
        <v>0</v>
      </c>
      <c r="AG121" s="1">
        <v>1.21857474496073E-5</v>
      </c>
      <c r="AH121" s="1">
        <v>85.895102033074707</v>
      </c>
      <c r="AI121" s="1">
        <v>0.362390168805998</v>
      </c>
      <c r="AJ121" s="1">
        <v>37.819413294214002</v>
      </c>
      <c r="AK121" s="1">
        <v>2.6945482175486002</v>
      </c>
      <c r="AL121" s="1">
        <v>1.0236047381170099</v>
      </c>
      <c r="AM121" s="1">
        <v>598.16775840418302</v>
      </c>
      <c r="AN121" s="1">
        <v>8.0466406870982593E-9</v>
      </c>
      <c r="AO121" s="1">
        <v>3.7926940428088698E-8</v>
      </c>
      <c r="AP121" s="1">
        <v>4.55808586086291</v>
      </c>
      <c r="AQ121" s="1">
        <v>4.1205176319700799E-5</v>
      </c>
      <c r="AR121" s="1">
        <v>6.1118371950176996E-6</v>
      </c>
      <c r="AS121" s="1">
        <v>18.968561249213501</v>
      </c>
      <c r="AT121" s="1">
        <v>11.663914687961</v>
      </c>
      <c r="AU121" s="1">
        <v>4.2268880127089403</v>
      </c>
      <c r="AV121" s="1">
        <v>0.33119784815397102</v>
      </c>
      <c r="AW121" s="1">
        <v>6.5665531641907202E-3</v>
      </c>
      <c r="AX121" s="1">
        <v>0.33119782706648698</v>
      </c>
      <c r="AY121" s="1">
        <v>2.1087484036730301E-8</v>
      </c>
      <c r="AZ121" s="1">
        <v>1189751.8930438301</v>
      </c>
      <c r="BA121" s="1">
        <v>9.0400175813932604E-6</v>
      </c>
      <c r="BB121" s="4">
        <v>3264754.4627970001</v>
      </c>
      <c r="BC121" s="4">
        <v>-7514.4942342536497</v>
      </c>
      <c r="BD121" s="7">
        <v>-0.22964170527935901</v>
      </c>
      <c r="BE121" s="4">
        <v>4053648.15</v>
      </c>
      <c r="BF121" s="1">
        <v>0.80538673855968401</v>
      </c>
      <c r="BG121" s="1">
        <v>1</v>
      </c>
      <c r="BH121" s="1">
        <v>-7.0000000000000001E-3</v>
      </c>
      <c r="BI121" s="1">
        <v>4.5999999999999999E-2</v>
      </c>
      <c r="BJ121" s="1">
        <v>5625</v>
      </c>
      <c r="BK121" s="1">
        <v>1</v>
      </c>
      <c r="BL121" s="1">
        <v>62.690867493883999</v>
      </c>
      <c r="BM121" s="1">
        <v>3.2647544627970002</v>
      </c>
      <c r="BN121" s="1">
        <v>62.690867493883999</v>
      </c>
      <c r="BO121" s="1">
        <v>1</v>
      </c>
      <c r="BP121" s="1">
        <v>514.87546762500006</v>
      </c>
      <c r="BQ121" s="1">
        <v>1</v>
      </c>
      <c r="BR121" s="1">
        <v>0.15240000000000001</v>
      </c>
    </row>
    <row r="122" spans="1:70">
      <c r="A122" s="2" t="s">
        <v>190</v>
      </c>
      <c r="B122" s="1">
        <v>12065825.263044599</v>
      </c>
      <c r="C122" s="1">
        <v>598.16775841223</v>
      </c>
      <c r="D122" s="1">
        <v>70.719127092772794</v>
      </c>
      <c r="E122" s="1">
        <v>654.056980860061</v>
      </c>
      <c r="F122" s="1">
        <v>2683685.08837691</v>
      </c>
      <c r="G122" s="1">
        <v>1493933.1953330799</v>
      </c>
      <c r="H122" s="1">
        <v>2.11454043590923E-5</v>
      </c>
      <c r="I122" s="1">
        <v>7.6371158483287804E-5</v>
      </c>
      <c r="J122" s="1">
        <v>0.51093471001103696</v>
      </c>
      <c r="K122" s="1">
        <v>6848.0719740579098</v>
      </c>
      <c r="L122" s="1">
        <v>8.69531901762856E-3</v>
      </c>
      <c r="M122" s="1">
        <v>121</v>
      </c>
      <c r="N122" s="1">
        <v>4041.5650990059698</v>
      </c>
      <c r="O122" s="3">
        <v>2.8502295699234199E-6</v>
      </c>
      <c r="P122" s="3">
        <v>5.98473400508856E-3</v>
      </c>
      <c r="Q122" s="3">
        <v>1.905E-3</v>
      </c>
      <c r="R122" s="1">
        <v>0.15240000000000001</v>
      </c>
      <c r="S122" s="4">
        <v>3737501.98046875</v>
      </c>
      <c r="T122" s="1">
        <v>529.302558596925</v>
      </c>
      <c r="U122" s="5">
        <v>572.51546879104603</v>
      </c>
      <c r="V122" s="1">
        <v>0.03</v>
      </c>
      <c r="W122" s="3">
        <v>100812.68461170699</v>
      </c>
      <c r="X122" s="1">
        <v>3.0144337567857799E-2</v>
      </c>
      <c r="Y122" s="1">
        <v>5.7596637200681799</v>
      </c>
      <c r="Z122" s="1">
        <v>5.7596637569575702</v>
      </c>
      <c r="AA122" s="1">
        <v>-3.6889382215576903E-8</v>
      </c>
      <c r="AB122" s="1">
        <v>1.1088363050012001E-5</v>
      </c>
      <c r="AC122" s="1">
        <v>641.82040900582103</v>
      </c>
      <c r="AD122" s="1">
        <v>3094.1621066426901</v>
      </c>
      <c r="AE122" s="1">
        <v>572.51546920925</v>
      </c>
      <c r="AF122" s="6">
        <v>4.1820396745606601E-7</v>
      </c>
      <c r="AG122" s="1">
        <v>1.11282763896135E-5</v>
      </c>
      <c r="AH122" s="1">
        <v>94.102103025414607</v>
      </c>
      <c r="AI122" s="1">
        <v>0.37930788599304199</v>
      </c>
      <c r="AJ122" s="1">
        <v>36.149806946969598</v>
      </c>
      <c r="AK122" s="1">
        <v>2.9816559755845899</v>
      </c>
      <c r="AL122" s="1">
        <v>1.0236047381170099</v>
      </c>
      <c r="AM122" s="1">
        <v>598.16775840860498</v>
      </c>
      <c r="AN122" s="1">
        <v>3.62479113391601E-9</v>
      </c>
      <c r="AO122" s="1">
        <v>3.9913339601514102E-8</v>
      </c>
      <c r="AP122" s="1">
        <v>4.6773042065595298</v>
      </c>
      <c r="AQ122" s="1">
        <v>3.9131414485436101E-5</v>
      </c>
      <c r="AR122" s="1">
        <v>5.5840948646075001E-6</v>
      </c>
      <c r="AS122" s="1">
        <v>18.139731999964901</v>
      </c>
      <c r="AT122" s="1">
        <v>11.440523352978801</v>
      </c>
      <c r="AU122" s="1">
        <v>4.3394807276724201</v>
      </c>
      <c r="AV122" s="1">
        <v>0.33782347888710401</v>
      </c>
      <c r="AW122" s="1">
        <v>5.9938591796555203E-3</v>
      </c>
      <c r="AX122" s="1">
        <v>0.33782347766433901</v>
      </c>
      <c r="AY122" s="1">
        <v>1.22276533343069E-9</v>
      </c>
      <c r="AZ122" s="1">
        <v>1189751.8930438301</v>
      </c>
      <c r="BA122" s="1">
        <v>8.3662325043039796E-6</v>
      </c>
      <c r="BB122" s="4">
        <v>3712445.8463802999</v>
      </c>
      <c r="BC122" s="4">
        <v>-25056.1340884487</v>
      </c>
      <c r="BD122" s="7">
        <v>-0.67039788124222499</v>
      </c>
      <c r="BE122" s="4">
        <v>4653020.25</v>
      </c>
      <c r="BF122" s="1">
        <v>0.79785722969512096</v>
      </c>
      <c r="BG122" s="1">
        <v>1</v>
      </c>
      <c r="BH122" s="1">
        <v>-8.9999999999999993E-3</v>
      </c>
      <c r="BI122" s="1">
        <v>4.5999999999999999E-2</v>
      </c>
      <c r="BJ122" s="1">
        <v>5625</v>
      </c>
      <c r="BK122" s="1">
        <v>1</v>
      </c>
      <c r="BL122" s="1">
        <v>68.865199815305004</v>
      </c>
      <c r="BM122" s="1">
        <v>3.7124458463802998</v>
      </c>
      <c r="BN122" s="1">
        <v>68.865199815305004</v>
      </c>
      <c r="BO122" s="1">
        <v>1</v>
      </c>
      <c r="BP122" s="1">
        <v>833.19976037748404</v>
      </c>
      <c r="BQ122" s="1">
        <v>1</v>
      </c>
      <c r="BR122" s="1">
        <v>0.15240000000000001</v>
      </c>
    </row>
    <row r="123" spans="1:70">
      <c r="A123" s="2" t="s">
        <v>191</v>
      </c>
      <c r="B123" s="1">
        <v>12065825.263044599</v>
      </c>
      <c r="C123" s="1">
        <v>598.16775841223</v>
      </c>
      <c r="D123" s="1">
        <v>70.719127092772794</v>
      </c>
      <c r="E123" s="1">
        <v>654.056980860061</v>
      </c>
      <c r="F123" s="1">
        <v>2683685.08837691</v>
      </c>
      <c r="G123" s="1">
        <v>1493933.1953330799</v>
      </c>
      <c r="H123" s="1">
        <v>2.11454043590923E-5</v>
      </c>
      <c r="I123" s="1">
        <v>7.6371158483287804E-5</v>
      </c>
      <c r="J123" s="1">
        <v>0.51093471001103696</v>
      </c>
      <c r="K123" s="1">
        <v>6848.0719740579098</v>
      </c>
      <c r="L123" s="1">
        <v>8.69531901762856E-3</v>
      </c>
      <c r="M123" s="1">
        <v>122</v>
      </c>
      <c r="N123" s="1">
        <v>4041.5650990059698</v>
      </c>
      <c r="O123" s="3">
        <v>2.8502295699234199E-6</v>
      </c>
      <c r="P123" s="3">
        <v>5.98473400508856E-3</v>
      </c>
      <c r="Q123" s="3">
        <v>1.905E-3</v>
      </c>
      <c r="R123" s="1">
        <v>0.15240000000000001</v>
      </c>
      <c r="S123" s="4">
        <v>3911523.07328125</v>
      </c>
      <c r="T123" s="1">
        <v>525.91640840595801</v>
      </c>
      <c r="U123" s="5">
        <v>571.141346391605</v>
      </c>
      <c r="V123" s="1">
        <v>0.03</v>
      </c>
      <c r="W123" s="3">
        <v>100812.68461170699</v>
      </c>
      <c r="X123" s="1">
        <v>3.0144337567857799E-2</v>
      </c>
      <c r="Y123" s="1">
        <v>5.7596637200681799</v>
      </c>
      <c r="Z123" s="1">
        <v>5.7596637569575702</v>
      </c>
      <c r="AA123" s="1">
        <v>-3.6889382215576903E-8</v>
      </c>
      <c r="AB123" s="1">
        <v>1.1088363050012001E-5</v>
      </c>
      <c r="AC123" s="1">
        <v>644.16239430459495</v>
      </c>
      <c r="AD123" s="1">
        <v>3094.1621066426901</v>
      </c>
      <c r="AE123" s="1">
        <v>571.141346391605</v>
      </c>
      <c r="AF123" s="6">
        <v>0</v>
      </c>
      <c r="AG123" s="1">
        <v>1.1130181616455001E-5</v>
      </c>
      <c r="AH123" s="1">
        <v>94.102103025414607</v>
      </c>
      <c r="AI123" s="1">
        <v>0.37930788599304199</v>
      </c>
      <c r="AJ123" s="1">
        <v>36.155996008069401</v>
      </c>
      <c r="AK123" s="1">
        <v>3.14153139000328</v>
      </c>
      <c r="AL123" s="1">
        <v>1.0236047381170099</v>
      </c>
      <c r="AM123" s="1">
        <v>598.16775840832804</v>
      </c>
      <c r="AN123" s="1">
        <v>3.9016185837681397E-9</v>
      </c>
      <c r="AO123" s="1">
        <v>4.1818566443015099E-8</v>
      </c>
      <c r="AP123" s="1">
        <v>4.67790759794861</v>
      </c>
      <c r="AQ123" s="1">
        <v>3.9121320213477303E-5</v>
      </c>
      <c r="AR123" s="1">
        <v>5.5860000914490003E-6</v>
      </c>
      <c r="AS123" s="1">
        <v>18.145921061064701</v>
      </c>
      <c r="AT123" s="1">
        <v>11.4422290026331</v>
      </c>
      <c r="AU123" s="1">
        <v>4.3401276940370197</v>
      </c>
      <c r="AV123" s="1">
        <v>0.33777990391158902</v>
      </c>
      <c r="AW123" s="1">
        <v>5.9938591796555203E-3</v>
      </c>
      <c r="AX123" s="1">
        <v>0.33777990267419999</v>
      </c>
      <c r="AY123" s="1">
        <v>1.23738880253299E-9</v>
      </c>
      <c r="AZ123" s="1">
        <v>1189751.8930438301</v>
      </c>
      <c r="BA123" s="1">
        <v>8.3629955047921605E-6</v>
      </c>
      <c r="BB123" s="4">
        <v>3891161.5997952898</v>
      </c>
      <c r="BC123" s="4">
        <v>-20361.473485959199</v>
      </c>
      <c r="BD123" s="7">
        <v>-0.52055102589178004</v>
      </c>
      <c r="BE123" s="4">
        <v>5173527.5999999996</v>
      </c>
      <c r="BF123" s="1">
        <v>0.75212928211599595</v>
      </c>
      <c r="BG123" s="1">
        <v>1</v>
      </c>
      <c r="BH123" s="1">
        <v>-1.2E-2</v>
      </c>
      <c r="BI123" s="1">
        <v>4.5999999999999999E-2</v>
      </c>
      <c r="BJ123" s="1">
        <v>5625</v>
      </c>
      <c r="BK123" s="1">
        <v>1</v>
      </c>
      <c r="BL123" s="1">
        <v>72.251350006272006</v>
      </c>
      <c r="BM123" s="1">
        <v>3.8911615997952902</v>
      </c>
      <c r="BN123" s="1">
        <v>72.251350006272006</v>
      </c>
      <c r="BO123" s="1">
        <v>1</v>
      </c>
      <c r="BP123" s="1">
        <v>1040.14957722706</v>
      </c>
      <c r="BQ123" s="1">
        <v>1</v>
      </c>
      <c r="BR123" s="1">
        <v>0.15240000000000001</v>
      </c>
    </row>
    <row r="124" spans="1:70">
      <c r="A124" s="2" t="s">
        <v>192</v>
      </c>
      <c r="B124" s="1">
        <v>12065825.263044599</v>
      </c>
      <c r="C124" s="1">
        <v>598.16775841223</v>
      </c>
      <c r="D124" s="1">
        <v>70.719127092772794</v>
      </c>
      <c r="E124" s="1">
        <v>654.056980860061</v>
      </c>
      <c r="F124" s="1">
        <v>2683685.08837691</v>
      </c>
      <c r="G124" s="1">
        <v>1493933.1953330799</v>
      </c>
      <c r="H124" s="1">
        <v>2.11454043590923E-5</v>
      </c>
      <c r="I124" s="1">
        <v>7.6371158483287804E-5</v>
      </c>
      <c r="J124" s="1">
        <v>0.51093471001103696</v>
      </c>
      <c r="K124" s="1">
        <v>6848.0719740579098</v>
      </c>
      <c r="L124" s="1">
        <v>8.69531901762856E-3</v>
      </c>
      <c r="M124" s="1">
        <v>123</v>
      </c>
      <c r="N124" s="1">
        <v>4082.2519959758301</v>
      </c>
      <c r="O124" s="3">
        <v>2.8502295699234199E-6</v>
      </c>
      <c r="P124" s="3">
        <v>5.98473400508856E-3</v>
      </c>
      <c r="Q124" s="3">
        <v>1.905E-3</v>
      </c>
      <c r="R124" s="1">
        <v>0.15240000000000001</v>
      </c>
      <c r="S124" s="4">
        <v>3913093.38671875</v>
      </c>
      <c r="T124" s="1">
        <v>526.45012634417299</v>
      </c>
      <c r="U124" s="5">
        <v>571.24229241062903</v>
      </c>
      <c r="V124" s="1">
        <v>0.03</v>
      </c>
      <c r="W124" s="3">
        <v>101827.577409811</v>
      </c>
      <c r="X124" s="1">
        <v>3.00107704692281E-2</v>
      </c>
      <c r="Y124" s="1">
        <v>5.7724665819879704</v>
      </c>
      <c r="Z124" s="1">
        <v>5.77246661364559</v>
      </c>
      <c r="AA124" s="1">
        <v>-3.1657623189573802E-8</v>
      </c>
      <c r="AB124" s="1">
        <v>1.09168055121032E-5</v>
      </c>
      <c r="AC124" s="1">
        <v>643.72299703381702</v>
      </c>
      <c r="AD124" s="1">
        <v>3118.3797028357499</v>
      </c>
      <c r="AE124" s="1">
        <v>571.24229284785895</v>
      </c>
      <c r="AF124" s="6">
        <v>4.3722991449612902E-7</v>
      </c>
      <c r="AG124" s="1">
        <v>1.09583258750934E-5</v>
      </c>
      <c r="AH124" s="1">
        <v>95.580917051109196</v>
      </c>
      <c r="AI124" s="1">
        <v>0.38227667848006103</v>
      </c>
      <c r="AJ124" s="1">
        <v>35.876347491812197</v>
      </c>
      <c r="AK124" s="1">
        <v>3.11565047897879</v>
      </c>
      <c r="AL124" s="1">
        <v>1.0236047381170099</v>
      </c>
      <c r="AM124" s="1">
        <v>598.16775840903904</v>
      </c>
      <c r="AN124" s="1">
        <v>3.1905074138194302E-9</v>
      </c>
      <c r="AO124" s="1">
        <v>4.1520362990261501E-8</v>
      </c>
      <c r="AP124" s="1">
        <v>4.6982652238709699</v>
      </c>
      <c r="AQ124" s="1">
        <v>3.8783028642806501E-5</v>
      </c>
      <c r="AR124" s="1">
        <v>5.4999231190418504E-6</v>
      </c>
      <c r="AS124" s="1">
        <v>18.006140285120399</v>
      </c>
      <c r="AT124" s="1">
        <v>11.4035641333836</v>
      </c>
      <c r="AU124" s="1">
        <v>4.3593166197442503</v>
      </c>
      <c r="AV124" s="1">
        <v>0.33894860412671202</v>
      </c>
      <c r="AW124" s="1">
        <v>5.9011230635312804E-3</v>
      </c>
      <c r="AX124" s="1">
        <v>0.33894860232861201</v>
      </c>
      <c r="AY124" s="1">
        <v>1.7980996691591099E-9</v>
      </c>
      <c r="AZ124" s="1">
        <v>1189751.8930438301</v>
      </c>
      <c r="BA124" s="1">
        <v>8.2547550627319999E-6</v>
      </c>
      <c r="BB124" s="4">
        <v>3914073.17040559</v>
      </c>
      <c r="BC124" s="4">
        <v>979.78368683578401</v>
      </c>
      <c r="BD124" s="7">
        <v>2.5038597089484801E-2</v>
      </c>
      <c r="BE124" s="4">
        <v>4700339.0999999996</v>
      </c>
      <c r="BF124" s="1">
        <v>0.83272144565177997</v>
      </c>
      <c r="BG124" s="1">
        <v>1</v>
      </c>
      <c r="BH124" s="1">
        <v>-0.02</v>
      </c>
      <c r="BI124" s="1">
        <v>4.5999999999999999E-2</v>
      </c>
      <c r="BJ124" s="1">
        <v>5625</v>
      </c>
      <c r="BK124" s="1">
        <v>1</v>
      </c>
      <c r="BL124" s="1">
        <v>71.717632068057</v>
      </c>
      <c r="BM124" s="1">
        <v>3.9140731704055902</v>
      </c>
      <c r="BN124" s="1">
        <v>71.717632068057</v>
      </c>
      <c r="BO124" s="1">
        <v>1</v>
      </c>
      <c r="BP124" s="1">
        <v>1006.00818400464</v>
      </c>
      <c r="BQ124" s="1">
        <v>1</v>
      </c>
      <c r="BR124" s="1">
        <v>0.15240000000000001</v>
      </c>
    </row>
    <row r="125" spans="1:70">
      <c r="A125" s="2" t="s">
        <v>193</v>
      </c>
      <c r="B125" s="1">
        <v>12065825.263044599</v>
      </c>
      <c r="C125" s="1">
        <v>598.16775841223</v>
      </c>
      <c r="D125" s="1">
        <v>70.719127092772794</v>
      </c>
      <c r="E125" s="1">
        <v>654.056980860061</v>
      </c>
      <c r="F125" s="1">
        <v>2683685.08837691</v>
      </c>
      <c r="G125" s="1">
        <v>1493933.1953330799</v>
      </c>
      <c r="H125" s="1">
        <v>2.11454043590923E-5</v>
      </c>
      <c r="I125" s="1">
        <v>7.6371158483287804E-5</v>
      </c>
      <c r="J125" s="1">
        <v>0.51093471001103696</v>
      </c>
      <c r="K125" s="1">
        <v>6848.0719740579098</v>
      </c>
      <c r="L125" s="1">
        <v>8.69531901762856E-3</v>
      </c>
      <c r="M125" s="1">
        <v>124</v>
      </c>
      <c r="N125" s="1">
        <v>2325.9342767769299</v>
      </c>
      <c r="O125" s="3">
        <v>2.8502295699234199E-6</v>
      </c>
      <c r="P125" s="3">
        <v>5.98473400508856E-3</v>
      </c>
      <c r="Q125" s="3">
        <v>1.905E-3</v>
      </c>
      <c r="R125" s="1">
        <v>0.69596000000000002</v>
      </c>
      <c r="S125" s="4">
        <v>2963578.97265625</v>
      </c>
      <c r="T125" s="1">
        <v>298.737706474898</v>
      </c>
      <c r="U125" s="5">
        <v>570.63196722715497</v>
      </c>
      <c r="V125" s="1">
        <v>0.03</v>
      </c>
      <c r="W125" s="3">
        <v>58018.038291636803</v>
      </c>
      <c r="X125" s="1">
        <v>3.90786566983174E-2</v>
      </c>
      <c r="Y125" s="1">
        <v>5.0585982172817499</v>
      </c>
      <c r="Z125" s="1">
        <v>5.0585982262515303</v>
      </c>
      <c r="AA125" s="1">
        <v>-8.9697866911819801E-9</v>
      </c>
      <c r="AB125" s="1">
        <v>2.58248515761656E-5</v>
      </c>
      <c r="AC125" s="1">
        <v>664.84625901754396</v>
      </c>
      <c r="AD125" s="1">
        <v>2027.48600229818</v>
      </c>
      <c r="AE125" s="1">
        <v>570.63196722715395</v>
      </c>
      <c r="AF125" s="6">
        <v>0</v>
      </c>
      <c r="AG125" s="1">
        <v>2.58924229664803E-5</v>
      </c>
      <c r="AH125" s="1">
        <v>40.404425134371103</v>
      </c>
      <c r="AI125" s="1">
        <v>0.248545940033715</v>
      </c>
      <c r="AJ125" s="1">
        <v>55.114462078869202</v>
      </c>
      <c r="AK125" s="1">
        <v>4.2484572423270803</v>
      </c>
      <c r="AL125" s="1">
        <v>1.0236047381170099</v>
      </c>
      <c r="AM125" s="1">
        <v>598.16775835230897</v>
      </c>
      <c r="AN125" s="1">
        <v>5.9920580497418996E-8</v>
      </c>
      <c r="AO125" s="1">
        <v>6.7571390314750404E-8</v>
      </c>
      <c r="AP125" s="1">
        <v>3.6500564589817701</v>
      </c>
      <c r="AQ125" s="1">
        <v>6.4256581350664293E-5</v>
      </c>
      <c r="AR125" s="1">
        <v>1.29799971783975E-5</v>
      </c>
      <c r="AS125" s="1">
        <v>27.6291470751401</v>
      </c>
      <c r="AT125" s="1">
        <v>13.5443563446902</v>
      </c>
      <c r="AU125" s="1">
        <v>3.3663947798426399</v>
      </c>
      <c r="AV125" s="1">
        <v>0.28366167913912599</v>
      </c>
      <c r="AW125" s="1">
        <v>1.39597272370041E-2</v>
      </c>
      <c r="AX125" s="1">
        <v>0.28366167592740299</v>
      </c>
      <c r="AY125" s="1">
        <v>3.21172333173081E-9</v>
      </c>
      <c r="AZ125" s="1">
        <v>1189751.8930438301</v>
      </c>
      <c r="BA125" s="1">
        <v>1.7604270529171401E-5</v>
      </c>
      <c r="BB125" s="4">
        <v>2986873.3695495999</v>
      </c>
      <c r="BC125" s="4">
        <v>23294.3968933537</v>
      </c>
      <c r="BD125" s="7">
        <v>0.78602247850594498</v>
      </c>
      <c r="BE125" s="4">
        <v>2104111.5299999998</v>
      </c>
      <c r="BF125" s="1">
        <v>1.41954137267125</v>
      </c>
      <c r="BG125" s="1">
        <v>1</v>
      </c>
      <c r="BH125" s="1">
        <v>-4.4999999999999998E-2</v>
      </c>
      <c r="BI125" s="1">
        <v>4.5999999999999999E-2</v>
      </c>
      <c r="BJ125" s="1">
        <v>5625</v>
      </c>
      <c r="BK125" s="1">
        <v>1</v>
      </c>
      <c r="BL125" s="1">
        <v>299.430051937332</v>
      </c>
      <c r="BM125" s="1">
        <v>2.9868733695495999</v>
      </c>
      <c r="BN125" s="1">
        <v>299.430051937332</v>
      </c>
      <c r="BO125" s="1">
        <v>1</v>
      </c>
      <c r="BP125" s="1">
        <v>67303.951848206794</v>
      </c>
      <c r="BQ125" s="1">
        <v>1</v>
      </c>
      <c r="BR125" s="1">
        <v>0.69596000000000002</v>
      </c>
    </row>
    <row r="126" spans="1:70">
      <c r="A126" s="2" t="s">
        <v>194</v>
      </c>
      <c r="B126" s="1">
        <v>12065825.263044599</v>
      </c>
      <c r="C126" s="1">
        <v>598.16775841223</v>
      </c>
      <c r="D126" s="1">
        <v>70.719127092772794</v>
      </c>
      <c r="E126" s="1">
        <v>654.056980860061</v>
      </c>
      <c r="F126" s="1">
        <v>2683685.08837691</v>
      </c>
      <c r="G126" s="1">
        <v>1493933.1953330799</v>
      </c>
      <c r="H126" s="1">
        <v>2.11454043590923E-5</v>
      </c>
      <c r="I126" s="1">
        <v>7.6371158483287804E-5</v>
      </c>
      <c r="J126" s="1">
        <v>0.51093471001103696</v>
      </c>
      <c r="K126" s="1">
        <v>6848.0719740579098</v>
      </c>
      <c r="L126" s="1">
        <v>8.69531901762856E-3</v>
      </c>
      <c r="M126" s="1">
        <v>125</v>
      </c>
      <c r="N126" s="1">
        <v>2454.77611718148</v>
      </c>
      <c r="O126" s="3">
        <v>2.8502295699234199E-6</v>
      </c>
      <c r="P126" s="3">
        <v>5.98473400508856E-3</v>
      </c>
      <c r="Q126" s="3">
        <v>1.905E-3</v>
      </c>
      <c r="R126" s="1">
        <v>0.69596000000000002</v>
      </c>
      <c r="S126" s="4">
        <v>3126217.28515625</v>
      </c>
      <c r="T126" s="1">
        <v>297.61642558059998</v>
      </c>
      <c r="U126" s="5">
        <v>569.37812224507798</v>
      </c>
      <c r="V126" s="1">
        <v>0.03</v>
      </c>
      <c r="W126" s="3">
        <v>61231.865485634102</v>
      </c>
      <c r="X126" s="1">
        <v>3.8051118795571201E-2</v>
      </c>
      <c r="Y126" s="1">
        <v>5.1264447918666702</v>
      </c>
      <c r="Z126" s="1">
        <v>5.1264447975649503</v>
      </c>
      <c r="AA126" s="1">
        <v>-5.6982845109132499E-9</v>
      </c>
      <c r="AB126" s="1">
        <v>2.3811191581321001E-5</v>
      </c>
      <c r="AC126" s="1">
        <v>665.32160269393705</v>
      </c>
      <c r="AD126" s="1">
        <v>2111.4763285019499</v>
      </c>
      <c r="AE126" s="1">
        <v>569.37812224507798</v>
      </c>
      <c r="AF126" s="6">
        <v>0</v>
      </c>
      <c r="AG126" s="1">
        <v>2.3877158521292899E-5</v>
      </c>
      <c r="AH126" s="1">
        <v>43.821338321176803</v>
      </c>
      <c r="AI126" s="1">
        <v>0.25884216627468098</v>
      </c>
      <c r="AJ126" s="1">
        <v>52.930241479893603</v>
      </c>
      <c r="AK126" s="1">
        <v>4.30648299933471</v>
      </c>
      <c r="AL126" s="1">
        <v>1.0236047381170099</v>
      </c>
      <c r="AM126" s="1">
        <v>598.16775831666098</v>
      </c>
      <c r="AN126" s="1">
        <v>9.5568566393922096E-8</v>
      </c>
      <c r="AO126" s="1">
        <v>6.5966939971885102E-8</v>
      </c>
      <c r="AP126" s="1">
        <v>3.7418772723876899</v>
      </c>
      <c r="AQ126" s="1">
        <v>6.1141727043018999E-5</v>
      </c>
      <c r="AR126" s="1">
        <v>1.1971562730632401E-5</v>
      </c>
      <c r="AS126" s="1">
        <v>26.538237607250899</v>
      </c>
      <c r="AT126" s="1">
        <v>13.3429331077329</v>
      </c>
      <c r="AU126" s="1">
        <v>3.4537137100637398</v>
      </c>
      <c r="AV126" s="1">
        <v>0.28816356232394702</v>
      </c>
      <c r="AW126" s="1">
        <v>1.2871235239549901E-2</v>
      </c>
      <c r="AX126" s="1">
        <v>0.28816355933710502</v>
      </c>
      <c r="AY126" s="1">
        <v>2.98684232902247E-9</v>
      </c>
      <c r="AZ126" s="1">
        <v>1189751.8930438301</v>
      </c>
      <c r="BA126" s="1">
        <v>1.63398536596056E-5</v>
      </c>
      <c r="BB126" s="4">
        <v>3141594.7749638301</v>
      </c>
      <c r="BC126" s="4">
        <v>15377.489807575899</v>
      </c>
      <c r="BD126" s="7">
        <v>0.49188806806841501</v>
      </c>
      <c r="BE126" s="4">
        <v>2161840.5269999998</v>
      </c>
      <c r="BF126" s="1">
        <v>1.45320375658025</v>
      </c>
      <c r="BG126" s="1">
        <v>1</v>
      </c>
      <c r="BH126" s="1">
        <v>-7.9000000000000001E-2</v>
      </c>
      <c r="BI126" s="1">
        <v>4.5999999999999999E-2</v>
      </c>
      <c r="BJ126" s="1">
        <v>5625</v>
      </c>
      <c r="BK126" s="1">
        <v>1</v>
      </c>
      <c r="BL126" s="1">
        <v>300.55133283163002</v>
      </c>
      <c r="BM126" s="1">
        <v>3.14159477496383</v>
      </c>
      <c r="BN126" s="1">
        <v>300.55133283163002</v>
      </c>
      <c r="BO126" s="1">
        <v>1</v>
      </c>
      <c r="BP126" s="1">
        <v>67886.9970403388</v>
      </c>
      <c r="BQ126" s="1">
        <v>1</v>
      </c>
      <c r="BR126" s="1">
        <v>0.69596000000000002</v>
      </c>
    </row>
    <row r="127" spans="1:70">
      <c r="A127" s="2" t="s">
        <v>195</v>
      </c>
      <c r="B127" s="1">
        <v>12065825.263044599</v>
      </c>
      <c r="C127" s="1">
        <v>598.16775841223</v>
      </c>
      <c r="D127" s="1">
        <v>70.719127092772794</v>
      </c>
      <c r="E127" s="1">
        <v>654.056980860061</v>
      </c>
      <c r="F127" s="1">
        <v>2683685.08837691</v>
      </c>
      <c r="G127" s="1">
        <v>1493933.1953330799</v>
      </c>
      <c r="H127" s="1">
        <v>2.11454043590923E-5</v>
      </c>
      <c r="I127" s="1">
        <v>7.6371158483287804E-5</v>
      </c>
      <c r="J127" s="1">
        <v>0.51093471001103696</v>
      </c>
      <c r="K127" s="1">
        <v>6848.0719740579098</v>
      </c>
      <c r="L127" s="1">
        <v>8.69531901762856E-3</v>
      </c>
      <c r="M127" s="1">
        <v>126</v>
      </c>
      <c r="N127" s="1">
        <v>2739.5843959704898</v>
      </c>
      <c r="O127" s="3">
        <v>2.8502295699234199E-6</v>
      </c>
      <c r="P127" s="3">
        <v>5.98473400508856E-3</v>
      </c>
      <c r="Q127" s="3">
        <v>1.905E-3</v>
      </c>
      <c r="R127" s="1">
        <v>0.69596000000000002</v>
      </c>
      <c r="S127" s="4">
        <v>3426558.8026562501</v>
      </c>
      <c r="T127" s="1">
        <v>300.41963647945403</v>
      </c>
      <c r="U127" s="5">
        <v>567.32326607227901</v>
      </c>
      <c r="V127" s="1">
        <v>0.03</v>
      </c>
      <c r="W127" s="3">
        <v>68336.115072365006</v>
      </c>
      <c r="X127" s="1">
        <v>3.6074469187045398E-2</v>
      </c>
      <c r="Y127" s="1">
        <v>5.26502000021559</v>
      </c>
      <c r="Z127" s="1">
        <v>5.2650200301068102</v>
      </c>
      <c r="AA127" s="1">
        <v>-2.9891224606615203E-8</v>
      </c>
      <c r="AB127" s="1">
        <v>2.0165222639742601E-5</v>
      </c>
      <c r="AC127" s="1">
        <v>664.98934447875502</v>
      </c>
      <c r="AD127" s="1">
        <v>2294.4324221766901</v>
      </c>
      <c r="AE127" s="1">
        <v>567.323266722173</v>
      </c>
      <c r="AF127" s="6">
        <v>6.4989342263288595E-7</v>
      </c>
      <c r="AG127" s="1">
        <v>2.02267792479964E-5</v>
      </c>
      <c r="AH127" s="1">
        <v>51.744446404423599</v>
      </c>
      <c r="AI127" s="1">
        <v>0.28127043174025801</v>
      </c>
      <c r="AJ127" s="1">
        <v>48.7233365908804</v>
      </c>
      <c r="AK127" s="1">
        <v>4.3428369154161004</v>
      </c>
      <c r="AL127" s="1">
        <v>1.0236047381170099</v>
      </c>
      <c r="AM127" s="1">
        <v>598.16775839844297</v>
      </c>
      <c r="AN127" s="1">
        <v>1.3786689123662701E-8</v>
      </c>
      <c r="AO127" s="1">
        <v>6.1556608253819902E-8</v>
      </c>
      <c r="AP127" s="1">
        <v>3.9346848383956301</v>
      </c>
      <c r="AQ127" s="1">
        <v>5.5296402371884198E-5</v>
      </c>
      <c r="AR127" s="1">
        <v>1.01441679281251E-5</v>
      </c>
      <c r="AS127" s="1">
        <v>24.435808703722</v>
      </c>
      <c r="AT127" s="1">
        <v>12.9302481314784</v>
      </c>
      <c r="AU127" s="1">
        <v>3.6368964744495802</v>
      </c>
      <c r="AV127" s="1">
        <v>0.29778836394604802</v>
      </c>
      <c r="AW127" s="1">
        <v>1.09003920852761E-2</v>
      </c>
      <c r="AX127" s="1">
        <v>0.29778834850896102</v>
      </c>
      <c r="AY127" s="1">
        <v>1.5437086275937899E-8</v>
      </c>
      <c r="AZ127" s="1">
        <v>1189751.8930438301</v>
      </c>
      <c r="BA127" s="1">
        <v>1.40535785311922E-5</v>
      </c>
      <c r="BB127" s="4">
        <v>3408472.1304609501</v>
      </c>
      <c r="BC127" s="4">
        <v>-18086.672195298601</v>
      </c>
      <c r="BD127" s="7">
        <v>-0.52783778819957505</v>
      </c>
      <c r="BE127" s="4">
        <v>2460580.2000000002</v>
      </c>
      <c r="BF127" s="1">
        <v>1.3852310647955901</v>
      </c>
      <c r="BG127" s="1">
        <v>1</v>
      </c>
      <c r="BH127" s="1">
        <v>-4.7E-2</v>
      </c>
      <c r="BI127" s="1">
        <v>4.5999999999999999E-2</v>
      </c>
      <c r="BJ127" s="1">
        <v>5625</v>
      </c>
      <c r="BK127" s="1">
        <v>1</v>
      </c>
      <c r="BL127" s="1">
        <v>297.74812193277597</v>
      </c>
      <c r="BM127" s="1">
        <v>3.4084721304609502</v>
      </c>
      <c r="BN127" s="1">
        <v>297.74812193277597</v>
      </c>
      <c r="BO127" s="1">
        <v>1</v>
      </c>
      <c r="BP127" s="1">
        <v>66434.094359873197</v>
      </c>
      <c r="BQ127" s="1">
        <v>1</v>
      </c>
      <c r="BR127" s="1">
        <v>0.69596000000000002</v>
      </c>
    </row>
    <row r="128" spans="1:70">
      <c r="A128" s="2" t="s">
        <v>196</v>
      </c>
      <c r="B128" s="1">
        <v>12065825.263044599</v>
      </c>
      <c r="C128" s="1">
        <v>598.16775841223</v>
      </c>
      <c r="D128" s="1">
        <v>70.719127092772794</v>
      </c>
      <c r="E128" s="1">
        <v>654.056980860061</v>
      </c>
      <c r="F128" s="1">
        <v>2683685.08837691</v>
      </c>
      <c r="G128" s="1">
        <v>1493933.1953330799</v>
      </c>
      <c r="H128" s="1">
        <v>2.11454043590923E-5</v>
      </c>
      <c r="I128" s="1">
        <v>7.6371158483287804E-5</v>
      </c>
      <c r="J128" s="1">
        <v>0.51093471001103696</v>
      </c>
      <c r="K128" s="1">
        <v>6848.0719740579098</v>
      </c>
      <c r="L128" s="1">
        <v>8.69531901762856E-3</v>
      </c>
      <c r="M128" s="1">
        <v>127</v>
      </c>
      <c r="N128" s="1">
        <v>2834.5204889001602</v>
      </c>
      <c r="O128" s="3">
        <v>2.8502295699234199E-6</v>
      </c>
      <c r="P128" s="3">
        <v>5.98473400508856E-3</v>
      </c>
      <c r="Q128" s="3">
        <v>1.905E-3</v>
      </c>
      <c r="R128" s="1">
        <v>0.69596000000000002</v>
      </c>
      <c r="S128" s="4">
        <v>3568393.84765625</v>
      </c>
      <c r="T128" s="1">
        <v>297.61642558059998</v>
      </c>
      <c r="U128" s="5">
        <v>566.25857642779795</v>
      </c>
      <c r="V128" s="1">
        <v>0.03</v>
      </c>
      <c r="W128" s="3">
        <v>70704.198267942105</v>
      </c>
      <c r="X128" s="1">
        <v>3.5490800697075997E-2</v>
      </c>
      <c r="Y128" s="1">
        <v>5.3081367316897401</v>
      </c>
      <c r="Z128" s="1">
        <v>5.3081367455630799</v>
      </c>
      <c r="AA128" s="1">
        <v>-1.38733389221102E-8</v>
      </c>
      <c r="AB128" s="1">
        <v>1.91468502220541E-5</v>
      </c>
      <c r="AC128" s="1">
        <v>665.77099227354302</v>
      </c>
      <c r="AD128" s="1">
        <v>2354.65948696959</v>
      </c>
      <c r="AE128" s="1">
        <v>566.258577085507</v>
      </c>
      <c r="AF128" s="6">
        <v>6.5770984747359804E-7</v>
      </c>
      <c r="AG128" s="1">
        <v>1.9208608203278501E-5</v>
      </c>
      <c r="AH128" s="1">
        <v>54.496602313917499</v>
      </c>
      <c r="AI128" s="1">
        <v>0.28865356159538602</v>
      </c>
      <c r="AJ128" s="1">
        <v>47.4852824538915</v>
      </c>
      <c r="AK128" s="1">
        <v>4.4120884296742497</v>
      </c>
      <c r="AL128" s="1">
        <v>1.0236047381170099</v>
      </c>
      <c r="AM128" s="1">
        <v>598.16775836948898</v>
      </c>
      <c r="AN128" s="1">
        <v>4.27410213887924E-8</v>
      </c>
      <c r="AO128" s="1">
        <v>6.1757981224388305E-8</v>
      </c>
      <c r="AP128" s="1">
        <v>3.9963514837680498</v>
      </c>
      <c r="AQ128" s="1">
        <v>5.3603040474718E-5</v>
      </c>
      <c r="AR128" s="1">
        <v>9.6351830922514398E-6</v>
      </c>
      <c r="AS128" s="1">
        <v>23.818976668618198</v>
      </c>
      <c r="AT128" s="1">
        <v>12.802413009945599</v>
      </c>
      <c r="AU128" s="1">
        <v>3.6954621123359002</v>
      </c>
      <c r="AV128" s="1">
        <v>0.30088937143215699</v>
      </c>
      <c r="AW128" s="1">
        <v>1.03499067849176E-2</v>
      </c>
      <c r="AX128" s="1">
        <v>0.30088934975505499</v>
      </c>
      <c r="AY128" s="1">
        <v>2.1677101891270899E-8</v>
      </c>
      <c r="AZ128" s="1">
        <v>1189751.8930438301</v>
      </c>
      <c r="BA128" s="1">
        <v>1.3412994500718199E-5</v>
      </c>
      <c r="BB128" s="4">
        <v>3582938.34078873</v>
      </c>
      <c r="BC128" s="4">
        <v>14544.4931324841</v>
      </c>
      <c r="BD128" s="7">
        <v>0.40759214799221499</v>
      </c>
      <c r="BE128" s="4">
        <v>2523672</v>
      </c>
      <c r="BF128" s="1">
        <v>1.41973217628469</v>
      </c>
      <c r="BG128" s="1">
        <v>1</v>
      </c>
      <c r="BH128" s="1">
        <v>-5.6000000000000001E-2</v>
      </c>
      <c r="BI128" s="1">
        <v>4.5999999999999999E-2</v>
      </c>
      <c r="BJ128" s="1">
        <v>5625</v>
      </c>
      <c r="BK128" s="1">
        <v>1</v>
      </c>
      <c r="BL128" s="1">
        <v>300.55133283163002</v>
      </c>
      <c r="BM128" s="1">
        <v>3.5829383407887301</v>
      </c>
      <c r="BN128" s="1">
        <v>300.55133283163002</v>
      </c>
      <c r="BO128" s="1">
        <v>1</v>
      </c>
      <c r="BP128" s="1">
        <v>67886.9970403388</v>
      </c>
      <c r="BQ128" s="1">
        <v>1</v>
      </c>
      <c r="BR128" s="1">
        <v>0.69596000000000002</v>
      </c>
    </row>
    <row r="129" spans="1:70">
      <c r="A129" s="2" t="s">
        <v>197</v>
      </c>
      <c r="B129" s="1">
        <v>12065825.263044599</v>
      </c>
      <c r="C129" s="1">
        <v>598.16775841223</v>
      </c>
      <c r="D129" s="1">
        <v>70.719127092772794</v>
      </c>
      <c r="E129" s="1">
        <v>654.056980860061</v>
      </c>
      <c r="F129" s="1">
        <v>2683685.08837691</v>
      </c>
      <c r="G129" s="1">
        <v>1493933.1953330799</v>
      </c>
      <c r="H129" s="1">
        <v>2.11454043590923E-5</v>
      </c>
      <c r="I129" s="1">
        <v>7.6371158483287804E-5</v>
      </c>
      <c r="J129" s="1">
        <v>0.51093471001103696</v>
      </c>
      <c r="K129" s="1">
        <v>6848.0719740579098</v>
      </c>
      <c r="L129" s="1">
        <v>8.69531901762856E-3</v>
      </c>
      <c r="M129" s="1">
        <v>128</v>
      </c>
      <c r="N129" s="1">
        <v>3295.6386545585601</v>
      </c>
      <c r="O129" s="3">
        <v>2.8502295699234199E-6</v>
      </c>
      <c r="P129" s="3">
        <v>5.98473400508856E-3</v>
      </c>
      <c r="Q129" s="3">
        <v>1.905E-3</v>
      </c>
      <c r="R129" s="1">
        <v>0.69596000000000002</v>
      </c>
      <c r="S129" s="4">
        <v>4103513.5135937501</v>
      </c>
      <c r="T129" s="1">
        <v>297.11185267539003</v>
      </c>
      <c r="U129" s="5">
        <v>562.81533998867201</v>
      </c>
      <c r="V129" s="1">
        <v>0.03</v>
      </c>
      <c r="W129" s="3">
        <v>82206.316646459003</v>
      </c>
      <c r="X129" s="1">
        <v>3.3064274849559601E-2</v>
      </c>
      <c r="Y129" s="1">
        <v>5.4994657138155496</v>
      </c>
      <c r="Z129" s="1">
        <v>5.4994657451812596</v>
      </c>
      <c r="AA129" s="1">
        <v>-3.1365715358333499E-8</v>
      </c>
      <c r="AB129" s="1">
        <v>1.52031702906789E-5</v>
      </c>
      <c r="AC129" s="1">
        <v>666.22411188559499</v>
      </c>
      <c r="AD129" s="1">
        <v>2642.4677860546999</v>
      </c>
      <c r="AE129" s="1">
        <v>562.81534065091296</v>
      </c>
      <c r="AF129" s="6">
        <v>6.6224095007783003E-7</v>
      </c>
      <c r="AG129" s="1">
        <v>1.5261176473988101E-5</v>
      </c>
      <c r="AH129" s="1">
        <v>68.632940509464703</v>
      </c>
      <c r="AI129" s="1">
        <v>0.32393547435065501</v>
      </c>
      <c r="AJ129" s="1">
        <v>42.3382332911386</v>
      </c>
      <c r="AK129" s="1">
        <v>4.5263922038334297</v>
      </c>
      <c r="AL129" s="1">
        <v>1.0236047381170099</v>
      </c>
      <c r="AM129" s="1">
        <v>598.16775839434899</v>
      </c>
      <c r="AN129" s="1">
        <v>1.7881006897368901E-8</v>
      </c>
      <c r="AO129" s="1">
        <v>5.80061833091918E-8</v>
      </c>
      <c r="AP129" s="1">
        <v>4.2777325235297896</v>
      </c>
      <c r="AQ129" s="1">
        <v>4.6783157394084503E-5</v>
      </c>
      <c r="AR129" s="1">
        <v>7.6595913286486504E-6</v>
      </c>
      <c r="AS129" s="1">
        <v>21.249578310024201</v>
      </c>
      <c r="AT129" s="1">
        <v>12.231685254696799</v>
      </c>
      <c r="AU129" s="1">
        <v>3.9622767650881401</v>
      </c>
      <c r="AV129" s="1">
        <v>0.31545575844164903</v>
      </c>
      <c r="AW129" s="1">
        <v>8.2181347594452708E-3</v>
      </c>
      <c r="AX129" s="1">
        <v>0.31545575729241399</v>
      </c>
      <c r="AY129" s="1">
        <v>1.14923426330904E-9</v>
      </c>
      <c r="AZ129" s="1">
        <v>1189751.8930438301</v>
      </c>
      <c r="BA129" s="1">
        <v>1.09364382033595E-5</v>
      </c>
      <c r="BB129" s="4">
        <v>4127341.2426130902</v>
      </c>
      <c r="BC129" s="4">
        <v>23827.7290193429</v>
      </c>
      <c r="BD129" s="7">
        <v>0.58066651761736798</v>
      </c>
      <c r="BE129" s="4">
        <v>3006324.27</v>
      </c>
      <c r="BF129" s="1">
        <v>1.3728862464371101</v>
      </c>
      <c r="BG129" s="1">
        <v>1</v>
      </c>
      <c r="BH129" s="1">
        <v>-4.2000000000000003E-2</v>
      </c>
      <c r="BI129" s="1">
        <v>4.5999999999999999E-2</v>
      </c>
      <c r="BJ129" s="1">
        <v>5625</v>
      </c>
      <c r="BK129" s="1">
        <v>1</v>
      </c>
      <c r="BL129" s="1">
        <v>301.05590573683997</v>
      </c>
      <c r="BM129" s="1">
        <v>4.12734124261309</v>
      </c>
      <c r="BN129" s="1">
        <v>301.05590573683997</v>
      </c>
      <c r="BO129" s="1">
        <v>1</v>
      </c>
      <c r="BP129" s="1">
        <v>68150.185920081902</v>
      </c>
      <c r="BQ129" s="1">
        <v>1</v>
      </c>
      <c r="BR129" s="1">
        <v>0.69596000000000002</v>
      </c>
    </row>
    <row r="130" spans="1:70">
      <c r="A130" s="2" t="s">
        <v>198</v>
      </c>
      <c r="B130" s="1">
        <v>12065825.263044599</v>
      </c>
      <c r="C130" s="1">
        <v>598.16775841223</v>
      </c>
      <c r="D130" s="1">
        <v>70.719127092772794</v>
      </c>
      <c r="E130" s="1">
        <v>654.056980860061</v>
      </c>
      <c r="F130" s="1">
        <v>2683685.08837691</v>
      </c>
      <c r="G130" s="1">
        <v>1493933.1953330799</v>
      </c>
      <c r="H130" s="1">
        <v>2.11454043590923E-5</v>
      </c>
      <c r="I130" s="1">
        <v>7.6371158483287804E-5</v>
      </c>
      <c r="J130" s="1">
        <v>0.51093471001103696</v>
      </c>
      <c r="K130" s="1">
        <v>6848.0719740579098</v>
      </c>
      <c r="L130" s="1">
        <v>8.69531901762856E-3</v>
      </c>
      <c r="M130" s="1">
        <v>129</v>
      </c>
      <c r="N130" s="1">
        <v>3471.9485414279502</v>
      </c>
      <c r="O130" s="3">
        <v>2.8502295699234199E-6</v>
      </c>
      <c r="P130" s="3">
        <v>5.98473400508856E-3</v>
      </c>
      <c r="Q130" s="3">
        <v>1.905E-3</v>
      </c>
      <c r="R130" s="1">
        <v>0.69596000000000002</v>
      </c>
      <c r="S130" s="4">
        <v>4343195.60546875</v>
      </c>
      <c r="T130" s="1">
        <v>294.30874222031798</v>
      </c>
      <c r="U130" s="5">
        <v>561.25084919084804</v>
      </c>
      <c r="V130" s="1">
        <v>0.03</v>
      </c>
      <c r="W130" s="3">
        <v>86604.185438244895</v>
      </c>
      <c r="X130" s="1">
        <v>3.2280713915647401E-2</v>
      </c>
      <c r="Y130" s="1">
        <v>5.5658107404926103</v>
      </c>
      <c r="Z130" s="1">
        <v>5.5658107462575801</v>
      </c>
      <c r="AA130" s="1">
        <v>-5.76496983484276E-9</v>
      </c>
      <c r="AB130" s="1">
        <v>1.40308069136412E-5</v>
      </c>
      <c r="AC130" s="1">
        <v>666.99369060809397</v>
      </c>
      <c r="AD130" s="1">
        <v>2750.6507882578599</v>
      </c>
      <c r="AE130" s="1">
        <v>561.25084986078502</v>
      </c>
      <c r="AF130" s="6">
        <v>6.6993675318372002E-7</v>
      </c>
      <c r="AG130" s="1">
        <v>1.40877671975544E-5</v>
      </c>
      <c r="AH130" s="1">
        <v>74.367660287660598</v>
      </c>
      <c r="AI130" s="1">
        <v>0.33719743815596598</v>
      </c>
      <c r="AJ130" s="1">
        <v>40.682968972961802</v>
      </c>
      <c r="AK130" s="1">
        <v>4.6081337432180201</v>
      </c>
      <c r="AL130" s="1">
        <v>1.0236047381170099</v>
      </c>
      <c r="AM130" s="1">
        <v>598.16775840431603</v>
      </c>
      <c r="AN130" s="1">
        <v>7.9136270869639702E-9</v>
      </c>
      <c r="AO130" s="1">
        <v>5.6960283913167198E-8</v>
      </c>
      <c r="AP130" s="1">
        <v>4.3784762305645302</v>
      </c>
      <c r="AQ130" s="1">
        <v>4.4655071343375101E-5</v>
      </c>
      <c r="AR130" s="1">
        <v>7.0723637407337597E-6</v>
      </c>
      <c r="AS130" s="1">
        <v>20.4237300769508</v>
      </c>
      <c r="AT130" s="1">
        <v>12.033487319390201</v>
      </c>
      <c r="AU130" s="1">
        <v>4.0576610961806701</v>
      </c>
      <c r="AV130" s="1">
        <v>0.320815134383863</v>
      </c>
      <c r="AW130" s="1">
        <v>7.5844090275535899E-3</v>
      </c>
      <c r="AX130" s="1">
        <v>0.32081513100826797</v>
      </c>
      <c r="AY130" s="1">
        <v>3.3755951922565E-9</v>
      </c>
      <c r="AZ130" s="1">
        <v>1189751.8930438301</v>
      </c>
      <c r="BA130" s="1">
        <v>1.0198769844096601E-5</v>
      </c>
      <c r="BB130" s="4">
        <v>4346066.2670654096</v>
      </c>
      <c r="BC130" s="4">
        <v>2870.6615966577101</v>
      </c>
      <c r="BD130" s="7">
        <v>6.6095609256997395E-2</v>
      </c>
      <c r="BE130" s="4">
        <v>3091498.2</v>
      </c>
      <c r="BF130" s="1">
        <v>1.4058123233147599</v>
      </c>
      <c r="BG130" s="1">
        <v>1</v>
      </c>
      <c r="BH130" s="1">
        <v>-7.8E-2</v>
      </c>
      <c r="BI130" s="1">
        <v>4.5999999999999999E-2</v>
      </c>
      <c r="BJ130" s="1">
        <v>5625</v>
      </c>
      <c r="BK130" s="1">
        <v>1</v>
      </c>
      <c r="BL130" s="1">
        <v>303.85901619191202</v>
      </c>
      <c r="BM130" s="1">
        <v>4.3460662670654102</v>
      </c>
      <c r="BN130" s="1">
        <v>303.85901619191202</v>
      </c>
      <c r="BO130" s="1">
        <v>1</v>
      </c>
      <c r="BP130" s="1">
        <v>69621.580425763706</v>
      </c>
      <c r="BQ130" s="1">
        <v>1</v>
      </c>
      <c r="BR130" s="1">
        <v>0.69596000000000002</v>
      </c>
    </row>
    <row r="131" spans="1:70">
      <c r="A131" s="2" t="s">
        <v>199</v>
      </c>
      <c r="B131" s="1">
        <v>12065825.263044599</v>
      </c>
      <c r="C131" s="1">
        <v>598.16775841223</v>
      </c>
      <c r="D131" s="1">
        <v>70.719127092772794</v>
      </c>
      <c r="E131" s="1">
        <v>654.056980860061</v>
      </c>
      <c r="F131" s="1">
        <v>2683685.08837691</v>
      </c>
      <c r="G131" s="1">
        <v>1493933.1953330799</v>
      </c>
      <c r="H131" s="1">
        <v>2.11454043590923E-5</v>
      </c>
      <c r="I131" s="1">
        <v>7.6371158483287804E-5</v>
      </c>
      <c r="J131" s="1">
        <v>0.51093471001103696</v>
      </c>
      <c r="K131" s="1">
        <v>6848.0719740579098</v>
      </c>
      <c r="L131" s="1">
        <v>8.69531901762856E-3</v>
      </c>
      <c r="M131" s="1">
        <v>130</v>
      </c>
      <c r="N131" s="1">
        <v>4000.87820203611</v>
      </c>
      <c r="O131" s="3">
        <v>2.8502295699234199E-6</v>
      </c>
      <c r="P131" s="3">
        <v>5.98473400508856E-3</v>
      </c>
      <c r="Q131" s="3">
        <v>1.905E-3</v>
      </c>
      <c r="R131" s="1">
        <v>0.69596000000000002</v>
      </c>
      <c r="S131" s="4">
        <v>4853035.1804687502</v>
      </c>
      <c r="T131" s="1">
        <v>299.85899298833198</v>
      </c>
      <c r="U131" s="5">
        <v>558.70357782107999</v>
      </c>
      <c r="V131" s="1">
        <v>0.03</v>
      </c>
      <c r="W131" s="3">
        <v>99797.791813602395</v>
      </c>
      <c r="X131" s="1">
        <v>3.0280138556132801E-2</v>
      </c>
      <c r="Y131" s="1">
        <v>5.7467336773813704</v>
      </c>
      <c r="Z131" s="1">
        <v>5.7467337191382404</v>
      </c>
      <c r="AA131" s="1">
        <v>-4.1756874402665303E-8</v>
      </c>
      <c r="AB131" s="1">
        <v>1.1264289915259E-5</v>
      </c>
      <c r="AC131" s="1">
        <v>665.75739785602002</v>
      </c>
      <c r="AD131" s="1">
        <v>3069.90454493262</v>
      </c>
      <c r="AE131" s="1">
        <v>558.70357782107999</v>
      </c>
      <c r="AF131" s="6">
        <v>0</v>
      </c>
      <c r="AG131" s="1">
        <v>1.1316655590398E-5</v>
      </c>
      <c r="AH131" s="1">
        <v>92.632406477921904</v>
      </c>
      <c r="AI131" s="1">
        <v>0.376334194203642</v>
      </c>
      <c r="AJ131" s="1">
        <v>36.473545858687601</v>
      </c>
      <c r="AK131" s="1">
        <v>4.6096331231952501</v>
      </c>
      <c r="AL131" s="1">
        <v>1.0236047381170099</v>
      </c>
      <c r="AM131" s="1">
        <v>598.16775840942398</v>
      </c>
      <c r="AN131" s="1">
        <v>2.80556378129404E-9</v>
      </c>
      <c r="AO131" s="1">
        <v>5.2365675139005498E-8</v>
      </c>
      <c r="AP131" s="1">
        <v>4.6605653767108697</v>
      </c>
      <c r="AQ131" s="1">
        <v>3.9413007084651703E-5</v>
      </c>
      <c r="AR131" s="1">
        <v>5.6845106327685003E-6</v>
      </c>
      <c r="AS131" s="1">
        <v>18.3211601335998</v>
      </c>
      <c r="AT131" s="1">
        <v>11.490283416554201</v>
      </c>
      <c r="AU131" s="1">
        <v>4.3241865507403796</v>
      </c>
      <c r="AV131" s="1">
        <v>0.33637882597048702</v>
      </c>
      <c r="AW131" s="1">
        <v>6.0889571532205004E-3</v>
      </c>
      <c r="AX131" s="1">
        <v>0.33637882516474399</v>
      </c>
      <c r="AY131" s="1">
        <v>8.0574291683177504E-10</v>
      </c>
      <c r="AZ131" s="1">
        <v>1189751.8930438301</v>
      </c>
      <c r="BA131" s="1">
        <v>8.4567008289597102E-6</v>
      </c>
      <c r="BB131" s="4">
        <v>4818565.0919962097</v>
      </c>
      <c r="BC131" s="4">
        <v>-34470.088472536801</v>
      </c>
      <c r="BD131" s="7">
        <v>-0.71027897368770598</v>
      </c>
      <c r="BE131" s="4">
        <v>3615160.14</v>
      </c>
      <c r="BF131" s="1">
        <v>1.33287735685098</v>
      </c>
      <c r="BG131" s="1">
        <v>1</v>
      </c>
      <c r="BH131" s="1">
        <v>-4.2999999999999997E-2</v>
      </c>
      <c r="BI131" s="1">
        <v>4.5999999999999999E-2</v>
      </c>
      <c r="BJ131" s="1">
        <v>5625</v>
      </c>
      <c r="BK131" s="1">
        <v>1</v>
      </c>
      <c r="BL131" s="1">
        <v>298.30876542389802</v>
      </c>
      <c r="BM131" s="1">
        <v>4.8185650919962102</v>
      </c>
      <c r="BN131" s="1">
        <v>298.30876542389802</v>
      </c>
      <c r="BO131" s="1">
        <v>1</v>
      </c>
      <c r="BP131" s="1">
        <v>66723.418294818403</v>
      </c>
      <c r="BQ131" s="1">
        <v>1</v>
      </c>
      <c r="BR131" s="1">
        <v>0.69596000000000002</v>
      </c>
    </row>
    <row r="132" spans="1:70">
      <c r="A132" s="2" t="s">
        <v>200</v>
      </c>
      <c r="B132" s="1">
        <v>12065825.263044599</v>
      </c>
      <c r="C132" s="1">
        <v>598.16775841223</v>
      </c>
      <c r="D132" s="1">
        <v>70.719127092772794</v>
      </c>
      <c r="E132" s="1">
        <v>654.056980860061</v>
      </c>
      <c r="F132" s="1">
        <v>2683685.08837691</v>
      </c>
      <c r="G132" s="1">
        <v>1493933.1953330799</v>
      </c>
      <c r="H132" s="1">
        <v>2.11454043590923E-5</v>
      </c>
      <c r="I132" s="1">
        <v>7.6371158483287804E-5</v>
      </c>
      <c r="J132" s="1">
        <v>0.51093471001103696</v>
      </c>
      <c r="K132" s="1">
        <v>6848.0719740579098</v>
      </c>
      <c r="L132" s="1">
        <v>8.69531901762856E-3</v>
      </c>
      <c r="M132" s="1">
        <v>131</v>
      </c>
      <c r="N132" s="1">
        <v>4028.00280001602</v>
      </c>
      <c r="O132" s="3">
        <v>2.8502295699234199E-6</v>
      </c>
      <c r="P132" s="3">
        <v>5.98473400508856E-3</v>
      </c>
      <c r="Q132" s="3">
        <v>1.905E-3</v>
      </c>
      <c r="R132" s="1">
        <v>0.69596000000000002</v>
      </c>
      <c r="S132" s="4">
        <v>4927346.81640625</v>
      </c>
      <c r="T132" s="1">
        <v>297.11185267539003</v>
      </c>
      <c r="U132" s="5">
        <v>558.15021876330798</v>
      </c>
      <c r="V132" s="1">
        <v>0.03</v>
      </c>
      <c r="W132" s="3">
        <v>100474.38701233899</v>
      </c>
      <c r="X132" s="1">
        <v>3.0189353342588401E-2</v>
      </c>
      <c r="Y132" s="1">
        <v>5.7553679598019398</v>
      </c>
      <c r="Z132" s="1">
        <v>5.7553679983791897</v>
      </c>
      <c r="AA132" s="1">
        <v>-3.8577247174487197E-8</v>
      </c>
      <c r="AB132" s="1">
        <v>1.1146512323351701E-5</v>
      </c>
      <c r="AC132" s="1">
        <v>666.43737555555003</v>
      </c>
      <c r="AD132" s="1">
        <v>3086.0807201296302</v>
      </c>
      <c r="AE132" s="1">
        <v>558.15021942768101</v>
      </c>
      <c r="AF132" s="6">
        <v>6.6437371515348797E-7</v>
      </c>
      <c r="AG132" s="1">
        <v>1.1199773376919701E-5</v>
      </c>
      <c r="AH132" s="1">
        <v>93.6111899261481</v>
      </c>
      <c r="AI132" s="1">
        <v>0.37831720304608801</v>
      </c>
      <c r="AJ132" s="1">
        <v>36.287039042869303</v>
      </c>
      <c r="AK132" s="1">
        <v>4.6600811273939602</v>
      </c>
      <c r="AL132" s="1">
        <v>1.0236047381170099</v>
      </c>
      <c r="AM132" s="1">
        <v>598.167758401073</v>
      </c>
      <c r="AN132" s="1">
        <v>1.1156998880324E-8</v>
      </c>
      <c r="AO132" s="1">
        <v>5.32610535679949E-8</v>
      </c>
      <c r="AP132" s="1">
        <v>4.67464848359805</v>
      </c>
      <c r="AQ132" s="1">
        <v>3.9175889151730999E-5</v>
      </c>
      <c r="AR132" s="1">
        <v>5.6265172152438503E-6</v>
      </c>
      <c r="AS132" s="1">
        <v>18.229801889177399</v>
      </c>
      <c r="AT132" s="1">
        <v>11.4652886066731</v>
      </c>
      <c r="AU132" s="1">
        <v>4.3375159177927403</v>
      </c>
      <c r="AV132" s="1">
        <v>0.33713256580531298</v>
      </c>
      <c r="AW132" s="1">
        <v>6.0252920028978398E-3</v>
      </c>
      <c r="AX132" s="1">
        <v>0.33713256465786001</v>
      </c>
      <c r="AY132" s="1">
        <v>1.1474536876221499E-9</v>
      </c>
      <c r="AZ132" s="1">
        <v>1189751.8930438301</v>
      </c>
      <c r="BA132" s="1">
        <v>8.3804994726742605E-6</v>
      </c>
      <c r="BB132" s="4">
        <v>4945518.6022961503</v>
      </c>
      <c r="BC132" s="4">
        <v>18171.785889903102</v>
      </c>
      <c r="BD132" s="7">
        <v>0.36879453724259298</v>
      </c>
      <c r="BE132" s="4">
        <v>3671942.76</v>
      </c>
      <c r="BF132" s="1">
        <v>1.34683978633048</v>
      </c>
      <c r="BG132" s="1">
        <v>1</v>
      </c>
      <c r="BH132" s="1">
        <v>-4.2000000000000003E-2</v>
      </c>
      <c r="BI132" s="1">
        <v>4.5999999999999999E-2</v>
      </c>
      <c r="BJ132" s="1">
        <v>5625</v>
      </c>
      <c r="BK132" s="1">
        <v>1</v>
      </c>
      <c r="BL132" s="1">
        <v>301.05590573683997</v>
      </c>
      <c r="BM132" s="1">
        <v>4.9455186022961497</v>
      </c>
      <c r="BN132" s="1">
        <v>301.05590573683997</v>
      </c>
      <c r="BO132" s="1">
        <v>1</v>
      </c>
      <c r="BP132" s="1">
        <v>68150.185920081902</v>
      </c>
      <c r="BQ132" s="1">
        <v>1</v>
      </c>
      <c r="BR132" s="1">
        <v>0.69596000000000002</v>
      </c>
    </row>
    <row r="133" spans="1:70">
      <c r="A133" s="2" t="s">
        <v>201</v>
      </c>
      <c r="B133" s="1">
        <v>12065825.263044599</v>
      </c>
      <c r="C133" s="1">
        <v>598.16775841223</v>
      </c>
      <c r="D133" s="1">
        <v>70.719127092772794</v>
      </c>
      <c r="E133" s="1">
        <v>654.056980860061</v>
      </c>
      <c r="F133" s="1">
        <v>2683685.08837691</v>
      </c>
      <c r="G133" s="1">
        <v>1493933.1953330799</v>
      </c>
      <c r="H133" s="1">
        <v>2.11454043590923E-5</v>
      </c>
      <c r="I133" s="1">
        <v>7.6371158483287804E-5</v>
      </c>
      <c r="J133" s="1">
        <v>0.51093471001103696</v>
      </c>
      <c r="K133" s="1">
        <v>6848.0719740579098</v>
      </c>
      <c r="L133" s="1">
        <v>8.69531901762856E-3</v>
      </c>
      <c r="M133" s="1">
        <v>132</v>
      </c>
      <c r="N133" s="1">
        <v>4109.3765939557297</v>
      </c>
      <c r="O133" s="3">
        <v>2.8502295699234199E-6</v>
      </c>
      <c r="P133" s="3">
        <v>5.98473400508856E-3</v>
      </c>
      <c r="Q133" s="3">
        <v>1.905E-3</v>
      </c>
      <c r="R133" s="1">
        <v>0.69596000000000002</v>
      </c>
      <c r="S133" s="4">
        <v>5009458.43265625</v>
      </c>
      <c r="T133" s="1">
        <v>297.61642558059998</v>
      </c>
      <c r="U133" s="5">
        <v>557.74964085065903</v>
      </c>
      <c r="V133" s="1">
        <v>0.03</v>
      </c>
      <c r="W133" s="3">
        <v>102504.172608547</v>
      </c>
      <c r="X133" s="1">
        <v>2.9922937230895001E-2</v>
      </c>
      <c r="Y133" s="1">
        <v>5.7809323771818404</v>
      </c>
      <c r="Z133" s="1">
        <v>5.7809324053557001</v>
      </c>
      <c r="AA133" s="1">
        <v>-2.81738561369593E-8</v>
      </c>
      <c r="AB133" s="1">
        <v>1.0804787528474199E-5</v>
      </c>
      <c r="AC133" s="1">
        <v>666.32049253885202</v>
      </c>
      <c r="AD133" s="1">
        <v>3134.5028285365602</v>
      </c>
      <c r="AE133" s="1">
        <v>557.74964151386405</v>
      </c>
      <c r="AF133" s="6">
        <v>6.6320490077487204E-7</v>
      </c>
      <c r="AG133" s="1">
        <v>1.0857536782913499E-5</v>
      </c>
      <c r="AH133" s="1">
        <v>96.571846449143194</v>
      </c>
      <c r="AI133" s="1">
        <v>0.38425318407815101</v>
      </c>
      <c r="AJ133" s="1">
        <v>35.730162474521897</v>
      </c>
      <c r="AK133" s="1">
        <v>4.6644128762254002</v>
      </c>
      <c r="AL133" s="1">
        <v>1.0236047381170099</v>
      </c>
      <c r="AM133" s="1">
        <v>598.16775840445098</v>
      </c>
      <c r="AN133" s="1">
        <v>7.77947661845246E-9</v>
      </c>
      <c r="AO133" s="1">
        <v>5.2749254439303103E-8</v>
      </c>
      <c r="AP133" s="1">
        <v>4.7155119710003897</v>
      </c>
      <c r="AQ133" s="1">
        <v>3.8499853499744599E-5</v>
      </c>
      <c r="AR133" s="1">
        <v>5.4551430186764003E-6</v>
      </c>
      <c r="AS133" s="1">
        <v>17.951875298805898</v>
      </c>
      <c r="AT133" s="1">
        <v>11.388472914742</v>
      </c>
      <c r="AU133" s="1">
        <v>4.3760569792773802</v>
      </c>
      <c r="AV133" s="1">
        <v>0.33945499172300297</v>
      </c>
      <c r="AW133" s="1">
        <v>5.8405712925951401E-3</v>
      </c>
      <c r="AX133" s="1">
        <v>0.339454989417666</v>
      </c>
      <c r="AY133" s="1">
        <v>2.3053373654491301E-9</v>
      </c>
      <c r="AZ133" s="1">
        <v>1189751.8930438301</v>
      </c>
      <c r="BA133" s="1">
        <v>8.16451187835219E-6</v>
      </c>
      <c r="BB133" s="4">
        <v>5027569.5852272203</v>
      </c>
      <c r="BC133" s="4">
        <v>18111.152570971299</v>
      </c>
      <c r="BD133" s="7">
        <v>0.36153913271155602</v>
      </c>
      <c r="BE133" s="4">
        <v>3653015.22</v>
      </c>
      <c r="BF133" s="1">
        <v>1.37627939727752</v>
      </c>
      <c r="BG133" s="1">
        <v>1</v>
      </c>
      <c r="BH133" s="1">
        <v>-6.8000000000000005E-2</v>
      </c>
      <c r="BI133" s="1">
        <v>4.5999999999999999E-2</v>
      </c>
      <c r="BJ133" s="1">
        <v>5625</v>
      </c>
      <c r="BK133" s="1">
        <v>1</v>
      </c>
      <c r="BL133" s="1">
        <v>300.55133283163002</v>
      </c>
      <c r="BM133" s="1">
        <v>5.0275695852272202</v>
      </c>
      <c r="BN133" s="1">
        <v>300.55133283163002</v>
      </c>
      <c r="BO133" s="1">
        <v>1</v>
      </c>
      <c r="BP133" s="1">
        <v>67886.9970403388</v>
      </c>
      <c r="BQ133" s="1">
        <v>1</v>
      </c>
      <c r="BR133" s="1">
        <v>0.69596000000000002</v>
      </c>
    </row>
    <row r="134" spans="1:70">
      <c r="A134" s="2" t="s">
        <v>202</v>
      </c>
      <c r="B134" s="1">
        <v>15513203.909628799</v>
      </c>
      <c r="C134" s="1">
        <v>617.97483343502097</v>
      </c>
      <c r="D134" s="1">
        <v>102.22394330033001</v>
      </c>
      <c r="E134" s="1">
        <v>593.997803214295</v>
      </c>
      <c r="F134" s="1">
        <v>2595333.5493798102</v>
      </c>
      <c r="G134" s="1">
        <v>1630481.38578821</v>
      </c>
      <c r="H134" s="1">
        <v>2.3048203873610299E-5</v>
      </c>
      <c r="I134" s="1">
        <v>6.8200503236293095E-5</v>
      </c>
      <c r="J134" s="1">
        <v>0.471717723289031</v>
      </c>
      <c r="K134" s="1">
        <v>9005.0430614720299</v>
      </c>
      <c r="L134" s="1">
        <v>4.6429387983550402E-3</v>
      </c>
      <c r="M134" s="1">
        <v>133</v>
      </c>
      <c r="N134" s="1">
        <v>2034.345</v>
      </c>
      <c r="O134" s="3">
        <v>2.8502295699234199E-6</v>
      </c>
      <c r="P134" s="3">
        <v>5.98473400508856E-3</v>
      </c>
      <c r="Q134" s="3">
        <v>1.905E-3</v>
      </c>
      <c r="R134" s="1">
        <v>0.15240000000000001</v>
      </c>
      <c r="S134" s="4">
        <v>3055865.72265625</v>
      </c>
      <c r="T134" s="1">
        <v>532.51320671869905</v>
      </c>
      <c r="U134" s="5">
        <v>585.89262610251501</v>
      </c>
      <c r="V134" s="1">
        <v>0.03</v>
      </c>
      <c r="W134" s="3">
        <v>56824.026819463099</v>
      </c>
      <c r="X134" s="1">
        <v>3.5196888733325903E-2</v>
      </c>
      <c r="Y134" s="1">
        <v>5.3302534800051404</v>
      </c>
      <c r="Z134" s="1">
        <v>5.3302535319536997</v>
      </c>
      <c r="AA134" s="1">
        <v>-5.1948557455716602E-8</v>
      </c>
      <c r="AB134" s="1">
        <v>1.8175884064821801E-5</v>
      </c>
      <c r="AC134" s="1">
        <v>692.46511502385499</v>
      </c>
      <c r="AD134" s="1">
        <v>1884.5564685194799</v>
      </c>
      <c r="AE134" s="1">
        <v>585.89262610251501</v>
      </c>
      <c r="AF134" s="6">
        <v>0</v>
      </c>
      <c r="AG134" s="1">
        <v>1.8254897812804101E-5</v>
      </c>
      <c r="AH134" s="1">
        <v>30.6534006167511</v>
      </c>
      <c r="AI134" s="1">
        <v>0.227167872716697</v>
      </c>
      <c r="AJ134" s="1">
        <v>36.1179902942594</v>
      </c>
      <c r="AK134" s="1">
        <v>4.3677358962694504</v>
      </c>
      <c r="AL134" s="1">
        <v>1.30194062706561</v>
      </c>
      <c r="AM134" s="1">
        <v>617.97483342764701</v>
      </c>
      <c r="AN134" s="1">
        <v>7.3737282946240198E-9</v>
      </c>
      <c r="AO134" s="1">
        <v>7.9013747982299494E-8</v>
      </c>
      <c r="AP134" s="1">
        <v>2.8328243907932098</v>
      </c>
      <c r="AQ134" s="1">
        <v>4.16815285263611E-5</v>
      </c>
      <c r="AR134" s="1">
        <v>9.1669557803932001E-6</v>
      </c>
      <c r="AS134" s="1">
        <v>18.137160958080901</v>
      </c>
      <c r="AT134" s="1">
        <v>11.4398146258309</v>
      </c>
      <c r="AU134" s="1">
        <v>2.5987583528233502</v>
      </c>
      <c r="AV134" s="1">
        <v>0.23406603796985401</v>
      </c>
      <c r="AW134" s="1">
        <v>1.23453544424565E-2</v>
      </c>
      <c r="AX134" s="1">
        <v>0.23406602139217</v>
      </c>
      <c r="AY134" s="1">
        <v>1.6577683836782601E-8</v>
      </c>
      <c r="AZ134" s="1">
        <v>964852.16359160398</v>
      </c>
      <c r="BA134" s="1">
        <v>1.4713770702422499E-5</v>
      </c>
      <c r="BB134" s="4">
        <v>3077685.8864233401</v>
      </c>
      <c r="BC134" s="4">
        <v>21820.163767091901</v>
      </c>
      <c r="BD134" s="7">
        <v>0.71404196870683101</v>
      </c>
      <c r="BE134" s="4">
        <v>3059952.3</v>
      </c>
      <c r="BF134" s="1">
        <v>1.0057953800205801</v>
      </c>
      <c r="BG134" s="1">
        <v>1</v>
      </c>
      <c r="BH134" s="1">
        <v>-1.9E-2</v>
      </c>
      <c r="BI134" s="1">
        <v>4.5999999999999999E-2</v>
      </c>
      <c r="BJ134" s="1">
        <v>5625</v>
      </c>
      <c r="BK134" s="1">
        <v>1</v>
      </c>
      <c r="BL134" s="1">
        <v>85.461626716321504</v>
      </c>
      <c r="BM134" s="1">
        <v>3.0776858864233398</v>
      </c>
      <c r="BN134" s="1">
        <v>85.461626716321504</v>
      </c>
      <c r="BO134" s="1">
        <v>1</v>
      </c>
      <c r="BP134" s="1">
        <v>2066.7595036941502</v>
      </c>
      <c r="BQ134" s="1">
        <v>1</v>
      </c>
      <c r="BR134" s="1">
        <v>0.15240000000000001</v>
      </c>
    </row>
    <row r="135" spans="1:70">
      <c r="A135" s="2" t="s">
        <v>203</v>
      </c>
      <c r="B135" s="1">
        <v>15513203.909628799</v>
      </c>
      <c r="C135" s="1">
        <v>617.97483343502097</v>
      </c>
      <c r="D135" s="1">
        <v>102.22394330033001</v>
      </c>
      <c r="E135" s="1">
        <v>593.997803214295</v>
      </c>
      <c r="F135" s="1">
        <v>2595333.5493798102</v>
      </c>
      <c r="G135" s="1">
        <v>1630481.38578821</v>
      </c>
      <c r="H135" s="1">
        <v>2.3048203873610299E-5</v>
      </c>
      <c r="I135" s="1">
        <v>6.8200503236293095E-5</v>
      </c>
      <c r="J135" s="1">
        <v>0.471717723289031</v>
      </c>
      <c r="K135" s="1">
        <v>9005.0430614720299</v>
      </c>
      <c r="L135" s="1">
        <v>4.6429387983550402E-3</v>
      </c>
      <c r="M135" s="1">
        <v>134</v>
      </c>
      <c r="N135" s="1">
        <v>2061.4695999999999</v>
      </c>
      <c r="O135" s="3">
        <v>2.8502295699234199E-6</v>
      </c>
      <c r="P135" s="3">
        <v>5.98473400508856E-3</v>
      </c>
      <c r="Q135" s="3">
        <v>1.905E-3</v>
      </c>
      <c r="R135" s="1">
        <v>0.15240000000000001</v>
      </c>
      <c r="S135" s="4">
        <v>3232979.8983437498</v>
      </c>
      <c r="T135" s="1">
        <v>528.04902786314199</v>
      </c>
      <c r="U135" s="5">
        <v>583.779183250193</v>
      </c>
      <c r="V135" s="1">
        <v>0.03</v>
      </c>
      <c r="W135" s="3">
        <v>57581.680510389298</v>
      </c>
      <c r="X135" s="1">
        <v>3.4978260181261399E-2</v>
      </c>
      <c r="Y135" s="1">
        <v>5.3468856722663496</v>
      </c>
      <c r="Z135" s="1">
        <v>5.3468857046363096</v>
      </c>
      <c r="AA135" s="1">
        <v>-3.2369960045741697E-8</v>
      </c>
      <c r="AB135" s="1">
        <v>1.7811354909090299E-5</v>
      </c>
      <c r="AC135" s="1">
        <v>696.71605467574102</v>
      </c>
      <c r="AD135" s="1">
        <v>1903.74356479158</v>
      </c>
      <c r="AE135" s="1">
        <v>583.77918421735399</v>
      </c>
      <c r="AF135" s="6">
        <v>9.67160531217814E-7</v>
      </c>
      <c r="AG135" s="1">
        <v>1.7893043304985801E-5</v>
      </c>
      <c r="AH135" s="1">
        <v>31.2807564975449</v>
      </c>
      <c r="AI135" s="1">
        <v>0.22948072028404401</v>
      </c>
      <c r="AJ135" s="1">
        <v>35.762484038219199</v>
      </c>
      <c r="AK135" s="1">
        <v>4.6236939782341997</v>
      </c>
      <c r="AL135" s="1">
        <v>1.30194062706561</v>
      </c>
      <c r="AM135" s="1">
        <v>617.97483340397503</v>
      </c>
      <c r="AN135" s="1">
        <v>3.1045942705532097E-8</v>
      </c>
      <c r="AO135" s="1">
        <v>8.1688395895471294E-8</v>
      </c>
      <c r="AP135" s="1">
        <v>2.84922589732698</v>
      </c>
      <c r="AQ135" s="1">
        <v>4.1203032115004102E-5</v>
      </c>
      <c r="AR135" s="1">
        <v>8.9873658504406292E-6</v>
      </c>
      <c r="AS135" s="1">
        <v>17.962876537747</v>
      </c>
      <c r="AT135" s="1">
        <v>11.3915360681045</v>
      </c>
      <c r="AU135" s="1">
        <v>2.61413790205029</v>
      </c>
      <c r="AV135" s="1">
        <v>0.23508799527669999</v>
      </c>
      <c r="AW135" s="1">
        <v>1.2097760343811E-2</v>
      </c>
      <c r="AX135" s="1">
        <v>0.235087986499978</v>
      </c>
      <c r="AY135" s="1">
        <v>8.7767216827572303E-9</v>
      </c>
      <c r="AZ135" s="1">
        <v>964852.16359160398</v>
      </c>
      <c r="BA135" s="1">
        <v>1.44611321108863E-5</v>
      </c>
      <c r="BB135" s="4">
        <v>3237454.6097345399</v>
      </c>
      <c r="BC135" s="4">
        <v>4474.7113907863404</v>
      </c>
      <c r="BD135" s="7">
        <v>0.138408265175998</v>
      </c>
      <c r="BE135" s="4">
        <v>3217681.8</v>
      </c>
      <c r="BF135" s="1">
        <v>1.00614504819418</v>
      </c>
      <c r="BG135" s="1">
        <v>1</v>
      </c>
      <c r="BH135" s="1">
        <v>-2.1999999999999999E-2</v>
      </c>
      <c r="BI135" s="1">
        <v>4.5999999999999999E-2</v>
      </c>
      <c r="BJ135" s="1">
        <v>5625</v>
      </c>
      <c r="BK135" s="1">
        <v>1</v>
      </c>
      <c r="BL135" s="1">
        <v>89.925805571878499</v>
      </c>
      <c r="BM135" s="1">
        <v>3.2374546097345398</v>
      </c>
      <c r="BN135" s="1">
        <v>89.925805571878499</v>
      </c>
      <c r="BO135" s="1">
        <v>1</v>
      </c>
      <c r="BP135" s="1">
        <v>2492.5860620010199</v>
      </c>
      <c r="BQ135" s="1">
        <v>1</v>
      </c>
      <c r="BR135" s="1">
        <v>0.15240000000000001</v>
      </c>
    </row>
    <row r="136" spans="1:70">
      <c r="A136" s="2" t="s">
        <v>204</v>
      </c>
      <c r="B136" s="1">
        <v>15513203.909628799</v>
      </c>
      <c r="C136" s="1">
        <v>617.97483343502097</v>
      </c>
      <c r="D136" s="1">
        <v>102.22394330033001</v>
      </c>
      <c r="E136" s="1">
        <v>593.997803214295</v>
      </c>
      <c r="F136" s="1">
        <v>2595333.5493798102</v>
      </c>
      <c r="G136" s="1">
        <v>1630481.38578821</v>
      </c>
      <c r="H136" s="1">
        <v>2.3048203873610299E-5</v>
      </c>
      <c r="I136" s="1">
        <v>6.8200503236293095E-5</v>
      </c>
      <c r="J136" s="1">
        <v>0.471717723289031</v>
      </c>
      <c r="K136" s="1">
        <v>9005.0430614720299</v>
      </c>
      <c r="L136" s="1">
        <v>4.6429387983550402E-3</v>
      </c>
      <c r="M136" s="1">
        <v>135</v>
      </c>
      <c r="N136" s="1">
        <v>2115.7188000000001</v>
      </c>
      <c r="O136" s="3">
        <v>2.8502295699234199E-6</v>
      </c>
      <c r="P136" s="3">
        <v>5.98473400508856E-3</v>
      </c>
      <c r="Q136" s="3">
        <v>1.905E-3</v>
      </c>
      <c r="R136" s="1">
        <v>0.15240000000000001</v>
      </c>
      <c r="S136" s="4">
        <v>3742000.25390625</v>
      </c>
      <c r="T136" s="1">
        <v>514.67337606307899</v>
      </c>
      <c r="U136" s="5">
        <v>577.52406634710496</v>
      </c>
      <c r="V136" s="1">
        <v>0.03</v>
      </c>
      <c r="W136" s="3">
        <v>59096.987892241603</v>
      </c>
      <c r="X136" s="1">
        <v>3.4555174610075401E-2</v>
      </c>
      <c r="Y136" s="1">
        <v>5.3795191032892404</v>
      </c>
      <c r="Z136" s="1">
        <v>5.3795191594520197</v>
      </c>
      <c r="AA136" s="1">
        <v>-5.6162785533331303E-8</v>
      </c>
      <c r="AB136" s="1">
        <v>1.7116700383670199E-5</v>
      </c>
      <c r="AC136" s="1">
        <v>709.63670370418299</v>
      </c>
      <c r="AD136" s="1">
        <v>1941.98961300986</v>
      </c>
      <c r="AE136" s="1">
        <v>577.52406634710496</v>
      </c>
      <c r="AF136" s="6">
        <v>0</v>
      </c>
      <c r="AG136" s="1">
        <v>1.72074456155576E-5</v>
      </c>
      <c r="AH136" s="1">
        <v>32.550237096756298</v>
      </c>
      <c r="AI136" s="1">
        <v>0.23409096866805401</v>
      </c>
      <c r="AJ136" s="1">
        <v>35.083129293275697</v>
      </c>
      <c r="AK136" s="1">
        <v>5.39759290733251</v>
      </c>
      <c r="AL136" s="1">
        <v>1.30194062706561</v>
      </c>
      <c r="AM136" s="1">
        <v>617.974833416921</v>
      </c>
      <c r="AN136" s="1">
        <v>1.8099171938956699E-8</v>
      </c>
      <c r="AO136" s="1">
        <v>9.0745231887461896E-8</v>
      </c>
      <c r="AP136" s="1">
        <v>2.8821073289421899</v>
      </c>
      <c r="AQ136" s="1">
        <v>4.0268239538943302E-5</v>
      </c>
      <c r="AR136" s="1">
        <v>8.6490954237225495E-6</v>
      </c>
      <c r="AS136" s="1">
        <v>17.6340718895542</v>
      </c>
      <c r="AT136" s="1">
        <v>11.299164667073599</v>
      </c>
      <c r="AU136" s="1">
        <v>2.6450324020551199</v>
      </c>
      <c r="AV136" s="1">
        <v>0.23707492688706699</v>
      </c>
      <c r="AW136" s="1">
        <v>1.1625939754463899E-2</v>
      </c>
      <c r="AX136" s="1">
        <v>0.237074926185532</v>
      </c>
      <c r="AY136" s="1">
        <v>7.0153574616149704E-10</v>
      </c>
      <c r="AZ136" s="1">
        <v>964852.16359160398</v>
      </c>
      <c r="BA136" s="1">
        <v>1.39718042886775E-5</v>
      </c>
      <c r="BB136" s="4">
        <v>3722347.6780571002</v>
      </c>
      <c r="BC136" s="4">
        <v>-19652.575849152599</v>
      </c>
      <c r="BD136" s="7">
        <v>-0.52518905707281704</v>
      </c>
      <c r="BE136" s="4">
        <v>3722416.2</v>
      </c>
      <c r="BF136" s="1">
        <v>0.99998159207911697</v>
      </c>
      <c r="BG136" s="1">
        <v>1</v>
      </c>
      <c r="BH136" s="1">
        <v>-2.1999999999999999E-2</v>
      </c>
      <c r="BI136" s="1">
        <v>4.5999999999999999E-2</v>
      </c>
      <c r="BJ136" s="1">
        <v>5625</v>
      </c>
      <c r="BK136" s="1">
        <v>1</v>
      </c>
      <c r="BL136" s="1">
        <v>103.30145737194201</v>
      </c>
      <c r="BM136" s="1">
        <v>3.7223476780570999</v>
      </c>
      <c r="BN136" s="1">
        <v>103.30145737194201</v>
      </c>
      <c r="BO136" s="1">
        <v>1</v>
      </c>
      <c r="BP136" s="1">
        <v>4007.0745054117301</v>
      </c>
      <c r="BQ136" s="1">
        <v>1</v>
      </c>
      <c r="BR136" s="1">
        <v>0.15240000000000001</v>
      </c>
    </row>
    <row r="137" spans="1:70">
      <c r="A137" s="2" t="s">
        <v>205</v>
      </c>
      <c r="B137" s="1">
        <v>15513203.909628799</v>
      </c>
      <c r="C137" s="1">
        <v>617.97483343502097</v>
      </c>
      <c r="D137" s="1">
        <v>102.22394330033001</v>
      </c>
      <c r="E137" s="1">
        <v>593.997803214295</v>
      </c>
      <c r="F137" s="1">
        <v>2595333.5493798102</v>
      </c>
      <c r="G137" s="1">
        <v>1630481.38578821</v>
      </c>
      <c r="H137" s="1">
        <v>2.3048203873610299E-5</v>
      </c>
      <c r="I137" s="1">
        <v>6.8200503236293095E-5</v>
      </c>
      <c r="J137" s="1">
        <v>0.471717723289031</v>
      </c>
      <c r="K137" s="1">
        <v>9005.0430614720299</v>
      </c>
      <c r="L137" s="1">
        <v>4.6429387983550402E-3</v>
      </c>
      <c r="M137" s="1">
        <v>136</v>
      </c>
      <c r="N137" s="1">
        <v>2156.4056999999998</v>
      </c>
      <c r="O137" s="3">
        <v>2.8502295699234199E-6</v>
      </c>
      <c r="P137" s="3">
        <v>5.98473400508856E-3</v>
      </c>
      <c r="Q137" s="3">
        <v>1.905E-3</v>
      </c>
      <c r="R137" s="1">
        <v>0.15240000000000001</v>
      </c>
      <c r="S137" s="4">
        <v>3829275.9610312502</v>
      </c>
      <c r="T137" s="1">
        <v>513.57370580890699</v>
      </c>
      <c r="U137" s="5">
        <v>576.67675985950996</v>
      </c>
      <c r="V137" s="1">
        <v>0.03</v>
      </c>
      <c r="W137" s="3">
        <v>60233.468428630898</v>
      </c>
      <c r="X137" s="1">
        <v>3.4249617312816803E-2</v>
      </c>
      <c r="Y137" s="1">
        <v>5.4034624570516501</v>
      </c>
      <c r="Z137" s="1">
        <v>5.4034625052941996</v>
      </c>
      <c r="AA137" s="1">
        <v>-4.8242550398924797E-8</v>
      </c>
      <c r="AB137" s="1">
        <v>1.6623878854372201E-5</v>
      </c>
      <c r="AC137" s="1">
        <v>710.45461029609305</v>
      </c>
      <c r="AD137" s="1">
        <v>1970.5649071683599</v>
      </c>
      <c r="AE137" s="1">
        <v>576.67676096405603</v>
      </c>
      <c r="AF137" s="6">
        <v>1.10454607238353E-6</v>
      </c>
      <c r="AG137" s="1">
        <v>1.6714858757936299E-5</v>
      </c>
      <c r="AH137" s="1">
        <v>33.5152018781747</v>
      </c>
      <c r="AI137" s="1">
        <v>0.237535486725578</v>
      </c>
      <c r="AJ137" s="1">
        <v>34.5802772668399</v>
      </c>
      <c r="AK137" s="1">
        <v>5.4573547130679199</v>
      </c>
      <c r="AL137" s="1">
        <v>1.30194062706561</v>
      </c>
      <c r="AM137" s="1">
        <v>617.97483340140604</v>
      </c>
      <c r="AN137" s="1">
        <v>3.3614242056501098E-8</v>
      </c>
      <c r="AO137" s="1">
        <v>9.0979903564094406E-8</v>
      </c>
      <c r="AP137" s="1">
        <v>2.9056228638069901</v>
      </c>
      <c r="AQ137" s="1">
        <v>3.9619086202504297E-5</v>
      </c>
      <c r="AR137" s="1">
        <v>8.4029193307502205E-6</v>
      </c>
      <c r="AS137" s="1">
        <v>17.384249817263001</v>
      </c>
      <c r="AT137" s="1">
        <v>11.227823066895599</v>
      </c>
      <c r="AU137" s="1">
        <v>2.66700641706371</v>
      </c>
      <c r="AV137" s="1">
        <v>0.23861644674327301</v>
      </c>
      <c r="AW137" s="1">
        <v>1.1291207400628601E-2</v>
      </c>
      <c r="AX137" s="1">
        <v>0.238616445069046</v>
      </c>
      <c r="AY137" s="1">
        <v>1.6742279229653401E-9</v>
      </c>
      <c r="AZ137" s="1">
        <v>964852.16359160398</v>
      </c>
      <c r="BA137" s="1">
        <v>1.3635316095563401E-5</v>
      </c>
      <c r="BB137" s="4">
        <v>3824070.3723692098</v>
      </c>
      <c r="BC137" s="4">
        <v>-5205.58866203669</v>
      </c>
      <c r="BD137" s="7">
        <v>-0.135941852063198</v>
      </c>
      <c r="BE137" s="4">
        <v>3785508</v>
      </c>
      <c r="BF137" s="1">
        <v>1.01018684212772</v>
      </c>
      <c r="BG137" s="1">
        <v>1</v>
      </c>
      <c r="BH137" s="1">
        <v>-2.8000000000000001E-2</v>
      </c>
      <c r="BI137" s="1">
        <v>4.5999999999999999E-2</v>
      </c>
      <c r="BJ137" s="1">
        <v>5625</v>
      </c>
      <c r="BK137" s="1">
        <v>1</v>
      </c>
      <c r="BL137" s="1">
        <v>104.401127626114</v>
      </c>
      <c r="BM137" s="1">
        <v>3.82407037236921</v>
      </c>
      <c r="BN137" s="1">
        <v>104.401127626114</v>
      </c>
      <c r="BO137" s="1">
        <v>1</v>
      </c>
      <c r="BP137" s="1">
        <v>4147.5052395149596</v>
      </c>
      <c r="BQ137" s="1">
        <v>1</v>
      </c>
      <c r="BR137" s="1">
        <v>0.15240000000000001</v>
      </c>
    </row>
    <row r="138" spans="1:70">
      <c r="A138" s="2" t="s">
        <v>206</v>
      </c>
      <c r="B138" s="1">
        <v>15513203.909628799</v>
      </c>
      <c r="C138" s="1">
        <v>617.97483343502097</v>
      </c>
      <c r="D138" s="1">
        <v>102.22394330033001</v>
      </c>
      <c r="E138" s="1">
        <v>593.997803214295</v>
      </c>
      <c r="F138" s="1">
        <v>2595333.5493798102</v>
      </c>
      <c r="G138" s="1">
        <v>1630481.38578821</v>
      </c>
      <c r="H138" s="1">
        <v>2.3048203873610299E-5</v>
      </c>
      <c r="I138" s="1">
        <v>6.8200503236293095E-5</v>
      </c>
      <c r="J138" s="1">
        <v>0.471717723289031</v>
      </c>
      <c r="K138" s="1">
        <v>9005.0430614720299</v>
      </c>
      <c r="L138" s="1">
        <v>4.6429387983550402E-3</v>
      </c>
      <c r="M138" s="1">
        <v>137</v>
      </c>
      <c r="N138" s="1">
        <v>2251.3418000000001</v>
      </c>
      <c r="O138" s="3">
        <v>2.8502295699234199E-6</v>
      </c>
      <c r="P138" s="3">
        <v>5.98473400508856E-3</v>
      </c>
      <c r="Q138" s="3">
        <v>1.905E-3</v>
      </c>
      <c r="R138" s="1">
        <v>0.15240000000000001</v>
      </c>
      <c r="S138" s="4">
        <v>5268560.4820312504</v>
      </c>
      <c r="T138" s="1">
        <v>475.20630857768703</v>
      </c>
      <c r="U138" s="5">
        <v>558.36635432724995</v>
      </c>
      <c r="V138" s="1">
        <v>0.03</v>
      </c>
      <c r="W138" s="3">
        <v>62885.256346872498</v>
      </c>
      <c r="X138" s="1">
        <v>3.3572814002577597E-2</v>
      </c>
      <c r="Y138" s="1">
        <v>5.4576556165522199</v>
      </c>
      <c r="Z138" s="1">
        <v>5.4576556280146997</v>
      </c>
      <c r="AA138" s="1">
        <v>-1.1462480742352501E-8</v>
      </c>
      <c r="AB138" s="1">
        <v>1.55588830625686E-5</v>
      </c>
      <c r="AC138" s="1">
        <v>748.06774593542502</v>
      </c>
      <c r="AD138" s="1">
        <v>2036.8906689837499</v>
      </c>
      <c r="AE138" s="1">
        <v>558.36635580792699</v>
      </c>
      <c r="AF138" s="6">
        <v>1.48067738336977E-6</v>
      </c>
      <c r="AG138" s="1">
        <v>1.5676458196457901E-5</v>
      </c>
      <c r="AH138" s="1">
        <v>35.809296436130303</v>
      </c>
      <c r="AI138" s="1">
        <v>0.24553051498268</v>
      </c>
      <c r="AJ138" s="1">
        <v>33.523602543914798</v>
      </c>
      <c r="AK138" s="1">
        <v>7.7122654177971102</v>
      </c>
      <c r="AL138" s="1">
        <v>1.30194062706561</v>
      </c>
      <c r="AM138" s="1">
        <v>617.97483337116603</v>
      </c>
      <c r="AN138" s="1">
        <v>6.3854258769424606E-8</v>
      </c>
      <c r="AO138" s="1">
        <v>1.17575133889273E-7</v>
      </c>
      <c r="AP138" s="1">
        <v>2.9630510890262398</v>
      </c>
      <c r="AQ138" s="1">
        <v>3.8098218097777502E-5</v>
      </c>
      <c r="AR138" s="1">
        <v>7.8970166651735703E-6</v>
      </c>
      <c r="AS138" s="1">
        <v>16.887516596431698</v>
      </c>
      <c r="AT138" s="1">
        <v>11.082873430250601</v>
      </c>
      <c r="AU138" s="1">
        <v>2.7211836208172802</v>
      </c>
      <c r="AV138" s="1">
        <v>0.24186746820895799</v>
      </c>
      <c r="AW138" s="1">
        <v>1.05678450330732E-2</v>
      </c>
      <c r="AX138" s="1">
        <v>0.241867463500752</v>
      </c>
      <c r="AY138" s="1">
        <v>4.7082055754099603E-9</v>
      </c>
      <c r="AZ138" s="1">
        <v>964852.16359160398</v>
      </c>
      <c r="BA138" s="1">
        <v>1.28577661852931E-5</v>
      </c>
      <c r="BB138" s="4">
        <v>5240775.6896856101</v>
      </c>
      <c r="BC138" s="4">
        <v>-27784.792345637499</v>
      </c>
      <c r="BD138" s="7">
        <v>-0.52736971399302002</v>
      </c>
      <c r="BE138" s="4">
        <v>4889614.5</v>
      </c>
      <c r="BF138" s="1">
        <v>1.0718177659375001</v>
      </c>
      <c r="BG138" s="1">
        <v>1</v>
      </c>
      <c r="BH138" s="1">
        <v>-7.0999999999999994E-2</v>
      </c>
      <c r="BI138" s="1">
        <v>4.5999999999999999E-2</v>
      </c>
      <c r="BJ138" s="1">
        <v>5625</v>
      </c>
      <c r="BK138" s="1">
        <v>1</v>
      </c>
      <c r="BL138" s="1">
        <v>142.76852485733301</v>
      </c>
      <c r="BM138" s="1">
        <v>5.2407756896856101</v>
      </c>
      <c r="BN138" s="1">
        <v>142.76852485733301</v>
      </c>
      <c r="BO138" s="1">
        <v>1</v>
      </c>
      <c r="BP138" s="1">
        <v>10561.3697013524</v>
      </c>
      <c r="BQ138" s="1">
        <v>1</v>
      </c>
      <c r="BR138" s="1">
        <v>0.15240000000000001</v>
      </c>
    </row>
    <row r="139" spans="1:70">
      <c r="A139" s="2" t="s">
        <v>207</v>
      </c>
      <c r="B139" s="1">
        <v>15513203.909628799</v>
      </c>
      <c r="C139" s="1">
        <v>617.97483343502097</v>
      </c>
      <c r="D139" s="1">
        <v>102.22394330033001</v>
      </c>
      <c r="E139" s="1">
        <v>593.997803214295</v>
      </c>
      <c r="F139" s="1">
        <v>2595333.5493798102</v>
      </c>
      <c r="G139" s="1">
        <v>1630481.38578821</v>
      </c>
      <c r="H139" s="1">
        <v>2.3048203873610299E-5</v>
      </c>
      <c r="I139" s="1">
        <v>6.8200503236293095E-5</v>
      </c>
      <c r="J139" s="1">
        <v>0.471717723289031</v>
      </c>
      <c r="K139" s="1">
        <v>9005.0430614720299</v>
      </c>
      <c r="L139" s="1">
        <v>4.6429387983550402E-3</v>
      </c>
      <c r="M139" s="1">
        <v>138</v>
      </c>
      <c r="N139" s="1">
        <v>2264.9041000000002</v>
      </c>
      <c r="O139" s="3">
        <v>2.8502295699234199E-6</v>
      </c>
      <c r="P139" s="3">
        <v>5.98473400508856E-3</v>
      </c>
      <c r="Q139" s="3">
        <v>1.905E-3</v>
      </c>
      <c r="R139" s="1">
        <v>0.15240000000000001</v>
      </c>
      <c r="S139" s="4">
        <v>5384189.74609375</v>
      </c>
      <c r="T139" s="1">
        <v>472.471300672398</v>
      </c>
      <c r="U139" s="5">
        <v>556.94756939946501</v>
      </c>
      <c r="V139" s="1">
        <v>0.03</v>
      </c>
      <c r="W139" s="3">
        <v>63264.083192335602</v>
      </c>
      <c r="X139" s="1">
        <v>3.3480012199594698E-2</v>
      </c>
      <c r="Y139" s="1">
        <v>5.4652143024798701</v>
      </c>
      <c r="Z139" s="1">
        <v>5.4652143120479897</v>
      </c>
      <c r="AA139" s="1">
        <v>-9.5681231826460994E-9</v>
      </c>
      <c r="AB139" s="1">
        <v>1.5415719072528501E-5</v>
      </c>
      <c r="AC139" s="1">
        <v>750.68728547593798</v>
      </c>
      <c r="AD139" s="1">
        <v>2046.3269944671599</v>
      </c>
      <c r="AE139" s="1">
        <v>556.94756939946501</v>
      </c>
      <c r="AF139" s="6">
        <v>0</v>
      </c>
      <c r="AG139" s="1">
        <v>1.5535727609215401E-5</v>
      </c>
      <c r="AH139" s="1">
        <v>36.141853207190103</v>
      </c>
      <c r="AI139" s="1">
        <v>0.24666798686114999</v>
      </c>
      <c r="AJ139" s="1">
        <v>33.376565653990902</v>
      </c>
      <c r="AK139" s="1">
        <v>7.8726877878269503</v>
      </c>
      <c r="AL139" s="1">
        <v>1.30194062706561</v>
      </c>
      <c r="AM139" s="1">
        <v>617.97483332881097</v>
      </c>
      <c r="AN139" s="1">
        <v>1.0620919965731399E-7</v>
      </c>
      <c r="AO139" s="1">
        <v>1.2000853668695101E-7</v>
      </c>
      <c r="AP139" s="1">
        <v>2.9709828042048398</v>
      </c>
      <c r="AQ139" s="1">
        <v>3.78950659021151E-5</v>
      </c>
      <c r="AR139" s="1">
        <v>7.8278680729511895E-6</v>
      </c>
      <c r="AS139" s="1">
        <v>16.817194484837501</v>
      </c>
      <c r="AT139" s="1">
        <v>11.0620092212485</v>
      </c>
      <c r="AU139" s="1">
        <v>2.7286435452448599</v>
      </c>
      <c r="AV139" s="1">
        <v>0.24233925895998301</v>
      </c>
      <c r="AW139" s="1">
        <v>1.0470605735433699E-2</v>
      </c>
      <c r="AX139" s="1">
        <v>0.242339253811234</v>
      </c>
      <c r="AY139" s="1">
        <v>5.14874853863034E-9</v>
      </c>
      <c r="AZ139" s="1">
        <v>964852.16359160398</v>
      </c>
      <c r="BA139" s="1">
        <v>1.27550606649362E-5</v>
      </c>
      <c r="BB139" s="4">
        <v>5392314.6447791299</v>
      </c>
      <c r="BC139" s="4">
        <v>8124.8986853789502</v>
      </c>
      <c r="BD139" s="7">
        <v>0.150902904030706</v>
      </c>
      <c r="BE139" s="4">
        <v>5015798.0999999996</v>
      </c>
      <c r="BF139" s="1">
        <v>1.07506612851485</v>
      </c>
      <c r="BG139" s="1">
        <v>1</v>
      </c>
      <c r="BH139" s="1">
        <v>-6.9000000000000006E-2</v>
      </c>
      <c r="BI139" s="1">
        <v>4.5999999999999999E-2</v>
      </c>
      <c r="BJ139" s="1">
        <v>5625</v>
      </c>
      <c r="BK139" s="1">
        <v>1</v>
      </c>
      <c r="BL139" s="1">
        <v>145.503532762623</v>
      </c>
      <c r="BM139" s="1">
        <v>5.3923146447791304</v>
      </c>
      <c r="BN139" s="1">
        <v>145.503532762623</v>
      </c>
      <c r="BO139" s="1">
        <v>1</v>
      </c>
      <c r="BP139" s="1">
        <v>11130.995425393799</v>
      </c>
      <c r="BQ139" s="1">
        <v>1</v>
      </c>
      <c r="BR139" s="1">
        <v>0.15240000000000001</v>
      </c>
    </row>
    <row r="140" spans="1:70">
      <c r="A140" s="2" t="s">
        <v>208</v>
      </c>
      <c r="B140" s="1">
        <v>15513203.909628799</v>
      </c>
      <c r="C140" s="1">
        <v>617.97483343502097</v>
      </c>
      <c r="D140" s="1">
        <v>102.22394330033001</v>
      </c>
      <c r="E140" s="1">
        <v>593.997803214295</v>
      </c>
      <c r="F140" s="1">
        <v>2595333.5493798102</v>
      </c>
      <c r="G140" s="1">
        <v>1630481.38578821</v>
      </c>
      <c r="H140" s="1">
        <v>2.3048203873610299E-5</v>
      </c>
      <c r="I140" s="1">
        <v>6.8200503236293095E-5</v>
      </c>
      <c r="J140" s="1">
        <v>0.471717723289031</v>
      </c>
      <c r="K140" s="1">
        <v>9005.0430614720299</v>
      </c>
      <c r="L140" s="1">
        <v>4.6429387983550402E-3</v>
      </c>
      <c r="M140" s="1">
        <v>139</v>
      </c>
      <c r="N140" s="1">
        <v>2305.5909999999999</v>
      </c>
      <c r="O140" s="3">
        <v>2.8502295699234199E-6</v>
      </c>
      <c r="P140" s="3">
        <v>5.98473400508856E-3</v>
      </c>
      <c r="Q140" s="3">
        <v>1.905E-3</v>
      </c>
      <c r="R140" s="1">
        <v>0.15240000000000001</v>
      </c>
      <c r="S140" s="4">
        <v>4587694.82421875</v>
      </c>
      <c r="T140" s="1">
        <v>497.21408100250602</v>
      </c>
      <c r="U140" s="5">
        <v>567.92336456300802</v>
      </c>
      <c r="V140" s="1">
        <v>0.03</v>
      </c>
      <c r="W140" s="3">
        <v>64400.563728724803</v>
      </c>
      <c r="X140" s="1">
        <v>3.3207089835678598E-2</v>
      </c>
      <c r="Y140" s="1">
        <v>5.4876270913902703</v>
      </c>
      <c r="Z140" s="1">
        <v>5.4876271449188501</v>
      </c>
      <c r="AA140" s="1">
        <v>-5.3528578014550001E-8</v>
      </c>
      <c r="AB140" s="1">
        <v>1.4998702032369299E-5</v>
      </c>
      <c r="AC140" s="1">
        <v>725.58266289322205</v>
      </c>
      <c r="AD140" s="1">
        <v>2074.5795298419598</v>
      </c>
      <c r="AE140" s="1">
        <v>567.92336456300802</v>
      </c>
      <c r="AF140" s="6">
        <v>0</v>
      </c>
      <c r="AG140" s="1">
        <v>1.5098848155742E-5</v>
      </c>
      <c r="AH140" s="1">
        <v>37.1467247365932</v>
      </c>
      <c r="AI140" s="1">
        <v>0.25007359898642001</v>
      </c>
      <c r="AJ140" s="1">
        <v>32.885838643668599</v>
      </c>
      <c r="AK140" s="1">
        <v>6.3974996595080196</v>
      </c>
      <c r="AL140" s="1">
        <v>1.30194062706561</v>
      </c>
      <c r="AM140" s="1">
        <v>617.97483339387497</v>
      </c>
      <c r="AN140" s="1">
        <v>4.11459950555582E-8</v>
      </c>
      <c r="AO140" s="1">
        <v>1.00146123372634E-7</v>
      </c>
      <c r="AP140" s="1">
        <v>2.9905204849496498</v>
      </c>
      <c r="AQ140" s="1">
        <v>3.7401530966822203E-5</v>
      </c>
      <c r="AR140" s="1">
        <v>7.5994971395573E-6</v>
      </c>
      <c r="AS140" s="1">
        <v>16.551980265425801</v>
      </c>
      <c r="AT140" s="1">
        <v>10.982528740826099</v>
      </c>
      <c r="AU140" s="1">
        <v>2.7464404881901698</v>
      </c>
      <c r="AV140" s="1">
        <v>0.244079996759486</v>
      </c>
      <c r="AW140" s="1">
        <v>1.0187361016720201E-2</v>
      </c>
      <c r="AX140" s="1">
        <v>0.24407999053290899</v>
      </c>
      <c r="AY140" s="1">
        <v>6.2265773370651098E-9</v>
      </c>
      <c r="AZ140" s="1">
        <v>964852.16359160398</v>
      </c>
      <c r="BA140" s="1">
        <v>1.2506696126996E-5</v>
      </c>
      <c r="BB140" s="4">
        <v>4589201.8334895596</v>
      </c>
      <c r="BC140" s="4">
        <v>1507.00927080773</v>
      </c>
      <c r="BD140" s="7">
        <v>3.2848943283065E-2</v>
      </c>
      <c r="BE140" s="4">
        <v>4416426</v>
      </c>
      <c r="BF140" s="1">
        <v>1.0391211883748399</v>
      </c>
      <c r="BG140" s="1">
        <v>1</v>
      </c>
      <c r="BH140" s="1">
        <v>-5.2999999999999999E-2</v>
      </c>
      <c r="BI140" s="1">
        <v>4.5999999999999999E-2</v>
      </c>
      <c r="BJ140" s="1">
        <v>5625</v>
      </c>
      <c r="BK140" s="1">
        <v>1</v>
      </c>
      <c r="BL140" s="1">
        <v>120.760752432514</v>
      </c>
      <c r="BM140" s="1">
        <v>4.5892018334895601</v>
      </c>
      <c r="BN140" s="1">
        <v>120.760752432514</v>
      </c>
      <c r="BO140" s="1">
        <v>1</v>
      </c>
      <c r="BP140" s="1">
        <v>6522.2991334659</v>
      </c>
      <c r="BQ140" s="1">
        <v>1</v>
      </c>
      <c r="BR140" s="1">
        <v>0.15240000000000001</v>
      </c>
    </row>
    <row r="141" spans="1:70">
      <c r="A141" s="2" t="s">
        <v>209</v>
      </c>
      <c r="B141" s="1">
        <v>15513203.909628799</v>
      </c>
      <c r="C141" s="1">
        <v>617.97483343502097</v>
      </c>
      <c r="D141" s="1">
        <v>102.22394330033001</v>
      </c>
      <c r="E141" s="1">
        <v>593.997803214295</v>
      </c>
      <c r="F141" s="1">
        <v>2595333.5493798102</v>
      </c>
      <c r="G141" s="1">
        <v>1630481.38578821</v>
      </c>
      <c r="H141" s="1">
        <v>2.3048203873610299E-5</v>
      </c>
      <c r="I141" s="1">
        <v>6.8200503236293095E-5</v>
      </c>
      <c r="J141" s="1">
        <v>0.471717723289031</v>
      </c>
      <c r="K141" s="1">
        <v>9005.0430614720299</v>
      </c>
      <c r="L141" s="1">
        <v>4.6429387983550402E-3</v>
      </c>
      <c r="M141" s="1">
        <v>140</v>
      </c>
      <c r="N141" s="1">
        <v>2319.1532999999999</v>
      </c>
      <c r="O141" s="3">
        <v>2.8502295699234199E-6</v>
      </c>
      <c r="P141" s="3">
        <v>5.98473400508856E-3</v>
      </c>
      <c r="Q141" s="3">
        <v>1.905E-3</v>
      </c>
      <c r="R141" s="1">
        <v>0.15240000000000001</v>
      </c>
      <c r="S141" s="4">
        <v>3976631.40234375</v>
      </c>
      <c r="T141" s="1">
        <v>515.02285575524695</v>
      </c>
      <c r="U141" s="5">
        <v>575.95550556044304</v>
      </c>
      <c r="V141" s="1">
        <v>0.03</v>
      </c>
      <c r="W141" s="3">
        <v>64779.390574187899</v>
      </c>
      <c r="X141" s="1">
        <v>3.3117894312529698E-2</v>
      </c>
      <c r="Y141" s="1">
        <v>5.4950119606917998</v>
      </c>
      <c r="Z141" s="1">
        <v>5.4950120000108598</v>
      </c>
      <c r="AA141" s="1">
        <v>-3.93190591196912E-8</v>
      </c>
      <c r="AB141" s="1">
        <v>1.4863716064969801E-5</v>
      </c>
      <c r="AC141" s="1">
        <v>707.95557526356697</v>
      </c>
      <c r="AD141" s="1">
        <v>2083.9784646425701</v>
      </c>
      <c r="AE141" s="1">
        <v>575.95550663999904</v>
      </c>
      <c r="AF141" s="6">
        <v>1.07955565908924E-6</v>
      </c>
      <c r="AG141" s="1">
        <v>1.4950249454311E-5</v>
      </c>
      <c r="AH141" s="1">
        <v>37.484075541222197</v>
      </c>
      <c r="AI141" s="1">
        <v>0.251206563723812</v>
      </c>
      <c r="AJ141" s="1">
        <v>32.709709085373703</v>
      </c>
      <c r="AK141" s="1">
        <v>5.3538074604389898</v>
      </c>
      <c r="AL141" s="1">
        <v>1.30194062706561</v>
      </c>
      <c r="AM141" s="1">
        <v>617.97483339716996</v>
      </c>
      <c r="AN141" s="1">
        <v>3.7850554690521703E-8</v>
      </c>
      <c r="AO141" s="1">
        <v>8.65333893412186E-8</v>
      </c>
      <c r="AP141" s="1">
        <v>2.9958347490795099</v>
      </c>
      <c r="AQ141" s="1">
        <v>3.7268956682189702E-5</v>
      </c>
      <c r="AR141" s="1">
        <v>7.5183914218261104E-6</v>
      </c>
      <c r="AS141" s="1">
        <v>16.449517912691899</v>
      </c>
      <c r="AT141" s="1">
        <v>10.951480852813001</v>
      </c>
      <c r="AU141" s="1">
        <v>2.7510838727222802</v>
      </c>
      <c r="AV141" s="1">
        <v>0.24475087635722501</v>
      </c>
      <c r="AW141" s="1">
        <v>1.00956763643335E-2</v>
      </c>
      <c r="AX141" s="1">
        <v>0.24475086984109601</v>
      </c>
      <c r="AY141" s="1">
        <v>6.5161290252468998E-9</v>
      </c>
      <c r="AZ141" s="1">
        <v>964852.16359160398</v>
      </c>
      <c r="BA141" s="1">
        <v>1.2440257825849999E-5</v>
      </c>
      <c r="BB141" s="4">
        <v>3986575.0750578698</v>
      </c>
      <c r="BC141" s="4">
        <v>9943.6727141211704</v>
      </c>
      <c r="BD141" s="7">
        <v>0.250052662870905</v>
      </c>
      <c r="BE141" s="4">
        <v>3848599.8</v>
      </c>
      <c r="BF141" s="1">
        <v>1.0358507722881101</v>
      </c>
      <c r="BG141" s="1">
        <v>1</v>
      </c>
      <c r="BH141" s="1">
        <v>-5.2999999999999999E-2</v>
      </c>
      <c r="BI141" s="1">
        <v>4.5999999999999999E-2</v>
      </c>
      <c r="BJ141" s="1">
        <v>5625</v>
      </c>
      <c r="BK141" s="1">
        <v>1</v>
      </c>
      <c r="BL141" s="1">
        <v>102.951977679774</v>
      </c>
      <c r="BM141" s="1">
        <v>3.9865750750578699</v>
      </c>
      <c r="BN141" s="1">
        <v>102.951977679774</v>
      </c>
      <c r="BO141" s="1">
        <v>1</v>
      </c>
      <c r="BP141" s="1">
        <v>3962.9514937947101</v>
      </c>
      <c r="BQ141" s="1">
        <v>1</v>
      </c>
      <c r="BR141" s="1">
        <v>0.15240000000000001</v>
      </c>
    </row>
    <row r="142" spans="1:70">
      <c r="A142" s="2" t="s">
        <v>210</v>
      </c>
      <c r="B142" s="1">
        <v>15513203.909628799</v>
      </c>
      <c r="C142" s="1">
        <v>617.97483343502097</v>
      </c>
      <c r="D142" s="1">
        <v>102.22394330033001</v>
      </c>
      <c r="E142" s="1">
        <v>593.997803214295</v>
      </c>
      <c r="F142" s="1">
        <v>2595333.5493798102</v>
      </c>
      <c r="G142" s="1">
        <v>1630481.38578821</v>
      </c>
      <c r="H142" s="1">
        <v>2.3048203873610299E-5</v>
      </c>
      <c r="I142" s="1">
        <v>6.8200503236293095E-5</v>
      </c>
      <c r="J142" s="1">
        <v>0.471717723289031</v>
      </c>
      <c r="K142" s="1">
        <v>9005.0430614720299</v>
      </c>
      <c r="L142" s="1">
        <v>4.6429387983550402E-3</v>
      </c>
      <c r="M142" s="1">
        <v>141</v>
      </c>
      <c r="N142" s="1">
        <v>2319.1532999999999</v>
      </c>
      <c r="O142" s="3">
        <v>2.8502295699234199E-6</v>
      </c>
      <c r="P142" s="3">
        <v>5.98473400508856E-3</v>
      </c>
      <c r="Q142" s="3">
        <v>1.905E-3</v>
      </c>
      <c r="R142" s="1">
        <v>0.15240000000000001</v>
      </c>
      <c r="S142" s="4">
        <v>4040547.41796875</v>
      </c>
      <c r="T142" s="1">
        <v>513.223397961415</v>
      </c>
      <c r="U142" s="5">
        <v>575.13541241044697</v>
      </c>
      <c r="V142" s="1">
        <v>0.03</v>
      </c>
      <c r="W142" s="3">
        <v>64779.390574187899</v>
      </c>
      <c r="X142" s="1">
        <v>3.3117894312529698E-2</v>
      </c>
      <c r="Y142" s="1">
        <v>5.4950119606917998</v>
      </c>
      <c r="Z142" s="1">
        <v>5.4950120000108598</v>
      </c>
      <c r="AA142" s="1">
        <v>-3.93190591196912E-8</v>
      </c>
      <c r="AB142" s="1">
        <v>1.4863716064969801E-5</v>
      </c>
      <c r="AC142" s="1">
        <v>709.71482261536198</v>
      </c>
      <c r="AD142" s="1">
        <v>2083.9784646425701</v>
      </c>
      <c r="AE142" s="1">
        <v>575.13541241044697</v>
      </c>
      <c r="AF142" s="6">
        <v>0</v>
      </c>
      <c r="AG142" s="1">
        <v>1.4951325994443801E-5</v>
      </c>
      <c r="AH142" s="1">
        <v>37.484075541222197</v>
      </c>
      <c r="AI142" s="1">
        <v>0.251206563723812</v>
      </c>
      <c r="AJ142" s="1">
        <v>32.712064451728601</v>
      </c>
      <c r="AK142" s="1">
        <v>5.4584233015156904</v>
      </c>
      <c r="AL142" s="1">
        <v>1.30194062706561</v>
      </c>
      <c r="AM142" s="1">
        <v>617.97483339634505</v>
      </c>
      <c r="AN142" s="1">
        <v>3.8675580071867397E-8</v>
      </c>
      <c r="AO142" s="1">
        <v>8.7609929473983301E-8</v>
      </c>
      <c r="AP142" s="1">
        <v>2.9960010028010302</v>
      </c>
      <c r="AQ142" s="1">
        <v>3.7264820548174303E-5</v>
      </c>
      <c r="AR142" s="1">
        <v>7.5194679619588801E-6</v>
      </c>
      <c r="AS142" s="1">
        <v>16.451873279046801</v>
      </c>
      <c r="AT142" s="1">
        <v>10.952196739367899</v>
      </c>
      <c r="AU142" s="1">
        <v>2.7512637081237301</v>
      </c>
      <c r="AV142" s="1">
        <v>0.24473729467729299</v>
      </c>
      <c r="AW142" s="1">
        <v>1.00956763643335E-2</v>
      </c>
      <c r="AX142" s="1">
        <v>0.244737288155737</v>
      </c>
      <c r="AY142" s="1">
        <v>6.5215559896802902E-9</v>
      </c>
      <c r="AZ142" s="1">
        <v>964852.16359160398</v>
      </c>
      <c r="BA142" s="1">
        <v>1.2438186940970499E-5</v>
      </c>
      <c r="BB142" s="4">
        <v>4036843.0516144298</v>
      </c>
      <c r="BC142" s="4">
        <v>-3704.3663543150801</v>
      </c>
      <c r="BD142" s="7">
        <v>-9.1679813924255907E-2</v>
      </c>
      <c r="BE142" s="4">
        <v>3911691.6</v>
      </c>
      <c r="BF142" s="1">
        <v>1.0319942021028501</v>
      </c>
      <c r="BG142" s="1">
        <v>1</v>
      </c>
      <c r="BH142" s="1">
        <v>-5.2999999999999999E-2</v>
      </c>
      <c r="BI142" s="1">
        <v>4.5999999999999999E-2</v>
      </c>
      <c r="BJ142" s="1">
        <v>5625</v>
      </c>
      <c r="BK142" s="1">
        <v>1</v>
      </c>
      <c r="BL142" s="1">
        <v>104.75143547360599</v>
      </c>
      <c r="BM142" s="1">
        <v>4.0368430516144302</v>
      </c>
      <c r="BN142" s="1">
        <v>104.75143547360599</v>
      </c>
      <c r="BO142" s="1">
        <v>1</v>
      </c>
      <c r="BP142" s="1">
        <v>4192.7483958925004</v>
      </c>
      <c r="BQ142" s="1">
        <v>1</v>
      </c>
      <c r="BR142" s="1">
        <v>0.15240000000000001</v>
      </c>
    </row>
    <row r="143" spans="1:70">
      <c r="A143" s="2" t="s">
        <v>211</v>
      </c>
      <c r="B143" s="1">
        <v>15513203.909628799</v>
      </c>
      <c r="C143" s="1">
        <v>617.97483343502097</v>
      </c>
      <c r="D143" s="1">
        <v>102.22394330033001</v>
      </c>
      <c r="E143" s="1">
        <v>593.997803214295</v>
      </c>
      <c r="F143" s="1">
        <v>2595333.5493798102</v>
      </c>
      <c r="G143" s="1">
        <v>1630481.38578821</v>
      </c>
      <c r="H143" s="1">
        <v>2.3048203873610299E-5</v>
      </c>
      <c r="I143" s="1">
        <v>6.8200503236293095E-5</v>
      </c>
      <c r="J143" s="1">
        <v>0.471717723289031</v>
      </c>
      <c r="K143" s="1">
        <v>9005.0430614720299</v>
      </c>
      <c r="L143" s="1">
        <v>4.6429387983550402E-3</v>
      </c>
      <c r="M143" s="1">
        <v>142</v>
      </c>
      <c r="N143" s="1">
        <v>2319.1532999999999</v>
      </c>
      <c r="O143" s="3">
        <v>2.8502295699234199E-6</v>
      </c>
      <c r="P143" s="3">
        <v>5.98473400508856E-3</v>
      </c>
      <c r="Q143" s="3">
        <v>1.905E-3</v>
      </c>
      <c r="R143" s="1">
        <v>0.15240000000000001</v>
      </c>
      <c r="S143" s="4">
        <v>4476734.43359375</v>
      </c>
      <c r="T143" s="1">
        <v>500.89394004301198</v>
      </c>
      <c r="U143" s="5">
        <v>569.48950848122797</v>
      </c>
      <c r="V143" s="1">
        <v>0.03</v>
      </c>
      <c r="W143" s="3">
        <v>64779.390574187899</v>
      </c>
      <c r="X143" s="1">
        <v>3.3117894312529698E-2</v>
      </c>
      <c r="Y143" s="1">
        <v>5.4950119606917998</v>
      </c>
      <c r="Z143" s="1">
        <v>5.4950120000108598</v>
      </c>
      <c r="AA143" s="1">
        <v>-3.93190591196912E-8</v>
      </c>
      <c r="AB143" s="1">
        <v>1.4863716064969801E-5</v>
      </c>
      <c r="AC143" s="1">
        <v>721.83828906281894</v>
      </c>
      <c r="AD143" s="1">
        <v>2083.9784646425701</v>
      </c>
      <c r="AE143" s="1">
        <v>569.48950969961095</v>
      </c>
      <c r="AF143" s="6">
        <v>1.2183828630441E-6</v>
      </c>
      <c r="AG143" s="1">
        <v>1.49614498413056E-5</v>
      </c>
      <c r="AH143" s="1">
        <v>37.484075541222197</v>
      </c>
      <c r="AI143" s="1">
        <v>0.251206563723812</v>
      </c>
      <c r="AJ143" s="1">
        <v>32.7342144557594</v>
      </c>
      <c r="AK143" s="1">
        <v>6.1791333902222201</v>
      </c>
      <c r="AL143" s="1">
        <v>1.30194062706561</v>
      </c>
      <c r="AM143" s="1">
        <v>617.974833390394</v>
      </c>
      <c r="AN143" s="1">
        <v>4.4626176531892303E-8</v>
      </c>
      <c r="AO143" s="1">
        <v>9.7733776335832895E-8</v>
      </c>
      <c r="AP143" s="1">
        <v>2.9975633672561202</v>
      </c>
      <c r="AQ143" s="1">
        <v>3.7225984966649201E-5</v>
      </c>
      <c r="AR143" s="1">
        <v>7.5295918088207298E-6</v>
      </c>
      <c r="AS143" s="1">
        <v>16.474023283077699</v>
      </c>
      <c r="AT143" s="1">
        <v>10.9589239692036</v>
      </c>
      <c r="AU143" s="1">
        <v>2.7529536324141599</v>
      </c>
      <c r="AV143" s="1">
        <v>0.244609734841959</v>
      </c>
      <c r="AW143" s="1">
        <v>1.00956763643335E-2</v>
      </c>
      <c r="AX143" s="1">
        <v>0.24460972827025501</v>
      </c>
      <c r="AY143" s="1">
        <v>6.5717039032797703E-9</v>
      </c>
      <c r="AZ143" s="1">
        <v>964852.16359160398</v>
      </c>
      <c r="BA143" s="1">
        <v>1.24187482984637E-5</v>
      </c>
      <c r="BB143" s="4">
        <v>4510373.1035320703</v>
      </c>
      <c r="BC143" s="4">
        <v>33638.6699383222</v>
      </c>
      <c r="BD143" s="7">
        <v>0.75141088749636498</v>
      </c>
      <c r="BE143" s="4">
        <v>4447971.9000000004</v>
      </c>
      <c r="BF143" s="1">
        <v>1.01402913618498</v>
      </c>
      <c r="BG143" s="1">
        <v>1</v>
      </c>
      <c r="BH143" s="1">
        <v>-3.5000000000000003E-2</v>
      </c>
      <c r="BI143" s="1">
        <v>4.5999999999999999E-2</v>
      </c>
      <c r="BJ143" s="1">
        <v>5625</v>
      </c>
      <c r="BK143" s="1">
        <v>1</v>
      </c>
      <c r="BL143" s="1">
        <v>117.080893392009</v>
      </c>
      <c r="BM143" s="1">
        <v>4.5103731035320704</v>
      </c>
      <c r="BN143" s="1">
        <v>117.080893392009</v>
      </c>
      <c r="BO143" s="1">
        <v>1</v>
      </c>
      <c r="BP143" s="1">
        <v>5941.4641261101897</v>
      </c>
      <c r="BQ143" s="1">
        <v>1</v>
      </c>
      <c r="BR143" s="1">
        <v>0.15240000000000001</v>
      </c>
    </row>
    <row r="144" spans="1:70">
      <c r="A144" s="2" t="s">
        <v>212</v>
      </c>
      <c r="B144" s="1">
        <v>15513203.909628799</v>
      </c>
      <c r="C144" s="1">
        <v>617.97483343502097</v>
      </c>
      <c r="D144" s="1">
        <v>102.22394330033001</v>
      </c>
      <c r="E144" s="1">
        <v>593.997803214295</v>
      </c>
      <c r="F144" s="1">
        <v>2595333.5493798102</v>
      </c>
      <c r="G144" s="1">
        <v>1630481.38578821</v>
      </c>
      <c r="H144" s="1">
        <v>2.3048203873610299E-5</v>
      </c>
      <c r="I144" s="1">
        <v>6.8200503236293095E-5</v>
      </c>
      <c r="J144" s="1">
        <v>0.471717723289031</v>
      </c>
      <c r="K144" s="1">
        <v>9005.0430614720299</v>
      </c>
      <c r="L144" s="1">
        <v>4.6429387983550402E-3</v>
      </c>
      <c r="M144" s="1">
        <v>143</v>
      </c>
      <c r="N144" s="1">
        <v>2875.2076000000002</v>
      </c>
      <c r="O144" s="3">
        <v>2.8502295699234199E-6</v>
      </c>
      <c r="P144" s="3">
        <v>5.98473400508856E-3</v>
      </c>
      <c r="Q144" s="3">
        <v>1.905E-3</v>
      </c>
      <c r="R144" s="1">
        <v>0.15240000000000001</v>
      </c>
      <c r="S144" s="4">
        <v>4713393.58203125</v>
      </c>
      <c r="T144" s="1">
        <v>511.31829053055202</v>
      </c>
      <c r="U144" s="5">
        <v>569.57268372305498</v>
      </c>
      <c r="V144" s="1">
        <v>0.03</v>
      </c>
      <c r="W144" s="3">
        <v>80311.291238174497</v>
      </c>
      <c r="X144" s="1">
        <v>3.0077052509272499E-2</v>
      </c>
      <c r="Y144" s="1">
        <v>5.7661025626505902</v>
      </c>
      <c r="Z144" s="1">
        <v>5.7661025972645303</v>
      </c>
      <c r="AA144" s="1">
        <v>-3.4613937494043499E-8</v>
      </c>
      <c r="AB144" s="1">
        <v>1.0648178955476399E-5</v>
      </c>
      <c r="AC144" s="1">
        <v>705.99038471433198</v>
      </c>
      <c r="AD144" s="1">
        <v>2462.1769220775</v>
      </c>
      <c r="AE144" s="1">
        <v>569.57268478295896</v>
      </c>
      <c r="AF144" s="6">
        <v>1.05990375232068E-6</v>
      </c>
      <c r="AG144" s="1">
        <v>1.07260832948318E-5</v>
      </c>
      <c r="AH144" s="1">
        <v>52.323750204823497</v>
      </c>
      <c r="AI144" s="1">
        <v>0.29679529533010102</v>
      </c>
      <c r="AJ144" s="1">
        <v>27.726524674872199</v>
      </c>
      <c r="AK144" s="1">
        <v>5.4397300273726197</v>
      </c>
      <c r="AL144" s="1">
        <v>1.30194062706561</v>
      </c>
      <c r="AM144" s="1">
        <v>617.97483342096905</v>
      </c>
      <c r="AN144" s="1">
        <v>1.4051806829229499E-8</v>
      </c>
      <c r="AO144" s="1">
        <v>7.79043393553789E-8</v>
      </c>
      <c r="AP144" s="1">
        <v>3.2720082532854802</v>
      </c>
      <c r="AQ144" s="1">
        <v>3.1243103106385801E-5</v>
      </c>
      <c r="AR144" s="1">
        <v>5.4019938170935701E-6</v>
      </c>
      <c r="AS144" s="1">
        <v>13.9639522411057</v>
      </c>
      <c r="AT144" s="1">
        <v>10.1323958454634</v>
      </c>
      <c r="AU144" s="1">
        <v>3.0072474173558099</v>
      </c>
      <c r="AV144" s="1">
        <v>0.26476083592966798</v>
      </c>
      <c r="AW144" s="1">
        <v>7.2324153754086398E-3</v>
      </c>
      <c r="AX144" s="1">
        <v>0.26476083190237998</v>
      </c>
      <c r="AY144" s="1">
        <v>4.0272883361502904E-9</v>
      </c>
      <c r="AZ144" s="1">
        <v>964852.16359160398</v>
      </c>
      <c r="BA144" s="1">
        <v>9.5486015583897193E-6</v>
      </c>
      <c r="BB144" s="4">
        <v>4675924.5119666299</v>
      </c>
      <c r="BC144" s="4">
        <v>-37469.070064621999</v>
      </c>
      <c r="BD144" s="7">
        <v>-0.79494889218384701</v>
      </c>
      <c r="BE144" s="4">
        <v>5394348.9000000004</v>
      </c>
      <c r="BF144" s="1">
        <v>0.86681907282019299</v>
      </c>
      <c r="BG144" s="1">
        <v>1</v>
      </c>
      <c r="BH144" s="1">
        <v>1E-3</v>
      </c>
      <c r="BI144" s="1">
        <v>4.5999999999999999E-2</v>
      </c>
      <c r="BJ144" s="1">
        <v>5625</v>
      </c>
      <c r="BK144" s="1">
        <v>1</v>
      </c>
      <c r="BL144" s="1">
        <v>106.656542904468</v>
      </c>
      <c r="BM144" s="1">
        <v>4.6759245119666302</v>
      </c>
      <c r="BN144" s="1">
        <v>106.656542904468</v>
      </c>
      <c r="BO144" s="1">
        <v>1</v>
      </c>
      <c r="BP144" s="1">
        <v>4443.09471197525</v>
      </c>
      <c r="BQ144" s="1">
        <v>1</v>
      </c>
      <c r="BR144" s="1">
        <v>0.15240000000000001</v>
      </c>
    </row>
    <row r="145" spans="1:70">
      <c r="A145" s="2" t="s">
        <v>213</v>
      </c>
      <c r="B145" s="1">
        <v>15513203.909628799</v>
      </c>
      <c r="C145" s="1">
        <v>617.97483343502097</v>
      </c>
      <c r="D145" s="1">
        <v>102.22394330033001</v>
      </c>
      <c r="E145" s="1">
        <v>593.997803214295</v>
      </c>
      <c r="F145" s="1">
        <v>2595333.5493798102</v>
      </c>
      <c r="G145" s="1">
        <v>1630481.38578821</v>
      </c>
      <c r="H145" s="1">
        <v>2.3048203873610299E-5</v>
      </c>
      <c r="I145" s="1">
        <v>6.8200503236293095E-5</v>
      </c>
      <c r="J145" s="1">
        <v>0.471717723289031</v>
      </c>
      <c r="K145" s="1">
        <v>9005.0430614720299</v>
      </c>
      <c r="L145" s="1">
        <v>4.6429387983550402E-3</v>
      </c>
      <c r="M145" s="1">
        <v>144</v>
      </c>
      <c r="N145" s="1">
        <v>2929.4567999999999</v>
      </c>
      <c r="O145" s="3">
        <v>2.8502295699234199E-6</v>
      </c>
      <c r="P145" s="3">
        <v>5.98473400508856E-3</v>
      </c>
      <c r="Q145" s="3">
        <v>1.905E-3</v>
      </c>
      <c r="R145" s="1">
        <v>0.15240000000000001</v>
      </c>
      <c r="S145" s="4">
        <v>3544605.8201562501</v>
      </c>
      <c r="T145" s="1">
        <v>540.88707296318796</v>
      </c>
      <c r="U145" s="5">
        <v>583.88475389804</v>
      </c>
      <c r="V145" s="1">
        <v>0.03</v>
      </c>
      <c r="W145" s="3">
        <v>81826.598620026896</v>
      </c>
      <c r="X145" s="1">
        <v>2.9832242040537499E-2</v>
      </c>
      <c r="Y145" s="1">
        <v>5.7897132269993099</v>
      </c>
      <c r="Z145" s="1">
        <v>5.7897132518930503</v>
      </c>
      <c r="AA145" s="1">
        <v>-2.4893739514197899E-8</v>
      </c>
      <c r="AB145" s="1">
        <v>1.0341628698207299E-5</v>
      </c>
      <c r="AC145" s="1">
        <v>678.80558435211697</v>
      </c>
      <c r="AD145" s="1">
        <v>2498.4027920342501</v>
      </c>
      <c r="AE145" s="1">
        <v>583.88475389804</v>
      </c>
      <c r="AF145" s="6">
        <v>0</v>
      </c>
      <c r="AG145" s="1">
        <v>1.03998526692851E-5</v>
      </c>
      <c r="AH145" s="1">
        <v>53.874749525593202</v>
      </c>
      <c r="AI145" s="1">
        <v>0.30116202774319301</v>
      </c>
      <c r="AJ145" s="1">
        <v>27.278762147702501</v>
      </c>
      <c r="AK145" s="1">
        <v>3.7794475851898599</v>
      </c>
      <c r="AL145" s="1">
        <v>1.30194062706561</v>
      </c>
      <c r="AM145" s="1">
        <v>617.97483343461897</v>
      </c>
      <c r="AN145" s="1">
        <v>4.0142822399502599E-10</v>
      </c>
      <c r="AO145" s="1">
        <v>5.8223971077766498E-8</v>
      </c>
      <c r="AP145" s="1">
        <v>3.2915476613267698</v>
      </c>
      <c r="AQ145" s="1">
        <v>3.08732711305876E-5</v>
      </c>
      <c r="AR145" s="1">
        <v>5.2290383201814204E-6</v>
      </c>
      <c r="AS145" s="1">
        <v>13.715741668026601</v>
      </c>
      <c r="AT145" s="1">
        <v>10.042721000356</v>
      </c>
      <c r="AU145" s="1">
        <v>3.0244862205263598</v>
      </c>
      <c r="AV145" s="1">
        <v>0.267061440800408</v>
      </c>
      <c r="AW145" s="1">
        <v>7.0242014823778398E-3</v>
      </c>
      <c r="AX145" s="1">
        <v>0.26706143585063402</v>
      </c>
      <c r="AY145" s="1">
        <v>4.94977397957896E-9</v>
      </c>
      <c r="AZ145" s="1">
        <v>964852.16359160398</v>
      </c>
      <c r="BA145" s="1">
        <v>9.3795607134374705E-6</v>
      </c>
      <c r="BB145" s="4">
        <v>3557664.0679743602</v>
      </c>
      <c r="BC145" s="4">
        <v>13058.2478181068</v>
      </c>
      <c r="BD145" s="7">
        <v>0.36839774239075102</v>
      </c>
      <c r="BE145" s="4">
        <v>4164058.8</v>
      </c>
      <c r="BF145" s="1">
        <v>0.85437411882232694</v>
      </c>
      <c r="BG145" s="1">
        <v>1</v>
      </c>
      <c r="BH145" s="1">
        <v>-4.0000000000000001E-3</v>
      </c>
      <c r="BI145" s="1">
        <v>4.5999999999999999E-2</v>
      </c>
      <c r="BJ145" s="1">
        <v>5625</v>
      </c>
      <c r="BK145" s="1">
        <v>1</v>
      </c>
      <c r="BL145" s="1">
        <v>77.087760471832595</v>
      </c>
      <c r="BM145" s="1">
        <v>3.5576640679743599</v>
      </c>
      <c r="BN145" s="1">
        <v>77.087760471832595</v>
      </c>
      <c r="BO145" s="1">
        <v>1</v>
      </c>
      <c r="BP145" s="1">
        <v>1375.50197681603</v>
      </c>
      <c r="BQ145" s="1">
        <v>1</v>
      </c>
      <c r="BR145" s="1">
        <v>0.15240000000000001</v>
      </c>
    </row>
    <row r="146" spans="1:70">
      <c r="A146" s="2" t="s">
        <v>214</v>
      </c>
      <c r="B146" s="1">
        <v>15513203.909628799</v>
      </c>
      <c r="C146" s="1">
        <v>617.97483343502097</v>
      </c>
      <c r="D146" s="1">
        <v>102.22394330033001</v>
      </c>
      <c r="E146" s="1">
        <v>593.997803214295</v>
      </c>
      <c r="F146" s="1">
        <v>2595333.5493798102</v>
      </c>
      <c r="G146" s="1">
        <v>1630481.38578821</v>
      </c>
      <c r="H146" s="1">
        <v>2.3048203873610299E-5</v>
      </c>
      <c r="I146" s="1">
        <v>6.8200503236293095E-5</v>
      </c>
      <c r="J146" s="1">
        <v>0.471717723289031</v>
      </c>
      <c r="K146" s="1">
        <v>9005.0430614720299</v>
      </c>
      <c r="L146" s="1">
        <v>4.6429387983550402E-3</v>
      </c>
      <c r="M146" s="1">
        <v>145</v>
      </c>
      <c r="N146" s="1">
        <v>2956.5814</v>
      </c>
      <c r="O146" s="3">
        <v>2.8502295699234199E-6</v>
      </c>
      <c r="P146" s="3">
        <v>5.98473400508856E-3</v>
      </c>
      <c r="Q146" s="3">
        <v>1.905E-3</v>
      </c>
      <c r="R146" s="1">
        <v>0.15240000000000001</v>
      </c>
      <c r="S146" s="4">
        <v>3399087.98828125</v>
      </c>
      <c r="T146" s="1">
        <v>544.80126491492899</v>
      </c>
      <c r="U146" s="5">
        <v>585.65546869277</v>
      </c>
      <c r="V146" s="1">
        <v>0.03</v>
      </c>
      <c r="W146" s="3">
        <v>82584.252310953001</v>
      </c>
      <c r="X146" s="1">
        <v>2.9712616755100299E-2</v>
      </c>
      <c r="Y146" s="1">
        <v>5.8013564355317904</v>
      </c>
      <c r="Z146" s="1">
        <v>5.80135645597049</v>
      </c>
      <c r="AA146" s="1">
        <v>-2.04386987334715E-8</v>
      </c>
      <c r="AB146" s="1">
        <v>1.01936202092765E-5</v>
      </c>
      <c r="AC146" s="1">
        <v>675.14618475048303</v>
      </c>
      <c r="AD146" s="1">
        <v>2516.4754776415798</v>
      </c>
      <c r="AE146" s="1">
        <v>585.65546869277</v>
      </c>
      <c r="AF146" s="6">
        <v>0</v>
      </c>
      <c r="AG146" s="1">
        <v>1.02489157984725E-5</v>
      </c>
      <c r="AH146" s="1">
        <v>54.656995685946796</v>
      </c>
      <c r="AI146" s="1">
        <v>0.303340542217169</v>
      </c>
      <c r="AJ146" s="1">
        <v>27.077317878498</v>
      </c>
      <c r="AK146" s="1">
        <v>3.5606511682164901</v>
      </c>
      <c r="AL146" s="1">
        <v>1.30194062706561</v>
      </c>
      <c r="AM146" s="1">
        <v>617.97483343260899</v>
      </c>
      <c r="AN146" s="1">
        <v>2.4118662622640799E-9</v>
      </c>
      <c r="AO146" s="1">
        <v>5.5295589195984901E-8</v>
      </c>
      <c r="AP146" s="1">
        <v>3.3028858052805501</v>
      </c>
      <c r="AQ146" s="1">
        <v>3.0661671459949101E-5</v>
      </c>
      <c r="AR146" s="1">
        <v>5.1521056938342203E-6</v>
      </c>
      <c r="AS146" s="1">
        <v>13.6117035556445</v>
      </c>
      <c r="AT146" s="1">
        <v>10.004649891192299</v>
      </c>
      <c r="AU146" s="1">
        <v>3.0348159226872098</v>
      </c>
      <c r="AV146" s="1">
        <v>0.26806988259334003</v>
      </c>
      <c r="AW146" s="1">
        <v>6.9236717227344098E-3</v>
      </c>
      <c r="AX146" s="1">
        <v>0.26806987709591701</v>
      </c>
      <c r="AY146" s="1">
        <v>5.4974224061865601E-9</v>
      </c>
      <c r="AZ146" s="1">
        <v>964852.16359160398</v>
      </c>
      <c r="BA146" s="1">
        <v>9.2832974760823505E-6</v>
      </c>
      <c r="BB146" s="4">
        <v>3413766.6910966998</v>
      </c>
      <c r="BC146" s="4">
        <v>14678.702815447899</v>
      </c>
      <c r="BD146" s="7">
        <v>0.43184239025451698</v>
      </c>
      <c r="BE146" s="4">
        <v>4164058.8</v>
      </c>
      <c r="BF146" s="1">
        <v>0.81981711956053505</v>
      </c>
      <c r="BG146" s="1">
        <v>1</v>
      </c>
      <c r="BH146" s="1">
        <v>1.0999999999999999E-2</v>
      </c>
      <c r="BI146" s="1">
        <v>4.5999999999999999E-2</v>
      </c>
      <c r="BJ146" s="1">
        <v>5625</v>
      </c>
      <c r="BK146" s="1">
        <v>1</v>
      </c>
      <c r="BL146" s="1">
        <v>73.173568520091493</v>
      </c>
      <c r="BM146" s="1">
        <v>3.4137666910967002</v>
      </c>
      <c r="BN146" s="1">
        <v>73.173568520091493</v>
      </c>
      <c r="BO146" s="1">
        <v>1</v>
      </c>
      <c r="BP146" s="1">
        <v>1100.48564835721</v>
      </c>
      <c r="BQ146" s="1">
        <v>1</v>
      </c>
      <c r="BR146" s="1">
        <v>0.15240000000000001</v>
      </c>
    </row>
    <row r="147" spans="1:70">
      <c r="A147" s="2" t="s">
        <v>215</v>
      </c>
      <c r="B147" s="1">
        <v>15513203.909628799</v>
      </c>
      <c r="C147" s="1">
        <v>617.97483343502097</v>
      </c>
      <c r="D147" s="1">
        <v>102.22394330033001</v>
      </c>
      <c r="E147" s="1">
        <v>593.997803214295</v>
      </c>
      <c r="F147" s="1">
        <v>2595333.5493798102</v>
      </c>
      <c r="G147" s="1">
        <v>1630481.38578821</v>
      </c>
      <c r="H147" s="1">
        <v>2.3048203873610299E-5</v>
      </c>
      <c r="I147" s="1">
        <v>6.8200503236293095E-5</v>
      </c>
      <c r="J147" s="1">
        <v>0.471717723289031</v>
      </c>
      <c r="K147" s="1">
        <v>9005.0430614720299</v>
      </c>
      <c r="L147" s="1">
        <v>4.6429387983550402E-3</v>
      </c>
      <c r="M147" s="1">
        <v>146</v>
      </c>
      <c r="N147" s="1">
        <v>2983.7060000000001</v>
      </c>
      <c r="O147" s="3">
        <v>2.8502295699234199E-6</v>
      </c>
      <c r="P147" s="3">
        <v>5.98473400508856E-3</v>
      </c>
      <c r="Q147" s="3">
        <v>1.905E-3</v>
      </c>
      <c r="R147" s="1">
        <v>0.15240000000000001</v>
      </c>
      <c r="S147" s="4">
        <v>5002398.92578125</v>
      </c>
      <c r="T147" s="1">
        <v>506.78358716530897</v>
      </c>
      <c r="U147" s="5">
        <v>566.36166386176103</v>
      </c>
      <c r="V147" s="1">
        <v>0.03</v>
      </c>
      <c r="W147" s="3">
        <v>83341.906001879193</v>
      </c>
      <c r="X147" s="1">
        <v>2.9594784018131599E-2</v>
      </c>
      <c r="Y147" s="1">
        <v>5.8128941210789398</v>
      </c>
      <c r="Z147" s="1">
        <v>5.8128941374986898</v>
      </c>
      <c r="AA147" s="1">
        <v>-1.6419753556817799E-8</v>
      </c>
      <c r="AB147" s="1">
        <v>1.00489758091185E-5</v>
      </c>
      <c r="AC147" s="1">
        <v>708.70983593068502</v>
      </c>
      <c r="AD147" s="1">
        <v>2534.5217744995798</v>
      </c>
      <c r="AE147" s="1">
        <v>566.36166494886004</v>
      </c>
      <c r="AF147" s="6">
        <v>1.08709832602472E-6</v>
      </c>
      <c r="AG147" s="1">
        <v>1.0128192530515001E-5</v>
      </c>
      <c r="AH147" s="1">
        <v>55.4437254488207</v>
      </c>
      <c r="AI147" s="1">
        <v>0.305515875743187</v>
      </c>
      <c r="AJ147" s="1">
        <v>26.9502619474166</v>
      </c>
      <c r="AK147" s="1">
        <v>5.65966792542996</v>
      </c>
      <c r="AL147" s="1">
        <v>1.30194062706561</v>
      </c>
      <c r="AM147" s="1">
        <v>617.97483343479996</v>
      </c>
      <c r="AN147" s="1">
        <v>2.208935256931E-10</v>
      </c>
      <c r="AO147" s="1">
        <v>7.9216721396556296E-8</v>
      </c>
      <c r="AP147" s="1">
        <v>3.3215514313724799</v>
      </c>
      <c r="AQ147" s="1">
        <v>3.03180301116096E-5</v>
      </c>
      <c r="AR147" s="1">
        <v>5.1037046259557904E-6</v>
      </c>
      <c r="AS147" s="1">
        <v>13.5805254646711</v>
      </c>
      <c r="AT147" s="1">
        <v>9.9931840769654006</v>
      </c>
      <c r="AU147" s="1">
        <v>3.05307638473696</v>
      </c>
      <c r="AV147" s="1">
        <v>0.26847504663551802</v>
      </c>
      <c r="AW147" s="1">
        <v>6.8254269065978904E-3</v>
      </c>
      <c r="AX147" s="1">
        <v>0.26847504032108899</v>
      </c>
      <c r="AY147" s="1">
        <v>6.3144289241812096E-9</v>
      </c>
      <c r="AZ147" s="1">
        <v>964852.16359160398</v>
      </c>
      <c r="BA147" s="1">
        <v>9.1276714324673398E-6</v>
      </c>
      <c r="BB147" s="4">
        <v>4973962.1873238897</v>
      </c>
      <c r="BC147" s="4">
        <v>-28436.738457359399</v>
      </c>
      <c r="BD147" s="7">
        <v>-0.56846202950353997</v>
      </c>
      <c r="BE147" s="4">
        <v>5520532.5</v>
      </c>
      <c r="BF147" s="1">
        <v>0.90099318993663902</v>
      </c>
      <c r="BG147" s="1">
        <v>1</v>
      </c>
      <c r="BH147" s="1">
        <v>-0.03</v>
      </c>
      <c r="BI147" s="1">
        <v>4.5999999999999999E-2</v>
      </c>
      <c r="BJ147" s="1">
        <v>5625</v>
      </c>
      <c r="BK147" s="1">
        <v>1</v>
      </c>
      <c r="BL147" s="1">
        <v>111.191246269712</v>
      </c>
      <c r="BM147" s="1">
        <v>4.9739621873238899</v>
      </c>
      <c r="BN147" s="1">
        <v>111.191246269712</v>
      </c>
      <c r="BO147" s="1">
        <v>1</v>
      </c>
      <c r="BP147" s="1">
        <v>5068.1935454347204</v>
      </c>
      <c r="BQ147" s="1">
        <v>1</v>
      </c>
      <c r="BR147" s="1">
        <v>0.15240000000000001</v>
      </c>
    </row>
    <row r="148" spans="1:70">
      <c r="A148" s="2" t="s">
        <v>216</v>
      </c>
      <c r="B148" s="1">
        <v>15513203.909628799</v>
      </c>
      <c r="C148" s="1">
        <v>617.97483343502097</v>
      </c>
      <c r="D148" s="1">
        <v>102.22394330033001</v>
      </c>
      <c r="E148" s="1">
        <v>593.997803214295</v>
      </c>
      <c r="F148" s="1">
        <v>2595333.5493798102</v>
      </c>
      <c r="G148" s="1">
        <v>1630481.38578821</v>
      </c>
      <c r="H148" s="1">
        <v>2.3048203873610299E-5</v>
      </c>
      <c r="I148" s="1">
        <v>6.8200503236293095E-5</v>
      </c>
      <c r="J148" s="1">
        <v>0.471717723289031</v>
      </c>
      <c r="K148" s="1">
        <v>9005.0430614720299</v>
      </c>
      <c r="L148" s="1">
        <v>4.6429387983550402E-3</v>
      </c>
      <c r="M148" s="1">
        <v>147</v>
      </c>
      <c r="N148" s="1">
        <v>2997.2683000000002</v>
      </c>
      <c r="O148" s="3">
        <v>2.8502295699234199E-6</v>
      </c>
      <c r="P148" s="3">
        <v>5.98473400508856E-3</v>
      </c>
      <c r="Q148" s="3">
        <v>1.905E-3</v>
      </c>
      <c r="R148" s="1">
        <v>0.15240000000000001</v>
      </c>
      <c r="S148" s="4">
        <v>5076080.76171875</v>
      </c>
      <c r="T148" s="1">
        <v>505.31581815094103</v>
      </c>
      <c r="U148" s="5">
        <v>565.49788338764404</v>
      </c>
      <c r="V148" s="1">
        <v>0.03</v>
      </c>
      <c r="W148" s="3">
        <v>83720.732847342297</v>
      </c>
      <c r="X148" s="1">
        <v>2.9536526159325501E-2</v>
      </c>
      <c r="Y148" s="1">
        <v>5.8186239746990402</v>
      </c>
      <c r="Z148" s="1">
        <v>5.8186239892910896</v>
      </c>
      <c r="AA148" s="1">
        <v>-1.45920484584394E-8</v>
      </c>
      <c r="AB148" s="1">
        <v>9.9778822390283107E-6</v>
      </c>
      <c r="AC148" s="1">
        <v>709.86129122428702</v>
      </c>
      <c r="AD148" s="1">
        <v>2543.53512873828</v>
      </c>
      <c r="AE148" s="1">
        <v>565.49788448625702</v>
      </c>
      <c r="AF148" s="6">
        <v>1.09861287000967E-6</v>
      </c>
      <c r="AG148" s="1">
        <v>1.0058617868166901E-5</v>
      </c>
      <c r="AH148" s="1">
        <v>55.838768433577201</v>
      </c>
      <c r="AI148" s="1">
        <v>0.30660236189664097</v>
      </c>
      <c r="AJ148" s="1">
        <v>26.860312749855101</v>
      </c>
      <c r="AK148" s="1">
        <v>5.7377428808436504</v>
      </c>
      <c r="AL148" s="1">
        <v>1.30194062706561</v>
      </c>
      <c r="AM148" s="1">
        <v>617.97483343411102</v>
      </c>
      <c r="AN148" s="1">
        <v>9.0960838861064996E-10</v>
      </c>
      <c r="AO148" s="1">
        <v>8.0735629138540993E-8</v>
      </c>
      <c r="AP148" s="1">
        <v>3.3280262779848999</v>
      </c>
      <c r="AQ148" s="1">
        <v>3.0200174290873501E-5</v>
      </c>
      <c r="AR148" s="1">
        <v>5.0696767486526997E-6</v>
      </c>
      <c r="AS148" s="1">
        <v>13.5379537024103</v>
      </c>
      <c r="AT148" s="1">
        <v>9.9774856312782596</v>
      </c>
      <c r="AU148" s="1">
        <v>3.0591206603397101</v>
      </c>
      <c r="AV148" s="1">
        <v>0.268905617645186</v>
      </c>
      <c r="AW148" s="1">
        <v>6.77713900389051E-3</v>
      </c>
      <c r="AX148" s="1">
        <v>0.26890561101057903</v>
      </c>
      <c r="AY148" s="1">
        <v>6.6346073079870402E-9</v>
      </c>
      <c r="AZ148" s="1">
        <v>964852.16359160398</v>
      </c>
      <c r="BA148" s="1">
        <v>9.0744999493091601E-6</v>
      </c>
      <c r="BB148" s="4">
        <v>5099036.7873282405</v>
      </c>
      <c r="BC148" s="4">
        <v>22956.025609489501</v>
      </c>
      <c r="BD148" s="7">
        <v>0.45223917205203601</v>
      </c>
      <c r="BE148" s="4">
        <v>5520532.5</v>
      </c>
      <c r="BF148" s="1">
        <v>0.92364944637645696</v>
      </c>
      <c r="BG148" s="1">
        <v>1</v>
      </c>
      <c r="BH148" s="1">
        <v>-3.9E-2</v>
      </c>
      <c r="BI148" s="1">
        <v>4.5999999999999999E-2</v>
      </c>
      <c r="BJ148" s="1">
        <v>5625</v>
      </c>
      <c r="BK148" s="1">
        <v>1</v>
      </c>
      <c r="BL148" s="1">
        <v>112.659015284079</v>
      </c>
      <c r="BM148" s="1">
        <v>5.0990367873282398</v>
      </c>
      <c r="BN148" s="1">
        <v>112.659015284079</v>
      </c>
      <c r="BO148" s="1">
        <v>1</v>
      </c>
      <c r="BP148" s="1">
        <v>5279.3325020520997</v>
      </c>
      <c r="BQ148" s="1">
        <v>1</v>
      </c>
      <c r="BR148" s="1">
        <v>0.15240000000000001</v>
      </c>
    </row>
    <row r="149" spans="1:70">
      <c r="A149" s="2" t="s">
        <v>217</v>
      </c>
      <c r="B149" s="1">
        <v>15513203.909628799</v>
      </c>
      <c r="C149" s="1">
        <v>617.97483343502097</v>
      </c>
      <c r="D149" s="1">
        <v>102.22394330033001</v>
      </c>
      <c r="E149" s="1">
        <v>593.997803214295</v>
      </c>
      <c r="F149" s="1">
        <v>2595333.5493798102</v>
      </c>
      <c r="G149" s="1">
        <v>1630481.38578821</v>
      </c>
      <c r="H149" s="1">
        <v>2.3048203873610299E-5</v>
      </c>
      <c r="I149" s="1">
        <v>6.8200503236293095E-5</v>
      </c>
      <c r="J149" s="1">
        <v>0.471717723289031</v>
      </c>
      <c r="K149" s="1">
        <v>9005.0430614720299</v>
      </c>
      <c r="L149" s="1">
        <v>4.6429387983550402E-3</v>
      </c>
      <c r="M149" s="1">
        <v>148</v>
      </c>
      <c r="N149" s="1">
        <v>3024.3928999999998</v>
      </c>
      <c r="O149" s="3">
        <v>2.8502295699234199E-6</v>
      </c>
      <c r="P149" s="3">
        <v>5.98473400508856E-3</v>
      </c>
      <c r="Q149" s="3">
        <v>1.905E-3</v>
      </c>
      <c r="R149" s="1">
        <v>0.15240000000000001</v>
      </c>
      <c r="S149" s="4">
        <v>6789642.08984375</v>
      </c>
      <c r="T149" s="1">
        <v>464.11830000844998</v>
      </c>
      <c r="U149" s="5">
        <v>543.894410065638</v>
      </c>
      <c r="V149" s="1">
        <v>0.03</v>
      </c>
      <c r="W149" s="3">
        <v>84478.386538268504</v>
      </c>
      <c r="X149" s="1">
        <v>2.94213008732391E-2</v>
      </c>
      <c r="Y149" s="1">
        <v>5.8300068407870196</v>
      </c>
      <c r="Z149" s="1">
        <v>5.8300068521006301</v>
      </c>
      <c r="AA149" s="1">
        <v>-1.1313605163820699E-8</v>
      </c>
      <c r="AB149" s="1">
        <v>9.8380888363249604E-6</v>
      </c>
      <c r="AC149" s="1">
        <v>746.92101927760302</v>
      </c>
      <c r="AD149" s="1">
        <v>2561.5424482436802</v>
      </c>
      <c r="AE149" s="1">
        <v>543.89441153484802</v>
      </c>
      <c r="AF149" s="6">
        <v>1.4692101331092999E-6</v>
      </c>
      <c r="AG149" s="1">
        <v>9.9435833207945902E-6</v>
      </c>
      <c r="AH149" s="1">
        <v>56.632204188423501</v>
      </c>
      <c r="AI149" s="1">
        <v>0.30877299702151201</v>
      </c>
      <c r="AJ149" s="1">
        <v>26.741113662848502</v>
      </c>
      <c r="AK149" s="1">
        <v>8.0635982007374096</v>
      </c>
      <c r="AL149" s="1">
        <v>1.30194062706561</v>
      </c>
      <c r="AM149" s="1">
        <v>617.97483343617796</v>
      </c>
      <c r="AN149" s="1">
        <v>-1.1575593816814901E-9</v>
      </c>
      <c r="AO149" s="1">
        <v>1.05494484469626E-7</v>
      </c>
      <c r="AP149" s="1">
        <v>3.3471263183201398</v>
      </c>
      <c r="AQ149" s="1">
        <v>2.9856489173134101E-5</v>
      </c>
      <c r="AR149" s="1">
        <v>5.02453890263211E-6</v>
      </c>
      <c r="AS149" s="1">
        <v>13.5124091149017</v>
      </c>
      <c r="AT149" s="1">
        <v>9.9680422847049197</v>
      </c>
      <c r="AU149" s="1">
        <v>3.0778622906855002</v>
      </c>
      <c r="AV149" s="1">
        <v>0.26926402763464402</v>
      </c>
      <c r="AW149" s="1">
        <v>6.6821890636876002E-3</v>
      </c>
      <c r="AX149" s="1">
        <v>0.26926402014869999</v>
      </c>
      <c r="AY149" s="1">
        <v>7.4859438647934001E-9</v>
      </c>
      <c r="AZ149" s="1">
        <v>964852.16359160398</v>
      </c>
      <c r="BA149" s="1">
        <v>8.9200365727811798E-6</v>
      </c>
      <c r="BB149" s="4">
        <v>6778111.8795140097</v>
      </c>
      <c r="BC149" s="4">
        <v>-11530.210329740299</v>
      </c>
      <c r="BD149" s="7">
        <v>-0.16982059108811801</v>
      </c>
      <c r="BE149" s="4">
        <v>6561547.2000000002</v>
      </c>
      <c r="BF149" s="1">
        <v>1.0330051240832401</v>
      </c>
      <c r="BG149" s="1">
        <v>1</v>
      </c>
      <c r="BH149" s="1">
        <v>-0.122</v>
      </c>
      <c r="BI149" s="1">
        <v>4.5999999999999999E-2</v>
      </c>
      <c r="BJ149" s="1">
        <v>5625</v>
      </c>
      <c r="BK149" s="1">
        <v>1</v>
      </c>
      <c r="BL149" s="1">
        <v>153.85653342657099</v>
      </c>
      <c r="BM149" s="1">
        <v>6.7781118795140101</v>
      </c>
      <c r="BN149" s="1">
        <v>153.85653342657099</v>
      </c>
      <c r="BO149" s="1">
        <v>1</v>
      </c>
      <c r="BP149" s="1">
        <v>12963.3102039158</v>
      </c>
      <c r="BQ149" s="1">
        <v>1</v>
      </c>
      <c r="BR149" s="1">
        <v>0.15240000000000001</v>
      </c>
    </row>
    <row r="150" spans="1:70">
      <c r="A150" s="2" t="s">
        <v>218</v>
      </c>
      <c r="B150" s="1">
        <v>15513203.909628799</v>
      </c>
      <c r="C150" s="1">
        <v>617.97483343502097</v>
      </c>
      <c r="D150" s="1">
        <v>102.22394330033001</v>
      </c>
      <c r="E150" s="1">
        <v>593.997803214295</v>
      </c>
      <c r="F150" s="1">
        <v>2595333.5493798102</v>
      </c>
      <c r="G150" s="1">
        <v>1630481.38578821</v>
      </c>
      <c r="H150" s="1">
        <v>2.3048203873610299E-5</v>
      </c>
      <c r="I150" s="1">
        <v>6.8200503236293095E-5</v>
      </c>
      <c r="J150" s="1">
        <v>0.471717723289031</v>
      </c>
      <c r="K150" s="1">
        <v>9005.0430614720299</v>
      </c>
      <c r="L150" s="1">
        <v>4.6429387983550402E-3</v>
      </c>
      <c r="M150" s="1">
        <v>149</v>
      </c>
      <c r="N150" s="1">
        <v>3024.3928999999998</v>
      </c>
      <c r="O150" s="3">
        <v>2.8502295699234199E-6</v>
      </c>
      <c r="P150" s="3">
        <v>5.98473400508856E-3</v>
      </c>
      <c r="Q150" s="3">
        <v>1.905E-3</v>
      </c>
      <c r="R150" s="1">
        <v>0.15240000000000001</v>
      </c>
      <c r="S150" s="4">
        <v>6744360.3515625</v>
      </c>
      <c r="T150" s="1">
        <v>465.232089236273</v>
      </c>
      <c r="U150" s="5">
        <v>544.47615343759696</v>
      </c>
      <c r="V150" s="1">
        <v>0.03</v>
      </c>
      <c r="W150" s="3">
        <v>84478.386538268504</v>
      </c>
      <c r="X150" s="1">
        <v>2.94213008732391E-2</v>
      </c>
      <c r="Y150" s="1">
        <v>5.8300068407870196</v>
      </c>
      <c r="Z150" s="1">
        <v>5.8300068521006301</v>
      </c>
      <c r="AA150" s="1">
        <v>-1.1313605163820699E-8</v>
      </c>
      <c r="AB150" s="1">
        <v>9.8380888363249604E-6</v>
      </c>
      <c r="AC150" s="1">
        <v>745.90025500633101</v>
      </c>
      <c r="AD150" s="1">
        <v>2561.5424482436802</v>
      </c>
      <c r="AE150" s="1">
        <v>544.47615343759696</v>
      </c>
      <c r="AF150" s="6">
        <v>0</v>
      </c>
      <c r="AG150" s="1">
        <v>9.9428744009127996E-6</v>
      </c>
      <c r="AH150" s="1">
        <v>56.632204188423501</v>
      </c>
      <c r="AI150" s="1">
        <v>0.30877299702151201</v>
      </c>
      <c r="AJ150" s="1">
        <v>26.739207176371199</v>
      </c>
      <c r="AK150" s="1">
        <v>7.9999515386315299</v>
      </c>
      <c r="AL150" s="1">
        <v>1.30194062706561</v>
      </c>
      <c r="AM150" s="1">
        <v>617.97483343622605</v>
      </c>
      <c r="AN150" s="1">
        <v>-1.2056489140377401E-9</v>
      </c>
      <c r="AO150" s="1">
        <v>1.04785564587834E-7</v>
      </c>
      <c r="AP150" s="1">
        <v>3.3469246973187401</v>
      </c>
      <c r="AQ150" s="1">
        <v>2.9860086431576E-5</v>
      </c>
      <c r="AR150" s="1">
        <v>5.0238299827503202E-6</v>
      </c>
      <c r="AS150" s="1">
        <v>13.510502628424399</v>
      </c>
      <c r="AT150" s="1">
        <v>9.9673367772827106</v>
      </c>
      <c r="AU150" s="1">
        <v>3.07764444904433</v>
      </c>
      <c r="AV150" s="1">
        <v>0.26928024827440999</v>
      </c>
      <c r="AW150" s="1">
        <v>6.6821890636876002E-3</v>
      </c>
      <c r="AX150" s="1">
        <v>0.26928024079490398</v>
      </c>
      <c r="AY150" s="1">
        <v>7.4795056814736005E-9</v>
      </c>
      <c r="AZ150" s="1">
        <v>964852.16359160398</v>
      </c>
      <c r="BA150" s="1">
        <v>8.9216487169541898E-6</v>
      </c>
      <c r="BB150" s="4">
        <v>6731346.5880342303</v>
      </c>
      <c r="BC150" s="4">
        <v>-13013.7635282716</v>
      </c>
      <c r="BD150" s="7">
        <v>-0.19295771355480201</v>
      </c>
      <c r="BE150" s="4">
        <v>6593093.0999999996</v>
      </c>
      <c r="BF150" s="1">
        <v>1.0209694427088001</v>
      </c>
      <c r="BG150" s="1">
        <v>1</v>
      </c>
      <c r="BH150" s="1">
        <v>-0.113</v>
      </c>
      <c r="BI150" s="1">
        <v>4.5999999999999999E-2</v>
      </c>
      <c r="BJ150" s="1">
        <v>5625</v>
      </c>
      <c r="BK150" s="1">
        <v>1</v>
      </c>
      <c r="BL150" s="1">
        <v>152.742744198748</v>
      </c>
      <c r="BM150" s="1">
        <v>6.7313465880342296</v>
      </c>
      <c r="BN150" s="1">
        <v>152.742744198748</v>
      </c>
      <c r="BO150" s="1">
        <v>1</v>
      </c>
      <c r="BP150" s="1">
        <v>12710.9263694642</v>
      </c>
      <c r="BQ150" s="1">
        <v>1</v>
      </c>
      <c r="BR150" s="1">
        <v>0.15240000000000001</v>
      </c>
    </row>
    <row r="151" spans="1:70">
      <c r="A151" s="2" t="s">
        <v>219</v>
      </c>
      <c r="B151" s="1">
        <v>15513203.909628799</v>
      </c>
      <c r="C151" s="1">
        <v>617.97483343502097</v>
      </c>
      <c r="D151" s="1">
        <v>102.22394330033001</v>
      </c>
      <c r="E151" s="1">
        <v>593.997803214295</v>
      </c>
      <c r="F151" s="1">
        <v>2595333.5493798102</v>
      </c>
      <c r="G151" s="1">
        <v>1630481.38578821</v>
      </c>
      <c r="H151" s="1">
        <v>2.3048203873610299E-5</v>
      </c>
      <c r="I151" s="1">
        <v>6.8200503236293095E-5</v>
      </c>
      <c r="J151" s="1">
        <v>0.471717723289031</v>
      </c>
      <c r="K151" s="1">
        <v>9005.0430614720299</v>
      </c>
      <c r="L151" s="1">
        <v>4.6429387983550402E-3</v>
      </c>
      <c r="M151" s="1">
        <v>150</v>
      </c>
      <c r="N151" s="1">
        <v>3553.3226</v>
      </c>
      <c r="O151" s="3">
        <v>2.8502295699234199E-6</v>
      </c>
      <c r="P151" s="3">
        <v>5.98473400508856E-3</v>
      </c>
      <c r="Q151" s="3">
        <v>1.905E-3</v>
      </c>
      <c r="R151" s="1">
        <v>0.15240000000000001</v>
      </c>
      <c r="S151" s="4">
        <v>3613308.22265625</v>
      </c>
      <c r="T151" s="1">
        <v>548.629770529251</v>
      </c>
      <c r="U151" s="5">
        <v>584.76531107436404</v>
      </c>
      <c r="V151" s="1">
        <v>0.03</v>
      </c>
      <c r="W151" s="3">
        <v>99252.633511328895</v>
      </c>
      <c r="X151" s="1">
        <v>2.74681994354301E-2</v>
      </c>
      <c r="Y151" s="1">
        <v>6.0337165478324701</v>
      </c>
      <c r="Z151" s="1">
        <v>6.0337165682810801</v>
      </c>
      <c r="AA151" s="1">
        <v>-2.0448607251921701E-8</v>
      </c>
      <c r="AB151" s="1">
        <v>7.6339544209671002E-6</v>
      </c>
      <c r="AC151" s="1">
        <v>667.81428414038999</v>
      </c>
      <c r="AD151" s="1">
        <v>2907.91793292377</v>
      </c>
      <c r="AE151" s="1">
        <v>584.76531175250705</v>
      </c>
      <c r="AF151" s="6">
        <v>6.7814278281730399E-7</v>
      </c>
      <c r="AG151" s="1">
        <v>7.6808897476370304E-6</v>
      </c>
      <c r="AH151" s="1">
        <v>72.983492575270404</v>
      </c>
      <c r="AI151" s="1">
        <v>0.35052572947097099</v>
      </c>
      <c r="AJ151" s="1">
        <v>23.449235735395298</v>
      </c>
      <c r="AK151" s="1">
        <v>3.25696805425404</v>
      </c>
      <c r="AL151" s="1">
        <v>1.30194062706561</v>
      </c>
      <c r="AM151" s="1">
        <v>617.97483340313602</v>
      </c>
      <c r="AN151" s="1">
        <v>3.18842694468913E-8</v>
      </c>
      <c r="AO151" s="1">
        <v>4.6935326669930198E-8</v>
      </c>
      <c r="AP151" s="1">
        <v>3.5446445559083002</v>
      </c>
      <c r="AQ151" s="1">
        <v>2.6621808710776502E-5</v>
      </c>
      <c r="AR151" s="1">
        <v>3.8639125371534803E-6</v>
      </c>
      <c r="AS151" s="1">
        <v>11.7962630530578</v>
      </c>
      <c r="AT151" s="1">
        <v>9.2889139544789607</v>
      </c>
      <c r="AU151" s="1">
        <v>3.2560033398868198</v>
      </c>
      <c r="AV151" s="1">
        <v>0.28864121602147902</v>
      </c>
      <c r="AW151" s="1">
        <v>5.1851053180295799E-3</v>
      </c>
      <c r="AX151" s="1">
        <v>0.28864120212984001</v>
      </c>
      <c r="AY151" s="1">
        <v>1.38916385616916E-8</v>
      </c>
      <c r="AZ151" s="1">
        <v>964852.16359160398</v>
      </c>
      <c r="BA151" s="1">
        <v>7.5104310998976402E-6</v>
      </c>
      <c r="BB151" s="4">
        <v>3581628.9560785801</v>
      </c>
      <c r="BC151" s="4">
        <v>-31679.2665776666</v>
      </c>
      <c r="BD151" s="7">
        <v>-0.876738562711881</v>
      </c>
      <c r="BE151" s="4">
        <v>4700339.0999999996</v>
      </c>
      <c r="BF151" s="1">
        <v>0.76199373702177897</v>
      </c>
      <c r="BG151" s="1">
        <v>1</v>
      </c>
      <c r="BH151" s="1">
        <v>3.0000000000000001E-3</v>
      </c>
      <c r="BI151" s="1">
        <v>4.5999999999999999E-2</v>
      </c>
      <c r="BJ151" s="1">
        <v>5625</v>
      </c>
      <c r="BK151" s="1">
        <v>1</v>
      </c>
      <c r="BL151" s="1">
        <v>69.345062905769495</v>
      </c>
      <c r="BM151" s="1">
        <v>3.5816289560785801</v>
      </c>
      <c r="BN151" s="1">
        <v>69.345062905769495</v>
      </c>
      <c r="BO151" s="1">
        <v>1</v>
      </c>
      <c r="BP151" s="1">
        <v>861.13271694357002</v>
      </c>
      <c r="BQ151" s="1">
        <v>1</v>
      </c>
      <c r="BR151" s="1">
        <v>0.15240000000000001</v>
      </c>
    </row>
    <row r="152" spans="1:70">
      <c r="A152" s="2" t="s">
        <v>220</v>
      </c>
      <c r="B152" s="1">
        <v>15513203.909628799</v>
      </c>
      <c r="C152" s="1">
        <v>617.97483343502097</v>
      </c>
      <c r="D152" s="1">
        <v>102.22394330033001</v>
      </c>
      <c r="E152" s="1">
        <v>593.997803214295</v>
      </c>
      <c r="F152" s="1">
        <v>2595333.5493798102</v>
      </c>
      <c r="G152" s="1">
        <v>1630481.38578821</v>
      </c>
      <c r="H152" s="1">
        <v>2.3048203873610299E-5</v>
      </c>
      <c r="I152" s="1">
        <v>6.8200503236293095E-5</v>
      </c>
      <c r="J152" s="1">
        <v>0.471717723289031</v>
      </c>
      <c r="K152" s="1">
        <v>9005.0430614720299</v>
      </c>
      <c r="L152" s="1">
        <v>4.6429387983550402E-3</v>
      </c>
      <c r="M152" s="1">
        <v>151</v>
      </c>
      <c r="N152" s="1">
        <v>3675.3833</v>
      </c>
      <c r="O152" s="3">
        <v>2.8502295699234199E-6</v>
      </c>
      <c r="P152" s="3">
        <v>5.98473400508856E-3</v>
      </c>
      <c r="Q152" s="3">
        <v>1.905E-3</v>
      </c>
      <c r="R152" s="1">
        <v>0.15240000000000001</v>
      </c>
      <c r="S152" s="4">
        <v>4028926.32421875</v>
      </c>
      <c r="T152" s="1">
        <v>541.45534065612401</v>
      </c>
      <c r="U152" s="5">
        <v>580.409234138324</v>
      </c>
      <c r="V152" s="1">
        <v>0.03</v>
      </c>
      <c r="W152" s="3">
        <v>102662.075120497</v>
      </c>
      <c r="X152" s="1">
        <v>2.7083591457044299E-2</v>
      </c>
      <c r="Y152" s="1">
        <v>6.0764072462979897</v>
      </c>
      <c r="Z152" s="1">
        <v>6.0764072546537502</v>
      </c>
      <c r="AA152" s="1">
        <v>-8.35576496882595E-9</v>
      </c>
      <c r="AB152" s="1">
        <v>7.23664888240171E-6</v>
      </c>
      <c r="AC152" s="1">
        <v>672.75768533763096</v>
      </c>
      <c r="AD152" s="1">
        <v>2986.67644160177</v>
      </c>
      <c r="AE152" s="1">
        <v>580.409234138324</v>
      </c>
      <c r="AF152" s="6">
        <v>0</v>
      </c>
      <c r="AG152" s="1">
        <v>7.2876711654072298E-6</v>
      </c>
      <c r="AH152" s="1">
        <v>76.990422619163397</v>
      </c>
      <c r="AI152" s="1">
        <v>0.36001942370279</v>
      </c>
      <c r="AJ152" s="1">
        <v>22.851355153661199</v>
      </c>
      <c r="AK152" s="1">
        <v>3.6121055554388799</v>
      </c>
      <c r="AL152" s="1">
        <v>1.30194062706561</v>
      </c>
      <c r="AM152" s="1">
        <v>617.97483342129794</v>
      </c>
      <c r="AN152" s="1">
        <v>1.37229108077008E-8</v>
      </c>
      <c r="AO152" s="1">
        <v>5.1022283005518902E-8</v>
      </c>
      <c r="AP152" s="1">
        <v>3.5918524878162201</v>
      </c>
      <c r="AQ152" s="1">
        <v>2.5926623316764301E-5</v>
      </c>
      <c r="AR152" s="1">
        <v>3.6693467242063798E-6</v>
      </c>
      <c r="AS152" s="1">
        <v>11.505670779271201</v>
      </c>
      <c r="AT152" s="1">
        <v>9.1642001253539203</v>
      </c>
      <c r="AU152" s="1">
        <v>3.2992900478269598</v>
      </c>
      <c r="AV152" s="1">
        <v>0.29256243998925902</v>
      </c>
      <c r="AW152" s="1">
        <v>4.9152489700220597E-3</v>
      </c>
      <c r="AX152" s="1">
        <v>0.29256243024165501</v>
      </c>
      <c r="AY152" s="1">
        <v>9.7476043903199605E-9</v>
      </c>
      <c r="AZ152" s="1">
        <v>964852.16359160398</v>
      </c>
      <c r="BA152" s="1">
        <v>7.2181759703966203E-6</v>
      </c>
      <c r="BB152" s="4">
        <v>4051147.3124389001</v>
      </c>
      <c r="BC152" s="4">
        <v>22220.988220152001</v>
      </c>
      <c r="BD152" s="7">
        <v>0.55153622657671397</v>
      </c>
      <c r="BE152" s="4">
        <v>5078889.9000000004</v>
      </c>
      <c r="BF152" s="1">
        <v>0.797644247503554</v>
      </c>
      <c r="BG152" s="1">
        <v>1</v>
      </c>
      <c r="BH152" s="1">
        <v>-1.4E-2</v>
      </c>
      <c r="BI152" s="1">
        <v>4.5999999999999999E-2</v>
      </c>
      <c r="BJ152" s="1">
        <v>5625</v>
      </c>
      <c r="BK152" s="1">
        <v>1</v>
      </c>
      <c r="BL152" s="1">
        <v>76.519492778896506</v>
      </c>
      <c r="BM152" s="1">
        <v>4.0511473124388999</v>
      </c>
      <c r="BN152" s="1">
        <v>76.519492778896506</v>
      </c>
      <c r="BO152" s="1">
        <v>1</v>
      </c>
      <c r="BP152" s="1">
        <v>1333.6733528278701</v>
      </c>
      <c r="BQ152" s="1">
        <v>1</v>
      </c>
      <c r="BR152" s="1">
        <v>0.15240000000000001</v>
      </c>
    </row>
    <row r="153" spans="1:70">
      <c r="A153" s="2" t="s">
        <v>221</v>
      </c>
      <c r="B153" s="1">
        <v>15513203.909628799</v>
      </c>
      <c r="C153" s="1">
        <v>617.97483343502097</v>
      </c>
      <c r="D153" s="1">
        <v>102.22394330033001</v>
      </c>
      <c r="E153" s="1">
        <v>593.997803214295</v>
      </c>
      <c r="F153" s="1">
        <v>2595333.5493798102</v>
      </c>
      <c r="G153" s="1">
        <v>1630481.38578821</v>
      </c>
      <c r="H153" s="1">
        <v>2.3048203873610299E-5</v>
      </c>
      <c r="I153" s="1">
        <v>6.8200503236293095E-5</v>
      </c>
      <c r="J153" s="1">
        <v>0.471717723289031</v>
      </c>
      <c r="K153" s="1">
        <v>9005.0430614720299</v>
      </c>
      <c r="L153" s="1">
        <v>4.6429387983550402E-3</v>
      </c>
      <c r="M153" s="1">
        <v>152</v>
      </c>
      <c r="N153" s="1">
        <v>3743.1948000000002</v>
      </c>
      <c r="O153" s="3">
        <v>2.8502295699234199E-6</v>
      </c>
      <c r="P153" s="3">
        <v>5.98473400508856E-3</v>
      </c>
      <c r="Q153" s="3">
        <v>1.905E-3</v>
      </c>
      <c r="R153" s="1">
        <v>0.15240000000000001</v>
      </c>
      <c r="S153" s="4">
        <v>4286578.0601562504</v>
      </c>
      <c r="T153" s="1">
        <v>536.98317199257201</v>
      </c>
      <c r="U153" s="5">
        <v>577.67736985044405</v>
      </c>
      <c r="V153" s="1">
        <v>0.03</v>
      </c>
      <c r="W153" s="3">
        <v>104556.20934781199</v>
      </c>
      <c r="X153" s="1">
        <v>2.6878779410128499E-2</v>
      </c>
      <c r="Y153" s="1">
        <v>6.0995139434554897</v>
      </c>
      <c r="Z153" s="1">
        <v>6.0995139494937103</v>
      </c>
      <c r="AA153" s="1">
        <v>-6.0382214783771798E-9</v>
      </c>
      <c r="AB153" s="1">
        <v>7.0299887495018698E-6</v>
      </c>
      <c r="AC153" s="1">
        <v>675.83911673614705</v>
      </c>
      <c r="AD153" s="1">
        <v>3030.2580390165499</v>
      </c>
      <c r="AE153" s="1">
        <v>577.67736985044405</v>
      </c>
      <c r="AF153" s="6">
        <v>0</v>
      </c>
      <c r="AG153" s="1">
        <v>7.0826251157525298E-6</v>
      </c>
      <c r="AH153" s="1">
        <v>79.253705184390796</v>
      </c>
      <c r="AI153" s="1">
        <v>0.36527282891494101</v>
      </c>
      <c r="AJ153" s="1">
        <v>22.532474219789702</v>
      </c>
      <c r="AK153" s="1">
        <v>3.8339986564199</v>
      </c>
      <c r="AL153" s="1">
        <v>1.30194062706561</v>
      </c>
      <c r="AM153" s="1">
        <v>617.97483338798395</v>
      </c>
      <c r="AN153" s="1">
        <v>4.7036451178428298E-8</v>
      </c>
      <c r="AO153" s="1">
        <v>5.2636366250666E-8</v>
      </c>
      <c r="AP153" s="1">
        <v>3.6172923743649998</v>
      </c>
      <c r="AQ153" s="1">
        <v>2.55632293983416E-5</v>
      </c>
      <c r="AR153" s="1">
        <v>3.5676307410016E-6</v>
      </c>
      <c r="AS153" s="1">
        <v>11.3499650741865</v>
      </c>
      <c r="AT153" s="1">
        <v>9.0960733337924804</v>
      </c>
      <c r="AU153" s="1">
        <v>3.32254843865213</v>
      </c>
      <c r="AV153" s="1">
        <v>0.294743935712861</v>
      </c>
      <c r="AW153" s="1">
        <v>4.7748820651345204E-3</v>
      </c>
      <c r="AX153" s="1">
        <v>0.29474393026351398</v>
      </c>
      <c r="AY153" s="1">
        <v>5.4493471401961796E-9</v>
      </c>
      <c r="AZ153" s="1">
        <v>964852.16359160398</v>
      </c>
      <c r="BA153" s="1">
        <v>7.0669513969904497E-6</v>
      </c>
      <c r="BB153" s="4">
        <v>4268737.1093811197</v>
      </c>
      <c r="BC153" s="4">
        <v>-17840.950775134399</v>
      </c>
      <c r="BD153" s="7">
        <v>-0.416204966403529</v>
      </c>
      <c r="BE153" s="4">
        <v>5552078.4000000004</v>
      </c>
      <c r="BF153" s="1">
        <v>0.76885389611593302</v>
      </c>
      <c r="BG153" s="1">
        <v>1</v>
      </c>
      <c r="BH153" s="1">
        <v>-3.0000000000000001E-3</v>
      </c>
      <c r="BI153" s="1">
        <v>4.5999999999999999E-2</v>
      </c>
      <c r="BJ153" s="1">
        <v>5625</v>
      </c>
      <c r="BK153" s="1">
        <v>1</v>
      </c>
      <c r="BL153" s="1">
        <v>80.991661442448503</v>
      </c>
      <c r="BM153" s="1">
        <v>4.2687371093811102</v>
      </c>
      <c r="BN153" s="1">
        <v>80.991661442448503</v>
      </c>
      <c r="BO153" s="1">
        <v>1</v>
      </c>
      <c r="BP153" s="1">
        <v>1680.31630781232</v>
      </c>
      <c r="BQ153" s="1">
        <v>1</v>
      </c>
      <c r="BR153" s="1">
        <v>0.15240000000000001</v>
      </c>
    </row>
    <row r="154" spans="1:70">
      <c r="A154" s="2" t="s">
        <v>222</v>
      </c>
      <c r="B154" s="1">
        <v>15513203.909628799</v>
      </c>
      <c r="C154" s="1">
        <v>617.97483343502097</v>
      </c>
      <c r="D154" s="1">
        <v>102.22394330033001</v>
      </c>
      <c r="E154" s="1">
        <v>593.997803214295</v>
      </c>
      <c r="F154" s="1">
        <v>2595333.5493798102</v>
      </c>
      <c r="G154" s="1">
        <v>1630481.38578821</v>
      </c>
      <c r="H154" s="1">
        <v>2.3048203873610299E-5</v>
      </c>
      <c r="I154" s="1">
        <v>6.8200503236293095E-5</v>
      </c>
      <c r="J154" s="1">
        <v>0.471717723289031</v>
      </c>
      <c r="K154" s="1">
        <v>9005.0430614720299</v>
      </c>
      <c r="L154" s="1">
        <v>4.6429387983550402E-3</v>
      </c>
      <c r="M154" s="1">
        <v>153</v>
      </c>
      <c r="N154" s="1">
        <v>3811.0063</v>
      </c>
      <c r="O154" s="3">
        <v>2.8502295699234199E-6</v>
      </c>
      <c r="P154" s="3">
        <v>5.98473400508856E-3</v>
      </c>
      <c r="Q154" s="3">
        <v>1.905E-3</v>
      </c>
      <c r="R154" s="1">
        <v>0.15240000000000001</v>
      </c>
      <c r="S154" s="4">
        <v>4116640.52734375</v>
      </c>
      <c r="T154" s="1">
        <v>541.45534065612401</v>
      </c>
      <c r="U154" s="5">
        <v>579.84086372052502</v>
      </c>
      <c r="V154" s="1">
        <v>0.03</v>
      </c>
      <c r="W154" s="3">
        <v>106450.343575128</v>
      </c>
      <c r="X154" s="1">
        <v>2.66799122456483E-2</v>
      </c>
      <c r="Y154" s="1">
        <v>6.1222040681412597</v>
      </c>
      <c r="Z154" s="1">
        <v>6.1222040707463101</v>
      </c>
      <c r="AA154" s="1">
        <v>-2.6050521739762202E-9</v>
      </c>
      <c r="AB154" s="1">
        <v>6.8325890505261298E-6</v>
      </c>
      <c r="AC154" s="1">
        <v>671.878197216996</v>
      </c>
      <c r="AD154" s="1">
        <v>3073.7198141315598</v>
      </c>
      <c r="AE154" s="1">
        <v>579.84086372052502</v>
      </c>
      <c r="AF154" s="6">
        <v>0</v>
      </c>
      <c r="AG154" s="1">
        <v>6.8819209187382798E-6</v>
      </c>
      <c r="AH154" s="1">
        <v>81.543416658389901</v>
      </c>
      <c r="AI154" s="1">
        <v>0.370511790528611</v>
      </c>
      <c r="AJ154" s="1">
        <v>22.207975524632399</v>
      </c>
      <c r="AK154" s="1">
        <v>3.5897488222574201</v>
      </c>
      <c r="AL154" s="1">
        <v>1.30194062706561</v>
      </c>
      <c r="AM154" s="1">
        <v>617.97483341835903</v>
      </c>
      <c r="AN154" s="1">
        <v>1.6661715562804599E-8</v>
      </c>
      <c r="AO154" s="1">
        <v>4.93318682121484E-8</v>
      </c>
      <c r="AP154" s="1">
        <v>3.6399545050422102</v>
      </c>
      <c r="AQ154" s="1">
        <v>2.5245910130882198E-5</v>
      </c>
      <c r="AR154" s="1">
        <v>3.4656263934752099E-6</v>
      </c>
      <c r="AS154" s="1">
        <v>11.183584791603201</v>
      </c>
      <c r="AT154" s="1">
        <v>9.0222352979399592</v>
      </c>
      <c r="AU154" s="1">
        <v>3.3428445548101702</v>
      </c>
      <c r="AV154" s="1">
        <v>0.29710995023203801</v>
      </c>
      <c r="AW154" s="1">
        <v>4.6408049967510204E-3</v>
      </c>
      <c r="AX154" s="1">
        <v>0.29710994728886497</v>
      </c>
      <c r="AY154" s="1">
        <v>2.94317303861646E-9</v>
      </c>
      <c r="AZ154" s="1">
        <v>964852.16359160398</v>
      </c>
      <c r="BA154" s="1">
        <v>6.9357762839921799E-6</v>
      </c>
      <c r="BB154" s="4">
        <v>4076412.2699819701</v>
      </c>
      <c r="BC154" s="4">
        <v>-40228.257361783602</v>
      </c>
      <c r="BD154" s="7">
        <v>-0.97721083720032298</v>
      </c>
      <c r="BE154" s="4">
        <v>5236619.4000000004</v>
      </c>
      <c r="BF154" s="1">
        <v>0.77844348779328199</v>
      </c>
      <c r="BG154" s="1">
        <v>1</v>
      </c>
      <c r="BH154" s="1">
        <v>-1.7000000000000001E-2</v>
      </c>
      <c r="BI154" s="1">
        <v>4.5999999999999999E-2</v>
      </c>
      <c r="BJ154" s="1">
        <v>5625</v>
      </c>
      <c r="BK154" s="1">
        <v>1</v>
      </c>
      <c r="BL154" s="1">
        <v>76.519492778896506</v>
      </c>
      <c r="BM154" s="1">
        <v>4.0764122699819696</v>
      </c>
      <c r="BN154" s="1">
        <v>76.519492778896506</v>
      </c>
      <c r="BO154" s="1">
        <v>1</v>
      </c>
      <c r="BP154" s="1">
        <v>1333.6733528278701</v>
      </c>
      <c r="BQ154" s="1">
        <v>1</v>
      </c>
      <c r="BR154" s="1">
        <v>0.15240000000000001</v>
      </c>
    </row>
    <row r="155" spans="1:70">
      <c r="A155" s="2" t="s">
        <v>223</v>
      </c>
      <c r="B155" s="1">
        <v>15513203.909628799</v>
      </c>
      <c r="C155" s="1">
        <v>617.97483343502097</v>
      </c>
      <c r="D155" s="1">
        <v>102.22394330033001</v>
      </c>
      <c r="E155" s="1">
        <v>593.997803214295</v>
      </c>
      <c r="F155" s="1">
        <v>2595333.5493798102</v>
      </c>
      <c r="G155" s="1">
        <v>1630481.38578821</v>
      </c>
      <c r="H155" s="1">
        <v>2.3048203873610299E-5</v>
      </c>
      <c r="I155" s="1">
        <v>6.8200503236293095E-5</v>
      </c>
      <c r="J155" s="1">
        <v>0.471717723289031</v>
      </c>
      <c r="K155" s="1">
        <v>9005.0430614720299</v>
      </c>
      <c r="L155" s="1">
        <v>4.6429387983550402E-3</v>
      </c>
      <c r="M155" s="1">
        <v>154</v>
      </c>
      <c r="N155" s="1">
        <v>2102.1565000000001</v>
      </c>
      <c r="O155" s="3">
        <v>2.8502295699234199E-6</v>
      </c>
      <c r="P155" s="3">
        <v>5.98473400508856E-3</v>
      </c>
      <c r="Q155" s="3">
        <v>1.905E-3</v>
      </c>
      <c r="R155" s="1">
        <v>0.69596000000000002</v>
      </c>
      <c r="S155" s="4">
        <v>3550235.95703125</v>
      </c>
      <c r="T155" s="1">
        <v>299.28719429629098</v>
      </c>
      <c r="U155" s="5">
        <v>573.35351538122904</v>
      </c>
      <c r="V155" s="1">
        <v>0.03</v>
      </c>
      <c r="W155" s="3">
        <v>58718.161046778601</v>
      </c>
      <c r="X155" s="1">
        <v>3.4659226492567398E-2</v>
      </c>
      <c r="Y155" s="1">
        <v>5.3714379963301004</v>
      </c>
      <c r="Z155" s="1">
        <v>5.3714380084148798</v>
      </c>
      <c r="AA155" s="1">
        <v>-1.2084776734866399E-8</v>
      </c>
      <c r="AB155" s="1">
        <v>1.7286221546981498E-5</v>
      </c>
      <c r="AC155" s="1">
        <v>719.484385459549</v>
      </c>
      <c r="AD155" s="1">
        <v>1932.4438764511699</v>
      </c>
      <c r="AE155" s="1">
        <v>573.35351538122904</v>
      </c>
      <c r="AF155" s="6">
        <v>0</v>
      </c>
      <c r="AG155" s="1">
        <v>1.7373379540586301E-5</v>
      </c>
      <c r="AH155" s="1">
        <v>32.231025981492998</v>
      </c>
      <c r="AI155" s="1">
        <v>0.23294030817908701</v>
      </c>
      <c r="AJ155" s="1">
        <v>35.247329035661899</v>
      </c>
      <c r="AK155" s="1">
        <v>5.9733765215393202</v>
      </c>
      <c r="AL155" s="1">
        <v>1.30194062706561</v>
      </c>
      <c r="AM155" s="1">
        <v>617.97483342564999</v>
      </c>
      <c r="AN155" s="1">
        <v>9.3706375992041996E-9</v>
      </c>
      <c r="AO155" s="1">
        <v>8.7157993604785898E-8</v>
      </c>
      <c r="AP155" s="1">
        <v>2.8737660613968501</v>
      </c>
      <c r="AQ155" s="1">
        <v>4.0502340450096499E-5</v>
      </c>
      <c r="AR155" s="1">
        <v>8.73026876709553E-6</v>
      </c>
      <c r="AS155" s="1">
        <v>17.7120781299177</v>
      </c>
      <c r="AT155" s="1">
        <v>11.321233935427999</v>
      </c>
      <c r="AU155" s="1">
        <v>2.6371717218861401</v>
      </c>
      <c r="AV155" s="1">
        <v>0.23659433951071401</v>
      </c>
      <c r="AW155" s="1">
        <v>1.17410812705031E-2</v>
      </c>
      <c r="AX155" s="1">
        <v>0.236594339098398</v>
      </c>
      <c r="AY155" s="1">
        <v>4.1231620895310099E-10</v>
      </c>
      <c r="AZ155" s="1">
        <v>964852.16359160398</v>
      </c>
      <c r="BA155" s="1">
        <v>1.4093819602841799E-5</v>
      </c>
      <c r="BB155" s="4">
        <v>3544248.2180107301</v>
      </c>
      <c r="BC155" s="4">
        <v>-5987.7390205189604</v>
      </c>
      <c r="BD155" s="7">
        <v>-0.16865749468454999</v>
      </c>
      <c r="BE155" s="4">
        <v>2082029.4</v>
      </c>
      <c r="BF155" s="1">
        <v>1.70230459666455</v>
      </c>
      <c r="BG155" s="1">
        <v>1</v>
      </c>
      <c r="BH155" s="1">
        <v>-6.0999999999999999E-2</v>
      </c>
      <c r="BI155" s="1">
        <v>4.5999999999999999E-2</v>
      </c>
      <c r="BJ155" s="1">
        <v>5625</v>
      </c>
      <c r="BK155" s="1">
        <v>1</v>
      </c>
      <c r="BL155" s="1">
        <v>318.68763913872999</v>
      </c>
      <c r="BM155" s="1">
        <v>3.54424821801073</v>
      </c>
      <c r="BN155" s="1">
        <v>318.68763913872999</v>
      </c>
      <c r="BO155" s="1">
        <v>1</v>
      </c>
      <c r="BP155" s="1">
        <v>77666.800208718705</v>
      </c>
      <c r="BQ155" s="1">
        <v>1</v>
      </c>
      <c r="BR155" s="1">
        <v>0.69596000000000002</v>
      </c>
    </row>
    <row r="156" spans="1:70">
      <c r="A156" s="2" t="s">
        <v>224</v>
      </c>
      <c r="B156" s="1">
        <v>15513203.909628799</v>
      </c>
      <c r="C156" s="1">
        <v>617.97483343502097</v>
      </c>
      <c r="D156" s="1">
        <v>102.22394330033001</v>
      </c>
      <c r="E156" s="1">
        <v>593.997803214295</v>
      </c>
      <c r="F156" s="1">
        <v>2595333.5493798102</v>
      </c>
      <c r="G156" s="1">
        <v>1630481.38578821</v>
      </c>
      <c r="H156" s="1">
        <v>2.3048203873610299E-5</v>
      </c>
      <c r="I156" s="1">
        <v>6.8200503236293095E-5</v>
      </c>
      <c r="J156" s="1">
        <v>0.471717723289031</v>
      </c>
      <c r="K156" s="1">
        <v>9005.0430614720299</v>
      </c>
      <c r="L156" s="1">
        <v>4.6429387983550402E-3</v>
      </c>
      <c r="M156" s="1">
        <v>155</v>
      </c>
      <c r="N156" s="1">
        <v>2197.0925999999999</v>
      </c>
      <c r="O156" s="3">
        <v>2.8502295699234199E-6</v>
      </c>
      <c r="P156" s="3">
        <v>5.98473400508856E-3</v>
      </c>
      <c r="Q156" s="3">
        <v>1.905E-3</v>
      </c>
      <c r="R156" s="1">
        <v>0.69596000000000002</v>
      </c>
      <c r="S156" s="4">
        <v>3712322.0219312501</v>
      </c>
      <c r="T156" s="1">
        <v>297.60162944706502</v>
      </c>
      <c r="U156" s="5">
        <v>571.79741615633895</v>
      </c>
      <c r="V156" s="1">
        <v>0.03</v>
      </c>
      <c r="W156" s="3">
        <v>61369.948965020201</v>
      </c>
      <c r="X156" s="1">
        <v>3.3953568446514801E-2</v>
      </c>
      <c r="Y156" s="1">
        <v>5.4269683375017603</v>
      </c>
      <c r="Z156" s="1">
        <v>5.4269683533117297</v>
      </c>
      <c r="AA156" s="1">
        <v>-1.5809962228274799E-8</v>
      </c>
      <c r="AB156" s="1">
        <v>1.6153509213843E-5</v>
      </c>
      <c r="AC156" s="1">
        <v>720.178934798966</v>
      </c>
      <c r="AD156" s="1">
        <v>1999.04921014402</v>
      </c>
      <c r="AE156" s="1">
        <v>571.79741735812797</v>
      </c>
      <c r="AF156" s="6">
        <v>1.2017890185234101E-6</v>
      </c>
      <c r="AG156" s="1">
        <v>1.6239787556377499E-5</v>
      </c>
      <c r="AH156" s="1">
        <v>34.491121924463599</v>
      </c>
      <c r="AI156" s="1">
        <v>0.24096903654002499</v>
      </c>
      <c r="AJ156" s="1">
        <v>34.0830808267539</v>
      </c>
      <c r="AK156" s="1">
        <v>6.0441136806122602</v>
      </c>
      <c r="AL156" s="1">
        <v>1.30194062706561</v>
      </c>
      <c r="AM156" s="1">
        <v>617.97483341704901</v>
      </c>
      <c r="AN156" s="1">
        <v>1.79717289938708E-8</v>
      </c>
      <c r="AO156" s="1">
        <v>8.6278342534492106E-8</v>
      </c>
      <c r="AP156" s="1">
        <v>2.92815542299918</v>
      </c>
      <c r="AQ156" s="1">
        <v>3.9011683604514802E-5</v>
      </c>
      <c r="AR156" s="1">
        <v>8.1630329494559803E-6</v>
      </c>
      <c r="AS156" s="1">
        <v>17.132078288702999</v>
      </c>
      <c r="AT156" s="1">
        <v>11.1547631473893</v>
      </c>
      <c r="AU156" s="1">
        <v>2.6879525284585699</v>
      </c>
      <c r="AV156" s="1">
        <v>0.240202894540606</v>
      </c>
      <c r="AW156" s="1">
        <v>1.09717247327927E-2</v>
      </c>
      <c r="AX156" s="1">
        <v>0.24020289174072099</v>
      </c>
      <c r="AY156" s="1">
        <v>2.7998851570565401E-9</v>
      </c>
      <c r="AZ156" s="1">
        <v>964852.16359160398</v>
      </c>
      <c r="BA156" s="1">
        <v>1.3322955229117199E-5</v>
      </c>
      <c r="BB156" s="4">
        <v>3711477.55755849</v>
      </c>
      <c r="BC156" s="4">
        <v>-844.464372762945</v>
      </c>
      <c r="BD156" s="7">
        <v>-2.2747605616487698E-2</v>
      </c>
      <c r="BE156" s="4">
        <v>2145121.2000000002</v>
      </c>
      <c r="BF156" s="1">
        <v>1.7301948055701899</v>
      </c>
      <c r="BG156" s="1">
        <v>1</v>
      </c>
      <c r="BH156" s="1">
        <v>-0.09</v>
      </c>
      <c r="BI156" s="1">
        <v>4.5999999999999999E-2</v>
      </c>
      <c r="BJ156" s="1">
        <v>5625</v>
      </c>
      <c r="BK156" s="1">
        <v>1</v>
      </c>
      <c r="BL156" s="1">
        <v>320.37320398795498</v>
      </c>
      <c r="BM156" s="1">
        <v>3.71147755755849</v>
      </c>
      <c r="BN156" s="1">
        <v>320.37320398795498</v>
      </c>
      <c r="BO156" s="1">
        <v>1</v>
      </c>
      <c r="BP156" s="1">
        <v>78609.133514471701</v>
      </c>
      <c r="BQ156" s="1">
        <v>1</v>
      </c>
      <c r="BR156" s="1">
        <v>0.69596000000000002</v>
      </c>
    </row>
    <row r="157" spans="1:70">
      <c r="A157" s="2" t="s">
        <v>225</v>
      </c>
      <c r="B157" s="1">
        <v>15513203.909628799</v>
      </c>
      <c r="C157" s="1">
        <v>617.97483343502097</v>
      </c>
      <c r="D157" s="1">
        <v>102.22394330033001</v>
      </c>
      <c r="E157" s="1">
        <v>593.997803214295</v>
      </c>
      <c r="F157" s="1">
        <v>2595333.5493798102</v>
      </c>
      <c r="G157" s="1">
        <v>1630481.38578821</v>
      </c>
      <c r="H157" s="1">
        <v>2.3048203873610299E-5</v>
      </c>
      <c r="I157" s="1">
        <v>6.8200503236293095E-5</v>
      </c>
      <c r="J157" s="1">
        <v>0.471717723289031</v>
      </c>
      <c r="K157" s="1">
        <v>9005.0430614720299</v>
      </c>
      <c r="L157" s="1">
        <v>4.6429387983550402E-3</v>
      </c>
      <c r="M157" s="1">
        <v>156</v>
      </c>
      <c r="N157" s="1">
        <v>2454.7763</v>
      </c>
      <c r="O157" s="3">
        <v>2.8502295699234199E-6</v>
      </c>
      <c r="P157" s="3">
        <v>5.98473400508856E-3</v>
      </c>
      <c r="Q157" s="3">
        <v>1.905E-3</v>
      </c>
      <c r="R157" s="1">
        <v>0.69596000000000002</v>
      </c>
      <c r="S157" s="4">
        <v>4097869.2867187499</v>
      </c>
      <c r="T157" s="1">
        <v>297.60162944706502</v>
      </c>
      <c r="U157" s="5">
        <v>568.50204821258103</v>
      </c>
      <c r="V157" s="1">
        <v>0.03</v>
      </c>
      <c r="W157" s="3">
        <v>68567.659028818802</v>
      </c>
      <c r="X157" s="1">
        <v>3.2271405788035702E-2</v>
      </c>
      <c r="Y157" s="1">
        <v>5.5666133634366899</v>
      </c>
      <c r="Z157" s="1">
        <v>5.56661336910736</v>
      </c>
      <c r="AA157" s="1">
        <v>-5.6706737083800404E-9</v>
      </c>
      <c r="AB157" s="1">
        <v>1.3614675770691901E-5</v>
      </c>
      <c r="AC157" s="1">
        <v>720.35473162469395</v>
      </c>
      <c r="AD157" s="1">
        <v>2177.47549110504</v>
      </c>
      <c r="AE157" s="1">
        <v>568.50204941612901</v>
      </c>
      <c r="AF157" s="6">
        <v>1.20354729915562E-6</v>
      </c>
      <c r="AG157" s="1">
        <v>1.36976855916805E-5</v>
      </c>
      <c r="AH157" s="1">
        <v>40.9229470599644</v>
      </c>
      <c r="AI157" s="1">
        <v>0.26247686576124701</v>
      </c>
      <c r="AJ157" s="1">
        <v>31.3137791713878</v>
      </c>
      <c r="AK157" s="1">
        <v>6.1313277205046299</v>
      </c>
      <c r="AL157" s="1">
        <v>1.30194062706561</v>
      </c>
      <c r="AM157" s="1">
        <v>617.974833419167</v>
      </c>
      <c r="AN157" s="1">
        <v>1.58532884597662E-8</v>
      </c>
      <c r="AO157" s="1">
        <v>8.3009820988573406E-8</v>
      </c>
      <c r="AP157" s="1">
        <v>3.0673929998221801</v>
      </c>
      <c r="AQ157" s="1">
        <v>3.5550367838739201E-5</v>
      </c>
      <c r="AR157" s="1">
        <v>6.8903477063345204E-6</v>
      </c>
      <c r="AS157" s="1">
        <v>15.7517724469662</v>
      </c>
      <c r="AT157" s="1">
        <v>10.7347644762761</v>
      </c>
      <c r="AU157" s="1">
        <v>2.8176273344181202</v>
      </c>
      <c r="AV157" s="1">
        <v>0.24976566540405901</v>
      </c>
      <c r="AW157" s="1">
        <v>9.2473079938719203E-3</v>
      </c>
      <c r="AX157" s="1">
        <v>0.249765658242872</v>
      </c>
      <c r="AY157" s="1">
        <v>7.1611870877674699E-9</v>
      </c>
      <c r="AZ157" s="1">
        <v>964852.16359160398</v>
      </c>
      <c r="BA157" s="1">
        <v>1.1589766241495699E-5</v>
      </c>
      <c r="BB157" s="4">
        <v>4104879.5169033199</v>
      </c>
      <c r="BC157" s="4">
        <v>7010.2301845704196</v>
      </c>
      <c r="BD157" s="7">
        <v>0.17107012679225</v>
      </c>
      <c r="BE157" s="4">
        <v>2492126.1</v>
      </c>
      <c r="BF157" s="1">
        <v>1.64713957167068</v>
      </c>
      <c r="BG157" s="1">
        <v>1</v>
      </c>
      <c r="BH157" s="1">
        <v>-3.1E-2</v>
      </c>
      <c r="BI157" s="1">
        <v>4.5999999999999999E-2</v>
      </c>
      <c r="BJ157" s="1">
        <v>5625</v>
      </c>
      <c r="BK157" s="1">
        <v>1</v>
      </c>
      <c r="BL157" s="1">
        <v>320.37320398795498</v>
      </c>
      <c r="BM157" s="1">
        <v>4.1048795169033196</v>
      </c>
      <c r="BN157" s="1">
        <v>320.37320398795498</v>
      </c>
      <c r="BO157" s="1">
        <v>1</v>
      </c>
      <c r="BP157" s="1">
        <v>78609.133514471701</v>
      </c>
      <c r="BQ157" s="1">
        <v>1</v>
      </c>
      <c r="BR157" s="1">
        <v>0.69596000000000002</v>
      </c>
    </row>
    <row r="158" spans="1:70">
      <c r="A158" s="2" t="s">
        <v>226</v>
      </c>
      <c r="B158" s="1">
        <v>15513203.909628799</v>
      </c>
      <c r="C158" s="1">
        <v>617.97483343502097</v>
      </c>
      <c r="D158" s="1">
        <v>102.22394330033001</v>
      </c>
      <c r="E158" s="1">
        <v>593.997803214295</v>
      </c>
      <c r="F158" s="1">
        <v>2595333.5493798102</v>
      </c>
      <c r="G158" s="1">
        <v>1630481.38578821</v>
      </c>
      <c r="H158" s="1">
        <v>2.3048203873610299E-5</v>
      </c>
      <c r="I158" s="1">
        <v>6.8200503236293095E-5</v>
      </c>
      <c r="J158" s="1">
        <v>0.471717723289031</v>
      </c>
      <c r="K158" s="1">
        <v>9005.0430614720299</v>
      </c>
      <c r="L158" s="1">
        <v>4.6429387983550402E-3</v>
      </c>
      <c r="M158" s="1">
        <v>157</v>
      </c>
      <c r="N158" s="1">
        <v>2495.4632000000001</v>
      </c>
      <c r="O158" s="3">
        <v>2.8502295699234199E-6</v>
      </c>
      <c r="P158" s="3">
        <v>5.98473400508856E-3</v>
      </c>
      <c r="Q158" s="3">
        <v>1.905E-3</v>
      </c>
      <c r="R158" s="1">
        <v>0.69596000000000002</v>
      </c>
      <c r="S158" s="4">
        <v>4136705.8414062499</v>
      </c>
      <c r="T158" s="1">
        <v>299.28719429629098</v>
      </c>
      <c r="U158" s="5">
        <v>568.296291261031</v>
      </c>
      <c r="V158" s="1">
        <v>0.03</v>
      </c>
      <c r="W158" s="3">
        <v>69704.139565208097</v>
      </c>
      <c r="X158" s="1">
        <v>3.2032461781834103E-2</v>
      </c>
      <c r="Y158" s="1">
        <v>5.5873366792250403</v>
      </c>
      <c r="Z158" s="1">
        <v>5.5873367167956198</v>
      </c>
      <c r="AA158" s="1">
        <v>-3.7570576871814898E-8</v>
      </c>
      <c r="AB158" s="1">
        <v>1.32726112596687E-5</v>
      </c>
      <c r="AC158" s="1">
        <v>719.77887078297999</v>
      </c>
      <c r="AD158" s="1">
        <v>2205.3561738366702</v>
      </c>
      <c r="AE158" s="1">
        <v>568.29629245881995</v>
      </c>
      <c r="AF158" s="6">
        <v>1.1977886060776699E-6</v>
      </c>
      <c r="AG158" s="1">
        <v>1.33542466937159E-5</v>
      </c>
      <c r="AH158" s="1">
        <v>41.977621803451598</v>
      </c>
      <c r="AI158" s="1">
        <v>0.26583765409093302</v>
      </c>
      <c r="AJ158" s="1">
        <v>30.9195489689494</v>
      </c>
      <c r="AK158" s="1">
        <v>6.10842758857431</v>
      </c>
      <c r="AL158" s="1">
        <v>1.30194062706561</v>
      </c>
      <c r="AM158" s="1">
        <v>617.97483343217198</v>
      </c>
      <c r="AN158" s="1">
        <v>2.8489921533037002E-9</v>
      </c>
      <c r="AO158" s="1">
        <v>8.1635434047215895E-8</v>
      </c>
      <c r="AP158" s="1">
        <v>3.0881940792648099</v>
      </c>
      <c r="AQ158" s="1">
        <v>3.5073069108794399E-5</v>
      </c>
      <c r="AR158" s="1">
        <v>6.7179410638815403E-6</v>
      </c>
      <c r="AS158" s="1">
        <v>15.554281155592699</v>
      </c>
      <c r="AT158" s="1">
        <v>10.671679581025501</v>
      </c>
      <c r="AU158" s="1">
        <v>2.8369342650299201</v>
      </c>
      <c r="AV158" s="1">
        <v>0.25125981423489302</v>
      </c>
      <c r="AW158" s="1">
        <v>9.0149722452664005E-3</v>
      </c>
      <c r="AX158" s="1">
        <v>0.25125980875417397</v>
      </c>
      <c r="AY158" s="1">
        <v>5.4807194338479803E-9</v>
      </c>
      <c r="AZ158" s="1">
        <v>964852.16359160398</v>
      </c>
      <c r="BA158" s="1">
        <v>1.1357145376415001E-5</v>
      </c>
      <c r="BB158" s="4">
        <v>4119600.8121533399</v>
      </c>
      <c r="BC158" s="4">
        <v>-17105.029252910499</v>
      </c>
      <c r="BD158" s="7">
        <v>-0.41349397101670099</v>
      </c>
      <c r="BE158" s="4">
        <v>2429034.2999999998</v>
      </c>
      <c r="BF158" s="1">
        <v>1.6959829723908499</v>
      </c>
      <c r="BG158" s="1">
        <v>1</v>
      </c>
      <c r="BH158" s="1">
        <v>-8.6999999999999994E-2</v>
      </c>
      <c r="BI158" s="1">
        <v>4.5999999999999999E-2</v>
      </c>
      <c r="BJ158" s="1">
        <v>5625</v>
      </c>
      <c r="BK158" s="1">
        <v>1</v>
      </c>
      <c r="BL158" s="1">
        <v>318.68763913872999</v>
      </c>
      <c r="BM158" s="1">
        <v>4.1196008121533403</v>
      </c>
      <c r="BN158" s="1">
        <v>318.68763913872999</v>
      </c>
      <c r="BO158" s="1">
        <v>1</v>
      </c>
      <c r="BP158" s="1">
        <v>77666.800208718705</v>
      </c>
      <c r="BQ158" s="1">
        <v>1</v>
      </c>
      <c r="BR158" s="1">
        <v>0.69596000000000002</v>
      </c>
    </row>
    <row r="159" spans="1:70">
      <c r="A159" s="2" t="s">
        <v>227</v>
      </c>
      <c r="B159" s="1">
        <v>15513203.909628799</v>
      </c>
      <c r="C159" s="1">
        <v>617.97483343502097</v>
      </c>
      <c r="D159" s="1">
        <v>102.22394330033001</v>
      </c>
      <c r="E159" s="1">
        <v>593.997803214295</v>
      </c>
      <c r="F159" s="1">
        <v>2595333.5493798102</v>
      </c>
      <c r="G159" s="1">
        <v>1630481.38578821</v>
      </c>
      <c r="H159" s="1">
        <v>2.3048203873610299E-5</v>
      </c>
      <c r="I159" s="1">
        <v>6.8200503236293095E-5</v>
      </c>
      <c r="J159" s="1">
        <v>0.471717723289031</v>
      </c>
      <c r="K159" s="1">
        <v>9005.0430614720299</v>
      </c>
      <c r="L159" s="1">
        <v>4.6429387983550402E-3</v>
      </c>
      <c r="M159" s="1">
        <v>158</v>
      </c>
      <c r="N159" s="1">
        <v>3065.0798</v>
      </c>
      <c r="O159" s="3">
        <v>2.8502295699234199E-6</v>
      </c>
      <c r="P159" s="3">
        <v>5.98473400508856E-3</v>
      </c>
      <c r="Q159" s="3">
        <v>1.905E-3</v>
      </c>
      <c r="R159" s="1">
        <v>0.69596000000000002</v>
      </c>
      <c r="S159" s="4">
        <v>4954920.55078125</v>
      </c>
      <c r="T159" s="1">
        <v>297.60162944706502</v>
      </c>
      <c r="U159" s="5">
        <v>559.93793981014801</v>
      </c>
      <c r="V159" s="1">
        <v>0.03</v>
      </c>
      <c r="W159" s="3">
        <v>85614.867074657697</v>
      </c>
      <c r="X159" s="1">
        <v>2.92516122202446E-2</v>
      </c>
      <c r="Y159" s="1">
        <v>5.84689232788807</v>
      </c>
      <c r="Z159" s="1">
        <v>5.8468923760100697</v>
      </c>
      <c r="AA159" s="1">
        <v>-4.8121992612948401E-8</v>
      </c>
      <c r="AB159" s="1">
        <v>9.6341998605828001E-6</v>
      </c>
      <c r="AC159" s="1">
        <v>717.52337276572803</v>
      </c>
      <c r="AD159" s="1">
        <v>2588.5055549133999</v>
      </c>
      <c r="AE159" s="1">
        <v>559.93794098538206</v>
      </c>
      <c r="AF159" s="6">
        <v>1.1752337059078899E-6</v>
      </c>
      <c r="AG159" s="1">
        <v>9.7108609667429797E-6</v>
      </c>
      <c r="AH159" s="1">
        <v>57.830713901019401</v>
      </c>
      <c r="AI159" s="1">
        <v>0.31202317905973298</v>
      </c>
      <c r="AJ159" s="1">
        <v>26.390149664468201</v>
      </c>
      <c r="AK159" s="1">
        <v>6.2522339767117003</v>
      </c>
      <c r="AL159" s="1">
        <v>1.30194062706561</v>
      </c>
      <c r="AM159" s="1">
        <v>617.97483343534202</v>
      </c>
      <c r="AN159" s="1">
        <v>-3.2162006391445201E-10</v>
      </c>
      <c r="AO159" s="1">
        <v>7.6661106160181304E-8</v>
      </c>
      <c r="AP159" s="1">
        <v>3.35676885825939</v>
      </c>
      <c r="AQ159" s="1">
        <v>2.9685206069352799E-5</v>
      </c>
      <c r="AR159" s="1">
        <v>4.8937610364515797E-6</v>
      </c>
      <c r="AS159" s="1">
        <v>13.299241603437</v>
      </c>
      <c r="AT159" s="1">
        <v>9.88853505651951</v>
      </c>
      <c r="AU159" s="1">
        <v>3.0854521445788299</v>
      </c>
      <c r="AV159" s="1">
        <v>0.27131671368055699</v>
      </c>
      <c r="AW159" s="1">
        <v>6.5437043735636097E-3</v>
      </c>
      <c r="AX159" s="1">
        <v>0.27131670551443898</v>
      </c>
      <c r="AY159" s="1">
        <v>8.1661179485159607E-9</v>
      </c>
      <c r="AZ159" s="1">
        <v>964852.16359160398</v>
      </c>
      <c r="BA159" s="1">
        <v>8.8433869958939402E-6</v>
      </c>
      <c r="BB159" s="4">
        <v>4968234.2536733299</v>
      </c>
      <c r="BC159" s="4">
        <v>13313.7028920799</v>
      </c>
      <c r="BD159" s="7">
        <v>0.26869659675937202</v>
      </c>
      <c r="BE159" s="4">
        <v>2996860.5</v>
      </c>
      <c r="BF159" s="1">
        <v>1.6578129858474699</v>
      </c>
      <c r="BG159" s="1">
        <v>1</v>
      </c>
      <c r="BH159" s="1">
        <v>-8.7999999999999995E-2</v>
      </c>
      <c r="BI159" s="1">
        <v>4.5999999999999999E-2</v>
      </c>
      <c r="BJ159" s="1">
        <v>5625</v>
      </c>
      <c r="BK159" s="1">
        <v>1</v>
      </c>
      <c r="BL159" s="1">
        <v>320.37320398795498</v>
      </c>
      <c r="BM159" s="1">
        <v>4.9682342536733302</v>
      </c>
      <c r="BN159" s="1">
        <v>320.37320398795498</v>
      </c>
      <c r="BO159" s="1">
        <v>1</v>
      </c>
      <c r="BP159" s="1">
        <v>78609.133514471701</v>
      </c>
      <c r="BQ159" s="1">
        <v>1</v>
      </c>
      <c r="BR159" s="1">
        <v>0.69596000000000002</v>
      </c>
    </row>
    <row r="160" spans="1:70">
      <c r="A160" s="2" t="s">
        <v>228</v>
      </c>
      <c r="B160" s="1">
        <v>15513203.909628799</v>
      </c>
      <c r="C160" s="1">
        <v>617.97483343502097</v>
      </c>
      <c r="D160" s="1">
        <v>102.22394330033001</v>
      </c>
      <c r="E160" s="1">
        <v>593.997803214295</v>
      </c>
      <c r="F160" s="1">
        <v>2595333.5493798102</v>
      </c>
      <c r="G160" s="1">
        <v>1630481.38578821</v>
      </c>
      <c r="H160" s="1">
        <v>2.3048203873610299E-5</v>
      </c>
      <c r="I160" s="1">
        <v>6.8200503236293095E-5</v>
      </c>
      <c r="J160" s="1">
        <v>0.471717723289031</v>
      </c>
      <c r="K160" s="1">
        <v>9005.0430614720299</v>
      </c>
      <c r="L160" s="1">
        <v>4.6429387983550402E-3</v>
      </c>
      <c r="M160" s="1">
        <v>159</v>
      </c>
      <c r="N160" s="1">
        <v>3173.5781999999999</v>
      </c>
      <c r="O160" s="3">
        <v>2.8502295699234199E-6</v>
      </c>
      <c r="P160" s="3">
        <v>5.98473400508856E-3</v>
      </c>
      <c r="Q160" s="3">
        <v>1.905E-3</v>
      </c>
      <c r="R160" s="1">
        <v>0.69596000000000002</v>
      </c>
      <c r="S160" s="4">
        <v>5110644.04296875</v>
      </c>
      <c r="T160" s="1">
        <v>297.03976193416099</v>
      </c>
      <c r="U160" s="5">
        <v>558.37015757476195</v>
      </c>
      <c r="V160" s="1">
        <v>0.03</v>
      </c>
      <c r="W160" s="3">
        <v>88645.481838362393</v>
      </c>
      <c r="X160" s="1">
        <v>2.8816656506257102E-2</v>
      </c>
      <c r="Y160" s="1">
        <v>5.8908532659419297</v>
      </c>
      <c r="Z160" s="1">
        <v>5.8908532754526899</v>
      </c>
      <c r="AA160" s="1">
        <v>-9.5107628439450293E-9</v>
      </c>
      <c r="AB160" s="1">
        <v>9.1223563377912495E-6</v>
      </c>
      <c r="AC160" s="1">
        <v>717.06123854595205</v>
      </c>
      <c r="AD160" s="1">
        <v>2660.13336692034</v>
      </c>
      <c r="AE160" s="1">
        <v>558.37015874537406</v>
      </c>
      <c r="AF160" s="6">
        <v>1.1706123359545001E-6</v>
      </c>
      <c r="AG160" s="1">
        <v>9.1977920845103E-6</v>
      </c>
      <c r="AH160" s="1">
        <v>61.075519873575303</v>
      </c>
      <c r="AI160" s="1">
        <v>0.32065732611384001</v>
      </c>
      <c r="AJ160" s="1">
        <v>25.687510368505599</v>
      </c>
      <c r="AK160" s="1">
        <v>6.2788993110418003</v>
      </c>
      <c r="AL160" s="1">
        <v>1.30194062706561</v>
      </c>
      <c r="AM160" s="1">
        <v>617.97483342798398</v>
      </c>
      <c r="AN160" s="1">
        <v>7.0365331339417001E-9</v>
      </c>
      <c r="AO160" s="1">
        <v>7.5435746719053899E-8</v>
      </c>
      <c r="AP160" s="1">
        <v>3.4030833130258</v>
      </c>
      <c r="AQ160" s="1">
        <v>2.8882699383155101E-5</v>
      </c>
      <c r="AR160" s="1">
        <v>4.6366139156146803E-6</v>
      </c>
      <c r="AS160" s="1">
        <v>12.949093319111601</v>
      </c>
      <c r="AT160" s="1">
        <v>9.7551288586311706</v>
      </c>
      <c r="AU160" s="1">
        <v>3.12805353570463</v>
      </c>
      <c r="AV160" s="1">
        <v>0.27502977732117201</v>
      </c>
      <c r="AW160" s="1">
        <v>6.1960519740763701E-3</v>
      </c>
      <c r="AX160" s="1">
        <v>0.27502976666002898</v>
      </c>
      <c r="AY160" s="1">
        <v>1.0661143134971201E-8</v>
      </c>
      <c r="AZ160" s="1">
        <v>964852.16359160398</v>
      </c>
      <c r="BA160" s="1">
        <v>8.4872148949755006E-6</v>
      </c>
      <c r="BB160" s="4">
        <v>5093984.3804122098</v>
      </c>
      <c r="BC160" s="4">
        <v>-16659.662556536499</v>
      </c>
      <c r="BD160" s="7">
        <v>-0.32597970855467701</v>
      </c>
      <c r="BE160" s="4">
        <v>3091498.2</v>
      </c>
      <c r="BF160" s="1">
        <v>1.6477397206352</v>
      </c>
      <c r="BG160" s="1">
        <v>1</v>
      </c>
      <c r="BH160" s="1">
        <v>-9.6000000000000002E-2</v>
      </c>
      <c r="BI160" s="1">
        <v>4.5999999999999999E-2</v>
      </c>
      <c r="BJ160" s="1">
        <v>5625</v>
      </c>
      <c r="BK160" s="1">
        <v>1</v>
      </c>
      <c r="BL160" s="1">
        <v>320.93507150085998</v>
      </c>
      <c r="BM160" s="1">
        <v>5.09398438041221</v>
      </c>
      <c r="BN160" s="1">
        <v>320.93507150085998</v>
      </c>
      <c r="BO160" s="1">
        <v>1</v>
      </c>
      <c r="BP160" s="1">
        <v>78924.514399193096</v>
      </c>
      <c r="BQ160" s="1">
        <v>1</v>
      </c>
      <c r="BR160" s="1">
        <v>0.69596000000000002</v>
      </c>
    </row>
    <row r="161" spans="1:70">
      <c r="A161" s="2" t="s">
        <v>229</v>
      </c>
      <c r="B161" s="1">
        <v>15513203.909628799</v>
      </c>
      <c r="C161" s="1">
        <v>617.97483343502097</v>
      </c>
      <c r="D161" s="1">
        <v>102.22394330033001</v>
      </c>
      <c r="E161" s="1">
        <v>593.997803214295</v>
      </c>
      <c r="F161" s="1">
        <v>2595333.5493798102</v>
      </c>
      <c r="G161" s="1">
        <v>1630481.38578821</v>
      </c>
      <c r="H161" s="1">
        <v>2.3048203873610299E-5</v>
      </c>
      <c r="I161" s="1">
        <v>6.8200503236293095E-5</v>
      </c>
      <c r="J161" s="1">
        <v>0.471717723289031</v>
      </c>
      <c r="K161" s="1">
        <v>9005.0430614720299</v>
      </c>
      <c r="L161" s="1">
        <v>4.6429387983550402E-3</v>
      </c>
      <c r="M161" s="1">
        <v>160</v>
      </c>
      <c r="N161" s="1">
        <v>3688.9456</v>
      </c>
      <c r="O161" s="3">
        <v>2.8502295699234199E-6</v>
      </c>
      <c r="P161" s="3">
        <v>5.98473400508856E-3</v>
      </c>
      <c r="Q161" s="3">
        <v>1.905E-3</v>
      </c>
      <c r="R161" s="1">
        <v>0.69596000000000002</v>
      </c>
      <c r="S161" s="4">
        <v>5747924.19921875</v>
      </c>
      <c r="T161" s="1">
        <v>299.79285116759797</v>
      </c>
      <c r="U161" s="5">
        <v>552.64827756438501</v>
      </c>
      <c r="V161" s="1">
        <v>0.03</v>
      </c>
      <c r="W161" s="3">
        <v>103040.90196596</v>
      </c>
      <c r="X161" s="1">
        <v>2.7042139441522301E-2</v>
      </c>
      <c r="Y161" s="1">
        <v>6.0810626264231198</v>
      </c>
      <c r="Z161" s="1">
        <v>6.0810626347094399</v>
      </c>
      <c r="AA161" s="1">
        <v>-8.2863165218327595E-9</v>
      </c>
      <c r="AB161" s="1">
        <v>7.1945474511830199E-6</v>
      </c>
      <c r="AC161" s="1">
        <v>713.16603775011504</v>
      </c>
      <c r="AD161" s="1">
        <v>2995.4024894891299</v>
      </c>
      <c r="AE161" s="1">
        <v>552.64827869604505</v>
      </c>
      <c r="AF161" s="6">
        <v>1.13166015580646E-6</v>
      </c>
      <c r="AG161" s="1">
        <v>7.2656645744083997E-6</v>
      </c>
      <c r="AH161" s="1">
        <v>77.440959224056598</v>
      </c>
      <c r="AI161" s="1">
        <v>0.36107127742482398</v>
      </c>
      <c r="AJ161" s="1">
        <v>22.848913127533699</v>
      </c>
      <c r="AK161" s="1">
        <v>6.2766619225739904</v>
      </c>
      <c r="AL161" s="1">
        <v>1.30194062706561</v>
      </c>
      <c r="AM161" s="1">
        <v>617.97483340516396</v>
      </c>
      <c r="AN161" s="1">
        <v>2.9856778382964E-8</v>
      </c>
      <c r="AO161" s="1">
        <v>7.1117123225373905E-8</v>
      </c>
      <c r="AP161" s="1">
        <v>3.6059926570815799</v>
      </c>
      <c r="AQ161" s="1">
        <v>2.57236899834145E-5</v>
      </c>
      <c r="AR161" s="1">
        <v>3.66839084881688E-6</v>
      </c>
      <c r="AS161" s="1">
        <v>11.5362803999635</v>
      </c>
      <c r="AT161" s="1">
        <v>9.1774844338137704</v>
      </c>
      <c r="AU161" s="1">
        <v>3.3137260280635701</v>
      </c>
      <c r="AV161" s="1">
        <v>0.29226662901800399</v>
      </c>
      <c r="AW161" s="1">
        <v>4.8866529969692103E-3</v>
      </c>
      <c r="AX161" s="1">
        <v>0.29226662161707001</v>
      </c>
      <c r="AY161" s="1">
        <v>7.4009345318870601E-9</v>
      </c>
      <c r="AZ161" s="1">
        <v>964852.16359160398</v>
      </c>
      <c r="BA161" s="1">
        <v>7.13359466578429E-6</v>
      </c>
      <c r="BB161" s="4">
        <v>5713620.1645578695</v>
      </c>
      <c r="BC161" s="4">
        <v>-34304.0346608814</v>
      </c>
      <c r="BD161" s="7">
        <v>-0.59680735987339495</v>
      </c>
      <c r="BE161" s="4">
        <v>3523677.03</v>
      </c>
      <c r="BF161" s="1">
        <v>1.62149371690795</v>
      </c>
      <c r="BG161" s="1">
        <v>1</v>
      </c>
      <c r="BH161" s="1">
        <v>-4.3999999999999997E-2</v>
      </c>
      <c r="BI161" s="1">
        <v>4.5999999999999999E-2</v>
      </c>
      <c r="BJ161" s="1">
        <v>5625</v>
      </c>
      <c r="BK161" s="1">
        <v>1</v>
      </c>
      <c r="BL161" s="1">
        <v>318.181982267423</v>
      </c>
      <c r="BM161" s="1">
        <v>5.7136201645578701</v>
      </c>
      <c r="BN161" s="1">
        <v>318.181982267423</v>
      </c>
      <c r="BO161" s="1">
        <v>1</v>
      </c>
      <c r="BP161" s="1">
        <v>77385.215258232594</v>
      </c>
      <c r="BQ161" s="1">
        <v>1</v>
      </c>
      <c r="BR161" s="1">
        <v>0.69596000000000002</v>
      </c>
    </row>
    <row r="162" spans="1:70">
      <c r="A162" s="2" t="s">
        <v>230</v>
      </c>
      <c r="B162" s="1">
        <v>15513203.909628799</v>
      </c>
      <c r="C162" s="1">
        <v>617.97483343502097</v>
      </c>
      <c r="D162" s="1">
        <v>102.22394330033001</v>
      </c>
      <c r="E162" s="1">
        <v>593.997803214295</v>
      </c>
      <c r="F162" s="1">
        <v>2595333.5493798102</v>
      </c>
      <c r="G162" s="1">
        <v>1630481.38578821</v>
      </c>
      <c r="H162" s="1">
        <v>2.3048203873610299E-5</v>
      </c>
      <c r="I162" s="1">
        <v>6.8200503236293095E-5</v>
      </c>
      <c r="J162" s="1">
        <v>0.471717723289031</v>
      </c>
      <c r="K162" s="1">
        <v>9005.0430614720299</v>
      </c>
      <c r="L162" s="1">
        <v>4.6429387983550402E-3</v>
      </c>
      <c r="M162" s="1">
        <v>161</v>
      </c>
      <c r="N162" s="1">
        <v>3743.1948000000002</v>
      </c>
      <c r="O162" s="3">
        <v>2.8502295699234199E-6</v>
      </c>
      <c r="P162" s="3">
        <v>5.98473400508856E-3</v>
      </c>
      <c r="Q162" s="3">
        <v>1.905E-3</v>
      </c>
      <c r="R162" s="1">
        <v>0.69596000000000002</v>
      </c>
      <c r="S162" s="4">
        <v>5818430.76171875</v>
      </c>
      <c r="T162" s="1">
        <v>299.79285116759797</v>
      </c>
      <c r="U162" s="5">
        <v>552.04039063001903</v>
      </c>
      <c r="V162" s="1">
        <v>0.03</v>
      </c>
      <c r="W162" s="3">
        <v>104556.20934781199</v>
      </c>
      <c r="X162" s="1">
        <v>2.6878779410128499E-2</v>
      </c>
      <c r="Y162" s="1">
        <v>6.0995139434554897</v>
      </c>
      <c r="Z162" s="1">
        <v>6.0995139494937103</v>
      </c>
      <c r="AA162" s="1">
        <v>-6.0382214783771798E-9</v>
      </c>
      <c r="AB162" s="1">
        <v>7.0299887495018698E-6</v>
      </c>
      <c r="AC162" s="1">
        <v>712.86880973518805</v>
      </c>
      <c r="AD162" s="1">
        <v>3030.2580390165499</v>
      </c>
      <c r="AE162" s="1">
        <v>552.04039175870696</v>
      </c>
      <c r="AF162" s="6">
        <v>1.1286879271210601E-6</v>
      </c>
      <c r="AG162" s="1">
        <v>7.1016910830762296E-6</v>
      </c>
      <c r="AH162" s="1">
        <v>79.253705184390796</v>
      </c>
      <c r="AI162" s="1">
        <v>0.36527282891494101</v>
      </c>
      <c r="AJ162" s="1">
        <v>22.593130178586801</v>
      </c>
      <c r="AK162" s="1">
        <v>6.28163167424003</v>
      </c>
      <c r="AL162" s="1">
        <v>1.30194062706561</v>
      </c>
      <c r="AM162" s="1">
        <v>617.97483335695802</v>
      </c>
      <c r="AN162" s="1">
        <v>7.8062385000521304E-8</v>
      </c>
      <c r="AO162" s="1">
        <v>7.1702333574359905E-8</v>
      </c>
      <c r="AP162" s="1">
        <v>3.6262950232636801</v>
      </c>
      <c r="AQ162" s="1">
        <v>2.5436460280853899E-5</v>
      </c>
      <c r="AR162" s="1">
        <v>3.5866967083252901E-6</v>
      </c>
      <c r="AS162" s="1">
        <v>11.4106210329837</v>
      </c>
      <c r="AT162" s="1">
        <v>9.1227229561285608</v>
      </c>
      <c r="AU162" s="1">
        <v>3.3322828215923499</v>
      </c>
      <c r="AV162" s="1">
        <v>0.29401220167133402</v>
      </c>
      <c r="AW162" s="1">
        <v>4.7748820651345204E-3</v>
      </c>
      <c r="AX162" s="1">
        <v>0.29401219826097202</v>
      </c>
      <c r="AY162" s="1">
        <v>3.41036227036184E-9</v>
      </c>
      <c r="AZ162" s="1">
        <v>964852.16359160398</v>
      </c>
      <c r="BA162" s="1">
        <v>7.0144486639040698E-6</v>
      </c>
      <c r="BB162" s="4">
        <v>5858485.5475920299</v>
      </c>
      <c r="BC162" s="4">
        <v>40054.785873280802</v>
      </c>
      <c r="BD162" s="7">
        <v>0.68841217698788504</v>
      </c>
      <c r="BE162" s="4">
        <v>3722416.2</v>
      </c>
      <c r="BF162" s="1">
        <v>1.57383947222023</v>
      </c>
      <c r="BG162" s="1">
        <v>1</v>
      </c>
      <c r="BH162" s="1">
        <v>-0.06</v>
      </c>
      <c r="BI162" s="1">
        <v>4.5999999999999999E-2</v>
      </c>
      <c r="BJ162" s="1">
        <v>5625</v>
      </c>
      <c r="BK162" s="1">
        <v>1</v>
      </c>
      <c r="BL162" s="1">
        <v>318.181982267423</v>
      </c>
      <c r="BM162" s="1">
        <v>5.8584855475920303</v>
      </c>
      <c r="BN162" s="1">
        <v>318.181982267423</v>
      </c>
      <c r="BO162" s="1">
        <v>1</v>
      </c>
      <c r="BP162" s="1">
        <v>77385.215258232594</v>
      </c>
      <c r="BQ162" s="1">
        <v>1</v>
      </c>
      <c r="BR162" s="1">
        <v>0.69596000000000002</v>
      </c>
    </row>
    <row r="163" spans="1:70">
      <c r="A163" s="2" t="s">
        <v>231</v>
      </c>
      <c r="B163" s="1">
        <v>15513203.909628799</v>
      </c>
      <c r="C163" s="1">
        <v>617.97483343502097</v>
      </c>
      <c r="D163" s="1">
        <v>102.22394330033001</v>
      </c>
      <c r="E163" s="1">
        <v>593.997803214295</v>
      </c>
      <c r="F163" s="1">
        <v>2595333.5493798102</v>
      </c>
      <c r="G163" s="1">
        <v>1630481.38578821</v>
      </c>
      <c r="H163" s="1">
        <v>2.3048203873610299E-5</v>
      </c>
      <c r="I163" s="1">
        <v>6.8200503236293095E-5</v>
      </c>
      <c r="J163" s="1">
        <v>0.471717723289031</v>
      </c>
      <c r="K163" s="1">
        <v>9005.0430614720299</v>
      </c>
      <c r="L163" s="1">
        <v>4.6429387983550402E-3</v>
      </c>
      <c r="M163" s="1">
        <v>162</v>
      </c>
      <c r="N163" s="1">
        <v>3878.8177999999998</v>
      </c>
      <c r="O163" s="3">
        <v>2.8502295699234199E-6</v>
      </c>
      <c r="P163" s="3">
        <v>5.98473400508856E-3</v>
      </c>
      <c r="Q163" s="3">
        <v>1.905E-3</v>
      </c>
      <c r="R163" s="1">
        <v>0.69596000000000002</v>
      </c>
      <c r="S163" s="4">
        <v>5983178.7109375</v>
      </c>
      <c r="T163" s="1">
        <v>300.35468451217503</v>
      </c>
      <c r="U163" s="5">
        <v>550.67499673512805</v>
      </c>
      <c r="V163" s="1">
        <v>0.03</v>
      </c>
      <c r="W163" s="3">
        <v>108344.477802443</v>
      </c>
      <c r="X163" s="1">
        <v>2.6486711415857098E-2</v>
      </c>
      <c r="Y163" s="1">
        <v>6.1444919577194002</v>
      </c>
      <c r="Z163" s="1">
        <v>6.14449198407703</v>
      </c>
      <c r="AA163" s="1">
        <v>-2.6357624527406599E-8</v>
      </c>
      <c r="AB163" s="1">
        <v>6.6438869072487296E-6</v>
      </c>
      <c r="AC163" s="1">
        <v>711.93507646885996</v>
      </c>
      <c r="AD163" s="1">
        <v>3117.0646607314402</v>
      </c>
      <c r="AE163" s="1">
        <v>550.67499673512805</v>
      </c>
      <c r="AF163" s="6">
        <v>0</v>
      </c>
      <c r="AG163" s="1">
        <v>6.7140034023537403E-6</v>
      </c>
      <c r="AH163" s="1">
        <v>83.859443061068802</v>
      </c>
      <c r="AI163" s="1">
        <v>0.37573665736587902</v>
      </c>
      <c r="AJ163" s="1">
        <v>21.971635419955401</v>
      </c>
      <c r="AK163" s="1">
        <v>6.2809935031933799</v>
      </c>
      <c r="AL163" s="1">
        <v>1.30194062706561</v>
      </c>
      <c r="AM163" s="1">
        <v>617.97483348010803</v>
      </c>
      <c r="AN163" s="1">
        <v>-4.5087404032528899E-8</v>
      </c>
      <c r="AO163" s="1">
        <v>7.01164951050175E-8</v>
      </c>
      <c r="AP163" s="1">
        <v>3.67445400065905</v>
      </c>
      <c r="AQ163" s="1">
        <v>2.4774067301422899E-5</v>
      </c>
      <c r="AR163" s="1">
        <v>3.3920599487293801E-6</v>
      </c>
      <c r="AS163" s="1">
        <v>11.1005461346634</v>
      </c>
      <c r="AT163" s="1">
        <v>8.9849715421448408</v>
      </c>
      <c r="AU163" s="1">
        <v>3.3759831737730499</v>
      </c>
      <c r="AV163" s="1">
        <v>0.29847082688600601</v>
      </c>
      <c r="AW163" s="1">
        <v>4.5126354488763502E-3</v>
      </c>
      <c r="AX163" s="1">
        <v>0.298470812330007</v>
      </c>
      <c r="AY163" s="1">
        <v>1.45559994613187E-8</v>
      </c>
      <c r="AZ163" s="1">
        <v>964852.16359160398</v>
      </c>
      <c r="BA163" s="1">
        <v>6.7422445067973103E-6</v>
      </c>
      <c r="BB163" s="4">
        <v>5960206.60978912</v>
      </c>
      <c r="BC163" s="4">
        <v>-22972.101148375299</v>
      </c>
      <c r="BD163" s="7">
        <v>-0.383944760105215</v>
      </c>
      <c r="BE163" s="4">
        <v>3753962.1</v>
      </c>
      <c r="BF163" s="1">
        <v>1.58771091743018</v>
      </c>
      <c r="BG163" s="1">
        <v>1</v>
      </c>
      <c r="BH163" s="1">
        <v>-0.105</v>
      </c>
      <c r="BI163" s="1">
        <v>4.5999999999999999E-2</v>
      </c>
      <c r="BJ163" s="1">
        <v>5625</v>
      </c>
      <c r="BK163" s="1">
        <v>1</v>
      </c>
      <c r="BL163" s="1">
        <v>317.62014892284498</v>
      </c>
      <c r="BM163" s="1">
        <v>5.96020660978912</v>
      </c>
      <c r="BN163" s="1">
        <v>317.62014892284498</v>
      </c>
      <c r="BO163" s="1">
        <v>1</v>
      </c>
      <c r="BP163" s="1">
        <v>77072.947087942899</v>
      </c>
      <c r="BQ163" s="1">
        <v>1</v>
      </c>
      <c r="BR163" s="1">
        <v>0.69596000000000002</v>
      </c>
    </row>
    <row r="164" spans="1:70">
      <c r="A164" s="2" t="s">
        <v>232</v>
      </c>
      <c r="B164" s="1">
        <v>17236893.2329209</v>
      </c>
      <c r="C164" s="1">
        <v>626.57723583796803</v>
      </c>
      <c r="D164" s="1">
        <v>122.583590976701</v>
      </c>
      <c r="E164" s="1">
        <v>560.26337686439001</v>
      </c>
      <c r="F164" s="1">
        <v>2538890.6454807199</v>
      </c>
      <c r="G164" s="1">
        <v>1699798.64659754</v>
      </c>
      <c r="H164" s="1">
        <v>2.4290890628326198E-5</v>
      </c>
      <c r="I164" s="1">
        <v>6.4066005508525405E-5</v>
      </c>
      <c r="J164" s="1">
        <v>0.452884810527584</v>
      </c>
      <c r="K164" s="1">
        <v>11219.515372648901</v>
      </c>
      <c r="L164" s="1">
        <v>3.02925386118211E-3</v>
      </c>
      <c r="M164" s="1">
        <v>163</v>
      </c>
      <c r="N164" s="1">
        <v>1939.4088999999999</v>
      </c>
      <c r="O164" s="3">
        <v>2.8502295699234199E-6</v>
      </c>
      <c r="P164" s="3">
        <v>5.98473400508856E-3</v>
      </c>
      <c r="Q164" s="3">
        <v>1.905E-3</v>
      </c>
      <c r="R164" s="1">
        <v>0.15240000000000001</v>
      </c>
      <c r="S164" s="4">
        <v>2969197.51953125</v>
      </c>
      <c r="T164" s="1">
        <v>544.38778847281696</v>
      </c>
      <c r="U164" s="5">
        <v>588.05400713064</v>
      </c>
      <c r="V164" s="1">
        <v>0.03</v>
      </c>
      <c r="W164" s="3">
        <v>57668.242700231298</v>
      </c>
      <c r="X164" s="1">
        <v>3.23577851042662E-2</v>
      </c>
      <c r="Y164" s="1">
        <v>5.5591783430067503</v>
      </c>
      <c r="Z164" s="1">
        <v>5.5591783497804901</v>
      </c>
      <c r="AA164" s="1">
        <v>-6.7737451203697699E-9</v>
      </c>
      <c r="AB164" s="1">
        <v>1.33869481952576E-5</v>
      </c>
      <c r="AC164" s="1">
        <v>708.54185219529404</v>
      </c>
      <c r="AD164" s="1">
        <v>1833.7964244186401</v>
      </c>
      <c r="AE164" s="1">
        <v>588.05400821605895</v>
      </c>
      <c r="AF164" s="6">
        <v>1.0854184893105399E-6</v>
      </c>
      <c r="AG164" s="1">
        <v>1.3476379513417701E-5</v>
      </c>
      <c r="AH164" s="1">
        <v>27.154095021494701</v>
      </c>
      <c r="AI164" s="1">
        <v>0.22015144959273</v>
      </c>
      <c r="AJ164" s="1">
        <v>25.945340226576299</v>
      </c>
      <c r="AK164" s="1">
        <v>4.5263556408070702</v>
      </c>
      <c r="AL164" s="1">
        <v>1.5871354414155801</v>
      </c>
      <c r="AM164" s="1">
        <v>626.577235785639</v>
      </c>
      <c r="AN164" s="1">
        <v>5.2328914534882603E-8</v>
      </c>
      <c r="AO164" s="1">
        <v>8.9431318160036503E-8</v>
      </c>
      <c r="AP164" s="1">
        <v>2.3766704722242502</v>
      </c>
      <c r="AQ164" s="1">
        <v>3.35024377314865E-5</v>
      </c>
      <c r="AR164" s="1">
        <v>6.7829054157888602E-6</v>
      </c>
      <c r="AS164" s="1">
        <v>13.0587587387332</v>
      </c>
      <c r="AT164" s="1">
        <v>9.7972953817769994</v>
      </c>
      <c r="AU164" s="1">
        <v>2.1568887803863599</v>
      </c>
      <c r="AV164" s="1">
        <v>0.21978169183788601</v>
      </c>
      <c r="AW164" s="1">
        <v>1.0619737236195401E-2</v>
      </c>
      <c r="AX164" s="1">
        <v>0.21978167647482599</v>
      </c>
      <c r="AY164" s="1">
        <v>1.5363060268391799E-8</v>
      </c>
      <c r="AZ164" s="1">
        <v>839091.99888317997</v>
      </c>
      <c r="BA164" s="1">
        <v>1.4096374791130701E-5</v>
      </c>
      <c r="BB164" s="4">
        <v>2982524.4208808099</v>
      </c>
      <c r="BC164" s="4">
        <v>13326.901349564499</v>
      </c>
      <c r="BD164" s="7">
        <v>0.44883849127249997</v>
      </c>
      <c r="BE164" s="4">
        <v>2839131</v>
      </c>
      <c r="BF164" s="1">
        <v>1.0505060953090299</v>
      </c>
      <c r="BG164" s="1">
        <v>1</v>
      </c>
      <c r="BH164" s="1">
        <v>-5.0999999999999997E-2</v>
      </c>
      <c r="BI164" s="1">
        <v>4.5999999999999999E-2</v>
      </c>
      <c r="BJ164" s="1">
        <v>5625</v>
      </c>
      <c r="BK164" s="1">
        <v>1</v>
      </c>
      <c r="BL164" s="1">
        <v>82.189447365151096</v>
      </c>
      <c r="BM164" s="1">
        <v>2.9825244208808099</v>
      </c>
      <c r="BN164" s="1">
        <v>82.189447365151096</v>
      </c>
      <c r="BO164" s="1">
        <v>1</v>
      </c>
      <c r="BP164" s="1">
        <v>1779.9494689768501</v>
      </c>
      <c r="BQ164" s="1">
        <v>1</v>
      </c>
      <c r="BR164" s="1">
        <v>0.15240000000000001</v>
      </c>
    </row>
    <row r="165" spans="1:70">
      <c r="A165" s="2" t="s">
        <v>233</v>
      </c>
      <c r="B165" s="1">
        <v>17236893.2329209</v>
      </c>
      <c r="C165" s="1">
        <v>626.57723583796803</v>
      </c>
      <c r="D165" s="1">
        <v>122.583590976701</v>
      </c>
      <c r="E165" s="1">
        <v>560.26337686439001</v>
      </c>
      <c r="F165" s="1">
        <v>2538890.6454807199</v>
      </c>
      <c r="G165" s="1">
        <v>1699798.64659754</v>
      </c>
      <c r="H165" s="1">
        <v>2.4290890628326198E-5</v>
      </c>
      <c r="I165" s="1">
        <v>6.4066005508525405E-5</v>
      </c>
      <c r="J165" s="1">
        <v>0.452884810527584</v>
      </c>
      <c r="K165" s="1">
        <v>11219.515372648901</v>
      </c>
      <c r="L165" s="1">
        <v>3.02925386118211E-3</v>
      </c>
      <c r="M165" s="1">
        <v>164</v>
      </c>
      <c r="N165" s="1">
        <v>1952.9712</v>
      </c>
      <c r="O165" s="3">
        <v>2.8502295699234199E-6</v>
      </c>
      <c r="P165" s="3">
        <v>5.98473400508856E-3</v>
      </c>
      <c r="Q165" s="3">
        <v>1.905E-3</v>
      </c>
      <c r="R165" s="1">
        <v>0.15240000000000001</v>
      </c>
      <c r="S165" s="4">
        <v>3088448.73046875</v>
      </c>
      <c r="T165" s="1">
        <v>541.02055212223797</v>
      </c>
      <c r="U165" s="5">
        <v>586.12511078669399</v>
      </c>
      <c r="V165" s="1">
        <v>0.03</v>
      </c>
      <c r="W165" s="3">
        <v>58071.517124708502</v>
      </c>
      <c r="X165" s="1">
        <v>3.22567249257062E-2</v>
      </c>
      <c r="Y165" s="1">
        <v>5.5678799735499496</v>
      </c>
      <c r="Z165" s="1">
        <v>5.5678799790447497</v>
      </c>
      <c r="AA165" s="1">
        <v>-5.4948046113167898E-9</v>
      </c>
      <c r="AB165" s="1">
        <v>1.32430247045165E-5</v>
      </c>
      <c r="AC165" s="1">
        <v>712.09615945868097</v>
      </c>
      <c r="AD165" s="1">
        <v>1843.7342286354699</v>
      </c>
      <c r="AE165" s="1">
        <v>586.12511078669399</v>
      </c>
      <c r="AF165" s="6">
        <v>0</v>
      </c>
      <c r="AG165" s="1">
        <v>1.3334747524955399E-5</v>
      </c>
      <c r="AH165" s="1">
        <v>27.4492022368485</v>
      </c>
      <c r="AI165" s="1">
        <v>0.22134450568934599</v>
      </c>
      <c r="AJ165" s="1">
        <v>25.811790490259799</v>
      </c>
      <c r="AK165" s="1">
        <v>4.72989479468783</v>
      </c>
      <c r="AL165" s="1">
        <v>1.5871354414155801</v>
      </c>
      <c r="AM165" s="1">
        <v>626.57723581118205</v>
      </c>
      <c r="AN165" s="1">
        <v>2.6785755835589999E-8</v>
      </c>
      <c r="AO165" s="1">
        <v>9.17228204389516E-8</v>
      </c>
      <c r="AP165" s="1">
        <v>2.3834744407135502</v>
      </c>
      <c r="AQ165" s="1">
        <v>3.3311435747582399E-5</v>
      </c>
      <c r="AR165" s="1">
        <v>6.7132351726971899E-6</v>
      </c>
      <c r="AS165" s="1">
        <v>12.994668212893901</v>
      </c>
      <c r="AT165" s="1">
        <v>9.7726956793122906</v>
      </c>
      <c r="AU165" s="1">
        <v>2.1631324943897798</v>
      </c>
      <c r="AV165" s="1">
        <v>0.22034194632376899</v>
      </c>
      <c r="AW165" s="1">
        <v>1.0505564115369501E-2</v>
      </c>
      <c r="AX165" s="1">
        <v>0.22034193043761399</v>
      </c>
      <c r="AY165" s="1">
        <v>1.58861555021872E-8</v>
      </c>
      <c r="AZ165" s="1">
        <v>839091.99888317997</v>
      </c>
      <c r="BA165" s="1">
        <v>1.3975998726300501E-5</v>
      </c>
      <c r="BB165" s="4">
        <v>3085292.6369313099</v>
      </c>
      <c r="BC165" s="4">
        <v>-3156.0935374395899</v>
      </c>
      <c r="BD165" s="7">
        <v>-0.102190251899068</v>
      </c>
      <c r="BE165" s="4">
        <v>3059952.3</v>
      </c>
      <c r="BF165" s="1">
        <v>1.0082812849505201</v>
      </c>
      <c r="BG165" s="1">
        <v>1</v>
      </c>
      <c r="BH165" s="1">
        <v>-3.1E-2</v>
      </c>
      <c r="BI165" s="1">
        <v>4.5999999999999999E-2</v>
      </c>
      <c r="BJ165" s="1">
        <v>5625</v>
      </c>
      <c r="BK165" s="1">
        <v>1</v>
      </c>
      <c r="BL165" s="1">
        <v>85.556683715730102</v>
      </c>
      <c r="BM165" s="1">
        <v>3.0852926369313098</v>
      </c>
      <c r="BN165" s="1">
        <v>85.556683715730102</v>
      </c>
      <c r="BO165" s="1">
        <v>1</v>
      </c>
      <c r="BP165" s="1">
        <v>2075.41143117506</v>
      </c>
      <c r="BQ165" s="1">
        <v>1</v>
      </c>
      <c r="BR165" s="1">
        <v>0.15240000000000001</v>
      </c>
    </row>
    <row r="166" spans="1:70">
      <c r="A166" s="2" t="s">
        <v>234</v>
      </c>
      <c r="B166" s="1">
        <v>17236893.2329209</v>
      </c>
      <c r="C166" s="1">
        <v>626.57723583796803</v>
      </c>
      <c r="D166" s="1">
        <v>122.583590976701</v>
      </c>
      <c r="E166" s="1">
        <v>560.26337686439001</v>
      </c>
      <c r="F166" s="1">
        <v>2538890.6454807199</v>
      </c>
      <c r="G166" s="1">
        <v>1699798.64659754</v>
      </c>
      <c r="H166" s="1">
        <v>2.4290890628326198E-5</v>
      </c>
      <c r="I166" s="1">
        <v>6.4066005508525405E-5</v>
      </c>
      <c r="J166" s="1">
        <v>0.452884810527584</v>
      </c>
      <c r="K166" s="1">
        <v>11219.515372648901</v>
      </c>
      <c r="L166" s="1">
        <v>3.02925386118211E-3</v>
      </c>
      <c r="M166" s="1">
        <v>165</v>
      </c>
      <c r="N166" s="1">
        <v>2007.2203999999999</v>
      </c>
      <c r="O166" s="3">
        <v>2.8502295699234199E-6</v>
      </c>
      <c r="P166" s="3">
        <v>5.98473400508856E-3</v>
      </c>
      <c r="Q166" s="3">
        <v>1.905E-3</v>
      </c>
      <c r="R166" s="1">
        <v>0.15240000000000001</v>
      </c>
      <c r="S166" s="4">
        <v>3690665.33203125</v>
      </c>
      <c r="T166" s="1">
        <v>523.75355252526197</v>
      </c>
      <c r="U166" s="5">
        <v>576.19630570055494</v>
      </c>
      <c r="V166" s="1">
        <v>0.03</v>
      </c>
      <c r="W166" s="3">
        <v>59684.614822616997</v>
      </c>
      <c r="X166" s="1">
        <v>3.1863876118458402E-2</v>
      </c>
      <c r="Y166" s="1">
        <v>5.6020979441400804</v>
      </c>
      <c r="Z166" s="1">
        <v>5.6020979701971099</v>
      </c>
      <c r="AA166" s="1">
        <v>-2.60570347521139E-8</v>
      </c>
      <c r="AB166" s="1">
        <v>1.2691425606134001E-5</v>
      </c>
      <c r="AC166" s="1">
        <v>730.49172157212899</v>
      </c>
      <c r="AD166" s="1">
        <v>1883.37459887351</v>
      </c>
      <c r="AE166" s="1">
        <v>576.19630570055403</v>
      </c>
      <c r="AF166" s="6">
        <v>0</v>
      </c>
      <c r="AG166" s="1">
        <v>1.27967579452949E-5</v>
      </c>
      <c r="AH166" s="1">
        <v>28.642208891502399</v>
      </c>
      <c r="AI166" s="1">
        <v>0.22610342268476</v>
      </c>
      <c r="AJ166" s="1">
        <v>25.302980432652099</v>
      </c>
      <c r="AK166" s="1">
        <v>5.7816352730793596</v>
      </c>
      <c r="AL166" s="1">
        <v>1.5871354414155801</v>
      </c>
      <c r="AM166" s="1">
        <v>626.57723577304898</v>
      </c>
      <c r="AN166" s="1">
        <v>6.4919163378362996E-8</v>
      </c>
      <c r="AO166" s="1">
        <v>1.05332339160864E-7</v>
      </c>
      <c r="AP166" s="1">
        <v>2.41114618556065</v>
      </c>
      <c r="AQ166" s="1">
        <v>3.2551219650426598E-5</v>
      </c>
      <c r="AR166" s="1">
        <v>6.4510451422278699E-6</v>
      </c>
      <c r="AS166" s="1">
        <v>12.755626831557301</v>
      </c>
      <c r="AT166" s="1">
        <v>9.67986247186745</v>
      </c>
      <c r="AU166" s="1">
        <v>2.1886500360069898</v>
      </c>
      <c r="AV166" s="1">
        <v>0.22249614955365901</v>
      </c>
      <c r="AW166" s="1">
        <v>1.00679858563739E-2</v>
      </c>
      <c r="AX166" s="1">
        <v>0.222496148460228</v>
      </c>
      <c r="AY166" s="1">
        <v>1.0934306515775201E-9</v>
      </c>
      <c r="AZ166" s="1">
        <v>839091.99888317997</v>
      </c>
      <c r="BA166" s="1">
        <v>1.35003094567067E-5</v>
      </c>
      <c r="BB166" s="4">
        <v>3667919.70373186</v>
      </c>
      <c r="BC166" s="4">
        <v>-22745.6282993942</v>
      </c>
      <c r="BD166" s="7">
        <v>-0.61630156768713396</v>
      </c>
      <c r="BE166" s="4">
        <v>3533140.8</v>
      </c>
      <c r="BF166" s="1">
        <v>1.0381470514087201</v>
      </c>
      <c r="BG166" s="1">
        <v>1</v>
      </c>
      <c r="BH166" s="1">
        <v>-5.6000000000000001E-2</v>
      </c>
      <c r="BI166" s="1">
        <v>4.5999999999999999E-2</v>
      </c>
      <c r="BJ166" s="1">
        <v>5625</v>
      </c>
      <c r="BK166" s="1">
        <v>1</v>
      </c>
      <c r="BL166" s="1">
        <v>102.823683312706</v>
      </c>
      <c r="BM166" s="1">
        <v>3.6679197037318598</v>
      </c>
      <c r="BN166" s="1">
        <v>102.823683312706</v>
      </c>
      <c r="BO166" s="1">
        <v>1</v>
      </c>
      <c r="BP166" s="1">
        <v>3946.8151849751798</v>
      </c>
      <c r="BQ166" s="1">
        <v>1</v>
      </c>
      <c r="BR166" s="1">
        <v>0.15240000000000001</v>
      </c>
    </row>
    <row r="167" spans="1:70">
      <c r="A167" s="2" t="s">
        <v>235</v>
      </c>
      <c r="B167" s="1">
        <v>17236893.2329209</v>
      </c>
      <c r="C167" s="1">
        <v>626.57723583796803</v>
      </c>
      <c r="D167" s="1">
        <v>122.583590976701</v>
      </c>
      <c r="E167" s="1">
        <v>560.26337686439001</v>
      </c>
      <c r="F167" s="1">
        <v>2538890.6454807199</v>
      </c>
      <c r="G167" s="1">
        <v>1699798.64659754</v>
      </c>
      <c r="H167" s="1">
        <v>2.4290890628326198E-5</v>
      </c>
      <c r="I167" s="1">
        <v>6.4066005508525405E-5</v>
      </c>
      <c r="J167" s="1">
        <v>0.452884810527584</v>
      </c>
      <c r="K167" s="1">
        <v>11219.515372648901</v>
      </c>
      <c r="L167" s="1">
        <v>3.02925386118211E-3</v>
      </c>
      <c r="M167" s="1">
        <v>166</v>
      </c>
      <c r="N167" s="1">
        <v>2007.2203999999999</v>
      </c>
      <c r="O167" s="3">
        <v>2.8502295699234199E-6</v>
      </c>
      <c r="P167" s="3">
        <v>5.98473400508856E-3</v>
      </c>
      <c r="Q167" s="3">
        <v>1.905E-3</v>
      </c>
      <c r="R167" s="1">
        <v>0.15240000000000001</v>
      </c>
      <c r="S167" s="4">
        <v>3654352.05078125</v>
      </c>
      <c r="T167" s="1">
        <v>524.88712944744998</v>
      </c>
      <c r="U167" s="5">
        <v>576.81388665067504</v>
      </c>
      <c r="V167" s="1">
        <v>0.03</v>
      </c>
      <c r="W167" s="3">
        <v>59684.614822616997</v>
      </c>
      <c r="X167" s="1">
        <v>3.1863876118458402E-2</v>
      </c>
      <c r="Y167" s="1">
        <v>5.6020979441400804</v>
      </c>
      <c r="Z167" s="1">
        <v>5.6020979701971099</v>
      </c>
      <c r="AA167" s="1">
        <v>-2.60570347521139E-8</v>
      </c>
      <c r="AB167" s="1">
        <v>1.2691425606134001E-5</v>
      </c>
      <c r="AC167" s="1">
        <v>729.20850350399201</v>
      </c>
      <c r="AD167" s="1">
        <v>1883.37459887351</v>
      </c>
      <c r="AE167" s="1">
        <v>576.81388794275995</v>
      </c>
      <c r="AF167" s="6">
        <v>1.2920850167574799E-6</v>
      </c>
      <c r="AG167" s="1">
        <v>1.2795481866201301E-5</v>
      </c>
      <c r="AH167" s="1">
        <v>28.642208891502399</v>
      </c>
      <c r="AI167" s="1">
        <v>0.22610342268476</v>
      </c>
      <c r="AJ167" s="1">
        <v>25.300457246351701</v>
      </c>
      <c r="AK167" s="1">
        <v>5.7104099935771604</v>
      </c>
      <c r="AL167" s="1">
        <v>1.5871354414155801</v>
      </c>
      <c r="AM167" s="1">
        <v>626.57723577374304</v>
      </c>
      <c r="AN167" s="1">
        <v>6.4225105234072504E-8</v>
      </c>
      <c r="AO167" s="1">
        <v>1.0405626006724401E-7</v>
      </c>
      <c r="AP167" s="1">
        <v>2.4109414321040199</v>
      </c>
      <c r="AQ167" s="1">
        <v>3.2556748824772797E-5</v>
      </c>
      <c r="AR167" s="1">
        <v>6.4497690631342502E-6</v>
      </c>
      <c r="AS167" s="1">
        <v>12.7531036452569</v>
      </c>
      <c r="AT167" s="1">
        <v>9.6788733256961592</v>
      </c>
      <c r="AU167" s="1">
        <v>2.1884263866721199</v>
      </c>
      <c r="AV167" s="1">
        <v>0.22251504543189601</v>
      </c>
      <c r="AW167" s="1">
        <v>1.00679858563739E-2</v>
      </c>
      <c r="AX167" s="1">
        <v>0.22251504433836</v>
      </c>
      <c r="AY167" s="1">
        <v>1.09353567867565E-9</v>
      </c>
      <c r="AZ167" s="1">
        <v>839091.99888317997</v>
      </c>
      <c r="BA167" s="1">
        <v>1.3503749361659401E-5</v>
      </c>
      <c r="BB167" s="4">
        <v>3622560.5939705302</v>
      </c>
      <c r="BC167" s="4">
        <v>-31791.4568107249</v>
      </c>
      <c r="BD167" s="7">
        <v>-0.86996152447677699</v>
      </c>
      <c r="BE167" s="4">
        <v>3501594.9</v>
      </c>
      <c r="BF167" s="1">
        <v>1.0345458847825399</v>
      </c>
      <c r="BG167" s="1">
        <v>1</v>
      </c>
      <c r="BH167" s="1">
        <v>-5.6000000000000001E-2</v>
      </c>
      <c r="BI167" s="1">
        <v>4.5999999999999999E-2</v>
      </c>
      <c r="BJ167" s="1">
        <v>5625</v>
      </c>
      <c r="BK167" s="1">
        <v>1</v>
      </c>
      <c r="BL167" s="1">
        <v>101.690106390518</v>
      </c>
      <c r="BM167" s="1">
        <v>3.6225605939705199</v>
      </c>
      <c r="BN167" s="1">
        <v>101.690106390518</v>
      </c>
      <c r="BO167" s="1">
        <v>1</v>
      </c>
      <c r="BP167" s="1">
        <v>3805.6692264734402</v>
      </c>
      <c r="BQ167" s="1">
        <v>1</v>
      </c>
      <c r="BR167" s="1">
        <v>0.15240000000000001</v>
      </c>
    </row>
    <row r="168" spans="1:70">
      <c r="A168" s="2" t="s">
        <v>236</v>
      </c>
      <c r="B168" s="1">
        <v>17236893.2329209</v>
      </c>
      <c r="C168" s="1">
        <v>626.57723583796803</v>
      </c>
      <c r="D168" s="1">
        <v>122.583590976701</v>
      </c>
      <c r="E168" s="1">
        <v>560.26337686439001</v>
      </c>
      <c r="F168" s="1">
        <v>2538890.6454807199</v>
      </c>
      <c r="G168" s="1">
        <v>1699798.64659754</v>
      </c>
      <c r="H168" s="1">
        <v>2.4290890628326198E-5</v>
      </c>
      <c r="I168" s="1">
        <v>6.4066005508525405E-5</v>
      </c>
      <c r="J168" s="1">
        <v>0.452884810527584</v>
      </c>
      <c r="K168" s="1">
        <v>11219.515372648901</v>
      </c>
      <c r="L168" s="1">
        <v>3.02925386118211E-3</v>
      </c>
      <c r="M168" s="1">
        <v>167</v>
      </c>
      <c r="N168" s="1">
        <v>2183.5302999999999</v>
      </c>
      <c r="O168" s="3">
        <v>2.8502295699234199E-6</v>
      </c>
      <c r="P168" s="3">
        <v>5.98473400508856E-3</v>
      </c>
      <c r="Q168" s="3">
        <v>1.905E-3</v>
      </c>
      <c r="R168" s="1">
        <v>0.15240000000000001</v>
      </c>
      <c r="S168" s="4">
        <v>5398006.11328125</v>
      </c>
      <c r="T168" s="1">
        <v>476.97673003740402</v>
      </c>
      <c r="U168" s="5">
        <v>547.48661880958298</v>
      </c>
      <c r="V168" s="1">
        <v>0.03</v>
      </c>
      <c r="W168" s="3">
        <v>64927.182340819898</v>
      </c>
      <c r="X168" s="1">
        <v>3.0700163138612201E-2</v>
      </c>
      <c r="Y168" s="1">
        <v>5.7072862912243698</v>
      </c>
      <c r="Z168" s="1">
        <v>5.7072863391106603</v>
      </c>
      <c r="AA168" s="1">
        <v>-4.7886292264820401E-8</v>
      </c>
      <c r="AB168" s="1">
        <v>1.11311493220718E-5</v>
      </c>
      <c r="AC168" s="1">
        <v>778.01270934136198</v>
      </c>
      <c r="AD168" s="1">
        <v>2011.0455553597301</v>
      </c>
      <c r="AE168" s="1">
        <v>547.48662058971001</v>
      </c>
      <c r="AF168" s="6">
        <v>1.7801270359996101E-6</v>
      </c>
      <c r="AG168" s="1">
        <v>1.12699737803278E-5</v>
      </c>
      <c r="AH168" s="1">
        <v>32.657046709548197</v>
      </c>
      <c r="AI168" s="1">
        <v>0.24143061264274199</v>
      </c>
      <c r="AJ168" s="1">
        <v>23.794677879211498</v>
      </c>
      <c r="AK168" s="1">
        <v>8.5843686746535397</v>
      </c>
      <c r="AL168" s="1">
        <v>1.5871354414155801</v>
      </c>
      <c r="AM168" s="1">
        <v>626.57723582210303</v>
      </c>
      <c r="AN168" s="1">
        <v>1.58654529514024E-8</v>
      </c>
      <c r="AO168" s="1">
        <v>1.3882445825601401E-7</v>
      </c>
      <c r="AP168" s="1">
        <v>2.4971069189148198</v>
      </c>
      <c r="AQ168" s="1">
        <v>3.0348698682702298E-5</v>
      </c>
      <c r="AR168" s="1">
        <v>5.7043991192919001E-6</v>
      </c>
      <c r="AS168" s="1">
        <v>12.0438913331758</v>
      </c>
      <c r="AT168" s="1">
        <v>9.3927879404627497</v>
      </c>
      <c r="AU168" s="1">
        <v>2.2677065468892801</v>
      </c>
      <c r="AV168" s="1">
        <v>0.22940037202553801</v>
      </c>
      <c r="AW168" s="1">
        <v>8.8302336882974206E-3</v>
      </c>
      <c r="AX168" s="1">
        <v>0.229400363304953</v>
      </c>
      <c r="AY168" s="1">
        <v>8.7205855869854093E-9</v>
      </c>
      <c r="AZ168" s="1">
        <v>839091.99888317997</v>
      </c>
      <c r="BA168" s="1">
        <v>1.2153543948326899E-5</v>
      </c>
      <c r="BB168" s="4">
        <v>5369883.5286894301</v>
      </c>
      <c r="BC168" s="4">
        <v>-28122.5845918218</v>
      </c>
      <c r="BD168" s="7">
        <v>-0.52098096967006002</v>
      </c>
      <c r="BE168" s="4">
        <v>4763430.9000000004</v>
      </c>
      <c r="BF168" s="1">
        <v>1.1273142492083701</v>
      </c>
      <c r="BG168" s="1">
        <v>1</v>
      </c>
      <c r="BH168" s="1">
        <v>-0.15</v>
      </c>
      <c r="BI168" s="1">
        <v>4.5999999999999999E-2</v>
      </c>
      <c r="BJ168" s="1">
        <v>5625</v>
      </c>
      <c r="BK168" s="1">
        <v>1</v>
      </c>
      <c r="BL168" s="1">
        <v>149.60050580056401</v>
      </c>
      <c r="BM168" s="1">
        <v>5.3698835286894298</v>
      </c>
      <c r="BN168" s="1">
        <v>149.60050580056401</v>
      </c>
      <c r="BO168" s="1">
        <v>1</v>
      </c>
      <c r="BP168" s="1">
        <v>12012.2708717395</v>
      </c>
      <c r="BQ168" s="1">
        <v>1</v>
      </c>
      <c r="BR168" s="1">
        <v>0.15240000000000001</v>
      </c>
    </row>
    <row r="169" spans="1:70">
      <c r="A169" s="2" t="s">
        <v>237</v>
      </c>
      <c r="B169" s="1">
        <v>17236893.2329209</v>
      </c>
      <c r="C169" s="1">
        <v>626.57723583796803</v>
      </c>
      <c r="D169" s="1">
        <v>122.583590976701</v>
      </c>
      <c r="E169" s="1">
        <v>560.26337686439001</v>
      </c>
      <c r="F169" s="1">
        <v>2538890.6454807199</v>
      </c>
      <c r="G169" s="1">
        <v>1699798.64659754</v>
      </c>
      <c r="H169" s="1">
        <v>2.4290890628326198E-5</v>
      </c>
      <c r="I169" s="1">
        <v>6.4066005508525405E-5</v>
      </c>
      <c r="J169" s="1">
        <v>0.452884810527584</v>
      </c>
      <c r="K169" s="1">
        <v>11219.515372648901</v>
      </c>
      <c r="L169" s="1">
        <v>3.02925386118211E-3</v>
      </c>
      <c r="M169" s="1">
        <v>168</v>
      </c>
      <c r="N169" s="1">
        <v>2183.5302999999999</v>
      </c>
      <c r="O169" s="3">
        <v>2.8502295699234199E-6</v>
      </c>
      <c r="P169" s="3">
        <v>5.98473400508856E-3</v>
      </c>
      <c r="Q169" s="3">
        <v>1.905E-3</v>
      </c>
      <c r="R169" s="1">
        <v>0.15240000000000001</v>
      </c>
      <c r="S169" s="4">
        <v>5339900.64453125</v>
      </c>
      <c r="T169" s="1">
        <v>478.76143589818798</v>
      </c>
      <c r="U169" s="5">
        <v>548.51233884251803</v>
      </c>
      <c r="V169" s="1">
        <v>0.03</v>
      </c>
      <c r="W169" s="3">
        <v>64927.182340819898</v>
      </c>
      <c r="X169" s="1">
        <v>3.0700163138612201E-2</v>
      </c>
      <c r="Y169" s="1">
        <v>5.7072862912243698</v>
      </c>
      <c r="Z169" s="1">
        <v>5.7072863391106603</v>
      </c>
      <c r="AA169" s="1">
        <v>-4.7886292264820401E-8</v>
      </c>
      <c r="AB169" s="1">
        <v>1.11311493220718E-5</v>
      </c>
      <c r="AC169" s="1">
        <v>776.03732814966099</v>
      </c>
      <c r="AD169" s="1">
        <v>2011.0455553597301</v>
      </c>
      <c r="AE169" s="1">
        <v>548.51234060289198</v>
      </c>
      <c r="AF169" s="6">
        <v>1.7603731521376199E-6</v>
      </c>
      <c r="AG169" s="1">
        <v>1.1269011981684499E-5</v>
      </c>
      <c r="AH169" s="1">
        <v>32.657046709548197</v>
      </c>
      <c r="AI169" s="1">
        <v>0.24143061264274199</v>
      </c>
      <c r="AJ169" s="1">
        <v>23.792647201115201</v>
      </c>
      <c r="AK169" s="1">
        <v>8.4726131709178691</v>
      </c>
      <c r="AL169" s="1">
        <v>1.5871354414155801</v>
      </c>
      <c r="AM169" s="1">
        <v>626.57723582241499</v>
      </c>
      <c r="AN169" s="1">
        <v>1.55533825818566E-8</v>
      </c>
      <c r="AO169" s="1">
        <v>1.37862659612729E-7</v>
      </c>
      <c r="AP169" s="1">
        <v>2.4969204953411999</v>
      </c>
      <c r="AQ169" s="1">
        <v>3.03532306043875E-5</v>
      </c>
      <c r="AR169" s="1">
        <v>5.7034373206486199E-6</v>
      </c>
      <c r="AS169" s="1">
        <v>12.0418606550795</v>
      </c>
      <c r="AT169" s="1">
        <v>9.3919448369955596</v>
      </c>
      <c r="AU169" s="1">
        <v>2.2675029959026798</v>
      </c>
      <c r="AV169" s="1">
        <v>0.22941749943852099</v>
      </c>
      <c r="AW169" s="1">
        <v>8.8302336882974206E-3</v>
      </c>
      <c r="AX169" s="1">
        <v>0.229417490656664</v>
      </c>
      <c r="AY169" s="1">
        <v>8.7818569638464794E-9</v>
      </c>
      <c r="AZ169" s="1">
        <v>839091.99888317997</v>
      </c>
      <c r="BA169" s="1">
        <v>1.21562663533025E-5</v>
      </c>
      <c r="BB169" s="4">
        <v>5331485.8360990304</v>
      </c>
      <c r="BC169" s="4">
        <v>-8414.8084322204795</v>
      </c>
      <c r="BD169" s="7">
        <v>-0.15758361423518899</v>
      </c>
      <c r="BE169" s="4">
        <v>4763430.9000000004</v>
      </c>
      <c r="BF169" s="1">
        <v>1.1192533172044199</v>
      </c>
      <c r="BG169" s="1">
        <v>1</v>
      </c>
      <c r="BH169" s="1">
        <v>-0.14000000000000001</v>
      </c>
      <c r="BI169" s="1">
        <v>4.5999999999999999E-2</v>
      </c>
      <c r="BJ169" s="1">
        <v>5625</v>
      </c>
      <c r="BK169" s="1">
        <v>1</v>
      </c>
      <c r="BL169" s="1">
        <v>147.81579993977999</v>
      </c>
      <c r="BM169" s="1">
        <v>5.3314858360990298</v>
      </c>
      <c r="BN169" s="1">
        <v>147.81579993977999</v>
      </c>
      <c r="BO169" s="1">
        <v>1</v>
      </c>
      <c r="BP169" s="1">
        <v>11624.246716654699</v>
      </c>
      <c r="BQ169" s="1">
        <v>1</v>
      </c>
      <c r="BR169" s="1">
        <v>0.15240000000000001</v>
      </c>
    </row>
    <row r="170" spans="1:70">
      <c r="A170" s="2" t="s">
        <v>238</v>
      </c>
      <c r="B170" s="1">
        <v>17236893.2329209</v>
      </c>
      <c r="C170" s="1">
        <v>626.57723583796803</v>
      </c>
      <c r="D170" s="1">
        <v>122.583590976701</v>
      </c>
      <c r="E170" s="1">
        <v>560.26337686439001</v>
      </c>
      <c r="F170" s="1">
        <v>2538890.6454807199</v>
      </c>
      <c r="G170" s="1">
        <v>1699798.64659754</v>
      </c>
      <c r="H170" s="1">
        <v>2.4290890628326198E-5</v>
      </c>
      <c r="I170" s="1">
        <v>6.4066005508525405E-5</v>
      </c>
      <c r="J170" s="1">
        <v>0.452884810527584</v>
      </c>
      <c r="K170" s="1">
        <v>11219.515372648901</v>
      </c>
      <c r="L170" s="1">
        <v>3.02925386118211E-3</v>
      </c>
      <c r="M170" s="1">
        <v>169</v>
      </c>
      <c r="N170" s="1">
        <v>2183.5302999999999</v>
      </c>
      <c r="O170" s="3">
        <v>2.8502295699234199E-6</v>
      </c>
      <c r="P170" s="3">
        <v>5.98473400508856E-3</v>
      </c>
      <c r="Q170" s="3">
        <v>1.905E-3</v>
      </c>
      <c r="R170" s="1">
        <v>0.15240000000000001</v>
      </c>
      <c r="S170" s="4">
        <v>4504947.16796875</v>
      </c>
      <c r="T170" s="1">
        <v>504.24977393984398</v>
      </c>
      <c r="U170" s="5">
        <v>563.09433933529397</v>
      </c>
      <c r="V170" s="1">
        <v>0.03</v>
      </c>
      <c r="W170" s="3">
        <v>64927.182340819898</v>
      </c>
      <c r="X170" s="1">
        <v>3.0700163138612201E-2</v>
      </c>
      <c r="Y170" s="1">
        <v>5.7072862912243698</v>
      </c>
      <c r="Z170" s="1">
        <v>5.7072863391106603</v>
      </c>
      <c r="AA170" s="1">
        <v>-4.7886292264820401E-8</v>
      </c>
      <c r="AB170" s="1">
        <v>1.11311493220718E-5</v>
      </c>
      <c r="AC170" s="1">
        <v>747.91536386283497</v>
      </c>
      <c r="AD170" s="1">
        <v>2011.0455553597301</v>
      </c>
      <c r="AE170" s="1">
        <v>563.09433933529397</v>
      </c>
      <c r="AF170" s="6">
        <v>0</v>
      </c>
      <c r="AG170" s="1">
        <v>1.12479128368382E-5</v>
      </c>
      <c r="AH170" s="1">
        <v>32.657046709548197</v>
      </c>
      <c r="AI170" s="1">
        <v>0.24143061264274199</v>
      </c>
      <c r="AJ170" s="1">
        <v>23.748099860994301</v>
      </c>
      <c r="AK170" s="1">
        <v>6.8823959230090699</v>
      </c>
      <c r="AL170" s="1">
        <v>1.5871354414155801</v>
      </c>
      <c r="AM170" s="1">
        <v>626.57723582712697</v>
      </c>
      <c r="AN170" s="1">
        <v>1.08406084109447E-8</v>
      </c>
      <c r="AO170" s="1">
        <v>1.16763514766397E-7</v>
      </c>
      <c r="AP170" s="1">
        <v>2.4928235524922502</v>
      </c>
      <c r="AQ170" s="1">
        <v>3.0453083351461199E-5</v>
      </c>
      <c r="AR170" s="1">
        <v>5.6823381758022798E-6</v>
      </c>
      <c r="AS170" s="1">
        <v>11.9973133149586</v>
      </c>
      <c r="AT170" s="1">
        <v>9.37341367150343</v>
      </c>
      <c r="AU170" s="1">
        <v>2.26302900526492</v>
      </c>
      <c r="AV170" s="1">
        <v>0.229794547227329</v>
      </c>
      <c r="AW170" s="1">
        <v>8.8302336882974206E-3</v>
      </c>
      <c r="AX170" s="1">
        <v>0.22979453713748199</v>
      </c>
      <c r="AY170" s="1">
        <v>1.0089846985694699E-8</v>
      </c>
      <c r="AZ170" s="1">
        <v>839091.99888317997</v>
      </c>
      <c r="BA170" s="1">
        <v>1.2216301198299799E-5</v>
      </c>
      <c r="BB170" s="4">
        <v>4493339.5882711904</v>
      </c>
      <c r="BC170" s="4">
        <v>-11607.579697555901</v>
      </c>
      <c r="BD170" s="7">
        <v>-0.25766294841565601</v>
      </c>
      <c r="BE170" s="4">
        <v>4321788.3</v>
      </c>
      <c r="BF170" s="1">
        <v>1.03969451448401</v>
      </c>
      <c r="BG170" s="1">
        <v>1</v>
      </c>
      <c r="BH170" s="1">
        <v>-8.1000000000000003E-2</v>
      </c>
      <c r="BI170" s="1">
        <v>4.5999999999999999E-2</v>
      </c>
      <c r="BJ170" s="1">
        <v>5625</v>
      </c>
      <c r="BK170" s="1">
        <v>1</v>
      </c>
      <c r="BL170" s="1">
        <v>122.327461898124</v>
      </c>
      <c r="BM170" s="1">
        <v>4.4933395882711897</v>
      </c>
      <c r="BN170" s="1">
        <v>122.327461898124</v>
      </c>
      <c r="BO170" s="1">
        <v>1</v>
      </c>
      <c r="BP170" s="1">
        <v>6777.8109825870697</v>
      </c>
      <c r="BQ170" s="1">
        <v>1</v>
      </c>
      <c r="BR170" s="1">
        <v>0.15240000000000001</v>
      </c>
    </row>
    <row r="171" spans="1:70">
      <c r="A171" s="2" t="s">
        <v>239</v>
      </c>
      <c r="B171" s="1">
        <v>17236893.2329209</v>
      </c>
      <c r="C171" s="1">
        <v>626.57723583796803</v>
      </c>
      <c r="D171" s="1">
        <v>122.583590976701</v>
      </c>
      <c r="E171" s="1">
        <v>560.26337686439001</v>
      </c>
      <c r="F171" s="1">
        <v>2538890.6454807199</v>
      </c>
      <c r="G171" s="1">
        <v>1699798.64659754</v>
      </c>
      <c r="H171" s="1">
        <v>2.4290890628326198E-5</v>
      </c>
      <c r="I171" s="1">
        <v>6.4066005508525405E-5</v>
      </c>
      <c r="J171" s="1">
        <v>0.452884810527584</v>
      </c>
      <c r="K171" s="1">
        <v>11219.515372648901</v>
      </c>
      <c r="L171" s="1">
        <v>3.02925386118211E-3</v>
      </c>
      <c r="M171" s="1">
        <v>170</v>
      </c>
      <c r="N171" s="1">
        <v>2197.0925999999999</v>
      </c>
      <c r="O171" s="3">
        <v>2.8502295699234199E-6</v>
      </c>
      <c r="P171" s="3">
        <v>5.98473400508856E-3</v>
      </c>
      <c r="Q171" s="3">
        <v>1.905E-3</v>
      </c>
      <c r="R171" s="1">
        <v>0.15240000000000001</v>
      </c>
      <c r="S171" s="4">
        <v>3889929.19921875</v>
      </c>
      <c r="T171" s="1">
        <v>523.21058206421105</v>
      </c>
      <c r="U171" s="5">
        <v>573.70800508318098</v>
      </c>
      <c r="V171" s="1">
        <v>0.03</v>
      </c>
      <c r="W171" s="3">
        <v>65330.456765297</v>
      </c>
      <c r="X171" s="1">
        <v>3.06170850033569E-2</v>
      </c>
      <c r="Y171" s="1">
        <v>5.71502428279324</v>
      </c>
      <c r="Z171" s="1">
        <v>5.7150243315446003</v>
      </c>
      <c r="AA171" s="1">
        <v>-4.8751357617504703E-8</v>
      </c>
      <c r="AB171" s="1">
        <v>1.10239840215693E-5</v>
      </c>
      <c r="AC171" s="1">
        <v>726.94150230071602</v>
      </c>
      <c r="AD171" s="1">
        <v>2020.79670666674</v>
      </c>
      <c r="AE171" s="1">
        <v>573.70800508318098</v>
      </c>
      <c r="AF171" s="6">
        <v>0</v>
      </c>
      <c r="AG171" s="1">
        <v>1.11250870096331E-5</v>
      </c>
      <c r="AH171" s="1">
        <v>32.974509272747099</v>
      </c>
      <c r="AI171" s="1">
        <v>0.24260126063117199</v>
      </c>
      <c r="AJ171" s="1">
        <v>23.6026658167427</v>
      </c>
      <c r="AK171" s="1">
        <v>5.7035200846190097</v>
      </c>
      <c r="AL171" s="1">
        <v>1.5871354414155801</v>
      </c>
      <c r="AM171" s="1">
        <v>626.57723581229698</v>
      </c>
      <c r="AN171" s="1">
        <v>2.5670601644378601E-8</v>
      </c>
      <c r="AO171" s="1">
        <v>1.0110298806375E-7</v>
      </c>
      <c r="AP171" s="1">
        <v>2.4956449915818402</v>
      </c>
      <c r="AQ171" s="1">
        <v>3.03842651092981E-5</v>
      </c>
      <c r="AR171" s="1">
        <v>5.6130949988483996E-6</v>
      </c>
      <c r="AS171" s="1">
        <v>11.9085815095857</v>
      </c>
      <c r="AT171" s="1">
        <v>9.3362963774184706</v>
      </c>
      <c r="AU171" s="1">
        <v>2.2649972707879602</v>
      </c>
      <c r="AV171" s="1">
        <v>0.23064772079387899</v>
      </c>
      <c r="AW171" s="1">
        <v>8.7452204862162094E-3</v>
      </c>
      <c r="AX171" s="1">
        <v>0.230647711399809</v>
      </c>
      <c r="AY171" s="1">
        <v>9.3940703826955707E-9</v>
      </c>
      <c r="AZ171" s="1">
        <v>839091.99888317997</v>
      </c>
      <c r="BA171" s="1">
        <v>1.21749147862731E-5</v>
      </c>
      <c r="BB171" s="4">
        <v>3903910.70561335</v>
      </c>
      <c r="BC171" s="4">
        <v>13981.506394599999</v>
      </c>
      <c r="BD171" s="7">
        <v>0.35942830006798199</v>
      </c>
      <c r="BE171" s="4">
        <v>3817053.9</v>
      </c>
      <c r="BF171" s="1">
        <v>1.02275493296371</v>
      </c>
      <c r="BG171" s="1">
        <v>1</v>
      </c>
      <c r="BH171" s="1">
        <v>-6.8000000000000005E-2</v>
      </c>
      <c r="BI171" s="1">
        <v>4.5999999999999999E-2</v>
      </c>
      <c r="BJ171" s="1">
        <v>5625</v>
      </c>
      <c r="BK171" s="1">
        <v>1</v>
      </c>
      <c r="BL171" s="1">
        <v>103.36665377375699</v>
      </c>
      <c r="BM171" s="1">
        <v>3.9039107056133502</v>
      </c>
      <c r="BN171" s="1">
        <v>103.36665377375699</v>
      </c>
      <c r="BO171" s="1">
        <v>1</v>
      </c>
      <c r="BP171" s="1">
        <v>4015.3328104831899</v>
      </c>
      <c r="BQ171" s="1">
        <v>1</v>
      </c>
      <c r="BR171" s="1">
        <v>0.15240000000000001</v>
      </c>
    </row>
    <row r="172" spans="1:70">
      <c r="A172" s="2" t="s">
        <v>240</v>
      </c>
      <c r="B172" s="1">
        <v>17236893.2329209</v>
      </c>
      <c r="C172" s="1">
        <v>626.57723583796803</v>
      </c>
      <c r="D172" s="1">
        <v>122.583590976701</v>
      </c>
      <c r="E172" s="1">
        <v>560.26337686439001</v>
      </c>
      <c r="F172" s="1">
        <v>2538890.6454807199</v>
      </c>
      <c r="G172" s="1">
        <v>1699798.64659754</v>
      </c>
      <c r="H172" s="1">
        <v>2.4290890628326198E-5</v>
      </c>
      <c r="I172" s="1">
        <v>6.4066005508525405E-5</v>
      </c>
      <c r="J172" s="1">
        <v>0.452884810527584</v>
      </c>
      <c r="K172" s="1">
        <v>11219.515372648901</v>
      </c>
      <c r="L172" s="1">
        <v>3.02925386118211E-3</v>
      </c>
      <c r="M172" s="1">
        <v>171</v>
      </c>
      <c r="N172" s="1">
        <v>2210.6549</v>
      </c>
      <c r="O172" s="3">
        <v>2.8502295699234199E-6</v>
      </c>
      <c r="P172" s="3">
        <v>5.98473400508856E-3</v>
      </c>
      <c r="Q172" s="3">
        <v>1.905E-3</v>
      </c>
      <c r="R172" s="1">
        <v>0.15240000000000001</v>
      </c>
      <c r="S172" s="4">
        <v>4404618.59765625</v>
      </c>
      <c r="T172" s="1">
        <v>508.15729880951102</v>
      </c>
      <c r="U172" s="5">
        <v>564.985412067688</v>
      </c>
      <c r="V172" s="1">
        <v>0.03</v>
      </c>
      <c r="W172" s="3">
        <v>65733.731189774204</v>
      </c>
      <c r="X172" s="1">
        <v>3.0534849970872299E-2</v>
      </c>
      <c r="Y172" s="1">
        <v>5.7227148266235099</v>
      </c>
      <c r="Z172" s="1">
        <v>5.7227148750663401</v>
      </c>
      <c r="AA172" s="1">
        <v>-4.8442837297102401E-8</v>
      </c>
      <c r="AB172" s="1">
        <v>1.0918461443926301E-5</v>
      </c>
      <c r="AC172" s="1">
        <v>742.96715502209304</v>
      </c>
      <c r="AD172" s="1">
        <v>2030.5383233820601</v>
      </c>
      <c r="AE172" s="1">
        <v>564.985412067688</v>
      </c>
      <c r="AF172" s="6">
        <v>0</v>
      </c>
      <c r="AG172" s="1">
        <v>1.1031485322355E-5</v>
      </c>
      <c r="AH172" s="1">
        <v>33.2931947608852</v>
      </c>
      <c r="AI172" s="1">
        <v>0.24377076397009001</v>
      </c>
      <c r="AJ172" s="1">
        <v>23.516906783064101</v>
      </c>
      <c r="AK172" s="1">
        <v>6.6216612273928401</v>
      </c>
      <c r="AL172" s="1">
        <v>1.5871354414155801</v>
      </c>
      <c r="AM172" s="1">
        <v>626.57723583270399</v>
      </c>
      <c r="AN172" s="1">
        <v>5.2643827075371502E-9</v>
      </c>
      <c r="AO172" s="1">
        <v>1.13023878428745E-7</v>
      </c>
      <c r="AP172" s="1">
        <v>2.5038748333502201</v>
      </c>
      <c r="AQ172" s="1">
        <v>3.0184856783716299E-5</v>
      </c>
      <c r="AR172" s="1">
        <v>5.5722546003918803E-6</v>
      </c>
      <c r="AS172" s="1">
        <v>11.8789254737404</v>
      </c>
      <c r="AT172" s="1">
        <v>9.3238293075272392</v>
      </c>
      <c r="AU172" s="1">
        <v>2.2728769934226301</v>
      </c>
      <c r="AV172" s="1">
        <v>0.23099783992759099</v>
      </c>
      <c r="AW172" s="1">
        <v>8.6615104403782693E-3</v>
      </c>
      <c r="AX172" s="1">
        <v>0.23099783325825901</v>
      </c>
      <c r="AY172" s="1">
        <v>6.6693320310839998E-9</v>
      </c>
      <c r="AZ172" s="1">
        <v>839091.99888317997</v>
      </c>
      <c r="BA172" s="1">
        <v>1.20552578673945E-5</v>
      </c>
      <c r="BB172" s="4">
        <v>4407532.4253068799</v>
      </c>
      <c r="BC172" s="4">
        <v>2913.8276506327102</v>
      </c>
      <c r="BD172" s="7">
        <v>6.6153915169481201E-2</v>
      </c>
      <c r="BE172" s="4">
        <v>4353334.2</v>
      </c>
      <c r="BF172" s="1">
        <v>1.01244981956747</v>
      </c>
      <c r="BG172" s="1">
        <v>1</v>
      </c>
      <c r="BH172" s="1">
        <v>-6.3E-2</v>
      </c>
      <c r="BI172" s="1">
        <v>4.5999999999999999E-2</v>
      </c>
      <c r="BJ172" s="1">
        <v>5625</v>
      </c>
      <c r="BK172" s="1">
        <v>1</v>
      </c>
      <c r="BL172" s="1">
        <v>118.419937028457</v>
      </c>
      <c r="BM172" s="1">
        <v>4.4075324253068802</v>
      </c>
      <c r="BN172" s="1">
        <v>118.419937028457</v>
      </c>
      <c r="BO172" s="1">
        <v>1</v>
      </c>
      <c r="BP172" s="1">
        <v>6149.6865235471596</v>
      </c>
      <c r="BQ172" s="1">
        <v>1</v>
      </c>
      <c r="BR172" s="1">
        <v>0.15240000000000001</v>
      </c>
    </row>
    <row r="173" spans="1:70">
      <c r="A173" s="2" t="s">
        <v>241</v>
      </c>
      <c r="B173" s="1">
        <v>17236893.2329209</v>
      </c>
      <c r="C173" s="1">
        <v>626.57723583796803</v>
      </c>
      <c r="D173" s="1">
        <v>122.583590976701</v>
      </c>
      <c r="E173" s="1">
        <v>560.26337686439001</v>
      </c>
      <c r="F173" s="1">
        <v>2538890.6454807199</v>
      </c>
      <c r="G173" s="1">
        <v>1699798.64659754</v>
      </c>
      <c r="H173" s="1">
        <v>2.4290890628326198E-5</v>
      </c>
      <c r="I173" s="1">
        <v>6.4066005508525405E-5</v>
      </c>
      <c r="J173" s="1">
        <v>0.452884810527584</v>
      </c>
      <c r="K173" s="1">
        <v>11219.515372648901</v>
      </c>
      <c r="L173" s="1">
        <v>3.02925386118211E-3</v>
      </c>
      <c r="M173" s="1">
        <v>172</v>
      </c>
      <c r="N173" s="1">
        <v>2210.6549</v>
      </c>
      <c r="O173" s="3">
        <v>2.8502295699234199E-6</v>
      </c>
      <c r="P173" s="3">
        <v>5.98473400508856E-3</v>
      </c>
      <c r="Q173" s="3">
        <v>1.905E-3</v>
      </c>
      <c r="R173" s="1">
        <v>0.15240000000000001</v>
      </c>
      <c r="S173" s="4">
        <v>3902650.29296875</v>
      </c>
      <c r="T173" s="1">
        <v>523.21058206421105</v>
      </c>
      <c r="U173" s="5">
        <v>573.562331696721</v>
      </c>
      <c r="V173" s="1">
        <v>0.03</v>
      </c>
      <c r="W173" s="3">
        <v>65733.731189774204</v>
      </c>
      <c r="X173" s="1">
        <v>3.0534849970872299E-2</v>
      </c>
      <c r="Y173" s="1">
        <v>5.7227148266235099</v>
      </c>
      <c r="Z173" s="1">
        <v>5.7227148750663401</v>
      </c>
      <c r="AA173" s="1">
        <v>-4.8442837297102401E-8</v>
      </c>
      <c r="AB173" s="1">
        <v>1.0918461443926301E-5</v>
      </c>
      <c r="AC173" s="1">
        <v>726.65993029131698</v>
      </c>
      <c r="AD173" s="1">
        <v>2030.5383233820601</v>
      </c>
      <c r="AE173" s="1">
        <v>573.56233296332096</v>
      </c>
      <c r="AF173" s="6">
        <v>1.26659926991124E-6</v>
      </c>
      <c r="AG173" s="1">
        <v>1.10192118964619E-5</v>
      </c>
      <c r="AH173" s="1">
        <v>33.2931947608852</v>
      </c>
      <c r="AI173" s="1">
        <v>0.24377076397009001</v>
      </c>
      <c r="AJ173" s="1">
        <v>23.490742308906398</v>
      </c>
      <c r="AK173" s="1">
        <v>5.6958674940805398</v>
      </c>
      <c r="AL173" s="1">
        <v>1.5871354414155801</v>
      </c>
      <c r="AM173" s="1">
        <v>626.57723581179505</v>
      </c>
      <c r="AN173" s="1">
        <v>2.6172870093432701E-8</v>
      </c>
      <c r="AO173" s="1">
        <v>1.00750452535628E-7</v>
      </c>
      <c r="AP173" s="1">
        <v>2.5014144403560001</v>
      </c>
      <c r="AQ173" s="1">
        <v>3.0244265679186401E-5</v>
      </c>
      <c r="AR173" s="1">
        <v>5.5599811744987599E-6</v>
      </c>
      <c r="AS173" s="1">
        <v>11.852760999582699</v>
      </c>
      <c r="AT173" s="1">
        <v>9.3128041809361193</v>
      </c>
      <c r="AU173" s="1">
        <v>2.2701893898906498</v>
      </c>
      <c r="AV173" s="1">
        <v>0.23122505046535199</v>
      </c>
      <c r="AW173" s="1">
        <v>8.6615104403782693E-3</v>
      </c>
      <c r="AX173" s="1">
        <v>0.231225042888723</v>
      </c>
      <c r="AY173" s="1">
        <v>7.5766286855571996E-9</v>
      </c>
      <c r="AZ173" s="1">
        <v>839091.99888317997</v>
      </c>
      <c r="BA173" s="1">
        <v>1.20908655484063E-5</v>
      </c>
      <c r="BB173" s="4">
        <v>3917341.4525248799</v>
      </c>
      <c r="BC173" s="4">
        <v>14691.159556129</v>
      </c>
      <c r="BD173" s="7">
        <v>0.37644058404611602</v>
      </c>
      <c r="BE173" s="4">
        <v>3785508</v>
      </c>
      <c r="BF173" s="1">
        <v>1.03482582853474</v>
      </c>
      <c r="BG173" s="1">
        <v>1</v>
      </c>
      <c r="BH173" s="1">
        <v>-7.8E-2</v>
      </c>
      <c r="BI173" s="1">
        <v>4.5999999999999999E-2</v>
      </c>
      <c r="BJ173" s="1">
        <v>5625</v>
      </c>
      <c r="BK173" s="1">
        <v>1</v>
      </c>
      <c r="BL173" s="1">
        <v>103.36665377375699</v>
      </c>
      <c r="BM173" s="1">
        <v>3.9173414525248802</v>
      </c>
      <c r="BN173" s="1">
        <v>103.36665377375699</v>
      </c>
      <c r="BO173" s="1">
        <v>1</v>
      </c>
      <c r="BP173" s="1">
        <v>4015.3328104831899</v>
      </c>
      <c r="BQ173" s="1">
        <v>1</v>
      </c>
      <c r="BR173" s="1">
        <v>0.15240000000000001</v>
      </c>
    </row>
    <row r="174" spans="1:70">
      <c r="A174" s="2" t="s">
        <v>242</v>
      </c>
      <c r="B174" s="1">
        <v>17236893.2329209</v>
      </c>
      <c r="C174" s="1">
        <v>626.57723583796803</v>
      </c>
      <c r="D174" s="1">
        <v>122.583590976701</v>
      </c>
      <c r="E174" s="1">
        <v>560.26337686439001</v>
      </c>
      <c r="F174" s="1">
        <v>2538890.6454807199</v>
      </c>
      <c r="G174" s="1">
        <v>1699798.64659754</v>
      </c>
      <c r="H174" s="1">
        <v>2.4290890628326198E-5</v>
      </c>
      <c r="I174" s="1">
        <v>6.4066005508525405E-5</v>
      </c>
      <c r="J174" s="1">
        <v>0.452884810527584</v>
      </c>
      <c r="K174" s="1">
        <v>11219.515372648901</v>
      </c>
      <c r="L174" s="1">
        <v>3.02925386118211E-3</v>
      </c>
      <c r="M174" s="1">
        <v>173</v>
      </c>
      <c r="N174" s="1">
        <v>2766.7091999999998</v>
      </c>
      <c r="O174" s="3">
        <v>2.8502295699234199E-6</v>
      </c>
      <c r="P174" s="3">
        <v>5.98473400508856E-3</v>
      </c>
      <c r="Q174" s="3">
        <v>1.905E-3</v>
      </c>
      <c r="R174" s="1">
        <v>0.15240000000000001</v>
      </c>
      <c r="S174" s="4">
        <v>4545068.359375</v>
      </c>
      <c r="T174" s="1">
        <v>519.29568547134102</v>
      </c>
      <c r="U174" s="5">
        <v>566.15034492094901</v>
      </c>
      <c r="V174" s="1">
        <v>0.03</v>
      </c>
      <c r="W174" s="3">
        <v>82267.982593337001</v>
      </c>
      <c r="X174" s="1">
        <v>2.77491536244742E-2</v>
      </c>
      <c r="Y174" s="1">
        <v>6.00309379981202</v>
      </c>
      <c r="Z174" s="1">
        <v>6.00309380657938</v>
      </c>
      <c r="AA174" s="1">
        <v>-6.76735467664002E-9</v>
      </c>
      <c r="AB174" s="1">
        <v>7.6704769287397103E-6</v>
      </c>
      <c r="AC174" s="1">
        <v>720.37071138322597</v>
      </c>
      <c r="AD174" s="1">
        <v>2422.5945115211698</v>
      </c>
      <c r="AE174" s="1">
        <v>566.15034492094901</v>
      </c>
      <c r="AF174" s="6">
        <v>0</v>
      </c>
      <c r="AG174" s="1">
        <v>7.7617947172481596E-6</v>
      </c>
      <c r="AH174" s="1">
        <v>47.390855447313001</v>
      </c>
      <c r="AI174" s="1">
        <v>0.29083800490878298</v>
      </c>
      <c r="AJ174" s="1">
        <v>19.7413976709285</v>
      </c>
      <c r="AK174" s="1">
        <v>5.6434665135834399</v>
      </c>
      <c r="AL174" s="1">
        <v>1.5871354414155801</v>
      </c>
      <c r="AM174" s="1">
        <v>626.57723581479104</v>
      </c>
      <c r="AN174" s="1">
        <v>2.3176767172117302E-8</v>
      </c>
      <c r="AO174" s="1">
        <v>9.1317788508449297E-8</v>
      </c>
      <c r="AP174" s="1">
        <v>2.7137118997028802</v>
      </c>
      <c r="AQ174" s="1">
        <v>2.5697263135685199E-5</v>
      </c>
      <c r="AR174" s="1">
        <v>3.9265562528783003E-6</v>
      </c>
      <c r="AS174" s="1">
        <v>9.9868279552777999</v>
      </c>
      <c r="AT174" s="1">
        <v>8.4563351012273298</v>
      </c>
      <c r="AU174" s="1">
        <v>2.4594236296810701</v>
      </c>
      <c r="AV174" s="1">
        <v>0.25428827002181298</v>
      </c>
      <c r="AW174" s="1">
        <v>6.0849155663701901E-3</v>
      </c>
      <c r="AX174" s="1">
        <v>0.25428826619946299</v>
      </c>
      <c r="AY174" s="1">
        <v>3.8223497145217802E-9</v>
      </c>
      <c r="AZ174" s="1">
        <v>839091.99888317997</v>
      </c>
      <c r="BA174" s="1">
        <v>9.4694146193259503E-6</v>
      </c>
      <c r="BB174" s="4">
        <v>4533504.6684059603</v>
      </c>
      <c r="BC174" s="4">
        <v>-11563.690969036001</v>
      </c>
      <c r="BD174" s="7">
        <v>-0.25442281731987199</v>
      </c>
      <c r="BE174" s="4">
        <v>4952706.3</v>
      </c>
      <c r="BF174" s="1">
        <v>0.91535907719905896</v>
      </c>
      <c r="BG174" s="1">
        <v>1</v>
      </c>
      <c r="BH174" s="1">
        <v>-7.0000000000000007E-2</v>
      </c>
      <c r="BI174" s="1">
        <v>4.5999999999999999E-2</v>
      </c>
      <c r="BJ174" s="1">
        <v>5625</v>
      </c>
      <c r="BK174" s="1">
        <v>1</v>
      </c>
      <c r="BL174" s="1">
        <v>107.281550366627</v>
      </c>
      <c r="BM174" s="1">
        <v>4.5335046684059597</v>
      </c>
      <c r="BN174" s="1">
        <v>107.281550366627</v>
      </c>
      <c r="BO174" s="1">
        <v>1</v>
      </c>
      <c r="BP174" s="1">
        <v>4526.8070197369698</v>
      </c>
      <c r="BQ174" s="1">
        <v>1</v>
      </c>
      <c r="BR174" s="1">
        <v>0.15240000000000001</v>
      </c>
    </row>
    <row r="175" spans="1:70">
      <c r="A175" s="2" t="s">
        <v>243</v>
      </c>
      <c r="B175" s="1">
        <v>17236893.2329209</v>
      </c>
      <c r="C175" s="1">
        <v>626.57723583796803</v>
      </c>
      <c r="D175" s="1">
        <v>122.583590976701</v>
      </c>
      <c r="E175" s="1">
        <v>560.26337686439001</v>
      </c>
      <c r="F175" s="1">
        <v>2538890.6454807199</v>
      </c>
      <c r="G175" s="1">
        <v>1699798.64659754</v>
      </c>
      <c r="H175" s="1">
        <v>2.4290890628326198E-5</v>
      </c>
      <c r="I175" s="1">
        <v>6.4066005508525405E-5</v>
      </c>
      <c r="J175" s="1">
        <v>0.452884810527584</v>
      </c>
      <c r="K175" s="1">
        <v>11219.515372648901</v>
      </c>
      <c r="L175" s="1">
        <v>3.02925386118211E-3</v>
      </c>
      <c r="M175" s="1">
        <v>174</v>
      </c>
      <c r="N175" s="1">
        <v>2820.9584</v>
      </c>
      <c r="O175" s="3">
        <v>2.8502295699234199E-6</v>
      </c>
      <c r="P175" s="3">
        <v>5.98473400508856E-3</v>
      </c>
      <c r="Q175" s="3">
        <v>1.905E-3</v>
      </c>
      <c r="R175" s="1">
        <v>0.15240000000000001</v>
      </c>
      <c r="S175" s="4">
        <v>3380886.34765625</v>
      </c>
      <c r="T175" s="1">
        <v>551.03814075669595</v>
      </c>
      <c r="U175" s="5">
        <v>585.22110890238002</v>
      </c>
      <c r="V175" s="1">
        <v>0.03</v>
      </c>
      <c r="W175" s="3">
        <v>83881.080291245598</v>
      </c>
      <c r="X175" s="1">
        <v>2.7526308797267501E-2</v>
      </c>
      <c r="Y175" s="1">
        <v>6.0273444501828601</v>
      </c>
      <c r="Z175" s="1">
        <v>6.02734448036861</v>
      </c>
      <c r="AA175" s="1">
        <v>-3.0185753452372001E-8</v>
      </c>
      <c r="AB175" s="1">
        <v>7.4380277893052797E-6</v>
      </c>
      <c r="AC175" s="1">
        <v>689.56169051886502</v>
      </c>
      <c r="AD175" s="1">
        <v>2460.15808360652</v>
      </c>
      <c r="AE175" s="1">
        <v>585.22110890238002</v>
      </c>
      <c r="AF175" s="6">
        <v>0</v>
      </c>
      <c r="AG175" s="1">
        <v>7.5056050981651996E-6</v>
      </c>
      <c r="AH175" s="1">
        <v>48.871888306806902</v>
      </c>
      <c r="AI175" s="1">
        <v>0.29534759754204998</v>
      </c>
      <c r="AJ175" s="1">
        <v>19.385800582267098</v>
      </c>
      <c r="AK175" s="1">
        <v>3.8127433516572</v>
      </c>
      <c r="AL175" s="1">
        <v>1.5871354414155801</v>
      </c>
      <c r="AM175" s="1">
        <v>626.57723582204903</v>
      </c>
      <c r="AN175" s="1">
        <v>1.59193405124824E-8</v>
      </c>
      <c r="AO175" s="1">
        <v>6.7577308859925903E-8</v>
      </c>
      <c r="AP175" s="1">
        <v>2.7239410138607698</v>
      </c>
      <c r="AQ175" s="1">
        <v>2.5504625569601401E-5</v>
      </c>
      <c r="AR175" s="1">
        <v>3.7865912035125598E-6</v>
      </c>
      <c r="AS175" s="1">
        <v>9.7801710851808608</v>
      </c>
      <c r="AT175" s="1">
        <v>8.3517848863299804</v>
      </c>
      <c r="AU175" s="1">
        <v>2.4666796013655699</v>
      </c>
      <c r="AV175" s="1">
        <v>0.25726141249520801</v>
      </c>
      <c r="AW175" s="1">
        <v>5.9005158999512301E-3</v>
      </c>
      <c r="AX175" s="1">
        <v>0.25726141060186197</v>
      </c>
      <c r="AY175" s="1">
        <v>1.8933462020420702E-9</v>
      </c>
      <c r="AZ175" s="1">
        <v>839091.99888317997</v>
      </c>
      <c r="BA175" s="1">
        <v>9.3631343115805698E-6</v>
      </c>
      <c r="BB175" s="4">
        <v>3392981.2057726099</v>
      </c>
      <c r="BC175" s="4">
        <v>12094.858116356199</v>
      </c>
      <c r="BD175" s="7">
        <v>0.35774222711570203</v>
      </c>
      <c r="BE175" s="4">
        <v>4132512.9</v>
      </c>
      <c r="BF175" s="1">
        <v>0.82104552069821901</v>
      </c>
      <c r="BG175" s="1">
        <v>1</v>
      </c>
      <c r="BH175" s="1">
        <v>-1.0999999999999999E-2</v>
      </c>
      <c r="BI175" s="1">
        <v>4.5999999999999999E-2</v>
      </c>
      <c r="BJ175" s="1">
        <v>5625</v>
      </c>
      <c r="BK175" s="1">
        <v>1</v>
      </c>
      <c r="BL175" s="1">
        <v>75.539095081272094</v>
      </c>
      <c r="BM175" s="1">
        <v>3.3929812057726099</v>
      </c>
      <c r="BN175" s="1">
        <v>75.539095081272094</v>
      </c>
      <c r="BO175" s="1">
        <v>1</v>
      </c>
      <c r="BP175" s="1">
        <v>1263.0272791957</v>
      </c>
      <c r="BQ175" s="1">
        <v>1</v>
      </c>
      <c r="BR175" s="1">
        <v>0.15240000000000001</v>
      </c>
    </row>
    <row r="176" spans="1:70">
      <c r="A176" s="2" t="s">
        <v>244</v>
      </c>
      <c r="B176" s="1">
        <v>17236893.2329209</v>
      </c>
      <c r="C176" s="1">
        <v>626.57723583796803</v>
      </c>
      <c r="D176" s="1">
        <v>122.583590976701</v>
      </c>
      <c r="E176" s="1">
        <v>560.26337686439001</v>
      </c>
      <c r="F176" s="1">
        <v>2538890.6454807199</v>
      </c>
      <c r="G176" s="1">
        <v>1699798.64659754</v>
      </c>
      <c r="H176" s="1">
        <v>2.4290890628326198E-5</v>
      </c>
      <c r="I176" s="1">
        <v>6.4066005508525405E-5</v>
      </c>
      <c r="J176" s="1">
        <v>0.452884810527584</v>
      </c>
      <c r="K176" s="1">
        <v>11219.515372648901</v>
      </c>
      <c r="L176" s="1">
        <v>3.02925386118211E-3</v>
      </c>
      <c r="M176" s="1">
        <v>175</v>
      </c>
      <c r="N176" s="1">
        <v>2848.0830000000001</v>
      </c>
      <c r="O176" s="3">
        <v>2.8502295699234199E-6</v>
      </c>
      <c r="P176" s="3">
        <v>5.98473400508856E-3</v>
      </c>
      <c r="Q176" s="3">
        <v>1.905E-3</v>
      </c>
      <c r="R176" s="1">
        <v>0.15240000000000001</v>
      </c>
      <c r="S176" s="4">
        <v>6278063.96484375</v>
      </c>
      <c r="T176" s="1">
        <v>474.87307781161599</v>
      </c>
      <c r="U176" s="5">
        <v>537.74387614745797</v>
      </c>
      <c r="V176" s="1">
        <v>0.03</v>
      </c>
      <c r="W176" s="3">
        <v>84687.629140199904</v>
      </c>
      <c r="X176" s="1">
        <v>2.74174892535737E-2</v>
      </c>
      <c r="Y176" s="1">
        <v>6.0392938184881597</v>
      </c>
      <c r="Z176" s="1">
        <v>6.0392938316842102</v>
      </c>
      <c r="AA176" s="1">
        <v>-1.31960531390973E-8</v>
      </c>
      <c r="AB176" s="1">
        <v>7.3259874902453803E-6</v>
      </c>
      <c r="AC176" s="1">
        <v>761.59762223365499</v>
      </c>
      <c r="AD176" s="1">
        <v>2478.8989676378101</v>
      </c>
      <c r="AE176" s="1">
        <v>537.74387614745797</v>
      </c>
      <c r="AF176" s="6">
        <v>0</v>
      </c>
      <c r="AG176" s="1">
        <v>7.4468232207589699E-6</v>
      </c>
      <c r="AH176" s="1">
        <v>49.619312594496101</v>
      </c>
      <c r="AI176" s="1">
        <v>0.29759748347878701</v>
      </c>
      <c r="AJ176" s="1">
        <v>19.3804959518327</v>
      </c>
      <c r="AK176" s="1">
        <v>8.1741634208679095</v>
      </c>
      <c r="AL176" s="1">
        <v>1.5871354414155801</v>
      </c>
      <c r="AM176" s="1">
        <v>626.577235878274</v>
      </c>
      <c r="AN176" s="1">
        <v>-4.0306190385308602E-8</v>
      </c>
      <c r="AO176" s="1">
        <v>1.2083573051359301E-7</v>
      </c>
      <c r="AP176" s="1">
        <v>2.7522331409495902</v>
      </c>
      <c r="AQ176" s="1">
        <v>2.4982960973471E-5</v>
      </c>
      <c r="AR176" s="1">
        <v>3.7838294756362801E-6</v>
      </c>
      <c r="AS176" s="1">
        <v>9.8474865940916505</v>
      </c>
      <c r="AT176" s="1">
        <v>8.3860812725527598</v>
      </c>
      <c r="AU176" s="1">
        <v>2.4956766829602901</v>
      </c>
      <c r="AV176" s="1">
        <v>0.25655645798929899</v>
      </c>
      <c r="AW176" s="1">
        <v>5.8116354084063104E-3</v>
      </c>
      <c r="AX176" s="1">
        <v>0.25655644981672598</v>
      </c>
      <c r="AY176" s="1">
        <v>8.1725728406922793E-9</v>
      </c>
      <c r="AZ176" s="1">
        <v>839091.99888317997</v>
      </c>
      <c r="BA176" s="1">
        <v>9.07734181445518E-6</v>
      </c>
      <c r="BB176" s="4">
        <v>6258042.3378953803</v>
      </c>
      <c r="BC176" s="4">
        <v>-20021.6269483697</v>
      </c>
      <c r="BD176" s="7">
        <v>-0.31891403242285998</v>
      </c>
      <c r="BE176" s="4">
        <v>6056812.7999999998</v>
      </c>
      <c r="BF176" s="1">
        <v>1.0332236680478799</v>
      </c>
      <c r="BG176" s="1">
        <v>1</v>
      </c>
      <c r="BH176" s="1">
        <v>-0.182</v>
      </c>
      <c r="BI176" s="1">
        <v>4.5999999999999999E-2</v>
      </c>
      <c r="BJ176" s="1">
        <v>5625</v>
      </c>
      <c r="BK176" s="1">
        <v>1</v>
      </c>
      <c r="BL176" s="1">
        <v>151.70415802635199</v>
      </c>
      <c r="BM176" s="1">
        <v>6.2580423378953798</v>
      </c>
      <c r="BN176" s="1">
        <v>151.70415802635199</v>
      </c>
      <c r="BO176" s="1">
        <v>1</v>
      </c>
      <c r="BP176" s="1">
        <v>12477.818920376199</v>
      </c>
      <c r="BQ176" s="1">
        <v>1</v>
      </c>
      <c r="BR176" s="1">
        <v>0.15240000000000001</v>
      </c>
    </row>
    <row r="177" spans="1:70">
      <c r="A177" s="2" t="s">
        <v>245</v>
      </c>
      <c r="B177" s="1">
        <v>17236893.2329209</v>
      </c>
      <c r="C177" s="1">
        <v>626.57723583796803</v>
      </c>
      <c r="D177" s="1">
        <v>122.583590976701</v>
      </c>
      <c r="E177" s="1">
        <v>560.26337686439001</v>
      </c>
      <c r="F177" s="1">
        <v>2538890.6454807199</v>
      </c>
      <c r="G177" s="1">
        <v>1699798.64659754</v>
      </c>
      <c r="H177" s="1">
        <v>2.4290890628326198E-5</v>
      </c>
      <c r="I177" s="1">
        <v>6.4066005508525405E-5</v>
      </c>
      <c r="J177" s="1">
        <v>0.452884810527584</v>
      </c>
      <c r="K177" s="1">
        <v>11219.515372648901</v>
      </c>
      <c r="L177" s="1">
        <v>3.02925386118211E-3</v>
      </c>
      <c r="M177" s="1">
        <v>176</v>
      </c>
      <c r="N177" s="1">
        <v>2848.0830000000001</v>
      </c>
      <c r="O177" s="3">
        <v>2.8502295699234199E-6</v>
      </c>
      <c r="P177" s="3">
        <v>5.98473400508856E-3</v>
      </c>
      <c r="Q177" s="3">
        <v>1.905E-3</v>
      </c>
      <c r="R177" s="1">
        <v>0.15240000000000001</v>
      </c>
      <c r="S177" s="4">
        <v>3378851.07421875</v>
      </c>
      <c r="T177" s="1">
        <v>551.548441132118</v>
      </c>
      <c r="U177" s="5">
        <v>585.38547523747798</v>
      </c>
      <c r="V177" s="1">
        <v>0.03</v>
      </c>
      <c r="W177" s="3">
        <v>84687.629140199904</v>
      </c>
      <c r="X177" s="1">
        <v>2.74174892535737E-2</v>
      </c>
      <c r="Y177" s="1">
        <v>6.0392938184881597</v>
      </c>
      <c r="Z177" s="1">
        <v>6.0392938316842102</v>
      </c>
      <c r="AA177" s="1">
        <v>-1.31960531390973E-8</v>
      </c>
      <c r="AB177" s="1">
        <v>7.3259874902453803E-6</v>
      </c>
      <c r="AC177" s="1">
        <v>688.80484788828198</v>
      </c>
      <c r="AD177" s="1">
        <v>2478.8989676378101</v>
      </c>
      <c r="AE177" s="1">
        <v>585.38547523747798</v>
      </c>
      <c r="AF177" s="6">
        <v>0</v>
      </c>
      <c r="AG177" s="1">
        <v>7.3931100003053802E-6</v>
      </c>
      <c r="AH177" s="1">
        <v>49.619312594496101</v>
      </c>
      <c r="AI177" s="1">
        <v>0.29759748347878701</v>
      </c>
      <c r="AJ177" s="1">
        <v>19.240706296472201</v>
      </c>
      <c r="AK177" s="1">
        <v>3.7764248653930999</v>
      </c>
      <c r="AL177" s="1">
        <v>1.5871354414155801</v>
      </c>
      <c r="AM177" s="1">
        <v>626.577235893124</v>
      </c>
      <c r="AN177" s="1">
        <v>-5.5155624067992903E-8</v>
      </c>
      <c r="AO177" s="1">
        <v>6.7122510060004999E-8</v>
      </c>
      <c r="AP177" s="1">
        <v>2.7327849201010301</v>
      </c>
      <c r="AQ177" s="1">
        <v>2.5339815281526499E-5</v>
      </c>
      <c r="AR177" s="1">
        <v>3.73011625518269E-6</v>
      </c>
      <c r="AS177" s="1">
        <v>9.7076969387311198</v>
      </c>
      <c r="AT177" s="1">
        <v>8.3145953484691706</v>
      </c>
      <c r="AU177" s="1">
        <v>2.4744026518488602</v>
      </c>
      <c r="AV177" s="1">
        <v>0.25838226825217298</v>
      </c>
      <c r="AW177" s="1">
        <v>5.8116354084063104E-3</v>
      </c>
      <c r="AX177" s="1">
        <v>0.25838226730402902</v>
      </c>
      <c r="AY177" s="1">
        <v>9.4814439632884294E-10</v>
      </c>
      <c r="AZ177" s="1">
        <v>839091.99888317997</v>
      </c>
      <c r="BA177" s="1">
        <v>9.2725245573258296E-6</v>
      </c>
      <c r="BB177" s="4">
        <v>3403078.8425274398</v>
      </c>
      <c r="BC177" s="4">
        <v>24227.768308694001</v>
      </c>
      <c r="BD177" s="7">
        <v>0.71704161493107199</v>
      </c>
      <c r="BE177" s="4">
        <v>4195604.7</v>
      </c>
      <c r="BF177" s="1">
        <v>0.81110568937236704</v>
      </c>
      <c r="BG177" s="1">
        <v>1</v>
      </c>
      <c r="BH177" s="1">
        <v>-5.0000000000000001E-3</v>
      </c>
      <c r="BI177" s="1">
        <v>4.5999999999999999E-2</v>
      </c>
      <c r="BJ177" s="1">
        <v>5625</v>
      </c>
      <c r="BK177" s="1">
        <v>1</v>
      </c>
      <c r="BL177" s="1">
        <v>75.028794705850004</v>
      </c>
      <c r="BM177" s="1">
        <v>3.4030788425274401</v>
      </c>
      <c r="BN177" s="1">
        <v>75.028794705850004</v>
      </c>
      <c r="BO177" s="1">
        <v>1</v>
      </c>
      <c r="BP177" s="1">
        <v>1227.01645854459</v>
      </c>
      <c r="BQ177" s="1">
        <v>1</v>
      </c>
      <c r="BR177" s="1">
        <v>0.15240000000000001</v>
      </c>
    </row>
    <row r="178" spans="1:70">
      <c r="A178" s="2" t="s">
        <v>246</v>
      </c>
      <c r="B178" s="1">
        <v>17236893.2329209</v>
      </c>
      <c r="C178" s="1">
        <v>626.57723583796803</v>
      </c>
      <c r="D178" s="1">
        <v>122.583590976701</v>
      </c>
      <c r="E178" s="1">
        <v>560.26337686439001</v>
      </c>
      <c r="F178" s="1">
        <v>2538890.6454807199</v>
      </c>
      <c r="G178" s="1">
        <v>1699798.64659754</v>
      </c>
      <c r="H178" s="1">
        <v>2.4290890628326198E-5</v>
      </c>
      <c r="I178" s="1">
        <v>6.4066005508525405E-5</v>
      </c>
      <c r="J178" s="1">
        <v>0.452884810527584</v>
      </c>
      <c r="K178" s="1">
        <v>11219.515372648901</v>
      </c>
      <c r="L178" s="1">
        <v>3.02925386118211E-3</v>
      </c>
      <c r="M178" s="1">
        <v>177</v>
      </c>
      <c r="N178" s="1">
        <v>2875.2076000000002</v>
      </c>
      <c r="O178" s="3">
        <v>2.8502295699234199E-6</v>
      </c>
      <c r="P178" s="3">
        <v>5.98473400508856E-3</v>
      </c>
      <c r="Q178" s="3">
        <v>1.905E-3</v>
      </c>
      <c r="R178" s="1">
        <v>0.15240000000000001</v>
      </c>
      <c r="S178" s="4">
        <v>4998843.65234375</v>
      </c>
      <c r="T178" s="1">
        <v>509.82521111723401</v>
      </c>
      <c r="U178" s="5">
        <v>559.41316929684501</v>
      </c>
      <c r="V178" s="1">
        <v>0.03</v>
      </c>
      <c r="W178" s="3">
        <v>85494.177989154094</v>
      </c>
      <c r="X178" s="1">
        <v>2.73103466117205E-2</v>
      </c>
      <c r="Y178" s="1">
        <v>6.0511287561987697</v>
      </c>
      <c r="Z178" s="1">
        <v>6.0511287704394796</v>
      </c>
      <c r="AA178" s="1">
        <v>-1.4240713497315501E-8</v>
      </c>
      <c r="AB178" s="1">
        <v>7.21661455980452E-6</v>
      </c>
      <c r="AC178" s="1">
        <v>727.57907428259296</v>
      </c>
      <c r="AD178" s="1">
        <v>2497.6130670733201</v>
      </c>
      <c r="AE178" s="1">
        <v>559.41317057263598</v>
      </c>
      <c r="AF178" s="6">
        <v>1.27579062336736E-6</v>
      </c>
      <c r="AG178" s="1">
        <v>7.3132384476773603E-6</v>
      </c>
      <c r="AH178" s="1">
        <v>50.371328595897701</v>
      </c>
      <c r="AI178" s="1">
        <v>0.29984415386361801</v>
      </c>
      <c r="AJ178" s="1">
        <v>19.1765248394141</v>
      </c>
      <c r="AK178" s="1">
        <v>6.1364118691965199</v>
      </c>
      <c r="AL178" s="1">
        <v>1.5871354414155801</v>
      </c>
      <c r="AM178" s="1">
        <v>626.57723581205801</v>
      </c>
      <c r="AN178" s="1">
        <v>2.5909685064107199E-8</v>
      </c>
      <c r="AO178" s="1">
        <v>9.6623887872843701E-8</v>
      </c>
      <c r="AP178" s="1">
        <v>2.7526553045083499</v>
      </c>
      <c r="AQ178" s="1">
        <v>2.4975298490683299E-5</v>
      </c>
      <c r="AR178" s="1">
        <v>3.7049311677750999E-6</v>
      </c>
      <c r="AS178" s="1">
        <v>9.7149443540601599</v>
      </c>
      <c r="AT178" s="1">
        <v>8.3183267748782495</v>
      </c>
      <c r="AU178" s="1">
        <v>2.49420165337445</v>
      </c>
      <c r="AV178" s="1">
        <v>0.25845365113390001</v>
      </c>
      <c r="AW178" s="1">
        <v>5.7248709147298396E-3</v>
      </c>
      <c r="AX178" s="1">
        <v>0.25845364261977299</v>
      </c>
      <c r="AY178" s="1">
        <v>8.5141277916811492E-9</v>
      </c>
      <c r="AZ178" s="1">
        <v>839091.99888317997</v>
      </c>
      <c r="BA178" s="1">
        <v>9.0731659898638008E-6</v>
      </c>
      <c r="BB178" s="4">
        <v>5006422.1420711903</v>
      </c>
      <c r="BC178" s="4">
        <v>7578.4897274356299</v>
      </c>
      <c r="BD178" s="7">
        <v>0.15160485613272601</v>
      </c>
      <c r="BE178" s="4">
        <v>5078889.9000000004</v>
      </c>
      <c r="BF178" s="1">
        <v>0.98573157533325995</v>
      </c>
      <c r="BG178" s="1">
        <v>1</v>
      </c>
      <c r="BH178" s="1">
        <v>-0.13100000000000001</v>
      </c>
      <c r="BI178" s="1">
        <v>4.5999999999999999E-2</v>
      </c>
      <c r="BJ178" s="1">
        <v>5625</v>
      </c>
      <c r="BK178" s="1">
        <v>1</v>
      </c>
      <c r="BL178" s="1">
        <v>116.752024720734</v>
      </c>
      <c r="BM178" s="1">
        <v>5.0064221420711901</v>
      </c>
      <c r="BN178" s="1">
        <v>116.752024720734</v>
      </c>
      <c r="BO178" s="1">
        <v>1</v>
      </c>
      <c r="BP178" s="1">
        <v>5890.87329873217</v>
      </c>
      <c r="BQ178" s="1">
        <v>1</v>
      </c>
      <c r="BR178" s="1">
        <v>0.15240000000000001</v>
      </c>
    </row>
    <row r="179" spans="1:70">
      <c r="A179" s="2" t="s">
        <v>247</v>
      </c>
      <c r="B179" s="1">
        <v>17236893.2329209</v>
      </c>
      <c r="C179" s="1">
        <v>626.57723583796803</v>
      </c>
      <c r="D179" s="1">
        <v>122.583590976701</v>
      </c>
      <c r="E179" s="1">
        <v>560.26337686439001</v>
      </c>
      <c r="F179" s="1">
        <v>2538890.6454807199</v>
      </c>
      <c r="G179" s="1">
        <v>1699798.64659754</v>
      </c>
      <c r="H179" s="1">
        <v>2.4290890628326198E-5</v>
      </c>
      <c r="I179" s="1">
        <v>6.4066005508525405E-5</v>
      </c>
      <c r="J179" s="1">
        <v>0.452884810527584</v>
      </c>
      <c r="K179" s="1">
        <v>11219.515372648901</v>
      </c>
      <c r="L179" s="1">
        <v>3.02925386118211E-3</v>
      </c>
      <c r="M179" s="1">
        <v>178</v>
      </c>
      <c r="N179" s="1">
        <v>2888.7698999999998</v>
      </c>
      <c r="O179" s="3">
        <v>2.8502295699234199E-6</v>
      </c>
      <c r="P179" s="3">
        <v>5.98473400508856E-3</v>
      </c>
      <c r="Q179" s="3">
        <v>1.905E-3</v>
      </c>
      <c r="R179" s="1">
        <v>0.15240000000000001</v>
      </c>
      <c r="S179" s="4">
        <v>6305664.0625</v>
      </c>
      <c r="T179" s="1">
        <v>475.39939134230099</v>
      </c>
      <c r="U179" s="5">
        <v>537.65718989493701</v>
      </c>
      <c r="V179" s="1">
        <v>0.03</v>
      </c>
      <c r="W179" s="3">
        <v>85897.452413631298</v>
      </c>
      <c r="X179" s="1">
        <v>2.7257390800543999E-2</v>
      </c>
      <c r="Y179" s="1">
        <v>6.0570039873577297</v>
      </c>
      <c r="Z179" s="1">
        <v>6.0570039906741799</v>
      </c>
      <c r="AA179" s="1">
        <v>-3.31644756101923E-9</v>
      </c>
      <c r="AB179" s="1">
        <v>7.1629011260640303E-6</v>
      </c>
      <c r="AC179" s="1">
        <v>760.13715317235005</v>
      </c>
      <c r="AD179" s="1">
        <v>2506.9601743329799</v>
      </c>
      <c r="AE179" s="1">
        <v>537.65718989493701</v>
      </c>
      <c r="AF179" s="6">
        <v>0</v>
      </c>
      <c r="AG179" s="1">
        <v>7.2831778316785697E-6</v>
      </c>
      <c r="AH179" s="1">
        <v>50.749055018940403</v>
      </c>
      <c r="AI179" s="1">
        <v>0.30096629544122799</v>
      </c>
      <c r="AJ179" s="1">
        <v>19.169172458375801</v>
      </c>
      <c r="AK179" s="1">
        <v>8.1155388555069994</v>
      </c>
      <c r="AL179" s="1">
        <v>1.5871354414155801</v>
      </c>
      <c r="AM179" s="1">
        <v>626.57723578996399</v>
      </c>
      <c r="AN179" s="1">
        <v>4.8004380914790097E-8</v>
      </c>
      <c r="AO179" s="1">
        <v>1.2027670561454001E-7</v>
      </c>
      <c r="AP179" s="1">
        <v>2.7660225058356902</v>
      </c>
      <c r="AQ179" s="1">
        <v>2.4734488335482698E-5</v>
      </c>
      <c r="AR179" s="1">
        <v>3.7017272686465499E-6</v>
      </c>
      <c r="AS179" s="1">
        <v>9.7428691220359998</v>
      </c>
      <c r="AT179" s="1">
        <v>8.3326782266391692</v>
      </c>
      <c r="AU179" s="1">
        <v>2.5078552969753698</v>
      </c>
      <c r="AV179" s="1">
        <v>0.25816720886031702</v>
      </c>
      <c r="AW179" s="1">
        <v>5.6822605644052003E-3</v>
      </c>
      <c r="AX179" s="1">
        <v>0.25816719497561202</v>
      </c>
      <c r="AY179" s="1">
        <v>1.38847046637913E-8</v>
      </c>
      <c r="AZ179" s="1">
        <v>839091.99888317997</v>
      </c>
      <c r="BA179" s="1">
        <v>8.9422585258429605E-6</v>
      </c>
      <c r="BB179" s="4">
        <v>6323188.33376987</v>
      </c>
      <c r="BC179" s="4">
        <v>17524.271269870002</v>
      </c>
      <c r="BD179" s="7">
        <v>0.27791317609333899</v>
      </c>
      <c r="BE179" s="4">
        <v>5993721</v>
      </c>
      <c r="BF179" s="1">
        <v>1.0549687470888101</v>
      </c>
      <c r="BG179" s="1">
        <v>1</v>
      </c>
      <c r="BH179" s="1">
        <v>-0.19900000000000001</v>
      </c>
      <c r="BI179" s="1">
        <v>4.5999999999999999E-2</v>
      </c>
      <c r="BJ179" s="1">
        <v>5625</v>
      </c>
      <c r="BK179" s="1">
        <v>1</v>
      </c>
      <c r="BL179" s="1">
        <v>151.17784449566699</v>
      </c>
      <c r="BM179" s="1">
        <v>6.3231883337698704</v>
      </c>
      <c r="BN179" s="1">
        <v>151.17784449566699</v>
      </c>
      <c r="BO179" s="1">
        <v>1</v>
      </c>
      <c r="BP179" s="1">
        <v>12360.5131067027</v>
      </c>
      <c r="BQ179" s="1">
        <v>1</v>
      </c>
      <c r="BR179" s="1">
        <v>0.15240000000000001</v>
      </c>
    </row>
    <row r="180" spans="1:70">
      <c r="A180" s="2" t="s">
        <v>248</v>
      </c>
      <c r="B180" s="1">
        <v>17236893.2329209</v>
      </c>
      <c r="C180" s="1">
        <v>626.57723583796803</v>
      </c>
      <c r="D180" s="1">
        <v>122.583590976701</v>
      </c>
      <c r="E180" s="1">
        <v>560.26337686439001</v>
      </c>
      <c r="F180" s="1">
        <v>2538890.6454807199</v>
      </c>
      <c r="G180" s="1">
        <v>1699798.64659754</v>
      </c>
      <c r="H180" s="1">
        <v>2.4290890628326198E-5</v>
      </c>
      <c r="I180" s="1">
        <v>6.4066005508525405E-5</v>
      </c>
      <c r="J180" s="1">
        <v>0.452884810527584</v>
      </c>
      <c r="K180" s="1">
        <v>11219.515372648901</v>
      </c>
      <c r="L180" s="1">
        <v>3.02925386118211E-3</v>
      </c>
      <c r="M180" s="1">
        <v>179</v>
      </c>
      <c r="N180" s="1">
        <v>2888.7698999999998</v>
      </c>
      <c r="O180" s="3">
        <v>2.8502295699234199E-6</v>
      </c>
      <c r="P180" s="3">
        <v>5.98473400508856E-3</v>
      </c>
      <c r="Q180" s="3">
        <v>1.905E-3</v>
      </c>
      <c r="R180" s="1">
        <v>0.15240000000000001</v>
      </c>
      <c r="S180" s="4">
        <v>5011364.74609375</v>
      </c>
      <c r="T180" s="1">
        <v>509.82521111723401</v>
      </c>
      <c r="U180" s="5">
        <v>559.303986666274</v>
      </c>
      <c r="V180" s="1">
        <v>0.03</v>
      </c>
      <c r="W180" s="3">
        <v>85897.452413631298</v>
      </c>
      <c r="X180" s="1">
        <v>2.7257390800543999E-2</v>
      </c>
      <c r="Y180" s="1">
        <v>6.0570039873577297</v>
      </c>
      <c r="Z180" s="1">
        <v>6.0570039906741799</v>
      </c>
      <c r="AA180" s="1">
        <v>-3.31644756101923E-9</v>
      </c>
      <c r="AB180" s="1">
        <v>7.1629011260640303E-6</v>
      </c>
      <c r="AC180" s="1">
        <v>727.34081168522403</v>
      </c>
      <c r="AD180" s="1">
        <v>2506.9601743329799</v>
      </c>
      <c r="AE180" s="1">
        <v>559.30398793968197</v>
      </c>
      <c r="AF180" s="6">
        <v>1.27340808830922E-6</v>
      </c>
      <c r="AG180" s="1">
        <v>7.2589916374258402E-6</v>
      </c>
      <c r="AH180" s="1">
        <v>50.749055018940403</v>
      </c>
      <c r="AI180" s="1">
        <v>0.30096629544122799</v>
      </c>
      <c r="AJ180" s="1">
        <v>19.1055148985225</v>
      </c>
      <c r="AK180" s="1">
        <v>6.1295828719753098</v>
      </c>
      <c r="AL180" s="1">
        <v>1.5871354414155801</v>
      </c>
      <c r="AM180" s="1">
        <v>626.57723579169794</v>
      </c>
      <c r="AN180" s="1">
        <v>4.6270201892184599E-8</v>
      </c>
      <c r="AO180" s="1">
        <v>9.6090511361817505E-8</v>
      </c>
      <c r="AP180" s="1">
        <v>2.7570026580319502</v>
      </c>
      <c r="AQ180" s="1">
        <v>2.4896596464259301E-5</v>
      </c>
      <c r="AR180" s="1">
        <v>3.6775410743938302E-6</v>
      </c>
      <c r="AS180" s="1">
        <v>9.6792115621827097</v>
      </c>
      <c r="AT180" s="1">
        <v>8.2999022389175092</v>
      </c>
      <c r="AU180" s="1">
        <v>2.4979908293713602</v>
      </c>
      <c r="AV180" s="1">
        <v>0.25901182866059602</v>
      </c>
      <c r="AW180" s="1">
        <v>5.6822605644052003E-3</v>
      </c>
      <c r="AX180" s="1">
        <v>0.25901181832039299</v>
      </c>
      <c r="AY180" s="1">
        <v>1.0340202527547901E-8</v>
      </c>
      <c r="AZ180" s="1">
        <v>839091.99888317997</v>
      </c>
      <c r="BA180" s="1">
        <v>9.0303128260425307E-6</v>
      </c>
      <c r="BB180" s="4">
        <v>5002412.7631623596</v>
      </c>
      <c r="BC180" s="4">
        <v>-8951.9829313876107</v>
      </c>
      <c r="BD180" s="7">
        <v>-0.17863363345015901</v>
      </c>
      <c r="BE180" s="4">
        <v>5078889.9000000004</v>
      </c>
      <c r="BF180" s="1">
        <v>0.98494215500957405</v>
      </c>
      <c r="BG180" s="1">
        <v>1</v>
      </c>
      <c r="BH180" s="1">
        <v>-0.13500000000000001</v>
      </c>
      <c r="BI180" s="1">
        <v>4.5999999999999999E-2</v>
      </c>
      <c r="BJ180" s="1">
        <v>5625</v>
      </c>
      <c r="BK180" s="1">
        <v>1</v>
      </c>
      <c r="BL180" s="1">
        <v>116.752024720734</v>
      </c>
      <c r="BM180" s="1">
        <v>5.0024127631623596</v>
      </c>
      <c r="BN180" s="1">
        <v>116.752024720734</v>
      </c>
      <c r="BO180" s="1">
        <v>1</v>
      </c>
      <c r="BP180" s="1">
        <v>5890.87329873217</v>
      </c>
      <c r="BQ180" s="1">
        <v>1</v>
      </c>
      <c r="BR180" s="1">
        <v>0.15240000000000001</v>
      </c>
    </row>
    <row r="181" spans="1:70">
      <c r="A181" s="2" t="s">
        <v>249</v>
      </c>
      <c r="B181" s="1">
        <v>17236893.2329209</v>
      </c>
      <c r="C181" s="1">
        <v>626.57723583796803</v>
      </c>
      <c r="D181" s="1">
        <v>122.583590976701</v>
      </c>
      <c r="E181" s="1">
        <v>560.26337686439001</v>
      </c>
      <c r="F181" s="1">
        <v>2538890.6454807199</v>
      </c>
      <c r="G181" s="1">
        <v>1699798.64659754</v>
      </c>
      <c r="H181" s="1">
        <v>2.4290890628326198E-5</v>
      </c>
      <c r="I181" s="1">
        <v>6.4066005508525405E-5</v>
      </c>
      <c r="J181" s="1">
        <v>0.452884810527584</v>
      </c>
      <c r="K181" s="1">
        <v>11219.515372648901</v>
      </c>
      <c r="L181" s="1">
        <v>3.02925386118211E-3</v>
      </c>
      <c r="M181" s="1">
        <v>180</v>
      </c>
      <c r="N181" s="1">
        <v>3444.8242</v>
      </c>
      <c r="O181" s="3">
        <v>2.8502295699234199E-6</v>
      </c>
      <c r="P181" s="3">
        <v>5.98473400508856E-3</v>
      </c>
      <c r="Q181" s="3">
        <v>1.905E-3</v>
      </c>
      <c r="R181" s="1">
        <v>0.15240000000000001</v>
      </c>
      <c r="S181" s="4">
        <v>3631959.86328125</v>
      </c>
      <c r="T181" s="1">
        <v>554.36509768241604</v>
      </c>
      <c r="U181" s="5">
        <v>584.43623525007604</v>
      </c>
      <c r="V181" s="1">
        <v>0.03</v>
      </c>
      <c r="W181" s="3">
        <v>102431.70381719399</v>
      </c>
      <c r="X181" s="1">
        <v>2.5384208624571501E-2</v>
      </c>
      <c r="Y181" s="1">
        <v>6.2765094318285302</v>
      </c>
      <c r="Z181" s="1">
        <v>6.2765094327444402</v>
      </c>
      <c r="AA181" s="1">
        <v>-9.1590290907106495E-10</v>
      </c>
      <c r="AB181" s="1">
        <v>5.4088057229598899E-6</v>
      </c>
      <c r="AC181" s="1">
        <v>680.92368076683999</v>
      </c>
      <c r="AD181" s="1">
        <v>2884.9694708627599</v>
      </c>
      <c r="AE181" s="1">
        <v>584.43623605931202</v>
      </c>
      <c r="AF181" s="6">
        <v>8.09236667009827E-7</v>
      </c>
      <c r="AG181" s="1">
        <v>5.4678948822404096E-6</v>
      </c>
      <c r="AH181" s="1">
        <v>67.207158467309</v>
      </c>
      <c r="AI181" s="1">
        <v>0.34634717495567102</v>
      </c>
      <c r="AJ181" s="1">
        <v>16.561375123517401</v>
      </c>
      <c r="AK181" s="1">
        <v>3.4745347840698102</v>
      </c>
      <c r="AL181" s="1">
        <v>1.5871354414155801</v>
      </c>
      <c r="AM181" s="1">
        <v>626.57723592647699</v>
      </c>
      <c r="AN181" s="1">
        <v>-8.8509409579273805E-8</v>
      </c>
      <c r="AO181" s="1">
        <v>5.90891592805222E-8</v>
      </c>
      <c r="AP181" s="1">
        <v>2.9058181096176101</v>
      </c>
      <c r="AQ181" s="1">
        <v>2.24118391899288E-5</v>
      </c>
      <c r="AR181" s="1">
        <v>2.7634920207604702E-6</v>
      </c>
      <c r="AS181" s="1">
        <v>8.3701733468417601</v>
      </c>
      <c r="AT181" s="1">
        <v>7.5733729739087998</v>
      </c>
      <c r="AU181" s="1">
        <v>2.6230163343989399</v>
      </c>
      <c r="AV181" s="1">
        <v>0.28280177521866801</v>
      </c>
      <c r="AW181" s="1">
        <v>4.2907535535105703E-3</v>
      </c>
      <c r="AX181" s="1">
        <v>0.28280177206185098</v>
      </c>
      <c r="AY181" s="1">
        <v>3.15681708551452E-9</v>
      </c>
      <c r="AZ181" s="1">
        <v>839091.99888317997</v>
      </c>
      <c r="BA181" s="1">
        <v>7.7127467530574495E-6</v>
      </c>
      <c r="BB181" s="4">
        <v>3601642.0963915</v>
      </c>
      <c r="BC181" s="4">
        <v>-30317.766889751001</v>
      </c>
      <c r="BD181" s="7">
        <v>-0.834749502500304</v>
      </c>
      <c r="BE181" s="4">
        <v>4921160.4000000004</v>
      </c>
      <c r="BF181" s="1">
        <v>0.73186846264785399</v>
      </c>
      <c r="BG181" s="1">
        <v>1</v>
      </c>
      <c r="BH181" s="1">
        <v>-5.0000000000000001E-3</v>
      </c>
      <c r="BI181" s="1">
        <v>4.5999999999999999E-2</v>
      </c>
      <c r="BJ181" s="1">
        <v>5625</v>
      </c>
      <c r="BK181" s="1">
        <v>1</v>
      </c>
      <c r="BL181" s="1">
        <v>72.212138155551997</v>
      </c>
      <c r="BM181" s="1">
        <v>3.6016420963915001</v>
      </c>
      <c r="BN181" s="1">
        <v>72.212138155551997</v>
      </c>
      <c r="BO181" s="1">
        <v>1</v>
      </c>
      <c r="BP181" s="1">
        <v>1037.62184455237</v>
      </c>
      <c r="BQ181" s="1">
        <v>1</v>
      </c>
      <c r="BR181" s="1">
        <v>0.15240000000000001</v>
      </c>
    </row>
    <row r="182" spans="1:70">
      <c r="A182" s="2" t="s">
        <v>250</v>
      </c>
      <c r="B182" s="1">
        <v>17236893.2329209</v>
      </c>
      <c r="C182" s="1">
        <v>626.57723583796803</v>
      </c>
      <c r="D182" s="1">
        <v>122.583590976701</v>
      </c>
      <c r="E182" s="1">
        <v>560.26337686439001</v>
      </c>
      <c r="F182" s="1">
        <v>2538890.6454807199</v>
      </c>
      <c r="G182" s="1">
        <v>1699798.64659754</v>
      </c>
      <c r="H182" s="1">
        <v>2.4290890628326198E-5</v>
      </c>
      <c r="I182" s="1">
        <v>6.4066005508525405E-5</v>
      </c>
      <c r="J182" s="1">
        <v>0.452884810527584</v>
      </c>
      <c r="K182" s="1">
        <v>11219.515372648901</v>
      </c>
      <c r="L182" s="1">
        <v>3.02925386118211E-3</v>
      </c>
      <c r="M182" s="1">
        <v>181</v>
      </c>
      <c r="N182" s="1">
        <v>3580.4472000000001</v>
      </c>
      <c r="O182" s="3">
        <v>2.8502295699234199E-6</v>
      </c>
      <c r="P182" s="3">
        <v>5.98473400508856E-3</v>
      </c>
      <c r="Q182" s="3">
        <v>1.905E-3</v>
      </c>
      <c r="R182" s="1">
        <v>0.15240000000000001</v>
      </c>
      <c r="S182" s="4">
        <v>4221380.37109375</v>
      </c>
      <c r="T182" s="1">
        <v>542.68385368854695</v>
      </c>
      <c r="U182" s="5">
        <v>576.31123845080799</v>
      </c>
      <c r="V182" s="1">
        <v>0.03</v>
      </c>
      <c r="W182" s="3">
        <v>106464.448061966</v>
      </c>
      <c r="X182" s="1">
        <v>2.4999929916971499E-2</v>
      </c>
      <c r="Y182" s="1">
        <v>6.3245641852352197</v>
      </c>
      <c r="Z182" s="1">
        <v>6.3245642254802004</v>
      </c>
      <c r="AA182" s="1">
        <v>-4.0244978016801302E-8</v>
      </c>
      <c r="AB182" s="1">
        <v>5.0837688903806498E-6</v>
      </c>
      <c r="AC182" s="1">
        <v>689.47613933606897</v>
      </c>
      <c r="AD182" s="1">
        <v>2975.76761714448</v>
      </c>
      <c r="AE182" s="1">
        <v>576.31123845080799</v>
      </c>
      <c r="AF182" s="6">
        <v>0</v>
      </c>
      <c r="AG182" s="1">
        <v>5.1501890422709202E-6</v>
      </c>
      <c r="AH182" s="1">
        <v>71.504128370130402</v>
      </c>
      <c r="AI182" s="1">
        <v>0.35724769982205101</v>
      </c>
      <c r="AJ182" s="1">
        <v>16.0900428075193</v>
      </c>
      <c r="AK182" s="1">
        <v>4.0636181127757904</v>
      </c>
      <c r="AL182" s="1">
        <v>1.5871354414155801</v>
      </c>
      <c r="AM182" s="1">
        <v>626.57723580084701</v>
      </c>
      <c r="AN182" s="1">
        <v>3.7121367313375198E-8</v>
      </c>
      <c r="AO182" s="1">
        <v>6.6420151890266197E-8</v>
      </c>
      <c r="AP182" s="1">
        <v>2.9454626210874402</v>
      </c>
      <c r="AQ182" s="1">
        <v>2.1812594117314801E-5</v>
      </c>
      <c r="AR182" s="1">
        <v>2.6083045970805898E-6</v>
      </c>
      <c r="AS182" s="1">
        <v>8.1487751765265006</v>
      </c>
      <c r="AT182" s="1">
        <v>7.4393381543503203</v>
      </c>
      <c r="AU182" s="1">
        <v>2.65768644384007</v>
      </c>
      <c r="AV182" s="1">
        <v>0.28777617724737298</v>
      </c>
      <c r="AW182" s="1">
        <v>4.0329049607073604E-3</v>
      </c>
      <c r="AX182" s="1">
        <v>0.28777617006115402</v>
      </c>
      <c r="AY182" s="1">
        <v>7.1862187311921802E-9</v>
      </c>
      <c r="AZ182" s="1">
        <v>839091.99888317997</v>
      </c>
      <c r="BA182" s="1">
        <v>7.4054900446374401E-6</v>
      </c>
      <c r="BB182" s="4">
        <v>4216458.94907331</v>
      </c>
      <c r="BC182" s="4">
        <v>-4921.4220204372004</v>
      </c>
      <c r="BD182" s="7">
        <v>-0.11658324026276</v>
      </c>
      <c r="BE182" s="4">
        <v>5394348.9000000004</v>
      </c>
      <c r="BF182" s="1">
        <v>0.78164372146438499</v>
      </c>
      <c r="BG182" s="1">
        <v>1</v>
      </c>
      <c r="BH182" s="1">
        <v>-4.4999999999999998E-2</v>
      </c>
      <c r="BI182" s="1">
        <v>4.5999999999999999E-2</v>
      </c>
      <c r="BJ182" s="1">
        <v>5625</v>
      </c>
      <c r="BK182" s="1">
        <v>1</v>
      </c>
      <c r="BL182" s="1">
        <v>83.8933821494211</v>
      </c>
      <c r="BM182" s="1">
        <v>4.21645894907331</v>
      </c>
      <c r="BN182" s="1">
        <v>83.8933821494211</v>
      </c>
      <c r="BO182" s="1">
        <v>1</v>
      </c>
      <c r="BP182" s="1">
        <v>1926.62899651512</v>
      </c>
      <c r="BQ182" s="1">
        <v>1</v>
      </c>
      <c r="BR182" s="1">
        <v>0.15240000000000001</v>
      </c>
    </row>
    <row r="183" spans="1:70">
      <c r="A183" s="2" t="s">
        <v>251</v>
      </c>
      <c r="B183" s="1">
        <v>17236893.2329209</v>
      </c>
      <c r="C183" s="1">
        <v>626.57723583796803</v>
      </c>
      <c r="D183" s="1">
        <v>122.583590976701</v>
      </c>
      <c r="E183" s="1">
        <v>560.26337686439001</v>
      </c>
      <c r="F183" s="1">
        <v>2538890.6454807199</v>
      </c>
      <c r="G183" s="1">
        <v>1699798.64659754</v>
      </c>
      <c r="H183" s="1">
        <v>2.4290890628326198E-5</v>
      </c>
      <c r="I183" s="1">
        <v>6.4066005508525405E-5</v>
      </c>
      <c r="J183" s="1">
        <v>0.452884810527584</v>
      </c>
      <c r="K183" s="1">
        <v>11219.515372648901</v>
      </c>
      <c r="L183" s="1">
        <v>3.02925386118211E-3</v>
      </c>
      <c r="M183" s="1">
        <v>182</v>
      </c>
      <c r="N183" s="1">
        <v>3607.5718000000002</v>
      </c>
      <c r="O183" s="3">
        <v>2.8502295699234199E-6</v>
      </c>
      <c r="P183" s="3">
        <v>5.98473400508856E-3</v>
      </c>
      <c r="Q183" s="3">
        <v>1.905E-3</v>
      </c>
      <c r="R183" s="1">
        <v>0.15240000000000001</v>
      </c>
      <c r="S183" s="4">
        <v>4115340.52734375</v>
      </c>
      <c r="T183" s="1">
        <v>545.51979880609497</v>
      </c>
      <c r="U183" s="5">
        <v>578.05598719493196</v>
      </c>
      <c r="V183" s="1">
        <v>0.03</v>
      </c>
      <c r="W183" s="3">
        <v>107270.99691092</v>
      </c>
      <c r="X183" s="1">
        <v>2.49258812093941E-2</v>
      </c>
      <c r="Y183" s="1">
        <v>6.33395158653222</v>
      </c>
      <c r="Z183" s="1">
        <v>6.3339516227232</v>
      </c>
      <c r="AA183" s="1">
        <v>-3.6190980878814103E-8</v>
      </c>
      <c r="AB183" s="1">
        <v>5.0224850177624702E-6</v>
      </c>
      <c r="AC183" s="1">
        <v>686.90439531517904</v>
      </c>
      <c r="AD183" s="1">
        <v>2993.8675842437601</v>
      </c>
      <c r="AE183" s="1">
        <v>578.05598719493196</v>
      </c>
      <c r="AF183" s="6">
        <v>0</v>
      </c>
      <c r="AG183" s="1">
        <v>5.0868674831858503E-6</v>
      </c>
      <c r="AH183" s="1">
        <v>72.376614774611696</v>
      </c>
      <c r="AI183" s="1">
        <v>0.35942064221708903</v>
      </c>
      <c r="AJ183" s="1">
        <v>15.988879436486901</v>
      </c>
      <c r="AK183" s="1">
        <v>3.9064656697385902</v>
      </c>
      <c r="AL183" s="1">
        <v>1.5871354414155801</v>
      </c>
      <c r="AM183" s="1">
        <v>626.57723578871298</v>
      </c>
      <c r="AN183" s="1">
        <v>4.9254595069214702E-8</v>
      </c>
      <c r="AO183" s="1">
        <v>6.4382465423374999E-8</v>
      </c>
      <c r="AP183" s="1">
        <v>2.9510677638246898</v>
      </c>
      <c r="AQ183" s="1">
        <v>2.1729812830829301E-5</v>
      </c>
      <c r="AR183" s="1">
        <v>2.5756249743046101E-6</v>
      </c>
      <c r="AS183" s="1">
        <v>8.0956221729545899</v>
      </c>
      <c r="AT183" s="1">
        <v>7.4066172154787804</v>
      </c>
      <c r="AU183" s="1">
        <v>2.6620911162435301</v>
      </c>
      <c r="AV183" s="1">
        <v>0.28897664758115899</v>
      </c>
      <c r="AW183" s="1">
        <v>3.9842890540399897E-3</v>
      </c>
      <c r="AX183" s="1">
        <v>0.288976639711924</v>
      </c>
      <c r="AY183" s="1">
        <v>7.8692348748354796E-9</v>
      </c>
      <c r="AZ183" s="1">
        <v>839091.99888317997</v>
      </c>
      <c r="BA183" s="1">
        <v>7.36337304659745E-6</v>
      </c>
      <c r="BB183" s="4">
        <v>4110480.7085094401</v>
      </c>
      <c r="BC183" s="4">
        <v>-4859.8188343141201</v>
      </c>
      <c r="BD183" s="7">
        <v>-0.11809032088654101</v>
      </c>
      <c r="BE183" s="4">
        <v>4984252.2</v>
      </c>
      <c r="BF183" s="1">
        <v>0.82469356356193901</v>
      </c>
      <c r="BG183" s="1">
        <v>1</v>
      </c>
      <c r="BH183" s="1">
        <v>-7.5999999999999998E-2</v>
      </c>
      <c r="BI183" s="1">
        <v>4.5999999999999999E-2</v>
      </c>
      <c r="BJ183" s="1">
        <v>5625</v>
      </c>
      <c r="BK183" s="1">
        <v>1</v>
      </c>
      <c r="BL183" s="1">
        <v>81.057437031873107</v>
      </c>
      <c r="BM183" s="1">
        <v>4.1104807085094404</v>
      </c>
      <c r="BN183" s="1">
        <v>81.057437031873107</v>
      </c>
      <c r="BO183" s="1">
        <v>1</v>
      </c>
      <c r="BP183" s="1">
        <v>1685.71313562622</v>
      </c>
      <c r="BQ183" s="1">
        <v>1</v>
      </c>
      <c r="BR183" s="1">
        <v>0.15240000000000001</v>
      </c>
    </row>
    <row r="184" spans="1:70">
      <c r="A184" s="2" t="s">
        <v>252</v>
      </c>
      <c r="B184" s="1">
        <v>17236893.2329209</v>
      </c>
      <c r="C184" s="1">
        <v>626.57723583796803</v>
      </c>
      <c r="D184" s="1">
        <v>122.583590976701</v>
      </c>
      <c r="E184" s="1">
        <v>560.26337686439001</v>
      </c>
      <c r="F184" s="1">
        <v>2538890.6454807199</v>
      </c>
      <c r="G184" s="1">
        <v>1699798.64659754</v>
      </c>
      <c r="H184" s="1">
        <v>2.4290890628326198E-5</v>
      </c>
      <c r="I184" s="1">
        <v>6.4066005508525405E-5</v>
      </c>
      <c r="J184" s="1">
        <v>0.452884810527584</v>
      </c>
      <c r="K184" s="1">
        <v>11219.515372648901</v>
      </c>
      <c r="L184" s="1">
        <v>3.02925386118211E-3</v>
      </c>
      <c r="M184" s="1">
        <v>183</v>
      </c>
      <c r="N184" s="1">
        <v>3621.1341000000002</v>
      </c>
      <c r="O184" s="3">
        <v>2.8502295699234199E-6</v>
      </c>
      <c r="P184" s="3">
        <v>5.98473400508856E-3</v>
      </c>
      <c r="Q184" s="3">
        <v>1.905E-3</v>
      </c>
      <c r="R184" s="1">
        <v>0.15240000000000001</v>
      </c>
      <c r="S184" s="4">
        <v>3801870.99609375</v>
      </c>
      <c r="T184" s="1">
        <v>552.84412708824402</v>
      </c>
      <c r="U184" s="5">
        <v>582.78942573032896</v>
      </c>
      <c r="V184" s="1">
        <v>0.03</v>
      </c>
      <c r="W184" s="3">
        <v>107674.271335397</v>
      </c>
      <c r="X184" s="1">
        <v>2.4889192575288498E-2</v>
      </c>
      <c r="Y184" s="1">
        <v>6.3386182396680697</v>
      </c>
      <c r="Z184" s="1">
        <v>6.3386182738389296</v>
      </c>
      <c r="AA184" s="1">
        <v>-3.4170855478521402E-8</v>
      </c>
      <c r="AB184" s="1">
        <v>4.9922820455158096E-6</v>
      </c>
      <c r="AC184" s="1">
        <v>680.81293541784601</v>
      </c>
      <c r="AD184" s="1">
        <v>3002.91027719972</v>
      </c>
      <c r="AE184" s="1">
        <v>582.78942573032896</v>
      </c>
      <c r="AF184" s="6">
        <v>0</v>
      </c>
      <c r="AG184" s="1">
        <v>5.05193082825389E-6</v>
      </c>
      <c r="AH184" s="1">
        <v>72.814488449899798</v>
      </c>
      <c r="AI184" s="1">
        <v>0.36050623816218302</v>
      </c>
      <c r="AJ184" s="1">
        <v>15.927028875449601</v>
      </c>
      <c r="AK184" s="1">
        <v>3.5170072718552898</v>
      </c>
      <c r="AL184" s="1">
        <v>1.5871354414155801</v>
      </c>
      <c r="AM184" s="1">
        <v>626.57723579623701</v>
      </c>
      <c r="AN184" s="1">
        <v>4.1730572775122703E-8</v>
      </c>
      <c r="AO184" s="1">
        <v>5.9648782738076899E-8</v>
      </c>
      <c r="AP184" s="1">
        <v>2.9514450813664501</v>
      </c>
      <c r="AQ184" s="1">
        <v>2.1724257236708399E-5</v>
      </c>
      <c r="AR184" s="1">
        <v>2.5557898054959801E-6</v>
      </c>
      <c r="AS184" s="1">
        <v>8.0575406543686796</v>
      </c>
      <c r="AT184" s="1">
        <v>7.3830419011302801</v>
      </c>
      <c r="AU184" s="1">
        <v>2.6616326619702502</v>
      </c>
      <c r="AV184" s="1">
        <v>0.289812419396207</v>
      </c>
      <c r="AW184" s="1">
        <v>3.9603293266746997E-3</v>
      </c>
      <c r="AX184" s="1">
        <v>0.289812411404342</v>
      </c>
      <c r="AY184" s="1">
        <v>7.9918657247546304E-9</v>
      </c>
      <c r="AZ184" s="1">
        <v>839091.99888317997</v>
      </c>
      <c r="BA184" s="1">
        <v>7.3605493708358498E-6</v>
      </c>
      <c r="BB184" s="4">
        <v>3809720.9819438099</v>
      </c>
      <c r="BC184" s="4">
        <v>7849.9858500603596</v>
      </c>
      <c r="BD184" s="7">
        <v>0.20647691250244599</v>
      </c>
      <c r="BE184" s="4">
        <v>5110435.8</v>
      </c>
      <c r="BF184" s="1">
        <v>0.74547868930156802</v>
      </c>
      <c r="BG184" s="1">
        <v>1</v>
      </c>
      <c r="BH184" s="1">
        <v>-2.1000000000000001E-2</v>
      </c>
      <c r="BI184" s="1">
        <v>4.5999999999999999E-2</v>
      </c>
      <c r="BJ184" s="1">
        <v>5625</v>
      </c>
      <c r="BK184" s="1">
        <v>1</v>
      </c>
      <c r="BL184" s="1">
        <v>73.733108749723996</v>
      </c>
      <c r="BM184" s="1">
        <v>3.8097209819438098</v>
      </c>
      <c r="BN184" s="1">
        <v>73.733108749723996</v>
      </c>
      <c r="BO184" s="1">
        <v>1</v>
      </c>
      <c r="BP184" s="1">
        <v>1137.9226259207101</v>
      </c>
      <c r="BQ184" s="1">
        <v>1</v>
      </c>
      <c r="BR184" s="1">
        <v>0.15240000000000001</v>
      </c>
    </row>
    <row r="185" spans="1:70">
      <c r="A185" s="2" t="s">
        <v>253</v>
      </c>
      <c r="B185" s="1">
        <v>17236893.2329209</v>
      </c>
      <c r="C185" s="1">
        <v>626.57723583796803</v>
      </c>
      <c r="D185" s="1">
        <v>122.583590976701</v>
      </c>
      <c r="E185" s="1">
        <v>560.26337686439001</v>
      </c>
      <c r="F185" s="1">
        <v>2538890.6454807199</v>
      </c>
      <c r="G185" s="1">
        <v>1699798.64659754</v>
      </c>
      <c r="H185" s="1">
        <v>2.4290890628326198E-5</v>
      </c>
      <c r="I185" s="1">
        <v>6.4066005508525405E-5</v>
      </c>
      <c r="J185" s="1">
        <v>0.452884810527584</v>
      </c>
      <c r="K185" s="1">
        <v>11219.515372648901</v>
      </c>
      <c r="L185" s="1">
        <v>3.02925386118211E-3</v>
      </c>
      <c r="M185" s="1">
        <v>184</v>
      </c>
      <c r="N185" s="1">
        <v>2088.5942</v>
      </c>
      <c r="O185" s="3">
        <v>2.8502295699234199E-6</v>
      </c>
      <c r="P185" s="3">
        <v>5.98473400508856E-3</v>
      </c>
      <c r="Q185" s="3">
        <v>1.905E-3</v>
      </c>
      <c r="R185" s="1">
        <v>0.69596000000000002</v>
      </c>
      <c r="S185" s="4">
        <v>4209182.8773437496</v>
      </c>
      <c r="T185" s="1">
        <v>296.59800912860601</v>
      </c>
      <c r="U185" s="5">
        <v>559.09173068124301</v>
      </c>
      <c r="V185" s="1">
        <v>0.03</v>
      </c>
      <c r="W185" s="3">
        <v>62104.2613694799</v>
      </c>
      <c r="X185" s="1">
        <v>3.1306557834014398E-2</v>
      </c>
      <c r="Y185" s="1">
        <v>5.6517421567611903</v>
      </c>
      <c r="Z185" s="1">
        <v>5.6517422024560604</v>
      </c>
      <c r="AA185" s="1">
        <v>-4.5694870998147501E-8</v>
      </c>
      <c r="AB185" s="1">
        <v>1.1930418629880701E-5</v>
      </c>
      <c r="AC185" s="1">
        <v>760.85989092691705</v>
      </c>
      <c r="AD185" s="1">
        <v>1942.51361513397</v>
      </c>
      <c r="AE185" s="1">
        <v>559.09173068124301</v>
      </c>
      <c r="AF185" s="6">
        <v>0</v>
      </c>
      <c r="AG185" s="1">
        <v>1.20456563997187E-5</v>
      </c>
      <c r="AH185" s="1">
        <v>30.469212742578101</v>
      </c>
      <c r="AI185" s="1">
        <v>0.233203196674861</v>
      </c>
      <c r="AJ185" s="1">
        <v>24.565723422235301</v>
      </c>
      <c r="AK185" s="1">
        <v>7.5382518061136201</v>
      </c>
      <c r="AL185" s="1">
        <v>1.5871354414155801</v>
      </c>
      <c r="AM185" s="1">
        <v>626.57723582087203</v>
      </c>
      <c r="AN185" s="1">
        <v>1.7096226656576599E-8</v>
      </c>
      <c r="AO185" s="1">
        <v>1.15237769837928E-7</v>
      </c>
      <c r="AP185" s="1">
        <v>2.45025877507612</v>
      </c>
      <c r="AQ185" s="1">
        <v>3.1520307331782497E-5</v>
      </c>
      <c r="AR185" s="1">
        <v>6.0804470847782898E-6</v>
      </c>
      <c r="AS185" s="1">
        <v>12.400368764602099</v>
      </c>
      <c r="AT185" s="1">
        <v>9.5386310562480308</v>
      </c>
      <c r="AU185" s="1">
        <v>2.22443925421915</v>
      </c>
      <c r="AV185" s="1">
        <v>0.22581952085696899</v>
      </c>
      <c r="AW185" s="1">
        <v>9.4642863421273392E-3</v>
      </c>
      <c r="AX185" s="1">
        <v>0.225819503924061</v>
      </c>
      <c r="AY185" s="1">
        <v>1.69329079646729E-8</v>
      </c>
      <c r="AZ185" s="1">
        <v>839091.99888317997</v>
      </c>
      <c r="BA185" s="1">
        <v>1.2864072828717099E-5</v>
      </c>
      <c r="BB185" s="4">
        <v>4211319.2866352601</v>
      </c>
      <c r="BC185" s="4">
        <v>2136.4092915114002</v>
      </c>
      <c r="BD185" s="7">
        <v>5.07559151922524E-2</v>
      </c>
      <c r="BE185" s="4">
        <v>2113575.2999999998</v>
      </c>
      <c r="BF185" s="1">
        <v>1.99250969986036</v>
      </c>
      <c r="BG185" s="1">
        <v>1</v>
      </c>
      <c r="BH185" s="1">
        <v>-0.127</v>
      </c>
      <c r="BI185" s="1">
        <v>4.5999999999999999E-2</v>
      </c>
      <c r="BJ185" s="1">
        <v>5625</v>
      </c>
      <c r="BK185" s="1">
        <v>1</v>
      </c>
      <c r="BL185" s="1">
        <v>329.97922670936202</v>
      </c>
      <c r="BM185" s="1">
        <v>4.21131928663526</v>
      </c>
      <c r="BN185" s="1">
        <v>329.97922670936202</v>
      </c>
      <c r="BO185" s="1">
        <v>1</v>
      </c>
      <c r="BP185" s="1">
        <v>84087.951922959604</v>
      </c>
      <c r="BQ185" s="1">
        <v>1</v>
      </c>
      <c r="BR185" s="1">
        <v>0.69596000000000002</v>
      </c>
    </row>
    <row r="186" spans="1:70">
      <c r="A186" s="2" t="s">
        <v>254</v>
      </c>
      <c r="B186" s="1">
        <v>17236893.2329209</v>
      </c>
      <c r="C186" s="1">
        <v>626.57723583796803</v>
      </c>
      <c r="D186" s="1">
        <v>122.583590976701</v>
      </c>
      <c r="E186" s="1">
        <v>560.26337686439001</v>
      </c>
      <c r="F186" s="1">
        <v>2538890.6454807199</v>
      </c>
      <c r="G186" s="1">
        <v>1699798.64659754</v>
      </c>
      <c r="H186" s="1">
        <v>2.4290890628326198E-5</v>
      </c>
      <c r="I186" s="1">
        <v>6.4066005508525405E-5</v>
      </c>
      <c r="J186" s="1">
        <v>0.452884810527584</v>
      </c>
      <c r="K186" s="1">
        <v>11219.515372648901</v>
      </c>
      <c r="L186" s="1">
        <v>3.02925386118211E-3</v>
      </c>
      <c r="M186" s="1">
        <v>185</v>
      </c>
      <c r="N186" s="1">
        <v>2088.5942</v>
      </c>
      <c r="O186" s="3">
        <v>2.8502295699234199E-6</v>
      </c>
      <c r="P186" s="3">
        <v>5.98473400508856E-3</v>
      </c>
      <c r="Q186" s="3">
        <v>1.905E-3</v>
      </c>
      <c r="R186" s="1">
        <v>0.69596000000000002</v>
      </c>
      <c r="S186" s="4">
        <v>4174835.99609375</v>
      </c>
      <c r="T186" s="1">
        <v>299.35406737670502</v>
      </c>
      <c r="U186" s="5">
        <v>559.70584334375906</v>
      </c>
      <c r="V186" s="1">
        <v>0.03</v>
      </c>
      <c r="W186" s="3">
        <v>62104.2613694799</v>
      </c>
      <c r="X186" s="1">
        <v>3.1306557834014398E-2</v>
      </c>
      <c r="Y186" s="1">
        <v>5.6517421567611903</v>
      </c>
      <c r="Z186" s="1">
        <v>5.6517422024560604</v>
      </c>
      <c r="AA186" s="1">
        <v>-4.5694870998147501E-8</v>
      </c>
      <c r="AB186" s="1">
        <v>1.1930418629880701E-5</v>
      </c>
      <c r="AC186" s="1">
        <v>759.63413465095596</v>
      </c>
      <c r="AD186" s="1">
        <v>1942.51361513397</v>
      </c>
      <c r="AE186" s="1">
        <v>559.70584334375906</v>
      </c>
      <c r="AF186" s="6">
        <v>0</v>
      </c>
      <c r="AG186" s="1">
        <v>1.2045277847659799E-5</v>
      </c>
      <c r="AH186" s="1">
        <v>30.469212742578101</v>
      </c>
      <c r="AI186" s="1">
        <v>0.233203196674861</v>
      </c>
      <c r="AJ186" s="1">
        <v>24.564951409082202</v>
      </c>
      <c r="AK186" s="1">
        <v>7.4695125395633504</v>
      </c>
      <c r="AL186" s="1">
        <v>1.5871354414155801</v>
      </c>
      <c r="AM186" s="1">
        <v>626.57723582118399</v>
      </c>
      <c r="AN186" s="1">
        <v>1.6783701539679899E-8</v>
      </c>
      <c r="AO186" s="1">
        <v>1.1485921777910201E-7</v>
      </c>
      <c r="AP186" s="1">
        <v>2.4501923059119801</v>
      </c>
      <c r="AQ186" s="1">
        <v>3.1522017529708697E-5</v>
      </c>
      <c r="AR186" s="1">
        <v>6.0800685327194598E-6</v>
      </c>
      <c r="AS186" s="1">
        <v>12.399596751449</v>
      </c>
      <c r="AT186" s="1">
        <v>9.5383197601888394</v>
      </c>
      <c r="AU186" s="1">
        <v>2.2243666589830302</v>
      </c>
      <c r="AV186" s="1">
        <v>0.22582564692894799</v>
      </c>
      <c r="AW186" s="1">
        <v>9.4642863421273392E-3</v>
      </c>
      <c r="AX186" s="1">
        <v>0.225825629987568</v>
      </c>
      <c r="AY186" s="1">
        <v>1.69413793826845E-8</v>
      </c>
      <c r="AZ186" s="1">
        <v>839091.99888317997</v>
      </c>
      <c r="BA186" s="1">
        <v>1.28651197922915E-5</v>
      </c>
      <c r="BB186" s="4">
        <v>4197143.6581179798</v>
      </c>
      <c r="BC186" s="4">
        <v>22307.6620242344</v>
      </c>
      <c r="BD186" s="7">
        <v>0.53433624806116797</v>
      </c>
      <c r="BE186" s="4">
        <v>2082029.4</v>
      </c>
      <c r="BF186" s="1">
        <v>2.0158906776810999</v>
      </c>
      <c r="BG186" s="1">
        <v>1</v>
      </c>
      <c r="BH186" s="1">
        <v>-0.14000000000000001</v>
      </c>
      <c r="BI186" s="1">
        <v>4.5999999999999999E-2</v>
      </c>
      <c r="BJ186" s="1">
        <v>5625</v>
      </c>
      <c r="BK186" s="1">
        <v>1</v>
      </c>
      <c r="BL186" s="1">
        <v>327.22316846126301</v>
      </c>
      <c r="BM186" s="1">
        <v>4.1971436581179802</v>
      </c>
      <c r="BN186" s="1">
        <v>327.22316846126301</v>
      </c>
      <c r="BO186" s="1">
        <v>1</v>
      </c>
      <c r="BP186" s="1">
        <v>82497.148500927098</v>
      </c>
      <c r="BQ186" s="1">
        <v>1</v>
      </c>
      <c r="BR186" s="1">
        <v>0.69596000000000002</v>
      </c>
    </row>
    <row r="187" spans="1:70">
      <c r="A187" s="2" t="s">
        <v>255</v>
      </c>
      <c r="B187" s="1">
        <v>17236893.2329209</v>
      </c>
      <c r="C187" s="1">
        <v>626.57723583796803</v>
      </c>
      <c r="D187" s="1">
        <v>122.583590976701</v>
      </c>
      <c r="E187" s="1">
        <v>560.26337686439001</v>
      </c>
      <c r="F187" s="1">
        <v>2538890.6454807199</v>
      </c>
      <c r="G187" s="1">
        <v>1699798.64659754</v>
      </c>
      <c r="H187" s="1">
        <v>2.4290890628326198E-5</v>
      </c>
      <c r="I187" s="1">
        <v>6.4066005508525405E-5</v>
      </c>
      <c r="J187" s="1">
        <v>0.452884810527584</v>
      </c>
      <c r="K187" s="1">
        <v>11219.515372648901</v>
      </c>
      <c r="L187" s="1">
        <v>3.02925386118211E-3</v>
      </c>
      <c r="M187" s="1">
        <v>186</v>
      </c>
      <c r="N187" s="1">
        <v>2197.0925999999999</v>
      </c>
      <c r="O187" s="3">
        <v>2.8502295699234199E-6</v>
      </c>
      <c r="P187" s="3">
        <v>5.98473400508856E-3</v>
      </c>
      <c r="Q187" s="3">
        <v>1.905E-3</v>
      </c>
      <c r="R187" s="1">
        <v>0.69596000000000002</v>
      </c>
      <c r="S187" s="4">
        <v>4356434.22265625</v>
      </c>
      <c r="T187" s="1">
        <v>298.84787197440301</v>
      </c>
      <c r="U187" s="5">
        <v>557.10837495113606</v>
      </c>
      <c r="V187" s="1">
        <v>0.03</v>
      </c>
      <c r="W187" s="3">
        <v>65330.456765297</v>
      </c>
      <c r="X187" s="1">
        <v>3.06170850033569E-2</v>
      </c>
      <c r="Y187" s="1">
        <v>5.71502428279324</v>
      </c>
      <c r="Z187" s="1">
        <v>5.7150243315446003</v>
      </c>
      <c r="AA187" s="1">
        <v>-4.8751357617504703E-8</v>
      </c>
      <c r="AB187" s="1">
        <v>1.10239840215693E-5</v>
      </c>
      <c r="AC187" s="1">
        <v>758.58446494079203</v>
      </c>
      <c r="AD187" s="1">
        <v>2020.79670666674</v>
      </c>
      <c r="AE187" s="1">
        <v>557.10837495113606</v>
      </c>
      <c r="AF187" s="6">
        <v>0</v>
      </c>
      <c r="AG187" s="1">
        <v>1.11374602091642E-5</v>
      </c>
      <c r="AH187" s="1">
        <v>32.974509272747099</v>
      </c>
      <c r="AI187" s="1">
        <v>0.24260126063117199</v>
      </c>
      <c r="AJ187" s="1">
        <v>23.628916442321199</v>
      </c>
      <c r="AK187" s="1">
        <v>7.4991626941410798</v>
      </c>
      <c r="AL187" s="1">
        <v>1.5871354414155801</v>
      </c>
      <c r="AM187" s="1">
        <v>626.57723579927404</v>
      </c>
      <c r="AN187" s="1">
        <v>3.8693997339578299E-8</v>
      </c>
      <c r="AO187" s="1">
        <v>1.1347618759494101E-7</v>
      </c>
      <c r="AP187" s="1">
        <v>2.4980901703179899</v>
      </c>
      <c r="AQ187" s="1">
        <v>3.03248128131615E-5</v>
      </c>
      <c r="AR187" s="1">
        <v>5.6254681983796002E-6</v>
      </c>
      <c r="AS187" s="1">
        <v>11.934832135164299</v>
      </c>
      <c r="AT187" s="1">
        <v>9.3473059738528903</v>
      </c>
      <c r="AU187" s="1">
        <v>2.2676682127619898</v>
      </c>
      <c r="AV187" s="1">
        <v>0.23042195755599501</v>
      </c>
      <c r="AW187" s="1">
        <v>8.7452204862162094E-3</v>
      </c>
      <c r="AX187" s="1">
        <v>0.230421948980919</v>
      </c>
      <c r="AY187" s="1">
        <v>8.5750757883307199E-9</v>
      </c>
      <c r="AZ187" s="1">
        <v>839091.99888317997</v>
      </c>
      <c r="BA187" s="1">
        <v>1.2139198646020601E-5</v>
      </c>
      <c r="BB187" s="4">
        <v>4394571.4788969196</v>
      </c>
      <c r="BC187" s="4">
        <v>38137.256240672403</v>
      </c>
      <c r="BD187" s="7">
        <v>0.87542366741897004</v>
      </c>
      <c r="BE187" s="4">
        <v>2429034.2999999998</v>
      </c>
      <c r="BF187" s="1">
        <v>1.8091846125420801</v>
      </c>
      <c r="BG187" s="1">
        <v>1</v>
      </c>
      <c r="BH187" s="1">
        <v>-4.7E-2</v>
      </c>
      <c r="BI187" s="1">
        <v>4.5999999999999999E-2</v>
      </c>
      <c r="BJ187" s="1">
        <v>5625</v>
      </c>
      <c r="BK187" s="1">
        <v>1</v>
      </c>
      <c r="BL187" s="1">
        <v>327.72936386356503</v>
      </c>
      <c r="BM187" s="1">
        <v>4.3945714788969203</v>
      </c>
      <c r="BN187" s="1">
        <v>327.72936386356503</v>
      </c>
      <c r="BO187" s="1">
        <v>1</v>
      </c>
      <c r="BP187" s="1">
        <v>82788.186829331797</v>
      </c>
      <c r="BQ187" s="1">
        <v>1</v>
      </c>
      <c r="BR187" s="1">
        <v>0.69596000000000002</v>
      </c>
    </row>
    <row r="188" spans="1:70">
      <c r="A188" s="2" t="s">
        <v>256</v>
      </c>
      <c r="B188" s="1">
        <v>17236893.2329209</v>
      </c>
      <c r="C188" s="1">
        <v>626.57723583796803</v>
      </c>
      <c r="D188" s="1">
        <v>122.583590976701</v>
      </c>
      <c r="E188" s="1">
        <v>560.26337686439001</v>
      </c>
      <c r="F188" s="1">
        <v>2538890.6454807199</v>
      </c>
      <c r="G188" s="1">
        <v>1699798.64659754</v>
      </c>
      <c r="H188" s="1">
        <v>2.4290890628326198E-5</v>
      </c>
      <c r="I188" s="1">
        <v>6.4066005508525405E-5</v>
      </c>
      <c r="J188" s="1">
        <v>0.452884810527584</v>
      </c>
      <c r="K188" s="1">
        <v>11219.515372648901</v>
      </c>
      <c r="L188" s="1">
        <v>3.02925386118211E-3</v>
      </c>
      <c r="M188" s="1">
        <v>187</v>
      </c>
      <c r="N188" s="1">
        <v>2414.0893999999998</v>
      </c>
      <c r="O188" s="3">
        <v>2.8502295699234199E-6</v>
      </c>
      <c r="P188" s="3">
        <v>5.98473400508856E-3</v>
      </c>
      <c r="Q188" s="3">
        <v>1.905E-3</v>
      </c>
      <c r="R188" s="1">
        <v>0.69596000000000002</v>
      </c>
      <c r="S188" s="4">
        <v>4716479.4921875</v>
      </c>
      <c r="T188" s="1">
        <v>297.72296123936098</v>
      </c>
      <c r="U188" s="5">
        <v>552.19483876594302</v>
      </c>
      <c r="V188" s="1">
        <v>0.03</v>
      </c>
      <c r="W188" s="3">
        <v>71782.847556931301</v>
      </c>
      <c r="X188" s="1">
        <v>2.93937295782228E-2</v>
      </c>
      <c r="Y188" s="1">
        <v>5.8327404707964403</v>
      </c>
      <c r="Z188" s="1">
        <v>5.8327404814836799</v>
      </c>
      <c r="AA188" s="1">
        <v>-1.06872386496093E-8</v>
      </c>
      <c r="AB188" s="1">
        <v>9.5112532420647704E-6</v>
      </c>
      <c r="AC188" s="1">
        <v>756.563152024283</v>
      </c>
      <c r="AD188" s="1">
        <v>2175.5698943971502</v>
      </c>
      <c r="AE188" s="1">
        <v>552.19483876594302</v>
      </c>
      <c r="AF188" s="6">
        <v>0</v>
      </c>
      <c r="AG188" s="1">
        <v>9.6199826835191797E-6</v>
      </c>
      <c r="AH188" s="1">
        <v>38.2189869295226</v>
      </c>
      <c r="AI188" s="1">
        <v>0.26118213535816798</v>
      </c>
      <c r="AJ188" s="1">
        <v>21.972645365759799</v>
      </c>
      <c r="AK188" s="1">
        <v>7.5540476227608604</v>
      </c>
      <c r="AL188" s="1">
        <v>1.5871354414155801</v>
      </c>
      <c r="AM188" s="1">
        <v>626.57723583961103</v>
      </c>
      <c r="AN188" s="1">
        <v>-1.6428884919150699E-9</v>
      </c>
      <c r="AO188" s="1">
        <v>1.08729441454416E-7</v>
      </c>
      <c r="AP188" s="1">
        <v>2.5873920324436601</v>
      </c>
      <c r="AQ188" s="1">
        <v>2.8267661157676302E-5</v>
      </c>
      <c r="AR188" s="1">
        <v>4.8643560624867996E-6</v>
      </c>
      <c r="AS188" s="1">
        <v>11.110495123542799</v>
      </c>
      <c r="AT188" s="1">
        <v>8.9894508411696705</v>
      </c>
      <c r="AU188" s="1">
        <v>2.3478839663939799</v>
      </c>
      <c r="AV188" s="1">
        <v>0.239508066049688</v>
      </c>
      <c r="AW188" s="1">
        <v>7.5451857095720299E-3</v>
      </c>
      <c r="AX188" s="1">
        <v>0.23950806093247401</v>
      </c>
      <c r="AY188" s="1">
        <v>5.11721423568368E-9</v>
      </c>
      <c r="AZ188" s="1">
        <v>839091.99888317997</v>
      </c>
      <c r="BA188" s="1">
        <v>1.0925155833837401E-5</v>
      </c>
      <c r="BB188" s="4">
        <v>4678658.3321262598</v>
      </c>
      <c r="BC188" s="4">
        <v>-37821.160061242103</v>
      </c>
      <c r="BD188" s="7">
        <v>-0.80189387283226898</v>
      </c>
      <c r="BE188" s="4">
        <v>2492126.1</v>
      </c>
      <c r="BF188" s="1">
        <v>1.87737624196715</v>
      </c>
      <c r="BG188" s="1">
        <v>1</v>
      </c>
      <c r="BH188" s="1">
        <v>-8.5999999999999993E-2</v>
      </c>
      <c r="BI188" s="1">
        <v>4.5999999999999999E-2</v>
      </c>
      <c r="BJ188" s="1">
        <v>5625</v>
      </c>
      <c r="BK188" s="1">
        <v>1</v>
      </c>
      <c r="BL188" s="1">
        <v>328.85427459860699</v>
      </c>
      <c r="BM188" s="1">
        <v>4.6786583321262603</v>
      </c>
      <c r="BN188" s="1">
        <v>328.85427459860699</v>
      </c>
      <c r="BO188" s="1">
        <v>1</v>
      </c>
      <c r="BP188" s="1">
        <v>83436.791953887499</v>
      </c>
      <c r="BQ188" s="1">
        <v>1</v>
      </c>
      <c r="BR188" s="1">
        <v>0.69596000000000002</v>
      </c>
    </row>
    <row r="189" spans="1:70">
      <c r="A189" s="2" t="s">
        <v>257</v>
      </c>
      <c r="B189" s="1">
        <v>17236893.2329209</v>
      </c>
      <c r="C189" s="1">
        <v>626.57723583796803</v>
      </c>
      <c r="D189" s="1">
        <v>122.583590976701</v>
      </c>
      <c r="E189" s="1">
        <v>560.26337686439001</v>
      </c>
      <c r="F189" s="1">
        <v>2538890.6454807199</v>
      </c>
      <c r="G189" s="1">
        <v>1699798.64659754</v>
      </c>
      <c r="H189" s="1">
        <v>2.4290890628326198E-5</v>
      </c>
      <c r="I189" s="1">
        <v>6.4066005508525405E-5</v>
      </c>
      <c r="J189" s="1">
        <v>0.452884810527584</v>
      </c>
      <c r="K189" s="1">
        <v>11219.515372648901</v>
      </c>
      <c r="L189" s="1">
        <v>3.02925386118211E-3</v>
      </c>
      <c r="M189" s="1">
        <v>188</v>
      </c>
      <c r="N189" s="1">
        <v>2983.7060000000001</v>
      </c>
      <c r="O189" s="3">
        <v>2.8502295699234199E-6</v>
      </c>
      <c r="P189" s="3">
        <v>5.98473400508856E-3</v>
      </c>
      <c r="Q189" s="3">
        <v>1.905E-3</v>
      </c>
      <c r="R189" s="1">
        <v>0.69596000000000002</v>
      </c>
      <c r="S189" s="4">
        <v>5580558.33984375</v>
      </c>
      <c r="T189" s="1">
        <v>298.28542199983798</v>
      </c>
      <c r="U189" s="5">
        <v>541.89637898541901</v>
      </c>
      <c r="V189" s="1">
        <v>0.03</v>
      </c>
      <c r="W189" s="3">
        <v>88720.373384971303</v>
      </c>
      <c r="X189" s="1">
        <v>2.68977240407712E-2</v>
      </c>
      <c r="Y189" s="1">
        <v>6.0973655573623198</v>
      </c>
      <c r="Z189" s="1">
        <v>6.0973655637760196</v>
      </c>
      <c r="AA189" s="1">
        <v>-6.4136980171269897E-9</v>
      </c>
      <c r="AB189" s="1">
        <v>6.8041134902182196E-6</v>
      </c>
      <c r="AC189" s="1">
        <v>750.16719900555904</v>
      </c>
      <c r="AD189" s="1">
        <v>2572.2083193029998</v>
      </c>
      <c r="AE189" s="1">
        <v>541.89637898541901</v>
      </c>
      <c r="AF189" s="6">
        <v>0</v>
      </c>
      <c r="AG189" s="1">
        <v>6.9078010527555798E-6</v>
      </c>
      <c r="AH189" s="1">
        <v>53.425102897599501</v>
      </c>
      <c r="AI189" s="1">
        <v>0.30879948428766202</v>
      </c>
      <c r="AJ189" s="1">
        <v>18.654386704449202</v>
      </c>
      <c r="AK189" s="1">
        <v>7.5792120787916701</v>
      </c>
      <c r="AL189" s="1">
        <v>1.5871354414155801</v>
      </c>
      <c r="AM189" s="1">
        <v>626.57723580032803</v>
      </c>
      <c r="AN189" s="1">
        <v>3.7639551919710403E-8</v>
      </c>
      <c r="AO189" s="1">
        <v>1.03687562537358E-7</v>
      </c>
      <c r="AP189" s="1">
        <v>2.79129758245048</v>
      </c>
      <c r="AQ189" s="1">
        <v>2.4288576967285199E-5</v>
      </c>
      <c r="AR189" s="1">
        <v>3.50574430764647E-6</v>
      </c>
      <c r="AS189" s="1">
        <v>9.46719650758779</v>
      </c>
      <c r="AT189" s="1">
        <v>8.1891641202211201</v>
      </c>
      <c r="AU189" s="1">
        <v>2.5288096570713101</v>
      </c>
      <c r="AV189" s="1">
        <v>0.26248792537917398</v>
      </c>
      <c r="AW189" s="1">
        <v>5.3976377840146703E-3</v>
      </c>
      <c r="AX189" s="1">
        <v>0.26248792507192797</v>
      </c>
      <c r="AY189" s="1">
        <v>3.07245451303118E-10</v>
      </c>
      <c r="AZ189" s="1">
        <v>839091.99888317997</v>
      </c>
      <c r="BA189" s="1">
        <v>8.7015362030881005E-6</v>
      </c>
      <c r="BB189" s="4">
        <v>5601863.8372603804</v>
      </c>
      <c r="BC189" s="4">
        <v>21305.497416634102</v>
      </c>
      <c r="BD189" s="7">
        <v>0.38178074879207602</v>
      </c>
      <c r="BE189" s="4">
        <v>3028406.4</v>
      </c>
      <c r="BF189" s="1">
        <v>1.84977281690475</v>
      </c>
      <c r="BG189" s="1">
        <v>1</v>
      </c>
      <c r="BH189" s="1">
        <v>-0.114</v>
      </c>
      <c r="BI189" s="1">
        <v>4.5999999999999999E-2</v>
      </c>
      <c r="BJ189" s="1">
        <v>5625</v>
      </c>
      <c r="BK189" s="1">
        <v>1</v>
      </c>
      <c r="BL189" s="1">
        <v>328.29181383813</v>
      </c>
      <c r="BM189" s="1">
        <v>5.60186383726038</v>
      </c>
      <c r="BN189" s="1">
        <v>328.29181383813</v>
      </c>
      <c r="BO189" s="1">
        <v>1</v>
      </c>
      <c r="BP189" s="1">
        <v>83112.169926079005</v>
      </c>
      <c r="BQ189" s="1">
        <v>1</v>
      </c>
      <c r="BR189" s="1">
        <v>0.69596000000000002</v>
      </c>
    </row>
    <row r="190" spans="1:70">
      <c r="A190" s="2" t="s">
        <v>258</v>
      </c>
      <c r="B190" s="1">
        <v>17236893.2329209</v>
      </c>
      <c r="C190" s="1">
        <v>626.57723583796803</v>
      </c>
      <c r="D190" s="1">
        <v>122.583590976701</v>
      </c>
      <c r="E190" s="1">
        <v>560.26337686439001</v>
      </c>
      <c r="F190" s="1">
        <v>2538890.6454807199</v>
      </c>
      <c r="G190" s="1">
        <v>1699798.64659754</v>
      </c>
      <c r="H190" s="1">
        <v>2.4290890628326198E-5</v>
      </c>
      <c r="I190" s="1">
        <v>6.4066005508525405E-5</v>
      </c>
      <c r="J190" s="1">
        <v>0.452884810527584</v>
      </c>
      <c r="K190" s="1">
        <v>11219.515372648901</v>
      </c>
      <c r="L190" s="1">
        <v>3.02925386118211E-3</v>
      </c>
      <c r="M190" s="1">
        <v>189</v>
      </c>
      <c r="N190" s="1">
        <v>3051.5174999999999</v>
      </c>
      <c r="O190" s="3">
        <v>2.8502295699234199E-6</v>
      </c>
      <c r="P190" s="3">
        <v>5.98473400508856E-3</v>
      </c>
      <c r="Q190" s="3">
        <v>1.905E-3</v>
      </c>
      <c r="R190" s="1">
        <v>0.69596000000000002</v>
      </c>
      <c r="S190" s="4">
        <v>5690958.73046875</v>
      </c>
      <c r="T190" s="1">
        <v>297.72296123936098</v>
      </c>
      <c r="U190" s="5">
        <v>540.63260892440405</v>
      </c>
      <c r="V190" s="1">
        <v>0.03</v>
      </c>
      <c r="W190" s="3">
        <v>90736.745507357002</v>
      </c>
      <c r="X190" s="1">
        <v>2.6652018899410601E-2</v>
      </c>
      <c r="Y190" s="1">
        <v>6.1254069043171304</v>
      </c>
      <c r="Z190" s="1">
        <v>6.1254069065536001</v>
      </c>
      <c r="AA190" s="1">
        <v>-2.2364643470495999E-9</v>
      </c>
      <c r="AB190" s="1">
        <v>6.5650387724955899E-6</v>
      </c>
      <c r="AC190" s="1">
        <v>749.70007426478196</v>
      </c>
      <c r="AD190" s="1">
        <v>2618.6247319272102</v>
      </c>
      <c r="AE190" s="1">
        <v>540.63261042140505</v>
      </c>
      <c r="AF190" s="6">
        <v>1.4970006532166699E-6</v>
      </c>
      <c r="AG190" s="1">
        <v>6.6681128485160097E-6</v>
      </c>
      <c r="AH190" s="1">
        <v>55.370649883255901</v>
      </c>
      <c r="AI190" s="1">
        <v>0.31437188064968102</v>
      </c>
      <c r="AJ190" s="1">
        <v>18.332057974179101</v>
      </c>
      <c r="AK190" s="1">
        <v>7.5956723949669103</v>
      </c>
      <c r="AL190" s="1">
        <v>1.5871354414155801</v>
      </c>
      <c r="AM190" s="1">
        <v>626.57723599291603</v>
      </c>
      <c r="AN190" s="1">
        <v>-1.54947997543786E-7</v>
      </c>
      <c r="AO190" s="1">
        <v>1.03074076020422E-7</v>
      </c>
      <c r="AP190" s="1">
        <v>2.8129098029560899</v>
      </c>
      <c r="AQ190" s="1">
        <v>2.3916781538561799E-5</v>
      </c>
      <c r="AR190" s="1">
        <v>3.3855934622682198E-6</v>
      </c>
      <c r="AS190" s="1">
        <v>9.3077152467681099</v>
      </c>
      <c r="AT190" s="1">
        <v>8.1042182633048601</v>
      </c>
      <c r="AU190" s="1">
        <v>2.5477383366306401</v>
      </c>
      <c r="AV190" s="1">
        <v>0.26517146632544703</v>
      </c>
      <c r="AW190" s="1">
        <v>5.2079821100701499E-3</v>
      </c>
      <c r="AX190" s="1">
        <v>0.26517146592365498</v>
      </c>
      <c r="AY190" s="1">
        <v>4.0179215510249802E-10</v>
      </c>
      <c r="AZ190" s="1">
        <v>839091.99888317997</v>
      </c>
      <c r="BA190" s="1">
        <v>8.5025056663486603E-6</v>
      </c>
      <c r="BB190" s="4">
        <v>5699074.5076450799</v>
      </c>
      <c r="BC190" s="4">
        <v>8115.7771763298697</v>
      </c>
      <c r="BD190" s="7">
        <v>0.142608259182744</v>
      </c>
      <c r="BE190" s="4">
        <v>3028406.4</v>
      </c>
      <c r="BF190" s="1">
        <v>1.8818724288936499</v>
      </c>
      <c r="BG190" s="1">
        <v>1</v>
      </c>
      <c r="BH190" s="1">
        <v>-0.156</v>
      </c>
      <c r="BI190" s="1">
        <v>4.5999999999999999E-2</v>
      </c>
      <c r="BJ190" s="1">
        <v>5625</v>
      </c>
      <c r="BK190" s="1">
        <v>1</v>
      </c>
      <c r="BL190" s="1">
        <v>328.85427459860699</v>
      </c>
      <c r="BM190" s="1">
        <v>5.6990745076450802</v>
      </c>
      <c r="BN190" s="1">
        <v>328.85427459860699</v>
      </c>
      <c r="BO190" s="1">
        <v>1</v>
      </c>
      <c r="BP190" s="1">
        <v>83436.791953887499</v>
      </c>
      <c r="BQ190" s="1">
        <v>1</v>
      </c>
      <c r="BR190" s="1">
        <v>0.69596000000000002</v>
      </c>
    </row>
    <row r="191" spans="1:70">
      <c r="A191" s="2" t="s">
        <v>259</v>
      </c>
      <c r="B191" s="1">
        <v>17236893.2329209</v>
      </c>
      <c r="C191" s="1">
        <v>626.57723583796803</v>
      </c>
      <c r="D191" s="1">
        <v>122.583590976701</v>
      </c>
      <c r="E191" s="1">
        <v>560.26337686439001</v>
      </c>
      <c r="F191" s="1">
        <v>2538890.6454807199</v>
      </c>
      <c r="G191" s="1">
        <v>1699798.64659754</v>
      </c>
      <c r="H191" s="1">
        <v>2.4290890628326198E-5</v>
      </c>
      <c r="I191" s="1">
        <v>6.4066005508525405E-5</v>
      </c>
      <c r="J191" s="1">
        <v>0.452884810527584</v>
      </c>
      <c r="K191" s="1">
        <v>11219.515372648901</v>
      </c>
      <c r="L191" s="1">
        <v>3.02925386118211E-3</v>
      </c>
      <c r="M191" s="1">
        <v>190</v>
      </c>
      <c r="N191" s="1">
        <v>3607.5718000000002</v>
      </c>
      <c r="O191" s="3">
        <v>2.8502295699234199E-6</v>
      </c>
      <c r="P191" s="3">
        <v>5.98473400508856E-3</v>
      </c>
      <c r="Q191" s="3">
        <v>1.905E-3</v>
      </c>
      <c r="R191" s="1">
        <v>0.69596000000000002</v>
      </c>
      <c r="S191" s="4">
        <v>6458440.91796875</v>
      </c>
      <c r="T191" s="1">
        <v>299.91649569119198</v>
      </c>
      <c r="U191" s="5">
        <v>533.09467146412499</v>
      </c>
      <c r="V191" s="1">
        <v>0.03</v>
      </c>
      <c r="W191" s="3">
        <v>107270.99691092</v>
      </c>
      <c r="X191" s="1">
        <v>2.49258812093941E-2</v>
      </c>
      <c r="Y191" s="1">
        <v>6.33395158653222</v>
      </c>
      <c r="Z191" s="1">
        <v>6.3339516227232</v>
      </c>
      <c r="AA191" s="1">
        <v>-3.6190980878814103E-8</v>
      </c>
      <c r="AB191" s="1">
        <v>5.0224850177624702E-6</v>
      </c>
      <c r="AC191" s="1">
        <v>743.45448910430196</v>
      </c>
      <c r="AD191" s="1">
        <v>2993.8675842437601</v>
      </c>
      <c r="AE191" s="1">
        <v>533.09467289866905</v>
      </c>
      <c r="AF191" s="6">
        <v>1.43454485623806E-6</v>
      </c>
      <c r="AG191" s="1">
        <v>5.1214787246236199E-6</v>
      </c>
      <c r="AH191" s="1">
        <v>72.376614774611696</v>
      </c>
      <c r="AI191" s="1">
        <v>0.35942064221708903</v>
      </c>
      <c r="AJ191" s="1">
        <v>16.097668385348801</v>
      </c>
      <c r="AK191" s="1">
        <v>7.5496133980388596</v>
      </c>
      <c r="AL191" s="1">
        <v>1.5871354414155801</v>
      </c>
      <c r="AM191" s="1">
        <v>626.57723575488603</v>
      </c>
      <c r="AN191" s="1">
        <v>8.3082341006956995E-8</v>
      </c>
      <c r="AO191" s="1">
        <v>9.8993706861151397E-8</v>
      </c>
      <c r="AP191" s="1">
        <v>2.9729312272618502</v>
      </c>
      <c r="AQ191" s="1">
        <v>2.1411378270539399E-5</v>
      </c>
      <c r="AR191" s="1">
        <v>2.6102362157423898E-6</v>
      </c>
      <c r="AS191" s="1">
        <v>8.2044111218165199</v>
      </c>
      <c r="AT191" s="1">
        <v>7.4733597565819503</v>
      </c>
      <c r="AU191" s="1">
        <v>2.6860797632300302</v>
      </c>
      <c r="AV191" s="1">
        <v>0.28685146403181599</v>
      </c>
      <c r="AW191" s="1">
        <v>3.9842890540399897E-3</v>
      </c>
      <c r="AX191" s="1">
        <v>0.286851454259063</v>
      </c>
      <c r="AY191" s="1">
        <v>9.7727532177849208E-9</v>
      </c>
      <c r="AZ191" s="1">
        <v>839091.99888317997</v>
      </c>
      <c r="BA191" s="1">
        <v>7.2021101847888601E-6</v>
      </c>
      <c r="BB191" s="4">
        <v>6461742.39010836</v>
      </c>
      <c r="BC191" s="4">
        <v>3301.47213960811</v>
      </c>
      <c r="BD191" s="7">
        <v>5.1118717064093898E-2</v>
      </c>
      <c r="BE191" s="4">
        <v>3722416.2</v>
      </c>
      <c r="BF191" s="1">
        <v>1.7359000291553499</v>
      </c>
      <c r="BG191" s="1">
        <v>1</v>
      </c>
      <c r="BH191" s="1">
        <v>-7.5999999999999998E-2</v>
      </c>
      <c r="BI191" s="1">
        <v>4.5999999999999999E-2</v>
      </c>
      <c r="BJ191" s="1">
        <v>5625</v>
      </c>
      <c r="BK191" s="1">
        <v>1</v>
      </c>
      <c r="BL191" s="1">
        <v>326.66074014677599</v>
      </c>
      <c r="BM191" s="1">
        <v>6.4617423901083599</v>
      </c>
      <c r="BN191" s="1">
        <v>326.66074014677599</v>
      </c>
      <c r="BO191" s="1">
        <v>1</v>
      </c>
      <c r="BP191" s="1">
        <v>82174.379941497493</v>
      </c>
      <c r="BQ191" s="1">
        <v>1</v>
      </c>
      <c r="BR191" s="1">
        <v>0.69596000000000002</v>
      </c>
    </row>
    <row r="192" spans="1:70">
      <c r="A192" s="2" t="s">
        <v>260</v>
      </c>
      <c r="B192" s="1">
        <v>17236893.2329209</v>
      </c>
      <c r="C192" s="1">
        <v>626.57723583796803</v>
      </c>
      <c r="D192" s="1">
        <v>122.583590976701</v>
      </c>
      <c r="E192" s="1">
        <v>560.26337686439001</v>
      </c>
      <c r="F192" s="1">
        <v>2538890.6454807199</v>
      </c>
      <c r="G192" s="1">
        <v>1699798.64659754</v>
      </c>
      <c r="H192" s="1">
        <v>2.4290890628326198E-5</v>
      </c>
      <c r="I192" s="1">
        <v>6.4066005508525405E-5</v>
      </c>
      <c r="J192" s="1">
        <v>0.452884810527584</v>
      </c>
      <c r="K192" s="1">
        <v>11219.515372648901</v>
      </c>
      <c r="L192" s="1">
        <v>3.02925386118211E-3</v>
      </c>
      <c r="M192" s="1">
        <v>191</v>
      </c>
      <c r="N192" s="1">
        <v>3648.2586999999999</v>
      </c>
      <c r="O192" s="3">
        <v>2.8502295699234199E-6</v>
      </c>
      <c r="P192" s="3">
        <v>5.98473400508856E-3</v>
      </c>
      <c r="Q192" s="3">
        <v>1.905E-3</v>
      </c>
      <c r="R192" s="1">
        <v>0.69596000000000002</v>
      </c>
      <c r="S192" s="4">
        <v>6580462.40234375</v>
      </c>
      <c r="T192" s="1">
        <v>296.59800912860601</v>
      </c>
      <c r="U192" s="5">
        <v>531.53206594622395</v>
      </c>
      <c r="V192" s="1">
        <v>0.03</v>
      </c>
      <c r="W192" s="3">
        <v>108480.820184351</v>
      </c>
      <c r="X192" s="1">
        <v>2.4816475679600599E-2</v>
      </c>
      <c r="Y192" s="1">
        <v>6.3478981126908902</v>
      </c>
      <c r="Z192" s="1">
        <v>6.3478981428997603</v>
      </c>
      <c r="AA192" s="1">
        <v>-3.0208874512993602E-8</v>
      </c>
      <c r="AB192" s="1">
        <v>4.9327349369830401E-6</v>
      </c>
      <c r="AC192" s="1">
        <v>744.36519528989697</v>
      </c>
      <c r="AD192" s="1">
        <v>3020.9812058765401</v>
      </c>
      <c r="AE192" s="1">
        <v>531.53206594622395</v>
      </c>
      <c r="AF192" s="6">
        <v>0</v>
      </c>
      <c r="AG192" s="1">
        <v>5.03254414697837E-6</v>
      </c>
      <c r="AH192" s="1">
        <v>73.693492147012293</v>
      </c>
      <c r="AI192" s="1">
        <v>0.36267569442827202</v>
      </c>
      <c r="AJ192" s="1">
        <v>15.9613871766568</v>
      </c>
      <c r="AK192" s="1">
        <v>7.6321306002263496</v>
      </c>
      <c r="AL192" s="1">
        <v>1.5871354414155801</v>
      </c>
      <c r="AM192" s="1">
        <v>626.57723576590001</v>
      </c>
      <c r="AN192" s="1">
        <v>7.2068246481649099E-8</v>
      </c>
      <c r="AO192" s="1">
        <v>9.9809209995329101E-8</v>
      </c>
      <c r="AP192" s="1">
        <v>2.9842371503217202</v>
      </c>
      <c r="AQ192" s="1">
        <v>2.1249449559018802E-5</v>
      </c>
      <c r="AR192" s="1">
        <v>2.56617667848685E-6</v>
      </c>
      <c r="AS192" s="1">
        <v>8.1389727209107097</v>
      </c>
      <c r="AT192" s="1">
        <v>7.43331985344033</v>
      </c>
      <c r="AU192" s="1">
        <v>2.6958844397539301</v>
      </c>
      <c r="AV192" s="1">
        <v>0.288352710567783</v>
      </c>
      <c r="AW192" s="1">
        <v>3.9130911782506101E-3</v>
      </c>
      <c r="AX192" s="1">
        <v>0.28835269958340198</v>
      </c>
      <c r="AY192" s="1">
        <v>1.0984381015877201E-8</v>
      </c>
      <c r="AZ192" s="1">
        <v>839091.99888317997</v>
      </c>
      <c r="BA192" s="1">
        <v>7.120563309363E-6</v>
      </c>
      <c r="BB192" s="4">
        <v>6589585.2436905904</v>
      </c>
      <c r="BC192" s="4">
        <v>9122.84134684317</v>
      </c>
      <c r="BD192" s="7">
        <v>0.13863526282885399</v>
      </c>
      <c r="BE192" s="4">
        <v>3753962.1</v>
      </c>
      <c r="BF192" s="1">
        <v>1.75536807995227</v>
      </c>
      <c r="BG192" s="1">
        <v>1</v>
      </c>
      <c r="BH192" s="1">
        <v>-9.7000000000000003E-2</v>
      </c>
      <c r="BI192" s="1">
        <v>4.5999999999999999E-2</v>
      </c>
      <c r="BJ192" s="1">
        <v>5625</v>
      </c>
      <c r="BK192" s="1">
        <v>1</v>
      </c>
      <c r="BL192" s="1">
        <v>329.97922670936202</v>
      </c>
      <c r="BM192" s="1">
        <v>6.58958524369059</v>
      </c>
      <c r="BN192" s="1">
        <v>329.97922670936202</v>
      </c>
      <c r="BO192" s="1">
        <v>1</v>
      </c>
      <c r="BP192" s="1">
        <v>84087.951922959604</v>
      </c>
      <c r="BQ192" s="1">
        <v>1</v>
      </c>
      <c r="BR192" s="1">
        <v>0.69596000000000002</v>
      </c>
    </row>
    <row r="193" spans="1:70">
      <c r="A193" s="2" t="s">
        <v>261</v>
      </c>
      <c r="B193" s="1">
        <v>17236893.2329209</v>
      </c>
      <c r="C193" s="1">
        <v>626.57723583796803</v>
      </c>
      <c r="D193" s="1">
        <v>122.583590976701</v>
      </c>
      <c r="E193" s="1">
        <v>560.26337686439001</v>
      </c>
      <c r="F193" s="1">
        <v>2538890.6454807199</v>
      </c>
      <c r="G193" s="1">
        <v>1699798.64659754</v>
      </c>
      <c r="H193" s="1">
        <v>2.4290890628326198E-5</v>
      </c>
      <c r="I193" s="1">
        <v>6.4066005508525405E-5</v>
      </c>
      <c r="J193" s="1">
        <v>0.452884810527584</v>
      </c>
      <c r="K193" s="1">
        <v>11219.515372648901</v>
      </c>
      <c r="L193" s="1">
        <v>3.02925386118211E-3</v>
      </c>
      <c r="M193" s="1">
        <v>192</v>
      </c>
      <c r="N193" s="1">
        <v>3661.8209999999999</v>
      </c>
      <c r="O193" s="3">
        <v>2.8502295699234199E-6</v>
      </c>
      <c r="P193" s="3">
        <v>5.98473400508856E-3</v>
      </c>
      <c r="Q193" s="3">
        <v>1.905E-3</v>
      </c>
      <c r="R193" s="1">
        <v>0.69596000000000002</v>
      </c>
      <c r="S193" s="4">
        <v>6556070.21484375</v>
      </c>
      <c r="T193" s="1">
        <v>298.84787197440301</v>
      </c>
      <c r="U193" s="5">
        <v>532.04418410014102</v>
      </c>
      <c r="V193" s="1">
        <v>0.03</v>
      </c>
      <c r="W193" s="3">
        <v>108884.094608828</v>
      </c>
      <c r="X193" s="1">
        <v>2.4780443082083201E-2</v>
      </c>
      <c r="Y193" s="1">
        <v>6.3525115929537899</v>
      </c>
      <c r="Z193" s="1">
        <v>6.35251162124099</v>
      </c>
      <c r="AA193" s="1">
        <v>-2.8287202802346201E-8</v>
      </c>
      <c r="AB193" s="1">
        <v>4.9033833539040099E-6</v>
      </c>
      <c r="AC193" s="1">
        <v>743.37492086809198</v>
      </c>
      <c r="AD193" s="1">
        <v>3030.0094905242099</v>
      </c>
      <c r="AE193" s="1">
        <v>532.04418410014102</v>
      </c>
      <c r="AF193" s="6">
        <v>0</v>
      </c>
      <c r="AG193" s="1">
        <v>5.0026834255610398E-6</v>
      </c>
      <c r="AH193" s="1">
        <v>74.134620343814404</v>
      </c>
      <c r="AI193" s="1">
        <v>0.36375956062304399</v>
      </c>
      <c r="AJ193" s="1">
        <v>15.914097908176499</v>
      </c>
      <c r="AK193" s="1">
        <v>7.5762043393476102</v>
      </c>
      <c r="AL193" s="1">
        <v>1.5871354414155801</v>
      </c>
      <c r="AM193" s="1">
        <v>626.57723567066796</v>
      </c>
      <c r="AN193" s="1">
        <v>1.6729984508856401E-7</v>
      </c>
      <c r="AO193" s="1">
        <v>9.9300071657024004E-8</v>
      </c>
      <c r="AP193" s="1">
        <v>2.9874751695952102</v>
      </c>
      <c r="AQ193" s="1">
        <v>2.12034114599227E-5</v>
      </c>
      <c r="AR193" s="1">
        <v>2.5509917486090302E-6</v>
      </c>
      <c r="AS193" s="1">
        <v>8.1149912950491405</v>
      </c>
      <c r="AT193" s="1">
        <v>7.4185656413358396</v>
      </c>
      <c r="AU193" s="1">
        <v>2.6985741781455399</v>
      </c>
      <c r="AV193" s="1">
        <v>0.28890099144967901</v>
      </c>
      <c r="AW193" s="1">
        <v>3.88980684972261E-3</v>
      </c>
      <c r="AX193" s="1">
        <v>0.288900980112203</v>
      </c>
      <c r="AY193" s="1">
        <v>1.13374764021401E-8</v>
      </c>
      <c r="AZ193" s="1">
        <v>839091.99888317997</v>
      </c>
      <c r="BA193" s="1">
        <v>7.0974352107487598E-6</v>
      </c>
      <c r="BB193" s="4">
        <v>6577334.6594031397</v>
      </c>
      <c r="BC193" s="4">
        <v>21264.444559392501</v>
      </c>
      <c r="BD193" s="7">
        <v>0.32434741945330597</v>
      </c>
      <c r="BE193" s="4">
        <v>3659324.4</v>
      </c>
      <c r="BF193" s="1">
        <v>1.7974177581531601</v>
      </c>
      <c r="BG193" s="1">
        <v>1</v>
      </c>
      <c r="BH193" s="1">
        <v>-0.13800000000000001</v>
      </c>
      <c r="BI193" s="1">
        <v>4.5999999999999999E-2</v>
      </c>
      <c r="BJ193" s="1">
        <v>5625</v>
      </c>
      <c r="BK193" s="1">
        <v>1</v>
      </c>
      <c r="BL193" s="1">
        <v>327.72936386356503</v>
      </c>
      <c r="BM193" s="1">
        <v>6.5773346594031397</v>
      </c>
      <c r="BN193" s="1">
        <v>327.72936386356503</v>
      </c>
      <c r="BO193" s="1">
        <v>1</v>
      </c>
      <c r="BP193" s="1">
        <v>82788.186829331797</v>
      </c>
      <c r="BQ193" s="1">
        <v>1</v>
      </c>
      <c r="BR193" s="1">
        <v>0.69596000000000002</v>
      </c>
    </row>
    <row r="194" spans="1:70">
      <c r="A194" s="2" t="s">
        <v>262</v>
      </c>
      <c r="B194" s="1">
        <v>18271106.826896202</v>
      </c>
      <c r="C194" s="1">
        <v>631.29983468618298</v>
      </c>
      <c r="D194" s="1">
        <v>138.52318499804201</v>
      </c>
      <c r="E194" s="1">
        <v>536.33561616438203</v>
      </c>
      <c r="F194" s="1">
        <v>2495937.2378505501</v>
      </c>
      <c r="G194" s="1">
        <v>1744945.8746917399</v>
      </c>
      <c r="H194" s="1">
        <v>2.53000428176681E-5</v>
      </c>
      <c r="I194" s="1">
        <v>6.1314866074765306E-5</v>
      </c>
      <c r="J194" s="1">
        <v>0.443124715589372</v>
      </c>
      <c r="K194" s="1">
        <v>14125.954358631299</v>
      </c>
      <c r="L194" s="1">
        <v>2.2091942860543502E-3</v>
      </c>
      <c r="M194" s="1">
        <v>193</v>
      </c>
      <c r="N194" s="1">
        <v>2739.5846000000001</v>
      </c>
      <c r="O194" s="3">
        <v>7.0553949389535604E-6</v>
      </c>
      <c r="P194" s="3">
        <v>9.4159815013393298E-3</v>
      </c>
      <c r="Q194" s="3">
        <v>2.9972000000000002E-3</v>
      </c>
      <c r="R194" s="1">
        <v>0.150114</v>
      </c>
      <c r="S194" s="4">
        <v>1151168.84765625</v>
      </c>
      <c r="T194" s="1">
        <v>612.68304621214202</v>
      </c>
      <c r="U194" s="5">
        <v>618.64243855207201</v>
      </c>
      <c r="V194" s="1">
        <v>0.03</v>
      </c>
      <c r="W194" s="3">
        <v>133916.674515894</v>
      </c>
      <c r="X194" s="1">
        <v>2.3587060909025698E-2</v>
      </c>
      <c r="Y194" s="1">
        <v>6.5112307388258204</v>
      </c>
      <c r="Z194" s="1">
        <v>6.5112307565456202</v>
      </c>
      <c r="AA194" s="1">
        <v>-1.7719809619620699E-8</v>
      </c>
      <c r="AB194" s="1">
        <v>6.4253756212537998E-6</v>
      </c>
      <c r="AC194" s="1">
        <v>648.62974004930004</v>
      </c>
      <c r="AD194" s="1">
        <v>3635.77150244014</v>
      </c>
      <c r="AE194" s="1">
        <v>618.64243903836996</v>
      </c>
      <c r="AF194" s="6">
        <v>4.8629738103045405E-7</v>
      </c>
      <c r="AG194" s="1">
        <v>6.4566217237366098E-6</v>
      </c>
      <c r="AH194" s="1">
        <v>41.258804146735898</v>
      </c>
      <c r="AI194" s="1">
        <v>0.27735755430529702</v>
      </c>
      <c r="AJ194" s="1">
        <v>15.664487698650399</v>
      </c>
      <c r="AK194" s="1">
        <v>0.96350317887648695</v>
      </c>
      <c r="AL194" s="1">
        <v>1.9545987150045101</v>
      </c>
      <c r="AM194" s="1">
        <v>631.29983470218895</v>
      </c>
      <c r="AN194" s="1">
        <v>-1.6005856195988599E-8</v>
      </c>
      <c r="AO194" s="1">
        <v>3.1246102482804101E-8</v>
      </c>
      <c r="AP194" s="1">
        <v>2.2656188101041899</v>
      </c>
      <c r="AQ194" s="1">
        <v>2.4563706858024501E-5</v>
      </c>
      <c r="AR194" s="1">
        <v>3.2439339131097099E-6</v>
      </c>
      <c r="AS194" s="1">
        <v>7.8701471220361698</v>
      </c>
      <c r="AT194" s="1">
        <v>7.2653837814356503</v>
      </c>
      <c r="AU194" s="1">
        <v>2.0151090767083599</v>
      </c>
      <c r="AV194" s="1">
        <v>0.25050973339582999</v>
      </c>
      <c r="AW194" s="1">
        <v>5.6903963802360201E-3</v>
      </c>
      <c r="AX194" s="1">
        <v>0.25050972202861999</v>
      </c>
      <c r="AY194" s="1">
        <v>1.13672096735407E-8</v>
      </c>
      <c r="AZ194" s="1">
        <v>750991.36315881298</v>
      </c>
      <c r="BA194" s="1">
        <v>1.08419416136887E-5</v>
      </c>
      <c r="BB194" s="4">
        <v>1160807.9371140201</v>
      </c>
      <c r="BC194" s="4">
        <v>9639.0894577694107</v>
      </c>
      <c r="BD194" s="7">
        <v>0.83733063810702901</v>
      </c>
      <c r="BE194" s="4">
        <v>1722406.14</v>
      </c>
      <c r="BF194" s="1">
        <v>0.67394554057617295</v>
      </c>
      <c r="BG194" s="1">
        <v>1</v>
      </c>
      <c r="BH194" s="1">
        <v>-5.7000000000000002E-2</v>
      </c>
      <c r="BI194" s="1">
        <v>4.5999999999999999E-2</v>
      </c>
      <c r="BJ194" s="1">
        <v>5625</v>
      </c>
      <c r="BK194" s="1">
        <v>1</v>
      </c>
      <c r="BL194" s="1">
        <v>18.616788474041002</v>
      </c>
      <c r="BM194" s="1">
        <v>1.1608079371140201</v>
      </c>
      <c r="BN194" s="1">
        <v>18.616788474041002</v>
      </c>
      <c r="BO194" s="1">
        <v>1</v>
      </c>
      <c r="BP194" s="1">
        <v>457.241735163908</v>
      </c>
      <c r="BQ194" s="1">
        <v>1</v>
      </c>
      <c r="BR194" s="1">
        <v>0.150114</v>
      </c>
    </row>
    <row r="195" spans="1:70">
      <c r="A195" s="2" t="s">
        <v>263</v>
      </c>
      <c r="B195" s="1">
        <v>18271106.826896202</v>
      </c>
      <c r="C195" s="1">
        <v>631.29983468618298</v>
      </c>
      <c r="D195" s="1">
        <v>138.52318499804201</v>
      </c>
      <c r="E195" s="1">
        <v>536.33561616438203</v>
      </c>
      <c r="F195" s="1">
        <v>2495937.2378505501</v>
      </c>
      <c r="G195" s="1">
        <v>1744945.8746917399</v>
      </c>
      <c r="H195" s="1">
        <v>2.53000428176681E-5</v>
      </c>
      <c r="I195" s="1">
        <v>6.1314866074765306E-5</v>
      </c>
      <c r="J195" s="1">
        <v>0.443124715589372</v>
      </c>
      <c r="K195" s="1">
        <v>14125.954358631299</v>
      </c>
      <c r="L195" s="1">
        <v>2.2091942860543502E-3</v>
      </c>
      <c r="M195" s="1">
        <v>194</v>
      </c>
      <c r="N195" s="1">
        <v>2753.1469000000002</v>
      </c>
      <c r="O195" s="3">
        <v>7.0553949389535604E-6</v>
      </c>
      <c r="P195" s="3">
        <v>9.4159815013393298E-3</v>
      </c>
      <c r="Q195" s="3">
        <v>2.9972000000000002E-3</v>
      </c>
      <c r="R195" s="1">
        <v>0.150114</v>
      </c>
      <c r="S195" s="4">
        <v>1154111.62109375</v>
      </c>
      <c r="T195" s="1">
        <v>612.68304621214202</v>
      </c>
      <c r="U195" s="5">
        <v>618.62824109858195</v>
      </c>
      <c r="V195" s="1">
        <v>0.03</v>
      </c>
      <c r="W195" s="3">
        <v>134579.628350132</v>
      </c>
      <c r="X195" s="1">
        <v>2.3542434183711498E-2</v>
      </c>
      <c r="Y195" s="1">
        <v>6.51739911825611</v>
      </c>
      <c r="Z195" s="1">
        <v>6.5173991374830198</v>
      </c>
      <c r="AA195" s="1">
        <v>-1.9226911618375201E-8</v>
      </c>
      <c r="AB195" s="1">
        <v>6.3742875031969701E-6</v>
      </c>
      <c r="AC195" s="1">
        <v>648.58215201655298</v>
      </c>
      <c r="AD195" s="1">
        <v>3650.3122675647301</v>
      </c>
      <c r="AE195" s="1">
        <v>618.62824158440299</v>
      </c>
      <c r="AF195" s="6">
        <v>4.85821374240913E-7</v>
      </c>
      <c r="AG195" s="1">
        <v>6.4053696486597003E-6</v>
      </c>
      <c r="AH195" s="1">
        <v>41.589481835195201</v>
      </c>
      <c r="AI195" s="1">
        <v>0.27846680747205299</v>
      </c>
      <c r="AJ195" s="1">
        <v>15.6022950799341</v>
      </c>
      <c r="AK195" s="1">
        <v>0.96211835669943002</v>
      </c>
      <c r="AL195" s="1">
        <v>1.9545987150045101</v>
      </c>
      <c r="AM195" s="1">
        <v>631.29983468052603</v>
      </c>
      <c r="AN195" s="1">
        <v>5.6570570450276103E-9</v>
      </c>
      <c r="AO195" s="1">
        <v>3.1082145462724302E-8</v>
      </c>
      <c r="AP195" s="1">
        <v>2.2688057548090699</v>
      </c>
      <c r="AQ195" s="1">
        <v>2.44947470592796E-5</v>
      </c>
      <c r="AR195" s="1">
        <v>3.2182258970612102E-6</v>
      </c>
      <c r="AS195" s="1">
        <v>7.8390027170939804</v>
      </c>
      <c r="AT195" s="1">
        <v>7.2455581090942296</v>
      </c>
      <c r="AU195" s="1">
        <v>2.0176474349927198</v>
      </c>
      <c r="AV195" s="1">
        <v>0.251158319816355</v>
      </c>
      <c r="AW195" s="1">
        <v>5.6451520771477999E-3</v>
      </c>
      <c r="AX195" s="1">
        <v>0.25115830783988702</v>
      </c>
      <c r="AY195" s="1">
        <v>1.19764674844092E-8</v>
      </c>
      <c r="AZ195" s="1">
        <v>750991.36315881298</v>
      </c>
      <c r="BA195" s="1">
        <v>1.0796317405031E-5</v>
      </c>
      <c r="BB195" s="4">
        <v>1159596.57730336</v>
      </c>
      <c r="BC195" s="4">
        <v>5484.9562096116097</v>
      </c>
      <c r="BD195" s="7">
        <v>0.47525352915288399</v>
      </c>
      <c r="BE195" s="4">
        <v>1747642.86</v>
      </c>
      <c r="BF195" s="1">
        <v>0.66352033578723402</v>
      </c>
      <c r="BG195" s="1">
        <v>1</v>
      </c>
      <c r="BH195" s="1">
        <v>-5.5E-2</v>
      </c>
      <c r="BI195" s="1">
        <v>4.5999999999999999E-2</v>
      </c>
      <c r="BJ195" s="1">
        <v>5625</v>
      </c>
      <c r="BK195" s="1">
        <v>1</v>
      </c>
      <c r="BL195" s="1">
        <v>18.616788474041002</v>
      </c>
      <c r="BM195" s="1">
        <v>1.1595965773033601</v>
      </c>
      <c r="BN195" s="1">
        <v>18.616788474041002</v>
      </c>
      <c r="BO195" s="1">
        <v>1</v>
      </c>
      <c r="BP195" s="1">
        <v>457.241735163908</v>
      </c>
      <c r="BQ195" s="1">
        <v>1</v>
      </c>
      <c r="BR195" s="1">
        <v>0.150114</v>
      </c>
    </row>
    <row r="196" spans="1:70">
      <c r="A196" s="2" t="s">
        <v>264</v>
      </c>
      <c r="B196" s="1">
        <v>18960582.556212999</v>
      </c>
      <c r="C196" s="1">
        <v>634.44823391832597</v>
      </c>
      <c r="D196" s="1">
        <v>149.14958101226799</v>
      </c>
      <c r="E196" s="1">
        <v>520.38377569771103</v>
      </c>
      <c r="F196" s="1">
        <v>2467301.6327637699</v>
      </c>
      <c r="G196" s="1">
        <v>1775044.0267545299</v>
      </c>
      <c r="H196" s="1">
        <v>2.5972810943896E-5</v>
      </c>
      <c r="I196" s="1">
        <v>5.9480773118925399E-5</v>
      </c>
      <c r="J196" s="1">
        <v>0.43661798563056398</v>
      </c>
      <c r="K196" s="1">
        <v>16063.580349286</v>
      </c>
      <c r="L196" s="1">
        <v>1.6624879026359001E-3</v>
      </c>
      <c r="M196" s="1">
        <v>195</v>
      </c>
      <c r="N196" s="1">
        <v>1844.4728</v>
      </c>
      <c r="O196" s="3">
        <v>2.8502295699234199E-6</v>
      </c>
      <c r="P196" s="3">
        <v>5.98473400508856E-3</v>
      </c>
      <c r="Q196" s="3">
        <v>1.905E-3</v>
      </c>
      <c r="R196" s="1">
        <v>0.15240000000000001</v>
      </c>
      <c r="S196" s="4">
        <v>2584217.42578125</v>
      </c>
      <c r="T196" s="1">
        <v>558.46565244536998</v>
      </c>
      <c r="U196" s="5">
        <v>586.37594725565202</v>
      </c>
      <c r="V196" s="1">
        <v>0.03</v>
      </c>
      <c r="W196" s="3">
        <v>59073.218113266499</v>
      </c>
      <c r="X196" s="1">
        <v>2.8903890083005299E-2</v>
      </c>
      <c r="Y196" s="1">
        <v>5.8819570842325399</v>
      </c>
      <c r="Z196" s="1">
        <v>5.8819570995297799</v>
      </c>
      <c r="AA196" s="1">
        <v>-1.5297239919220799E-8</v>
      </c>
      <c r="AB196" s="1">
        <v>8.4460309260993805E-6</v>
      </c>
      <c r="AC196" s="1">
        <v>718.69196718017201</v>
      </c>
      <c r="AD196" s="1">
        <v>1775.39008344588</v>
      </c>
      <c r="AE196" s="1">
        <v>586.37594725565202</v>
      </c>
      <c r="AF196" s="6">
        <v>0</v>
      </c>
      <c r="AG196" s="1">
        <v>8.5579308648438396E-6</v>
      </c>
      <c r="AH196" s="1">
        <v>23.620390460545199</v>
      </c>
      <c r="AI196" s="1">
        <v>0.21305006072789601</v>
      </c>
      <c r="AJ196" s="1">
        <v>15.951354952503101</v>
      </c>
      <c r="AK196" s="1">
        <v>4.2708923875409903</v>
      </c>
      <c r="AL196" s="1">
        <v>2.1883527698787102</v>
      </c>
      <c r="AM196" s="1">
        <v>634.44823394892103</v>
      </c>
      <c r="AN196" s="1">
        <v>-3.0594605959777301E-8</v>
      </c>
      <c r="AO196" s="1">
        <v>1.1189993874445899E-7</v>
      </c>
      <c r="AP196" s="1">
        <v>1.79284786197819</v>
      </c>
      <c r="AQ196" s="1">
        <v>2.80335385384205E-5</v>
      </c>
      <c r="AR196" s="1">
        <v>4.3349154017941502E-6</v>
      </c>
      <c r="AS196" s="1">
        <v>8.0799641122542205</v>
      </c>
      <c r="AT196" s="1">
        <v>7.3969371548522203</v>
      </c>
      <c r="AU196" s="1">
        <v>1.5759179100417</v>
      </c>
      <c r="AV196" s="1">
        <v>0.21692995193648801</v>
      </c>
      <c r="AW196" s="1">
        <v>8.3295048522171993E-3</v>
      </c>
      <c r="AX196" s="1">
        <v>0.216929949601712</v>
      </c>
      <c r="AY196" s="1">
        <v>2.3347760114145201E-9</v>
      </c>
      <c r="AZ196" s="1">
        <v>692257.60600924003</v>
      </c>
      <c r="BA196" s="1">
        <v>1.56363175777162E-5</v>
      </c>
      <c r="BB196" s="4">
        <v>2578023.3721013102</v>
      </c>
      <c r="BC196" s="4">
        <v>-6194.0536799384299</v>
      </c>
      <c r="BD196" s="7">
        <v>-0.23968779167510901</v>
      </c>
      <c r="BE196" s="4">
        <v>2555217.9</v>
      </c>
      <c r="BF196" s="1">
        <v>1.00892505962067</v>
      </c>
      <c r="BG196" s="1">
        <v>1</v>
      </c>
      <c r="BH196" s="1">
        <v>-0.10299999999999999</v>
      </c>
      <c r="BI196" s="1">
        <v>4.5999999999999999E-2</v>
      </c>
      <c r="BJ196" s="1">
        <v>5625</v>
      </c>
      <c r="BK196" s="1">
        <v>1</v>
      </c>
      <c r="BL196" s="1">
        <v>75.982581472955999</v>
      </c>
      <c r="BM196" s="1">
        <v>2.5780233721013102</v>
      </c>
      <c r="BN196" s="1">
        <v>75.982581472955999</v>
      </c>
      <c r="BO196" s="1">
        <v>1</v>
      </c>
      <c r="BP196" s="1">
        <v>1294.7461694579199</v>
      </c>
      <c r="BQ196" s="1">
        <v>1</v>
      </c>
      <c r="BR196" s="1">
        <v>0.15240000000000001</v>
      </c>
    </row>
    <row r="197" spans="1:70">
      <c r="A197" s="2" t="s">
        <v>265</v>
      </c>
      <c r="B197" s="1">
        <v>18960582.556212999</v>
      </c>
      <c r="C197" s="1">
        <v>634.44823391832597</v>
      </c>
      <c r="D197" s="1">
        <v>149.14958101226799</v>
      </c>
      <c r="E197" s="1">
        <v>520.38377569771103</v>
      </c>
      <c r="F197" s="1">
        <v>2467301.6327637699</v>
      </c>
      <c r="G197" s="1">
        <v>1775044.0267545299</v>
      </c>
      <c r="H197" s="1">
        <v>2.5972810943896E-5</v>
      </c>
      <c r="I197" s="1">
        <v>5.9480773118925399E-5</v>
      </c>
      <c r="J197" s="1">
        <v>0.43661798563056398</v>
      </c>
      <c r="K197" s="1">
        <v>16063.580349286</v>
      </c>
      <c r="L197" s="1">
        <v>1.6624879026359001E-3</v>
      </c>
      <c r="M197" s="1">
        <v>196</v>
      </c>
      <c r="N197" s="1">
        <v>1858.0351000000001</v>
      </c>
      <c r="O197" s="3">
        <v>2.8502295699234199E-6</v>
      </c>
      <c r="P197" s="3">
        <v>5.98473400508856E-3</v>
      </c>
      <c r="Q197" s="3">
        <v>1.905E-3</v>
      </c>
      <c r="R197" s="1">
        <v>0.15240000000000001</v>
      </c>
      <c r="S197" s="4">
        <v>2654687.98828125</v>
      </c>
      <c r="T197" s="1">
        <v>556.26295808654595</v>
      </c>
      <c r="U197" s="5">
        <v>584.72507505976898</v>
      </c>
      <c r="V197" s="1">
        <v>0.03</v>
      </c>
      <c r="W197" s="3">
        <v>59507.580011158199</v>
      </c>
      <c r="X197" s="1">
        <v>2.8815898793205799E-2</v>
      </c>
      <c r="Y197" s="1">
        <v>5.8909307153231403</v>
      </c>
      <c r="Z197" s="1">
        <v>5.8909307249756404</v>
      </c>
      <c r="AA197" s="1">
        <v>-9.6524965798039408E-9</v>
      </c>
      <c r="AB197" s="1">
        <v>8.3485965985073606E-6</v>
      </c>
      <c r="AC197" s="1">
        <v>721.071724390702</v>
      </c>
      <c r="AD197" s="1">
        <v>1785.7200920917101</v>
      </c>
      <c r="AE197" s="1">
        <v>584.72507505976898</v>
      </c>
      <c r="AF197" s="6">
        <v>0</v>
      </c>
      <c r="AG197" s="1">
        <v>8.4620804080939503E-6</v>
      </c>
      <c r="AH197" s="1">
        <v>23.896057973621101</v>
      </c>
      <c r="AI197" s="1">
        <v>0.214289680679498</v>
      </c>
      <c r="AJ197" s="1">
        <v>15.8644692972483</v>
      </c>
      <c r="AK197" s="1">
        <v>4.3988821818343302</v>
      </c>
      <c r="AL197" s="1">
        <v>2.1883527698787102</v>
      </c>
      <c r="AM197" s="1">
        <v>634.44823392881597</v>
      </c>
      <c r="AN197" s="1">
        <v>-1.04899982034112E-8</v>
      </c>
      <c r="AO197" s="1">
        <v>1.1348380958658599E-7</v>
      </c>
      <c r="AP197" s="1">
        <v>1.79724778549747</v>
      </c>
      <c r="AQ197" s="1">
        <v>2.78964462100471E-5</v>
      </c>
      <c r="AR197" s="1">
        <v>4.28778210884027E-6</v>
      </c>
      <c r="AS197" s="1">
        <v>8.0386127687847093</v>
      </c>
      <c r="AT197" s="1">
        <v>7.3712826355400001</v>
      </c>
      <c r="AU197" s="1">
        <v>1.57958980216819</v>
      </c>
      <c r="AV197" s="1">
        <v>0.21765798332927899</v>
      </c>
      <c r="AW197" s="1">
        <v>8.2334147820349608E-3</v>
      </c>
      <c r="AX197" s="1">
        <v>0.21765797842260901</v>
      </c>
      <c r="AY197" s="1">
        <v>4.9066700702482502E-9</v>
      </c>
      <c r="AZ197" s="1">
        <v>692257.60600924003</v>
      </c>
      <c r="BA197" s="1">
        <v>1.5521758566154199E-5</v>
      </c>
      <c r="BB197" s="4">
        <v>2633810.1469452698</v>
      </c>
      <c r="BC197" s="4">
        <v>-20877.841335979301</v>
      </c>
      <c r="BD197" s="7">
        <v>-0.78645179501853402</v>
      </c>
      <c r="BE197" s="4">
        <v>2744493.3</v>
      </c>
      <c r="BF197" s="1">
        <v>0.95967082409903204</v>
      </c>
      <c r="BG197" s="1">
        <v>1</v>
      </c>
      <c r="BH197" s="1">
        <v>-7.6999999999999999E-2</v>
      </c>
      <c r="BI197" s="1">
        <v>4.5999999999999999E-2</v>
      </c>
      <c r="BJ197" s="1">
        <v>5625</v>
      </c>
      <c r="BK197" s="1">
        <v>1</v>
      </c>
      <c r="BL197" s="1">
        <v>78.185275831780004</v>
      </c>
      <c r="BM197" s="1">
        <v>2.6338101469452702</v>
      </c>
      <c r="BN197" s="1">
        <v>78.185275831780004</v>
      </c>
      <c r="BO197" s="1">
        <v>1</v>
      </c>
      <c r="BP197" s="1">
        <v>1458.11529034912</v>
      </c>
      <c r="BQ197" s="1">
        <v>1</v>
      </c>
      <c r="BR197" s="1">
        <v>0.15240000000000001</v>
      </c>
    </row>
    <row r="198" spans="1:70">
      <c r="A198" s="2" t="s">
        <v>266</v>
      </c>
      <c r="B198" s="1">
        <v>18960582.556212999</v>
      </c>
      <c r="C198" s="1">
        <v>634.44823391832597</v>
      </c>
      <c r="D198" s="1">
        <v>149.14958101226799</v>
      </c>
      <c r="E198" s="1">
        <v>520.38377569771103</v>
      </c>
      <c r="F198" s="1">
        <v>2467301.6327637699</v>
      </c>
      <c r="G198" s="1">
        <v>1775044.0267545299</v>
      </c>
      <c r="H198" s="1">
        <v>2.5972810943896E-5</v>
      </c>
      <c r="I198" s="1">
        <v>5.9480773118925399E-5</v>
      </c>
      <c r="J198" s="1">
        <v>0.43661798563056398</v>
      </c>
      <c r="K198" s="1">
        <v>16063.580349286</v>
      </c>
      <c r="L198" s="1">
        <v>1.6624879026359001E-3</v>
      </c>
      <c r="M198" s="1">
        <v>197</v>
      </c>
      <c r="N198" s="1">
        <v>1871.5974000000001</v>
      </c>
      <c r="O198" s="3">
        <v>2.8502295699234199E-6</v>
      </c>
      <c r="P198" s="3">
        <v>5.98473400508856E-3</v>
      </c>
      <c r="Q198" s="3">
        <v>1.905E-3</v>
      </c>
      <c r="R198" s="1">
        <v>0.15240000000000001</v>
      </c>
      <c r="S198" s="4">
        <v>3157560.29296875</v>
      </c>
      <c r="T198" s="1">
        <v>538.50245457174299</v>
      </c>
      <c r="U198" s="5">
        <v>572.110777943789</v>
      </c>
      <c r="V198" s="1">
        <v>0.03</v>
      </c>
      <c r="W198" s="3">
        <v>59941.941909049798</v>
      </c>
      <c r="X198" s="1">
        <v>2.8728955433497301E-2</v>
      </c>
      <c r="Y198" s="1">
        <v>5.8998379376894601</v>
      </c>
      <c r="Z198" s="1">
        <v>5.8998379765319902</v>
      </c>
      <c r="AA198" s="1">
        <v>-3.8842527416704797E-8</v>
      </c>
      <c r="AB198" s="1">
        <v>8.2529416135113194E-6</v>
      </c>
      <c r="AC198" s="1">
        <v>742.63182352334502</v>
      </c>
      <c r="AD198" s="1">
        <v>1796.0388933148599</v>
      </c>
      <c r="AE198" s="1">
        <v>572.110777943789</v>
      </c>
      <c r="AF198" s="6">
        <v>0</v>
      </c>
      <c r="AG198" s="1">
        <v>8.3881602138876905E-6</v>
      </c>
      <c r="AH198" s="1">
        <v>24.173023106052099</v>
      </c>
      <c r="AI198" s="1">
        <v>0.215527955719856</v>
      </c>
      <c r="AJ198" s="1">
        <v>15.816757992124501</v>
      </c>
      <c r="AK198" s="1">
        <v>5.4988144008337398</v>
      </c>
      <c r="AL198" s="1">
        <v>2.1883527698787102</v>
      </c>
      <c r="AM198" s="1">
        <v>634.44823391253794</v>
      </c>
      <c r="AN198" s="1">
        <v>5.7881379689206402E-9</v>
      </c>
      <c r="AO198" s="1">
        <v>1.3521860037637601E-7</v>
      </c>
      <c r="AP198" s="1">
        <v>1.80618173777312</v>
      </c>
      <c r="AQ198" s="1">
        <v>2.7621159244891201E-5</v>
      </c>
      <c r="AR198" s="1">
        <v>4.26168940713203E-6</v>
      </c>
      <c r="AS198" s="1">
        <v>8.0358634398289599</v>
      </c>
      <c r="AT198" s="1">
        <v>7.3695722662894596</v>
      </c>
      <c r="AU198" s="1">
        <v>1.58834884508311</v>
      </c>
      <c r="AV198" s="1">
        <v>0.217832892690006</v>
      </c>
      <c r="AW198" s="1">
        <v>8.1390795056625696E-3</v>
      </c>
      <c r="AX198" s="1">
        <v>0.21783289008448201</v>
      </c>
      <c r="AY198" s="1">
        <v>2.6055239077393801E-9</v>
      </c>
      <c r="AZ198" s="1">
        <v>692257.60600924003</v>
      </c>
      <c r="BA198" s="1">
        <v>1.52925692178384E-5</v>
      </c>
      <c r="BB198" s="4">
        <v>3185278.9049469298</v>
      </c>
      <c r="BC198" s="4">
        <v>27718.6119781751</v>
      </c>
      <c r="BD198" s="7">
        <v>0.87784901653022696</v>
      </c>
      <c r="BE198" s="4">
        <v>3186135.9</v>
      </c>
      <c r="BF198" s="1">
        <v>0.99973102369767897</v>
      </c>
      <c r="BG198" s="1">
        <v>1</v>
      </c>
      <c r="BH198" s="1">
        <v>-0.1</v>
      </c>
      <c r="BI198" s="1">
        <v>4.5999999999999999E-2</v>
      </c>
      <c r="BJ198" s="1">
        <v>5625</v>
      </c>
      <c r="BK198" s="1">
        <v>1</v>
      </c>
      <c r="BL198" s="1">
        <v>95.945779346582995</v>
      </c>
      <c r="BM198" s="1">
        <v>3.1852789049469199</v>
      </c>
      <c r="BN198" s="1">
        <v>95.945779346582995</v>
      </c>
      <c r="BO198" s="1">
        <v>1</v>
      </c>
      <c r="BP198" s="1">
        <v>3129.9302266965501</v>
      </c>
      <c r="BQ198" s="1">
        <v>1</v>
      </c>
      <c r="BR198" s="1">
        <v>0.15240000000000001</v>
      </c>
    </row>
    <row r="199" spans="1:70">
      <c r="A199" s="2" t="s">
        <v>267</v>
      </c>
      <c r="B199" s="1">
        <v>18960582.556212999</v>
      </c>
      <c r="C199" s="1">
        <v>634.44823391832597</v>
      </c>
      <c r="D199" s="1">
        <v>149.14958101226799</v>
      </c>
      <c r="E199" s="1">
        <v>520.38377569771103</v>
      </c>
      <c r="F199" s="1">
        <v>2467301.6327637699</v>
      </c>
      <c r="G199" s="1">
        <v>1775044.0267545299</v>
      </c>
      <c r="H199" s="1">
        <v>2.5972810943896E-5</v>
      </c>
      <c r="I199" s="1">
        <v>5.9480773118925399E-5</v>
      </c>
      <c r="J199" s="1">
        <v>0.43661798563056398</v>
      </c>
      <c r="K199" s="1">
        <v>16063.580349286</v>
      </c>
      <c r="L199" s="1">
        <v>1.6624879026359001E-3</v>
      </c>
      <c r="M199" s="1">
        <v>198</v>
      </c>
      <c r="N199" s="1">
        <v>1885.1596999999999</v>
      </c>
      <c r="O199" s="3">
        <v>2.8502295699234199E-6</v>
      </c>
      <c r="P199" s="3">
        <v>5.98473400508856E-3</v>
      </c>
      <c r="Q199" s="3">
        <v>1.905E-3</v>
      </c>
      <c r="R199" s="1">
        <v>0.15240000000000001</v>
      </c>
      <c r="S199" s="4">
        <v>3199926.7578125</v>
      </c>
      <c r="T199" s="1">
        <v>537.34621978095004</v>
      </c>
      <c r="U199" s="5">
        <v>571.16045110159996</v>
      </c>
      <c r="V199" s="1">
        <v>0.03</v>
      </c>
      <c r="W199" s="3">
        <v>60376.303806941498</v>
      </c>
      <c r="X199" s="1">
        <v>2.8643038996504201E-2</v>
      </c>
      <c r="Y199" s="1">
        <v>5.9086797632693697</v>
      </c>
      <c r="Z199" s="1">
        <v>5.9086797749799098</v>
      </c>
      <c r="AA199" s="1">
        <v>-1.1710546310439401E-8</v>
      </c>
      <c r="AB199" s="1">
        <v>8.1590216640322296E-6</v>
      </c>
      <c r="AC199" s="1">
        <v>743.62628600811399</v>
      </c>
      <c r="AD199" s="1">
        <v>1806.34657636468</v>
      </c>
      <c r="AE199" s="1">
        <v>571.16045253786206</v>
      </c>
      <c r="AF199" s="6">
        <v>1.43626277804287E-6</v>
      </c>
      <c r="AG199" s="1">
        <v>8.2938048507331203E-6</v>
      </c>
      <c r="AH199" s="1">
        <v>24.451283074264399</v>
      </c>
      <c r="AI199" s="1">
        <v>0.21676489655905701</v>
      </c>
      <c r="AJ199" s="1">
        <v>15.7285942227386</v>
      </c>
      <c r="AK199" s="1">
        <v>5.5589003833866997</v>
      </c>
      <c r="AL199" s="1">
        <v>2.1883527698787102</v>
      </c>
      <c r="AM199" s="1">
        <v>634.448233897102</v>
      </c>
      <c r="AN199" s="1">
        <v>2.1224082047410801E-8</v>
      </c>
      <c r="AO199" s="1">
        <v>1.34783186700881E-7</v>
      </c>
      <c r="AP199" s="1">
        <v>1.81014887837498</v>
      </c>
      <c r="AQ199" s="1">
        <v>2.75002222893038E-5</v>
      </c>
      <c r="AR199" s="1">
        <v>4.2142940187170004E-6</v>
      </c>
      <c r="AS199" s="1">
        <v>7.9921003385864502</v>
      </c>
      <c r="AT199" s="1">
        <v>7.3422679807281197</v>
      </c>
      <c r="AU199" s="1">
        <v>1.5915459593514101</v>
      </c>
      <c r="AV199" s="1">
        <v>0.21860291902356699</v>
      </c>
      <c r="AW199" s="1">
        <v>8.0464553273057807E-3</v>
      </c>
      <c r="AX199" s="1">
        <v>0.218602914569138</v>
      </c>
      <c r="AY199" s="1">
        <v>4.4544298527515702E-9</v>
      </c>
      <c r="AZ199" s="1">
        <v>692257.60600924003</v>
      </c>
      <c r="BA199" s="1">
        <v>1.5192243366187399E-5</v>
      </c>
      <c r="BB199" s="4">
        <v>3195989.1440480002</v>
      </c>
      <c r="BC199" s="4">
        <v>-3937.6137645007102</v>
      </c>
      <c r="BD199" s="7">
        <v>-0.12305324660594701</v>
      </c>
      <c r="BE199" s="4">
        <v>3091498.2</v>
      </c>
      <c r="BF199" s="1">
        <v>1.0337994516859199</v>
      </c>
      <c r="BG199" s="1">
        <v>1</v>
      </c>
      <c r="BH199" s="1">
        <v>-0.13600000000000001</v>
      </c>
      <c r="BI199" s="1">
        <v>4.5999999999999999E-2</v>
      </c>
      <c r="BJ199" s="1">
        <v>5625</v>
      </c>
      <c r="BK199" s="1">
        <v>1</v>
      </c>
      <c r="BL199" s="1">
        <v>97.102014137375903</v>
      </c>
      <c r="BM199" s="1">
        <v>3.1959891440480002</v>
      </c>
      <c r="BN199" s="1">
        <v>97.102014137375903</v>
      </c>
      <c r="BO199" s="1">
        <v>1</v>
      </c>
      <c r="BP199" s="1">
        <v>3260.6400185450798</v>
      </c>
      <c r="BQ199" s="1">
        <v>1</v>
      </c>
      <c r="BR199" s="1">
        <v>0.15240000000000001</v>
      </c>
    </row>
    <row r="200" spans="1:70">
      <c r="A200" s="2" t="s">
        <v>268</v>
      </c>
      <c r="B200" s="1">
        <v>18960582.556212999</v>
      </c>
      <c r="C200" s="1">
        <v>634.44823391832597</v>
      </c>
      <c r="D200" s="1">
        <v>149.14958101226799</v>
      </c>
      <c r="E200" s="1">
        <v>520.38377569771103</v>
      </c>
      <c r="F200" s="1">
        <v>2467301.6327637699</v>
      </c>
      <c r="G200" s="1">
        <v>1775044.0267545299</v>
      </c>
      <c r="H200" s="1">
        <v>2.5972810943896E-5</v>
      </c>
      <c r="I200" s="1">
        <v>5.9480773118925399E-5</v>
      </c>
      <c r="J200" s="1">
        <v>0.43661798563056398</v>
      </c>
      <c r="K200" s="1">
        <v>16063.580349286</v>
      </c>
      <c r="L200" s="1">
        <v>1.6624879026359001E-3</v>
      </c>
      <c r="M200" s="1">
        <v>199</v>
      </c>
      <c r="N200" s="1">
        <v>2034.345</v>
      </c>
      <c r="O200" s="3">
        <v>2.8502295699234199E-6</v>
      </c>
      <c r="P200" s="3">
        <v>5.98473400508856E-3</v>
      </c>
      <c r="Q200" s="3">
        <v>1.905E-3</v>
      </c>
      <c r="R200" s="1">
        <v>0.15240000000000001</v>
      </c>
      <c r="S200" s="4">
        <v>4617700.1953125</v>
      </c>
      <c r="T200" s="1">
        <v>491.16937847279701</v>
      </c>
      <c r="U200" s="5">
        <v>536.38710837813596</v>
      </c>
      <c r="V200" s="1">
        <v>0.03</v>
      </c>
      <c r="W200" s="3">
        <v>65154.2846837498</v>
      </c>
      <c r="X200" s="1">
        <v>2.77604663894368E-2</v>
      </c>
      <c r="Y200" s="1">
        <v>6.00187050427395</v>
      </c>
      <c r="Z200" s="1">
        <v>6.0018705113914601</v>
      </c>
      <c r="AA200" s="1">
        <v>-7.11750747228734E-9</v>
      </c>
      <c r="AB200" s="1">
        <v>7.2289880152804102E-6</v>
      </c>
      <c r="AC200" s="1">
        <v>794.18426519942898</v>
      </c>
      <c r="AD200" s="1">
        <v>1919.0282633735201</v>
      </c>
      <c r="AE200" s="1">
        <v>536.38710837813596</v>
      </c>
      <c r="AF200" s="6">
        <v>0</v>
      </c>
      <c r="AG200" s="1">
        <v>7.4058109777987798E-6</v>
      </c>
      <c r="AH200" s="1">
        <v>27.5970229712118</v>
      </c>
      <c r="AI200" s="1">
        <v>0.23028690531870999</v>
      </c>
      <c r="AJ200" s="1">
        <v>14.920693521887401</v>
      </c>
      <c r="AK200" s="1">
        <v>8.2680131689867302</v>
      </c>
      <c r="AL200" s="1">
        <v>2.1883527698787102</v>
      </c>
      <c r="AM200" s="1">
        <v>634.44823389904104</v>
      </c>
      <c r="AN200" s="1">
        <v>1.9284584595879999E-8</v>
      </c>
      <c r="AO200" s="1">
        <v>1.7682296251836901E-7</v>
      </c>
      <c r="AP200" s="1">
        <v>1.86422210826845</v>
      </c>
      <c r="AQ200" s="1">
        <v>2.5928028012823499E-5</v>
      </c>
      <c r="AR200" s="1">
        <v>3.7913169701585802E-6</v>
      </c>
      <c r="AS200" s="1">
        <v>7.63847183321991</v>
      </c>
      <c r="AT200" s="1">
        <v>7.1159878067077003</v>
      </c>
      <c r="AU200" s="1">
        <v>1.63871881029239</v>
      </c>
      <c r="AV200" s="1">
        <v>0.225503297976065</v>
      </c>
      <c r="AW200" s="1">
        <v>7.1292529327389798E-3</v>
      </c>
      <c r="AX200" s="1">
        <v>0.22550328883776599</v>
      </c>
      <c r="AY200" s="1">
        <v>9.1382985623056406E-9</v>
      </c>
      <c r="AZ200" s="1">
        <v>692257.60600924003</v>
      </c>
      <c r="BA200" s="1">
        <v>1.3908229012961499E-5</v>
      </c>
      <c r="BB200" s="4">
        <v>4579924.4434871599</v>
      </c>
      <c r="BC200" s="4">
        <v>-37775.751825342901</v>
      </c>
      <c r="BD200" s="7">
        <v>-0.81806419272714204</v>
      </c>
      <c r="BE200" s="4">
        <v>4164058.8</v>
      </c>
      <c r="BF200" s="1">
        <v>1.0998702620354801</v>
      </c>
      <c r="BG200" s="1">
        <v>1</v>
      </c>
      <c r="BH200" s="1">
        <v>-0.25700000000000001</v>
      </c>
      <c r="BI200" s="1">
        <v>4.5999999999999999E-2</v>
      </c>
      <c r="BJ200" s="1">
        <v>5625</v>
      </c>
      <c r="BK200" s="1">
        <v>1</v>
      </c>
      <c r="BL200" s="1">
        <v>143.27885544552899</v>
      </c>
      <c r="BM200" s="1">
        <v>4.57992444348716</v>
      </c>
      <c r="BN200" s="1">
        <v>143.27885544552899</v>
      </c>
      <c r="BO200" s="1">
        <v>1</v>
      </c>
      <c r="BP200" s="1">
        <v>10666.5219821385</v>
      </c>
      <c r="BQ200" s="1">
        <v>1</v>
      </c>
      <c r="BR200" s="1">
        <v>0.15240000000000001</v>
      </c>
    </row>
    <row r="201" spans="1:70">
      <c r="A201" s="2" t="s">
        <v>269</v>
      </c>
      <c r="B201" s="1">
        <v>18960582.556212999</v>
      </c>
      <c r="C201" s="1">
        <v>634.44823391832597</v>
      </c>
      <c r="D201" s="1">
        <v>149.14958101226799</v>
      </c>
      <c r="E201" s="1">
        <v>520.38377569771103</v>
      </c>
      <c r="F201" s="1">
        <v>2467301.6327637699</v>
      </c>
      <c r="G201" s="1">
        <v>1775044.0267545299</v>
      </c>
      <c r="H201" s="1">
        <v>2.5972810943896E-5</v>
      </c>
      <c r="I201" s="1">
        <v>5.9480773118925399E-5</v>
      </c>
      <c r="J201" s="1">
        <v>0.43661798563056398</v>
      </c>
      <c r="K201" s="1">
        <v>16063.580349286</v>
      </c>
      <c r="L201" s="1">
        <v>1.6624879026359001E-3</v>
      </c>
      <c r="M201" s="1">
        <v>200</v>
      </c>
      <c r="N201" s="1">
        <v>2034.345</v>
      </c>
      <c r="O201" s="3">
        <v>2.8502295699234199E-6</v>
      </c>
      <c r="P201" s="3">
        <v>5.98473400508856E-3</v>
      </c>
      <c r="Q201" s="3">
        <v>1.905E-3</v>
      </c>
      <c r="R201" s="1">
        <v>0.15240000000000001</v>
      </c>
      <c r="S201" s="4">
        <v>3898645.01953125</v>
      </c>
      <c r="T201" s="1">
        <v>516.78076663997103</v>
      </c>
      <c r="U201" s="5">
        <v>554.95731990969398</v>
      </c>
      <c r="V201" s="1">
        <v>0.03</v>
      </c>
      <c r="W201" s="3">
        <v>65154.2846837498</v>
      </c>
      <c r="X201" s="1">
        <v>2.77604663894368E-2</v>
      </c>
      <c r="Y201" s="1">
        <v>6.00187050427395</v>
      </c>
      <c r="Z201" s="1">
        <v>6.0018705113914601</v>
      </c>
      <c r="AA201" s="1">
        <v>-7.11750747228734E-9</v>
      </c>
      <c r="AB201" s="1">
        <v>7.2289880152804102E-6</v>
      </c>
      <c r="AC201" s="1">
        <v>763.56078518722404</v>
      </c>
      <c r="AD201" s="1">
        <v>1919.0282633735201</v>
      </c>
      <c r="AE201" s="1">
        <v>554.95732154530197</v>
      </c>
      <c r="AF201" s="6">
        <v>1.63560775945371E-6</v>
      </c>
      <c r="AG201" s="1">
        <v>7.3801253999512301E-6</v>
      </c>
      <c r="AH201" s="1">
        <v>27.5970229712118</v>
      </c>
      <c r="AI201" s="1">
        <v>0.23028690531870999</v>
      </c>
      <c r="AJ201" s="1">
        <v>14.8689440732254</v>
      </c>
      <c r="AK201" s="1">
        <v>6.69028396493625</v>
      </c>
      <c r="AL201" s="1">
        <v>2.1883527698787102</v>
      </c>
      <c r="AM201" s="1">
        <v>634.448233893561</v>
      </c>
      <c r="AN201" s="1">
        <v>2.47650859819259E-8</v>
      </c>
      <c r="AO201" s="1">
        <v>1.5113738467082E-7</v>
      </c>
      <c r="AP201" s="1">
        <v>1.85724225643353</v>
      </c>
      <c r="AQ201" s="1">
        <v>2.6123278642486699E-5</v>
      </c>
      <c r="AR201" s="1">
        <v>3.76563139231103E-6</v>
      </c>
      <c r="AS201" s="1">
        <v>7.5867223845579401</v>
      </c>
      <c r="AT201" s="1">
        <v>7.0819983237453599</v>
      </c>
      <c r="AU201" s="1">
        <v>1.63089147744761</v>
      </c>
      <c r="AV201" s="1">
        <v>0.22635077898591899</v>
      </c>
      <c r="AW201" s="1">
        <v>7.1292529327389798E-3</v>
      </c>
      <c r="AX201" s="1">
        <v>0.226350770925213</v>
      </c>
      <c r="AY201" s="1">
        <v>8.0607057695303297E-9</v>
      </c>
      <c r="AZ201" s="1">
        <v>692257.60600924003</v>
      </c>
      <c r="BA201" s="1">
        <v>1.4065627977177E-5</v>
      </c>
      <c r="BB201" s="4">
        <v>3870831.4433764899</v>
      </c>
      <c r="BC201" s="4">
        <v>-27813.5761547578</v>
      </c>
      <c r="BD201" s="7">
        <v>-0.71341648227572896</v>
      </c>
      <c r="BE201" s="4">
        <v>3722416.2</v>
      </c>
      <c r="BF201" s="1">
        <v>1.0398706741541901</v>
      </c>
      <c r="BG201" s="1">
        <v>1</v>
      </c>
      <c r="BH201" s="1">
        <v>-0.189</v>
      </c>
      <c r="BI201" s="1">
        <v>4.5999999999999999E-2</v>
      </c>
      <c r="BJ201" s="1">
        <v>5625</v>
      </c>
      <c r="BK201" s="1">
        <v>1</v>
      </c>
      <c r="BL201" s="1">
        <v>117.66746727835501</v>
      </c>
      <c r="BM201" s="1">
        <v>3.8708314433764901</v>
      </c>
      <c r="BN201" s="1">
        <v>117.66746727835501</v>
      </c>
      <c r="BO201" s="1">
        <v>1</v>
      </c>
      <c r="BP201" s="1">
        <v>6032.2354734343298</v>
      </c>
      <c r="BQ201" s="1">
        <v>1</v>
      </c>
      <c r="BR201" s="1">
        <v>0.15240000000000001</v>
      </c>
    </row>
    <row r="202" spans="1:70">
      <c r="A202" s="2" t="s">
        <v>270</v>
      </c>
      <c r="B202" s="1">
        <v>18960582.556212999</v>
      </c>
      <c r="C202" s="1">
        <v>634.44823391832597</v>
      </c>
      <c r="D202" s="1">
        <v>149.14958101226799</v>
      </c>
      <c r="E202" s="1">
        <v>520.38377569771103</v>
      </c>
      <c r="F202" s="1">
        <v>2467301.6327637699</v>
      </c>
      <c r="G202" s="1">
        <v>1775044.0267545299</v>
      </c>
      <c r="H202" s="1">
        <v>2.5972810943896E-5</v>
      </c>
      <c r="I202" s="1">
        <v>5.9480773118925399E-5</v>
      </c>
      <c r="J202" s="1">
        <v>0.43661798563056398</v>
      </c>
      <c r="K202" s="1">
        <v>16063.580349286</v>
      </c>
      <c r="L202" s="1">
        <v>1.6624879026359001E-3</v>
      </c>
      <c r="M202" s="1">
        <v>201</v>
      </c>
      <c r="N202" s="1">
        <v>2047.9073000000001</v>
      </c>
      <c r="O202" s="3">
        <v>2.8502295699234199E-6</v>
      </c>
      <c r="P202" s="3">
        <v>5.98473400508856E-3</v>
      </c>
      <c r="Q202" s="3">
        <v>1.905E-3</v>
      </c>
      <c r="R202" s="1">
        <v>0.15240000000000001</v>
      </c>
      <c r="S202" s="4">
        <v>4632226.5625</v>
      </c>
      <c r="T202" s="1">
        <v>491.16937847279701</v>
      </c>
      <c r="U202" s="5">
        <v>536.22895717939798</v>
      </c>
      <c r="V202" s="1">
        <v>0.03</v>
      </c>
      <c r="W202" s="3">
        <v>65588.6465816415</v>
      </c>
      <c r="X202" s="1">
        <v>2.7685474811265799E-2</v>
      </c>
      <c r="Y202" s="1">
        <v>6.0099936332252604</v>
      </c>
      <c r="Z202" s="1">
        <v>6.0099936385649304</v>
      </c>
      <c r="AA202" s="1">
        <v>-5.3396638222125098E-9</v>
      </c>
      <c r="AB202" s="1">
        <v>7.1528795247520302E-6</v>
      </c>
      <c r="AC202" s="1">
        <v>793.617086737205</v>
      </c>
      <c r="AD202" s="1">
        <v>1929.2107278755</v>
      </c>
      <c r="AE202" s="1">
        <v>536.22895911556805</v>
      </c>
      <c r="AF202" s="6">
        <v>1.93617074728536E-6</v>
      </c>
      <c r="AG202" s="1">
        <v>7.3311103597214103E-6</v>
      </c>
      <c r="AH202" s="1">
        <v>27.890662442441201</v>
      </c>
      <c r="AI202" s="1">
        <v>0.23150881970289799</v>
      </c>
      <c r="AJ202" s="1">
        <v>14.8485635204344</v>
      </c>
      <c r="AK202" s="1">
        <v>8.2513129398966498</v>
      </c>
      <c r="AL202" s="1">
        <v>2.1883527698787102</v>
      </c>
      <c r="AM202" s="1">
        <v>634.44823385595305</v>
      </c>
      <c r="AN202" s="1">
        <v>6.2373032960749697E-8</v>
      </c>
      <c r="AO202" s="1">
        <v>1.78230834969379E-7</v>
      </c>
      <c r="AP202" s="1">
        <v>1.8684798425493101</v>
      </c>
      <c r="AQ202" s="1">
        <v>2.5809997438255901E-5</v>
      </c>
      <c r="AR202" s="1">
        <v>3.7546705973453902E-6</v>
      </c>
      <c r="AS202" s="1">
        <v>7.6047777386220003</v>
      </c>
      <c r="AT202" s="1">
        <v>7.0938834979672398</v>
      </c>
      <c r="AU202" s="1">
        <v>1.6422965957242599</v>
      </c>
      <c r="AV202" s="1">
        <v>0.226183246825054</v>
      </c>
      <c r="AW202" s="1">
        <v>7.0541944766786199E-3</v>
      </c>
      <c r="AX202" s="1">
        <v>0.22618323666943699</v>
      </c>
      <c r="AY202" s="1">
        <v>1.01556172082962E-8</v>
      </c>
      <c r="AZ202" s="1">
        <v>692257.60600924003</v>
      </c>
      <c r="BA202" s="1">
        <v>1.3813366807875901E-5</v>
      </c>
      <c r="BB202" s="4">
        <v>4648092.7033490604</v>
      </c>
      <c r="BC202" s="4">
        <v>15866.1408490594</v>
      </c>
      <c r="BD202" s="7">
        <v>0.342516511983743</v>
      </c>
      <c r="BE202" s="4">
        <v>4164058.8</v>
      </c>
      <c r="BF202" s="1">
        <v>1.1162408905823</v>
      </c>
      <c r="BG202" s="1">
        <v>1</v>
      </c>
      <c r="BH202" s="1">
        <v>-0.26300000000000001</v>
      </c>
      <c r="BI202" s="1">
        <v>4.5999999999999999E-2</v>
      </c>
      <c r="BJ202" s="1">
        <v>5625</v>
      </c>
      <c r="BK202" s="1">
        <v>1</v>
      </c>
      <c r="BL202" s="1">
        <v>143.27885544552899</v>
      </c>
      <c r="BM202" s="1">
        <v>4.64809270334906</v>
      </c>
      <c r="BN202" s="1">
        <v>143.27885544552899</v>
      </c>
      <c r="BO202" s="1">
        <v>1</v>
      </c>
      <c r="BP202" s="1">
        <v>10666.5219821385</v>
      </c>
      <c r="BQ202" s="1">
        <v>1</v>
      </c>
      <c r="BR202" s="1">
        <v>0.15240000000000001</v>
      </c>
    </row>
    <row r="203" spans="1:70">
      <c r="A203" s="2" t="s">
        <v>271</v>
      </c>
      <c r="B203" s="1">
        <v>18960582.556212999</v>
      </c>
      <c r="C203" s="1">
        <v>634.44823391832597</v>
      </c>
      <c r="D203" s="1">
        <v>149.14958101226799</v>
      </c>
      <c r="E203" s="1">
        <v>520.38377569771103</v>
      </c>
      <c r="F203" s="1">
        <v>2467301.6327637699</v>
      </c>
      <c r="G203" s="1">
        <v>1775044.0267545299</v>
      </c>
      <c r="H203" s="1">
        <v>2.5972810943896E-5</v>
      </c>
      <c r="I203" s="1">
        <v>5.9480773118925399E-5</v>
      </c>
      <c r="J203" s="1">
        <v>0.43661798563056398</v>
      </c>
      <c r="K203" s="1">
        <v>16063.580349286</v>
      </c>
      <c r="L203" s="1">
        <v>1.6624879026359001E-3</v>
      </c>
      <c r="M203" s="1">
        <v>202</v>
      </c>
      <c r="N203" s="1">
        <v>2047.9073000000001</v>
      </c>
      <c r="O203" s="3">
        <v>2.8502295699234199E-6</v>
      </c>
      <c r="P203" s="3">
        <v>5.98473400508856E-3</v>
      </c>
      <c r="Q203" s="3">
        <v>1.905E-3</v>
      </c>
      <c r="R203" s="1">
        <v>0.15240000000000001</v>
      </c>
      <c r="S203" s="4">
        <v>3879760.7421875</v>
      </c>
      <c r="T203" s="1">
        <v>517.88193873595401</v>
      </c>
      <c r="U203" s="5">
        <v>555.62197199353</v>
      </c>
      <c r="V203" s="1">
        <v>0.03</v>
      </c>
      <c r="W203" s="3">
        <v>65588.6465816415</v>
      </c>
      <c r="X203" s="1">
        <v>2.7685474811265799E-2</v>
      </c>
      <c r="Y203" s="1">
        <v>6.0099936332252604</v>
      </c>
      <c r="Z203" s="1">
        <v>6.0099936385649304</v>
      </c>
      <c r="AA203" s="1">
        <v>-5.3396638222125098E-9</v>
      </c>
      <c r="AB203" s="1">
        <v>7.1528795247520302E-6</v>
      </c>
      <c r="AC203" s="1">
        <v>761.79574948842196</v>
      </c>
      <c r="AD203" s="1">
        <v>1929.2107278755</v>
      </c>
      <c r="AE203" s="1">
        <v>555.62197361148696</v>
      </c>
      <c r="AF203" s="6">
        <v>1.6179574231500699E-6</v>
      </c>
      <c r="AG203" s="1">
        <v>7.3039135526401804E-6</v>
      </c>
      <c r="AH203" s="1">
        <v>27.890662442441201</v>
      </c>
      <c r="AI203" s="1">
        <v>0.23150881970289799</v>
      </c>
      <c r="AJ203" s="1">
        <v>14.793478615463201</v>
      </c>
      <c r="AK203" s="1">
        <v>6.6094903462737999</v>
      </c>
      <c r="AL203" s="1">
        <v>2.1883527698787102</v>
      </c>
      <c r="AM203" s="1">
        <v>634.44823384830499</v>
      </c>
      <c r="AN203" s="1">
        <v>7.0021087594795999E-8</v>
      </c>
      <c r="AO203" s="1">
        <v>1.5103402788814599E-7</v>
      </c>
      <c r="AP203" s="1">
        <v>1.8609766419723801</v>
      </c>
      <c r="AQ203" s="1">
        <v>2.6018541687124799E-5</v>
      </c>
      <c r="AR203" s="1">
        <v>3.7274737902641598E-6</v>
      </c>
      <c r="AS203" s="1">
        <v>7.5496928336507896</v>
      </c>
      <c r="AT203" s="1">
        <v>7.0575343907432098</v>
      </c>
      <c r="AU203" s="1">
        <v>1.63388145681357</v>
      </c>
      <c r="AV203" s="1">
        <v>0.227095185158811</v>
      </c>
      <c r="AW203" s="1">
        <v>7.0541944766786199E-3</v>
      </c>
      <c r="AX203" s="1">
        <v>0.22709517621429501</v>
      </c>
      <c r="AY203" s="1">
        <v>8.9445166551183097E-9</v>
      </c>
      <c r="AZ203" s="1">
        <v>692257.60600924003</v>
      </c>
      <c r="BA203" s="1">
        <v>1.3981122116368299E-5</v>
      </c>
      <c r="BB203" s="4">
        <v>3891564.7387400898</v>
      </c>
      <c r="BC203" s="4">
        <v>11803.9965525931</v>
      </c>
      <c r="BD203" s="7">
        <v>0.30424547638310601</v>
      </c>
      <c r="BE203" s="4">
        <v>3722416.2</v>
      </c>
      <c r="BF203" s="1">
        <v>1.04544052294316</v>
      </c>
      <c r="BG203" s="1">
        <v>1</v>
      </c>
      <c r="BH203" s="1">
        <v>-0.187</v>
      </c>
      <c r="BI203" s="1">
        <v>4.5999999999999999E-2</v>
      </c>
      <c r="BJ203" s="1">
        <v>5625</v>
      </c>
      <c r="BK203" s="1">
        <v>1</v>
      </c>
      <c r="BL203" s="1">
        <v>116.566295182372</v>
      </c>
      <c r="BM203" s="1">
        <v>3.8915647387400898</v>
      </c>
      <c r="BN203" s="1">
        <v>116.566295182372</v>
      </c>
      <c r="BO203" s="1">
        <v>1</v>
      </c>
      <c r="BP203" s="1">
        <v>5862.3975579541202</v>
      </c>
      <c r="BQ203" s="1">
        <v>1</v>
      </c>
      <c r="BR203" s="1">
        <v>0.15240000000000001</v>
      </c>
    </row>
    <row r="204" spans="1:70">
      <c r="A204" s="2" t="s">
        <v>272</v>
      </c>
      <c r="B204" s="1">
        <v>18960582.556212999</v>
      </c>
      <c r="C204" s="1">
        <v>634.44823391832597</v>
      </c>
      <c r="D204" s="1">
        <v>149.14958101226799</v>
      </c>
      <c r="E204" s="1">
        <v>520.38377569771103</v>
      </c>
      <c r="F204" s="1">
        <v>2467301.6327637699</v>
      </c>
      <c r="G204" s="1">
        <v>1775044.0267545299</v>
      </c>
      <c r="H204" s="1">
        <v>2.5972810943896E-5</v>
      </c>
      <c r="I204" s="1">
        <v>5.9480773118925399E-5</v>
      </c>
      <c r="J204" s="1">
        <v>0.43661798563056398</v>
      </c>
      <c r="K204" s="1">
        <v>16063.580349286</v>
      </c>
      <c r="L204" s="1">
        <v>1.6624879026359001E-3</v>
      </c>
      <c r="M204" s="1">
        <v>203</v>
      </c>
      <c r="N204" s="1">
        <v>2061.4695999999999</v>
      </c>
      <c r="O204" s="3">
        <v>2.8502295699234199E-6</v>
      </c>
      <c r="P204" s="3">
        <v>5.98473400508856E-3</v>
      </c>
      <c r="Q204" s="3">
        <v>1.905E-3</v>
      </c>
      <c r="R204" s="1">
        <v>0.15240000000000001</v>
      </c>
      <c r="S204" s="4">
        <v>3430295.99609375</v>
      </c>
      <c r="T204" s="1">
        <v>534.05487488333199</v>
      </c>
      <c r="U204" s="5">
        <v>567.20325345200501</v>
      </c>
      <c r="V204" s="1">
        <v>0.03</v>
      </c>
      <c r="W204" s="3">
        <v>66023.008479533193</v>
      </c>
      <c r="X204" s="1">
        <v>2.7611290226907802E-2</v>
      </c>
      <c r="Y204" s="1">
        <v>6.0180618873112204</v>
      </c>
      <c r="Z204" s="1">
        <v>6.0180619341428496</v>
      </c>
      <c r="AA204" s="1">
        <v>-4.6831631905774897E-8</v>
      </c>
      <c r="AB204" s="1">
        <v>7.0780382335173803E-6</v>
      </c>
      <c r="AC204" s="1">
        <v>742.28489107037694</v>
      </c>
      <c r="AD204" s="1">
        <v>1939.3833880575601</v>
      </c>
      <c r="AE204" s="1">
        <v>567.20325345200501</v>
      </c>
      <c r="AF204" s="6">
        <v>0</v>
      </c>
      <c r="AG204" s="1">
        <v>7.2109691790268698E-6</v>
      </c>
      <c r="AH204" s="1">
        <v>28.185570879174001</v>
      </c>
      <c r="AI204" s="1">
        <v>0.23272955755074301</v>
      </c>
      <c r="AJ204" s="1">
        <v>14.682240249448601</v>
      </c>
      <c r="AK204" s="1">
        <v>5.6103239006692798</v>
      </c>
      <c r="AL204" s="1">
        <v>2.1883527698787102</v>
      </c>
      <c r="AM204" s="1">
        <v>634.44823393768104</v>
      </c>
      <c r="AN204" s="1">
        <v>-1.9354843061592001E-8</v>
      </c>
      <c r="AO204" s="1">
        <v>1.3293094550949101E-7</v>
      </c>
      <c r="AP204" s="1">
        <v>1.8596128204093301</v>
      </c>
      <c r="AQ204" s="1">
        <v>2.6056719161324499E-5</v>
      </c>
      <c r="AR204" s="1">
        <v>3.67195006226818E-6</v>
      </c>
      <c r="AS204" s="1">
        <v>7.4764503438738501</v>
      </c>
      <c r="AT204" s="1">
        <v>7.0087906319622704</v>
      </c>
      <c r="AU204" s="1">
        <v>1.63115274274237</v>
      </c>
      <c r="AV204" s="1">
        <v>0.228460077666955</v>
      </c>
      <c r="AW204" s="1">
        <v>6.98038573693569E-3</v>
      </c>
      <c r="AX204" s="1">
        <v>0.22846006862992699</v>
      </c>
      <c r="AY204" s="1">
        <v>9.0370281535801006E-9</v>
      </c>
      <c r="AZ204" s="1">
        <v>692257.60600924003</v>
      </c>
      <c r="BA204" s="1">
        <v>1.40119055296624E-5</v>
      </c>
      <c r="BB204" s="4">
        <v>3417593.2813150198</v>
      </c>
      <c r="BC204" s="4">
        <v>-12702.7147787306</v>
      </c>
      <c r="BD204" s="7">
        <v>-0.37030958241492501</v>
      </c>
      <c r="BE204" s="4">
        <v>3438503.1</v>
      </c>
      <c r="BF204" s="1">
        <v>0.99391891818129197</v>
      </c>
      <c r="BG204" s="1">
        <v>1</v>
      </c>
      <c r="BH204" s="1">
        <v>-0.14599999999999999</v>
      </c>
      <c r="BI204" s="1">
        <v>4.5999999999999999E-2</v>
      </c>
      <c r="BJ204" s="1">
        <v>5625</v>
      </c>
      <c r="BK204" s="1">
        <v>1</v>
      </c>
      <c r="BL204" s="1">
        <v>100.39335903499401</v>
      </c>
      <c r="BM204" s="1">
        <v>3.4175932813150198</v>
      </c>
      <c r="BN204" s="1">
        <v>100.39335903499401</v>
      </c>
      <c r="BO204" s="1">
        <v>1</v>
      </c>
      <c r="BP204" s="1">
        <v>3647.35781552969</v>
      </c>
      <c r="BQ204" s="1">
        <v>1</v>
      </c>
      <c r="BR204" s="1">
        <v>0.15240000000000001</v>
      </c>
    </row>
    <row r="205" spans="1:70">
      <c r="A205" s="2" t="s">
        <v>273</v>
      </c>
      <c r="B205" s="1">
        <v>18960582.556212999</v>
      </c>
      <c r="C205" s="1">
        <v>634.44823391832597</v>
      </c>
      <c r="D205" s="1">
        <v>149.14958101226799</v>
      </c>
      <c r="E205" s="1">
        <v>520.38377569771103</v>
      </c>
      <c r="F205" s="1">
        <v>2467301.6327637699</v>
      </c>
      <c r="G205" s="1">
        <v>1775044.0267545299</v>
      </c>
      <c r="H205" s="1">
        <v>2.5972810943896E-5</v>
      </c>
      <c r="I205" s="1">
        <v>5.9480773118925399E-5</v>
      </c>
      <c r="J205" s="1">
        <v>0.43661798563056398</v>
      </c>
      <c r="K205" s="1">
        <v>16063.580349286</v>
      </c>
      <c r="L205" s="1">
        <v>1.6624879026359001E-3</v>
      </c>
      <c r="M205" s="1">
        <v>204</v>
      </c>
      <c r="N205" s="1">
        <v>2075.0319</v>
      </c>
      <c r="O205" s="3">
        <v>2.8502295699234199E-6</v>
      </c>
      <c r="P205" s="3">
        <v>5.98473400508856E-3</v>
      </c>
      <c r="Q205" s="3">
        <v>1.905E-3</v>
      </c>
      <c r="R205" s="1">
        <v>0.15240000000000001</v>
      </c>
      <c r="S205" s="4">
        <v>3329451.42578125</v>
      </c>
      <c r="T205" s="1">
        <v>537.92469521286102</v>
      </c>
      <c r="U205" s="5">
        <v>569.88828393948199</v>
      </c>
      <c r="V205" s="1">
        <v>0.03</v>
      </c>
      <c r="W205" s="3">
        <v>66457.370377424799</v>
      </c>
      <c r="X205" s="1">
        <v>2.7537897758732399E-2</v>
      </c>
      <c r="Y205" s="1">
        <v>6.0260760524703603</v>
      </c>
      <c r="Z205" s="1">
        <v>6.0260760849766299</v>
      </c>
      <c r="AA205" s="1">
        <v>-3.25062741168836E-8</v>
      </c>
      <c r="AB205" s="1">
        <v>7.0044354320592796E-6</v>
      </c>
      <c r="AC205" s="1">
        <v>737.37856462913498</v>
      </c>
      <c r="AD205" s="1">
        <v>1949.5463069387699</v>
      </c>
      <c r="AE205" s="1">
        <v>569.88828393948199</v>
      </c>
      <c r="AF205" s="6">
        <v>0</v>
      </c>
      <c r="AG205" s="1">
        <v>7.1328723961948796E-6</v>
      </c>
      <c r="AH205" s="1">
        <v>28.481745638371301</v>
      </c>
      <c r="AI205" s="1">
        <v>0.23394912642465099</v>
      </c>
      <c r="AJ205" s="1">
        <v>14.599333373088999</v>
      </c>
      <c r="AK205" s="1">
        <v>5.3647685667212501</v>
      </c>
      <c r="AL205" s="1">
        <v>2.1883527698787102</v>
      </c>
      <c r="AM205" s="1">
        <v>634.44823395019796</v>
      </c>
      <c r="AN205" s="1">
        <v>-3.1871650207904201E-8</v>
      </c>
      <c r="AO205" s="1">
        <v>1.2843696413560201E-7</v>
      </c>
      <c r="AP205" s="1">
        <v>1.8619531584993301</v>
      </c>
      <c r="AQ205" s="1">
        <v>2.5991257570707702E-5</v>
      </c>
      <c r="AR205" s="1">
        <v>3.6306546801652402E-6</v>
      </c>
      <c r="AS205" s="1">
        <v>7.4311070062846403</v>
      </c>
      <c r="AT205" s="1">
        <v>6.9783741952806499</v>
      </c>
      <c r="AU205" s="1">
        <v>1.63258454685023</v>
      </c>
      <c r="AV205" s="1">
        <v>0.229368611649099</v>
      </c>
      <c r="AW205" s="1">
        <v>6.9077984000852502E-3</v>
      </c>
      <c r="AX205" s="1">
        <v>0.22936860189177799</v>
      </c>
      <c r="AY205" s="1">
        <v>9.7573205626311205E-9</v>
      </c>
      <c r="AZ205" s="1">
        <v>692257.60600924003</v>
      </c>
      <c r="BA205" s="1">
        <v>1.3959136110414201E-5</v>
      </c>
      <c r="BB205" s="4">
        <v>3314537.7806892502</v>
      </c>
      <c r="BC205" s="4">
        <v>-14913.645092004899</v>
      </c>
      <c r="BD205" s="7">
        <v>-0.44793100078057002</v>
      </c>
      <c r="BE205" s="4">
        <v>3375411.3</v>
      </c>
      <c r="BF205" s="1">
        <v>0.98196559947797901</v>
      </c>
      <c r="BG205" s="1">
        <v>1</v>
      </c>
      <c r="BH205" s="1">
        <v>-0.13800000000000001</v>
      </c>
      <c r="BI205" s="1">
        <v>4.5999999999999999E-2</v>
      </c>
      <c r="BJ205" s="1">
        <v>5625</v>
      </c>
      <c r="BK205" s="1">
        <v>1</v>
      </c>
      <c r="BL205" s="1">
        <v>96.523538705464901</v>
      </c>
      <c r="BM205" s="1">
        <v>3.31453778068924</v>
      </c>
      <c r="BN205" s="1">
        <v>96.523538705464901</v>
      </c>
      <c r="BO205" s="1">
        <v>1</v>
      </c>
      <c r="BP205" s="1">
        <v>3194.9104277881902</v>
      </c>
      <c r="BQ205" s="1">
        <v>1</v>
      </c>
      <c r="BR205" s="1">
        <v>0.15240000000000001</v>
      </c>
    </row>
    <row r="206" spans="1:70">
      <c r="A206" s="2" t="s">
        <v>274</v>
      </c>
      <c r="B206" s="1">
        <v>18960582.556212999</v>
      </c>
      <c r="C206" s="1">
        <v>634.44823391832597</v>
      </c>
      <c r="D206" s="1">
        <v>149.14958101226799</v>
      </c>
      <c r="E206" s="1">
        <v>520.38377569771103</v>
      </c>
      <c r="F206" s="1">
        <v>2467301.6327637699</v>
      </c>
      <c r="G206" s="1">
        <v>1775044.0267545299</v>
      </c>
      <c r="H206" s="1">
        <v>2.5972810943896E-5</v>
      </c>
      <c r="I206" s="1">
        <v>5.9480773118925399E-5</v>
      </c>
      <c r="J206" s="1">
        <v>0.43661798563056398</v>
      </c>
      <c r="K206" s="1">
        <v>16063.580349286</v>
      </c>
      <c r="L206" s="1">
        <v>1.6624879026359001E-3</v>
      </c>
      <c r="M206" s="1">
        <v>205</v>
      </c>
      <c r="N206" s="1">
        <v>2685.3353999999999</v>
      </c>
      <c r="O206" s="3">
        <v>2.8502295699234199E-6</v>
      </c>
      <c r="P206" s="3">
        <v>5.98473400508856E-3</v>
      </c>
      <c r="Q206" s="3">
        <v>1.905E-3</v>
      </c>
      <c r="R206" s="1">
        <v>0.15240000000000001</v>
      </c>
      <c r="S206" s="4">
        <v>3002368.1640625</v>
      </c>
      <c r="T206" s="1">
        <v>561.28950888079305</v>
      </c>
      <c r="U206" s="5">
        <v>583.562217611032</v>
      </c>
      <c r="V206" s="1">
        <v>0.03</v>
      </c>
      <c r="W206" s="3">
        <v>86003.655782549802</v>
      </c>
      <c r="X206" s="1">
        <v>2.48783807458107E-2</v>
      </c>
      <c r="Y206" s="1">
        <v>6.3399954316979397</v>
      </c>
      <c r="Z206" s="1">
        <v>6.3399954657620103</v>
      </c>
      <c r="AA206" s="1">
        <v>-3.4064068010763997E-8</v>
      </c>
      <c r="AB206" s="1">
        <v>4.6295021533103401E-6</v>
      </c>
      <c r="AC206" s="1">
        <v>700.19218316204797</v>
      </c>
      <c r="AD206" s="1">
        <v>2398.0209791092798</v>
      </c>
      <c r="AE206" s="1">
        <v>583.562217611032</v>
      </c>
      <c r="AF206" s="6">
        <v>0</v>
      </c>
      <c r="AG206" s="1">
        <v>4.7256519565741301E-6</v>
      </c>
      <c r="AH206" s="1">
        <v>43.092872993623303</v>
      </c>
      <c r="AI206" s="1">
        <v>0.28776690823595802</v>
      </c>
      <c r="AJ206" s="1">
        <v>11.897335991426299</v>
      </c>
      <c r="AK206" s="1">
        <v>3.6735375386752001</v>
      </c>
      <c r="AL206" s="1">
        <v>2.1883527698787102</v>
      </c>
      <c r="AM206" s="1">
        <v>634.44823401952601</v>
      </c>
      <c r="AN206" s="1">
        <v>-1.012001575873E-7</v>
      </c>
      <c r="AO206" s="1">
        <v>9.6149803263795002E-8</v>
      </c>
      <c r="AP206" s="1">
        <v>1.9820169256284399</v>
      </c>
      <c r="AQ206" s="1">
        <v>2.29377110550839E-5</v>
      </c>
      <c r="AR206" s="1">
        <v>2.41090087991896E-6</v>
      </c>
      <c r="AS206" s="1">
        <v>6.0697017203135797</v>
      </c>
      <c r="AT206" s="1">
        <v>5.9665473194135501</v>
      </c>
      <c r="AU206" s="1">
        <v>1.71697487495118</v>
      </c>
      <c r="AV206" s="1">
        <v>0.26504205067725201</v>
      </c>
      <c r="AW206" s="1">
        <v>4.5656310031009098E-3</v>
      </c>
      <c r="AX206" s="1">
        <v>0.265042050348819</v>
      </c>
      <c r="AY206" s="1">
        <v>3.2843211483779602E-10</v>
      </c>
      <c r="AZ206" s="1">
        <v>692257.60600924003</v>
      </c>
      <c r="BA206" s="1">
        <v>1.15729138124343E-5</v>
      </c>
      <c r="BB206" s="4">
        <v>2992934.1739844298</v>
      </c>
      <c r="BC206" s="4">
        <v>-9433.9900780692697</v>
      </c>
      <c r="BD206" s="7">
        <v>-0.31421829577702898</v>
      </c>
      <c r="BE206" s="4">
        <v>3596232.6</v>
      </c>
      <c r="BF206" s="1">
        <v>0.83224154466105205</v>
      </c>
      <c r="BG206" s="1">
        <v>1</v>
      </c>
      <c r="BH206" s="1">
        <v>-0.104</v>
      </c>
      <c r="BI206" s="1">
        <v>4.5999999999999999E-2</v>
      </c>
      <c r="BJ206" s="1">
        <v>5625</v>
      </c>
      <c r="BK206" s="1">
        <v>1</v>
      </c>
      <c r="BL206" s="1">
        <v>73.158725037532903</v>
      </c>
      <c r="BM206" s="1">
        <v>2.99293417398443</v>
      </c>
      <c r="BN206" s="1">
        <v>73.158725037532903</v>
      </c>
      <c r="BO206" s="1">
        <v>1</v>
      </c>
      <c r="BP206" s="1">
        <v>1099.5010461147101</v>
      </c>
      <c r="BQ206" s="1">
        <v>1</v>
      </c>
      <c r="BR206" s="1">
        <v>0.15240000000000001</v>
      </c>
    </row>
    <row r="207" spans="1:70">
      <c r="A207" s="2" t="s">
        <v>275</v>
      </c>
      <c r="B207" s="1">
        <v>18960582.556212999</v>
      </c>
      <c r="C207" s="1">
        <v>634.44823391832597</v>
      </c>
      <c r="D207" s="1">
        <v>149.14958101226799</v>
      </c>
      <c r="E207" s="1">
        <v>520.38377569771103</v>
      </c>
      <c r="F207" s="1">
        <v>2467301.6327637699</v>
      </c>
      <c r="G207" s="1">
        <v>1775044.0267545299</v>
      </c>
      <c r="H207" s="1">
        <v>2.5972810943896E-5</v>
      </c>
      <c r="I207" s="1">
        <v>5.9480773118925399E-5</v>
      </c>
      <c r="J207" s="1">
        <v>0.43661798563056398</v>
      </c>
      <c r="K207" s="1">
        <v>16063.580349286</v>
      </c>
      <c r="L207" s="1">
        <v>1.6624879026359001E-3</v>
      </c>
      <c r="M207" s="1">
        <v>206</v>
      </c>
      <c r="N207" s="1">
        <v>2698.8977</v>
      </c>
      <c r="O207" s="3">
        <v>2.8502295699234199E-6</v>
      </c>
      <c r="P207" s="3">
        <v>5.98473400508856E-3</v>
      </c>
      <c r="Q207" s="3">
        <v>1.905E-3</v>
      </c>
      <c r="R207" s="1">
        <v>0.15240000000000001</v>
      </c>
      <c r="S207" s="4">
        <v>4171740.72265625</v>
      </c>
      <c r="T207" s="1">
        <v>525.63284033909497</v>
      </c>
      <c r="U207" s="5">
        <v>556.42488400592697</v>
      </c>
      <c r="V207" s="1">
        <v>0.03</v>
      </c>
      <c r="W207" s="3">
        <v>86438.017680441495</v>
      </c>
      <c r="X207" s="1">
        <v>2.4830525859102299E-2</v>
      </c>
      <c r="Y207" s="1">
        <v>6.3461019016727098</v>
      </c>
      <c r="Z207" s="1">
        <v>6.3461019330903401</v>
      </c>
      <c r="AA207" s="1">
        <v>-3.1417631163321897E-8</v>
      </c>
      <c r="AB207" s="1">
        <v>4.5919242072455102E-6</v>
      </c>
      <c r="AC207" s="1">
        <v>735.45349696470896</v>
      </c>
      <c r="AD207" s="1">
        <v>2407.8130717556101</v>
      </c>
      <c r="AE207" s="1">
        <v>556.42488400592697</v>
      </c>
      <c r="AF207" s="6">
        <v>0</v>
      </c>
      <c r="AG207" s="1">
        <v>4.7219781386298901E-6</v>
      </c>
      <c r="AH207" s="1">
        <v>43.445522903344802</v>
      </c>
      <c r="AI207" s="1">
        <v>0.28894197728270299</v>
      </c>
      <c r="AJ207" s="1">
        <v>11.9366306422439</v>
      </c>
      <c r="AK207" s="1">
        <v>5.63708871938237</v>
      </c>
      <c r="AL207" s="1">
        <v>2.1883527698787102</v>
      </c>
      <c r="AM207" s="1">
        <v>634.44823408354603</v>
      </c>
      <c r="AN207" s="1">
        <v>-1.6521983070561001E-7</v>
      </c>
      <c r="AO207" s="1">
        <v>1.3005393138438201E-7</v>
      </c>
      <c r="AP207" s="1">
        <v>2.0023275411607102</v>
      </c>
      <c r="AQ207" s="1">
        <v>2.2474733646825099E-5</v>
      </c>
      <c r="AR207" s="1">
        <v>2.42601603500714E-6</v>
      </c>
      <c r="AS207" s="1">
        <v>6.13269619042405</v>
      </c>
      <c r="AT207" s="1">
        <v>6.0181724427732197</v>
      </c>
      <c r="AU207" s="1">
        <v>1.73890264524317</v>
      </c>
      <c r="AV207" s="1">
        <v>0.26342489591753998</v>
      </c>
      <c r="AW207" s="1">
        <v>4.5285715029851703E-3</v>
      </c>
      <c r="AX207" s="1">
        <v>0.26342489168070399</v>
      </c>
      <c r="AY207" s="1">
        <v>4.2368362707101401E-9</v>
      </c>
      <c r="AZ207" s="1">
        <v>692257.60600924003</v>
      </c>
      <c r="BA207" s="1">
        <v>1.12243043082736E-5</v>
      </c>
      <c r="BB207" s="4">
        <v>4174029.71402134</v>
      </c>
      <c r="BC207" s="4">
        <v>2288.9913650890799</v>
      </c>
      <c r="BD207" s="7">
        <v>5.4868974782105402E-2</v>
      </c>
      <c r="BE207" s="4">
        <v>4511063.7</v>
      </c>
      <c r="BF207" s="1">
        <v>0.92528724744484103</v>
      </c>
      <c r="BG207" s="1">
        <v>1</v>
      </c>
      <c r="BH207" s="1">
        <v>-0.20200000000000001</v>
      </c>
      <c r="BI207" s="1">
        <v>4.5999999999999999E-2</v>
      </c>
      <c r="BJ207" s="1">
        <v>5625</v>
      </c>
      <c r="BK207" s="1">
        <v>1</v>
      </c>
      <c r="BL207" s="1">
        <v>108.815393579231</v>
      </c>
      <c r="BM207" s="1">
        <v>4.1740297140213398</v>
      </c>
      <c r="BN207" s="1">
        <v>108.815393579231</v>
      </c>
      <c r="BO207" s="1">
        <v>1</v>
      </c>
      <c r="BP207" s="1">
        <v>4735.5583934644701</v>
      </c>
      <c r="BQ207" s="1">
        <v>1</v>
      </c>
      <c r="BR207" s="1">
        <v>0.15240000000000001</v>
      </c>
    </row>
    <row r="208" spans="1:70">
      <c r="A208" s="2" t="s">
        <v>276</v>
      </c>
      <c r="B208" s="1">
        <v>18960582.556212999</v>
      </c>
      <c r="C208" s="1">
        <v>634.44823391832597</v>
      </c>
      <c r="D208" s="1">
        <v>149.14958101226799</v>
      </c>
      <c r="E208" s="1">
        <v>520.38377569771103</v>
      </c>
      <c r="F208" s="1">
        <v>2467301.6327637699</v>
      </c>
      <c r="G208" s="1">
        <v>1775044.0267545299</v>
      </c>
      <c r="H208" s="1">
        <v>2.5972810943896E-5</v>
      </c>
      <c r="I208" s="1">
        <v>5.9480773118925399E-5</v>
      </c>
      <c r="J208" s="1">
        <v>0.43661798563056398</v>
      </c>
      <c r="K208" s="1">
        <v>16063.580349286</v>
      </c>
      <c r="L208" s="1">
        <v>1.6624879026359001E-3</v>
      </c>
      <c r="M208" s="1">
        <v>207</v>
      </c>
      <c r="N208" s="1">
        <v>2726.0223000000001</v>
      </c>
      <c r="O208" s="3">
        <v>2.8502295699234199E-6</v>
      </c>
      <c r="P208" s="3">
        <v>5.98473400508856E-3</v>
      </c>
      <c r="Q208" s="3">
        <v>1.905E-3</v>
      </c>
      <c r="R208" s="1">
        <v>0.15240000000000001</v>
      </c>
      <c r="S208" s="4">
        <v>5599682.6171875</v>
      </c>
      <c r="T208" s="1">
        <v>481.73347125662798</v>
      </c>
      <c r="U208" s="5">
        <v>522.65403768029603</v>
      </c>
      <c r="V208" s="1">
        <v>0.03</v>
      </c>
      <c r="W208" s="3">
        <v>87306.741476224794</v>
      </c>
      <c r="X208" s="1">
        <v>2.4735969360293E-2</v>
      </c>
      <c r="Y208" s="1">
        <v>6.3582197371331297</v>
      </c>
      <c r="Z208" s="1">
        <v>6.35821976348383</v>
      </c>
      <c r="AA208" s="1">
        <v>-2.63506914066625E-8</v>
      </c>
      <c r="AB208" s="1">
        <v>4.5182029201920501E-6</v>
      </c>
      <c r="AC208" s="1">
        <v>779.03964791992098</v>
      </c>
      <c r="AD208" s="1">
        <v>2427.37713909897</v>
      </c>
      <c r="AE208" s="1">
        <v>522.65403768029603</v>
      </c>
      <c r="AF208" s="6">
        <v>0</v>
      </c>
      <c r="AG208" s="1">
        <v>4.6871749131915003E-6</v>
      </c>
      <c r="AH208" s="1">
        <v>44.1544020576722</v>
      </c>
      <c r="AI208" s="1">
        <v>0.29128970118544001</v>
      </c>
      <c r="AJ208" s="1">
        <v>11.944925177154101</v>
      </c>
      <c r="AK208" s="1">
        <v>8.06760128503395</v>
      </c>
      <c r="AL208" s="1">
        <v>2.1883527698787102</v>
      </c>
      <c r="AM208" s="1">
        <v>634.44823388160501</v>
      </c>
      <c r="AN208" s="1">
        <v>3.6721303331432897E-8</v>
      </c>
      <c r="AO208" s="1">
        <v>1.6897199299945399E-7</v>
      </c>
      <c r="AP208" s="1">
        <v>2.0282266702596701</v>
      </c>
      <c r="AQ208" s="1">
        <v>2.1904422969598699E-5</v>
      </c>
      <c r="AR208" s="1">
        <v>2.4280734530954799E-6</v>
      </c>
      <c r="AS208" s="1">
        <v>6.1877690205743399</v>
      </c>
      <c r="AT208" s="1">
        <v>6.06287302511143</v>
      </c>
      <c r="AU208" s="1">
        <v>1.7660524718099699</v>
      </c>
      <c r="AV208" s="1">
        <v>0.26217419844970302</v>
      </c>
      <c r="AW208" s="1">
        <v>4.4558673152316E-3</v>
      </c>
      <c r="AX208" s="1">
        <v>0.26217418793809999</v>
      </c>
      <c r="AY208" s="1">
        <v>1.05116024218255E-8</v>
      </c>
      <c r="AZ208" s="1">
        <v>692257.60600924003</v>
      </c>
      <c r="BA208" s="1">
        <v>1.07997904232244E-5</v>
      </c>
      <c r="BB208" s="4">
        <v>5636258.23348385</v>
      </c>
      <c r="BC208" s="4">
        <v>36575.616296354703</v>
      </c>
      <c r="BD208" s="7">
        <v>0.65317302420123902</v>
      </c>
      <c r="BE208" s="4">
        <v>5236619.4000000004</v>
      </c>
      <c r="BF208" s="1">
        <v>1.07631618854787</v>
      </c>
      <c r="BG208" s="1">
        <v>1</v>
      </c>
      <c r="BH208" s="1">
        <v>-0.376</v>
      </c>
      <c r="BI208" s="1">
        <v>4.5999999999999999E-2</v>
      </c>
      <c r="BJ208" s="1">
        <v>5625</v>
      </c>
      <c r="BK208" s="1">
        <v>1</v>
      </c>
      <c r="BL208" s="1">
        <v>152.71476266169799</v>
      </c>
      <c r="BM208" s="1">
        <v>5.6362582334838498</v>
      </c>
      <c r="BN208" s="1">
        <v>152.71476266169799</v>
      </c>
      <c r="BO208" s="1">
        <v>1</v>
      </c>
      <c r="BP208" s="1">
        <v>12704.6177218829</v>
      </c>
      <c r="BQ208" s="1">
        <v>1</v>
      </c>
      <c r="BR208" s="1">
        <v>0.15240000000000001</v>
      </c>
    </row>
    <row r="209" spans="1:70">
      <c r="A209" s="2" t="s">
        <v>277</v>
      </c>
      <c r="B209" s="1">
        <v>18960582.556212999</v>
      </c>
      <c r="C209" s="1">
        <v>634.44823391832597</v>
      </c>
      <c r="D209" s="1">
        <v>149.14958101226799</v>
      </c>
      <c r="E209" s="1">
        <v>520.38377569771103</v>
      </c>
      <c r="F209" s="1">
        <v>2467301.6327637699</v>
      </c>
      <c r="G209" s="1">
        <v>1775044.0267545299</v>
      </c>
      <c r="H209" s="1">
        <v>2.5972810943896E-5</v>
      </c>
      <c r="I209" s="1">
        <v>5.9480773118925399E-5</v>
      </c>
      <c r="J209" s="1">
        <v>0.43661798563056398</v>
      </c>
      <c r="K209" s="1">
        <v>16063.580349286</v>
      </c>
      <c r="L209" s="1">
        <v>1.6624879026359001E-3</v>
      </c>
      <c r="M209" s="1">
        <v>208</v>
      </c>
      <c r="N209" s="1">
        <v>2726.0223000000001</v>
      </c>
      <c r="O209" s="3">
        <v>2.8502295699234199E-6</v>
      </c>
      <c r="P209" s="3">
        <v>5.98473400508856E-3</v>
      </c>
      <c r="Q209" s="3">
        <v>1.905E-3</v>
      </c>
      <c r="R209" s="1">
        <v>0.15240000000000001</v>
      </c>
      <c r="S209" s="4">
        <v>5580798.33984375</v>
      </c>
      <c r="T209" s="1">
        <v>482.30962211684403</v>
      </c>
      <c r="U209" s="5">
        <v>523.09218869690801</v>
      </c>
      <c r="V209" s="1">
        <v>0.03</v>
      </c>
      <c r="W209" s="3">
        <v>87306.741476224794</v>
      </c>
      <c r="X209" s="1">
        <v>2.4735969360293E-2</v>
      </c>
      <c r="Y209" s="1">
        <v>6.3582197371331297</v>
      </c>
      <c r="Z209" s="1">
        <v>6.35821976348383</v>
      </c>
      <c r="AA209" s="1">
        <v>-2.63506914066625E-8</v>
      </c>
      <c r="AB209" s="1">
        <v>4.5182029201920501E-6</v>
      </c>
      <c r="AC209" s="1">
        <v>778.42953571381599</v>
      </c>
      <c r="AD209" s="1">
        <v>2427.37713909897</v>
      </c>
      <c r="AE209" s="1">
        <v>523.09218869690801</v>
      </c>
      <c r="AF209" s="6">
        <v>0</v>
      </c>
      <c r="AG209" s="1">
        <v>4.6854684467396101E-6</v>
      </c>
      <c r="AH209" s="1">
        <v>44.1544020576722</v>
      </c>
      <c r="AI209" s="1">
        <v>0.29128970118544001</v>
      </c>
      <c r="AJ209" s="1">
        <v>11.940576371218199</v>
      </c>
      <c r="AK209" s="1">
        <v>8.0346159325614206</v>
      </c>
      <c r="AL209" s="1">
        <v>2.1883527698787102</v>
      </c>
      <c r="AM209" s="1">
        <v>634.44823388054101</v>
      </c>
      <c r="AN209" s="1">
        <v>3.7784616324643099E-8</v>
      </c>
      <c r="AO209" s="1">
        <v>1.67265526547563E-7</v>
      </c>
      <c r="AP209" s="1">
        <v>2.0273199640725701</v>
      </c>
      <c r="AQ209" s="1">
        <v>2.1924020583699901E-5</v>
      </c>
      <c r="AR209" s="1">
        <v>2.4263669866435901E-6</v>
      </c>
      <c r="AS209" s="1">
        <v>6.1834202146384296</v>
      </c>
      <c r="AT209" s="1">
        <v>6.0593577558577101</v>
      </c>
      <c r="AU209" s="1">
        <v>1.76502851007947</v>
      </c>
      <c r="AV209" s="1">
        <v>0.262291453993099</v>
      </c>
      <c r="AW209" s="1">
        <v>4.4558673152316E-3</v>
      </c>
      <c r="AX209" s="1">
        <v>0.262291443705574</v>
      </c>
      <c r="AY209" s="1">
        <v>1.02875248320089E-8</v>
      </c>
      <c r="AZ209" s="1">
        <v>692257.60600924003</v>
      </c>
      <c r="BA209" s="1">
        <v>1.0814287321305699E-5</v>
      </c>
      <c r="BB209" s="4">
        <v>5571857.7715575201</v>
      </c>
      <c r="BC209" s="4">
        <v>-8940.5682862326503</v>
      </c>
      <c r="BD209" s="7">
        <v>-0.16020231769354601</v>
      </c>
      <c r="BE209" s="4">
        <v>5110435.8</v>
      </c>
      <c r="BF209" s="1">
        <v>1.0902901415095601</v>
      </c>
      <c r="BG209" s="1">
        <v>1</v>
      </c>
      <c r="BH209" s="1">
        <v>-0.39300000000000002</v>
      </c>
      <c r="BI209" s="1">
        <v>4.5999999999999999E-2</v>
      </c>
      <c r="BJ209" s="1">
        <v>5625</v>
      </c>
      <c r="BK209" s="1">
        <v>1</v>
      </c>
      <c r="BL209" s="1">
        <v>152.138611801482</v>
      </c>
      <c r="BM209" s="1">
        <v>5.5718577715575197</v>
      </c>
      <c r="BN209" s="1">
        <v>152.138611801482</v>
      </c>
      <c r="BO209" s="1">
        <v>1</v>
      </c>
      <c r="BP209" s="1">
        <v>12575.068256763499</v>
      </c>
      <c r="BQ209" s="1">
        <v>1</v>
      </c>
      <c r="BR209" s="1">
        <v>0.15240000000000001</v>
      </c>
    </row>
    <row r="210" spans="1:70">
      <c r="A210" s="2" t="s">
        <v>278</v>
      </c>
      <c r="B210" s="1">
        <v>18960582.556212999</v>
      </c>
      <c r="C210" s="1">
        <v>634.44823391832597</v>
      </c>
      <c r="D210" s="1">
        <v>149.14958101226799</v>
      </c>
      <c r="E210" s="1">
        <v>520.38377569771103</v>
      </c>
      <c r="F210" s="1">
        <v>2467301.6327637699</v>
      </c>
      <c r="G210" s="1">
        <v>1775044.0267545299</v>
      </c>
      <c r="H210" s="1">
        <v>2.5972810943896E-5</v>
      </c>
      <c r="I210" s="1">
        <v>5.9480773118925399E-5</v>
      </c>
      <c r="J210" s="1">
        <v>0.43661798563056398</v>
      </c>
      <c r="K210" s="1">
        <v>16063.580349286</v>
      </c>
      <c r="L210" s="1">
        <v>1.6624879026359001E-3</v>
      </c>
      <c r="M210" s="1">
        <v>209</v>
      </c>
      <c r="N210" s="1">
        <v>2726.0223000000001</v>
      </c>
      <c r="O210" s="3">
        <v>2.8502295699234199E-6</v>
      </c>
      <c r="P210" s="3">
        <v>5.98473400508856E-3</v>
      </c>
      <c r="Q210" s="3">
        <v>1.905E-3</v>
      </c>
      <c r="R210" s="1">
        <v>0.15240000000000001</v>
      </c>
      <c r="S210" s="4">
        <v>3080810.546875</v>
      </c>
      <c r="T210" s="1">
        <v>559.60722906880403</v>
      </c>
      <c r="U210" s="5">
        <v>582.12073943012103</v>
      </c>
      <c r="V210" s="1">
        <v>0.03</v>
      </c>
      <c r="W210" s="3">
        <v>87306.741476224794</v>
      </c>
      <c r="X210" s="1">
        <v>2.4735969360293E-2</v>
      </c>
      <c r="Y210" s="1">
        <v>6.3582197371331297</v>
      </c>
      <c r="Z210" s="1">
        <v>6.35821976348383</v>
      </c>
      <c r="AA210" s="1">
        <v>-2.63506914066625E-8</v>
      </c>
      <c r="AB210" s="1">
        <v>4.5182029201920501E-6</v>
      </c>
      <c r="AC210" s="1">
        <v>701.28132171557695</v>
      </c>
      <c r="AD210" s="1">
        <v>2427.37713909897</v>
      </c>
      <c r="AE210" s="1">
        <v>582.12073943012103</v>
      </c>
      <c r="AF210" s="6">
        <v>0</v>
      </c>
      <c r="AG210" s="1">
        <v>4.6166259228747197E-6</v>
      </c>
      <c r="AH210" s="1">
        <v>44.1544020576722</v>
      </c>
      <c r="AI210" s="1">
        <v>0.29128970118544001</v>
      </c>
      <c r="AJ210" s="1">
        <v>11.7651361941814</v>
      </c>
      <c r="AK210" s="1">
        <v>3.7495866709252801</v>
      </c>
      <c r="AL210" s="1">
        <v>2.1883527698787102</v>
      </c>
      <c r="AM210" s="1">
        <v>634.44823386674295</v>
      </c>
      <c r="AN210" s="1">
        <v>5.1583128879428801E-8</v>
      </c>
      <c r="AO210" s="1">
        <v>9.8423002682679705E-8</v>
      </c>
      <c r="AP210" s="1">
        <v>1.99028036475446</v>
      </c>
      <c r="AQ210" s="1">
        <v>2.2747636432460698E-5</v>
      </c>
      <c r="AR210" s="1">
        <v>2.3575244627787001E-6</v>
      </c>
      <c r="AS210" s="1">
        <v>6.0079800376016896</v>
      </c>
      <c r="AT210" s="1">
        <v>5.9154429591005497</v>
      </c>
      <c r="AU210" s="1">
        <v>1.7231076119359101</v>
      </c>
      <c r="AV210" s="1">
        <v>0.26717275281855202</v>
      </c>
      <c r="AW210" s="1">
        <v>4.4558673152316E-3</v>
      </c>
      <c r="AX210" s="1">
        <v>0.26717275095829401</v>
      </c>
      <c r="AY210" s="1">
        <v>1.8602580587057101E-9</v>
      </c>
      <c r="AZ210" s="1">
        <v>692257.60600924003</v>
      </c>
      <c r="BA210" s="1">
        <v>1.14293628351537E-5</v>
      </c>
      <c r="BB210" s="4">
        <v>3102173.4337624102</v>
      </c>
      <c r="BC210" s="4">
        <v>21362.886887407902</v>
      </c>
      <c r="BD210" s="7">
        <v>0.69341774063572903</v>
      </c>
      <c r="BE210" s="4">
        <v>3785508</v>
      </c>
      <c r="BF210" s="1">
        <v>0.81948669340083502</v>
      </c>
      <c r="BG210" s="1">
        <v>1</v>
      </c>
      <c r="BH210" s="1">
        <v>-9.2999999999999999E-2</v>
      </c>
      <c r="BI210" s="1">
        <v>4.5999999999999999E-2</v>
      </c>
      <c r="BJ210" s="1">
        <v>5625</v>
      </c>
      <c r="BK210" s="1">
        <v>1</v>
      </c>
      <c r="BL210" s="1">
        <v>74.841004849521894</v>
      </c>
      <c r="BM210" s="1">
        <v>3.1021734337624101</v>
      </c>
      <c r="BN210" s="1">
        <v>74.841004849521894</v>
      </c>
      <c r="BO210" s="1">
        <v>1</v>
      </c>
      <c r="BP210" s="1">
        <v>1213.89561892441</v>
      </c>
      <c r="BQ210" s="1">
        <v>1</v>
      </c>
      <c r="BR210" s="1">
        <v>0.15240000000000001</v>
      </c>
    </row>
    <row r="211" spans="1:70">
      <c r="A211" s="2" t="s">
        <v>279</v>
      </c>
      <c r="B211" s="1">
        <v>18960582.556212999</v>
      </c>
      <c r="C211" s="1">
        <v>634.44823391832597</v>
      </c>
      <c r="D211" s="1">
        <v>149.14958101226799</v>
      </c>
      <c r="E211" s="1">
        <v>520.38377569771103</v>
      </c>
      <c r="F211" s="1">
        <v>2467301.6327637699</v>
      </c>
      <c r="G211" s="1">
        <v>1775044.0267545299</v>
      </c>
      <c r="H211" s="1">
        <v>2.5972810943896E-5</v>
      </c>
      <c r="I211" s="1">
        <v>5.9480773118925399E-5</v>
      </c>
      <c r="J211" s="1">
        <v>0.43661798563056398</v>
      </c>
      <c r="K211" s="1">
        <v>16063.580349286</v>
      </c>
      <c r="L211" s="1">
        <v>1.6624879026359001E-3</v>
      </c>
      <c r="M211" s="1">
        <v>210</v>
      </c>
      <c r="N211" s="1">
        <v>2739.5846000000001</v>
      </c>
      <c r="O211" s="3">
        <v>2.8502295699234199E-6</v>
      </c>
      <c r="P211" s="3">
        <v>5.98473400508856E-3</v>
      </c>
      <c r="Q211" s="3">
        <v>1.905E-3</v>
      </c>
      <c r="R211" s="1">
        <v>0.15240000000000001</v>
      </c>
      <c r="S211" s="4">
        <v>4507299.8046875</v>
      </c>
      <c r="T211" s="1">
        <v>516.17931085542295</v>
      </c>
      <c r="U211" s="5">
        <v>548.954058648456</v>
      </c>
      <c r="V211" s="1">
        <v>0.03</v>
      </c>
      <c r="W211" s="3">
        <v>87741.103374116501</v>
      </c>
      <c r="X211" s="1">
        <v>2.4689257625448699E-2</v>
      </c>
      <c r="Y211" s="1">
        <v>6.3642317268426796</v>
      </c>
      <c r="Z211" s="1">
        <v>6.3642317508062201</v>
      </c>
      <c r="AA211" s="1">
        <v>-2.3963539597105001E-8</v>
      </c>
      <c r="AB211" s="1">
        <v>4.4820429169196396E-6</v>
      </c>
      <c r="AC211" s="1">
        <v>743.97533892875197</v>
      </c>
      <c r="AD211" s="1">
        <v>2437.1492054158398</v>
      </c>
      <c r="AE211" s="1">
        <v>548.95406008820999</v>
      </c>
      <c r="AF211" s="6">
        <v>1.4397531913345999E-6</v>
      </c>
      <c r="AG211" s="1">
        <v>4.6191106521656098E-6</v>
      </c>
      <c r="AH211" s="1">
        <v>44.510628749939897</v>
      </c>
      <c r="AI211" s="1">
        <v>0.29246236703598</v>
      </c>
      <c r="AJ211" s="1">
        <v>11.818857591237</v>
      </c>
      <c r="AK211" s="1">
        <v>6.1346958209654199</v>
      </c>
      <c r="AL211" s="1">
        <v>2.1883527698787102</v>
      </c>
      <c r="AM211" s="1">
        <v>634.44823383720404</v>
      </c>
      <c r="AN211" s="1">
        <v>8.1121925177285395E-8</v>
      </c>
      <c r="AO211" s="1">
        <v>1.3706773524596401E-7</v>
      </c>
      <c r="AP211" s="1">
        <v>2.0137429392349802</v>
      </c>
      <c r="AQ211" s="1">
        <v>2.2220648733605102E-5</v>
      </c>
      <c r="AR211" s="1">
        <v>2.37808919370579E-6</v>
      </c>
      <c r="AS211" s="1">
        <v>6.0847855001029396</v>
      </c>
      <c r="AT211" s="1">
        <v>5.9789573760941002</v>
      </c>
      <c r="AU211" s="1">
        <v>1.74862002661972</v>
      </c>
      <c r="AV211" s="1">
        <v>0.265122912615261</v>
      </c>
      <c r="AW211" s="1">
        <v>4.42020619519202E-3</v>
      </c>
      <c r="AX211" s="1">
        <v>0.26512290553248502</v>
      </c>
      <c r="AY211" s="1">
        <v>7.0827758102964797E-9</v>
      </c>
      <c r="AZ211" s="1">
        <v>692257.60600924003</v>
      </c>
      <c r="BA211" s="1">
        <v>1.1034501127560401E-5</v>
      </c>
      <c r="BB211" s="4">
        <v>4474804.0003333604</v>
      </c>
      <c r="BC211" s="4">
        <v>-32495.8043541359</v>
      </c>
      <c r="BD211" s="7">
        <v>-0.72095946048099402</v>
      </c>
      <c r="BE211" s="4">
        <v>4574155.5</v>
      </c>
      <c r="BF211" s="1">
        <v>0.97827981587713098</v>
      </c>
      <c r="BG211" s="1">
        <v>1</v>
      </c>
      <c r="BH211" s="1">
        <v>-0.26700000000000002</v>
      </c>
      <c r="BI211" s="1">
        <v>4.5999999999999999E-2</v>
      </c>
      <c r="BJ211" s="1">
        <v>5625</v>
      </c>
      <c r="BK211" s="1">
        <v>1</v>
      </c>
      <c r="BL211" s="1">
        <v>118.268923062903</v>
      </c>
      <c r="BM211" s="1">
        <v>4.4748040003333598</v>
      </c>
      <c r="BN211" s="1">
        <v>118.268923062903</v>
      </c>
      <c r="BO211" s="1">
        <v>1</v>
      </c>
      <c r="BP211" s="1">
        <v>6126.0243174266298</v>
      </c>
      <c r="BQ211" s="1">
        <v>1</v>
      </c>
      <c r="BR211" s="1">
        <v>0.15240000000000001</v>
      </c>
    </row>
    <row r="212" spans="1:70">
      <c r="A212" s="2" t="s">
        <v>280</v>
      </c>
      <c r="B212" s="1">
        <v>18960582.556212999</v>
      </c>
      <c r="C212" s="1">
        <v>634.44823391832597</v>
      </c>
      <c r="D212" s="1">
        <v>149.14958101226799</v>
      </c>
      <c r="E212" s="1">
        <v>520.38377569771103</v>
      </c>
      <c r="F212" s="1">
        <v>2467301.6327637699</v>
      </c>
      <c r="G212" s="1">
        <v>1775044.0267545299</v>
      </c>
      <c r="H212" s="1">
        <v>2.5972810943896E-5</v>
      </c>
      <c r="I212" s="1">
        <v>5.9480773118925399E-5</v>
      </c>
      <c r="J212" s="1">
        <v>0.43661798563056398</v>
      </c>
      <c r="K212" s="1">
        <v>16063.580349286</v>
      </c>
      <c r="L212" s="1">
        <v>1.6624879026359001E-3</v>
      </c>
      <c r="M212" s="1">
        <v>211</v>
      </c>
      <c r="N212" s="1">
        <v>2766.7091999999998</v>
      </c>
      <c r="O212" s="3">
        <v>2.8502295699234199E-6</v>
      </c>
      <c r="P212" s="3">
        <v>5.98473400508856E-3</v>
      </c>
      <c r="Q212" s="3">
        <v>1.905E-3</v>
      </c>
      <c r="R212" s="1">
        <v>0.15240000000000001</v>
      </c>
      <c r="S212" s="4">
        <v>4529089.35546875</v>
      </c>
      <c r="T212" s="1">
        <v>516.17931085542295</v>
      </c>
      <c r="U212" s="5">
        <v>548.78962655413102</v>
      </c>
      <c r="V212" s="1">
        <v>0.03</v>
      </c>
      <c r="W212" s="3">
        <v>88609.8271698998</v>
      </c>
      <c r="X212" s="1">
        <v>2.4596942564935501E-2</v>
      </c>
      <c r="Y212" s="1">
        <v>6.3761633767970602</v>
      </c>
      <c r="Z212" s="1">
        <v>6.3761633963344897</v>
      </c>
      <c r="AA212" s="1">
        <v>-1.95374338929355E-8</v>
      </c>
      <c r="AB212" s="1">
        <v>4.4110839093320403E-6</v>
      </c>
      <c r="AC212" s="1">
        <v>743.35466623393097</v>
      </c>
      <c r="AD212" s="1">
        <v>2456.67362836139</v>
      </c>
      <c r="AE212" s="1">
        <v>548.78962655413102</v>
      </c>
      <c r="AF212" s="6">
        <v>0</v>
      </c>
      <c r="AG212" s="1">
        <v>4.5485534710139797E-6</v>
      </c>
      <c r="AH212" s="1">
        <v>45.226650051759599</v>
      </c>
      <c r="AI212" s="1">
        <v>0.294805333538392</v>
      </c>
      <c r="AJ212" s="1">
        <v>11.731560482342999</v>
      </c>
      <c r="AK212" s="1">
        <v>6.1164363946280504</v>
      </c>
      <c r="AL212" s="1">
        <v>2.1883527698787102</v>
      </c>
      <c r="AM212" s="1">
        <v>634.44823379382603</v>
      </c>
      <c r="AN212" s="1">
        <v>1.2449959285731901E-7</v>
      </c>
      <c r="AO212" s="1">
        <v>1.3746956168194299E-7</v>
      </c>
      <c r="AP212" s="1">
        <v>2.01903249350657</v>
      </c>
      <c r="AQ212" s="1">
        <v>2.2104371890163199E-5</v>
      </c>
      <c r="AR212" s="1">
        <v>2.34301151634796E-6</v>
      </c>
      <c r="AS212" s="1">
        <v>6.0430599508231699</v>
      </c>
      <c r="AT212" s="1">
        <v>5.9445524901784204</v>
      </c>
      <c r="AU212" s="1">
        <v>1.75248577960353</v>
      </c>
      <c r="AV212" s="1">
        <v>0.26654671390304402</v>
      </c>
      <c r="AW212" s="1">
        <v>4.3502261769821603E-3</v>
      </c>
      <c r="AX212" s="1">
        <v>0.26654670528736901</v>
      </c>
      <c r="AY212" s="1">
        <v>8.6156756728961203E-9</v>
      </c>
      <c r="AZ212" s="1">
        <v>692257.60600924003</v>
      </c>
      <c r="BA212" s="1">
        <v>1.0948002056060599E-5</v>
      </c>
      <c r="BB212" s="4">
        <v>4523380.9181830697</v>
      </c>
      <c r="BC212" s="4">
        <v>-5708.43728567567</v>
      </c>
      <c r="BD212" s="7">
        <v>-0.12603940522354401</v>
      </c>
      <c r="BE212" s="4">
        <v>4479517.8</v>
      </c>
      <c r="BF212" s="1">
        <v>1.00979192853817</v>
      </c>
      <c r="BG212" s="1">
        <v>1</v>
      </c>
      <c r="BH212" s="1">
        <v>-0.28999999999999998</v>
      </c>
      <c r="BI212" s="1">
        <v>4.5999999999999999E-2</v>
      </c>
      <c r="BJ212" s="1">
        <v>5625</v>
      </c>
      <c r="BK212" s="1">
        <v>1</v>
      </c>
      <c r="BL212" s="1">
        <v>118.268923062903</v>
      </c>
      <c r="BM212" s="1">
        <v>4.5233809181830704</v>
      </c>
      <c r="BN212" s="1">
        <v>118.268923062903</v>
      </c>
      <c r="BO212" s="1">
        <v>1</v>
      </c>
      <c r="BP212" s="1">
        <v>6126.0243174266298</v>
      </c>
      <c r="BQ212" s="1">
        <v>1</v>
      </c>
      <c r="BR212" s="1">
        <v>0.15240000000000001</v>
      </c>
    </row>
    <row r="213" spans="1:70">
      <c r="A213" s="2" t="s">
        <v>281</v>
      </c>
      <c r="B213" s="1">
        <v>18960582.556212999</v>
      </c>
      <c r="C213" s="1">
        <v>634.44823391832597</v>
      </c>
      <c r="D213" s="1">
        <v>149.14958101226799</v>
      </c>
      <c r="E213" s="1">
        <v>520.38377569771103</v>
      </c>
      <c r="F213" s="1">
        <v>2467301.6327637699</v>
      </c>
      <c r="G213" s="1">
        <v>1775044.0267545299</v>
      </c>
      <c r="H213" s="1">
        <v>2.5972810943896E-5</v>
      </c>
      <c r="I213" s="1">
        <v>5.9480773118925399E-5</v>
      </c>
      <c r="J213" s="1">
        <v>0.43661798563056398</v>
      </c>
      <c r="K213" s="1">
        <v>16063.580349286</v>
      </c>
      <c r="L213" s="1">
        <v>1.6624879026359001E-3</v>
      </c>
      <c r="M213" s="1">
        <v>212</v>
      </c>
      <c r="N213" s="1">
        <v>3377.0127000000002</v>
      </c>
      <c r="O213" s="3">
        <v>2.8502295699234199E-6</v>
      </c>
      <c r="P213" s="3">
        <v>5.98473400508856E-3</v>
      </c>
      <c r="Q213" s="3">
        <v>1.905E-3</v>
      </c>
      <c r="R213" s="1">
        <v>0.15240000000000001</v>
      </c>
      <c r="S213" s="4">
        <v>3469864.55078125</v>
      </c>
      <c r="T213" s="1">
        <v>558.46565244536998</v>
      </c>
      <c r="U213" s="5">
        <v>578.93422027787301</v>
      </c>
      <c r="V213" s="1">
        <v>0.03</v>
      </c>
      <c r="W213" s="3">
        <v>108156.11257502501</v>
      </c>
      <c r="X213" s="1">
        <v>2.2842853749086001E-2</v>
      </c>
      <c r="Y213" s="1">
        <v>6.6164467317851301</v>
      </c>
      <c r="Z213" s="1">
        <v>6.6164467598196204</v>
      </c>
      <c r="AA213" s="1">
        <v>-2.8034487620232101E-8</v>
      </c>
      <c r="AB213" s="1">
        <v>3.1881425212607502E-6</v>
      </c>
      <c r="AC213" s="1">
        <v>694.28831051424697</v>
      </c>
      <c r="AD213" s="1">
        <v>2889.6900303443399</v>
      </c>
      <c r="AE213" s="1">
        <v>578.93422122075594</v>
      </c>
      <c r="AF213" s="6">
        <v>9.4288304808287596E-7</v>
      </c>
      <c r="AG213" s="1">
        <v>3.2848665206392098E-6</v>
      </c>
      <c r="AH213" s="1">
        <v>62.575166256186201</v>
      </c>
      <c r="AI213" s="1">
        <v>0.34676809462331698</v>
      </c>
      <c r="AJ213" s="1">
        <v>9.9656126359086894</v>
      </c>
      <c r="AK213" s="1">
        <v>3.57988804127538</v>
      </c>
      <c r="AL213" s="1">
        <v>2.1883527698787102</v>
      </c>
      <c r="AM213" s="1">
        <v>634.44823386842995</v>
      </c>
      <c r="AN213" s="1">
        <v>4.9896016207640099E-8</v>
      </c>
      <c r="AO213" s="1">
        <v>9.6723999378458301E-8</v>
      </c>
      <c r="AP213" s="1">
        <v>2.0813508315570299</v>
      </c>
      <c r="AQ213" s="1">
        <v>2.0800521028343399E-5</v>
      </c>
      <c r="AR213" s="1">
        <v>1.69079526000883E-6</v>
      </c>
      <c r="AS213" s="1">
        <v>5.1295267256703401</v>
      </c>
      <c r="AT213" s="1">
        <v>5.125066993611</v>
      </c>
      <c r="AU213" s="1">
        <v>1.77720971619134</v>
      </c>
      <c r="AV213" s="1">
        <v>0.304141115365689</v>
      </c>
      <c r="AW213" s="1">
        <v>3.1441571588781202E-3</v>
      </c>
      <c r="AX213" s="1">
        <v>0.30414111373362601</v>
      </c>
      <c r="AY213" s="1">
        <v>1.63206270720195E-9</v>
      </c>
      <c r="AZ213" s="1">
        <v>692257.60600924003</v>
      </c>
      <c r="BA213" s="1">
        <v>9.9937601642981097E-6</v>
      </c>
      <c r="BB213" s="4">
        <v>3486557.2980555501</v>
      </c>
      <c r="BC213" s="4">
        <v>16692.747274300498</v>
      </c>
      <c r="BD213" s="7">
        <v>0.481077777821101</v>
      </c>
      <c r="BE213" s="4">
        <v>4258696.5</v>
      </c>
      <c r="BF213" s="1">
        <v>0.818691188267478</v>
      </c>
      <c r="BG213" s="1">
        <v>1</v>
      </c>
      <c r="BH213" s="1">
        <v>-0.161</v>
      </c>
      <c r="BI213" s="1">
        <v>4.5999999999999999E-2</v>
      </c>
      <c r="BJ213" s="1">
        <v>5625</v>
      </c>
      <c r="BK213" s="1">
        <v>1</v>
      </c>
      <c r="BL213" s="1">
        <v>75.982581472955999</v>
      </c>
      <c r="BM213" s="1">
        <v>3.4865572980555499</v>
      </c>
      <c r="BN213" s="1">
        <v>75.982581472955999</v>
      </c>
      <c r="BO213" s="1">
        <v>1</v>
      </c>
      <c r="BP213" s="1">
        <v>1294.7461694579199</v>
      </c>
      <c r="BQ213" s="1">
        <v>1</v>
      </c>
      <c r="BR213" s="1">
        <v>0.15240000000000001</v>
      </c>
    </row>
    <row r="214" spans="1:70">
      <c r="A214" s="2" t="s">
        <v>282</v>
      </c>
      <c r="B214" s="1">
        <v>18960582.556212999</v>
      </c>
      <c r="C214" s="1">
        <v>634.44823391832597</v>
      </c>
      <c r="D214" s="1">
        <v>149.14958101226799</v>
      </c>
      <c r="E214" s="1">
        <v>520.38377569771103</v>
      </c>
      <c r="F214" s="1">
        <v>2467301.6327637699</v>
      </c>
      <c r="G214" s="1">
        <v>1775044.0267545299</v>
      </c>
      <c r="H214" s="1">
        <v>2.5972810943896E-5</v>
      </c>
      <c r="I214" s="1">
        <v>5.9480773118925399E-5</v>
      </c>
      <c r="J214" s="1">
        <v>0.43661798563056398</v>
      </c>
      <c r="K214" s="1">
        <v>16063.580349286</v>
      </c>
      <c r="L214" s="1">
        <v>1.6624879026359001E-3</v>
      </c>
      <c r="M214" s="1">
        <v>213</v>
      </c>
      <c r="N214" s="1">
        <v>3458.3865000000001</v>
      </c>
      <c r="O214" s="3">
        <v>2.8502295699234199E-6</v>
      </c>
      <c r="P214" s="3">
        <v>5.98473400508856E-3</v>
      </c>
      <c r="Q214" s="3">
        <v>1.905E-3</v>
      </c>
      <c r="R214" s="1">
        <v>0.15240000000000001</v>
      </c>
      <c r="S214" s="4">
        <v>3695875.87890625</v>
      </c>
      <c r="T214" s="1">
        <v>553.48995463629501</v>
      </c>
      <c r="U214" s="5">
        <v>574.77876918332402</v>
      </c>
      <c r="V214" s="1">
        <v>0.03</v>
      </c>
      <c r="W214" s="3">
        <v>110762.283962375</v>
      </c>
      <c r="X214" s="1">
        <v>2.2647019765432101E-2</v>
      </c>
      <c r="Y214" s="1">
        <v>6.6449921225727904</v>
      </c>
      <c r="Z214" s="1">
        <v>6.6449921260745999</v>
      </c>
      <c r="AA214" s="1">
        <v>-3.5018077326753899E-9</v>
      </c>
      <c r="AB214" s="1">
        <v>3.0661638644763198E-6</v>
      </c>
      <c r="AC214" s="1">
        <v>697.63178377571103</v>
      </c>
      <c r="AD214" s="1">
        <v>2946.6085378586199</v>
      </c>
      <c r="AE214" s="1">
        <v>574.77877015964202</v>
      </c>
      <c r="AF214" s="6">
        <v>9.7631766493577701E-7</v>
      </c>
      <c r="AG214" s="1">
        <v>3.1667926678027201E-6</v>
      </c>
      <c r="AH214" s="1">
        <v>65.064542253478393</v>
      </c>
      <c r="AI214" s="1">
        <v>0.353598419742021</v>
      </c>
      <c r="AJ214" s="1">
        <v>9.7966386483733103</v>
      </c>
      <c r="AK214" s="1">
        <v>3.80676036295058</v>
      </c>
      <c r="AL214" s="1">
        <v>2.1883527698787102</v>
      </c>
      <c r="AM214" s="1">
        <v>634.44823405418799</v>
      </c>
      <c r="AN214" s="1">
        <v>-1.3586236491391901E-7</v>
      </c>
      <c r="AO214" s="1">
        <v>1.00628803326398E-7</v>
      </c>
      <c r="AP214" s="1">
        <v>2.0942074905509598</v>
      </c>
      <c r="AQ214" s="1">
        <v>2.05459098449622E-5</v>
      </c>
      <c r="AR214" s="1">
        <v>1.63371073556456E-6</v>
      </c>
      <c r="AS214" s="1">
        <v>5.0539695557016504</v>
      </c>
      <c r="AT214" s="1">
        <v>5.0508699257262801</v>
      </c>
      <c r="AU214" s="1">
        <v>1.78597962405931</v>
      </c>
      <c r="AV214" s="1">
        <v>0.30822786649165101</v>
      </c>
      <c r="AW214" s="1">
        <v>3.0238613865274399E-3</v>
      </c>
      <c r="AX214" s="1">
        <v>0.30822786457552898</v>
      </c>
      <c r="AY214" s="1">
        <v>1.9161222053476499E-9</v>
      </c>
      <c r="AZ214" s="1">
        <v>692257.60600924003</v>
      </c>
      <c r="BA214" s="1">
        <v>9.8108281713560096E-6</v>
      </c>
      <c r="BB214" s="4">
        <v>3694946.2287502298</v>
      </c>
      <c r="BC214" s="4">
        <v>-929.65015602065296</v>
      </c>
      <c r="BD214" s="7">
        <v>-2.51537169125867E-2</v>
      </c>
      <c r="BE214" s="4">
        <v>4668793.2</v>
      </c>
      <c r="BF214" s="1">
        <v>0.79141355602347696</v>
      </c>
      <c r="BG214" s="1">
        <v>1</v>
      </c>
      <c r="BH214" s="1">
        <v>-0.156</v>
      </c>
      <c r="BI214" s="1">
        <v>4.5999999999999999E-2</v>
      </c>
      <c r="BJ214" s="1">
        <v>5625</v>
      </c>
      <c r="BK214" s="1">
        <v>1</v>
      </c>
      <c r="BL214" s="1">
        <v>80.958279282031</v>
      </c>
      <c r="BM214" s="1">
        <v>3.6949462287502302</v>
      </c>
      <c r="BN214" s="1">
        <v>80.958279282031</v>
      </c>
      <c r="BO214" s="1">
        <v>1</v>
      </c>
      <c r="BP214" s="1">
        <v>1677.58064174485</v>
      </c>
      <c r="BQ214" s="1">
        <v>1</v>
      </c>
      <c r="BR214" s="1">
        <v>0.15240000000000001</v>
      </c>
    </row>
    <row r="215" spans="1:70">
      <c r="A215" s="2" t="s">
        <v>283</v>
      </c>
      <c r="B215" s="1">
        <v>18960582.556212999</v>
      </c>
      <c r="C215" s="1">
        <v>634.44823391832597</v>
      </c>
      <c r="D215" s="1">
        <v>149.14958101226799</v>
      </c>
      <c r="E215" s="1">
        <v>520.38377569771103</v>
      </c>
      <c r="F215" s="1">
        <v>2467301.6327637699</v>
      </c>
      <c r="G215" s="1">
        <v>1775044.0267545299</v>
      </c>
      <c r="H215" s="1">
        <v>2.5972810943896E-5</v>
      </c>
      <c r="I215" s="1">
        <v>5.9480773118925399E-5</v>
      </c>
      <c r="J215" s="1">
        <v>0.43661798563056398</v>
      </c>
      <c r="K215" s="1">
        <v>16063.580349286</v>
      </c>
      <c r="L215" s="1">
        <v>1.6624879026359001E-3</v>
      </c>
      <c r="M215" s="1">
        <v>214</v>
      </c>
      <c r="N215" s="1">
        <v>3485.5111000000002</v>
      </c>
      <c r="O215" s="3">
        <v>2.8502295699234199E-6</v>
      </c>
      <c r="P215" s="3">
        <v>5.98473400508856E-3</v>
      </c>
      <c r="Q215" s="3">
        <v>1.905E-3</v>
      </c>
      <c r="R215" s="1">
        <v>0.15240000000000001</v>
      </c>
      <c r="S215" s="4">
        <v>3753381.34765625</v>
      </c>
      <c r="T215" s="1">
        <v>552.32824485842298</v>
      </c>
      <c r="U215" s="5">
        <v>573.780050311732</v>
      </c>
      <c r="V215" s="1">
        <v>0.03</v>
      </c>
      <c r="W215" s="3">
        <v>111631.007758158</v>
      </c>
      <c r="X215" s="1">
        <v>2.25833669063405E-2</v>
      </c>
      <c r="Y215" s="1">
        <v>6.6543502294361199</v>
      </c>
      <c r="Z215" s="1">
        <v>6.6543502370940999</v>
      </c>
      <c r="AA215" s="1">
        <v>-7.6579791397079994E-9</v>
      </c>
      <c r="AB215" s="1">
        <v>3.0271353797416399E-6</v>
      </c>
      <c r="AC215" s="1">
        <v>698.304834556537</v>
      </c>
      <c r="AD215" s="1">
        <v>2965.54283494523</v>
      </c>
      <c r="AE215" s="1">
        <v>573.780050311732</v>
      </c>
      <c r="AF215" s="6">
        <v>0</v>
      </c>
      <c r="AG215" s="1">
        <v>3.1284219667872699E-6</v>
      </c>
      <c r="AH215" s="1">
        <v>65.903411407168306</v>
      </c>
      <c r="AI215" s="1">
        <v>0.35587057006084599</v>
      </c>
      <c r="AJ215" s="1">
        <v>9.7401253000433208</v>
      </c>
      <c r="AK215" s="1">
        <v>3.8566199988274099</v>
      </c>
      <c r="AL215" s="1">
        <v>2.1883527698787102</v>
      </c>
      <c r="AM215" s="1">
        <v>634.44823387087797</v>
      </c>
      <c r="AN215" s="1">
        <v>4.7447770157305098E-8</v>
      </c>
      <c r="AO215" s="1">
        <v>1.01286587045632E-7</v>
      </c>
      <c r="AP215" s="1">
        <v>2.0978640071565602</v>
      </c>
      <c r="AQ215" s="1">
        <v>2.04743504029397E-5</v>
      </c>
      <c r="AR215" s="1">
        <v>1.61485427691645E-6</v>
      </c>
      <c r="AS215" s="1">
        <v>5.0277370397797796</v>
      </c>
      <c r="AT215" s="1">
        <v>5.02484995095827</v>
      </c>
      <c r="AU215" s="1">
        <v>1.7881962165177301</v>
      </c>
      <c r="AV215" s="1">
        <v>0.30966779063882499</v>
      </c>
      <c r="AW215" s="1">
        <v>2.9853713601687201E-3</v>
      </c>
      <c r="AX215" s="1">
        <v>0.30966778864637301</v>
      </c>
      <c r="AY215" s="1">
        <v>1.9924516481140102E-9</v>
      </c>
      <c r="AZ215" s="1">
        <v>692257.60600924003</v>
      </c>
      <c r="BA215" s="1">
        <v>9.7596175600965692E-6</v>
      </c>
      <c r="BB215" s="4">
        <v>3738613.9456288102</v>
      </c>
      <c r="BC215" s="4">
        <v>-14767.402027440699</v>
      </c>
      <c r="BD215" s="7">
        <v>-0.39344262305406402</v>
      </c>
      <c r="BE215" s="4">
        <v>4542609.5999999996</v>
      </c>
      <c r="BF215" s="1">
        <v>0.82301018023402395</v>
      </c>
      <c r="BG215" s="1">
        <v>1</v>
      </c>
      <c r="BH215" s="1">
        <v>-0.186</v>
      </c>
      <c r="BI215" s="1">
        <v>4.5999999999999999E-2</v>
      </c>
      <c r="BJ215" s="1">
        <v>5625</v>
      </c>
      <c r="BK215" s="1">
        <v>1</v>
      </c>
      <c r="BL215" s="1">
        <v>82.119989059903006</v>
      </c>
      <c r="BM215" s="1">
        <v>3.7386139456288099</v>
      </c>
      <c r="BN215" s="1">
        <v>82.119989059903006</v>
      </c>
      <c r="BO215" s="1">
        <v>1</v>
      </c>
      <c r="BP215" s="1">
        <v>1774.09347840635</v>
      </c>
      <c r="BQ215" s="1">
        <v>1</v>
      </c>
      <c r="BR215" s="1">
        <v>0.15240000000000001</v>
      </c>
    </row>
    <row r="216" spans="1:70">
      <c r="A216" s="2" t="s">
        <v>284</v>
      </c>
      <c r="B216" s="1">
        <v>18960582.556212999</v>
      </c>
      <c r="C216" s="1">
        <v>634.44823391832597</v>
      </c>
      <c r="D216" s="1">
        <v>149.14958101226799</v>
      </c>
      <c r="E216" s="1">
        <v>520.38377569771103</v>
      </c>
      <c r="F216" s="1">
        <v>2467301.6327637699</v>
      </c>
      <c r="G216" s="1">
        <v>1775044.0267545299</v>
      </c>
      <c r="H216" s="1">
        <v>2.5972810943896E-5</v>
      </c>
      <c r="I216" s="1">
        <v>5.9480773118925399E-5</v>
      </c>
      <c r="J216" s="1">
        <v>0.43661798563056398</v>
      </c>
      <c r="K216" s="1">
        <v>16063.580349286</v>
      </c>
      <c r="L216" s="1">
        <v>1.6624879026359001E-3</v>
      </c>
      <c r="M216" s="1">
        <v>215</v>
      </c>
      <c r="N216" s="1">
        <v>3499.0734000000002</v>
      </c>
      <c r="O216" s="3">
        <v>2.8502295699234199E-6</v>
      </c>
      <c r="P216" s="3">
        <v>5.98473400508856E-3</v>
      </c>
      <c r="Q216" s="3">
        <v>1.905E-3</v>
      </c>
      <c r="R216" s="1">
        <v>0.15240000000000001</v>
      </c>
      <c r="S216" s="4">
        <v>3819602.63671875</v>
      </c>
      <c r="T216" s="1">
        <v>550.74250143598601</v>
      </c>
      <c r="U216" s="5">
        <v>572.48816978034995</v>
      </c>
      <c r="V216" s="1">
        <v>0.03</v>
      </c>
      <c r="W216" s="3">
        <v>112065.36965605</v>
      </c>
      <c r="X216" s="1">
        <v>2.2551835812529699E-2</v>
      </c>
      <c r="Y216" s="1">
        <v>6.65900053050576</v>
      </c>
      <c r="Z216" s="1">
        <v>6.6590005392263896</v>
      </c>
      <c r="AA216" s="1">
        <v>-8.7206322163524402E-9</v>
      </c>
      <c r="AB216" s="1">
        <v>3.0079143673425098E-6</v>
      </c>
      <c r="AC216" s="1">
        <v>699.49127495502603</v>
      </c>
      <c r="AD216" s="1">
        <v>2975.0028723136102</v>
      </c>
      <c r="AE216" s="1">
        <v>572.48817077526303</v>
      </c>
      <c r="AF216" s="6">
        <v>9.9491273886087605E-7</v>
      </c>
      <c r="AG216" s="1">
        <v>3.1106916129621898E-6</v>
      </c>
      <c r="AH216" s="1">
        <v>66.324543837517894</v>
      </c>
      <c r="AI216" s="1">
        <v>0.35700579186624798</v>
      </c>
      <c r="AJ216" s="1">
        <v>9.7158178303878007</v>
      </c>
      <c r="AK216" s="1">
        <v>3.9323910926272401</v>
      </c>
      <c r="AL216" s="1">
        <v>2.1883527698787102</v>
      </c>
      <c r="AM216" s="1">
        <v>634.44823385057805</v>
      </c>
      <c r="AN216" s="1">
        <v>6.7748374021903106E-8</v>
      </c>
      <c r="AO216" s="1">
        <v>1.0277724561969E-7</v>
      </c>
      <c r="AP216" s="1">
        <v>2.10080783312518</v>
      </c>
      <c r="AQ216" s="1">
        <v>2.0417009894445998E-5</v>
      </c>
      <c r="AR216" s="1">
        <v>1.60673442929094E-6</v>
      </c>
      <c r="AS216" s="1">
        <v>5.0184142175178197</v>
      </c>
      <c r="AT216" s="1">
        <v>5.0155699543710996</v>
      </c>
      <c r="AU216" s="1">
        <v>1.7905875232208199</v>
      </c>
      <c r="AV216" s="1">
        <v>0.310220309904364</v>
      </c>
      <c r="AW216" s="1">
        <v>2.9664155313961298E-3</v>
      </c>
      <c r="AX216" s="1">
        <v>0.31022030787314098</v>
      </c>
      <c r="AY216" s="1">
        <v>2.0312230786245798E-9</v>
      </c>
      <c r="AZ216" s="1">
        <v>692257.60600924003</v>
      </c>
      <c r="BA216" s="1">
        <v>9.7186470711476308E-6</v>
      </c>
      <c r="BB216" s="4">
        <v>3809628.6789195901</v>
      </c>
      <c r="BC216" s="4">
        <v>-9973.9577991645801</v>
      </c>
      <c r="BD216" s="7">
        <v>-0.26112553445435799</v>
      </c>
      <c r="BE216" s="4">
        <v>4542609.5999999996</v>
      </c>
      <c r="BF216" s="1">
        <v>0.83864320608127696</v>
      </c>
      <c r="BG216" s="1">
        <v>1</v>
      </c>
      <c r="BH216" s="1">
        <v>-0.19900000000000001</v>
      </c>
      <c r="BI216" s="1">
        <v>4.5999999999999999E-2</v>
      </c>
      <c r="BJ216" s="1">
        <v>5625</v>
      </c>
      <c r="BK216" s="1">
        <v>1</v>
      </c>
      <c r="BL216" s="1">
        <v>83.705732482339997</v>
      </c>
      <c r="BM216" s="1">
        <v>3.8096286789195899</v>
      </c>
      <c r="BN216" s="1">
        <v>83.705732482339997</v>
      </c>
      <c r="BO216" s="1">
        <v>1</v>
      </c>
      <c r="BP216" s="1">
        <v>1910.1910518178699</v>
      </c>
      <c r="BQ216" s="1">
        <v>1</v>
      </c>
      <c r="BR216" s="1">
        <v>0.15240000000000001</v>
      </c>
    </row>
    <row r="217" spans="1:70">
      <c r="A217" s="2" t="s">
        <v>285</v>
      </c>
      <c r="B217" s="1">
        <v>18960582.556212999</v>
      </c>
      <c r="C217" s="1">
        <v>634.44823391832597</v>
      </c>
      <c r="D217" s="1">
        <v>149.14958101226799</v>
      </c>
      <c r="E217" s="1">
        <v>520.38377569771103</v>
      </c>
      <c r="F217" s="1">
        <v>2467301.6327637699</v>
      </c>
      <c r="G217" s="1">
        <v>1775044.0267545299</v>
      </c>
      <c r="H217" s="1">
        <v>2.5972810943896E-5</v>
      </c>
      <c r="I217" s="1">
        <v>5.9480773118925399E-5</v>
      </c>
      <c r="J217" s="1">
        <v>0.43661798563056398</v>
      </c>
      <c r="K217" s="1">
        <v>16063.580349286</v>
      </c>
      <c r="L217" s="1">
        <v>1.6624879026359001E-3</v>
      </c>
      <c r="M217" s="1">
        <v>216</v>
      </c>
      <c r="N217" s="1">
        <v>1939.4088999999999</v>
      </c>
      <c r="O217" s="3">
        <v>2.8502295699234199E-6</v>
      </c>
      <c r="P217" s="3">
        <v>5.98473400508856E-3</v>
      </c>
      <c r="Q217" s="3">
        <v>1.905E-3</v>
      </c>
      <c r="R217" s="1">
        <v>0.69596000000000002</v>
      </c>
      <c r="S217" s="4">
        <v>4757805.95703125</v>
      </c>
      <c r="T217" s="1">
        <v>299.02073658241198</v>
      </c>
      <c r="U217" s="5">
        <v>522.19508849638601</v>
      </c>
      <c r="V217" s="1">
        <v>0.03</v>
      </c>
      <c r="W217" s="3">
        <v>62113.751398508197</v>
      </c>
      <c r="X217" s="1">
        <v>2.83092601952524E-2</v>
      </c>
      <c r="Y217" s="1">
        <v>5.9434106746186597</v>
      </c>
      <c r="Z217" s="1">
        <v>5.9434106924163803</v>
      </c>
      <c r="AA217" s="1">
        <v>-1.7797724183310499E-8</v>
      </c>
      <c r="AB217" s="1">
        <v>7.7998488366138193E-6</v>
      </c>
      <c r="AC217" s="1">
        <v>824.76654334572197</v>
      </c>
      <c r="AD217" s="1">
        <v>1847.46844965574</v>
      </c>
      <c r="AE217" s="1">
        <v>522.19509074405096</v>
      </c>
      <c r="AF217" s="6">
        <v>2.2476654066849699E-6</v>
      </c>
      <c r="AG217" s="1">
        <v>7.9907672512179895E-6</v>
      </c>
      <c r="AH217" s="1">
        <v>25.577232648385198</v>
      </c>
      <c r="AI217" s="1">
        <v>0.22169959664756</v>
      </c>
      <c r="AJ217" s="1">
        <v>15.498887543483001</v>
      </c>
      <c r="AK217" s="1">
        <v>9.7343649639911796</v>
      </c>
      <c r="AL217" s="1">
        <v>2.1883527698787102</v>
      </c>
      <c r="AM217" s="1">
        <v>634.44823391337695</v>
      </c>
      <c r="AN217" s="1">
        <v>4.9490154196973898E-9</v>
      </c>
      <c r="AO217" s="1">
        <v>1.90918414604165E-7</v>
      </c>
      <c r="AP217" s="1">
        <v>1.83975481484638</v>
      </c>
      <c r="AQ217" s="1">
        <v>2.6622258678238799E-5</v>
      </c>
      <c r="AR217" s="1">
        <v>4.0908428329110799E-6</v>
      </c>
      <c r="AS217" s="1">
        <v>7.9345963950693301</v>
      </c>
      <c r="AT217" s="1">
        <v>7.3061624439967998</v>
      </c>
      <c r="AU217" s="1">
        <v>1.6197732668756399</v>
      </c>
      <c r="AV217" s="1">
        <v>0.21998154797073699</v>
      </c>
      <c r="AW217" s="1">
        <v>7.6922378451602397E-3</v>
      </c>
      <c r="AX217" s="1">
        <v>0.21998154374930901</v>
      </c>
      <c r="AY217" s="1">
        <v>4.2214272077956097E-9</v>
      </c>
      <c r="AZ217" s="1">
        <v>692257.60600924003</v>
      </c>
      <c r="BA217" s="1">
        <v>1.44705470877987E-5</v>
      </c>
      <c r="BB217" s="4">
        <v>4752852.6740098204</v>
      </c>
      <c r="BC217" s="4">
        <v>-4953.2830214276901</v>
      </c>
      <c r="BD217" s="7">
        <v>-0.104108554786846</v>
      </c>
      <c r="BE217" s="4">
        <v>2082029.4</v>
      </c>
      <c r="BF217" s="1">
        <v>2.2827980594365398</v>
      </c>
      <c r="BG217" s="1">
        <v>1</v>
      </c>
      <c r="BH217" s="1">
        <v>-0.113</v>
      </c>
      <c r="BI217" s="1">
        <v>4.5999999999999999E-2</v>
      </c>
      <c r="BJ217" s="1">
        <v>5625</v>
      </c>
      <c r="BK217" s="1">
        <v>1</v>
      </c>
      <c r="BL217" s="1">
        <v>335.42749733591398</v>
      </c>
      <c r="BM217" s="1">
        <v>4.7528526740098203</v>
      </c>
      <c r="BN217" s="1">
        <v>335.42749733591398</v>
      </c>
      <c r="BO217" s="1">
        <v>1</v>
      </c>
      <c r="BP217" s="1">
        <v>87277.406182161503</v>
      </c>
      <c r="BQ217" s="1">
        <v>1</v>
      </c>
      <c r="BR217" s="1">
        <v>0.69596000000000002</v>
      </c>
    </row>
    <row r="218" spans="1:70">
      <c r="A218" s="2" t="s">
        <v>286</v>
      </c>
      <c r="B218" s="1">
        <v>18960582.556212999</v>
      </c>
      <c r="C218" s="1">
        <v>634.44823391832597</v>
      </c>
      <c r="D218" s="1">
        <v>149.14958101226799</v>
      </c>
      <c r="E218" s="1">
        <v>520.38377569771103</v>
      </c>
      <c r="F218" s="1">
        <v>2467301.6327637699</v>
      </c>
      <c r="G218" s="1">
        <v>1775044.0267545299</v>
      </c>
      <c r="H218" s="1">
        <v>2.5972810943896E-5</v>
      </c>
      <c r="I218" s="1">
        <v>5.9480773118925399E-5</v>
      </c>
      <c r="J218" s="1">
        <v>0.43661798563056398</v>
      </c>
      <c r="K218" s="1">
        <v>16063.580349286</v>
      </c>
      <c r="L218" s="1">
        <v>1.6624879026359001E-3</v>
      </c>
      <c r="M218" s="1">
        <v>217</v>
      </c>
      <c r="N218" s="1">
        <v>1980.0958000000001</v>
      </c>
      <c r="O218" s="3">
        <v>2.8502295699234199E-6</v>
      </c>
      <c r="P218" s="3">
        <v>5.98473400508856E-3</v>
      </c>
      <c r="Q218" s="3">
        <v>1.905E-3</v>
      </c>
      <c r="R218" s="1">
        <v>0.69596000000000002</v>
      </c>
      <c r="S218" s="4">
        <v>4869246.34765625</v>
      </c>
      <c r="T218" s="1">
        <v>296.26172292177802</v>
      </c>
      <c r="U218" s="5">
        <v>519.97022270798595</v>
      </c>
      <c r="V218" s="1">
        <v>0.03</v>
      </c>
      <c r="W218" s="3">
        <v>63416.837092183203</v>
      </c>
      <c r="X218" s="1">
        <v>2.8068795115359198E-2</v>
      </c>
      <c r="Y218" s="1">
        <v>5.9688149502597696</v>
      </c>
      <c r="Z218" s="1">
        <v>5.96881496562143</v>
      </c>
      <c r="AA218" s="1">
        <v>-1.5361651506395901E-8</v>
      </c>
      <c r="AB218" s="1">
        <v>7.5467037009651301E-6</v>
      </c>
      <c r="AC218" s="1">
        <v>825.31097339210396</v>
      </c>
      <c r="AD218" s="1">
        <v>1878.19843314684</v>
      </c>
      <c r="AE218" s="1">
        <v>519.97022270798595</v>
      </c>
      <c r="AF218" s="6">
        <v>0</v>
      </c>
      <c r="AG218" s="1">
        <v>7.7373697165469102E-6</v>
      </c>
      <c r="AH218" s="1">
        <v>26.435190279273101</v>
      </c>
      <c r="AI218" s="1">
        <v>0.22538725093265999</v>
      </c>
      <c r="AJ218" s="1">
        <v>15.2570243341692</v>
      </c>
      <c r="AK218" s="1">
        <v>9.8101323771631694</v>
      </c>
      <c r="AL218" s="1">
        <v>2.1883527698787102</v>
      </c>
      <c r="AM218" s="1">
        <v>634.44823380953198</v>
      </c>
      <c r="AN218" s="1">
        <v>1.08794097286591E-7</v>
      </c>
      <c r="AO218" s="1">
        <v>1.9066601558178399E-7</v>
      </c>
      <c r="AP218" s="1">
        <v>1.8519804458428</v>
      </c>
      <c r="AQ218" s="1">
        <v>2.62719314134373E-5</v>
      </c>
      <c r="AR218" s="1">
        <v>3.9640178660643498E-6</v>
      </c>
      <c r="AS218" s="1">
        <v>7.8164956902972396</v>
      </c>
      <c r="AT218" s="1">
        <v>7.2311816633771704</v>
      </c>
      <c r="AU218" s="1">
        <v>1.62981615610324</v>
      </c>
      <c r="AV218" s="1">
        <v>0.22216428973956001</v>
      </c>
      <c r="AW218" s="1">
        <v>7.4425852386104403E-3</v>
      </c>
      <c r="AX218" s="1">
        <v>0.22216428345028799</v>
      </c>
      <c r="AY218" s="1">
        <v>6.2892724361773803E-9</v>
      </c>
      <c r="AZ218" s="1">
        <v>692257.60600924003</v>
      </c>
      <c r="BA218" s="1">
        <v>1.4185857886572599E-5</v>
      </c>
      <c r="BB218" s="4">
        <v>4841825.9114256501</v>
      </c>
      <c r="BC218" s="4">
        <v>-27420.436230600801</v>
      </c>
      <c r="BD218" s="7">
        <v>-0.56313511933523897</v>
      </c>
      <c r="BE218" s="4">
        <v>2082029.4</v>
      </c>
      <c r="BF218" s="1">
        <v>2.3255319600317099</v>
      </c>
      <c r="BG218" s="1">
        <v>1</v>
      </c>
      <c r="BH218" s="1">
        <v>-0.17599999999999999</v>
      </c>
      <c r="BI218" s="1">
        <v>4.5999999999999999E-2</v>
      </c>
      <c r="BJ218" s="1">
        <v>5625</v>
      </c>
      <c r="BK218" s="1">
        <v>1</v>
      </c>
      <c r="BL218" s="1">
        <v>338.18651099654801</v>
      </c>
      <c r="BM218" s="1">
        <v>4.8418259114256497</v>
      </c>
      <c r="BN218" s="1">
        <v>338.18651099654801</v>
      </c>
      <c r="BO218" s="1">
        <v>1</v>
      </c>
      <c r="BP218" s="1">
        <v>88915.195340294405</v>
      </c>
      <c r="BQ218" s="1">
        <v>1</v>
      </c>
      <c r="BR218" s="1">
        <v>0.69596000000000002</v>
      </c>
    </row>
    <row r="219" spans="1:70">
      <c r="A219" s="2" t="s">
        <v>287</v>
      </c>
      <c r="B219" s="1">
        <v>18960582.556212999</v>
      </c>
      <c r="C219" s="1">
        <v>634.44823391832597</v>
      </c>
      <c r="D219" s="1">
        <v>149.14958101226799</v>
      </c>
      <c r="E219" s="1">
        <v>520.38377569771103</v>
      </c>
      <c r="F219" s="1">
        <v>2467301.6327637699</v>
      </c>
      <c r="G219" s="1">
        <v>1775044.0267545299</v>
      </c>
      <c r="H219" s="1">
        <v>2.5972810943896E-5</v>
      </c>
      <c r="I219" s="1">
        <v>5.9480773118925399E-5</v>
      </c>
      <c r="J219" s="1">
        <v>0.43661798563056398</v>
      </c>
      <c r="K219" s="1">
        <v>16063.580349286</v>
      </c>
      <c r="L219" s="1">
        <v>1.6624879026359001E-3</v>
      </c>
      <c r="M219" s="1">
        <v>218</v>
      </c>
      <c r="N219" s="1">
        <v>2183.5302999999999</v>
      </c>
      <c r="O219" s="3">
        <v>2.8502295699234199E-6</v>
      </c>
      <c r="P219" s="3">
        <v>5.98473400508856E-3</v>
      </c>
      <c r="Q219" s="3">
        <v>1.905E-3</v>
      </c>
      <c r="R219" s="1">
        <v>0.69596000000000002</v>
      </c>
      <c r="S219" s="4">
        <v>5206018.06640625</v>
      </c>
      <c r="T219" s="1">
        <v>297.89465084985301</v>
      </c>
      <c r="U219" s="5">
        <v>514.79157281219204</v>
      </c>
      <c r="V219" s="1">
        <v>0.03</v>
      </c>
      <c r="W219" s="3">
        <v>69932.265560558197</v>
      </c>
      <c r="X219" s="1">
        <v>2.6977699453061801E-2</v>
      </c>
      <c r="Y219" s="1">
        <v>6.0883210266442198</v>
      </c>
      <c r="Z219" s="1">
        <v>6.0883210344052801</v>
      </c>
      <c r="AA219" s="1">
        <v>-7.7610655679904994E-9</v>
      </c>
      <c r="AB219" s="1">
        <v>6.4569900462768704E-6</v>
      </c>
      <c r="AC219" s="1">
        <v>818.92667708811098</v>
      </c>
      <c r="AD219" s="1">
        <v>2030.5096834251899</v>
      </c>
      <c r="AE219" s="1">
        <v>514.79157500145902</v>
      </c>
      <c r="AF219" s="6">
        <v>2.1892666381973001E-6</v>
      </c>
      <c r="AG219" s="1">
        <v>6.6449034299615198E-6</v>
      </c>
      <c r="AH219" s="1">
        <v>30.896524059432299</v>
      </c>
      <c r="AI219" s="1">
        <v>0.24366487984582999</v>
      </c>
      <c r="AJ219" s="1">
        <v>14.165397123319799</v>
      </c>
      <c r="AK219" s="1">
        <v>9.7092053180152593</v>
      </c>
      <c r="AL219" s="1">
        <v>2.1883527698787102</v>
      </c>
      <c r="AM219" s="1">
        <v>634.44823397229902</v>
      </c>
      <c r="AN219" s="1">
        <v>-5.39730535820127E-8</v>
      </c>
      <c r="AO219" s="1">
        <v>1.8791338368465701E-7</v>
      </c>
      <c r="AP219" s="1">
        <v>1.9088777488394799</v>
      </c>
      <c r="AQ219" s="1">
        <v>2.4729114434388201E-5</v>
      </c>
      <c r="AR219" s="1">
        <v>3.4164084068230901E-6</v>
      </c>
      <c r="AS219" s="1">
        <v>7.2829924961569699</v>
      </c>
      <c r="AT219" s="1">
        <v>6.8777091745608097</v>
      </c>
      <c r="AU219" s="1">
        <v>1.67585617963392</v>
      </c>
      <c r="AV219" s="1">
        <v>0.233021569205561</v>
      </c>
      <c r="AW219" s="1">
        <v>6.3679058710266996E-3</v>
      </c>
      <c r="AX219" s="1">
        <v>0.23302156388499801</v>
      </c>
      <c r="AY219" s="1">
        <v>5.3205630456965E-9</v>
      </c>
      <c r="AZ219" s="1">
        <v>692257.60600924003</v>
      </c>
      <c r="BA219" s="1">
        <v>1.29547921282138E-5</v>
      </c>
      <c r="BB219" s="4">
        <v>5225390.4604399996</v>
      </c>
      <c r="BC219" s="4">
        <v>19372.3940337477</v>
      </c>
      <c r="BD219" s="7">
        <v>0.37211538236402297</v>
      </c>
      <c r="BE219" s="4">
        <v>2397488.4</v>
      </c>
      <c r="BF219" s="1">
        <v>2.1795269000842699</v>
      </c>
      <c r="BG219" s="1">
        <v>1</v>
      </c>
      <c r="BH219" s="1">
        <v>-6.9000000000000006E-2</v>
      </c>
      <c r="BI219" s="1">
        <v>4.5999999999999999E-2</v>
      </c>
      <c r="BJ219" s="1">
        <v>5625</v>
      </c>
      <c r="BK219" s="1">
        <v>1</v>
      </c>
      <c r="BL219" s="1">
        <v>336.55358306847302</v>
      </c>
      <c r="BM219" s="1">
        <v>5.2253904604399999</v>
      </c>
      <c r="BN219" s="1">
        <v>336.55358306847302</v>
      </c>
      <c r="BO219" s="1">
        <v>1</v>
      </c>
      <c r="BP219" s="1">
        <v>87944.027630749697</v>
      </c>
      <c r="BQ219" s="1">
        <v>1</v>
      </c>
      <c r="BR219" s="1">
        <v>0.69596000000000002</v>
      </c>
    </row>
    <row r="220" spans="1:70">
      <c r="A220" s="2" t="s">
        <v>288</v>
      </c>
      <c r="B220" s="1">
        <v>18960582.556212999</v>
      </c>
      <c r="C220" s="1">
        <v>634.44823391832597</v>
      </c>
      <c r="D220" s="1">
        <v>149.14958101226799</v>
      </c>
      <c r="E220" s="1">
        <v>520.38377569771103</v>
      </c>
      <c r="F220" s="1">
        <v>2467301.6327637699</v>
      </c>
      <c r="G220" s="1">
        <v>1775044.0267545299</v>
      </c>
      <c r="H220" s="1">
        <v>2.5972810943896E-5</v>
      </c>
      <c r="I220" s="1">
        <v>5.9480773118925399E-5</v>
      </c>
      <c r="J220" s="1">
        <v>0.43661798563056398</v>
      </c>
      <c r="K220" s="1">
        <v>16063.580349286</v>
      </c>
      <c r="L220" s="1">
        <v>1.6624879026359001E-3</v>
      </c>
      <c r="M220" s="1">
        <v>219</v>
      </c>
      <c r="N220" s="1">
        <v>2237.7795000000001</v>
      </c>
      <c r="O220" s="3">
        <v>2.8502295699234199E-6</v>
      </c>
      <c r="P220" s="3">
        <v>5.98473400508856E-3</v>
      </c>
      <c r="Q220" s="3">
        <v>1.905E-3</v>
      </c>
      <c r="R220" s="1">
        <v>0.69596000000000002</v>
      </c>
      <c r="S220" s="4">
        <v>5308802.63671875</v>
      </c>
      <c r="T220" s="1">
        <v>297.33158579482898</v>
      </c>
      <c r="U220" s="5">
        <v>513.14887331007901</v>
      </c>
      <c r="V220" s="1">
        <v>0.03</v>
      </c>
      <c r="W220" s="3">
        <v>71669.713152124794</v>
      </c>
      <c r="X220" s="1">
        <v>2.6714291734591802E-2</v>
      </c>
      <c r="Y220" s="1">
        <v>6.1182633683354597</v>
      </c>
      <c r="Z220" s="1">
        <v>6.11826337149511</v>
      </c>
      <c r="AA220" s="1">
        <v>-3.1596503191622101E-9</v>
      </c>
      <c r="AB220" s="1">
        <v>6.2083362143430397E-6</v>
      </c>
      <c r="AC220" s="1">
        <v>817.88575613791897</v>
      </c>
      <c r="AD220" s="1">
        <v>2070.7730741799401</v>
      </c>
      <c r="AE220" s="1">
        <v>513.14887331007901</v>
      </c>
      <c r="AF220" s="6">
        <v>0</v>
      </c>
      <c r="AG220" s="1">
        <v>6.3966377394363902E-6</v>
      </c>
      <c r="AH220" s="1">
        <v>32.133979447731797</v>
      </c>
      <c r="AI220" s="1">
        <v>0.248496560458105</v>
      </c>
      <c r="AJ220" s="1">
        <v>13.9065461376463</v>
      </c>
      <c r="AK220" s="1">
        <v>9.7128660529817008</v>
      </c>
      <c r="AL220" s="1">
        <v>2.1883527698787102</v>
      </c>
      <c r="AM220" s="1">
        <v>634.44823382027005</v>
      </c>
      <c r="AN220" s="1">
        <v>9.8056375463784193E-8</v>
      </c>
      <c r="AO220" s="1">
        <v>1.8830152509335101E-7</v>
      </c>
      <c r="AP220" s="1">
        <v>1.92341716461832</v>
      </c>
      <c r="AQ220" s="1">
        <v>2.4356664871989101E-5</v>
      </c>
      <c r="AR220" s="1">
        <v>3.2924696322648699E-6</v>
      </c>
      <c r="AS220" s="1">
        <v>7.1579605900779297</v>
      </c>
      <c r="AT220" s="1">
        <v>6.7911255330585396</v>
      </c>
      <c r="AU220" s="1">
        <v>1.68757133660426</v>
      </c>
      <c r="AV220" s="1">
        <v>0.23584582801405801</v>
      </c>
      <c r="AW220" s="1">
        <v>6.1226826037029799E-3</v>
      </c>
      <c r="AX220" s="1">
        <v>0.23584582091739001</v>
      </c>
      <c r="AY220" s="1">
        <v>7.0966679754924697E-9</v>
      </c>
      <c r="AZ220" s="1">
        <v>692257.60600924003</v>
      </c>
      <c r="BA220" s="1">
        <v>1.26632252846836E-5</v>
      </c>
      <c r="BB220" s="4">
        <v>5356745.1889211498</v>
      </c>
      <c r="BC220" s="4">
        <v>47942.552202398001</v>
      </c>
      <c r="BD220" s="7">
        <v>0.903076559501375</v>
      </c>
      <c r="BE220" s="4">
        <v>2397488.4</v>
      </c>
      <c r="BF220" s="1">
        <v>2.2343153730884202</v>
      </c>
      <c r="BG220" s="1">
        <v>1</v>
      </c>
      <c r="BH220" s="1">
        <v>-0.128</v>
      </c>
      <c r="BI220" s="1">
        <v>4.5999999999999999E-2</v>
      </c>
      <c r="BJ220" s="1">
        <v>5625</v>
      </c>
      <c r="BK220" s="1">
        <v>1</v>
      </c>
      <c r="BL220" s="1">
        <v>337.11664812349699</v>
      </c>
      <c r="BM220" s="1">
        <v>5.3567451889211499</v>
      </c>
      <c r="BN220" s="1">
        <v>337.11664812349699</v>
      </c>
      <c r="BO220" s="1">
        <v>1</v>
      </c>
      <c r="BP220" s="1">
        <v>88278.302592141903</v>
      </c>
      <c r="BQ220" s="1">
        <v>1</v>
      </c>
      <c r="BR220" s="1">
        <v>0.69596000000000002</v>
      </c>
    </row>
    <row r="221" spans="1:70">
      <c r="A221" s="2" t="s">
        <v>289</v>
      </c>
      <c r="B221" s="1">
        <v>18960582.556212999</v>
      </c>
      <c r="C221" s="1">
        <v>634.44823391832597</v>
      </c>
      <c r="D221" s="1">
        <v>149.14958101226799</v>
      </c>
      <c r="E221" s="1">
        <v>520.38377569771103</v>
      </c>
      <c r="F221" s="1">
        <v>2467301.6327637699</v>
      </c>
      <c r="G221" s="1">
        <v>1775044.0267545299</v>
      </c>
      <c r="H221" s="1">
        <v>2.5972810943896E-5</v>
      </c>
      <c r="I221" s="1">
        <v>5.9480773118925399E-5</v>
      </c>
      <c r="J221" s="1">
        <v>0.43661798563056398</v>
      </c>
      <c r="K221" s="1">
        <v>16063.580349286</v>
      </c>
      <c r="L221" s="1">
        <v>1.6624879026359001E-3</v>
      </c>
      <c r="M221" s="1">
        <v>220</v>
      </c>
      <c r="N221" s="1">
        <v>2793.8337999999999</v>
      </c>
      <c r="O221" s="3">
        <v>2.8502295699234199E-6</v>
      </c>
      <c r="P221" s="3">
        <v>5.98473400508856E-3</v>
      </c>
      <c r="Q221" s="3">
        <v>1.905E-3</v>
      </c>
      <c r="R221" s="1">
        <v>0.69596000000000002</v>
      </c>
      <c r="S221" s="4">
        <v>6217053.22265625</v>
      </c>
      <c r="T221" s="1">
        <v>298.45770121924102</v>
      </c>
      <c r="U221" s="5">
        <v>500.89519821428598</v>
      </c>
      <c r="V221" s="1">
        <v>0.03</v>
      </c>
      <c r="W221" s="3">
        <v>89478.550965683098</v>
      </c>
      <c r="X221" s="1">
        <v>2.45060735861381E-2</v>
      </c>
      <c r="Y221" s="1">
        <v>6.3879739049883204</v>
      </c>
      <c r="Z221" s="1">
        <v>6.3879739206029802</v>
      </c>
      <c r="AA221" s="1">
        <v>-1.5614659787388499E-8</v>
      </c>
      <c r="AB221" s="1">
        <v>4.3418879052211302E-6</v>
      </c>
      <c r="AC221" s="1">
        <v>804.34668939333199</v>
      </c>
      <c r="AD221" s="1">
        <v>2476.1720656518701</v>
      </c>
      <c r="AE221" s="1">
        <v>500.89519821428598</v>
      </c>
      <c r="AF221" s="6">
        <v>0</v>
      </c>
      <c r="AG221" s="1">
        <v>4.5237369909956704E-6</v>
      </c>
      <c r="AH221" s="1">
        <v>45.947420263063499</v>
      </c>
      <c r="AI221" s="1">
        <v>0.29714518171461501</v>
      </c>
      <c r="AJ221" s="1">
        <v>11.760158708094</v>
      </c>
      <c r="AK221" s="1">
        <v>9.5334112903946906</v>
      </c>
      <c r="AL221" s="1">
        <v>2.1883527698787102</v>
      </c>
      <c r="AM221" s="1">
        <v>634.44823377511</v>
      </c>
      <c r="AN221" s="1">
        <v>1.4321619801194201E-7</v>
      </c>
      <c r="AO221" s="1">
        <v>1.8184908577453499E-7</v>
      </c>
      <c r="AP221" s="1">
        <v>2.0490560465612599</v>
      </c>
      <c r="AQ221" s="1">
        <v>2.1461354103123902E-5</v>
      </c>
      <c r="AR221" s="1">
        <v>2.3527930383850998E-6</v>
      </c>
      <c r="AS221" s="1">
        <v>6.1164518613221803</v>
      </c>
      <c r="AT221" s="1">
        <v>6.0049108358792296</v>
      </c>
      <c r="AU221" s="1">
        <v>1.78433032150739</v>
      </c>
      <c r="AV221" s="1">
        <v>0.26472572505386699</v>
      </c>
      <c r="AW221" s="1">
        <v>4.2819848388863302E-3</v>
      </c>
      <c r="AX221" s="1">
        <v>0.26472572450722498</v>
      </c>
      <c r="AY221" s="1">
        <v>5.4664195392462003E-10</v>
      </c>
      <c r="AZ221" s="1">
        <v>692257.60600924003</v>
      </c>
      <c r="BA221" s="1">
        <v>1.04737760292797E-5</v>
      </c>
      <c r="BB221" s="4">
        <v>6254596.8717347998</v>
      </c>
      <c r="BC221" s="4">
        <v>37543.649078549803</v>
      </c>
      <c r="BD221" s="7">
        <v>0.60388173840514803</v>
      </c>
      <c r="BE221" s="4">
        <v>2996860.5</v>
      </c>
      <c r="BF221" s="1">
        <v>2.0870497214450898</v>
      </c>
      <c r="BG221" s="1">
        <v>1</v>
      </c>
      <c r="BH221" s="1">
        <v>-0.11899999999999999</v>
      </c>
      <c r="BI221" s="1">
        <v>4.5999999999999999E-2</v>
      </c>
      <c r="BJ221" s="1">
        <v>5625</v>
      </c>
      <c r="BK221" s="1">
        <v>1</v>
      </c>
      <c r="BL221" s="1">
        <v>335.99053269908501</v>
      </c>
      <c r="BM221" s="1">
        <v>6.2545968717348002</v>
      </c>
      <c r="BN221" s="1">
        <v>335.99053269908501</v>
      </c>
      <c r="BO221" s="1">
        <v>1</v>
      </c>
      <c r="BP221" s="1">
        <v>87610.395447488103</v>
      </c>
      <c r="BQ221" s="1">
        <v>1</v>
      </c>
      <c r="BR221" s="1">
        <v>0.69596000000000002</v>
      </c>
    </row>
    <row r="222" spans="1:70">
      <c r="A222" s="2" t="s">
        <v>290</v>
      </c>
      <c r="B222" s="1">
        <v>18960582.556212999</v>
      </c>
      <c r="C222" s="1">
        <v>634.44823391832597</v>
      </c>
      <c r="D222" s="1">
        <v>149.14958101226799</v>
      </c>
      <c r="E222" s="1">
        <v>520.38377569771103</v>
      </c>
      <c r="F222" s="1">
        <v>2467301.6327637699</v>
      </c>
      <c r="G222" s="1">
        <v>1775044.0267545299</v>
      </c>
      <c r="H222" s="1">
        <v>2.5972810943896E-5</v>
      </c>
      <c r="I222" s="1">
        <v>5.9480773118925399E-5</v>
      </c>
      <c r="J222" s="1">
        <v>0.43661798563056398</v>
      </c>
      <c r="K222" s="1">
        <v>16063.580349286</v>
      </c>
      <c r="L222" s="1">
        <v>1.6624879026359001E-3</v>
      </c>
      <c r="M222" s="1">
        <v>221</v>
      </c>
      <c r="N222" s="1">
        <v>2861.6453000000001</v>
      </c>
      <c r="O222" s="3">
        <v>2.8502295699234199E-6</v>
      </c>
      <c r="P222" s="3">
        <v>5.98473400508856E-3</v>
      </c>
      <c r="Q222" s="3">
        <v>1.905E-3</v>
      </c>
      <c r="R222" s="1">
        <v>0.69596000000000002</v>
      </c>
      <c r="S222" s="4">
        <v>6336169.43359375</v>
      </c>
      <c r="T222" s="1">
        <v>297.89465084985301</v>
      </c>
      <c r="U222" s="5">
        <v>499.32176043104198</v>
      </c>
      <c r="V222" s="1">
        <v>0.03</v>
      </c>
      <c r="W222" s="3">
        <v>91650.360455141403</v>
      </c>
      <c r="X222" s="1">
        <v>2.4284988303401998E-2</v>
      </c>
      <c r="Y222" s="1">
        <v>6.4169853926356204</v>
      </c>
      <c r="Z222" s="1">
        <v>6.4169854006844904</v>
      </c>
      <c r="AA222" s="1">
        <v>-8.0488700149317099E-9</v>
      </c>
      <c r="AB222" s="1">
        <v>4.1762257979177299E-6</v>
      </c>
      <c r="AC222" s="1">
        <v>803.224312066621</v>
      </c>
      <c r="AD222" s="1">
        <v>2524.8067203953901</v>
      </c>
      <c r="AE222" s="1">
        <v>499.32176043104198</v>
      </c>
      <c r="AF222" s="6">
        <v>0</v>
      </c>
      <c r="AG222" s="1">
        <v>4.3579957719578804E-6</v>
      </c>
      <c r="AH222" s="1">
        <v>47.770057935032703</v>
      </c>
      <c r="AI222" s="1">
        <v>0.30298142933320998</v>
      </c>
      <c r="AJ222" s="1">
        <v>11.551807887132799</v>
      </c>
      <c r="AK222" s="1">
        <v>9.5327603657751894</v>
      </c>
      <c r="AL222" s="1">
        <v>2.1883527698787102</v>
      </c>
      <c r="AM222" s="1">
        <v>634.44823371085704</v>
      </c>
      <c r="AN222" s="1">
        <v>2.07469383894932E-7</v>
      </c>
      <c r="AO222" s="1">
        <v>1.8176997404015201E-7</v>
      </c>
      <c r="AP222" s="1">
        <v>2.0626425005871099</v>
      </c>
      <c r="AQ222" s="1">
        <v>2.11795569598776E-5</v>
      </c>
      <c r="AR222" s="1">
        <v>2.2698828729990201E-6</v>
      </c>
      <c r="AS222" s="1">
        <v>6.0168142070953499</v>
      </c>
      <c r="AT222" s="1">
        <v>5.9227895888251396</v>
      </c>
      <c r="AU222" s="1">
        <v>1.7944952552621001</v>
      </c>
      <c r="AV222" s="1">
        <v>0.26814724532501399</v>
      </c>
      <c r="AW222" s="1">
        <v>4.1186082968530501E-3</v>
      </c>
      <c r="AX222" s="1">
        <v>0.26814724458671302</v>
      </c>
      <c r="AY222" s="1">
        <v>7.3830142000019805E-10</v>
      </c>
      <c r="AZ222" s="1">
        <v>692257.60600924003</v>
      </c>
      <c r="BA222" s="1">
        <v>1.02681666618665E-5</v>
      </c>
      <c r="BB222" s="4">
        <v>6377063.1859235298</v>
      </c>
      <c r="BC222" s="4">
        <v>40893.752329780698</v>
      </c>
      <c r="BD222" s="7">
        <v>0.64540181190493495</v>
      </c>
      <c r="BE222" s="4">
        <v>2776039.2</v>
      </c>
      <c r="BF222" s="1">
        <v>2.2971805246566901</v>
      </c>
      <c r="BG222" s="1">
        <v>1</v>
      </c>
      <c r="BH222" s="1">
        <v>-0.33800000000000002</v>
      </c>
      <c r="BI222" s="1">
        <v>4.5999999999999999E-2</v>
      </c>
      <c r="BJ222" s="1">
        <v>5625</v>
      </c>
      <c r="BK222" s="1">
        <v>1</v>
      </c>
      <c r="BL222" s="1">
        <v>336.55358306847302</v>
      </c>
      <c r="BM222" s="1">
        <v>6.3770631859235296</v>
      </c>
      <c r="BN222" s="1">
        <v>336.55358306847302</v>
      </c>
      <c r="BO222" s="1">
        <v>1</v>
      </c>
      <c r="BP222" s="1">
        <v>87944.027630749697</v>
      </c>
      <c r="BQ222" s="1">
        <v>1</v>
      </c>
      <c r="BR222" s="1">
        <v>0.69596000000000002</v>
      </c>
    </row>
    <row r="223" spans="1:70">
      <c r="A223" s="2" t="s">
        <v>291</v>
      </c>
      <c r="B223" s="1">
        <v>18960582.556212999</v>
      </c>
      <c r="C223" s="1">
        <v>634.44823391832597</v>
      </c>
      <c r="D223" s="1">
        <v>149.14958101226799</v>
      </c>
      <c r="E223" s="1">
        <v>520.38377569771103</v>
      </c>
      <c r="F223" s="1">
        <v>2467301.6327637699</v>
      </c>
      <c r="G223" s="1">
        <v>1775044.0267545299</v>
      </c>
      <c r="H223" s="1">
        <v>2.5972810943896E-5</v>
      </c>
      <c r="I223" s="1">
        <v>5.9480773118925399E-5</v>
      </c>
      <c r="J223" s="1">
        <v>0.43661798563056398</v>
      </c>
      <c r="K223" s="1">
        <v>16063.580349286</v>
      </c>
      <c r="L223" s="1">
        <v>1.6624879026359001E-3</v>
      </c>
      <c r="M223" s="1">
        <v>222</v>
      </c>
      <c r="N223" s="1">
        <v>3471.9488000000001</v>
      </c>
      <c r="O223" s="3">
        <v>2.8502295699234199E-6</v>
      </c>
      <c r="P223" s="3">
        <v>5.98473400508856E-3</v>
      </c>
      <c r="Q223" s="3">
        <v>1.905E-3</v>
      </c>
      <c r="R223" s="1">
        <v>0.69596000000000002</v>
      </c>
      <c r="S223" s="4">
        <v>7260546.38671875</v>
      </c>
      <c r="T223" s="1">
        <v>299.02073658241198</v>
      </c>
      <c r="U223" s="5">
        <v>489.261216608371</v>
      </c>
      <c r="V223" s="1">
        <v>0.03</v>
      </c>
      <c r="W223" s="3">
        <v>111196.645860266</v>
      </c>
      <c r="X223" s="1">
        <v>2.2615094215070301E-2</v>
      </c>
      <c r="Y223" s="1">
        <v>6.6496808099286699</v>
      </c>
      <c r="Z223" s="1">
        <v>6.6496808158942198</v>
      </c>
      <c r="AA223" s="1">
        <v>-5.9655480555420598E-9</v>
      </c>
      <c r="AB223" s="1">
        <v>3.0465509744099398E-6</v>
      </c>
      <c r="AC223" s="1">
        <v>790.92049740726395</v>
      </c>
      <c r="AD223" s="1">
        <v>2956.0780652656899</v>
      </c>
      <c r="AE223" s="1">
        <v>489.261216608371</v>
      </c>
      <c r="AF223" s="6">
        <v>0</v>
      </c>
      <c r="AG223" s="1">
        <v>3.2244121972817902E-6</v>
      </c>
      <c r="AH223" s="1">
        <v>65.483410582009796</v>
      </c>
      <c r="AI223" s="1">
        <v>0.354734780369442</v>
      </c>
      <c r="AJ223" s="1">
        <v>10.006944010246601</v>
      </c>
      <c r="AK223" s="1">
        <v>9.3449473760680508</v>
      </c>
      <c r="AL223" s="1">
        <v>2.1883527698787102</v>
      </c>
      <c r="AM223" s="1">
        <v>634.44823399622703</v>
      </c>
      <c r="AN223" s="1">
        <v>-7.79012907514698E-8</v>
      </c>
      <c r="AO223" s="1">
        <v>1.77861222871854E-7</v>
      </c>
      <c r="AP223" s="1">
        <v>2.1678557530007301</v>
      </c>
      <c r="AQ223" s="1">
        <v>1.9173616331603302E-5</v>
      </c>
      <c r="AR223" s="1">
        <v>1.70113671007682E-6</v>
      </c>
      <c r="AS223" s="1">
        <v>5.2794676269567899</v>
      </c>
      <c r="AT223" s="1">
        <v>5.2691263220339097</v>
      </c>
      <c r="AU223" s="1">
        <v>1.8691423685855399</v>
      </c>
      <c r="AV223" s="1">
        <v>0.29871338441518502</v>
      </c>
      <c r="AW223" s="1">
        <v>3.0045190866467798E-3</v>
      </c>
      <c r="AX223" s="1">
        <v>0.29871338330912101</v>
      </c>
      <c r="AY223" s="1">
        <v>1.1060639071303099E-9</v>
      </c>
      <c r="AZ223" s="1">
        <v>692257.60600924003</v>
      </c>
      <c r="BA223" s="1">
        <v>8.8445074378511194E-6</v>
      </c>
      <c r="BB223" s="4">
        <v>7244344.6957942601</v>
      </c>
      <c r="BC223" s="4">
        <v>-16201.6909244899</v>
      </c>
      <c r="BD223" s="7">
        <v>-0.22314699282311001</v>
      </c>
      <c r="BE223" s="4">
        <v>3533140.8</v>
      </c>
      <c r="BF223" s="1">
        <v>2.0503979620043098</v>
      </c>
      <c r="BG223" s="1">
        <v>1</v>
      </c>
      <c r="BH223" s="1">
        <v>-0.23100000000000001</v>
      </c>
      <c r="BI223" s="1">
        <v>4.5999999999999999E-2</v>
      </c>
      <c r="BJ223" s="1">
        <v>5625</v>
      </c>
      <c r="BK223" s="1">
        <v>1</v>
      </c>
      <c r="BL223" s="1">
        <v>335.42749733591398</v>
      </c>
      <c r="BM223" s="1">
        <v>7.2443446957942603</v>
      </c>
      <c r="BN223" s="1">
        <v>335.42749733591398</v>
      </c>
      <c r="BO223" s="1">
        <v>1</v>
      </c>
      <c r="BP223" s="1">
        <v>87277.406182161503</v>
      </c>
      <c r="BQ223" s="1">
        <v>1</v>
      </c>
      <c r="BR223" s="1">
        <v>0.69596000000000002</v>
      </c>
    </row>
    <row r="224" spans="1:70">
      <c r="A224" s="2" t="s">
        <v>292</v>
      </c>
      <c r="B224" s="1">
        <v>18960582.556212999</v>
      </c>
      <c r="C224" s="1">
        <v>634.44823391832597</v>
      </c>
      <c r="D224" s="1">
        <v>149.14958101226799</v>
      </c>
      <c r="E224" s="1">
        <v>520.38377569771103</v>
      </c>
      <c r="F224" s="1">
        <v>2467301.6327637699</v>
      </c>
      <c r="G224" s="1">
        <v>1775044.0267545299</v>
      </c>
      <c r="H224" s="1">
        <v>2.5972810943896E-5</v>
      </c>
      <c r="I224" s="1">
        <v>5.9480773118925399E-5</v>
      </c>
      <c r="J224" s="1">
        <v>0.43661798563056398</v>
      </c>
      <c r="K224" s="1">
        <v>16063.580349286</v>
      </c>
      <c r="L224" s="1">
        <v>1.6624879026359001E-3</v>
      </c>
      <c r="M224" s="1">
        <v>223</v>
      </c>
      <c r="N224" s="1">
        <v>3648.2586999999999</v>
      </c>
      <c r="O224" s="3">
        <v>2.8502295699234199E-6</v>
      </c>
      <c r="P224" s="3">
        <v>5.98473400508856E-3</v>
      </c>
      <c r="Q224" s="3">
        <v>1.905E-3</v>
      </c>
      <c r="R224" s="1">
        <v>0.69596000000000002</v>
      </c>
      <c r="S224" s="4">
        <v>7583984.375</v>
      </c>
      <c r="T224" s="1">
        <v>296.26172292177802</v>
      </c>
      <c r="U224" s="5">
        <v>485.37357309828798</v>
      </c>
      <c r="V224" s="1">
        <v>0.03</v>
      </c>
      <c r="W224" s="3">
        <v>116843.35053285801</v>
      </c>
      <c r="X224" s="1">
        <v>2.2217391970833899E-2</v>
      </c>
      <c r="Y224" s="1">
        <v>6.7089331033772401</v>
      </c>
      <c r="Z224" s="1">
        <v>6.7089331074216201</v>
      </c>
      <c r="AA224" s="1">
        <v>-4.0443861593075797E-9</v>
      </c>
      <c r="AB224" s="1">
        <v>2.8085951652339198E-6</v>
      </c>
      <c r="AC224" s="1">
        <v>789.22604747791502</v>
      </c>
      <c r="AD224" s="1">
        <v>3078.7579867486702</v>
      </c>
      <c r="AE224" s="1">
        <v>485.37357309828798</v>
      </c>
      <c r="AF224" s="6">
        <v>0</v>
      </c>
      <c r="AG224" s="1">
        <v>2.98662448596844E-6</v>
      </c>
      <c r="AH224" s="1">
        <v>71.031436209031696</v>
      </c>
      <c r="AI224" s="1">
        <v>0.36945659557261701</v>
      </c>
      <c r="AJ224" s="1">
        <v>9.6536419838261995</v>
      </c>
      <c r="AK224" s="1">
        <v>9.3829056901855008</v>
      </c>
      <c r="AL224" s="1">
        <v>2.1883527698787102</v>
      </c>
      <c r="AM224" s="1">
        <v>634.44823392618298</v>
      </c>
      <c r="AN224" s="1">
        <v>-7.8573521022917703E-9</v>
      </c>
      <c r="AO224" s="1">
        <v>1.7802932073451699E-7</v>
      </c>
      <c r="AP224" s="1">
        <v>2.19530577840146</v>
      </c>
      <c r="AQ224" s="1">
        <v>1.8697121675961001E-5</v>
      </c>
      <c r="AR224" s="1">
        <v>1.5823269033514801E-6</v>
      </c>
      <c r="AS224" s="1">
        <v>5.1145423531135403</v>
      </c>
      <c r="AT224" s="1">
        <v>5.1104396193435901</v>
      </c>
      <c r="AU224" s="1">
        <v>1.8880856236421</v>
      </c>
      <c r="AV224" s="1">
        <v>0.30722015475935199</v>
      </c>
      <c r="AW224" s="1">
        <v>2.7698462462928501E-3</v>
      </c>
      <c r="AX224" s="1">
        <v>0.30722014808514903</v>
      </c>
      <c r="AY224" s="1">
        <v>6.6742025794930304E-9</v>
      </c>
      <c r="AZ224" s="1">
        <v>692257.60600924003</v>
      </c>
      <c r="BA224" s="1">
        <v>8.5168644203977707E-6</v>
      </c>
      <c r="BB224" s="4">
        <v>7530144.0635849703</v>
      </c>
      <c r="BC224" s="4">
        <v>-53840.311415029697</v>
      </c>
      <c r="BD224" s="7">
        <v>-0.70992118064628396</v>
      </c>
      <c r="BE224" s="4">
        <v>3533140.8</v>
      </c>
      <c r="BF224" s="1">
        <v>2.1312889833275199</v>
      </c>
      <c r="BG224" s="1">
        <v>1</v>
      </c>
      <c r="BH224" s="1">
        <v>-0.35099999999999998</v>
      </c>
      <c r="BI224" s="1">
        <v>4.5999999999999999E-2</v>
      </c>
      <c r="BJ224" s="1">
        <v>5625</v>
      </c>
      <c r="BK224" s="1">
        <v>1</v>
      </c>
      <c r="BL224" s="1">
        <v>338.18651099654801</v>
      </c>
      <c r="BM224" s="1">
        <v>7.5301440635849701</v>
      </c>
      <c r="BN224" s="1">
        <v>338.18651099654801</v>
      </c>
      <c r="BO224" s="1">
        <v>1</v>
      </c>
      <c r="BP224" s="1">
        <v>88915.195340294405</v>
      </c>
      <c r="BQ224" s="1">
        <v>1</v>
      </c>
      <c r="BR224" s="1">
        <v>0.69596000000000002</v>
      </c>
    </row>
    <row r="225" spans="1:70">
      <c r="A225" s="2" t="s">
        <v>293</v>
      </c>
      <c r="B225" s="1">
        <v>18960582.556212999</v>
      </c>
      <c r="C225" s="1">
        <v>634.44823391832597</v>
      </c>
      <c r="D225" s="1">
        <v>149.14958101226799</v>
      </c>
      <c r="E225" s="1">
        <v>520.38377569771103</v>
      </c>
      <c r="F225" s="1">
        <v>2467301.6327637699</v>
      </c>
      <c r="G225" s="1">
        <v>1775044.0267545299</v>
      </c>
      <c r="H225" s="1">
        <v>2.5972810943896E-5</v>
      </c>
      <c r="I225" s="1">
        <v>5.9480773118925399E-5</v>
      </c>
      <c r="J225" s="1">
        <v>0.43661798563056398</v>
      </c>
      <c r="K225" s="1">
        <v>16063.580349286</v>
      </c>
      <c r="L225" s="1">
        <v>1.6624879026359001E-3</v>
      </c>
      <c r="M225" s="1">
        <v>224</v>
      </c>
      <c r="N225" s="1">
        <v>3783.8816999999999</v>
      </c>
      <c r="O225" s="3">
        <v>2.8502295699234199E-6</v>
      </c>
      <c r="P225" s="3">
        <v>5.98473400508856E-3</v>
      </c>
      <c r="Q225" s="3">
        <v>1.905E-3</v>
      </c>
      <c r="R225" s="1">
        <v>0.69596000000000002</v>
      </c>
      <c r="S225" s="4">
        <v>7711816.40625</v>
      </c>
      <c r="T225" s="1">
        <v>299.58375662661598</v>
      </c>
      <c r="U225" s="5">
        <v>484.99073347646299</v>
      </c>
      <c r="V225" s="1">
        <v>0.03</v>
      </c>
      <c r="W225" s="3">
        <v>121186.96951177499</v>
      </c>
      <c r="X225" s="1">
        <v>2.19317029871001E-2</v>
      </c>
      <c r="Y225" s="1">
        <v>6.75248801637452</v>
      </c>
      <c r="Z225" s="1">
        <v>6.7524880375115002</v>
      </c>
      <c r="AA225" s="1">
        <v>-2.1136981942504499E-8</v>
      </c>
      <c r="AB225" s="1">
        <v>2.6448802811588901E-6</v>
      </c>
      <c r="AC225" s="1">
        <v>785.38105102733198</v>
      </c>
      <c r="AD225" s="1">
        <v>3172.61310665873</v>
      </c>
      <c r="AE225" s="1">
        <v>484.99073347646299</v>
      </c>
      <c r="AF225" s="6">
        <v>0</v>
      </c>
      <c r="AG225" s="1">
        <v>2.8221507772346899E-6</v>
      </c>
      <c r="AH225" s="1">
        <v>75.428196027419105</v>
      </c>
      <c r="AI225" s="1">
        <v>0.38071938180923598</v>
      </c>
      <c r="AJ225" s="1">
        <v>9.4000971599180208</v>
      </c>
      <c r="AK225" s="1">
        <v>9.2542364852633305</v>
      </c>
      <c r="AL225" s="1">
        <v>2.1883527698787102</v>
      </c>
      <c r="AM225" s="1">
        <v>634.44823376319096</v>
      </c>
      <c r="AN225" s="1">
        <v>1.5513523976551401E-7</v>
      </c>
      <c r="AO225" s="1">
        <v>1.7727049607580601E-7</v>
      </c>
      <c r="AP225" s="1">
        <v>2.21549903555765</v>
      </c>
      <c r="AQ225" s="1">
        <v>1.83578435664475E-5</v>
      </c>
      <c r="AR225" s="1">
        <v>1.4997106366552499E-6</v>
      </c>
      <c r="AS225" s="1">
        <v>4.9952772934886696</v>
      </c>
      <c r="AT225" s="1">
        <v>4.9952772934886696</v>
      </c>
      <c r="AU225" s="1">
        <v>1.9017988831427199</v>
      </c>
      <c r="AV225" s="1">
        <v>0.31370015241492699</v>
      </c>
      <c r="AW225" s="1">
        <v>2.6083900625285599E-3</v>
      </c>
      <c r="AX225" s="1">
        <v>0.313700139596159</v>
      </c>
      <c r="AY225" s="1">
        <v>1.2818767824995799E-8</v>
      </c>
      <c r="AZ225" s="1">
        <v>692257.60600924003</v>
      </c>
      <c r="BA225" s="1">
        <v>8.2860986494750803E-6</v>
      </c>
      <c r="BB225" s="4">
        <v>7706866.6504258402</v>
      </c>
      <c r="BC225" s="4">
        <v>-4949.7558241551696</v>
      </c>
      <c r="BD225" s="7">
        <v>-6.4184046447782001E-2</v>
      </c>
      <c r="BE225" s="4">
        <v>3564686.7</v>
      </c>
      <c r="BF225" s="1">
        <v>2.1620039288237698</v>
      </c>
      <c r="BG225" s="1">
        <v>1</v>
      </c>
      <c r="BH225" s="1">
        <v>-0.38700000000000001</v>
      </c>
      <c r="BI225" s="1">
        <v>4.5999999999999999E-2</v>
      </c>
      <c r="BJ225" s="1">
        <v>5625</v>
      </c>
      <c r="BK225" s="1">
        <v>1</v>
      </c>
      <c r="BL225" s="1">
        <v>334.86447729170999</v>
      </c>
      <c r="BM225" s="1">
        <v>7.7068666504258401</v>
      </c>
      <c r="BN225" s="1">
        <v>334.86447729170999</v>
      </c>
      <c r="BO225" s="1">
        <v>1</v>
      </c>
      <c r="BP225" s="1">
        <v>86945.059968513306</v>
      </c>
      <c r="BQ225" s="1">
        <v>1</v>
      </c>
      <c r="BR225" s="1">
        <v>0.69596000000000002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0C8E-39D5-4923-989F-CE4A3D41EECF}">
  <dimension ref="A1:BR225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23.75" customWidth="1"/>
    <col min="2" max="2" width="10.625" customWidth="1"/>
    <col min="3" max="3" width="12.75" customWidth="1"/>
    <col min="4" max="10" width="13.875" customWidth="1"/>
    <col min="11" max="12" width="15" customWidth="1"/>
    <col min="13" max="13" width="10.625" customWidth="1"/>
    <col min="14" max="14" width="12" customWidth="1"/>
    <col min="15" max="16" width="14.25" customWidth="1"/>
    <col min="17" max="17" width="10.625" customWidth="1"/>
    <col min="18" max="18" width="14.25" customWidth="1"/>
    <col min="19" max="19" width="25.5" customWidth="1"/>
    <col min="20" max="20" width="14.25" customWidth="1"/>
    <col min="21" max="21" width="15.75" customWidth="1"/>
    <col min="22" max="23" width="13.125" customWidth="1"/>
    <col min="24" max="24" width="32.125" customWidth="1"/>
    <col min="25" max="25" width="9.75" customWidth="1"/>
    <col min="26" max="26" width="32.125" customWidth="1"/>
    <col min="27" max="27" width="10.5" customWidth="1"/>
    <col min="28" max="28" width="20" customWidth="1"/>
    <col min="29" max="31" width="10.625" customWidth="1"/>
    <col min="32" max="32" width="20.625" customWidth="1"/>
    <col min="33" max="33" width="27.25" customWidth="1"/>
    <col min="34" max="38" width="20" customWidth="1"/>
    <col min="39" max="39" width="21" customWidth="1"/>
    <col min="40" max="41" width="20" customWidth="1"/>
    <col min="42" max="42" width="15.875" customWidth="1"/>
    <col min="43" max="43" width="16.5" customWidth="1"/>
    <col min="44" max="44" width="11.625" customWidth="1"/>
    <col min="45" max="45" width="18.125" customWidth="1"/>
    <col min="46" max="46" width="19.375" customWidth="1"/>
    <col min="47" max="47" width="18.125" customWidth="1"/>
    <col min="48" max="48" width="13" customWidth="1"/>
    <col min="49" max="49" width="19" customWidth="1"/>
    <col min="50" max="50" width="18.125" customWidth="1"/>
    <col min="51" max="51" width="13.75" customWidth="1"/>
    <col min="52" max="52" width="16.75" customWidth="1"/>
    <col min="53" max="53" width="12.875" customWidth="1"/>
    <col min="54" max="54" width="20.625" customWidth="1"/>
    <col min="55" max="55" width="13.875" customWidth="1"/>
    <col min="56" max="56" width="15.625" customWidth="1"/>
    <col min="57" max="57" width="13.875" customWidth="1"/>
    <col min="58" max="58" width="12.625" customWidth="1"/>
    <col min="59" max="60" width="9.125" customWidth="1"/>
    <col min="61" max="61" width="12.875" customWidth="1"/>
    <col min="62" max="62" width="9.125" customWidth="1"/>
    <col min="63" max="63" width="11.5" customWidth="1"/>
    <col min="64" max="64" width="12.75" customWidth="1"/>
    <col min="65" max="65" width="12.875" customWidth="1"/>
    <col min="66" max="67" width="12.75" customWidth="1"/>
    <col min="68" max="68" width="15.375" customWidth="1"/>
    <col min="69" max="69" width="12" customWidth="1"/>
  </cols>
  <sheetData>
    <row r="1" spans="1:7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</row>
    <row r="2" spans="1:70">
      <c r="A2" s="2" t="s">
        <v>70</v>
      </c>
      <c r="B2" s="1">
        <v>13789520</v>
      </c>
      <c r="C2" s="1">
        <v>608.621106065763</v>
      </c>
      <c r="D2" s="1">
        <v>85.147893581579396</v>
      </c>
      <c r="E2" s="1">
        <v>624.86627494838604</v>
      </c>
      <c r="F2" s="1">
        <v>2643264.3898665099</v>
      </c>
      <c r="G2" s="1">
        <v>1562686.9740257801</v>
      </c>
      <c r="H2" s="1">
        <v>2.2019594042733499E-5</v>
      </c>
      <c r="I2" s="1">
        <v>7.2223252690249804E-5</v>
      </c>
      <c r="J2" s="1">
        <v>0.49112124879375701</v>
      </c>
      <c r="K2" s="1">
        <v>7679.7516396704104</v>
      </c>
      <c r="L2" s="1">
        <v>6.5036382888884496E-3</v>
      </c>
      <c r="M2" s="1">
        <v>1</v>
      </c>
      <c r="N2" s="1">
        <v>2440.8000000000002</v>
      </c>
      <c r="O2" s="3">
        <v>2.8502295699234199E-6</v>
      </c>
      <c r="P2" s="3">
        <v>5.9847340050885496E-3</v>
      </c>
      <c r="Q2" s="3">
        <v>1.905E-3</v>
      </c>
      <c r="R2" s="1">
        <v>0.15240000000000001</v>
      </c>
      <c r="S2" s="4">
        <v>4672272.75390625</v>
      </c>
      <c r="T2" s="1">
        <v>499.95139682144003</v>
      </c>
      <c r="U2" s="5">
        <v>579.71390387992199</v>
      </c>
      <c r="V2" s="1">
        <v>0.03</v>
      </c>
      <c r="W2" s="3">
        <v>64379.875272880301</v>
      </c>
      <c r="X2" s="1">
        <v>3.5268930937055201E-2</v>
      </c>
      <c r="Y2" s="1">
        <v>5.32480676679564</v>
      </c>
      <c r="Z2" s="1">
        <v>5.3248067760604396</v>
      </c>
      <c r="AA2" s="1">
        <v>-9.2647987059990605E-9</v>
      </c>
      <c r="AB2" s="1">
        <v>1.85676958313217E-5</v>
      </c>
      <c r="AC2" s="1">
        <v>702.32731768938004</v>
      </c>
      <c r="AD2" s="1">
        <v>2137.3285628537901</v>
      </c>
      <c r="AE2" s="1">
        <v>579.71390387992199</v>
      </c>
      <c r="AF2" s="6">
        <v>0</v>
      </c>
      <c r="AG2" s="1">
        <v>1.8661841636896901E-5</v>
      </c>
      <c r="AH2" s="1">
        <v>42.031957102081797</v>
      </c>
      <c r="AI2" s="1">
        <v>0.25935597833921997</v>
      </c>
      <c r="AJ2" s="1">
        <v>41.875577077158802</v>
      </c>
      <c r="AK2" s="1">
        <v>5.8745145167453696</v>
      </c>
      <c r="AL2" s="1">
        <v>1.1293680422758501</v>
      </c>
      <c r="AM2" s="1">
        <v>608.62110606046804</v>
      </c>
      <c r="AN2" s="1">
        <v>5.2953055273974298E-9</v>
      </c>
      <c r="AO2" s="1">
        <v>9.4145805575213797E-8</v>
      </c>
      <c r="AP2" s="1">
        <v>3.42521452305609</v>
      </c>
      <c r="AQ2" s="1">
        <v>4.6480063731131797E-5</v>
      </c>
      <c r="AR2" s="1">
        <v>9.3779937212360505E-6</v>
      </c>
      <c r="AS2" s="1">
        <v>21.043416107780899</v>
      </c>
      <c r="AT2" s="1">
        <v>12.1829386861363</v>
      </c>
      <c r="AU2" s="1">
        <v>3.1597179819896</v>
      </c>
      <c r="AV2" s="1">
        <v>0.26549654106648801</v>
      </c>
      <c r="AW2" s="1">
        <v>1.1163110067097999E-2</v>
      </c>
      <c r="AX2" s="1">
        <v>0.26549653131102202</v>
      </c>
      <c r="AY2" s="1">
        <v>9.75546582404618E-9</v>
      </c>
      <c r="AZ2" s="1">
        <v>1080577.4158407301</v>
      </c>
      <c r="BA2" s="1">
        <v>1.35699715793745E-5</v>
      </c>
      <c r="BB2" s="4">
        <v>4684519.0571490703</v>
      </c>
      <c r="BC2" s="4">
        <v>12246.303242825001</v>
      </c>
      <c r="BD2" s="7">
        <v>0.26210591478390199</v>
      </c>
      <c r="BE2" s="4">
        <v>4038400</v>
      </c>
      <c r="BF2" s="1">
        <v>1.15999382358089</v>
      </c>
      <c r="BG2" s="1">
        <v>1</v>
      </c>
      <c r="BH2" s="1">
        <v>-0.05</v>
      </c>
      <c r="BI2" s="1">
        <v>4.5999999999999999E-2</v>
      </c>
      <c r="BJ2" s="1">
        <v>5625</v>
      </c>
      <c r="BK2" s="1">
        <v>1.0198921490853701</v>
      </c>
      <c r="BL2" s="1">
        <v>108.669709244323</v>
      </c>
      <c r="BM2" s="1">
        <v>4.6845190571490702</v>
      </c>
      <c r="BN2" s="1">
        <v>108.669709244323</v>
      </c>
      <c r="BO2" s="1">
        <v>1.0198921490853701</v>
      </c>
      <c r="BP2" s="1">
        <v>4715.52896769986</v>
      </c>
      <c r="BQ2" s="1">
        <v>1</v>
      </c>
      <c r="BR2" s="1">
        <v>0.15240000000000001</v>
      </c>
    </row>
    <row r="3" spans="1:70">
      <c r="A3" s="2" t="s">
        <v>71</v>
      </c>
      <c r="B3" s="1">
        <v>13789520</v>
      </c>
      <c r="C3" s="1">
        <v>608.621106065763</v>
      </c>
      <c r="D3" s="1">
        <v>85.147893581579396</v>
      </c>
      <c r="E3" s="1">
        <v>624.86627494838604</v>
      </c>
      <c r="F3" s="1">
        <v>2643264.3898665099</v>
      </c>
      <c r="G3" s="1">
        <v>1562686.9740257801</v>
      </c>
      <c r="H3" s="1">
        <v>2.2019594042733499E-5</v>
      </c>
      <c r="I3" s="1">
        <v>7.2223252690249804E-5</v>
      </c>
      <c r="J3" s="1">
        <v>0.49112124879375701</v>
      </c>
      <c r="K3" s="1">
        <v>7679.7516396704104</v>
      </c>
      <c r="L3" s="1">
        <v>6.5036382888884496E-3</v>
      </c>
      <c r="M3" s="1">
        <v>2</v>
      </c>
      <c r="N3" s="1">
        <v>2454.36</v>
      </c>
      <c r="O3" s="3">
        <v>2.8502295699234199E-6</v>
      </c>
      <c r="P3" s="3">
        <v>5.9847340050885496E-3</v>
      </c>
      <c r="Q3" s="3">
        <v>1.905E-3</v>
      </c>
      <c r="R3" s="1">
        <v>0.15240000000000001</v>
      </c>
      <c r="S3" s="4">
        <v>4703655.76171875</v>
      </c>
      <c r="T3" s="1">
        <v>499.39149608425203</v>
      </c>
      <c r="U3" s="5">
        <v>579.24612003590698</v>
      </c>
      <c r="V3" s="1">
        <v>0.03</v>
      </c>
      <c r="W3" s="3">
        <v>64737.541246618501</v>
      </c>
      <c r="X3" s="1">
        <v>3.5176483310940303E-2</v>
      </c>
      <c r="Y3" s="1">
        <v>5.3317992613705796</v>
      </c>
      <c r="Z3" s="1">
        <v>5.33179931108302</v>
      </c>
      <c r="AA3" s="1">
        <v>-4.9712445715499598E-8</v>
      </c>
      <c r="AB3" s="1">
        <v>1.8411354894901698E-5</v>
      </c>
      <c r="AC3" s="1">
        <v>702.61252032171797</v>
      </c>
      <c r="AD3" s="1">
        <v>2146.38399575928</v>
      </c>
      <c r="AE3" s="1">
        <v>579.24612003590698</v>
      </c>
      <c r="AF3" s="6">
        <v>0</v>
      </c>
      <c r="AG3" s="1">
        <v>1.8506040595866501E-5</v>
      </c>
      <c r="AH3" s="1">
        <v>42.388873557737199</v>
      </c>
      <c r="AI3" s="1">
        <v>0.26045481765728601</v>
      </c>
      <c r="AJ3" s="1">
        <v>41.701910089070203</v>
      </c>
      <c r="AK3" s="1">
        <v>5.8962344986820403</v>
      </c>
      <c r="AL3" s="1">
        <v>1.1293680422758501</v>
      </c>
      <c r="AM3" s="1">
        <v>608.62110597747301</v>
      </c>
      <c r="AN3" s="1">
        <v>8.8290448729821894E-8</v>
      </c>
      <c r="AO3" s="1">
        <v>9.46857009647887E-8</v>
      </c>
      <c r="AP3" s="1">
        <v>3.4337449006645602</v>
      </c>
      <c r="AQ3" s="1">
        <v>4.6249411770944203E-5</v>
      </c>
      <c r="AR3" s="1">
        <v>9.3003631484156396E-6</v>
      </c>
      <c r="AS3" s="1">
        <v>20.9576384425288</v>
      </c>
      <c r="AT3" s="1">
        <v>12.1625159168923</v>
      </c>
      <c r="AU3" s="1">
        <v>3.16778586538801</v>
      </c>
      <c r="AV3" s="1">
        <v>0.26595903527655101</v>
      </c>
      <c r="AW3" s="1">
        <v>1.10691161166852E-2</v>
      </c>
      <c r="AX3" s="1">
        <v>0.26595902522200798</v>
      </c>
      <c r="AY3" s="1">
        <v>1.0054542864956801E-8</v>
      </c>
      <c r="AZ3" s="1">
        <v>1080577.4158407301</v>
      </c>
      <c r="BA3" s="1">
        <v>1.3469087864387699E-5</v>
      </c>
      <c r="BB3" s="4">
        <v>4746671.5879564397</v>
      </c>
      <c r="BC3" s="4">
        <v>43015.826237687797</v>
      </c>
      <c r="BD3" s="7">
        <v>0.91451901280227899</v>
      </c>
      <c r="BE3" s="4">
        <v>4038400</v>
      </c>
      <c r="BF3" s="1">
        <v>1.1753842085866799</v>
      </c>
      <c r="BG3" s="1">
        <v>1</v>
      </c>
      <c r="BH3" s="1">
        <v>-5.5E-2</v>
      </c>
      <c r="BI3" s="1">
        <v>4.5999999999999999E-2</v>
      </c>
      <c r="BJ3" s="1">
        <v>5625</v>
      </c>
      <c r="BK3" s="1">
        <v>1.0196209706560599</v>
      </c>
      <c r="BL3" s="1">
        <v>109.229609981511</v>
      </c>
      <c r="BM3" s="1">
        <v>4.7466715879564401</v>
      </c>
      <c r="BN3" s="1">
        <v>109.229609981511</v>
      </c>
      <c r="BO3" s="1">
        <v>1.0196209706560599</v>
      </c>
      <c r="BP3" s="1">
        <v>4792.7388981921204</v>
      </c>
      <c r="BQ3" s="1">
        <v>1</v>
      </c>
      <c r="BR3" s="1">
        <v>0.15240000000000001</v>
      </c>
    </row>
    <row r="4" spans="1:70">
      <c r="A4" s="2" t="s">
        <v>72</v>
      </c>
      <c r="B4" s="1">
        <v>13789520</v>
      </c>
      <c r="C4" s="1">
        <v>608.621106065763</v>
      </c>
      <c r="D4" s="1">
        <v>85.147893581579396</v>
      </c>
      <c r="E4" s="1">
        <v>624.86627494838604</v>
      </c>
      <c r="F4" s="1">
        <v>2643264.3898665099</v>
      </c>
      <c r="G4" s="1">
        <v>1562686.9740257801</v>
      </c>
      <c r="H4" s="1">
        <v>2.2019594042733499E-5</v>
      </c>
      <c r="I4" s="1">
        <v>7.2223252690249804E-5</v>
      </c>
      <c r="J4" s="1">
        <v>0.49112124879375701</v>
      </c>
      <c r="K4" s="1">
        <v>7679.7516396704104</v>
      </c>
      <c r="L4" s="1">
        <v>6.5036382888884496E-3</v>
      </c>
      <c r="M4" s="1">
        <v>3</v>
      </c>
      <c r="N4" s="1">
        <v>3037.44</v>
      </c>
      <c r="O4" s="3">
        <v>2.8502295699234199E-6</v>
      </c>
      <c r="P4" s="3">
        <v>5.9847340050885496E-3</v>
      </c>
      <c r="Q4" s="3">
        <v>1.905E-3</v>
      </c>
      <c r="R4" s="1">
        <v>0.15240000000000001</v>
      </c>
      <c r="S4" s="4">
        <v>5584453.61328125</v>
      </c>
      <c r="T4" s="1">
        <v>495.51145537057801</v>
      </c>
      <c r="U4" s="5">
        <v>572.119747941063</v>
      </c>
      <c r="V4" s="1">
        <v>0.03</v>
      </c>
      <c r="W4" s="3">
        <v>80117.178117362098</v>
      </c>
      <c r="X4" s="1">
        <v>3.1869500535929997E-2</v>
      </c>
      <c r="Y4" s="1">
        <v>5.6016035854691602</v>
      </c>
      <c r="Z4" s="1">
        <v>5.6016036114539398</v>
      </c>
      <c r="AA4" s="1">
        <v>-2.5984783214028101E-8</v>
      </c>
      <c r="AB4" s="1">
        <v>1.3268567100478401E-5</v>
      </c>
      <c r="AC4" s="1">
        <v>702.10302486033402</v>
      </c>
      <c r="AD4" s="1">
        <v>2528.35634796051</v>
      </c>
      <c r="AE4" s="1">
        <v>572.119747941063</v>
      </c>
      <c r="AF4" s="6">
        <v>0</v>
      </c>
      <c r="AG4" s="1">
        <v>1.33531680693869E-5</v>
      </c>
      <c r="AH4" s="1">
        <v>58.818453323303899</v>
      </c>
      <c r="AI4" s="1">
        <v>0.30680558226383198</v>
      </c>
      <c r="AJ4" s="1">
        <v>35.445214964428402</v>
      </c>
      <c r="AK4" s="1">
        <v>6.0176874881720197</v>
      </c>
      <c r="AL4" s="1">
        <v>1.1293680422758501</v>
      </c>
      <c r="AM4" s="1">
        <v>608.62110605653004</v>
      </c>
      <c r="AN4" s="1">
        <v>9.2328491518855993E-9</v>
      </c>
      <c r="AO4" s="1">
        <v>8.4600968908529399E-8</v>
      </c>
      <c r="AP4" s="1">
        <v>3.7694089057382798</v>
      </c>
      <c r="AQ4" s="1">
        <v>3.8379186394127299E-5</v>
      </c>
      <c r="AR4" s="1">
        <v>6.7188845191477298E-6</v>
      </c>
      <c r="AS4" s="1">
        <v>17.834891680000801</v>
      </c>
      <c r="AT4" s="1">
        <v>11.3557837267069</v>
      </c>
      <c r="AU4" s="1">
        <v>3.48401783833445</v>
      </c>
      <c r="AV4" s="1">
        <v>0.28539106740381998</v>
      </c>
      <c r="AW4" s="1">
        <v>7.9772135606323308E-3</v>
      </c>
      <c r="AX4" s="1">
        <v>0.28539106354496802</v>
      </c>
      <c r="AY4" s="1">
        <v>3.85885251530382E-9</v>
      </c>
      <c r="AZ4" s="1">
        <v>1080577.4158407301</v>
      </c>
      <c r="BA4" s="1">
        <v>1.01817519281874E-5</v>
      </c>
      <c r="BB4" s="4">
        <v>5610425.4715190902</v>
      </c>
      <c r="BC4" s="4">
        <v>25971.8582378356</v>
      </c>
      <c r="BD4" s="7">
        <v>0.46507429439592601</v>
      </c>
      <c r="BE4" s="4">
        <v>5395050</v>
      </c>
      <c r="BF4" s="1">
        <v>1.0399209407733201</v>
      </c>
      <c r="BG4" s="1">
        <v>1</v>
      </c>
      <c r="BH4" s="1">
        <v>-3.3000000000000002E-2</v>
      </c>
      <c r="BI4" s="1">
        <v>4.5999999999999999E-2</v>
      </c>
      <c r="BJ4" s="1">
        <v>5625</v>
      </c>
      <c r="BK4" s="1">
        <v>1.01778606768568</v>
      </c>
      <c r="BL4" s="1">
        <v>113.109650695185</v>
      </c>
      <c r="BM4" s="1">
        <v>5.6104254715190898</v>
      </c>
      <c r="BN4" s="1">
        <v>113.109650695185</v>
      </c>
      <c r="BO4" s="1">
        <v>1.01778606768568</v>
      </c>
      <c r="BP4" s="1">
        <v>5345.0210247719597</v>
      </c>
      <c r="BQ4" s="1">
        <v>1</v>
      </c>
      <c r="BR4" s="1">
        <v>0.15240000000000001</v>
      </c>
    </row>
    <row r="5" spans="1:70">
      <c r="A5" s="2" t="s">
        <v>73</v>
      </c>
      <c r="B5" s="1">
        <v>13789520</v>
      </c>
      <c r="C5" s="1">
        <v>608.621106065763</v>
      </c>
      <c r="D5" s="1">
        <v>85.147893581579396</v>
      </c>
      <c r="E5" s="1">
        <v>624.86627494838604</v>
      </c>
      <c r="F5" s="1">
        <v>2643264.3898665099</v>
      </c>
      <c r="G5" s="1">
        <v>1562686.9740257801</v>
      </c>
      <c r="H5" s="1">
        <v>2.2019594042733499E-5</v>
      </c>
      <c r="I5" s="1">
        <v>7.2223252690249804E-5</v>
      </c>
      <c r="J5" s="1">
        <v>0.49112124879375701</v>
      </c>
      <c r="K5" s="1">
        <v>7679.7516396704104</v>
      </c>
      <c r="L5" s="1">
        <v>6.5036382888884496E-3</v>
      </c>
      <c r="M5" s="1">
        <v>4</v>
      </c>
      <c r="N5" s="1">
        <v>3118.8</v>
      </c>
      <c r="O5" s="3">
        <v>2.8502295699234199E-6</v>
      </c>
      <c r="P5" s="3">
        <v>5.9847340050885496E-3</v>
      </c>
      <c r="Q5" s="3">
        <v>1.905E-3</v>
      </c>
      <c r="R5" s="1">
        <v>0.15240000000000001</v>
      </c>
      <c r="S5" s="4">
        <v>6821250.09765625</v>
      </c>
      <c r="T5" s="1">
        <v>458.882857903603</v>
      </c>
      <c r="U5" s="5">
        <v>550.01660985899298</v>
      </c>
      <c r="V5" s="1">
        <v>0.03</v>
      </c>
      <c r="W5" s="3">
        <v>82263.1739597915</v>
      </c>
      <c r="X5" s="1">
        <v>3.1491139902307098E-2</v>
      </c>
      <c r="Y5" s="1">
        <v>5.6351542621364699</v>
      </c>
      <c r="Z5" s="1">
        <v>5.6351542954879799</v>
      </c>
      <c r="AA5" s="1">
        <v>-3.3351510886347997E-8</v>
      </c>
      <c r="AB5" s="1">
        <v>1.27365341840987E-5</v>
      </c>
      <c r="AC5" s="1">
        <v>726.14192224791805</v>
      </c>
      <c r="AD5" s="1">
        <v>2580.6235926735499</v>
      </c>
      <c r="AE5" s="1">
        <v>550.01661112723298</v>
      </c>
      <c r="AF5" s="6">
        <v>1.2682398846664E-6</v>
      </c>
      <c r="AG5" s="1">
        <v>1.2835299464618799E-5</v>
      </c>
      <c r="AH5" s="1">
        <v>61.2754288871593</v>
      </c>
      <c r="AI5" s="1">
        <v>0.313147996164644</v>
      </c>
      <c r="AJ5" s="1">
        <v>34.774883587848301</v>
      </c>
      <c r="AK5" s="1">
        <v>7.5884539176202601</v>
      </c>
      <c r="AL5" s="1">
        <v>1.1293680422758501</v>
      </c>
      <c r="AM5" s="1">
        <v>608.62110601707798</v>
      </c>
      <c r="AN5" s="1">
        <v>4.8685024012229399E-8</v>
      </c>
      <c r="AO5" s="1">
        <v>9.87652805200859E-8</v>
      </c>
      <c r="AP5" s="1">
        <v>3.8159944485356299</v>
      </c>
      <c r="AQ5" s="1">
        <v>3.7447842364568997E-5</v>
      </c>
      <c r="AR5" s="1">
        <v>6.4670323725694503E-6</v>
      </c>
      <c r="AS5" s="1">
        <v>17.521234976626101</v>
      </c>
      <c r="AT5" s="1">
        <v>11.267067862787099</v>
      </c>
      <c r="AU5" s="1">
        <v>3.5282597238828401</v>
      </c>
      <c r="AV5" s="1">
        <v>0.28773472465278699</v>
      </c>
      <c r="AW5" s="1">
        <v>7.6573493158267397E-3</v>
      </c>
      <c r="AX5" s="1">
        <v>0.28773471854745702</v>
      </c>
      <c r="AY5" s="1">
        <v>6.1053301858571299E-9</v>
      </c>
      <c r="AZ5" s="1">
        <v>1080577.4158407301</v>
      </c>
      <c r="BA5" s="1">
        <v>9.8133901580856494E-6</v>
      </c>
      <c r="BB5" s="4">
        <v>6795606.26505493</v>
      </c>
      <c r="BC5" s="4">
        <v>-25643.832601315298</v>
      </c>
      <c r="BD5" s="7">
        <v>-0.37594036626990801</v>
      </c>
      <c r="BE5" s="4">
        <v>6688600</v>
      </c>
      <c r="BF5" s="1">
        <v>1.0159983053336901</v>
      </c>
      <c r="BG5" s="1">
        <v>1</v>
      </c>
      <c r="BH5" s="1">
        <v>-7.4999999999999997E-2</v>
      </c>
      <c r="BI5" s="1">
        <v>4.5999999999999999E-2</v>
      </c>
      <c r="BJ5" s="1">
        <v>5625</v>
      </c>
      <c r="BK5" s="1">
        <v>1.0054073303773601</v>
      </c>
      <c r="BL5" s="1">
        <v>149.73824816216</v>
      </c>
      <c r="BM5" s="1">
        <v>6.7956062650549303</v>
      </c>
      <c r="BN5" s="1">
        <v>149.73824816216</v>
      </c>
      <c r="BO5" s="1">
        <v>1.0054073303773601</v>
      </c>
      <c r="BP5" s="1">
        <v>12042.4831096998</v>
      </c>
      <c r="BQ5" s="1">
        <v>1</v>
      </c>
      <c r="BR5" s="1">
        <v>0.15240000000000001</v>
      </c>
    </row>
    <row r="6" spans="1:70">
      <c r="A6" s="2" t="s">
        <v>74</v>
      </c>
      <c r="B6" s="1">
        <v>13789520</v>
      </c>
      <c r="C6" s="1">
        <v>608.621106065763</v>
      </c>
      <c r="D6" s="1">
        <v>85.147893581579396</v>
      </c>
      <c r="E6" s="1">
        <v>624.86627494838604</v>
      </c>
      <c r="F6" s="1">
        <v>2643264.3898665099</v>
      </c>
      <c r="G6" s="1">
        <v>1562686.9740257801</v>
      </c>
      <c r="H6" s="1">
        <v>2.2019594042733499E-5</v>
      </c>
      <c r="I6" s="1">
        <v>7.2223252690249804E-5</v>
      </c>
      <c r="J6" s="1">
        <v>0.49112124879375701</v>
      </c>
      <c r="K6" s="1">
        <v>7679.7516396704104</v>
      </c>
      <c r="L6" s="1">
        <v>6.5036382888884496E-3</v>
      </c>
      <c r="M6" s="1">
        <v>5</v>
      </c>
      <c r="N6" s="1">
        <v>3118.8</v>
      </c>
      <c r="O6" s="3">
        <v>2.8502295699234199E-6</v>
      </c>
      <c r="P6" s="3">
        <v>5.9847340050885496E-3</v>
      </c>
      <c r="Q6" s="3">
        <v>1.905E-3</v>
      </c>
      <c r="R6" s="1">
        <v>0.15240000000000001</v>
      </c>
      <c r="S6" s="4">
        <v>5796588.57421875</v>
      </c>
      <c r="T6" s="1">
        <v>491.66308110577302</v>
      </c>
      <c r="U6" s="5">
        <v>569.10707711052396</v>
      </c>
      <c r="V6" s="1">
        <v>0.03</v>
      </c>
      <c r="W6" s="3">
        <v>82263.1739597915</v>
      </c>
      <c r="X6" s="1">
        <v>3.1491139902307098E-2</v>
      </c>
      <c r="Y6" s="1">
        <v>5.6351542621364699</v>
      </c>
      <c r="Z6" s="1">
        <v>5.6351542954879799</v>
      </c>
      <c r="AA6" s="1">
        <v>-3.3351510886347997E-8</v>
      </c>
      <c r="AB6" s="1">
        <v>1.27365341840987E-5</v>
      </c>
      <c r="AC6" s="1">
        <v>704.07292969304797</v>
      </c>
      <c r="AD6" s="1">
        <v>2580.6235926735499</v>
      </c>
      <c r="AE6" s="1">
        <v>569.10707711052396</v>
      </c>
      <c r="AF6" s="6">
        <v>0</v>
      </c>
      <c r="AG6" s="1">
        <v>1.2820957381482999E-5</v>
      </c>
      <c r="AH6" s="1">
        <v>61.2754288871593</v>
      </c>
      <c r="AI6" s="1">
        <v>0.313147996164644</v>
      </c>
      <c r="AJ6" s="1">
        <v>34.7360263509891</v>
      </c>
      <c r="AK6" s="1">
        <v>6.1645463240916198</v>
      </c>
      <c r="AL6" s="1">
        <v>1.1293680422758501</v>
      </c>
      <c r="AM6" s="1">
        <v>608.62110603474196</v>
      </c>
      <c r="AN6" s="1">
        <v>3.1021272661746499E-8</v>
      </c>
      <c r="AO6" s="1">
        <v>8.4423197384251998E-8</v>
      </c>
      <c r="AP6" s="1">
        <v>3.8127621452400802</v>
      </c>
      <c r="AQ6" s="1">
        <v>3.7511362766433199E-5</v>
      </c>
      <c r="AR6" s="1">
        <v>6.4526902894336096E-6</v>
      </c>
      <c r="AS6" s="1">
        <v>17.4823777397668</v>
      </c>
      <c r="AT6" s="1">
        <v>11.255966936395501</v>
      </c>
      <c r="AU6" s="1">
        <v>3.5247834910277298</v>
      </c>
      <c r="AV6" s="1">
        <v>0.28797865421234498</v>
      </c>
      <c r="AW6" s="1">
        <v>7.6573493158267397E-3</v>
      </c>
      <c r="AX6" s="1">
        <v>0.28797864823506403</v>
      </c>
      <c r="AY6" s="1">
        <v>5.9772810034886001E-9</v>
      </c>
      <c r="AZ6" s="1">
        <v>1080577.4158407301</v>
      </c>
      <c r="BA6" s="1">
        <v>9.8383694910691205E-6</v>
      </c>
      <c r="BB6" s="4">
        <v>5794042.0075119296</v>
      </c>
      <c r="BC6" s="4">
        <v>-2546.5667068203902</v>
      </c>
      <c r="BD6" s="7">
        <v>-4.39321624126758E-2</v>
      </c>
      <c r="BE6" s="4">
        <v>5679000</v>
      </c>
      <c r="BF6" s="1">
        <v>1.02025744101284</v>
      </c>
      <c r="BG6" s="1">
        <v>1</v>
      </c>
      <c r="BH6" s="1">
        <v>-3.5999999999999997E-2</v>
      </c>
      <c r="BI6" s="1">
        <v>4.5999999999999999E-2</v>
      </c>
      <c r="BJ6" s="1">
        <v>5625</v>
      </c>
      <c r="BK6" s="1">
        <v>1.0160505934205399</v>
      </c>
      <c r="BL6" s="1">
        <v>116.95802495999</v>
      </c>
      <c r="BM6" s="1">
        <v>5.7940420075119299</v>
      </c>
      <c r="BN6" s="1">
        <v>116.95802495999</v>
      </c>
      <c r="BO6" s="1">
        <v>1.0160505934205399</v>
      </c>
      <c r="BP6" s="1">
        <v>5922.5376057424401</v>
      </c>
      <c r="BQ6" s="1">
        <v>1</v>
      </c>
      <c r="BR6" s="1">
        <v>0.15240000000000001</v>
      </c>
    </row>
    <row r="7" spans="1:70">
      <c r="A7" s="2" t="s">
        <v>75</v>
      </c>
      <c r="B7" s="1">
        <v>13789520</v>
      </c>
      <c r="C7" s="1">
        <v>608.621106065763</v>
      </c>
      <c r="D7" s="1">
        <v>85.147893581579396</v>
      </c>
      <c r="E7" s="1">
        <v>624.86627494838604</v>
      </c>
      <c r="F7" s="1">
        <v>2643264.3898665099</v>
      </c>
      <c r="G7" s="1">
        <v>1562686.9740257801</v>
      </c>
      <c r="H7" s="1">
        <v>2.2019594042733499E-5</v>
      </c>
      <c r="I7" s="1">
        <v>7.2223252690249804E-5</v>
      </c>
      <c r="J7" s="1">
        <v>0.49112124879375701</v>
      </c>
      <c r="K7" s="1">
        <v>7679.7516396704104</v>
      </c>
      <c r="L7" s="1">
        <v>6.5036382888884496E-3</v>
      </c>
      <c r="M7" s="1">
        <v>6</v>
      </c>
      <c r="N7" s="1">
        <v>3118.8</v>
      </c>
      <c r="O7" s="3">
        <v>2.8502295699234199E-6</v>
      </c>
      <c r="P7" s="3">
        <v>5.9847340050885496E-3</v>
      </c>
      <c r="Q7" s="3">
        <v>1.905E-3</v>
      </c>
      <c r="R7" s="1">
        <v>0.15240000000000001</v>
      </c>
      <c r="S7" s="4">
        <v>5780887.20703125</v>
      </c>
      <c r="T7" s="1">
        <v>492.22868586317702</v>
      </c>
      <c r="U7" s="5">
        <v>569.462907342417</v>
      </c>
      <c r="V7" s="1">
        <v>0.03</v>
      </c>
      <c r="W7" s="3">
        <v>82263.1739597915</v>
      </c>
      <c r="X7" s="1">
        <v>3.1491139902307098E-2</v>
      </c>
      <c r="Y7" s="1">
        <v>5.6351542621364699</v>
      </c>
      <c r="Z7" s="1">
        <v>5.6351542954879799</v>
      </c>
      <c r="AA7" s="1">
        <v>-3.3351510886347997E-8</v>
      </c>
      <c r="AB7" s="1">
        <v>1.27365341840987E-5</v>
      </c>
      <c r="AC7" s="1">
        <v>703.72330211437202</v>
      </c>
      <c r="AD7" s="1">
        <v>2580.6235926735499</v>
      </c>
      <c r="AE7" s="1">
        <v>569.462907342417</v>
      </c>
      <c r="AF7" s="6">
        <v>0</v>
      </c>
      <c r="AG7" s="1">
        <v>1.2820846270431899E-5</v>
      </c>
      <c r="AH7" s="1">
        <v>61.2754288871593</v>
      </c>
      <c r="AI7" s="1">
        <v>0.313147996164644</v>
      </c>
      <c r="AJ7" s="1">
        <v>34.7357253160285</v>
      </c>
      <c r="AK7" s="1">
        <v>6.1419749892041402</v>
      </c>
      <c r="AL7" s="1">
        <v>1.1293680422758501</v>
      </c>
      <c r="AM7" s="1">
        <v>608.62110603491794</v>
      </c>
      <c r="AN7" s="1">
        <v>3.0844603315927101E-8</v>
      </c>
      <c r="AO7" s="1">
        <v>8.4312086333140005E-8</v>
      </c>
      <c r="AP7" s="1">
        <v>3.8127370773936202</v>
      </c>
      <c r="AQ7" s="1">
        <v>3.75118560247694E-5</v>
      </c>
      <c r="AR7" s="1">
        <v>6.4525791783825001E-6</v>
      </c>
      <c r="AS7" s="1">
        <v>17.4820767048063</v>
      </c>
      <c r="AT7" s="1">
        <v>11.2558808389673</v>
      </c>
      <c r="AU7" s="1">
        <v>3.52475652979063</v>
      </c>
      <c r="AV7" s="1">
        <v>0.28798054760299702</v>
      </c>
      <c r="AW7" s="1">
        <v>7.6573493158267397E-3</v>
      </c>
      <c r="AX7" s="1">
        <v>0.287980541626711</v>
      </c>
      <c r="AY7" s="1">
        <v>5.9762856330358699E-9</v>
      </c>
      <c r="AZ7" s="1">
        <v>1080577.4158407301</v>
      </c>
      <c r="BA7" s="1">
        <v>9.8385635472174699E-6</v>
      </c>
      <c r="BB7" s="4">
        <v>5786302.2219899697</v>
      </c>
      <c r="BC7" s="4">
        <v>5415.0149587169299</v>
      </c>
      <c r="BD7" s="7">
        <v>9.3671001782056701E-2</v>
      </c>
      <c r="BE7" s="4">
        <v>5521250</v>
      </c>
      <c r="BF7" s="1">
        <v>1.04800583599547</v>
      </c>
      <c r="BG7" s="1">
        <v>1</v>
      </c>
      <c r="BH7" s="1">
        <v>-4.8000000000000001E-2</v>
      </c>
      <c r="BI7" s="1">
        <v>4.5999999999999999E-2</v>
      </c>
      <c r="BJ7" s="1">
        <v>5625</v>
      </c>
      <c r="BK7" s="1">
        <v>1.0163000065472301</v>
      </c>
      <c r="BL7" s="1">
        <v>116.392420202586</v>
      </c>
      <c r="BM7" s="1">
        <v>5.7863022219899696</v>
      </c>
      <c r="BN7" s="1">
        <v>116.392420202586</v>
      </c>
      <c r="BO7" s="1">
        <v>1.0163000065472301</v>
      </c>
      <c r="BP7" s="1">
        <v>5835.8018644084696</v>
      </c>
      <c r="BQ7" s="1">
        <v>1</v>
      </c>
      <c r="BR7" s="1">
        <v>0.15240000000000001</v>
      </c>
    </row>
    <row r="8" spans="1:70">
      <c r="A8" s="2" t="s">
        <v>76</v>
      </c>
      <c r="B8" s="1">
        <v>13789520</v>
      </c>
      <c r="C8" s="1">
        <v>608.621106065763</v>
      </c>
      <c r="D8" s="1">
        <v>85.147893581579396</v>
      </c>
      <c r="E8" s="1">
        <v>624.86627494838604</v>
      </c>
      <c r="F8" s="1">
        <v>2643264.3898665099</v>
      </c>
      <c r="G8" s="1">
        <v>1562686.9740257801</v>
      </c>
      <c r="H8" s="1">
        <v>2.2019594042733499E-5</v>
      </c>
      <c r="I8" s="1">
        <v>7.2223252690249804E-5</v>
      </c>
      <c r="J8" s="1">
        <v>0.49112124879375701</v>
      </c>
      <c r="K8" s="1">
        <v>7679.7516396704104</v>
      </c>
      <c r="L8" s="1">
        <v>6.5036382888884496E-3</v>
      </c>
      <c r="M8" s="1">
        <v>7</v>
      </c>
      <c r="N8" s="1">
        <v>3132.36</v>
      </c>
      <c r="O8" s="3">
        <v>2.8502295699234199E-6</v>
      </c>
      <c r="P8" s="3">
        <v>5.9847340050885496E-3</v>
      </c>
      <c r="Q8" s="3">
        <v>1.905E-3</v>
      </c>
      <c r="R8" s="1">
        <v>0.15240000000000001</v>
      </c>
      <c r="S8" s="4">
        <v>6842307.01171875</v>
      </c>
      <c r="T8" s="1">
        <v>458.882857903603</v>
      </c>
      <c r="U8" s="5">
        <v>549.90219967517703</v>
      </c>
      <c r="V8" s="1">
        <v>0.03</v>
      </c>
      <c r="W8" s="3">
        <v>82620.8399335297</v>
      </c>
      <c r="X8" s="1">
        <v>3.1429666814954203E-2</v>
      </c>
      <c r="Y8" s="1">
        <v>5.6406624514571604</v>
      </c>
      <c r="Z8" s="1">
        <v>5.6406624763576003</v>
      </c>
      <c r="AA8" s="1">
        <v>-2.4900441708552999E-8</v>
      </c>
      <c r="AB8" s="1">
        <v>1.2651195938575801E-5</v>
      </c>
      <c r="AC8" s="1">
        <v>726.05712280029604</v>
      </c>
      <c r="AD8" s="1">
        <v>2589.31272200285</v>
      </c>
      <c r="AE8" s="1">
        <v>549.90219967517703</v>
      </c>
      <c r="AF8" s="6">
        <v>0</v>
      </c>
      <c r="AG8" s="1">
        <v>1.2750638300164001E-5</v>
      </c>
      <c r="AH8" s="1">
        <v>61.688760371414297</v>
      </c>
      <c r="AI8" s="1">
        <v>0.314202386059245</v>
      </c>
      <c r="AJ8" s="1">
        <v>34.661826734143197</v>
      </c>
      <c r="AK8" s="1">
        <v>7.5869665920833</v>
      </c>
      <c r="AL8" s="1">
        <v>1.1293680422758501</v>
      </c>
      <c r="AM8" s="1">
        <v>608.62110602308803</v>
      </c>
      <c r="AN8" s="1">
        <v>4.26754240834271E-8</v>
      </c>
      <c r="AO8" s="1">
        <v>9.9442361588176394E-8</v>
      </c>
      <c r="AP8" s="1">
        <v>3.8233354132124</v>
      </c>
      <c r="AQ8" s="1">
        <v>3.7304177556015999E-5</v>
      </c>
      <c r="AR8" s="1">
        <v>6.4250403308760903E-6</v>
      </c>
      <c r="AS8" s="1">
        <v>17.466077341857101</v>
      </c>
      <c r="AT8" s="1">
        <v>11.2513028105983</v>
      </c>
      <c r="AU8" s="1">
        <v>3.53518618936508</v>
      </c>
      <c r="AV8" s="1">
        <v>0.288149223847322</v>
      </c>
      <c r="AW8" s="1">
        <v>7.6060429913178103E-3</v>
      </c>
      <c r="AX8" s="1">
        <v>0.28814921733457399</v>
      </c>
      <c r="AY8" s="1">
        <v>6.5127479520476997E-9</v>
      </c>
      <c r="AZ8" s="1">
        <v>1080577.4158407301</v>
      </c>
      <c r="BA8" s="1">
        <v>9.7569722570253597E-6</v>
      </c>
      <c r="BB8" s="4">
        <v>6881756.9735596702</v>
      </c>
      <c r="BC8" s="4">
        <v>39449.961840923897</v>
      </c>
      <c r="BD8" s="7">
        <v>0.57655936474873604</v>
      </c>
      <c r="BE8" s="4">
        <v>6751700</v>
      </c>
      <c r="BF8" s="1">
        <v>1.0192628484025801</v>
      </c>
      <c r="BG8" s="1">
        <v>1</v>
      </c>
      <c r="BH8" s="1">
        <v>-7.0999999999999994E-2</v>
      </c>
      <c r="BI8" s="1">
        <v>4.5999999999999999E-2</v>
      </c>
      <c r="BJ8" s="1">
        <v>5625</v>
      </c>
      <c r="BK8" s="1">
        <v>1.0054073303773601</v>
      </c>
      <c r="BL8" s="1">
        <v>149.73824816216</v>
      </c>
      <c r="BM8" s="1">
        <v>6.8817569735596704</v>
      </c>
      <c r="BN8" s="1">
        <v>149.73824816216</v>
      </c>
      <c r="BO8" s="1">
        <v>1.0054073303773601</v>
      </c>
      <c r="BP8" s="1">
        <v>12042.4831096998</v>
      </c>
      <c r="BQ8" s="1">
        <v>1</v>
      </c>
      <c r="BR8" s="1">
        <v>0.15240000000000001</v>
      </c>
    </row>
    <row r="9" spans="1:70">
      <c r="A9" s="2" t="s">
        <v>77</v>
      </c>
      <c r="B9" s="1">
        <v>13789520</v>
      </c>
      <c r="C9" s="1">
        <v>608.621106065763</v>
      </c>
      <c r="D9" s="1">
        <v>85.147893581579396</v>
      </c>
      <c r="E9" s="1">
        <v>624.86627494838604</v>
      </c>
      <c r="F9" s="1">
        <v>2643264.3898665099</v>
      </c>
      <c r="G9" s="1">
        <v>1562686.9740257801</v>
      </c>
      <c r="H9" s="1">
        <v>2.2019594042733499E-5</v>
      </c>
      <c r="I9" s="1">
        <v>7.2223252690249804E-5</v>
      </c>
      <c r="J9" s="1">
        <v>0.49112124879375701</v>
      </c>
      <c r="K9" s="1">
        <v>7679.7516396704104</v>
      </c>
      <c r="L9" s="1">
        <v>6.5036382888884496E-3</v>
      </c>
      <c r="M9" s="1">
        <v>8</v>
      </c>
      <c r="N9" s="1">
        <v>3145.92</v>
      </c>
      <c r="O9" s="3">
        <v>2.8502295699234199E-6</v>
      </c>
      <c r="P9" s="3">
        <v>5.9847340050885496E-3</v>
      </c>
      <c r="Q9" s="3">
        <v>1.905E-3</v>
      </c>
      <c r="R9" s="1">
        <v>0.15240000000000001</v>
      </c>
      <c r="S9" s="4">
        <v>4882495.9148437502</v>
      </c>
      <c r="T9" s="1">
        <v>527.873770788711</v>
      </c>
      <c r="U9" s="5">
        <v>592.54290060549295</v>
      </c>
      <c r="V9" s="1">
        <v>0.03</v>
      </c>
      <c r="W9" s="3">
        <v>82978.5059072679</v>
      </c>
      <c r="X9" s="1">
        <v>3.1368633029053399E-2</v>
      </c>
      <c r="Y9" s="1">
        <v>5.6461472885750803</v>
      </c>
      <c r="Z9" s="1">
        <v>5.6461473058660498</v>
      </c>
      <c r="AA9" s="1">
        <v>-1.7290977538664301E-8</v>
      </c>
      <c r="AB9" s="1">
        <v>1.25667725740526E-5</v>
      </c>
      <c r="AC9" s="1">
        <v>682.29283585545602</v>
      </c>
      <c r="AD9" s="1">
        <v>2597.9956429087802</v>
      </c>
      <c r="AE9" s="1">
        <v>592.54290060549295</v>
      </c>
      <c r="AF9" s="6">
        <v>0</v>
      </c>
      <c r="AG9" s="1">
        <v>1.2637255214285401E-5</v>
      </c>
      <c r="AH9" s="1">
        <v>62.1031844149093</v>
      </c>
      <c r="AI9" s="1">
        <v>0.31525602258735702</v>
      </c>
      <c r="AJ9" s="1">
        <v>34.468802084031303</v>
      </c>
      <c r="AK9" s="1">
        <v>4.7638668361472396</v>
      </c>
      <c r="AL9" s="1">
        <v>1.1293680422758501</v>
      </c>
      <c r="AM9" s="1">
        <v>608.62110606026499</v>
      </c>
      <c r="AN9" s="1">
        <v>5.4976680985419096E-9</v>
      </c>
      <c r="AO9" s="1">
        <v>7.0482640232786797E-8</v>
      </c>
      <c r="AP9" s="1">
        <v>3.8238373383023201</v>
      </c>
      <c r="AQ9" s="1">
        <v>3.7294384946054998E-5</v>
      </c>
      <c r="AR9" s="1">
        <v>6.3538689272590996E-6</v>
      </c>
      <c r="AS9" s="1">
        <v>17.330523662606399</v>
      </c>
      <c r="AT9" s="1">
        <v>11.2123466019309</v>
      </c>
      <c r="AU9" s="1">
        <v>3.5347597935956201</v>
      </c>
      <c r="AV9" s="1">
        <v>0.289077544706697</v>
      </c>
      <c r="AW9" s="1">
        <v>7.5552867036788396E-3</v>
      </c>
      <c r="AX9" s="1">
        <v>0.28907753805640302</v>
      </c>
      <c r="AY9" s="1">
        <v>6.6502945927915399E-9</v>
      </c>
      <c r="AZ9" s="1">
        <v>1080577.4158407301</v>
      </c>
      <c r="BA9" s="1">
        <v>9.7531305980219205E-6</v>
      </c>
      <c r="BB9" s="4">
        <v>4879564.8780498998</v>
      </c>
      <c r="BC9" s="4">
        <v>-2931.0367938550198</v>
      </c>
      <c r="BD9" s="7">
        <v>-6.0031525780576502E-2</v>
      </c>
      <c r="BE9" s="4">
        <v>4164600</v>
      </c>
      <c r="BF9" s="1">
        <v>1.1716767223862801</v>
      </c>
      <c r="BG9" s="1">
        <v>1</v>
      </c>
      <c r="BH9" s="1">
        <v>-2.7E-2</v>
      </c>
      <c r="BI9" s="1">
        <v>4.5999999999999999E-2</v>
      </c>
      <c r="BJ9" s="1">
        <v>5625</v>
      </c>
      <c r="BK9" s="1">
        <v>1.0342425455549999</v>
      </c>
      <c r="BL9" s="1">
        <v>80.747335277052002</v>
      </c>
      <c r="BM9" s="1">
        <v>4.8795648780498997</v>
      </c>
      <c r="BN9" s="1">
        <v>80.747335277052002</v>
      </c>
      <c r="BO9" s="1">
        <v>1.0342425455549999</v>
      </c>
      <c r="BP9" s="1">
        <v>1660.34533218049</v>
      </c>
      <c r="BQ9" s="1">
        <v>1</v>
      </c>
      <c r="BR9" s="1">
        <v>0.15240000000000001</v>
      </c>
    </row>
    <row r="10" spans="1:70">
      <c r="A10" s="2" t="s">
        <v>78</v>
      </c>
      <c r="B10" s="1">
        <v>13789520</v>
      </c>
      <c r="C10" s="1">
        <v>608.621106065763</v>
      </c>
      <c r="D10" s="1">
        <v>85.147893581579396</v>
      </c>
      <c r="E10" s="1">
        <v>624.86627494838604</v>
      </c>
      <c r="F10" s="1">
        <v>2643264.3898665099</v>
      </c>
      <c r="G10" s="1">
        <v>1562686.9740257801</v>
      </c>
      <c r="H10" s="1">
        <v>2.2019594042733499E-5</v>
      </c>
      <c r="I10" s="1">
        <v>7.2223252690249804E-5</v>
      </c>
      <c r="J10" s="1">
        <v>0.49112124879375701</v>
      </c>
      <c r="K10" s="1">
        <v>7679.7516396704104</v>
      </c>
      <c r="L10" s="1">
        <v>6.5036382888884496E-3</v>
      </c>
      <c r="M10" s="1">
        <v>9</v>
      </c>
      <c r="N10" s="1">
        <v>3145.92</v>
      </c>
      <c r="O10" s="3">
        <v>2.8502295699234199E-6</v>
      </c>
      <c r="P10" s="3">
        <v>5.9847340050885496E-3</v>
      </c>
      <c r="Q10" s="3">
        <v>1.905E-3</v>
      </c>
      <c r="R10" s="1">
        <v>0.15240000000000001</v>
      </c>
      <c r="S10" s="4">
        <v>4746579.86328125</v>
      </c>
      <c r="T10" s="1">
        <v>532.84871111815698</v>
      </c>
      <c r="U10" s="5">
        <v>595.71761970875104</v>
      </c>
      <c r="V10" s="1">
        <v>0.03</v>
      </c>
      <c r="W10" s="3">
        <v>82978.5059072679</v>
      </c>
      <c r="X10" s="1">
        <v>3.1368633029053399E-2</v>
      </c>
      <c r="Y10" s="1">
        <v>5.6461472885750803</v>
      </c>
      <c r="Z10" s="1">
        <v>5.6461473058660498</v>
      </c>
      <c r="AA10" s="1">
        <v>-1.7290977538664301E-8</v>
      </c>
      <c r="AB10" s="1">
        <v>1.25667725740526E-5</v>
      </c>
      <c r="AC10" s="1">
        <v>679.20280621902498</v>
      </c>
      <c r="AD10" s="1">
        <v>2597.9956429087802</v>
      </c>
      <c r="AE10" s="1">
        <v>595.71762052979898</v>
      </c>
      <c r="AF10" s="6">
        <v>8.21048047328077E-7</v>
      </c>
      <c r="AG10" s="1">
        <v>1.26356240808602E-5</v>
      </c>
      <c r="AH10" s="1">
        <v>62.1031844149093</v>
      </c>
      <c r="AI10" s="1">
        <v>0.31525602258735702</v>
      </c>
      <c r="AJ10" s="1">
        <v>34.464353078748601</v>
      </c>
      <c r="AK10" s="1">
        <v>4.5641501580041499</v>
      </c>
      <c r="AL10" s="1">
        <v>1.1293680422758501</v>
      </c>
      <c r="AM10" s="1">
        <v>608.62110606048805</v>
      </c>
      <c r="AN10" s="1">
        <v>5.2750692702829796E-9</v>
      </c>
      <c r="AO10" s="1">
        <v>6.8851506807555595E-8</v>
      </c>
      <c r="AP10" s="1">
        <v>3.8234610791399199</v>
      </c>
      <c r="AQ10" s="1">
        <v>3.73017254389747E-5</v>
      </c>
      <c r="AR10" s="1">
        <v>6.3522377938338702E-6</v>
      </c>
      <c r="AS10" s="1">
        <v>17.326074657323801</v>
      </c>
      <c r="AT10" s="1">
        <v>11.2110628621749</v>
      </c>
      <c r="AU10" s="1">
        <v>3.53435508690611</v>
      </c>
      <c r="AV10" s="1">
        <v>0.289105992233813</v>
      </c>
      <c r="AW10" s="1">
        <v>7.5552867036788396E-3</v>
      </c>
      <c r="AX10" s="1">
        <v>0.28910598559910999</v>
      </c>
      <c r="AY10" s="1">
        <v>6.63470273165601E-9</v>
      </c>
      <c r="AZ10" s="1">
        <v>1080577.4158407301</v>
      </c>
      <c r="BA10" s="1">
        <v>9.7560102396453907E-6</v>
      </c>
      <c r="BB10" s="4">
        <v>4765233.3649660004</v>
      </c>
      <c r="BC10" s="4">
        <v>18653.501684750401</v>
      </c>
      <c r="BD10" s="7">
        <v>0.39298826148593402</v>
      </c>
      <c r="BE10" s="4">
        <v>3943750</v>
      </c>
      <c r="BF10" s="1">
        <v>1.2083000608471599</v>
      </c>
      <c r="BG10" s="1">
        <v>1</v>
      </c>
      <c r="BH10" s="1">
        <v>-2.5999999999999999E-2</v>
      </c>
      <c r="BI10" s="1">
        <v>4.5999999999999999E-2</v>
      </c>
      <c r="BJ10" s="1">
        <v>5625</v>
      </c>
      <c r="BK10" s="1">
        <v>1.0366401828979299</v>
      </c>
      <c r="BL10" s="1">
        <v>75.772394947606003</v>
      </c>
      <c r="BM10" s="1">
        <v>4.7652333649659999</v>
      </c>
      <c r="BN10" s="1">
        <v>75.772394947606003</v>
      </c>
      <c r="BO10" s="1">
        <v>1.0366401828979299</v>
      </c>
      <c r="BP10" s="1">
        <v>1279.66424028751</v>
      </c>
      <c r="BQ10" s="1">
        <v>1</v>
      </c>
      <c r="BR10" s="1">
        <v>0.15240000000000001</v>
      </c>
    </row>
    <row r="11" spans="1:70">
      <c r="A11" s="2" t="s">
        <v>79</v>
      </c>
      <c r="B11" s="1">
        <v>13789520</v>
      </c>
      <c r="C11" s="1">
        <v>608.621106065763</v>
      </c>
      <c r="D11" s="1">
        <v>85.147893581579396</v>
      </c>
      <c r="E11" s="1">
        <v>624.86627494838604</v>
      </c>
      <c r="F11" s="1">
        <v>2643264.3898665099</v>
      </c>
      <c r="G11" s="1">
        <v>1562686.9740257801</v>
      </c>
      <c r="H11" s="1">
        <v>2.2019594042733499E-5</v>
      </c>
      <c r="I11" s="1">
        <v>7.2223252690249804E-5</v>
      </c>
      <c r="J11" s="1">
        <v>0.49112124879375701</v>
      </c>
      <c r="K11" s="1">
        <v>7679.7516396704104</v>
      </c>
      <c r="L11" s="1">
        <v>6.5036382888884496E-3</v>
      </c>
      <c r="M11" s="1">
        <v>10</v>
      </c>
      <c r="N11" s="1">
        <v>3634.08</v>
      </c>
      <c r="O11" s="3">
        <v>2.8502295699234199E-6</v>
      </c>
      <c r="P11" s="3">
        <v>5.9847340050885496E-3</v>
      </c>
      <c r="Q11" s="3">
        <v>1.905E-3</v>
      </c>
      <c r="R11" s="1">
        <v>0.15240000000000001</v>
      </c>
      <c r="S11" s="4">
        <v>4995306.7054687496</v>
      </c>
      <c r="T11" s="1">
        <v>541.31775243261598</v>
      </c>
      <c r="U11" s="5">
        <v>598.59346196388401</v>
      </c>
      <c r="V11" s="1">
        <v>0.03</v>
      </c>
      <c r="W11" s="3">
        <v>95854.480961844005</v>
      </c>
      <c r="X11" s="1">
        <v>2.9426133181738898E-2</v>
      </c>
      <c r="Y11" s="1">
        <v>5.8295281243322101</v>
      </c>
      <c r="Z11" s="1">
        <v>5.8295281357081601</v>
      </c>
      <c r="AA11" s="1">
        <v>-1.13759490716347E-8</v>
      </c>
      <c r="AB11" s="1">
        <v>1.0039048089484501E-5</v>
      </c>
      <c r="AC11" s="1">
        <v>672.36144214160299</v>
      </c>
      <c r="AD11" s="1">
        <v>2906.7255552095398</v>
      </c>
      <c r="AE11" s="1">
        <v>598.59346271665299</v>
      </c>
      <c r="AF11" s="6">
        <v>7.5276898314768904E-7</v>
      </c>
      <c r="AG11" s="1">
        <v>1.00996010858838E-5</v>
      </c>
      <c r="AH11" s="1">
        <v>77.740099231529001</v>
      </c>
      <c r="AI11" s="1">
        <v>0.35271912013770901</v>
      </c>
      <c r="AJ11" s="1">
        <v>30.820754408147302</v>
      </c>
      <c r="AK11" s="1">
        <v>4.1975784808652499</v>
      </c>
      <c r="AL11" s="1">
        <v>1.1293680422758501</v>
      </c>
      <c r="AM11" s="1">
        <v>608.62110606574402</v>
      </c>
      <c r="AN11" s="1">
        <v>1.9440449250396299E-11</v>
      </c>
      <c r="AO11" s="1">
        <v>6.0552996399293897E-8</v>
      </c>
      <c r="AP11" s="1">
        <v>4.06267155011939</v>
      </c>
      <c r="AQ11" s="1">
        <v>3.3038387506059397E-5</v>
      </c>
      <c r="AR11" s="1">
        <v>5.0800770411415298E-6</v>
      </c>
      <c r="AS11" s="1">
        <v>15.502771399390401</v>
      </c>
      <c r="AT11" s="1">
        <v>10.6550940395153</v>
      </c>
      <c r="AU11" s="1">
        <v>3.75825539460239</v>
      </c>
      <c r="AV11" s="1">
        <v>0.30441615551699902</v>
      </c>
      <c r="AW11" s="1">
        <v>6.0355899735690501E-3</v>
      </c>
      <c r="AX11" s="1">
        <v>0.30441612582561101</v>
      </c>
      <c r="AY11" s="1">
        <v>2.9691387348762499E-8</v>
      </c>
      <c r="AZ11" s="1">
        <v>1080577.4158407301</v>
      </c>
      <c r="BA11" s="1">
        <v>8.1321827517876894E-6</v>
      </c>
      <c r="BB11" s="4">
        <v>5027724.60422651</v>
      </c>
      <c r="BC11" s="4">
        <v>32417.898757758601</v>
      </c>
      <c r="BD11" s="7">
        <v>0.64896713393530303</v>
      </c>
      <c r="BE11" s="4">
        <v>4417000</v>
      </c>
      <c r="BF11" s="1">
        <v>1.13826683364875</v>
      </c>
      <c r="BG11" s="1">
        <v>1</v>
      </c>
      <c r="BH11" s="1">
        <v>1E-3</v>
      </c>
      <c r="BI11" s="1">
        <v>4.5999999999999999E-2</v>
      </c>
      <c r="BJ11" s="1">
        <v>5625</v>
      </c>
      <c r="BK11" s="1">
        <v>1.04029038447671</v>
      </c>
      <c r="BL11" s="1">
        <v>67.303353633146997</v>
      </c>
      <c r="BM11" s="1">
        <v>5.0277246042265098</v>
      </c>
      <c r="BN11" s="1">
        <v>67.303353633146997</v>
      </c>
      <c r="BO11" s="1">
        <v>1.04029038447671</v>
      </c>
      <c r="BP11" s="1">
        <v>745.47311961668299</v>
      </c>
      <c r="BQ11" s="1">
        <v>1</v>
      </c>
      <c r="BR11" s="1">
        <v>0.15240000000000001</v>
      </c>
    </row>
    <row r="12" spans="1:70">
      <c r="A12" s="2" t="s">
        <v>80</v>
      </c>
      <c r="B12" s="1">
        <v>13789520</v>
      </c>
      <c r="C12" s="1">
        <v>608.621106065763</v>
      </c>
      <c r="D12" s="1">
        <v>85.147893581579396</v>
      </c>
      <c r="E12" s="1">
        <v>624.86627494838604</v>
      </c>
      <c r="F12" s="1">
        <v>2643264.3898665099</v>
      </c>
      <c r="G12" s="1">
        <v>1562686.9740257801</v>
      </c>
      <c r="H12" s="1">
        <v>2.2019594042733499E-5</v>
      </c>
      <c r="I12" s="1">
        <v>7.2223252690249804E-5</v>
      </c>
      <c r="J12" s="1">
        <v>0.49112124879375701</v>
      </c>
      <c r="K12" s="1">
        <v>7679.7516396704104</v>
      </c>
      <c r="L12" s="1">
        <v>6.5036382888884496E-3</v>
      </c>
      <c r="M12" s="1">
        <v>11</v>
      </c>
      <c r="N12" s="1">
        <v>3851.04</v>
      </c>
      <c r="O12" s="3">
        <v>2.8502295699234199E-6</v>
      </c>
      <c r="P12" s="3">
        <v>5.9847340050885496E-3</v>
      </c>
      <c r="Q12" s="3">
        <v>1.905E-3</v>
      </c>
      <c r="R12" s="1">
        <v>0.15240000000000001</v>
      </c>
      <c r="S12" s="4">
        <v>5441965.21484375</v>
      </c>
      <c r="T12" s="1">
        <v>534.00031274747698</v>
      </c>
      <c r="U12" s="5">
        <v>592.88203913380698</v>
      </c>
      <c r="V12" s="1">
        <v>0.03</v>
      </c>
      <c r="W12" s="3">
        <v>101577.136541656</v>
      </c>
      <c r="X12" s="1">
        <v>2.8694843233965098E-2</v>
      </c>
      <c r="Y12" s="1">
        <v>5.9033437360973897</v>
      </c>
      <c r="Z12" s="1">
        <v>5.9033437630197296</v>
      </c>
      <c r="AA12" s="1">
        <v>-2.6922339912971402E-8</v>
      </c>
      <c r="AB12" s="1">
        <v>9.1675815598689404E-6</v>
      </c>
      <c r="AC12" s="1">
        <v>675.99184281199803</v>
      </c>
      <c r="AD12" s="1">
        <v>3041.7457153528198</v>
      </c>
      <c r="AE12" s="1">
        <v>592.88203913380596</v>
      </c>
      <c r="AF12" s="6">
        <v>0</v>
      </c>
      <c r="AG12" s="1">
        <v>9.2286584688538092E-6</v>
      </c>
      <c r="AH12" s="1">
        <v>85.130041065898297</v>
      </c>
      <c r="AI12" s="1">
        <v>0.36910325795259002</v>
      </c>
      <c r="AJ12" s="1">
        <v>29.471110085134399</v>
      </c>
      <c r="AK12" s="1">
        <v>4.4833522224376701</v>
      </c>
      <c r="AL12" s="1">
        <v>1.1293680422758501</v>
      </c>
      <c r="AM12" s="1">
        <v>608.621106058024</v>
      </c>
      <c r="AN12" s="1">
        <v>7.7393451647367295E-9</v>
      </c>
      <c r="AO12" s="1">
        <v>6.1076908984868695E-8</v>
      </c>
      <c r="AP12" s="1">
        <v>4.1622675261318598</v>
      </c>
      <c r="AQ12" s="1">
        <v>3.1476199342138399E-5</v>
      </c>
      <c r="AR12" s="1">
        <v>4.6448676889193398E-6</v>
      </c>
      <c r="AS12" s="1">
        <v>14.8330775760117</v>
      </c>
      <c r="AT12" s="1">
        <v>10.434298291444099</v>
      </c>
      <c r="AU12" s="1">
        <v>3.8513334938211399</v>
      </c>
      <c r="AV12" s="1">
        <v>0.31093403231071398</v>
      </c>
      <c r="AW12" s="1">
        <v>5.5116543771295797E-3</v>
      </c>
      <c r="AX12" s="1">
        <v>0.310934027944193</v>
      </c>
      <c r="AY12" s="1">
        <v>4.3665214222166096E-9</v>
      </c>
      <c r="AZ12" s="1">
        <v>1080577.4158407301</v>
      </c>
      <c r="BA12" s="1">
        <v>7.5622720415067401E-6</v>
      </c>
      <c r="BB12" s="4">
        <v>5453404.6702856198</v>
      </c>
      <c r="BC12" s="4">
        <v>11439.4554418689</v>
      </c>
      <c r="BD12" s="7">
        <v>0.21020816911262299</v>
      </c>
      <c r="BE12" s="4">
        <v>4858700</v>
      </c>
      <c r="BF12" s="1">
        <v>1.1223999568373499</v>
      </c>
      <c r="BG12" s="1">
        <v>1</v>
      </c>
      <c r="BH12" s="1">
        <v>-1.7999999999999999E-2</v>
      </c>
      <c r="BI12" s="1">
        <v>4.5999999999999999E-2</v>
      </c>
      <c r="BJ12" s="1">
        <v>5625</v>
      </c>
      <c r="BK12" s="1">
        <v>1.03717204763457</v>
      </c>
      <c r="BL12" s="1">
        <v>74.620793318286005</v>
      </c>
      <c r="BM12" s="1">
        <v>5.4534046702856198</v>
      </c>
      <c r="BN12" s="1">
        <v>74.620793318286005</v>
      </c>
      <c r="BO12" s="1">
        <v>1.03717204763457</v>
      </c>
      <c r="BP12" s="1">
        <v>1198.5993299874799</v>
      </c>
      <c r="BQ12" s="1">
        <v>1</v>
      </c>
      <c r="BR12" s="1">
        <v>0.15240000000000001</v>
      </c>
    </row>
    <row r="13" spans="1:70">
      <c r="A13" s="2" t="s">
        <v>81</v>
      </c>
      <c r="B13" s="1">
        <v>13789520</v>
      </c>
      <c r="C13" s="1">
        <v>608.621106065763</v>
      </c>
      <c r="D13" s="1">
        <v>85.147893581579396</v>
      </c>
      <c r="E13" s="1">
        <v>624.86627494838604</v>
      </c>
      <c r="F13" s="1">
        <v>2643264.3898665099</v>
      </c>
      <c r="G13" s="1">
        <v>1562686.9740257801</v>
      </c>
      <c r="H13" s="1">
        <v>2.2019594042733499E-5</v>
      </c>
      <c r="I13" s="1">
        <v>7.2223252690249804E-5</v>
      </c>
      <c r="J13" s="1">
        <v>0.49112124879375701</v>
      </c>
      <c r="K13" s="1">
        <v>7679.7516396704104</v>
      </c>
      <c r="L13" s="1">
        <v>6.5036382888884496E-3</v>
      </c>
      <c r="M13" s="1">
        <v>12</v>
      </c>
      <c r="N13" s="1">
        <v>3905.28</v>
      </c>
      <c r="O13" s="3">
        <v>2.8502295699234199E-6</v>
      </c>
      <c r="P13" s="3">
        <v>5.9847340050885496E-3</v>
      </c>
      <c r="Q13" s="3">
        <v>1.905E-3</v>
      </c>
      <c r="R13" s="1">
        <v>0.15240000000000001</v>
      </c>
      <c r="S13" s="4">
        <v>5526348.14453125</v>
      </c>
      <c r="T13" s="1">
        <v>532.84871111815698</v>
      </c>
      <c r="U13" s="5">
        <v>591.81297301260599</v>
      </c>
      <c r="V13" s="1">
        <v>0.03</v>
      </c>
      <c r="W13" s="3">
        <v>103007.800436608</v>
      </c>
      <c r="X13" s="1">
        <v>2.85224803085561E-2</v>
      </c>
      <c r="Y13" s="1">
        <v>5.9211539858301698</v>
      </c>
      <c r="Z13" s="1">
        <v>5.9211539940556204</v>
      </c>
      <c r="AA13" s="1">
        <v>-8.2254532074443903E-9</v>
      </c>
      <c r="AB13" s="1">
        <v>8.9685669488103606E-6</v>
      </c>
      <c r="AC13" s="1">
        <v>676.31325955753096</v>
      </c>
      <c r="AD13" s="1">
        <v>3075.3090688970001</v>
      </c>
      <c r="AE13" s="1">
        <v>591.81297301260599</v>
      </c>
      <c r="AF13" s="6">
        <v>0</v>
      </c>
      <c r="AG13" s="1">
        <v>9.0296211385037493E-6</v>
      </c>
      <c r="AH13" s="1">
        <v>87.019096709774402</v>
      </c>
      <c r="AI13" s="1">
        <v>0.37317603204361399</v>
      </c>
      <c r="AJ13" s="1">
        <v>29.153675355322399</v>
      </c>
      <c r="AK13" s="1">
        <v>4.5213585146521202</v>
      </c>
      <c r="AL13" s="1">
        <v>1.1293680422758501</v>
      </c>
      <c r="AM13" s="1">
        <v>608.62110606237104</v>
      </c>
      <c r="AN13" s="1">
        <v>3.3916194297489702E-9</v>
      </c>
      <c r="AO13" s="1">
        <v>6.1054189693390405E-8</v>
      </c>
      <c r="AP13" s="1">
        <v>4.1864391348360899</v>
      </c>
      <c r="AQ13" s="1">
        <v>3.1113774898250803E-5</v>
      </c>
      <c r="AR13" s="1">
        <v>4.5453376640985698E-6</v>
      </c>
      <c r="AS13" s="1">
        <v>14.675399621628801</v>
      </c>
      <c r="AT13" s="1">
        <v>10.380862984001</v>
      </c>
      <c r="AU13" s="1">
        <v>3.8738892575579298</v>
      </c>
      <c r="AV13" s="1">
        <v>0.31254987727815797</v>
      </c>
      <c r="AW13" s="1">
        <v>5.3920045278219499E-3</v>
      </c>
      <c r="AX13" s="1">
        <v>0.31254987244742999</v>
      </c>
      <c r="AY13" s="1">
        <v>4.8307280398063296E-9</v>
      </c>
      <c r="AZ13" s="1">
        <v>1080577.4158407301</v>
      </c>
      <c r="BA13" s="1">
        <v>7.4320380390455498E-6</v>
      </c>
      <c r="BB13" s="4">
        <v>5546902.3455865001</v>
      </c>
      <c r="BC13" s="4">
        <v>20554.201055249199</v>
      </c>
      <c r="BD13" s="7">
        <v>0.371930984398606</v>
      </c>
      <c r="BE13" s="4">
        <v>4890250</v>
      </c>
      <c r="BF13" s="1">
        <v>1.13427786832708</v>
      </c>
      <c r="BG13" s="1">
        <v>1</v>
      </c>
      <c r="BH13" s="1">
        <v>-2.5999999999999999E-2</v>
      </c>
      <c r="BI13" s="1">
        <v>4.5999999999999999E-2</v>
      </c>
      <c r="BJ13" s="1">
        <v>5625</v>
      </c>
      <c r="BK13" s="1">
        <v>1.0366401828979299</v>
      </c>
      <c r="BL13" s="1">
        <v>75.772394947606003</v>
      </c>
      <c r="BM13" s="1">
        <v>5.5469023455865001</v>
      </c>
      <c r="BN13" s="1">
        <v>75.772394947606003</v>
      </c>
      <c r="BO13" s="1">
        <v>1.0366401828979299</v>
      </c>
      <c r="BP13" s="1">
        <v>1279.66424028751</v>
      </c>
      <c r="BQ13" s="1">
        <v>1</v>
      </c>
      <c r="BR13" s="1">
        <v>0.15240000000000001</v>
      </c>
    </row>
    <row r="14" spans="1:70">
      <c r="A14" s="2" t="s">
        <v>82</v>
      </c>
      <c r="B14" s="1">
        <v>13789520</v>
      </c>
      <c r="C14" s="1">
        <v>608.621106065763</v>
      </c>
      <c r="D14" s="1">
        <v>85.147893581579396</v>
      </c>
      <c r="E14" s="1">
        <v>624.86627494838604</v>
      </c>
      <c r="F14" s="1">
        <v>2643264.3898665099</v>
      </c>
      <c r="G14" s="1">
        <v>1562686.9740257801</v>
      </c>
      <c r="H14" s="1">
        <v>2.2019594042733499E-5</v>
      </c>
      <c r="I14" s="1">
        <v>7.2223252690249804E-5</v>
      </c>
      <c r="J14" s="1">
        <v>0.49112124879375701</v>
      </c>
      <c r="K14" s="1">
        <v>7679.7516396704104</v>
      </c>
      <c r="L14" s="1">
        <v>6.5036382888884496E-3</v>
      </c>
      <c r="M14" s="1">
        <v>13</v>
      </c>
      <c r="N14" s="1">
        <v>3918.84</v>
      </c>
      <c r="O14" s="3">
        <v>2.8502295699234199E-6</v>
      </c>
      <c r="P14" s="3">
        <v>5.9847340050885496E-3</v>
      </c>
      <c r="Q14" s="3">
        <v>1.905E-3</v>
      </c>
      <c r="R14" s="1">
        <v>0.15240000000000001</v>
      </c>
      <c r="S14" s="4">
        <v>5712735.64453125</v>
      </c>
      <c r="T14" s="1">
        <v>527.29080640581196</v>
      </c>
      <c r="U14" s="5">
        <v>588.03284988775397</v>
      </c>
      <c r="V14" s="1">
        <v>0.03</v>
      </c>
      <c r="W14" s="3">
        <v>103365.466410347</v>
      </c>
      <c r="X14" s="1">
        <v>2.8480000643945399E-2</v>
      </c>
      <c r="Y14" s="1">
        <v>5.9255682222598498</v>
      </c>
      <c r="Z14" s="1">
        <v>5.9255682336923297</v>
      </c>
      <c r="AA14" s="1">
        <v>-1.1432471858086E-8</v>
      </c>
      <c r="AB14" s="1">
        <v>8.9198928738435904E-6</v>
      </c>
      <c r="AC14" s="1">
        <v>679.47034648622696</v>
      </c>
      <c r="AD14" s="1">
        <v>3083.68832733613</v>
      </c>
      <c r="AE14" s="1">
        <v>588.03285070944003</v>
      </c>
      <c r="AF14" s="6">
        <v>8.2168560311402004E-7</v>
      </c>
      <c r="AG14" s="1">
        <v>8.9826098083697801E-6</v>
      </c>
      <c r="AH14" s="1">
        <v>87.493942551164693</v>
      </c>
      <c r="AI14" s="1">
        <v>0.374192820387721</v>
      </c>
      <c r="AJ14" s="1">
        <v>29.080912351795199</v>
      </c>
      <c r="AK14" s="1">
        <v>4.7362616911595099</v>
      </c>
      <c r="AL14" s="1">
        <v>1.1293680422758501</v>
      </c>
      <c r="AM14" s="1">
        <v>608.62110606078897</v>
      </c>
      <c r="AN14" s="1">
        <v>4.9735717766452597E-9</v>
      </c>
      <c r="AO14" s="1">
        <v>6.2716934526193004E-8</v>
      </c>
      <c r="AP14" s="1">
        <v>4.1930835104734099</v>
      </c>
      <c r="AQ14" s="1">
        <v>3.1015247018437403E-5</v>
      </c>
      <c r="AR14" s="1">
        <v>4.5226633714479899E-6</v>
      </c>
      <c r="AS14" s="1">
        <v>14.6419782120786</v>
      </c>
      <c r="AT14" s="1">
        <v>10.3694631159031</v>
      </c>
      <c r="AU14" s="1">
        <v>3.88017864924625</v>
      </c>
      <c r="AV14" s="1">
        <v>0.31290486122716199</v>
      </c>
      <c r="AW14" s="1">
        <v>5.3627411199546303E-3</v>
      </c>
      <c r="AX14" s="1">
        <v>0.31290485627398601</v>
      </c>
      <c r="AY14" s="1">
        <v>4.9531760359933197E-9</v>
      </c>
      <c r="AZ14" s="1">
        <v>1080577.4158407301</v>
      </c>
      <c r="BA14" s="1">
        <v>7.3967634894387699E-6</v>
      </c>
      <c r="BB14" s="4">
        <v>5725139.35943757</v>
      </c>
      <c r="BC14" s="4">
        <v>12403.7149063181</v>
      </c>
      <c r="BD14" s="7">
        <v>0.217123908371151</v>
      </c>
      <c r="BE14" s="4">
        <v>5426600</v>
      </c>
      <c r="BF14" s="1">
        <v>1.0550140713223</v>
      </c>
      <c r="BG14" s="1">
        <v>1</v>
      </c>
      <c r="BH14" s="1">
        <v>-1.2E-2</v>
      </c>
      <c r="BI14" s="1">
        <v>4.5999999999999999E-2</v>
      </c>
      <c r="BJ14" s="1">
        <v>5625</v>
      </c>
      <c r="BK14" s="1">
        <v>1.03395250111465</v>
      </c>
      <c r="BL14" s="1">
        <v>81.330299659950995</v>
      </c>
      <c r="BM14" s="1">
        <v>5.7251393594375699</v>
      </c>
      <c r="BN14" s="1">
        <v>81.330299659950995</v>
      </c>
      <c r="BO14" s="1">
        <v>1.03395250111465</v>
      </c>
      <c r="BP14" s="1">
        <v>1708.19366998135</v>
      </c>
      <c r="BQ14" s="1">
        <v>1</v>
      </c>
      <c r="BR14" s="1">
        <v>0.15240000000000001</v>
      </c>
    </row>
    <row r="15" spans="1:70">
      <c r="A15" s="2" t="s">
        <v>83</v>
      </c>
      <c r="B15" s="1">
        <v>13789520</v>
      </c>
      <c r="C15" s="1">
        <v>608.621106065763</v>
      </c>
      <c r="D15" s="1">
        <v>85.147893581579396</v>
      </c>
      <c r="E15" s="1">
        <v>624.86627494838604</v>
      </c>
      <c r="F15" s="1">
        <v>2643264.3898665099</v>
      </c>
      <c r="G15" s="1">
        <v>1562686.9740257801</v>
      </c>
      <c r="H15" s="1">
        <v>2.2019594042733499E-5</v>
      </c>
      <c r="I15" s="1">
        <v>7.2223252690249804E-5</v>
      </c>
      <c r="J15" s="1">
        <v>0.49112124879375701</v>
      </c>
      <c r="K15" s="1">
        <v>7679.7516396704104</v>
      </c>
      <c r="L15" s="1">
        <v>6.5036382888884496E-3</v>
      </c>
      <c r="M15" s="1">
        <v>14</v>
      </c>
      <c r="N15" s="1">
        <v>2752.68</v>
      </c>
      <c r="O15" s="3">
        <v>1.6417322322758899E-5</v>
      </c>
      <c r="P15" s="3">
        <v>1.4363361612212499E-2</v>
      </c>
      <c r="Q15" s="3">
        <v>4.5719999999999997E-3</v>
      </c>
      <c r="R15" s="1">
        <v>0.29527500000000001</v>
      </c>
      <c r="S15" s="4">
        <v>1533516.19140625</v>
      </c>
      <c r="T15" s="1">
        <v>601.93187912108897</v>
      </c>
      <c r="U15" s="5">
        <v>620.67172051075704</v>
      </c>
      <c r="V15" s="1">
        <v>0.03</v>
      </c>
      <c r="W15" s="3">
        <v>174254.862405263</v>
      </c>
      <c r="X15" s="1">
        <v>2.71585731940364E-2</v>
      </c>
      <c r="Y15" s="1">
        <v>6.0680133133750997</v>
      </c>
      <c r="Z15" s="1">
        <v>6.0680133207565996</v>
      </c>
      <c r="AA15" s="1">
        <v>-7.3815025203316501E-9</v>
      </c>
      <c r="AB15" s="1">
        <v>1.8958164748989801E-5</v>
      </c>
      <c r="AC15" s="1">
        <v>628.32811031562903</v>
      </c>
      <c r="AD15" s="1">
        <v>5076.4883207283001</v>
      </c>
      <c r="AE15" s="1">
        <v>620.67172080473597</v>
      </c>
      <c r="AF15" s="6">
        <v>2.9397904199868203E-7</v>
      </c>
      <c r="AG15" s="1">
        <v>1.8989985140568799E-5</v>
      </c>
      <c r="AH15" s="1">
        <v>41.1662523772615</v>
      </c>
      <c r="AI15" s="1">
        <v>0.25667118949182999</v>
      </c>
      <c r="AJ15" s="1">
        <v>42.1707951779971</v>
      </c>
      <c r="AK15" s="1">
        <v>1.2340884924659701</v>
      </c>
      <c r="AL15" s="1">
        <v>1.1293680422758501</v>
      </c>
      <c r="AM15" s="1">
        <v>608.62110606347198</v>
      </c>
      <c r="AN15" s="1">
        <v>2.2911308406037299E-9</v>
      </c>
      <c r="AO15" s="1">
        <v>3.1820391579038703E-8</v>
      </c>
      <c r="AP15" s="1">
        <v>3.3966718379371001</v>
      </c>
      <c r="AQ15" s="1">
        <v>4.7264502123543401E-5</v>
      </c>
      <c r="AR15" s="1">
        <v>9.5109027660739205E-6</v>
      </c>
      <c r="AS15" s="1">
        <v>21.120729138913699</v>
      </c>
      <c r="AT15" s="1">
        <v>12.201274909324701</v>
      </c>
      <c r="AU15" s="1">
        <v>3.1317157442932002</v>
      </c>
      <c r="AV15" s="1">
        <v>0.26495609364389899</v>
      </c>
      <c r="AW15" s="1">
        <v>1.13978644246288E-2</v>
      </c>
      <c r="AX15" s="1">
        <v>0.26495608484974698</v>
      </c>
      <c r="AY15" s="1">
        <v>8.7941519066880907E-9</v>
      </c>
      <c r="AZ15" s="1">
        <v>1080577.4158407301</v>
      </c>
      <c r="BA15" s="1">
        <v>1.3914945092914399E-5</v>
      </c>
      <c r="BB15" s="4">
        <v>1544070.0352056799</v>
      </c>
      <c r="BC15" s="4">
        <v>10553.8437994265</v>
      </c>
      <c r="BD15" s="7">
        <v>0.68821208791727695</v>
      </c>
      <c r="BE15" s="4">
        <v>2075990</v>
      </c>
      <c r="BF15" s="1">
        <v>0.74377527599154003</v>
      </c>
      <c r="BG15" s="1">
        <v>1</v>
      </c>
      <c r="BH15" s="1">
        <v>0.13700000000000001</v>
      </c>
      <c r="BI15" s="1">
        <v>4.5999999999999999E-2</v>
      </c>
      <c r="BJ15" s="1">
        <v>5625</v>
      </c>
      <c r="BK15" s="1">
        <v>1.03776481401221</v>
      </c>
      <c r="BL15" s="1">
        <v>6.6892269446740302</v>
      </c>
      <c r="BM15" s="1">
        <v>1.54407003520568</v>
      </c>
      <c r="BN15" s="1">
        <v>6.6892269446740302</v>
      </c>
      <c r="BO15" s="1">
        <v>1.03776481401221</v>
      </c>
      <c r="BP15" s="1">
        <v>1109.6076015434301</v>
      </c>
      <c r="BQ15" s="1">
        <v>1</v>
      </c>
      <c r="BR15" s="1">
        <v>0.29527500000000001</v>
      </c>
    </row>
    <row r="16" spans="1:70">
      <c r="A16" s="2" t="s">
        <v>84</v>
      </c>
      <c r="B16" s="1">
        <v>13789520</v>
      </c>
      <c r="C16" s="1">
        <v>608.621106065763</v>
      </c>
      <c r="D16" s="1">
        <v>85.147893581579396</v>
      </c>
      <c r="E16" s="1">
        <v>624.86627494838604</v>
      </c>
      <c r="F16" s="1">
        <v>2643264.3898665099</v>
      </c>
      <c r="G16" s="1">
        <v>1562686.9740257801</v>
      </c>
      <c r="H16" s="1">
        <v>2.2019594042733499E-5</v>
      </c>
      <c r="I16" s="1">
        <v>7.2223252690249804E-5</v>
      </c>
      <c r="J16" s="1">
        <v>0.49112124879375701</v>
      </c>
      <c r="K16" s="1">
        <v>7679.7516396704104</v>
      </c>
      <c r="L16" s="1">
        <v>6.5036382888884496E-3</v>
      </c>
      <c r="M16" s="1">
        <v>15</v>
      </c>
      <c r="N16" s="1">
        <v>3403.56</v>
      </c>
      <c r="O16" s="3">
        <v>1.6417322322758899E-5</v>
      </c>
      <c r="P16" s="3">
        <v>1.4363361612212499E-2</v>
      </c>
      <c r="Q16" s="3">
        <v>4.5719999999999997E-3</v>
      </c>
      <c r="R16" s="1">
        <v>0.29527500000000001</v>
      </c>
      <c r="S16" s="4">
        <v>2296499.85546875</v>
      </c>
      <c r="T16" s="1">
        <v>594.22932005256598</v>
      </c>
      <c r="U16" s="5">
        <v>616.92620644656199</v>
      </c>
      <c r="V16" s="1">
        <v>0.03</v>
      </c>
      <c r="W16" s="3">
        <v>215457.98257990601</v>
      </c>
      <c r="X16" s="1">
        <v>2.48435621330972E-2</v>
      </c>
      <c r="Y16" s="1">
        <v>6.3444366739096001</v>
      </c>
      <c r="Z16" s="1">
        <v>6.3444367045684302</v>
      </c>
      <c r="AA16" s="1">
        <v>-3.0658828364948898E-8</v>
      </c>
      <c r="AB16" s="1">
        <v>1.3556076460718E-5</v>
      </c>
      <c r="AC16" s="1">
        <v>635.350883107193</v>
      </c>
      <c r="AD16" s="1">
        <v>6003.3620151630303</v>
      </c>
      <c r="AE16" s="1">
        <v>616.92620681454196</v>
      </c>
      <c r="AF16" s="6">
        <v>3.6798064684262499E-7</v>
      </c>
      <c r="AG16" s="1">
        <v>1.35919060063334E-5</v>
      </c>
      <c r="AH16" s="1">
        <v>57.570979105061902</v>
      </c>
      <c r="AI16" s="1">
        <v>0.303534642853448</v>
      </c>
      <c r="AJ16" s="1">
        <v>35.6942835660927</v>
      </c>
      <c r="AK16" s="1">
        <v>1.7187322309808799</v>
      </c>
      <c r="AL16" s="1">
        <v>1.1293680422758501</v>
      </c>
      <c r="AM16" s="1">
        <v>608.62110605951398</v>
      </c>
      <c r="AN16" s="1">
        <v>6.2485696616931802E-9</v>
      </c>
      <c r="AO16" s="1">
        <v>3.5829545615413999E-8</v>
      </c>
      <c r="AP16" s="1">
        <v>3.7367290317838302</v>
      </c>
      <c r="AQ16" s="1">
        <v>3.9053418556095402E-5</v>
      </c>
      <c r="AR16" s="1">
        <v>6.8138677759744002E-6</v>
      </c>
      <c r="AS16" s="1">
        <v>17.894188531333398</v>
      </c>
      <c r="AT16" s="1">
        <v>11.3723799853912</v>
      </c>
      <c r="AU16" s="1">
        <v>3.4519112972594299</v>
      </c>
      <c r="AV16" s="1">
        <v>0.28481773452439502</v>
      </c>
      <c r="AW16" s="1">
        <v>8.1500674603747492E-3</v>
      </c>
      <c r="AX16" s="1">
        <v>0.28481773189449799</v>
      </c>
      <c r="AY16" s="1">
        <v>2.6298971333993401E-9</v>
      </c>
      <c r="AZ16" s="1">
        <v>1080577.4158407301</v>
      </c>
      <c r="BA16" s="1">
        <v>1.04512310697177E-5</v>
      </c>
      <c r="BB16" s="4">
        <v>2314817.8517901502</v>
      </c>
      <c r="BC16" s="4">
        <v>18317.996321398801</v>
      </c>
      <c r="BD16" s="7">
        <v>0.79764848570651403</v>
      </c>
      <c r="BE16" s="4">
        <v>2161175</v>
      </c>
      <c r="BF16" s="1">
        <v>1.0710922770206699</v>
      </c>
      <c r="BG16" s="1">
        <v>1</v>
      </c>
      <c r="BH16" s="1">
        <v>6.0999999999999999E-2</v>
      </c>
      <c r="BI16" s="1">
        <v>4.5999999999999999E-2</v>
      </c>
      <c r="BJ16" s="1">
        <v>5625</v>
      </c>
      <c r="BK16" s="1">
        <v>1.0409379773799401</v>
      </c>
      <c r="BL16" s="1">
        <v>14.391786013197001</v>
      </c>
      <c r="BM16" s="1">
        <v>2.3148178517901501</v>
      </c>
      <c r="BN16" s="1">
        <v>14.391786013197001</v>
      </c>
      <c r="BO16" s="1">
        <v>1.0409379773799401</v>
      </c>
      <c r="BP16" s="1">
        <v>655.78062359389196</v>
      </c>
      <c r="BQ16" s="1">
        <v>1</v>
      </c>
      <c r="BR16" s="1">
        <v>0.29527500000000001</v>
      </c>
    </row>
    <row r="17" spans="1:70">
      <c r="A17" s="2" t="s">
        <v>85</v>
      </c>
      <c r="B17" s="1">
        <v>13789520</v>
      </c>
      <c r="C17" s="1">
        <v>608.621106065763</v>
      </c>
      <c r="D17" s="1">
        <v>85.147893581579396</v>
      </c>
      <c r="E17" s="1">
        <v>624.86627494838604</v>
      </c>
      <c r="F17" s="1">
        <v>2643264.3898665099</v>
      </c>
      <c r="G17" s="1">
        <v>1562686.9740257801</v>
      </c>
      <c r="H17" s="1">
        <v>2.2019594042733499E-5</v>
      </c>
      <c r="I17" s="1">
        <v>7.2223252690249804E-5</v>
      </c>
      <c r="J17" s="1">
        <v>0.49112124879375701</v>
      </c>
      <c r="K17" s="1">
        <v>7679.7516396704104</v>
      </c>
      <c r="L17" s="1">
        <v>6.5036382888884496E-3</v>
      </c>
      <c r="M17" s="1">
        <v>16</v>
      </c>
      <c r="N17" s="1">
        <v>3403.56</v>
      </c>
      <c r="O17" s="3">
        <v>1.6417322322758899E-5</v>
      </c>
      <c r="P17" s="3">
        <v>1.4363361612212499E-2</v>
      </c>
      <c r="Q17" s="3">
        <v>4.5719999999999997E-3</v>
      </c>
      <c r="R17" s="1">
        <v>0.29527500000000001</v>
      </c>
      <c r="S17" s="4">
        <v>1752743.46921875</v>
      </c>
      <c r="T17" s="1">
        <v>602.50136996683705</v>
      </c>
      <c r="U17" s="5">
        <v>619.82417506257502</v>
      </c>
      <c r="V17" s="1">
        <v>0.03</v>
      </c>
      <c r="W17" s="3">
        <v>215457.98257990601</v>
      </c>
      <c r="X17" s="1">
        <v>2.48435621330972E-2</v>
      </c>
      <c r="Y17" s="1">
        <v>6.3444366739096001</v>
      </c>
      <c r="Z17" s="1">
        <v>6.3444367045684302</v>
      </c>
      <c r="AA17" s="1">
        <v>-3.0658828364948898E-8</v>
      </c>
      <c r="AB17" s="1">
        <v>1.3556076460718E-5</v>
      </c>
      <c r="AC17" s="1">
        <v>627.22137279542403</v>
      </c>
      <c r="AD17" s="1">
        <v>6003.3620151630303</v>
      </c>
      <c r="AE17" s="1">
        <v>619.82417506257502</v>
      </c>
      <c r="AF17" s="6">
        <v>0</v>
      </c>
      <c r="AG17" s="1">
        <v>1.35835129086412E-5</v>
      </c>
      <c r="AH17" s="1">
        <v>57.570979105061902</v>
      </c>
      <c r="AI17" s="1">
        <v>0.303534642853448</v>
      </c>
      <c r="AJ17" s="1">
        <v>35.672242094581399</v>
      </c>
      <c r="AK17" s="1">
        <v>1.1961211857368399</v>
      </c>
      <c r="AL17" s="1">
        <v>1.1293680422758501</v>
      </c>
      <c r="AM17" s="1">
        <v>608.62110606150395</v>
      </c>
      <c r="AN17" s="1">
        <v>4.2592773752403396E-9</v>
      </c>
      <c r="AO17" s="1">
        <v>2.7436447923217299E-8</v>
      </c>
      <c r="AP17" s="1">
        <v>3.7349909962936398</v>
      </c>
      <c r="AQ17" s="1">
        <v>3.9089773139142901E-5</v>
      </c>
      <c r="AR17" s="1">
        <v>6.8054746782822002E-6</v>
      </c>
      <c r="AS17" s="1">
        <v>17.872147059822002</v>
      </c>
      <c r="AT17" s="1">
        <v>11.366217353984499</v>
      </c>
      <c r="AU17" s="1">
        <v>3.4500407251363701</v>
      </c>
      <c r="AV17" s="1">
        <v>0.28495027115727101</v>
      </c>
      <c r="AW17" s="1">
        <v>8.1500674603747492E-3</v>
      </c>
      <c r="AX17" s="1">
        <v>0.284950268579796</v>
      </c>
      <c r="AY17" s="1">
        <v>2.57747445608913E-9</v>
      </c>
      <c r="AZ17" s="1">
        <v>1080577.4158407301</v>
      </c>
      <c r="BA17" s="1">
        <v>1.04658279438781E-5</v>
      </c>
      <c r="BB17" s="4">
        <v>1770097.8148254</v>
      </c>
      <c r="BC17" s="4">
        <v>17354.345606650699</v>
      </c>
      <c r="BD17" s="7">
        <v>0.99012467662401504</v>
      </c>
      <c r="BE17" s="4">
        <v>1687925</v>
      </c>
      <c r="BF17" s="1">
        <v>1.0486827405396599</v>
      </c>
      <c r="BG17" s="1">
        <v>1</v>
      </c>
      <c r="BH17" s="1">
        <v>7.9000000000000001E-2</v>
      </c>
      <c r="BI17" s="1">
        <v>4.5999999999999999E-2</v>
      </c>
      <c r="BJ17" s="1">
        <v>5625</v>
      </c>
      <c r="BK17" s="1">
        <v>1.0375087865309001</v>
      </c>
      <c r="BL17" s="1">
        <v>6.1197360989259604</v>
      </c>
      <c r="BM17" s="1">
        <v>1.7700978148254001</v>
      </c>
      <c r="BN17" s="1">
        <v>6.1197360989259604</v>
      </c>
      <c r="BO17" s="1">
        <v>1.0375087865309001</v>
      </c>
      <c r="BP17" s="1">
        <v>1147.8722820064199</v>
      </c>
      <c r="BQ17" s="1">
        <v>1</v>
      </c>
      <c r="BR17" s="1">
        <v>0.29527500000000001</v>
      </c>
    </row>
    <row r="18" spans="1:70">
      <c r="A18" s="2" t="s">
        <v>86</v>
      </c>
      <c r="B18" s="1">
        <v>13789520</v>
      </c>
      <c r="C18" s="1">
        <v>608.621106065763</v>
      </c>
      <c r="D18" s="1">
        <v>85.147893581579396</v>
      </c>
      <c r="E18" s="1">
        <v>624.86627494838604</v>
      </c>
      <c r="F18" s="1">
        <v>2643264.3898665099</v>
      </c>
      <c r="G18" s="1">
        <v>1562686.9740257801</v>
      </c>
      <c r="H18" s="1">
        <v>2.2019594042733499E-5</v>
      </c>
      <c r="I18" s="1">
        <v>7.2223252690249804E-5</v>
      </c>
      <c r="J18" s="1">
        <v>0.49112124879375701</v>
      </c>
      <c r="K18" s="1">
        <v>7679.7516396704104</v>
      </c>
      <c r="L18" s="1">
        <v>6.5036382888884496E-3</v>
      </c>
      <c r="M18" s="1">
        <v>17</v>
      </c>
      <c r="N18" s="1">
        <v>3403.56</v>
      </c>
      <c r="O18" s="3">
        <v>1.6417322322758899E-5</v>
      </c>
      <c r="P18" s="3">
        <v>1.4363361612212499E-2</v>
      </c>
      <c r="Q18" s="3">
        <v>4.5719999999999997E-3</v>
      </c>
      <c r="R18" s="1">
        <v>0.29527500000000001</v>
      </c>
      <c r="S18" s="4">
        <v>1791661.77734375</v>
      </c>
      <c r="T18" s="1">
        <v>601.93187912108897</v>
      </c>
      <c r="U18" s="5">
        <v>619.639323656736</v>
      </c>
      <c r="V18" s="1">
        <v>0.03</v>
      </c>
      <c r="W18" s="3">
        <v>215457.98257990601</v>
      </c>
      <c r="X18" s="1">
        <v>2.48435621330972E-2</v>
      </c>
      <c r="Y18" s="1">
        <v>6.3444366739096001</v>
      </c>
      <c r="Z18" s="1">
        <v>6.3444367045684302</v>
      </c>
      <c r="AA18" s="1">
        <v>-3.0658828364948898E-8</v>
      </c>
      <c r="AB18" s="1">
        <v>1.3556076460718E-5</v>
      </c>
      <c r="AC18" s="1">
        <v>627.77446331110195</v>
      </c>
      <c r="AD18" s="1">
        <v>6003.3620151630303</v>
      </c>
      <c r="AE18" s="1">
        <v>619.63932394496999</v>
      </c>
      <c r="AF18" s="6">
        <v>2.8823353659390699E-7</v>
      </c>
      <c r="AG18" s="1">
        <v>1.35838178852434E-5</v>
      </c>
      <c r="AH18" s="1">
        <v>57.570979105061902</v>
      </c>
      <c r="AI18" s="1">
        <v>0.303534642853448</v>
      </c>
      <c r="AJ18" s="1">
        <v>35.673043006632803</v>
      </c>
      <c r="AK18" s="1">
        <v>1.2316841484049199</v>
      </c>
      <c r="AL18" s="1">
        <v>1.1293680422758501</v>
      </c>
      <c r="AM18" s="1">
        <v>608.62110606137401</v>
      </c>
      <c r="AN18" s="1">
        <v>4.38922143075615E-9</v>
      </c>
      <c r="AO18" s="1">
        <v>2.7741424525459499E-8</v>
      </c>
      <c r="AP18" s="1">
        <v>3.73505418609964</v>
      </c>
      <c r="AQ18" s="1">
        <v>3.9088450505433301E-5</v>
      </c>
      <c r="AR18" s="1">
        <v>6.8057796548844398E-6</v>
      </c>
      <c r="AS18" s="1">
        <v>17.872947971873401</v>
      </c>
      <c r="AT18" s="1">
        <v>11.366441416069399</v>
      </c>
      <c r="AU18" s="1">
        <v>3.4501087357412601</v>
      </c>
      <c r="AV18" s="1">
        <v>0.28494545035837598</v>
      </c>
      <c r="AW18" s="1">
        <v>8.1500674603747492E-3</v>
      </c>
      <c r="AX18" s="1">
        <v>0.28494544777900099</v>
      </c>
      <c r="AY18" s="1">
        <v>2.5793754909742002E-9</v>
      </c>
      <c r="AZ18" s="1">
        <v>1080577.4158407301</v>
      </c>
      <c r="BA18" s="1">
        <v>1.0465296768894201E-5</v>
      </c>
      <c r="BB18" s="4">
        <v>1789864.6150422599</v>
      </c>
      <c r="BC18" s="4">
        <v>-1797.16230149381</v>
      </c>
      <c r="BD18" s="7">
        <v>-0.10030700683687099</v>
      </c>
      <c r="BE18" s="4">
        <v>1687925</v>
      </c>
      <c r="BF18" s="1">
        <v>1.06039345056342</v>
      </c>
      <c r="BG18" s="1">
        <v>1</v>
      </c>
      <c r="BH18" s="1">
        <v>7.4999999999999997E-2</v>
      </c>
      <c r="BI18" s="1">
        <v>4.5999999999999999E-2</v>
      </c>
      <c r="BJ18" s="1">
        <v>5625</v>
      </c>
      <c r="BK18" s="1">
        <v>1.03776481401221</v>
      </c>
      <c r="BL18" s="1">
        <v>6.6892269446740302</v>
      </c>
      <c r="BM18" s="1">
        <v>1.7898646150422599</v>
      </c>
      <c r="BN18" s="1">
        <v>6.6892269446740302</v>
      </c>
      <c r="BO18" s="1">
        <v>1.03776481401221</v>
      </c>
      <c r="BP18" s="1">
        <v>1109.6076015434301</v>
      </c>
      <c r="BQ18" s="1">
        <v>1</v>
      </c>
      <c r="BR18" s="1">
        <v>0.29527500000000001</v>
      </c>
    </row>
    <row r="19" spans="1:70">
      <c r="A19" s="2" t="s">
        <v>87</v>
      </c>
      <c r="B19" s="1">
        <v>13789520</v>
      </c>
      <c r="C19" s="1">
        <v>608.621106065763</v>
      </c>
      <c r="D19" s="1">
        <v>85.147893581579396</v>
      </c>
      <c r="E19" s="1">
        <v>624.86627494838604</v>
      </c>
      <c r="F19" s="1">
        <v>2643264.3898665099</v>
      </c>
      <c r="G19" s="1">
        <v>1562686.9740257801</v>
      </c>
      <c r="H19" s="1">
        <v>2.2019594042733499E-5</v>
      </c>
      <c r="I19" s="1">
        <v>7.2223252690249804E-5</v>
      </c>
      <c r="J19" s="1">
        <v>0.49112124879375701</v>
      </c>
      <c r="K19" s="1">
        <v>7679.7516396704104</v>
      </c>
      <c r="L19" s="1">
        <v>6.5036382888884496E-3</v>
      </c>
      <c r="M19" s="1">
        <v>18</v>
      </c>
      <c r="N19" s="1">
        <v>3403.56</v>
      </c>
      <c r="O19" s="3">
        <v>1.6417322322758899E-5</v>
      </c>
      <c r="P19" s="3">
        <v>1.4363361612212499E-2</v>
      </c>
      <c r="Q19" s="3">
        <v>4.5719999999999997E-3</v>
      </c>
      <c r="R19" s="1">
        <v>0.29527500000000001</v>
      </c>
      <c r="S19" s="4">
        <v>2190295.0382812498</v>
      </c>
      <c r="T19" s="1">
        <v>595.90081561821296</v>
      </c>
      <c r="U19" s="5">
        <v>617.54805305862396</v>
      </c>
      <c r="V19" s="1">
        <v>0.03</v>
      </c>
      <c r="W19" s="3">
        <v>215457.98257990601</v>
      </c>
      <c r="X19" s="1">
        <v>2.48435621330972E-2</v>
      </c>
      <c r="Y19" s="1">
        <v>6.3444366739096001</v>
      </c>
      <c r="Z19" s="1">
        <v>6.3444367045684302</v>
      </c>
      <c r="AA19" s="1">
        <v>-3.0658828364948898E-8</v>
      </c>
      <c r="AB19" s="1">
        <v>1.3556076460718E-5</v>
      </c>
      <c r="AC19" s="1">
        <v>633.69783229866096</v>
      </c>
      <c r="AD19" s="1">
        <v>6003.3620151630303</v>
      </c>
      <c r="AE19" s="1">
        <v>617.54805305862396</v>
      </c>
      <c r="AF19" s="6">
        <v>0</v>
      </c>
      <c r="AG19" s="1">
        <v>1.3590110725364099E-5</v>
      </c>
      <c r="AH19" s="1">
        <v>57.570979105061902</v>
      </c>
      <c r="AI19" s="1">
        <v>0.303534642853448</v>
      </c>
      <c r="AJ19" s="1">
        <v>35.6895689022356</v>
      </c>
      <c r="AK19" s="1">
        <v>1.6124748354457199</v>
      </c>
      <c r="AL19" s="1">
        <v>1.1293680422758501</v>
      </c>
      <c r="AM19" s="1">
        <v>608.62110605992598</v>
      </c>
      <c r="AN19" s="1">
        <v>5.8365685617900503E-9</v>
      </c>
      <c r="AO19" s="1">
        <v>3.4034264646138501E-8</v>
      </c>
      <c r="AP19" s="1">
        <v>3.7363574369649899</v>
      </c>
      <c r="AQ19" s="1">
        <v>3.9061186961488802E-5</v>
      </c>
      <c r="AR19" s="1">
        <v>6.8120724950051197E-6</v>
      </c>
      <c r="AS19" s="1">
        <v>17.889473867476202</v>
      </c>
      <c r="AT19" s="1">
        <v>11.3710624388998</v>
      </c>
      <c r="AU19" s="1">
        <v>3.4515113762557101</v>
      </c>
      <c r="AV19" s="1">
        <v>0.28484606070927398</v>
      </c>
      <c r="AW19" s="1">
        <v>8.1500674603747492E-3</v>
      </c>
      <c r="AX19" s="1">
        <v>0.28484605809060498</v>
      </c>
      <c r="AY19" s="1">
        <v>2.6186693369290001E-9</v>
      </c>
      <c r="AZ19" s="1">
        <v>1080577.4158407301</v>
      </c>
      <c r="BA19" s="1">
        <v>1.0454349622721801E-5</v>
      </c>
      <c r="BB19" s="4">
        <v>2198175.3009246201</v>
      </c>
      <c r="BC19" s="4">
        <v>7880.2626433693804</v>
      </c>
      <c r="BD19" s="7">
        <v>0.35978087452333002</v>
      </c>
      <c r="BE19" s="4">
        <v>2665975</v>
      </c>
      <c r="BF19" s="1">
        <v>0.82452960021178701</v>
      </c>
      <c r="BG19" s="1">
        <v>1</v>
      </c>
      <c r="BH19" s="1">
        <v>0.107</v>
      </c>
      <c r="BI19" s="1">
        <v>4.5999999999999999E-2</v>
      </c>
      <c r="BJ19" s="1">
        <v>5625</v>
      </c>
      <c r="BK19" s="1">
        <v>1.0402996295220199</v>
      </c>
      <c r="BL19" s="1">
        <v>12.720290447549999</v>
      </c>
      <c r="BM19" s="1">
        <v>2.1981753009246199</v>
      </c>
      <c r="BN19" s="1">
        <v>12.720290447549999</v>
      </c>
      <c r="BO19" s="1">
        <v>1.0402996295220199</v>
      </c>
      <c r="BP19" s="1">
        <v>744.182553266029</v>
      </c>
      <c r="BQ19" s="1">
        <v>1</v>
      </c>
      <c r="BR19" s="1">
        <v>0.29527500000000001</v>
      </c>
    </row>
    <row r="20" spans="1:70">
      <c r="A20" s="2" t="s">
        <v>88</v>
      </c>
      <c r="B20" s="1">
        <v>13789520</v>
      </c>
      <c r="C20" s="1">
        <v>608.621106065763</v>
      </c>
      <c r="D20" s="1">
        <v>85.147893581579396</v>
      </c>
      <c r="E20" s="1">
        <v>624.86627494838604</v>
      </c>
      <c r="F20" s="1">
        <v>2643264.3898665099</v>
      </c>
      <c r="G20" s="1">
        <v>1562686.9740257801</v>
      </c>
      <c r="H20" s="1">
        <v>2.2019594042733499E-5</v>
      </c>
      <c r="I20" s="1">
        <v>7.2223252690249804E-5</v>
      </c>
      <c r="J20" s="1">
        <v>0.49112124879375701</v>
      </c>
      <c r="K20" s="1">
        <v>7679.7516396704104</v>
      </c>
      <c r="L20" s="1">
        <v>6.5036382888884496E-3</v>
      </c>
      <c r="M20" s="1">
        <v>19</v>
      </c>
      <c r="N20" s="1">
        <v>3444.24</v>
      </c>
      <c r="O20" s="3">
        <v>1.6417322322758899E-5</v>
      </c>
      <c r="P20" s="3">
        <v>1.4363361612212499E-2</v>
      </c>
      <c r="Q20" s="3">
        <v>4.5719999999999997E-3</v>
      </c>
      <c r="R20" s="1">
        <v>0.29527500000000001</v>
      </c>
      <c r="S20" s="4">
        <v>2350934.27734375</v>
      </c>
      <c r="T20" s="1">
        <v>593.67847141905202</v>
      </c>
      <c r="U20" s="5">
        <v>616.638919249227</v>
      </c>
      <c r="V20" s="1">
        <v>0.03</v>
      </c>
      <c r="W20" s="3">
        <v>218033.177590821</v>
      </c>
      <c r="X20" s="1">
        <v>2.47226537432798E-2</v>
      </c>
      <c r="Y20" s="1">
        <v>6.3599317746615602</v>
      </c>
      <c r="Z20" s="1">
        <v>6.3599317991332303</v>
      </c>
      <c r="AA20" s="1">
        <v>-2.44716771291564E-8</v>
      </c>
      <c r="AB20" s="1">
        <v>1.3302485657419E-5</v>
      </c>
      <c r="AC20" s="1">
        <v>635.84429358945602</v>
      </c>
      <c r="AD20" s="1">
        <v>6060.3141614017104</v>
      </c>
      <c r="AE20" s="1">
        <v>616.638919249227</v>
      </c>
      <c r="AF20" s="6">
        <v>0</v>
      </c>
      <c r="AG20" s="1">
        <v>1.33380548411363E-5</v>
      </c>
      <c r="AH20" s="1">
        <v>58.668478565985303</v>
      </c>
      <c r="AI20" s="1">
        <v>0.30641418756933098</v>
      </c>
      <c r="AJ20" s="1">
        <v>35.359931163294398</v>
      </c>
      <c r="AK20" s="1">
        <v>1.7531108877300301</v>
      </c>
      <c r="AL20" s="1">
        <v>1.1293680422758501</v>
      </c>
      <c r="AM20" s="1">
        <v>608.62110606322506</v>
      </c>
      <c r="AN20" s="1">
        <v>2.53794496529736E-9</v>
      </c>
      <c r="AO20" s="1">
        <v>3.5569183717302898E-8</v>
      </c>
      <c r="AP20" s="1">
        <v>3.7563077870417798</v>
      </c>
      <c r="AQ20" s="1">
        <v>3.8647368421273698E-5</v>
      </c>
      <c r="AR20" s="1">
        <v>6.6868120124268098E-6</v>
      </c>
      <c r="AS20" s="1">
        <v>17.727113531732801</v>
      </c>
      <c r="AT20" s="1">
        <v>11.3254765273191</v>
      </c>
      <c r="AU20" s="1">
        <v>3.47028668895403</v>
      </c>
      <c r="AV20" s="1">
        <v>0.286021098087752</v>
      </c>
      <c r="AW20" s="1">
        <v>7.9976057831183597E-3</v>
      </c>
      <c r="AX20" s="1">
        <v>0.28602109468953602</v>
      </c>
      <c r="AY20" s="1">
        <v>3.3982159308720801E-9</v>
      </c>
      <c r="AZ20" s="1">
        <v>1080577.4158407301</v>
      </c>
      <c r="BA20" s="1">
        <v>1.0288658601032699E-5</v>
      </c>
      <c r="BB20" s="4">
        <v>2334307.76208454</v>
      </c>
      <c r="BC20" s="4">
        <v>-16626.515259213302</v>
      </c>
      <c r="BD20" s="7">
        <v>-0.70723011780657197</v>
      </c>
      <c r="BE20" s="4">
        <v>2688060</v>
      </c>
      <c r="BF20" s="1">
        <v>0.86839868235252804</v>
      </c>
      <c r="BG20" s="1">
        <v>1</v>
      </c>
      <c r="BH20" s="1">
        <v>9.2999999999999999E-2</v>
      </c>
      <c r="BI20" s="1">
        <v>4.5999999999999999E-2</v>
      </c>
      <c r="BJ20" s="1">
        <v>5625</v>
      </c>
      <c r="BK20" s="1">
        <v>1.04114160045421</v>
      </c>
      <c r="BL20" s="1">
        <v>14.942634646710999</v>
      </c>
      <c r="BM20" s="1">
        <v>2.3343077620845398</v>
      </c>
      <c r="BN20" s="1">
        <v>14.942634646710999</v>
      </c>
      <c r="BO20" s="1">
        <v>1.04114160045421</v>
      </c>
      <c r="BP20" s="1">
        <v>627.87155844820904</v>
      </c>
      <c r="BQ20" s="1">
        <v>1</v>
      </c>
      <c r="BR20" s="1">
        <v>0.29527500000000001</v>
      </c>
    </row>
    <row r="21" spans="1:70">
      <c r="A21" s="2" t="s">
        <v>89</v>
      </c>
      <c r="B21" s="1">
        <v>13789520</v>
      </c>
      <c r="C21" s="1">
        <v>608.621106065763</v>
      </c>
      <c r="D21" s="1">
        <v>85.147893581579396</v>
      </c>
      <c r="E21" s="1">
        <v>624.86627494838604</v>
      </c>
      <c r="F21" s="1">
        <v>2643264.3898665099</v>
      </c>
      <c r="G21" s="1">
        <v>1562686.9740257801</v>
      </c>
      <c r="H21" s="1">
        <v>2.2019594042733499E-5</v>
      </c>
      <c r="I21" s="1">
        <v>7.2223252690249804E-5</v>
      </c>
      <c r="J21" s="1">
        <v>0.49112124879375701</v>
      </c>
      <c r="K21" s="1">
        <v>7679.7516396704104</v>
      </c>
      <c r="L21" s="1">
        <v>6.5036382888884496E-3</v>
      </c>
      <c r="M21" s="1">
        <v>20</v>
      </c>
      <c r="N21" s="1">
        <v>3444.24</v>
      </c>
      <c r="O21" s="3">
        <v>1.6417322322758899E-5</v>
      </c>
      <c r="P21" s="3">
        <v>1.4363361612212499E-2</v>
      </c>
      <c r="Q21" s="3">
        <v>4.5719999999999997E-3</v>
      </c>
      <c r="R21" s="1">
        <v>0.29527500000000001</v>
      </c>
      <c r="S21" s="4">
        <v>2385779.55859375</v>
      </c>
      <c r="T21" s="1">
        <v>593.12482744566205</v>
      </c>
      <c r="U21" s="5">
        <v>616.42559242973596</v>
      </c>
      <c r="V21" s="1">
        <v>0.03</v>
      </c>
      <c r="W21" s="3">
        <v>218033.177590821</v>
      </c>
      <c r="X21" s="1">
        <v>2.47226537432798E-2</v>
      </c>
      <c r="Y21" s="1">
        <v>6.3599317746615602</v>
      </c>
      <c r="Z21" s="1">
        <v>6.3599317991332303</v>
      </c>
      <c r="AA21" s="1">
        <v>-2.44716771291564E-8</v>
      </c>
      <c r="AB21" s="1">
        <v>1.3302485657419E-5</v>
      </c>
      <c r="AC21" s="1">
        <v>636.39071363646804</v>
      </c>
      <c r="AD21" s="1">
        <v>6060.3141614017104</v>
      </c>
      <c r="AE21" s="1">
        <v>616.42559280868795</v>
      </c>
      <c r="AF21" s="6">
        <v>3.7895188143011198E-7</v>
      </c>
      <c r="AG21" s="1">
        <v>1.3338597135314901E-5</v>
      </c>
      <c r="AH21" s="1">
        <v>58.668478565985303</v>
      </c>
      <c r="AI21" s="1">
        <v>0.30641418756933098</v>
      </c>
      <c r="AJ21" s="1">
        <v>35.361368815564902</v>
      </c>
      <c r="AK21" s="1">
        <v>1.78828738123106</v>
      </c>
      <c r="AL21" s="1">
        <v>1.1293680422758501</v>
      </c>
      <c r="AM21" s="1">
        <v>608.62110606316799</v>
      </c>
      <c r="AN21" s="1">
        <v>2.59501575783361E-9</v>
      </c>
      <c r="AO21" s="1">
        <v>3.61114778959072E-8</v>
      </c>
      <c r="AP21" s="1">
        <v>3.7564232406676799</v>
      </c>
      <c r="AQ21" s="1">
        <v>3.8644992804917099E-5</v>
      </c>
      <c r="AR21" s="1">
        <v>6.6873543066054199E-6</v>
      </c>
      <c r="AS21" s="1">
        <v>17.728551184003301</v>
      </c>
      <c r="AT21" s="1">
        <v>11.3258820061849</v>
      </c>
      <c r="AU21" s="1">
        <v>3.4704109334312401</v>
      </c>
      <c r="AV21" s="1">
        <v>0.286012307236437</v>
      </c>
      <c r="AW21" s="1">
        <v>7.9976057831183597E-3</v>
      </c>
      <c r="AX21" s="1">
        <v>0.286012303834419</v>
      </c>
      <c r="AY21" s="1">
        <v>3.4020173345084E-9</v>
      </c>
      <c r="AZ21" s="1">
        <v>1080577.4158407301</v>
      </c>
      <c r="BA21" s="1">
        <v>1.02877099647718E-5</v>
      </c>
      <c r="BB21" s="4">
        <v>2370115.5681882999</v>
      </c>
      <c r="BC21" s="4">
        <v>-15663.9904054492</v>
      </c>
      <c r="BD21" s="7">
        <v>-0.656556484819662</v>
      </c>
      <c r="BE21" s="4">
        <v>2722765</v>
      </c>
      <c r="BF21" s="1">
        <v>0.87048113523873705</v>
      </c>
      <c r="BG21" s="1">
        <v>1</v>
      </c>
      <c r="BH21" s="1">
        <v>9.1999999999999998E-2</v>
      </c>
      <c r="BI21" s="1">
        <v>4.5999999999999999E-2</v>
      </c>
      <c r="BJ21" s="1">
        <v>5625</v>
      </c>
      <c r="BK21" s="1">
        <v>1.0413427827431501</v>
      </c>
      <c r="BL21" s="1">
        <v>15.496278620101</v>
      </c>
      <c r="BM21" s="1">
        <v>2.3701155681883002</v>
      </c>
      <c r="BN21" s="1">
        <v>15.496278620101</v>
      </c>
      <c r="BO21" s="1">
        <v>1.0413427827431501</v>
      </c>
      <c r="BP21" s="1">
        <v>600.43236146372203</v>
      </c>
      <c r="BQ21" s="1">
        <v>1</v>
      </c>
      <c r="BR21" s="1">
        <v>0.29527500000000001</v>
      </c>
    </row>
    <row r="22" spans="1:70">
      <c r="A22" s="2" t="s">
        <v>90</v>
      </c>
      <c r="B22" s="1">
        <v>13789520</v>
      </c>
      <c r="C22" s="1">
        <v>608.621106065763</v>
      </c>
      <c r="D22" s="1">
        <v>85.147893581579396</v>
      </c>
      <c r="E22" s="1">
        <v>624.86627494838604</v>
      </c>
      <c r="F22" s="1">
        <v>2643264.3898665099</v>
      </c>
      <c r="G22" s="1">
        <v>1562686.9740257801</v>
      </c>
      <c r="H22" s="1">
        <v>2.2019594042733499E-5</v>
      </c>
      <c r="I22" s="1">
        <v>7.2223252690249804E-5</v>
      </c>
      <c r="J22" s="1">
        <v>0.49112124879375701</v>
      </c>
      <c r="K22" s="1">
        <v>7679.7516396704104</v>
      </c>
      <c r="L22" s="1">
        <v>6.5036382888884496E-3</v>
      </c>
      <c r="M22" s="1">
        <v>21</v>
      </c>
      <c r="N22" s="1">
        <v>3444.24</v>
      </c>
      <c r="O22" s="3">
        <v>1.6417322322758899E-5</v>
      </c>
      <c r="P22" s="3">
        <v>1.4363361612212499E-2</v>
      </c>
      <c r="Q22" s="3">
        <v>4.5719999999999997E-3</v>
      </c>
      <c r="R22" s="1">
        <v>0.29527500000000001</v>
      </c>
      <c r="S22" s="4">
        <v>2139277.31640625</v>
      </c>
      <c r="T22" s="1">
        <v>596.97613648179595</v>
      </c>
      <c r="U22" s="5">
        <v>617.86943226253595</v>
      </c>
      <c r="V22" s="1">
        <v>0.03</v>
      </c>
      <c r="W22" s="3">
        <v>218033.177590821</v>
      </c>
      <c r="X22" s="1">
        <v>2.47226537432798E-2</v>
      </c>
      <c r="Y22" s="1">
        <v>6.3599317746615602</v>
      </c>
      <c r="Z22" s="1">
        <v>6.3599317991332303</v>
      </c>
      <c r="AA22" s="1">
        <v>-2.44716771291564E-8</v>
      </c>
      <c r="AB22" s="1">
        <v>1.3302485657419E-5</v>
      </c>
      <c r="AC22" s="1">
        <v>632.59073621566097</v>
      </c>
      <c r="AD22" s="1">
        <v>6060.3141614017104</v>
      </c>
      <c r="AE22" s="1">
        <v>617.86943226253595</v>
      </c>
      <c r="AF22" s="6">
        <v>0</v>
      </c>
      <c r="AG22" s="1">
        <v>1.3334909922903401E-5</v>
      </c>
      <c r="AH22" s="1">
        <v>58.668478565985303</v>
      </c>
      <c r="AI22" s="1">
        <v>0.30641418756933098</v>
      </c>
      <c r="AJ22" s="1">
        <v>35.351593808743502</v>
      </c>
      <c r="AK22" s="1">
        <v>1.54364785312944</v>
      </c>
      <c r="AL22" s="1">
        <v>1.1293680422758501</v>
      </c>
      <c r="AM22" s="1">
        <v>608.62110606355895</v>
      </c>
      <c r="AN22" s="1">
        <v>2.2043877834221299E-9</v>
      </c>
      <c r="AO22" s="1">
        <v>3.2424265484386903E-8</v>
      </c>
      <c r="AP22" s="1">
        <v>3.7556380638685498</v>
      </c>
      <c r="AQ22" s="1">
        <v>3.8661153213934298E-5</v>
      </c>
      <c r="AR22" s="1">
        <v>6.6836670941938997E-6</v>
      </c>
      <c r="AS22" s="1">
        <v>17.718776177181901</v>
      </c>
      <c r="AT22" s="1">
        <v>11.323124391493799</v>
      </c>
      <c r="AU22" s="1">
        <v>3.4695659611660399</v>
      </c>
      <c r="AV22" s="1">
        <v>0.28607210270250299</v>
      </c>
      <c r="AW22" s="1">
        <v>7.9976057831183597E-3</v>
      </c>
      <c r="AX22" s="1">
        <v>0.28607209932626898</v>
      </c>
      <c r="AY22" s="1">
        <v>3.3762342921406201E-9</v>
      </c>
      <c r="AZ22" s="1">
        <v>1080577.4158407301</v>
      </c>
      <c r="BA22" s="1">
        <v>1.02941637496641E-5</v>
      </c>
      <c r="BB22" s="4">
        <v>2126777.4485671301</v>
      </c>
      <c r="BC22" s="4">
        <v>-12499.867839119899</v>
      </c>
      <c r="BD22" s="7">
        <v>-0.58430329454052599</v>
      </c>
      <c r="BE22" s="4">
        <v>2126470</v>
      </c>
      <c r="BF22" s="1">
        <v>1.0001445816621599</v>
      </c>
      <c r="BG22" s="1">
        <v>1</v>
      </c>
      <c r="BH22" s="1">
        <v>7.2999999999999995E-2</v>
      </c>
      <c r="BI22" s="1">
        <v>4.5999999999999999E-2</v>
      </c>
      <c r="BJ22" s="1">
        <v>5625</v>
      </c>
      <c r="BK22" s="1">
        <v>1.0398732903677901</v>
      </c>
      <c r="BL22" s="1">
        <v>11.6449695839671</v>
      </c>
      <c r="BM22" s="1">
        <v>2.1267774485671298</v>
      </c>
      <c r="BN22" s="1">
        <v>11.6449695839671</v>
      </c>
      <c r="BO22" s="1">
        <v>1.0398732903677901</v>
      </c>
      <c r="BP22" s="1">
        <v>804.00774989415402</v>
      </c>
      <c r="BQ22" s="1">
        <v>1</v>
      </c>
      <c r="BR22" s="1">
        <v>0.29527500000000001</v>
      </c>
    </row>
    <row r="23" spans="1:70">
      <c r="A23" s="2" t="s">
        <v>91</v>
      </c>
      <c r="B23" s="1">
        <v>13789520</v>
      </c>
      <c r="C23" s="1">
        <v>608.621106065763</v>
      </c>
      <c r="D23" s="1">
        <v>85.147893581579396</v>
      </c>
      <c r="E23" s="1">
        <v>624.86627494838604</v>
      </c>
      <c r="F23" s="1">
        <v>2643264.3898665099</v>
      </c>
      <c r="G23" s="1">
        <v>1562686.9740257801</v>
      </c>
      <c r="H23" s="1">
        <v>2.2019594042733499E-5</v>
      </c>
      <c r="I23" s="1">
        <v>7.2223252690249804E-5</v>
      </c>
      <c r="J23" s="1">
        <v>0.49112124879375701</v>
      </c>
      <c r="K23" s="1">
        <v>7679.7516396704104</v>
      </c>
      <c r="L23" s="1">
        <v>6.5036382888884496E-3</v>
      </c>
      <c r="M23" s="1">
        <v>22</v>
      </c>
      <c r="N23" s="1">
        <v>3444.24</v>
      </c>
      <c r="O23" s="3">
        <v>1.6417322322758899E-5</v>
      </c>
      <c r="P23" s="3">
        <v>1.4363361612212499E-2</v>
      </c>
      <c r="Q23" s="3">
        <v>4.5719999999999997E-3</v>
      </c>
      <c r="R23" s="1">
        <v>0.29527500000000001</v>
      </c>
      <c r="S23" s="4">
        <v>2174096.94837625</v>
      </c>
      <c r="T23" s="1">
        <v>596.439958239725</v>
      </c>
      <c r="U23" s="5">
        <v>617.67332067014502</v>
      </c>
      <c r="V23" s="1">
        <v>0.03</v>
      </c>
      <c r="W23" s="3">
        <v>218033.177590821</v>
      </c>
      <c r="X23" s="1">
        <v>2.47226537432798E-2</v>
      </c>
      <c r="Y23" s="1">
        <v>6.3599317746615602</v>
      </c>
      <c r="Z23" s="1">
        <v>6.3599317991332303</v>
      </c>
      <c r="AA23" s="1">
        <v>-2.44716771291564E-8</v>
      </c>
      <c r="AB23" s="1">
        <v>1.3302485657419E-5</v>
      </c>
      <c r="AC23" s="1">
        <v>633.12054076269101</v>
      </c>
      <c r="AD23" s="1">
        <v>6060.3141614017104</v>
      </c>
      <c r="AE23" s="1">
        <v>617.67332101462705</v>
      </c>
      <c r="AF23" s="6">
        <v>3.44482486980269E-7</v>
      </c>
      <c r="AG23" s="1">
        <v>1.3335578411057999E-5</v>
      </c>
      <c r="AH23" s="1">
        <v>58.668478565985303</v>
      </c>
      <c r="AI23" s="1">
        <v>0.30641418756933098</v>
      </c>
      <c r="AJ23" s="1">
        <v>35.353366008319099</v>
      </c>
      <c r="AK23" s="1">
        <v>1.5777546132779501</v>
      </c>
      <c r="AL23" s="1">
        <v>1.1293680422758501</v>
      </c>
      <c r="AM23" s="1">
        <v>608.62110606350302</v>
      </c>
      <c r="AN23" s="1">
        <v>2.2597532733925602E-9</v>
      </c>
      <c r="AO23" s="1">
        <v>3.30927536389483E-8</v>
      </c>
      <c r="AP23" s="1">
        <v>3.7557804461039002</v>
      </c>
      <c r="AQ23" s="1">
        <v>3.8658221968536103E-5</v>
      </c>
      <c r="AR23" s="1">
        <v>6.6843355823484603E-6</v>
      </c>
      <c r="AS23" s="1">
        <v>17.720548376757499</v>
      </c>
      <c r="AT23" s="1">
        <v>11.3236244573385</v>
      </c>
      <c r="AU23" s="1">
        <v>3.4697191884356</v>
      </c>
      <c r="AV23" s="1">
        <v>0.28606125766829998</v>
      </c>
      <c r="AW23" s="1">
        <v>7.9976057831183597E-3</v>
      </c>
      <c r="AX23" s="1">
        <v>0.28606125428738599</v>
      </c>
      <c r="AY23" s="1">
        <v>3.38091410423402E-9</v>
      </c>
      <c r="AZ23" s="1">
        <v>1080577.4158407301</v>
      </c>
      <c r="BA23" s="1">
        <v>1.02929930338816E-5</v>
      </c>
      <c r="BB23" s="4">
        <v>2170871.9121815199</v>
      </c>
      <c r="BC23" s="4">
        <v>-3225.0361947310198</v>
      </c>
      <c r="BD23" s="7">
        <v>-0.148339116024227</v>
      </c>
      <c r="BE23" s="4">
        <v>2148555</v>
      </c>
      <c r="BF23" s="1">
        <v>1.0103869401442001</v>
      </c>
      <c r="BG23" s="1">
        <v>1</v>
      </c>
      <c r="BH23" s="1">
        <v>7.1999999999999995E-2</v>
      </c>
      <c r="BI23" s="1">
        <v>4.5999999999999999E-2</v>
      </c>
      <c r="BJ23" s="1">
        <v>5625</v>
      </c>
      <c r="BK23" s="1">
        <v>1.0400873655965699</v>
      </c>
      <c r="BL23" s="1">
        <v>12.181147826038</v>
      </c>
      <c r="BM23" s="1">
        <v>2.1708719121815201</v>
      </c>
      <c r="BN23" s="1">
        <v>12.181147826038</v>
      </c>
      <c r="BO23" s="1">
        <v>1.0400873655965699</v>
      </c>
      <c r="BP23" s="1">
        <v>773.88853627674996</v>
      </c>
      <c r="BQ23" s="1">
        <v>1</v>
      </c>
      <c r="BR23" s="1">
        <v>0.29527500000000001</v>
      </c>
    </row>
    <row r="24" spans="1:70">
      <c r="A24" s="2" t="s">
        <v>92</v>
      </c>
      <c r="B24" s="1">
        <v>13789520</v>
      </c>
      <c r="C24" s="1">
        <v>608.621106065763</v>
      </c>
      <c r="D24" s="1">
        <v>85.147893581579396</v>
      </c>
      <c r="E24" s="1">
        <v>624.86627494838604</v>
      </c>
      <c r="F24" s="1">
        <v>2643264.3898665099</v>
      </c>
      <c r="G24" s="1">
        <v>1562686.9740257801</v>
      </c>
      <c r="H24" s="1">
        <v>2.2019594042733499E-5</v>
      </c>
      <c r="I24" s="1">
        <v>7.2223252690249804E-5</v>
      </c>
      <c r="J24" s="1">
        <v>0.49112124879375701</v>
      </c>
      <c r="K24" s="1">
        <v>7679.7516396704104</v>
      </c>
      <c r="L24" s="1">
        <v>6.5036382888884496E-3</v>
      </c>
      <c r="M24" s="1">
        <v>23</v>
      </c>
      <c r="N24" s="1">
        <v>3444.24</v>
      </c>
      <c r="O24" s="3">
        <v>1.6417322322758899E-5</v>
      </c>
      <c r="P24" s="3">
        <v>1.4363361612212499E-2</v>
      </c>
      <c r="Q24" s="3">
        <v>4.5719999999999997E-3</v>
      </c>
      <c r="R24" s="1">
        <v>0.29527500000000001</v>
      </c>
      <c r="S24" s="4">
        <v>2209105.87890625</v>
      </c>
      <c r="T24" s="1">
        <v>595.90081561821296</v>
      </c>
      <c r="U24" s="5">
        <v>617.47609348658</v>
      </c>
      <c r="V24" s="1">
        <v>0.03</v>
      </c>
      <c r="W24" s="3">
        <v>218033.177590821</v>
      </c>
      <c r="X24" s="1">
        <v>2.47226537432798E-2</v>
      </c>
      <c r="Y24" s="1">
        <v>6.3599317746615602</v>
      </c>
      <c r="Z24" s="1">
        <v>6.3599317991332303</v>
      </c>
      <c r="AA24" s="1">
        <v>-2.44716771291564E-8</v>
      </c>
      <c r="AB24" s="1">
        <v>1.3302485657419E-5</v>
      </c>
      <c r="AC24" s="1">
        <v>633.65078881280704</v>
      </c>
      <c r="AD24" s="1">
        <v>6060.3141614017104</v>
      </c>
      <c r="AE24" s="1">
        <v>617.47609348658</v>
      </c>
      <c r="AF24" s="6">
        <v>0</v>
      </c>
      <c r="AG24" s="1">
        <v>1.3336382115350901E-5</v>
      </c>
      <c r="AH24" s="1">
        <v>58.668478565985303</v>
      </c>
      <c r="AI24" s="1">
        <v>0.30641418756933098</v>
      </c>
      <c r="AJ24" s="1">
        <v>35.355496673458099</v>
      </c>
      <c r="AK24" s="1">
        <v>1.6118867535924299</v>
      </c>
      <c r="AL24" s="1">
        <v>1.1293680422758501</v>
      </c>
      <c r="AM24" s="1">
        <v>608.62110606344595</v>
      </c>
      <c r="AN24" s="1">
        <v>2.3167103790910898E-9</v>
      </c>
      <c r="AO24" s="1">
        <v>3.3896457931832802E-8</v>
      </c>
      <c r="AP24" s="1">
        <v>3.75595161037685</v>
      </c>
      <c r="AQ24" s="1">
        <v>3.8654698624056602E-5</v>
      </c>
      <c r="AR24" s="1">
        <v>6.6851392866413396E-6</v>
      </c>
      <c r="AS24" s="1">
        <v>17.722679041896502</v>
      </c>
      <c r="AT24" s="1">
        <v>11.324225606076</v>
      </c>
      <c r="AU24" s="1">
        <v>3.4699033889375999</v>
      </c>
      <c r="AV24" s="1">
        <v>0.28604822143924902</v>
      </c>
      <c r="AW24" s="1">
        <v>7.9976057831183597E-3</v>
      </c>
      <c r="AX24" s="1">
        <v>0.28604821805271402</v>
      </c>
      <c r="AY24" s="1">
        <v>3.3865352189188501E-9</v>
      </c>
      <c r="AZ24" s="1">
        <v>1080577.4158407301</v>
      </c>
      <c r="BA24" s="1">
        <v>1.0291585897236299E-5</v>
      </c>
      <c r="BB24" s="4">
        <v>2223898.62991209</v>
      </c>
      <c r="BC24" s="4">
        <v>14792.751005837201</v>
      </c>
      <c r="BD24" s="7">
        <v>0.66962616627326499</v>
      </c>
      <c r="BE24" s="4">
        <v>2148555</v>
      </c>
      <c r="BF24" s="1">
        <v>1.0350671171611101</v>
      </c>
      <c r="BG24" s="1">
        <v>1</v>
      </c>
      <c r="BH24" s="1">
        <v>6.8000000000000005E-2</v>
      </c>
      <c r="BI24" s="1">
        <v>4.5999999999999999E-2</v>
      </c>
      <c r="BJ24" s="1">
        <v>5625</v>
      </c>
      <c r="BK24" s="1">
        <v>1.0402996295220199</v>
      </c>
      <c r="BL24" s="1">
        <v>12.720290447549999</v>
      </c>
      <c r="BM24" s="1">
        <v>2.2238986299120902</v>
      </c>
      <c r="BN24" s="1">
        <v>12.720290447549999</v>
      </c>
      <c r="BO24" s="1">
        <v>1.0402996295220199</v>
      </c>
      <c r="BP24" s="1">
        <v>744.182553266029</v>
      </c>
      <c r="BQ24" s="1">
        <v>1</v>
      </c>
      <c r="BR24" s="1">
        <v>0.29527500000000001</v>
      </c>
    </row>
    <row r="25" spans="1:70">
      <c r="A25" s="2" t="s">
        <v>93</v>
      </c>
      <c r="B25" s="1">
        <v>13789520</v>
      </c>
      <c r="C25" s="1">
        <v>608.621106065763</v>
      </c>
      <c r="D25" s="1">
        <v>85.147893581579396</v>
      </c>
      <c r="E25" s="1">
        <v>624.86627494838604</v>
      </c>
      <c r="F25" s="1">
        <v>2643264.3898665099</v>
      </c>
      <c r="G25" s="1">
        <v>1562686.9740257801</v>
      </c>
      <c r="H25" s="1">
        <v>2.2019594042733499E-5</v>
      </c>
      <c r="I25" s="1">
        <v>7.2223252690249804E-5</v>
      </c>
      <c r="J25" s="1">
        <v>0.49112124879375701</v>
      </c>
      <c r="K25" s="1">
        <v>7679.7516396704104</v>
      </c>
      <c r="L25" s="1">
        <v>6.5036382888884496E-3</v>
      </c>
      <c r="M25" s="1">
        <v>24</v>
      </c>
      <c r="N25" s="1">
        <v>3484.92</v>
      </c>
      <c r="O25" s="3">
        <v>1.6417322322758899E-5</v>
      </c>
      <c r="P25" s="3">
        <v>1.4363361612212499E-2</v>
      </c>
      <c r="Q25" s="3">
        <v>4.5719999999999997E-3</v>
      </c>
      <c r="R25" s="1">
        <v>0.29527500000000001</v>
      </c>
      <c r="S25" s="4">
        <v>2845759.53515625</v>
      </c>
      <c r="T25" s="1">
        <v>585.88293483903703</v>
      </c>
      <c r="U25" s="5">
        <v>613.35166981927705</v>
      </c>
      <c r="V25" s="1">
        <v>0.03</v>
      </c>
      <c r="W25" s="3">
        <v>220608.37260173599</v>
      </c>
      <c r="X25" s="1">
        <v>2.46040175636443E-2</v>
      </c>
      <c r="Y25" s="1">
        <v>6.3752465632928796</v>
      </c>
      <c r="Z25" s="1">
        <v>6.37524658222552</v>
      </c>
      <c r="AA25" s="1">
        <v>-1.8932640344360198E-8</v>
      </c>
      <c r="AB25" s="1">
        <v>1.30563878868422E-5</v>
      </c>
      <c r="AC25" s="1">
        <v>643.44383187679205</v>
      </c>
      <c r="AD25" s="1">
        <v>6117.1624777381203</v>
      </c>
      <c r="AE25" s="1">
        <v>613.351670272668</v>
      </c>
      <c r="AF25" s="6">
        <v>4.5339140797295798E-7</v>
      </c>
      <c r="AG25" s="1">
        <v>1.30990135043906E-5</v>
      </c>
      <c r="AH25" s="1">
        <v>59.7743113509297</v>
      </c>
      <c r="AI25" s="1">
        <v>0.30928848256476998</v>
      </c>
      <c r="AJ25" s="1">
        <v>35.051965837464103</v>
      </c>
      <c r="AK25" s="1">
        <v>2.24566633707789</v>
      </c>
      <c r="AL25" s="1">
        <v>1.1293680422758501</v>
      </c>
      <c r="AM25" s="1">
        <v>608.62110605553505</v>
      </c>
      <c r="AN25" s="1">
        <v>1.0227722668787499E-8</v>
      </c>
      <c r="AO25" s="1">
        <v>4.2625617548340603E-8</v>
      </c>
      <c r="AP25" s="1">
        <v>3.7773158744776301</v>
      </c>
      <c r="AQ25" s="1">
        <v>3.8218678022026699E-5</v>
      </c>
      <c r="AR25" s="1">
        <v>6.5708195609694602E-6</v>
      </c>
      <c r="AS25" s="1">
        <v>17.583014377230999</v>
      </c>
      <c r="AT25" s="1">
        <v>11.284666719200001</v>
      </c>
      <c r="AU25" s="1">
        <v>3.49021744583052</v>
      </c>
      <c r="AV25" s="1">
        <v>0.28709842864710999</v>
      </c>
      <c r="AW25" s="1">
        <v>7.8496490024185205E-3</v>
      </c>
      <c r="AX25" s="1">
        <v>0.28709842433932198</v>
      </c>
      <c r="AY25" s="1">
        <v>4.3077879041675301E-9</v>
      </c>
      <c r="AZ25" s="1">
        <v>1080577.4158407301</v>
      </c>
      <c r="BA25" s="1">
        <v>1.01179459944721E-5</v>
      </c>
      <c r="BB25" s="4">
        <v>2844600.6125478102</v>
      </c>
      <c r="BC25" s="4">
        <v>-1158.92260843841</v>
      </c>
      <c r="BD25" s="7">
        <v>-4.0724544506350303E-2</v>
      </c>
      <c r="BE25" s="4">
        <v>3139225</v>
      </c>
      <c r="BF25" s="1">
        <v>0.90614741299136303</v>
      </c>
      <c r="BG25" s="1">
        <v>1</v>
      </c>
      <c r="BH25" s="1">
        <v>7.6999999999999999E-2</v>
      </c>
      <c r="BI25" s="1">
        <v>4.5999999999999999E-2</v>
      </c>
      <c r="BJ25" s="1">
        <v>5625</v>
      </c>
      <c r="BK25" s="1">
        <v>1.0436266770331799</v>
      </c>
      <c r="BL25" s="1">
        <v>22.738171226725999</v>
      </c>
      <c r="BM25" s="1">
        <v>2.84460061254781</v>
      </c>
      <c r="BN25" s="1">
        <v>22.738171226725999</v>
      </c>
      <c r="BO25" s="1">
        <v>1.0436266770331799</v>
      </c>
      <c r="BP25" s="1">
        <v>297.97073259783099</v>
      </c>
      <c r="BQ25" s="1">
        <v>1</v>
      </c>
      <c r="BR25" s="1">
        <v>0.29527500000000001</v>
      </c>
    </row>
    <row r="26" spans="1:70">
      <c r="A26" s="2" t="s">
        <v>94</v>
      </c>
      <c r="B26" s="1">
        <v>13789520</v>
      </c>
      <c r="C26" s="1">
        <v>608.621106065763</v>
      </c>
      <c r="D26" s="1">
        <v>85.147893581579396</v>
      </c>
      <c r="E26" s="1">
        <v>624.86627494838604</v>
      </c>
      <c r="F26" s="1">
        <v>2643264.3898665099</v>
      </c>
      <c r="G26" s="1">
        <v>1562686.9740257801</v>
      </c>
      <c r="H26" s="1">
        <v>2.2019594042733499E-5</v>
      </c>
      <c r="I26" s="1">
        <v>7.2223252690249804E-5</v>
      </c>
      <c r="J26" s="1">
        <v>0.49112124879375701</v>
      </c>
      <c r="K26" s="1">
        <v>7679.7516396704104</v>
      </c>
      <c r="L26" s="1">
        <v>6.5036382888884496E-3</v>
      </c>
      <c r="M26" s="1">
        <v>25</v>
      </c>
      <c r="N26" s="1">
        <v>3484.92</v>
      </c>
      <c r="O26" s="3">
        <v>1.6417322322758899E-5</v>
      </c>
      <c r="P26" s="3">
        <v>1.4363361612212499E-2</v>
      </c>
      <c r="Q26" s="3">
        <v>4.5719999999999997E-3</v>
      </c>
      <c r="R26" s="1">
        <v>0.29527500000000001</v>
      </c>
      <c r="S26" s="4">
        <v>2909446.05078125</v>
      </c>
      <c r="T26" s="1">
        <v>584.781818283598</v>
      </c>
      <c r="U26" s="5">
        <v>612.86528827496795</v>
      </c>
      <c r="V26" s="1">
        <v>0.03</v>
      </c>
      <c r="W26" s="3">
        <v>220608.37260173599</v>
      </c>
      <c r="X26" s="1">
        <v>2.46040175636443E-2</v>
      </c>
      <c r="Y26" s="1">
        <v>6.3752465632928796</v>
      </c>
      <c r="Z26" s="1">
        <v>6.37524658222552</v>
      </c>
      <c r="AA26" s="1">
        <v>-1.8932640344360198E-8</v>
      </c>
      <c r="AB26" s="1">
        <v>1.30563878868422E-5</v>
      </c>
      <c r="AC26" s="1">
        <v>644.51590771178599</v>
      </c>
      <c r="AD26" s="1">
        <v>6117.1624777381203</v>
      </c>
      <c r="AE26" s="1">
        <v>612.86528827496795</v>
      </c>
      <c r="AF26" s="6">
        <v>0</v>
      </c>
      <c r="AG26" s="1">
        <v>1.31001824322596E-5</v>
      </c>
      <c r="AH26" s="1">
        <v>59.7743113509297</v>
      </c>
      <c r="AI26" s="1">
        <v>0.30928848256476998</v>
      </c>
      <c r="AJ26" s="1">
        <v>35.055093799712303</v>
      </c>
      <c r="AK26" s="1">
        <v>2.3147696286413399</v>
      </c>
      <c r="AL26" s="1">
        <v>1.1293680422758501</v>
      </c>
      <c r="AM26" s="1">
        <v>608.62110605514499</v>
      </c>
      <c r="AN26" s="1">
        <v>1.0617554835334901E-8</v>
      </c>
      <c r="AO26" s="1">
        <v>4.3794545417341901E-8</v>
      </c>
      <c r="AP26" s="1">
        <v>3.7775715273759398</v>
      </c>
      <c r="AQ26" s="1">
        <v>3.8213505182751E-5</v>
      </c>
      <c r="AR26" s="1">
        <v>6.5719884888384598E-6</v>
      </c>
      <c r="AS26" s="1">
        <v>17.586142339479199</v>
      </c>
      <c r="AT26" s="1">
        <v>11.285556124164</v>
      </c>
      <c r="AU26" s="1">
        <v>3.4904925285422399</v>
      </c>
      <c r="AV26" s="1">
        <v>0.28707899883370402</v>
      </c>
      <c r="AW26" s="1">
        <v>7.8496490024185205E-3</v>
      </c>
      <c r="AX26" s="1">
        <v>0.28707899451681601</v>
      </c>
      <c r="AY26" s="1">
        <v>4.3168883467892297E-9</v>
      </c>
      <c r="AZ26" s="1">
        <v>1080577.4158407301</v>
      </c>
      <c r="BA26" s="1">
        <v>1.01158918913432E-5</v>
      </c>
      <c r="BB26" s="4">
        <v>2923201.9223640198</v>
      </c>
      <c r="BC26" s="4">
        <v>13755.8715827698</v>
      </c>
      <c r="BD26" s="7">
        <v>0.472800366209782</v>
      </c>
      <c r="BE26" s="4">
        <v>3123450</v>
      </c>
      <c r="BF26" s="1">
        <v>0.93588881600922702</v>
      </c>
      <c r="BG26" s="1">
        <v>1</v>
      </c>
      <c r="BH26" s="1">
        <v>7.0000000000000007E-2</v>
      </c>
      <c r="BI26" s="1">
        <v>4.5999999999999999E-2</v>
      </c>
      <c r="BJ26" s="1">
        <v>5625</v>
      </c>
      <c r="BK26" s="1">
        <v>1.04391304461135</v>
      </c>
      <c r="BL26" s="1">
        <v>23.839287782165002</v>
      </c>
      <c r="BM26" s="1">
        <v>2.92320192236402</v>
      </c>
      <c r="BN26" s="1">
        <v>23.839287782165002</v>
      </c>
      <c r="BO26" s="1">
        <v>1.04391304461135</v>
      </c>
      <c r="BP26" s="1">
        <v>261.16861938768102</v>
      </c>
      <c r="BQ26" s="1">
        <v>1</v>
      </c>
      <c r="BR26" s="1">
        <v>0.29527500000000001</v>
      </c>
    </row>
    <row r="27" spans="1:70">
      <c r="A27" s="2" t="s">
        <v>95</v>
      </c>
      <c r="B27" s="1">
        <v>13789520</v>
      </c>
      <c r="C27" s="1">
        <v>608.621106065763</v>
      </c>
      <c r="D27" s="1">
        <v>85.147893581579396</v>
      </c>
      <c r="E27" s="1">
        <v>624.86627494838604</v>
      </c>
      <c r="F27" s="1">
        <v>2643264.3898665099</v>
      </c>
      <c r="G27" s="1">
        <v>1562686.9740257801</v>
      </c>
      <c r="H27" s="1">
        <v>2.2019594042733499E-5</v>
      </c>
      <c r="I27" s="1">
        <v>7.2223252690249804E-5</v>
      </c>
      <c r="J27" s="1">
        <v>0.49112124879375701</v>
      </c>
      <c r="K27" s="1">
        <v>7679.7516396704104</v>
      </c>
      <c r="L27" s="1">
        <v>6.5036382888884496E-3</v>
      </c>
      <c r="M27" s="1">
        <v>26</v>
      </c>
      <c r="N27" s="1">
        <v>3484.92</v>
      </c>
      <c r="O27" s="3">
        <v>1.6417322322758899E-5</v>
      </c>
      <c r="P27" s="3">
        <v>1.4363361612212499E-2</v>
      </c>
      <c r="Q27" s="3">
        <v>4.5719999999999997E-3</v>
      </c>
      <c r="R27" s="1">
        <v>0.29527500000000001</v>
      </c>
      <c r="S27" s="4">
        <v>2941200.6251562499</v>
      </c>
      <c r="T27" s="1">
        <v>584.22817624184802</v>
      </c>
      <c r="U27" s="5">
        <v>612.618157720623</v>
      </c>
      <c r="V27" s="1">
        <v>0.03</v>
      </c>
      <c r="W27" s="3">
        <v>220608.37260173599</v>
      </c>
      <c r="X27" s="1">
        <v>2.46040175636443E-2</v>
      </c>
      <c r="Y27" s="1">
        <v>6.3752465632928796</v>
      </c>
      <c r="Z27" s="1">
        <v>6.37524658222552</v>
      </c>
      <c r="AA27" s="1">
        <v>-1.8932640344360198E-8</v>
      </c>
      <c r="AB27" s="1">
        <v>1.30563878868422E-5</v>
      </c>
      <c r="AC27" s="1">
        <v>645.05267002963706</v>
      </c>
      <c r="AD27" s="1">
        <v>6117.1624777381203</v>
      </c>
      <c r="AE27" s="1">
        <v>612.61815819099604</v>
      </c>
      <c r="AF27" s="6">
        <v>4.7037258354976101E-7</v>
      </c>
      <c r="AG27" s="1">
        <v>1.31006578866139E-5</v>
      </c>
      <c r="AH27" s="1">
        <v>59.7743113509297</v>
      </c>
      <c r="AI27" s="1">
        <v>0.30928848256476998</v>
      </c>
      <c r="AJ27" s="1">
        <v>35.0563660794745</v>
      </c>
      <c r="AK27" s="1">
        <v>2.3493703960871199</v>
      </c>
      <c r="AL27" s="1">
        <v>1.1293680422758501</v>
      </c>
      <c r="AM27" s="1">
        <v>608.62110605495502</v>
      </c>
      <c r="AN27" s="1">
        <v>1.08075255411677E-8</v>
      </c>
      <c r="AO27" s="1">
        <v>4.4269999771694298E-8</v>
      </c>
      <c r="AP27" s="1">
        <v>3.7776755003392899</v>
      </c>
      <c r="AQ27" s="1">
        <v>3.8211401711080901E-5</v>
      </c>
      <c r="AR27" s="1">
        <v>6.5724639431928096E-6</v>
      </c>
      <c r="AS27" s="1">
        <v>17.5874146192414</v>
      </c>
      <c r="AT27" s="1">
        <v>11.2859178390068</v>
      </c>
      <c r="AU27" s="1">
        <v>3.4906044027770999</v>
      </c>
      <c r="AV27" s="1">
        <v>0.28707109756219301</v>
      </c>
      <c r="AW27" s="1">
        <v>7.8496490024185205E-3</v>
      </c>
      <c r="AX27" s="1">
        <v>0.28707109324160801</v>
      </c>
      <c r="AY27" s="1">
        <v>4.3205847788385704E-9</v>
      </c>
      <c r="AZ27" s="1">
        <v>1080577.4158407301</v>
      </c>
      <c r="BA27" s="1">
        <v>1.0115056655249799E-5</v>
      </c>
      <c r="BB27" s="4">
        <v>2955181.5884184102</v>
      </c>
      <c r="BC27" s="4">
        <v>13980.9632621608</v>
      </c>
      <c r="BD27" s="7">
        <v>0.47534884708580699</v>
      </c>
      <c r="BE27" s="4">
        <v>3155000</v>
      </c>
      <c r="BF27" s="1">
        <v>0.93666611360329999</v>
      </c>
      <c r="BG27" s="1">
        <v>1</v>
      </c>
      <c r="BH27" s="1">
        <v>6.9000000000000006E-2</v>
      </c>
      <c r="BI27" s="1">
        <v>4.5999999999999999E-2</v>
      </c>
      <c r="BJ27" s="1">
        <v>5625</v>
      </c>
      <c r="BK27" s="1">
        <v>1.04405056469424</v>
      </c>
      <c r="BL27" s="1">
        <v>24.392929823915001</v>
      </c>
      <c r="BM27" s="1">
        <v>2.9551815884184101</v>
      </c>
      <c r="BN27" s="1">
        <v>24.392929823915001</v>
      </c>
      <c r="BO27" s="1">
        <v>1.04405056469424</v>
      </c>
      <c r="BP27" s="1">
        <v>243.580639481242</v>
      </c>
      <c r="BQ27" s="1">
        <v>1</v>
      </c>
      <c r="BR27" s="1">
        <v>0.29527500000000001</v>
      </c>
    </row>
    <row r="28" spans="1:70">
      <c r="A28" s="2" t="s">
        <v>96</v>
      </c>
      <c r="B28" s="1">
        <v>13789520</v>
      </c>
      <c r="C28" s="1">
        <v>608.621106065763</v>
      </c>
      <c r="D28" s="1">
        <v>85.147893581579396</v>
      </c>
      <c r="E28" s="1">
        <v>624.86627494838604</v>
      </c>
      <c r="F28" s="1">
        <v>2643264.3898665099</v>
      </c>
      <c r="G28" s="1">
        <v>1562686.9740257801</v>
      </c>
      <c r="H28" s="1">
        <v>2.2019594042733499E-5</v>
      </c>
      <c r="I28" s="1">
        <v>7.2223252690249804E-5</v>
      </c>
      <c r="J28" s="1">
        <v>0.49112124879375701</v>
      </c>
      <c r="K28" s="1">
        <v>7679.7516396704104</v>
      </c>
      <c r="L28" s="1">
        <v>6.5036382888884496E-3</v>
      </c>
      <c r="M28" s="1">
        <v>27</v>
      </c>
      <c r="N28" s="1">
        <v>3525.6</v>
      </c>
      <c r="O28" s="3">
        <v>1.6417322322758899E-5</v>
      </c>
      <c r="P28" s="3">
        <v>1.4363361612212499E-2</v>
      </c>
      <c r="Q28" s="3">
        <v>4.5719999999999997E-3</v>
      </c>
      <c r="R28" s="1">
        <v>0.29527500000000001</v>
      </c>
      <c r="S28" s="4">
        <v>2933339.23828125</v>
      </c>
      <c r="T28" s="1">
        <v>584.781818283598</v>
      </c>
      <c r="U28" s="5">
        <v>612.76921646601602</v>
      </c>
      <c r="V28" s="1">
        <v>0.03</v>
      </c>
      <c r="W28" s="3">
        <v>223183.567612652</v>
      </c>
      <c r="X28" s="1">
        <v>2.44875838519109E-2</v>
      </c>
      <c r="Y28" s="1">
        <v>6.3903851198577204</v>
      </c>
      <c r="Z28" s="1">
        <v>6.3903851340290903</v>
      </c>
      <c r="AA28" s="1">
        <v>-1.41713742962679E-8</v>
      </c>
      <c r="AB28" s="1">
        <v>1.2817481132582999E-5</v>
      </c>
      <c r="AC28" s="1">
        <v>644.44207387757103</v>
      </c>
      <c r="AD28" s="1">
        <v>6173.9085809520902</v>
      </c>
      <c r="AE28" s="1">
        <v>612.76921692995302</v>
      </c>
      <c r="AF28" s="6">
        <v>4.6393654429266499E-7</v>
      </c>
      <c r="AG28" s="1">
        <v>1.28611777250252E-5</v>
      </c>
      <c r="AH28" s="1">
        <v>60.888452777409299</v>
      </c>
      <c r="AI28" s="1">
        <v>0.312157609585409</v>
      </c>
      <c r="AJ28" s="1">
        <v>34.734792439931297</v>
      </c>
      <c r="AK28" s="1">
        <v>2.31343177764247</v>
      </c>
      <c r="AL28" s="1">
        <v>1.1293680422758501</v>
      </c>
      <c r="AM28" s="1">
        <v>608.62110604572797</v>
      </c>
      <c r="AN28" s="1">
        <v>2.0035486159031299E-8</v>
      </c>
      <c r="AO28" s="1">
        <v>4.36965924422262E-8</v>
      </c>
      <c r="AP28" s="1">
        <v>3.7968977229865701</v>
      </c>
      <c r="AQ28" s="1">
        <v>3.7825482015655401E-5</v>
      </c>
      <c r="AR28" s="1">
        <v>6.45243715873372E-6</v>
      </c>
      <c r="AS28" s="1">
        <v>17.426402949413902</v>
      </c>
      <c r="AT28" s="1">
        <v>11.239932335008801</v>
      </c>
      <c r="AU28" s="1">
        <v>3.5086304095980698</v>
      </c>
      <c r="AV28" s="1">
        <v>0.28826731338849498</v>
      </c>
      <c r="AW28" s="1">
        <v>7.7060155425753198E-3</v>
      </c>
      <c r="AX28" s="1">
        <v>0.28826730812317602</v>
      </c>
      <c r="AY28" s="1">
        <v>5.2653189586138199E-9</v>
      </c>
      <c r="AZ28" s="1">
        <v>1080577.4158407301</v>
      </c>
      <c r="BA28" s="1">
        <v>9.9622072479483498E-6</v>
      </c>
      <c r="BB28" s="4">
        <v>2961658.4392535901</v>
      </c>
      <c r="BC28" s="4">
        <v>28319.2009723419</v>
      </c>
      <c r="BD28" s="7">
        <v>0.96542536242535604</v>
      </c>
      <c r="BE28" s="4">
        <v>3082435</v>
      </c>
      <c r="BF28" s="1">
        <v>0.96081780775704695</v>
      </c>
      <c r="BG28" s="1">
        <v>1</v>
      </c>
      <c r="BH28" s="1">
        <v>6.5000000000000002E-2</v>
      </c>
      <c r="BI28" s="1">
        <v>4.5999999999999999E-2</v>
      </c>
      <c r="BJ28" s="1">
        <v>5625</v>
      </c>
      <c r="BK28" s="1">
        <v>1.04391304461135</v>
      </c>
      <c r="BL28" s="1">
        <v>23.839287782165002</v>
      </c>
      <c r="BM28" s="1">
        <v>2.9616584392535898</v>
      </c>
      <c r="BN28" s="1">
        <v>23.839287782165002</v>
      </c>
      <c r="BO28" s="1">
        <v>1.04391304461135</v>
      </c>
      <c r="BP28" s="1">
        <v>261.16861938768102</v>
      </c>
      <c r="BQ28" s="1">
        <v>1</v>
      </c>
      <c r="BR28" s="1">
        <v>0.29527500000000001</v>
      </c>
    </row>
    <row r="29" spans="1:70">
      <c r="A29" s="2" t="s">
        <v>97</v>
      </c>
      <c r="B29" s="1">
        <v>13789520</v>
      </c>
      <c r="C29" s="1">
        <v>608.621106065763</v>
      </c>
      <c r="D29" s="1">
        <v>85.147893581579396</v>
      </c>
      <c r="E29" s="1">
        <v>624.86627494838604</v>
      </c>
      <c r="F29" s="1">
        <v>2643264.3898665099</v>
      </c>
      <c r="G29" s="1">
        <v>1562686.9740257801</v>
      </c>
      <c r="H29" s="1">
        <v>2.2019594042733499E-5</v>
      </c>
      <c r="I29" s="1">
        <v>7.2223252690249804E-5</v>
      </c>
      <c r="J29" s="1">
        <v>0.49112124879375701</v>
      </c>
      <c r="K29" s="1">
        <v>7679.7516396704104</v>
      </c>
      <c r="L29" s="1">
        <v>6.5036382888884496E-3</v>
      </c>
      <c r="M29" s="1">
        <v>28</v>
      </c>
      <c r="N29" s="1">
        <v>3634.08</v>
      </c>
      <c r="O29" s="3">
        <v>1.6417322322758899E-5</v>
      </c>
      <c r="P29" s="3">
        <v>1.4363361612212499E-2</v>
      </c>
      <c r="Q29" s="3">
        <v>4.5719999999999997E-3</v>
      </c>
      <c r="R29" s="1">
        <v>0.29527500000000001</v>
      </c>
      <c r="S29" s="4">
        <v>1920186.30859375</v>
      </c>
      <c r="T29" s="1">
        <v>601.35806991756397</v>
      </c>
      <c r="U29" s="5">
        <v>619.13194639462699</v>
      </c>
      <c r="V29" s="1">
        <v>0.03</v>
      </c>
      <c r="W29" s="3">
        <v>230050.754308426</v>
      </c>
      <c r="X29" s="1">
        <v>2.4187362497839902E-2</v>
      </c>
      <c r="Y29" s="1">
        <v>6.4299225721843003</v>
      </c>
      <c r="Z29" s="1">
        <v>6.4299226083853203</v>
      </c>
      <c r="AA29" s="1">
        <v>-3.6201019959492E-8</v>
      </c>
      <c r="AB29" s="1">
        <v>1.22134179005848E-5</v>
      </c>
      <c r="AC29" s="1">
        <v>628.140424467505</v>
      </c>
      <c r="AD29" s="1">
        <v>6324.7436715753302</v>
      </c>
      <c r="AE29" s="1">
        <v>619.13194639462597</v>
      </c>
      <c r="AF29" s="6">
        <v>0</v>
      </c>
      <c r="AG29" s="1">
        <v>1.22408036097004E-5</v>
      </c>
      <c r="AH29" s="1">
        <v>63.899933746575996</v>
      </c>
      <c r="AI29" s="1">
        <v>0.31978394883439198</v>
      </c>
      <c r="AJ29" s="1">
        <v>33.8669926358046</v>
      </c>
      <c r="AK29" s="1">
        <v>1.2657903340065899</v>
      </c>
      <c r="AL29" s="1">
        <v>1.1293680422758501</v>
      </c>
      <c r="AM29" s="1">
        <v>608.62110606528802</v>
      </c>
      <c r="AN29" s="1">
        <v>4.7509729483863297E-10</v>
      </c>
      <c r="AO29" s="1">
        <v>2.73857091156408E-8</v>
      </c>
      <c r="AP29" s="1">
        <v>3.8437556503665098</v>
      </c>
      <c r="AQ29" s="1">
        <v>3.6908867984873802E-5</v>
      </c>
      <c r="AR29" s="1">
        <v>6.13409465940804E-6</v>
      </c>
      <c r="AS29" s="1">
        <v>16.971380742753698</v>
      </c>
      <c r="AT29" s="1">
        <v>11.107642198406699</v>
      </c>
      <c r="AU29" s="1">
        <v>3.55204568444604</v>
      </c>
      <c r="AV29" s="1">
        <v>0.29170996592047799</v>
      </c>
      <c r="AW29" s="1">
        <v>7.3428458521871496E-3</v>
      </c>
      <c r="AX29" s="1">
        <v>0.29170995785206499</v>
      </c>
      <c r="AY29" s="1">
        <v>8.0684131043007296E-9</v>
      </c>
      <c r="AZ29" s="1">
        <v>1080577.4158407301</v>
      </c>
      <c r="BA29" s="1">
        <v>9.6022930025102994E-6</v>
      </c>
      <c r="BB29" s="4">
        <v>1925714.9823225399</v>
      </c>
      <c r="BC29" s="4">
        <v>5528.6737287857104</v>
      </c>
      <c r="BD29" s="7">
        <v>0.28792381781092102</v>
      </c>
      <c r="BE29" s="4">
        <v>2176950</v>
      </c>
      <c r="BF29" s="1">
        <v>0.88459311528631102</v>
      </c>
      <c r="BG29" s="1">
        <v>1</v>
      </c>
      <c r="BH29" s="1">
        <v>9.6000000000000002E-2</v>
      </c>
      <c r="BI29" s="1">
        <v>4.5999999999999999E-2</v>
      </c>
      <c r="BJ29" s="1">
        <v>5625</v>
      </c>
      <c r="BK29" s="1">
        <v>1.0380201159666</v>
      </c>
      <c r="BL29" s="1">
        <v>7.2630361481990304</v>
      </c>
      <c r="BM29" s="1">
        <v>1.9257149823225399</v>
      </c>
      <c r="BN29" s="1">
        <v>7.2630361481990304</v>
      </c>
      <c r="BO29" s="1">
        <v>1.0380201159666</v>
      </c>
      <c r="BP29" s="1">
        <v>1071.70880223412</v>
      </c>
      <c r="BQ29" s="1">
        <v>1</v>
      </c>
      <c r="BR29" s="1">
        <v>0.29527500000000001</v>
      </c>
    </row>
    <row r="30" spans="1:70">
      <c r="A30" s="2" t="s">
        <v>98</v>
      </c>
      <c r="B30" s="1">
        <v>13789520</v>
      </c>
      <c r="C30" s="1">
        <v>608.621106065763</v>
      </c>
      <c r="D30" s="1">
        <v>85.147893581579396</v>
      </c>
      <c r="E30" s="1">
        <v>624.86627494838604</v>
      </c>
      <c r="F30" s="1">
        <v>2643264.3898665099</v>
      </c>
      <c r="G30" s="1">
        <v>1562686.9740257801</v>
      </c>
      <c r="H30" s="1">
        <v>2.2019594042733499E-5</v>
      </c>
      <c r="I30" s="1">
        <v>7.2223252690249804E-5</v>
      </c>
      <c r="J30" s="1">
        <v>0.49112124879375701</v>
      </c>
      <c r="K30" s="1">
        <v>7679.7516396704104</v>
      </c>
      <c r="L30" s="1">
        <v>6.5036382888884496E-3</v>
      </c>
      <c r="M30" s="1">
        <v>29</v>
      </c>
      <c r="N30" s="1">
        <v>3634.08</v>
      </c>
      <c r="O30" s="3">
        <v>1.6417322322758899E-5</v>
      </c>
      <c r="P30" s="3">
        <v>1.4363361612212499E-2</v>
      </c>
      <c r="Q30" s="3">
        <v>4.5719999999999997E-3</v>
      </c>
      <c r="R30" s="1">
        <v>0.29527500000000001</v>
      </c>
      <c r="S30" s="4">
        <v>1920186.30859375</v>
      </c>
      <c r="T30" s="1">
        <v>601.35806991756397</v>
      </c>
      <c r="U30" s="5">
        <v>619.13194639462699</v>
      </c>
      <c r="V30" s="1">
        <v>0.03</v>
      </c>
      <c r="W30" s="3">
        <v>230050.754308426</v>
      </c>
      <c r="X30" s="1">
        <v>2.4187362497839902E-2</v>
      </c>
      <c r="Y30" s="1">
        <v>6.4299225721843003</v>
      </c>
      <c r="Z30" s="1">
        <v>6.4299226083853203</v>
      </c>
      <c r="AA30" s="1">
        <v>-3.6201019959492E-8</v>
      </c>
      <c r="AB30" s="1">
        <v>1.22134179005848E-5</v>
      </c>
      <c r="AC30" s="1">
        <v>628.140424467505</v>
      </c>
      <c r="AD30" s="1">
        <v>6324.7436715753302</v>
      </c>
      <c r="AE30" s="1">
        <v>619.13194639462597</v>
      </c>
      <c r="AF30" s="6">
        <v>0</v>
      </c>
      <c r="AG30" s="1">
        <v>1.22408036097004E-5</v>
      </c>
      <c r="AH30" s="1">
        <v>63.899933746575996</v>
      </c>
      <c r="AI30" s="1">
        <v>0.31978394883439198</v>
      </c>
      <c r="AJ30" s="1">
        <v>33.8669926358046</v>
      </c>
      <c r="AK30" s="1">
        <v>1.2657903340065899</v>
      </c>
      <c r="AL30" s="1">
        <v>1.1293680422758501</v>
      </c>
      <c r="AM30" s="1">
        <v>608.62110606528802</v>
      </c>
      <c r="AN30" s="1">
        <v>4.7509729483863297E-10</v>
      </c>
      <c r="AO30" s="1">
        <v>2.73857091156408E-8</v>
      </c>
      <c r="AP30" s="1">
        <v>3.8437556503665098</v>
      </c>
      <c r="AQ30" s="1">
        <v>3.6908867984873802E-5</v>
      </c>
      <c r="AR30" s="1">
        <v>6.13409465940804E-6</v>
      </c>
      <c r="AS30" s="1">
        <v>16.971380742753698</v>
      </c>
      <c r="AT30" s="1">
        <v>11.107642198406699</v>
      </c>
      <c r="AU30" s="1">
        <v>3.55204568444604</v>
      </c>
      <c r="AV30" s="1">
        <v>0.29170996592047799</v>
      </c>
      <c r="AW30" s="1">
        <v>7.3428458521871496E-3</v>
      </c>
      <c r="AX30" s="1">
        <v>0.29170995785206499</v>
      </c>
      <c r="AY30" s="1">
        <v>8.0684131043007296E-9</v>
      </c>
      <c r="AZ30" s="1">
        <v>1080577.4158407301</v>
      </c>
      <c r="BA30" s="1">
        <v>9.6022930025102994E-6</v>
      </c>
      <c r="BB30" s="4">
        <v>1925714.9823225399</v>
      </c>
      <c r="BC30" s="4">
        <v>5528.6737287857104</v>
      </c>
      <c r="BD30" s="7">
        <v>0.28792381781092102</v>
      </c>
      <c r="BE30" s="4">
        <v>2318925</v>
      </c>
      <c r="BF30" s="1">
        <v>0.83043435312592495</v>
      </c>
      <c r="BG30" s="1">
        <v>1</v>
      </c>
      <c r="BH30" s="1">
        <v>0.105</v>
      </c>
      <c r="BI30" s="1">
        <v>4.5999999999999999E-2</v>
      </c>
      <c r="BJ30" s="1">
        <v>5625</v>
      </c>
      <c r="BK30" s="1">
        <v>1.0380201159666</v>
      </c>
      <c r="BL30" s="1">
        <v>7.2630361481990304</v>
      </c>
      <c r="BM30" s="1">
        <v>1.9257149823225399</v>
      </c>
      <c r="BN30" s="1">
        <v>7.2630361481990304</v>
      </c>
      <c r="BO30" s="1">
        <v>1.0380201159666</v>
      </c>
      <c r="BP30" s="1">
        <v>1071.70880223412</v>
      </c>
      <c r="BQ30" s="1">
        <v>1</v>
      </c>
      <c r="BR30" s="1">
        <v>0.29527500000000001</v>
      </c>
    </row>
    <row r="31" spans="1:70">
      <c r="A31" s="2" t="s">
        <v>99</v>
      </c>
      <c r="B31" s="1">
        <v>13789520</v>
      </c>
      <c r="C31" s="1">
        <v>608.621106065763</v>
      </c>
      <c r="D31" s="1">
        <v>85.147893581579396</v>
      </c>
      <c r="E31" s="1">
        <v>624.86627494838604</v>
      </c>
      <c r="F31" s="1">
        <v>2643264.3898665099</v>
      </c>
      <c r="G31" s="1">
        <v>1562686.9740257801</v>
      </c>
      <c r="H31" s="1">
        <v>2.2019594042733499E-5</v>
      </c>
      <c r="I31" s="1">
        <v>7.2223252690249804E-5</v>
      </c>
      <c r="J31" s="1">
        <v>0.49112124879375701</v>
      </c>
      <c r="K31" s="1">
        <v>7679.7516396704104</v>
      </c>
      <c r="L31" s="1">
        <v>6.5036382888884496E-3</v>
      </c>
      <c r="M31" s="1">
        <v>30</v>
      </c>
      <c r="N31" s="1">
        <v>3674.76</v>
      </c>
      <c r="O31" s="3">
        <v>1.6417322322758899E-5</v>
      </c>
      <c r="P31" s="3">
        <v>1.4363361612212499E-2</v>
      </c>
      <c r="Q31" s="3">
        <v>4.5719999999999997E-3</v>
      </c>
      <c r="R31" s="1">
        <v>0.29527500000000001</v>
      </c>
      <c r="S31" s="4">
        <v>1976879.27734375</v>
      </c>
      <c r="T31" s="1">
        <v>600.78000150085597</v>
      </c>
      <c r="U31" s="5">
        <v>618.87607872777301</v>
      </c>
      <c r="V31" s="1">
        <v>0.03</v>
      </c>
      <c r="W31" s="3">
        <v>232625.94931934099</v>
      </c>
      <c r="X31" s="1">
        <v>2.4078453622407601E-2</v>
      </c>
      <c r="Y31" s="1">
        <v>6.4444477070153798</v>
      </c>
      <c r="Z31" s="1">
        <v>6.4444477301210199</v>
      </c>
      <c r="AA31" s="1">
        <v>-2.31056374033756E-8</v>
      </c>
      <c r="AB31" s="1">
        <v>1.19985328575276E-5</v>
      </c>
      <c r="AC31" s="1">
        <v>628.66355363442301</v>
      </c>
      <c r="AD31" s="1">
        <v>6381.1281323843996</v>
      </c>
      <c r="AE31" s="1">
        <v>618.87607872777301</v>
      </c>
      <c r="AF31" s="6">
        <v>0</v>
      </c>
      <c r="AG31" s="1">
        <v>1.2026155763017E-5</v>
      </c>
      <c r="AH31" s="1">
        <v>65.044335331130398</v>
      </c>
      <c r="AI31" s="1">
        <v>0.32263479093435898</v>
      </c>
      <c r="AJ31" s="1">
        <v>33.569746659590798</v>
      </c>
      <c r="AK31" s="1">
        <v>1.30157445135616</v>
      </c>
      <c r="AL31" s="1">
        <v>1.1293680422758501</v>
      </c>
      <c r="AM31" s="1">
        <v>608.62110606005103</v>
      </c>
      <c r="AN31" s="1">
        <v>5.7120814744848799E-9</v>
      </c>
      <c r="AO31" s="1">
        <v>2.76229054893639E-8</v>
      </c>
      <c r="AP31" s="1">
        <v>3.8624711826145202</v>
      </c>
      <c r="AQ31" s="1">
        <v>3.6552052090594701E-5</v>
      </c>
      <c r="AR31" s="1">
        <v>6.0268893342531903E-6</v>
      </c>
      <c r="AS31" s="1">
        <v>16.823426544869001</v>
      </c>
      <c r="AT31" s="1">
        <v>11.0638617613956</v>
      </c>
      <c r="AU31" s="1">
        <v>3.5695867263144998</v>
      </c>
      <c r="AV31" s="1">
        <v>0.29288445630001497</v>
      </c>
      <c r="AW31" s="1">
        <v>7.2136545185283096E-3</v>
      </c>
      <c r="AX31" s="1">
        <v>0.29288444695086202</v>
      </c>
      <c r="AY31" s="1">
        <v>9.3491527852762601E-9</v>
      </c>
      <c r="AZ31" s="1">
        <v>1080577.4158407301</v>
      </c>
      <c r="BA31" s="1">
        <v>9.4633850616466095E-6</v>
      </c>
      <c r="BB31" s="4">
        <v>1970905.57511904</v>
      </c>
      <c r="BC31" s="4">
        <v>-5973.7022247142204</v>
      </c>
      <c r="BD31" s="7">
        <v>-0.30217840275713898</v>
      </c>
      <c r="BE31" s="4">
        <v>2353630</v>
      </c>
      <c r="BF31" s="1">
        <v>0.83738972358401098</v>
      </c>
      <c r="BG31" s="1">
        <v>1</v>
      </c>
      <c r="BH31" s="1">
        <v>0.10199999999999999</v>
      </c>
      <c r="BI31" s="1">
        <v>4.5999999999999999E-2</v>
      </c>
      <c r="BJ31" s="1">
        <v>5625</v>
      </c>
      <c r="BK31" s="1">
        <v>1.0382745271175899</v>
      </c>
      <c r="BL31" s="1">
        <v>7.8411045649070301</v>
      </c>
      <c r="BM31" s="1">
        <v>1.9709055751190401</v>
      </c>
      <c r="BN31" s="1">
        <v>7.8411045649070301</v>
      </c>
      <c r="BO31" s="1">
        <v>1.0382745271175899</v>
      </c>
      <c r="BP31" s="1">
        <v>1034.1945556052401</v>
      </c>
      <c r="BQ31" s="1">
        <v>1</v>
      </c>
      <c r="BR31" s="1">
        <v>0.29527500000000001</v>
      </c>
    </row>
    <row r="32" spans="1:70">
      <c r="A32" s="2" t="s">
        <v>100</v>
      </c>
      <c r="B32" s="1">
        <v>13789520</v>
      </c>
      <c r="C32" s="1">
        <v>608.621106065763</v>
      </c>
      <c r="D32" s="1">
        <v>85.147893581579396</v>
      </c>
      <c r="E32" s="1">
        <v>624.86627494838604</v>
      </c>
      <c r="F32" s="1">
        <v>2643264.3898665099</v>
      </c>
      <c r="G32" s="1">
        <v>1562686.9740257801</v>
      </c>
      <c r="H32" s="1">
        <v>2.2019594042733499E-5</v>
      </c>
      <c r="I32" s="1">
        <v>7.2223252690249804E-5</v>
      </c>
      <c r="J32" s="1">
        <v>0.49112124879375701</v>
      </c>
      <c r="K32" s="1">
        <v>7679.7516396704104</v>
      </c>
      <c r="L32" s="1">
        <v>6.5036382888884496E-3</v>
      </c>
      <c r="M32" s="1">
        <v>31</v>
      </c>
      <c r="N32" s="1">
        <v>3715.44</v>
      </c>
      <c r="O32" s="3">
        <v>1.6417322322758899E-5</v>
      </c>
      <c r="P32" s="3">
        <v>1.4363361612212499E-2</v>
      </c>
      <c r="Q32" s="3">
        <v>4.5719999999999997E-3</v>
      </c>
      <c r="R32" s="1">
        <v>0.29527500000000001</v>
      </c>
      <c r="S32" s="4">
        <v>2222599.74609375</v>
      </c>
      <c r="T32" s="1">
        <v>597.50931537045801</v>
      </c>
      <c r="U32" s="5">
        <v>617.63192399724198</v>
      </c>
      <c r="V32" s="1">
        <v>0.03</v>
      </c>
      <c r="W32" s="3">
        <v>235201.14433025601</v>
      </c>
      <c r="X32" s="1">
        <v>2.39714582232173E-2</v>
      </c>
      <c r="Y32" s="1">
        <v>6.4588139283871202</v>
      </c>
      <c r="Z32" s="1">
        <v>6.4588139413719903</v>
      </c>
      <c r="AA32" s="1">
        <v>-1.29848691798884E-8</v>
      </c>
      <c r="AB32" s="1">
        <v>1.1789618163145301E-5</v>
      </c>
      <c r="AC32" s="1">
        <v>631.78511948765004</v>
      </c>
      <c r="AD32" s="1">
        <v>6437.4173781273103</v>
      </c>
      <c r="AE32" s="1">
        <v>617.63192432769904</v>
      </c>
      <c r="AF32" s="6">
        <v>3.3045637337636398E-7</v>
      </c>
      <c r="AG32" s="1">
        <v>1.18206044306687E-5</v>
      </c>
      <c r="AH32" s="1">
        <v>66.196935631578299</v>
      </c>
      <c r="AI32" s="1">
        <v>0.32548081888668101</v>
      </c>
      <c r="AJ32" s="1">
        <v>33.2870360376007</v>
      </c>
      <c r="AK32" s="1">
        <v>1.50636003954846</v>
      </c>
      <c r="AL32" s="1">
        <v>1.1293680422758501</v>
      </c>
      <c r="AM32" s="1">
        <v>608.62110606396902</v>
      </c>
      <c r="AN32" s="1">
        <v>1.79386461240938E-9</v>
      </c>
      <c r="AO32" s="1">
        <v>3.0986267523386402E-8</v>
      </c>
      <c r="AP32" s="1">
        <v>3.8818325288022302</v>
      </c>
      <c r="AQ32" s="1">
        <v>3.6188341371220503E-5</v>
      </c>
      <c r="AR32" s="1">
        <v>5.9257953490960299E-6</v>
      </c>
      <c r="AS32" s="1">
        <v>16.687146963909399</v>
      </c>
      <c r="AT32" s="1">
        <v>11.0231939010795</v>
      </c>
      <c r="AU32" s="1">
        <v>3.5878381776700099</v>
      </c>
      <c r="AV32" s="1">
        <v>0.293994351132216</v>
      </c>
      <c r="AW32" s="1">
        <v>7.08805262644591E-3</v>
      </c>
      <c r="AX32" s="1">
        <v>0.29399434036411898</v>
      </c>
      <c r="AY32" s="1">
        <v>1.0768097635782701E-8</v>
      </c>
      <c r="AZ32" s="1">
        <v>1080577.4158407301</v>
      </c>
      <c r="BA32" s="1">
        <v>9.3224890828524896E-6</v>
      </c>
      <c r="BB32" s="4">
        <v>2244297.1339913099</v>
      </c>
      <c r="BC32" s="4">
        <v>21697.387897559402</v>
      </c>
      <c r="BD32" s="7">
        <v>0.97621661010683103</v>
      </c>
      <c r="BE32" s="4">
        <v>2539775</v>
      </c>
      <c r="BF32" s="1">
        <v>0.88365982576854596</v>
      </c>
      <c r="BG32" s="1">
        <v>1</v>
      </c>
      <c r="BH32" s="1">
        <v>9.1999999999999998E-2</v>
      </c>
      <c r="BI32" s="1">
        <v>4.5999999999999999E-2</v>
      </c>
      <c r="BJ32" s="1">
        <v>5625</v>
      </c>
      <c r="BK32" s="1">
        <v>1.0396575263579999</v>
      </c>
      <c r="BL32" s="1">
        <v>11.111790695305</v>
      </c>
      <c r="BM32" s="1">
        <v>2.24429713399131</v>
      </c>
      <c r="BN32" s="1">
        <v>11.111790695305</v>
      </c>
      <c r="BO32" s="1">
        <v>1.0396575263579999</v>
      </c>
      <c r="BP32" s="1">
        <v>834.52863683186695</v>
      </c>
      <c r="BQ32" s="1">
        <v>1</v>
      </c>
      <c r="BR32" s="1">
        <v>0.29527500000000001</v>
      </c>
    </row>
    <row r="33" spans="1:70">
      <c r="A33" s="2" t="s">
        <v>101</v>
      </c>
      <c r="B33" s="1">
        <v>13789520</v>
      </c>
      <c r="C33" s="1">
        <v>608.621106065763</v>
      </c>
      <c r="D33" s="1">
        <v>85.147893581579396</v>
      </c>
      <c r="E33" s="1">
        <v>624.86627494838604</v>
      </c>
      <c r="F33" s="1">
        <v>2643264.3898665099</v>
      </c>
      <c r="G33" s="1">
        <v>1562686.9740257801</v>
      </c>
      <c r="H33" s="1">
        <v>2.2019594042733499E-5</v>
      </c>
      <c r="I33" s="1">
        <v>7.2223252690249804E-5</v>
      </c>
      <c r="J33" s="1">
        <v>0.49112124879375701</v>
      </c>
      <c r="K33" s="1">
        <v>7679.7516396704104</v>
      </c>
      <c r="L33" s="1">
        <v>6.5036382888884496E-3</v>
      </c>
      <c r="M33" s="1">
        <v>32</v>
      </c>
      <c r="N33" s="1">
        <v>3905.28</v>
      </c>
      <c r="O33" s="3">
        <v>1.6417322322758899E-5</v>
      </c>
      <c r="P33" s="3">
        <v>1.4363361612212499E-2</v>
      </c>
      <c r="Q33" s="3">
        <v>4.5719999999999997E-3</v>
      </c>
      <c r="R33" s="1">
        <v>0.29527500000000001</v>
      </c>
      <c r="S33" s="4">
        <v>2417677.08640625</v>
      </c>
      <c r="T33" s="1">
        <v>595.90081561821296</v>
      </c>
      <c r="U33" s="5">
        <v>616.72554611220005</v>
      </c>
      <c r="V33" s="1">
        <v>0.03</v>
      </c>
      <c r="W33" s="3">
        <v>247218.72104785999</v>
      </c>
      <c r="X33" s="1">
        <v>2.3495887988577199E-2</v>
      </c>
      <c r="Y33" s="1">
        <v>6.5238515246960702</v>
      </c>
      <c r="Z33" s="1">
        <v>6.5238515441796503</v>
      </c>
      <c r="AA33" s="1">
        <v>-1.9483579194456999E-8</v>
      </c>
      <c r="AB33" s="1">
        <v>1.08872571369839E-5</v>
      </c>
      <c r="AC33" s="1">
        <v>633.13887550654101</v>
      </c>
      <c r="AD33" s="1">
        <v>6698.8815359861901</v>
      </c>
      <c r="AE33" s="1">
        <v>616.72554645694402</v>
      </c>
      <c r="AF33" s="6">
        <v>3.4474351195967799E-7</v>
      </c>
      <c r="AG33" s="1">
        <v>1.09187708003385E-5</v>
      </c>
      <c r="AH33" s="1">
        <v>71.683490602557896</v>
      </c>
      <c r="AI33" s="1">
        <v>0.33870064963722002</v>
      </c>
      <c r="AJ33" s="1">
        <v>31.9963045100844</v>
      </c>
      <c r="AK33" s="1">
        <v>1.60471249134771</v>
      </c>
      <c r="AL33" s="1">
        <v>1.1293680422758501</v>
      </c>
      <c r="AM33" s="1">
        <v>608.62110606496697</v>
      </c>
      <c r="AN33" s="1">
        <v>7.95807864051312E-10</v>
      </c>
      <c r="AO33" s="1">
        <v>3.1513663354655801E-8</v>
      </c>
      <c r="AP33" s="1">
        <v>3.96644524995176</v>
      </c>
      <c r="AQ33" s="1">
        <v>3.4660860505741298E-5</v>
      </c>
      <c r="AR33" s="1">
        <v>5.4751422318465898E-6</v>
      </c>
      <c r="AS33" s="1">
        <v>16.044325985920999</v>
      </c>
      <c r="AT33" s="1">
        <v>10.8267763297314</v>
      </c>
      <c r="AU33" s="1">
        <v>3.6670361763569002</v>
      </c>
      <c r="AV33" s="1">
        <v>0.29940907359486102</v>
      </c>
      <c r="AW33" s="1">
        <v>6.5455429070489001E-3</v>
      </c>
      <c r="AX33" s="1">
        <v>0.29940905507686699</v>
      </c>
      <c r="AY33" s="1">
        <v>1.8517993749522801E-8</v>
      </c>
      <c r="AZ33" s="1">
        <v>1080577.4158407301</v>
      </c>
      <c r="BA33" s="1">
        <v>8.7385198386799502E-6</v>
      </c>
      <c r="BB33" s="4">
        <v>2435028.1546061002</v>
      </c>
      <c r="BC33" s="4">
        <v>17351.068199854799</v>
      </c>
      <c r="BD33" s="7">
        <v>0.71767517247914503</v>
      </c>
      <c r="BE33" s="4">
        <v>2520845</v>
      </c>
      <c r="BF33" s="1">
        <v>0.96595711144719498</v>
      </c>
      <c r="BG33" s="1">
        <v>1</v>
      </c>
      <c r="BH33" s="1">
        <v>7.3999999999999996E-2</v>
      </c>
      <c r="BI33" s="1">
        <v>4.5999999999999999E-2</v>
      </c>
      <c r="BJ33" s="1">
        <v>5625</v>
      </c>
      <c r="BK33" s="1">
        <v>1.0402996295220199</v>
      </c>
      <c r="BL33" s="1">
        <v>12.720290447549999</v>
      </c>
      <c r="BM33" s="1">
        <v>2.4350281546060999</v>
      </c>
      <c r="BN33" s="1">
        <v>12.720290447549999</v>
      </c>
      <c r="BO33" s="1">
        <v>1.0402996295220199</v>
      </c>
      <c r="BP33" s="1">
        <v>744.182553266029</v>
      </c>
      <c r="BQ33" s="1">
        <v>1</v>
      </c>
      <c r="BR33" s="1">
        <v>0.29527500000000001</v>
      </c>
    </row>
    <row r="34" spans="1:70">
      <c r="A34" s="2" t="s">
        <v>102</v>
      </c>
      <c r="B34" s="1">
        <v>13789520</v>
      </c>
      <c r="C34" s="1">
        <v>608.621106065763</v>
      </c>
      <c r="D34" s="1">
        <v>85.147893581579396</v>
      </c>
      <c r="E34" s="1">
        <v>624.86627494838604</v>
      </c>
      <c r="F34" s="1">
        <v>2643264.3898665099</v>
      </c>
      <c r="G34" s="1">
        <v>1562686.9740257801</v>
      </c>
      <c r="H34" s="1">
        <v>2.2019594042733499E-5</v>
      </c>
      <c r="I34" s="1">
        <v>7.2223252690249804E-5</v>
      </c>
      <c r="J34" s="1">
        <v>0.49112124879375701</v>
      </c>
      <c r="K34" s="1">
        <v>7679.7516396704104</v>
      </c>
      <c r="L34" s="1">
        <v>6.5036382888884496E-3</v>
      </c>
      <c r="M34" s="1">
        <v>33</v>
      </c>
      <c r="N34" s="1">
        <v>3945.96</v>
      </c>
      <c r="O34" s="3">
        <v>1.6417322322758899E-5</v>
      </c>
      <c r="P34" s="3">
        <v>1.4363361612212499E-2</v>
      </c>
      <c r="Q34" s="3">
        <v>4.5719999999999997E-3</v>
      </c>
      <c r="R34" s="1">
        <v>0.29527500000000001</v>
      </c>
      <c r="S34" s="4">
        <v>2476392.33371625</v>
      </c>
      <c r="T34" s="1">
        <v>595.32250153328698</v>
      </c>
      <c r="U34" s="5">
        <v>616.43307566960004</v>
      </c>
      <c r="V34" s="1">
        <v>0.03</v>
      </c>
      <c r="W34" s="3">
        <v>249793.916058776</v>
      </c>
      <c r="X34" s="1">
        <v>2.33987578413094E-2</v>
      </c>
      <c r="Y34" s="1">
        <v>6.5373780210311701</v>
      </c>
      <c r="Z34" s="1">
        <v>6.5373780397205703</v>
      </c>
      <c r="AA34" s="1">
        <v>-1.86894002496274E-8</v>
      </c>
      <c r="AB34" s="1">
        <v>1.07082015798802E-5</v>
      </c>
      <c r="AC34" s="1">
        <v>633.65047990740402</v>
      </c>
      <c r="AD34" s="1">
        <v>6754.6565066327103</v>
      </c>
      <c r="AE34" s="1">
        <v>616.43307601974095</v>
      </c>
      <c r="AF34" s="6">
        <v>3.5014124932786201E-7</v>
      </c>
      <c r="AG34" s="1">
        <v>1.0739807230807301E-5</v>
      </c>
      <c r="AH34" s="1">
        <v>72.882135141440102</v>
      </c>
      <c r="AI34" s="1">
        <v>0.34152067544152698</v>
      </c>
      <c r="AJ34" s="1">
        <v>31.733905858072401</v>
      </c>
      <c r="AK34" s="1">
        <v>1.64040783868398</v>
      </c>
      <c r="AL34" s="1">
        <v>1.1293680422758501</v>
      </c>
      <c r="AM34" s="1">
        <v>608.62110606527301</v>
      </c>
      <c r="AN34" s="1">
        <v>4.8999027058016498E-10</v>
      </c>
      <c r="AO34" s="1">
        <v>3.16056509270426E-8</v>
      </c>
      <c r="AP34" s="1">
        <v>3.9841622487379098</v>
      </c>
      <c r="AQ34" s="1">
        <v>3.4353282145185099E-5</v>
      </c>
      <c r="AR34" s="1">
        <v>5.3857064408671597E-6</v>
      </c>
      <c r="AS34" s="1">
        <v>15.913647005081801</v>
      </c>
      <c r="AT34" s="1">
        <v>10.785885216509399</v>
      </c>
      <c r="AU34" s="1">
        <v>3.6836028043770699</v>
      </c>
      <c r="AV34" s="1">
        <v>0.30055944436083498</v>
      </c>
      <c r="AW34" s="1">
        <v>6.43789266814842E-3</v>
      </c>
      <c r="AX34" s="1">
        <v>0.30055942390496998</v>
      </c>
      <c r="AY34" s="1">
        <v>2.0455865612500901E-8</v>
      </c>
      <c r="AZ34" s="1">
        <v>1080577.4158407301</v>
      </c>
      <c r="BA34" s="1">
        <v>8.6224606329893899E-6</v>
      </c>
      <c r="BB34" s="4">
        <v>2475007.33968892</v>
      </c>
      <c r="BC34" s="4">
        <v>-1384.9940273254199</v>
      </c>
      <c r="BD34" s="7">
        <v>-5.5927891896151903E-2</v>
      </c>
      <c r="BE34" s="4">
        <v>2650200</v>
      </c>
      <c r="BF34" s="1">
        <v>0.93389455123723697</v>
      </c>
      <c r="BG34" s="1">
        <v>1</v>
      </c>
      <c r="BH34" s="1">
        <v>7.5999999999999998E-2</v>
      </c>
      <c r="BI34" s="1">
        <v>4.5999999999999999E-2</v>
      </c>
      <c r="BJ34" s="1">
        <v>5625</v>
      </c>
      <c r="BK34" s="1">
        <v>1.0405239091174601</v>
      </c>
      <c r="BL34" s="1">
        <v>13.298604532476</v>
      </c>
      <c r="BM34" s="1">
        <v>2.4750073396889198</v>
      </c>
      <c r="BN34" s="1">
        <v>13.298604532476</v>
      </c>
      <c r="BO34" s="1">
        <v>1.0405239091174601</v>
      </c>
      <c r="BP34" s="1">
        <v>712.96451991311005</v>
      </c>
      <c r="BQ34" s="1">
        <v>1</v>
      </c>
      <c r="BR34" s="1">
        <v>0.29527500000000001</v>
      </c>
    </row>
    <row r="35" spans="1:70">
      <c r="A35" s="2" t="s">
        <v>103</v>
      </c>
      <c r="B35" s="1">
        <v>13789520</v>
      </c>
      <c r="C35" s="1">
        <v>608.621106065763</v>
      </c>
      <c r="D35" s="1">
        <v>85.147893581579396</v>
      </c>
      <c r="E35" s="1">
        <v>624.86627494838604</v>
      </c>
      <c r="F35" s="1">
        <v>2643264.3898665099</v>
      </c>
      <c r="G35" s="1">
        <v>1562686.9740257801</v>
      </c>
      <c r="H35" s="1">
        <v>2.2019594042733499E-5</v>
      </c>
      <c r="I35" s="1">
        <v>7.2223252690249804E-5</v>
      </c>
      <c r="J35" s="1">
        <v>0.49112124879375701</v>
      </c>
      <c r="K35" s="1">
        <v>7679.7516396704104</v>
      </c>
      <c r="L35" s="1">
        <v>6.5036382888884496E-3</v>
      </c>
      <c r="M35" s="1">
        <v>34</v>
      </c>
      <c r="N35" s="1">
        <v>3986.64</v>
      </c>
      <c r="O35" s="3">
        <v>1.6417322322758899E-5</v>
      </c>
      <c r="P35" s="3">
        <v>1.4363361612212499E-2</v>
      </c>
      <c r="Q35" s="3">
        <v>4.5719999999999997E-3</v>
      </c>
      <c r="R35" s="1">
        <v>0.29527500000000001</v>
      </c>
      <c r="S35" s="4">
        <v>2533173.50390625</v>
      </c>
      <c r="T35" s="1">
        <v>594.77734103104399</v>
      </c>
      <c r="U35" s="5">
        <v>616.15160602181504</v>
      </c>
      <c r="V35" s="1">
        <v>0.03</v>
      </c>
      <c r="W35" s="3">
        <v>252369.11106969099</v>
      </c>
      <c r="X35" s="1">
        <v>2.3303212557601299E-2</v>
      </c>
      <c r="Y35" s="1">
        <v>6.5507662330680096</v>
      </c>
      <c r="Z35" s="1">
        <v>6.5507662492108496</v>
      </c>
      <c r="AA35" s="1">
        <v>-1.6142836400945301E-8</v>
      </c>
      <c r="AB35" s="1">
        <v>1.05337949832357E-5</v>
      </c>
      <c r="AC35" s="1">
        <v>634.12647537901398</v>
      </c>
      <c r="AD35" s="1">
        <v>6810.3449066225603</v>
      </c>
      <c r="AE35" s="1">
        <v>616.15160637698</v>
      </c>
      <c r="AF35" s="6">
        <v>3.5516507068678001E-7</v>
      </c>
      <c r="AG35" s="1">
        <v>1.0565489648127399E-5</v>
      </c>
      <c r="AH35" s="1">
        <v>74.088834642088898</v>
      </c>
      <c r="AI35" s="1">
        <v>0.34433632416624199</v>
      </c>
      <c r="AJ35" s="1">
        <v>31.476215490418902</v>
      </c>
      <c r="AK35" s="1">
        <v>1.6738403969595801</v>
      </c>
      <c r="AL35" s="1">
        <v>1.1293680422758501</v>
      </c>
      <c r="AM35" s="1">
        <v>608.62110606543399</v>
      </c>
      <c r="AN35" s="1">
        <v>3.2878233469091402E-10</v>
      </c>
      <c r="AO35" s="1">
        <v>3.1694664891681899E-8</v>
      </c>
      <c r="AP35" s="1">
        <v>4.00173855063428</v>
      </c>
      <c r="AQ35" s="1">
        <v>3.4052174190529898E-5</v>
      </c>
      <c r="AR35" s="1">
        <v>5.2985921565095296E-6</v>
      </c>
      <c r="AS35" s="1">
        <v>15.785319381170099</v>
      </c>
      <c r="AT35" s="1">
        <v>10.7454017750606</v>
      </c>
      <c r="AU35" s="1">
        <v>3.7000321489137802</v>
      </c>
      <c r="AV35" s="1">
        <v>0.30170640172049901</v>
      </c>
      <c r="AW35" s="1">
        <v>6.33303743718934E-3</v>
      </c>
      <c r="AX35" s="1">
        <v>0.30170637923253801</v>
      </c>
      <c r="AY35" s="1">
        <v>2.2487960771311298E-8</v>
      </c>
      <c r="AZ35" s="1">
        <v>1080577.4158407301</v>
      </c>
      <c r="BA35" s="1">
        <v>8.5093450658171194E-6</v>
      </c>
      <c r="BB35" s="4">
        <v>2514971.1140733799</v>
      </c>
      <c r="BC35" s="4">
        <v>-18202.389832874302</v>
      </c>
      <c r="BD35" s="7">
        <v>-0.71856072254054104</v>
      </c>
      <c r="BE35" s="4">
        <v>2681750</v>
      </c>
      <c r="BF35" s="1">
        <v>0.93780968176503199</v>
      </c>
      <c r="BG35" s="1">
        <v>1</v>
      </c>
      <c r="BH35" s="1">
        <v>7.2999999999999995E-2</v>
      </c>
      <c r="BI35" s="1">
        <v>4.5999999999999999E-2</v>
      </c>
      <c r="BJ35" s="1">
        <v>5625</v>
      </c>
      <c r="BK35" s="1">
        <v>1.04073203867516</v>
      </c>
      <c r="BL35" s="1">
        <v>13.843765034719</v>
      </c>
      <c r="BM35" s="1">
        <v>2.5149711140733801</v>
      </c>
      <c r="BN35" s="1">
        <v>13.843765034719</v>
      </c>
      <c r="BO35" s="1">
        <v>1.04073203867516</v>
      </c>
      <c r="BP35" s="1">
        <v>684.14862755898798</v>
      </c>
      <c r="BQ35" s="1">
        <v>1</v>
      </c>
      <c r="BR35" s="1">
        <v>0.29527500000000001</v>
      </c>
    </row>
    <row r="36" spans="1:70">
      <c r="A36" s="2" t="s">
        <v>104</v>
      </c>
      <c r="B36" s="1">
        <v>13789520</v>
      </c>
      <c r="C36" s="1">
        <v>608.621106065763</v>
      </c>
      <c r="D36" s="1">
        <v>85.147893581579396</v>
      </c>
      <c r="E36" s="1">
        <v>624.86627494838604</v>
      </c>
      <c r="F36" s="1">
        <v>2643264.3898665099</v>
      </c>
      <c r="G36" s="1">
        <v>1562686.9740257801</v>
      </c>
      <c r="H36" s="1">
        <v>2.2019594042733499E-5</v>
      </c>
      <c r="I36" s="1">
        <v>7.2223252690249804E-5</v>
      </c>
      <c r="J36" s="1">
        <v>0.49112124879375701</v>
      </c>
      <c r="K36" s="1">
        <v>7679.7516396704104</v>
      </c>
      <c r="L36" s="1">
        <v>6.5036382888884496E-3</v>
      </c>
      <c r="M36" s="1">
        <v>35</v>
      </c>
      <c r="N36" s="1">
        <v>4013.76</v>
      </c>
      <c r="O36" s="3">
        <v>1.6417322322758899E-5</v>
      </c>
      <c r="P36" s="3">
        <v>1.4363361612212499E-2</v>
      </c>
      <c r="Q36" s="3">
        <v>4.5719999999999997E-3</v>
      </c>
      <c r="R36" s="1">
        <v>0.29527500000000001</v>
      </c>
      <c r="S36" s="4">
        <v>2310979.1626562499</v>
      </c>
      <c r="T36" s="1">
        <v>598.039459378179</v>
      </c>
      <c r="U36" s="5">
        <v>617.40715278134996</v>
      </c>
      <c r="V36" s="1">
        <v>0.03</v>
      </c>
      <c r="W36" s="3">
        <v>254085.90774363399</v>
      </c>
      <c r="X36" s="1">
        <v>2.32403751947017E-2</v>
      </c>
      <c r="Y36" s="1">
        <v>6.5596162409472196</v>
      </c>
      <c r="Z36" s="1">
        <v>6.5596162549430597</v>
      </c>
      <c r="AA36" s="1">
        <v>-1.3995842707004199E-8</v>
      </c>
      <c r="AB36" s="1">
        <v>1.04200250191068E-5</v>
      </c>
      <c r="AC36" s="1">
        <v>630.98441773040895</v>
      </c>
      <c r="AD36" s="1">
        <v>6847.4229958732803</v>
      </c>
      <c r="AE36" s="1">
        <v>617.40715310341398</v>
      </c>
      <c r="AF36" s="6">
        <v>3.2206446576310602E-7</v>
      </c>
      <c r="AG36" s="1">
        <v>1.0449170999973E-5</v>
      </c>
      <c r="AH36" s="1">
        <v>74.897765910883805</v>
      </c>
      <c r="AI36" s="1">
        <v>0.34621102113603702</v>
      </c>
      <c r="AJ36" s="1">
        <v>31.2991661386821</v>
      </c>
      <c r="AK36" s="1">
        <v>1.46899613819866</v>
      </c>
      <c r="AL36" s="1">
        <v>1.1293680422758501</v>
      </c>
      <c r="AM36" s="1">
        <v>608.62110606526301</v>
      </c>
      <c r="AN36" s="1">
        <v>5.0044945965055397E-10</v>
      </c>
      <c r="AO36" s="1">
        <v>2.9145980866196901E-8</v>
      </c>
      <c r="AP36" s="1">
        <v>4.0125782506938297</v>
      </c>
      <c r="AQ36" s="1">
        <v>3.3868443550583098E-5</v>
      </c>
      <c r="AR36" s="1">
        <v>5.2391584904196004E-6</v>
      </c>
      <c r="AS36" s="1">
        <v>15.69323461344</v>
      </c>
      <c r="AT36" s="1">
        <v>10.716148515708699</v>
      </c>
      <c r="AU36" s="1">
        <v>3.7100487202689201</v>
      </c>
      <c r="AV36" s="1">
        <v>0.30252953042490899</v>
      </c>
      <c r="AW36" s="1">
        <v>6.2646376398511E-3</v>
      </c>
      <c r="AX36" s="1">
        <v>0.302529506582635</v>
      </c>
      <c r="AY36" s="1">
        <v>2.3842273655372301E-8</v>
      </c>
      <c r="AZ36" s="1">
        <v>1080577.4158407301</v>
      </c>
      <c r="BA36" s="1">
        <v>8.4405689894587905E-6</v>
      </c>
      <c r="BB36" s="4">
        <v>2331577.8653712701</v>
      </c>
      <c r="BC36" s="4">
        <v>20598.7027150178</v>
      </c>
      <c r="BD36" s="7">
        <v>0.89134091072208499</v>
      </c>
      <c r="BE36" s="4">
        <v>2501915</v>
      </c>
      <c r="BF36" s="1">
        <v>0.93191729749862295</v>
      </c>
      <c r="BG36" s="1">
        <v>1</v>
      </c>
      <c r="BH36" s="1">
        <v>8.1000000000000003E-2</v>
      </c>
      <c r="BI36" s="1">
        <v>4.5999999999999999E-2</v>
      </c>
      <c r="BJ36" s="1">
        <v>5625</v>
      </c>
      <c r="BK36" s="1">
        <v>1.0394401953696299</v>
      </c>
      <c r="BL36" s="1">
        <v>10.581646687584</v>
      </c>
      <c r="BM36" s="1">
        <v>2.33157786537127</v>
      </c>
      <c r="BN36" s="1">
        <v>10.581646687584</v>
      </c>
      <c r="BO36" s="1">
        <v>1.0394401953696299</v>
      </c>
      <c r="BP36" s="1">
        <v>865.43951161413804</v>
      </c>
      <c r="BQ36" s="1">
        <v>1</v>
      </c>
      <c r="BR36" s="1">
        <v>0.29527500000000001</v>
      </c>
    </row>
    <row r="37" spans="1:70">
      <c r="A37" s="2" t="s">
        <v>105</v>
      </c>
      <c r="B37" s="1">
        <v>13789520</v>
      </c>
      <c r="C37" s="1">
        <v>608.621106065763</v>
      </c>
      <c r="D37" s="1">
        <v>85.147893581579396</v>
      </c>
      <c r="E37" s="1">
        <v>624.86627494838604</v>
      </c>
      <c r="F37" s="1">
        <v>2643264.3898665099</v>
      </c>
      <c r="G37" s="1">
        <v>1562686.9740257801</v>
      </c>
      <c r="H37" s="1">
        <v>2.2019594042733499E-5</v>
      </c>
      <c r="I37" s="1">
        <v>7.2223252690249804E-5</v>
      </c>
      <c r="J37" s="1">
        <v>0.49112124879375701</v>
      </c>
      <c r="K37" s="1">
        <v>7679.7516396704104</v>
      </c>
      <c r="L37" s="1">
        <v>6.5036382888884496E-3</v>
      </c>
      <c r="M37" s="1">
        <v>36</v>
      </c>
      <c r="N37" s="1">
        <v>4068</v>
      </c>
      <c r="O37" s="3">
        <v>1.6417322322758899E-5</v>
      </c>
      <c r="P37" s="3">
        <v>1.4363361612212499E-2</v>
      </c>
      <c r="Q37" s="3">
        <v>4.5719999999999997E-3</v>
      </c>
      <c r="R37" s="1">
        <v>0.29527500000000001</v>
      </c>
      <c r="S37" s="4">
        <v>2255463.21390625</v>
      </c>
      <c r="T37" s="1">
        <v>599.09049781334397</v>
      </c>
      <c r="U37" s="5">
        <v>617.740894625838</v>
      </c>
      <c r="V37" s="1">
        <v>0.03</v>
      </c>
      <c r="W37" s="3">
        <v>257519.501091521</v>
      </c>
      <c r="X37" s="1">
        <v>2.3116708671465602E-2</v>
      </c>
      <c r="Y37" s="1">
        <v>6.5771386945223496</v>
      </c>
      <c r="Z37" s="1">
        <v>6.5771387040627598</v>
      </c>
      <c r="AA37" s="1">
        <v>-9.5404093514161997E-9</v>
      </c>
      <c r="AB37" s="1">
        <v>1.0198277135691401E-5</v>
      </c>
      <c r="AC37" s="1">
        <v>629.93581941567095</v>
      </c>
      <c r="AD37" s="1">
        <v>6921.4666881376797</v>
      </c>
      <c r="AE37" s="1">
        <v>617.740894936872</v>
      </c>
      <c r="AF37" s="6">
        <v>3.11033318212139E-7</v>
      </c>
      <c r="AG37" s="1">
        <v>1.0225743882296999E-5</v>
      </c>
      <c r="AH37" s="1">
        <v>76.526317561550002</v>
      </c>
      <c r="AI37" s="1">
        <v>0.34995472768417801</v>
      </c>
      <c r="AJ37" s="1">
        <v>30.961131077316701</v>
      </c>
      <c r="AK37" s="1">
        <v>1.4026172509233299</v>
      </c>
      <c r="AL37" s="1">
        <v>1.1293680422758501</v>
      </c>
      <c r="AM37" s="1">
        <v>608.62110606551505</v>
      </c>
      <c r="AN37" s="1">
        <v>2.4806467990856602E-10</v>
      </c>
      <c r="AO37" s="1">
        <v>2.74667466055528E-8</v>
      </c>
      <c r="AP37" s="1">
        <v>4.0350815272471401</v>
      </c>
      <c r="AQ37" s="1">
        <v>3.3491734567715698E-5</v>
      </c>
      <c r="AR37" s="1">
        <v>5.1266053144512498E-6</v>
      </c>
      <c r="AS37" s="1">
        <v>15.5221469410341</v>
      </c>
      <c r="AT37" s="1">
        <v>10.6613391950867</v>
      </c>
      <c r="AU37" s="1">
        <v>3.7309860547652298</v>
      </c>
      <c r="AV37" s="1">
        <v>0.30409547248191199</v>
      </c>
      <c r="AW37" s="1">
        <v>6.1313202884575903E-3</v>
      </c>
      <c r="AX37" s="1">
        <v>0.30409544574994102</v>
      </c>
      <c r="AY37" s="1">
        <v>2.6731970692583899E-8</v>
      </c>
      <c r="AZ37" s="1">
        <v>1080577.4158407301</v>
      </c>
      <c r="BA37" s="1">
        <v>8.3001382602955195E-6</v>
      </c>
      <c r="BB37" s="4">
        <v>2234420.2902329001</v>
      </c>
      <c r="BC37" s="4">
        <v>-21042.923673349</v>
      </c>
      <c r="BD37" s="7">
        <v>-0.93297569845551198</v>
      </c>
      <c r="BE37" s="4">
        <v>2587100</v>
      </c>
      <c r="BF37" s="1">
        <v>0.86367758889602297</v>
      </c>
      <c r="BG37" s="1">
        <v>1</v>
      </c>
      <c r="BH37" s="1">
        <v>9.0999999999999998E-2</v>
      </c>
      <c r="BI37" s="1">
        <v>4.5999999999999999E-2</v>
      </c>
      <c r="BJ37" s="1">
        <v>5625</v>
      </c>
      <c r="BK37" s="1">
        <v>1.0390013157075</v>
      </c>
      <c r="BL37" s="1">
        <v>9.5306082524190305</v>
      </c>
      <c r="BM37" s="1">
        <v>2.2344202902329</v>
      </c>
      <c r="BN37" s="1">
        <v>9.5306082524190305</v>
      </c>
      <c r="BO37" s="1">
        <v>1.0390013157075</v>
      </c>
      <c r="BP37" s="1">
        <v>928.38383346755495</v>
      </c>
      <c r="BQ37" s="1">
        <v>1</v>
      </c>
      <c r="BR37" s="1">
        <v>0.29527500000000001</v>
      </c>
    </row>
    <row r="38" spans="1:70">
      <c r="A38" s="2" t="s">
        <v>106</v>
      </c>
      <c r="B38" s="1">
        <v>13789520</v>
      </c>
      <c r="C38" s="1">
        <v>608.621106065763</v>
      </c>
      <c r="D38" s="1">
        <v>85.147893581579396</v>
      </c>
      <c r="E38" s="1">
        <v>624.86627494838604</v>
      </c>
      <c r="F38" s="1">
        <v>2643264.3898665099</v>
      </c>
      <c r="G38" s="1">
        <v>1562686.9740257801</v>
      </c>
      <c r="H38" s="1">
        <v>2.2019594042733499E-5</v>
      </c>
      <c r="I38" s="1">
        <v>7.2223252690249804E-5</v>
      </c>
      <c r="J38" s="1">
        <v>0.49112124879375701</v>
      </c>
      <c r="K38" s="1">
        <v>7679.7516396704104</v>
      </c>
      <c r="L38" s="1">
        <v>6.5036382888884496E-3</v>
      </c>
      <c r="M38" s="1">
        <v>37</v>
      </c>
      <c r="N38" s="1">
        <v>4068</v>
      </c>
      <c r="O38" s="3">
        <v>1.6417322322758899E-5</v>
      </c>
      <c r="P38" s="3">
        <v>1.4363361612212499E-2</v>
      </c>
      <c r="Q38" s="3">
        <v>4.5719999999999997E-3</v>
      </c>
      <c r="R38" s="1">
        <v>0.29527500000000001</v>
      </c>
      <c r="S38" s="4">
        <v>2294319.08203125</v>
      </c>
      <c r="T38" s="1">
        <v>598.56653241397998</v>
      </c>
      <c r="U38" s="5">
        <v>617.53822790896095</v>
      </c>
      <c r="V38" s="1">
        <v>0.03</v>
      </c>
      <c r="W38" s="3">
        <v>257519.501091521</v>
      </c>
      <c r="X38" s="1">
        <v>2.3116708671465602E-2</v>
      </c>
      <c r="Y38" s="1">
        <v>6.5771386945223496</v>
      </c>
      <c r="Z38" s="1">
        <v>6.5771387040627598</v>
      </c>
      <c r="AA38" s="1">
        <v>-9.5404093514161997E-9</v>
      </c>
      <c r="AB38" s="1">
        <v>1.0198277135691401E-5</v>
      </c>
      <c r="AC38" s="1">
        <v>630.43423729903202</v>
      </c>
      <c r="AD38" s="1">
        <v>6921.4666881376797</v>
      </c>
      <c r="AE38" s="1">
        <v>617.53822822524</v>
      </c>
      <c r="AF38" s="6">
        <v>3.1627905627829002E-7</v>
      </c>
      <c r="AG38" s="1">
        <v>1.0226369631009701E-5</v>
      </c>
      <c r="AH38" s="1">
        <v>76.526317561550002</v>
      </c>
      <c r="AI38" s="1">
        <v>0.34995472768417801</v>
      </c>
      <c r="AJ38" s="1">
        <v>30.963025696245101</v>
      </c>
      <c r="AK38" s="1">
        <v>1.43540124921009</v>
      </c>
      <c r="AL38" s="1">
        <v>1.1293680422758501</v>
      </c>
      <c r="AM38" s="1">
        <v>608.62110606550596</v>
      </c>
      <c r="AN38" s="1">
        <v>2.5659119273768702E-10</v>
      </c>
      <c r="AO38" s="1">
        <v>2.8092495318269401E-8</v>
      </c>
      <c r="AP38" s="1">
        <v>4.0352801238990699</v>
      </c>
      <c r="AQ38" s="1">
        <v>3.3488438051749098E-5</v>
      </c>
      <c r="AR38" s="1">
        <v>5.1272310631639698E-6</v>
      </c>
      <c r="AS38" s="1">
        <v>15.5240415599625</v>
      </c>
      <c r="AT38" s="1">
        <v>10.661949453228599</v>
      </c>
      <c r="AU38" s="1">
        <v>3.7311996174870901</v>
      </c>
      <c r="AV38" s="1">
        <v>0.30408050641197898</v>
      </c>
      <c r="AW38" s="1">
        <v>6.1313202884575903E-3</v>
      </c>
      <c r="AX38" s="1">
        <v>0.30408047966690899</v>
      </c>
      <c r="AY38" s="1">
        <v>2.6745069603428801E-8</v>
      </c>
      <c r="AZ38" s="1">
        <v>1080577.4158407301</v>
      </c>
      <c r="BA38" s="1">
        <v>8.2989128445910908E-6</v>
      </c>
      <c r="BB38" s="4">
        <v>2285662.4089494999</v>
      </c>
      <c r="BC38" s="4">
        <v>-8656.6730817533098</v>
      </c>
      <c r="BD38" s="7">
        <v>-0.377309030358987</v>
      </c>
      <c r="BE38" s="4">
        <v>2587100</v>
      </c>
      <c r="BF38" s="1">
        <v>0.88348436819199005</v>
      </c>
      <c r="BG38" s="1">
        <v>1</v>
      </c>
      <c r="BH38" s="1">
        <v>8.6999999999999994E-2</v>
      </c>
      <c r="BI38" s="1">
        <v>4.5999999999999999E-2</v>
      </c>
      <c r="BJ38" s="1">
        <v>5625</v>
      </c>
      <c r="BK38" s="1">
        <v>1.0392214184248201</v>
      </c>
      <c r="BL38" s="1">
        <v>10.054573651783</v>
      </c>
      <c r="BM38" s="1">
        <v>2.2856624089494999</v>
      </c>
      <c r="BN38" s="1">
        <v>10.054573651783</v>
      </c>
      <c r="BO38" s="1">
        <v>1.0392214184248201</v>
      </c>
      <c r="BP38" s="1">
        <v>896.72855917648803</v>
      </c>
      <c r="BQ38" s="1">
        <v>1</v>
      </c>
      <c r="BR38" s="1">
        <v>0.29527500000000001</v>
      </c>
    </row>
    <row r="39" spans="1:70">
      <c r="A39" s="2" t="s">
        <v>107</v>
      </c>
      <c r="B39" s="1">
        <v>13789520</v>
      </c>
      <c r="C39" s="1">
        <v>608.621106065763</v>
      </c>
      <c r="D39" s="1">
        <v>85.147893581579396</v>
      </c>
      <c r="E39" s="1">
        <v>624.86627494838604</v>
      </c>
      <c r="F39" s="1">
        <v>2643264.3898665099</v>
      </c>
      <c r="G39" s="1">
        <v>1562686.9740257801</v>
      </c>
      <c r="H39" s="1">
        <v>2.2019594042733499E-5</v>
      </c>
      <c r="I39" s="1">
        <v>7.2223252690249804E-5</v>
      </c>
      <c r="J39" s="1">
        <v>0.49112124879375701</v>
      </c>
      <c r="K39" s="1">
        <v>7679.7516396704104</v>
      </c>
      <c r="L39" s="1">
        <v>6.5036382888884496E-3</v>
      </c>
      <c r="M39" s="1">
        <v>38</v>
      </c>
      <c r="N39" s="1">
        <v>4068</v>
      </c>
      <c r="O39" s="3">
        <v>1.6417322322758899E-5</v>
      </c>
      <c r="P39" s="3">
        <v>1.4363361612212499E-2</v>
      </c>
      <c r="Q39" s="3">
        <v>4.5719999999999997E-3</v>
      </c>
      <c r="R39" s="1">
        <v>0.29527500000000001</v>
      </c>
      <c r="S39" s="4">
        <v>2372444.96484375</v>
      </c>
      <c r="T39" s="1">
        <v>597.50931537045801</v>
      </c>
      <c r="U39" s="5">
        <v>617.12703280310404</v>
      </c>
      <c r="V39" s="1">
        <v>0.03</v>
      </c>
      <c r="W39" s="3">
        <v>257519.501091521</v>
      </c>
      <c r="X39" s="1">
        <v>2.3116708671465602E-2</v>
      </c>
      <c r="Y39" s="1">
        <v>6.5771386945223496</v>
      </c>
      <c r="Z39" s="1">
        <v>6.5771387040627598</v>
      </c>
      <c r="AA39" s="1">
        <v>-9.5404093514161997E-9</v>
      </c>
      <c r="AB39" s="1">
        <v>1.0198277135691401E-5</v>
      </c>
      <c r="AC39" s="1">
        <v>631.436827798031</v>
      </c>
      <c r="AD39" s="1">
        <v>6921.4666881376797</v>
      </c>
      <c r="AE39" s="1">
        <v>617.12703312993904</v>
      </c>
      <c r="AF39" s="6">
        <v>3.2683522022125502E-7</v>
      </c>
      <c r="AG39" s="1">
        <v>1.02275547477319E-5</v>
      </c>
      <c r="AH39" s="1">
        <v>76.526317561550002</v>
      </c>
      <c r="AI39" s="1">
        <v>0.34995472768417801</v>
      </c>
      <c r="AJ39" s="1">
        <v>30.966613949051201</v>
      </c>
      <c r="AK39" s="1">
        <v>1.5013475508552001</v>
      </c>
      <c r="AL39" s="1">
        <v>1.1293680422758501</v>
      </c>
      <c r="AM39" s="1">
        <v>608.62110606548902</v>
      </c>
      <c r="AN39" s="1">
        <v>2.7421265258453802E-10</v>
      </c>
      <c r="AO39" s="1">
        <v>2.9277612040544501E-8</v>
      </c>
      <c r="AP39" s="1">
        <v>4.03565618700424</v>
      </c>
      <c r="AQ39" s="1">
        <v>3.3482197094322602E-5</v>
      </c>
      <c r="AR39" s="1">
        <v>5.12841617988625E-6</v>
      </c>
      <c r="AS39" s="1">
        <v>15.5276298127686</v>
      </c>
      <c r="AT39" s="1">
        <v>10.663105028005599</v>
      </c>
      <c r="AU39" s="1">
        <v>3.7316040163434798</v>
      </c>
      <c r="AV39" s="1">
        <v>0.30405217066076501</v>
      </c>
      <c r="AW39" s="1">
        <v>6.1313202884575903E-3</v>
      </c>
      <c r="AX39" s="1">
        <v>0.304052143890989</v>
      </c>
      <c r="AY39" s="1">
        <v>2.6769775840485001E-8</v>
      </c>
      <c r="AZ39" s="1">
        <v>1080577.4158407301</v>
      </c>
      <c r="BA39" s="1">
        <v>8.2965930552119694E-6</v>
      </c>
      <c r="BB39" s="4">
        <v>2382751.9586717598</v>
      </c>
      <c r="BC39" s="4">
        <v>10306.993828005199</v>
      </c>
      <c r="BD39" s="7">
        <v>0.43444606643104899</v>
      </c>
      <c r="BE39" s="4">
        <v>2665975</v>
      </c>
      <c r="BF39" s="1">
        <v>0.89376380448869697</v>
      </c>
      <c r="BG39" s="1">
        <v>1</v>
      </c>
      <c r="BH39" s="1">
        <v>8.5999999999999993E-2</v>
      </c>
      <c r="BI39" s="1">
        <v>4.5999999999999999E-2</v>
      </c>
      <c r="BJ39" s="1">
        <v>5625</v>
      </c>
      <c r="BK39" s="1">
        <v>1.0396575263579999</v>
      </c>
      <c r="BL39" s="1">
        <v>11.111790695305</v>
      </c>
      <c r="BM39" s="1">
        <v>2.38275195867176</v>
      </c>
      <c r="BN39" s="1">
        <v>11.111790695305</v>
      </c>
      <c r="BO39" s="1">
        <v>1.0396575263579999</v>
      </c>
      <c r="BP39" s="1">
        <v>834.52863683186695</v>
      </c>
      <c r="BQ39" s="1">
        <v>1</v>
      </c>
      <c r="BR39" s="1">
        <v>0.29527500000000001</v>
      </c>
    </row>
    <row r="40" spans="1:70">
      <c r="A40" s="2" t="s">
        <v>108</v>
      </c>
      <c r="B40" s="1">
        <v>13789520</v>
      </c>
      <c r="C40" s="1">
        <v>608.621106065763</v>
      </c>
      <c r="D40" s="1">
        <v>85.147893581579396</v>
      </c>
      <c r="E40" s="1">
        <v>624.86627494838604</v>
      </c>
      <c r="F40" s="1">
        <v>2643264.3898665099</v>
      </c>
      <c r="G40" s="1">
        <v>1562686.9740257801</v>
      </c>
      <c r="H40" s="1">
        <v>2.2019594042733499E-5</v>
      </c>
      <c r="I40" s="1">
        <v>7.2223252690249804E-5</v>
      </c>
      <c r="J40" s="1">
        <v>0.49112124879375701</v>
      </c>
      <c r="K40" s="1">
        <v>7679.7516396704104</v>
      </c>
      <c r="L40" s="1">
        <v>6.5036382888884496E-3</v>
      </c>
      <c r="M40" s="1">
        <v>39</v>
      </c>
      <c r="N40" s="1">
        <v>2739.12</v>
      </c>
      <c r="O40" s="3">
        <v>1.7530051946856999E-5</v>
      </c>
      <c r="P40" s="3">
        <v>1.48421403326196E-2</v>
      </c>
      <c r="Q40" s="3">
        <v>4.7244000000000001E-3</v>
      </c>
      <c r="R40" s="1">
        <v>0.30480000000000002</v>
      </c>
      <c r="S40" s="4">
        <v>5373387.92578125</v>
      </c>
      <c r="T40" s="1">
        <v>483.34023209662797</v>
      </c>
      <c r="U40" s="5">
        <v>549.26039227159902</v>
      </c>
      <c r="V40" s="1">
        <v>0.03</v>
      </c>
      <c r="W40" s="3">
        <v>179176.34620390099</v>
      </c>
      <c r="X40" s="1">
        <v>2.7016272721832199E-2</v>
      </c>
      <c r="Y40" s="1">
        <v>6.08397308544511</v>
      </c>
      <c r="Z40" s="1">
        <v>6.0839730934391998</v>
      </c>
      <c r="AA40" s="1">
        <v>-7.9940862818261799E-9</v>
      </c>
      <c r="AB40" s="1">
        <v>1.9247181791581701E-5</v>
      </c>
      <c r="AC40" s="1">
        <v>724.01352594545597</v>
      </c>
      <c r="AD40" s="1">
        <v>5206.1706901739799</v>
      </c>
      <c r="AE40" s="1">
        <v>549.26039352739099</v>
      </c>
      <c r="AF40" s="6">
        <v>1.25579208543058E-6</v>
      </c>
      <c r="AG40" s="1">
        <v>1.93591320981036E-5</v>
      </c>
      <c r="AH40" s="1">
        <v>40.548097021038203</v>
      </c>
      <c r="AI40" s="1">
        <v>0.25473680394280102</v>
      </c>
      <c r="AJ40" s="1">
        <v>42.666559189041202</v>
      </c>
      <c r="AK40" s="1">
        <v>7.2128857889175197</v>
      </c>
      <c r="AL40" s="1">
        <v>1.1293680422758501</v>
      </c>
      <c r="AM40" s="1">
        <v>608.62110594719798</v>
      </c>
      <c r="AN40" s="1">
        <v>1.185646851809E-7</v>
      </c>
      <c r="AO40" s="1">
        <v>1.1195030652189599E-7</v>
      </c>
      <c r="AP40" s="1">
        <v>3.3915668854773999</v>
      </c>
      <c r="AQ40" s="1">
        <v>4.7406893314947601E-5</v>
      </c>
      <c r="AR40" s="1">
        <v>9.7355412023127495E-6</v>
      </c>
      <c r="AS40" s="1">
        <v>21.4566460335542</v>
      </c>
      <c r="AT40" s="1">
        <v>12.280172178890799</v>
      </c>
      <c r="AU40" s="1">
        <v>3.1282118127179399</v>
      </c>
      <c r="AV40" s="1">
        <v>0.26335507275946002</v>
      </c>
      <c r="AW40" s="1">
        <v>1.1571624760161599E-2</v>
      </c>
      <c r="AX40" s="1">
        <v>0.26335506437326101</v>
      </c>
      <c r="AY40" s="1">
        <v>8.3861982913546707E-9</v>
      </c>
      <c r="AZ40" s="1">
        <v>1080577.4158407301</v>
      </c>
      <c r="BA40" s="1">
        <v>1.3977873624708E-5</v>
      </c>
      <c r="BB40" s="4">
        <v>5407881.2884878702</v>
      </c>
      <c r="BC40" s="4">
        <v>34493.362706624903</v>
      </c>
      <c r="BD40" s="7">
        <v>0.64192950859042697</v>
      </c>
      <c r="BE40" s="4">
        <v>5174200</v>
      </c>
      <c r="BF40" s="1">
        <v>1.04516278622548</v>
      </c>
      <c r="BG40" s="1">
        <v>1</v>
      </c>
      <c r="BH40" s="1">
        <v>-0.159</v>
      </c>
      <c r="BI40" s="1">
        <v>4.5999999999999999E-2</v>
      </c>
      <c r="BJ40" s="1">
        <v>5625</v>
      </c>
      <c r="BK40" s="1">
        <v>1.0126251933716599</v>
      </c>
      <c r="BL40" s="1">
        <v>125.280873969135</v>
      </c>
      <c r="BM40" s="1">
        <v>5.4078812884878804</v>
      </c>
      <c r="BN40" s="1">
        <v>125.280873969135</v>
      </c>
      <c r="BO40" s="1">
        <v>1.0126251933716599</v>
      </c>
      <c r="BP40" s="1">
        <v>7272.8274649394898</v>
      </c>
      <c r="BQ40" s="1">
        <v>1</v>
      </c>
      <c r="BR40" s="1">
        <v>0.30480000000000002</v>
      </c>
    </row>
    <row r="41" spans="1:70">
      <c r="A41" s="2" t="s">
        <v>109</v>
      </c>
      <c r="B41" s="1">
        <v>13789520</v>
      </c>
      <c r="C41" s="1">
        <v>608.621106065763</v>
      </c>
      <c r="D41" s="1">
        <v>85.147893581579396</v>
      </c>
      <c r="E41" s="1">
        <v>624.86627494838604</v>
      </c>
      <c r="F41" s="1">
        <v>2643264.3898665099</v>
      </c>
      <c r="G41" s="1">
        <v>1562686.9740257801</v>
      </c>
      <c r="H41" s="1">
        <v>2.2019594042733499E-5</v>
      </c>
      <c r="I41" s="1">
        <v>7.2223252690249804E-5</v>
      </c>
      <c r="J41" s="1">
        <v>0.49112124879375701</v>
      </c>
      <c r="K41" s="1">
        <v>7679.7516396704104</v>
      </c>
      <c r="L41" s="1">
        <v>6.5036382888884496E-3</v>
      </c>
      <c r="M41" s="1">
        <v>40</v>
      </c>
      <c r="N41" s="1">
        <v>2759.46</v>
      </c>
      <c r="O41" s="3">
        <v>1.7530051946856999E-5</v>
      </c>
      <c r="P41" s="3">
        <v>1.48421403326196E-2</v>
      </c>
      <c r="Q41" s="3">
        <v>4.7244000000000001E-3</v>
      </c>
      <c r="R41" s="1">
        <v>0.30480000000000002</v>
      </c>
      <c r="S41" s="4">
        <v>2968082.51953125</v>
      </c>
      <c r="T41" s="1">
        <v>573.63997230882796</v>
      </c>
      <c r="U41" s="5">
        <v>609.78370368695005</v>
      </c>
      <c r="V41" s="1">
        <v>0.03</v>
      </c>
      <c r="W41" s="3">
        <v>180506.86362620699</v>
      </c>
      <c r="X41" s="1">
        <v>2.6930964972430499E-2</v>
      </c>
      <c r="Y41" s="1">
        <v>6.0936014016155697</v>
      </c>
      <c r="Z41" s="1">
        <v>6.0936014084825096</v>
      </c>
      <c r="AA41" s="1">
        <v>-6.8669399055920597E-9</v>
      </c>
      <c r="AB41" s="1">
        <v>1.9024558052984499E-5</v>
      </c>
      <c r="AC41" s="1">
        <v>657.10690055784301</v>
      </c>
      <c r="AD41" s="1">
        <v>5236.5431749017198</v>
      </c>
      <c r="AE41" s="1">
        <v>609.78370428417099</v>
      </c>
      <c r="AF41" s="6">
        <v>5.9722071910073303E-7</v>
      </c>
      <c r="AG41" s="1">
        <v>1.9085467919480999E-5</v>
      </c>
      <c r="AH41" s="1">
        <v>41.022587357512002</v>
      </c>
      <c r="AI41" s="1">
        <v>0.256222923040269</v>
      </c>
      <c r="AJ41" s="1">
        <v>42.308812451766897</v>
      </c>
      <c r="AK41" s="1">
        <v>3.03471637218184</v>
      </c>
      <c r="AL41" s="1">
        <v>1.1293680422758501</v>
      </c>
      <c r="AM41" s="1">
        <v>608.62110605136399</v>
      </c>
      <c r="AN41" s="1">
        <v>1.43987790579558E-8</v>
      </c>
      <c r="AO41" s="1">
        <v>6.0909866496462697E-8</v>
      </c>
      <c r="AP41" s="1">
        <v>3.39684906822878</v>
      </c>
      <c r="AQ41" s="1">
        <v>4.7259570209994899E-5</v>
      </c>
      <c r="AR41" s="1">
        <v>9.5731888929887103E-6</v>
      </c>
      <c r="AS41" s="1">
        <v>21.2219189567458</v>
      </c>
      <c r="AT41" s="1">
        <v>12.2251728030602</v>
      </c>
      <c r="AU41" s="1">
        <v>3.13236951027248</v>
      </c>
      <c r="AV41" s="1">
        <v>0.26447955795630301</v>
      </c>
      <c r="AW41" s="1">
        <v>1.1437780834663999E-2</v>
      </c>
      <c r="AX41" s="1">
        <v>0.26447954922767902</v>
      </c>
      <c r="AY41" s="1">
        <v>8.7286240457729003E-9</v>
      </c>
      <c r="AZ41" s="1">
        <v>1080577.4158407301</v>
      </c>
      <c r="BA41" s="1">
        <v>1.3912767173561099E-5</v>
      </c>
      <c r="BB41" s="4">
        <v>2956086.2573893899</v>
      </c>
      <c r="BC41" s="4">
        <v>-11996.2621418573</v>
      </c>
      <c r="BD41" s="7">
        <v>-0.40417549252477902</v>
      </c>
      <c r="BE41" s="4">
        <v>2943615</v>
      </c>
      <c r="BF41" s="1">
        <v>1.0042367148521101</v>
      </c>
      <c r="BG41" s="1">
        <v>1</v>
      </c>
      <c r="BH41" s="1">
        <v>5.1999999999999998E-2</v>
      </c>
      <c r="BI41" s="1">
        <v>4.5999999999999999E-2</v>
      </c>
      <c r="BJ41" s="1">
        <v>5625</v>
      </c>
      <c r="BK41" s="1">
        <v>1.04579447033464</v>
      </c>
      <c r="BL41" s="1">
        <v>34.981133756935002</v>
      </c>
      <c r="BM41" s="1">
        <v>2.9560862573893898</v>
      </c>
      <c r="BN41" s="1">
        <v>34.981133756935002</v>
      </c>
      <c r="BO41" s="1">
        <v>1.04579447033464</v>
      </c>
      <c r="BP41" s="1">
        <v>25.189018365776999</v>
      </c>
      <c r="BQ41" s="1">
        <v>1</v>
      </c>
      <c r="BR41" s="1">
        <v>0.30480000000000002</v>
      </c>
    </row>
    <row r="42" spans="1:70">
      <c r="A42" s="2" t="s">
        <v>110</v>
      </c>
      <c r="B42" s="1">
        <v>13789520</v>
      </c>
      <c r="C42" s="1">
        <v>608.621106065763</v>
      </c>
      <c r="D42" s="1">
        <v>85.147893581579396</v>
      </c>
      <c r="E42" s="1">
        <v>624.86627494838604</v>
      </c>
      <c r="F42" s="1">
        <v>2643264.3898665099</v>
      </c>
      <c r="G42" s="1">
        <v>1562686.9740257801</v>
      </c>
      <c r="H42" s="1">
        <v>2.2019594042733499E-5</v>
      </c>
      <c r="I42" s="1">
        <v>7.2223252690249804E-5</v>
      </c>
      <c r="J42" s="1">
        <v>0.49112124879375701</v>
      </c>
      <c r="K42" s="1">
        <v>7679.7516396704104</v>
      </c>
      <c r="L42" s="1">
        <v>6.5036382888884496E-3</v>
      </c>
      <c r="M42" s="1">
        <v>41</v>
      </c>
      <c r="N42" s="1">
        <v>2759.46</v>
      </c>
      <c r="O42" s="3">
        <v>1.7530051946856999E-5</v>
      </c>
      <c r="P42" s="3">
        <v>1.48421403326196E-2</v>
      </c>
      <c r="Q42" s="3">
        <v>4.7244000000000001E-3</v>
      </c>
      <c r="R42" s="1">
        <v>0.30480000000000002</v>
      </c>
      <c r="S42" s="4">
        <v>4270724.01953125</v>
      </c>
      <c r="T42" s="1">
        <v>532.84871111815698</v>
      </c>
      <c r="U42" s="5">
        <v>584.85531832542904</v>
      </c>
      <c r="V42" s="1">
        <v>0.03</v>
      </c>
      <c r="W42" s="3">
        <v>180506.86362620699</v>
      </c>
      <c r="X42" s="1">
        <v>2.6930964972430499E-2</v>
      </c>
      <c r="Y42" s="1">
        <v>6.0936014016155697</v>
      </c>
      <c r="Z42" s="1">
        <v>6.0936014084825096</v>
      </c>
      <c r="AA42" s="1">
        <v>-6.8669399055920597E-9</v>
      </c>
      <c r="AB42" s="1">
        <v>1.9024558052984499E-5</v>
      </c>
      <c r="AC42" s="1">
        <v>690.93174511575398</v>
      </c>
      <c r="AD42" s="1">
        <v>5236.5431749017198</v>
      </c>
      <c r="AE42" s="1">
        <v>584.85531926806402</v>
      </c>
      <c r="AF42" s="6">
        <v>9.4263498340296802E-7</v>
      </c>
      <c r="AG42" s="1">
        <v>1.9112738074893601E-5</v>
      </c>
      <c r="AH42" s="1">
        <v>41.022587357512002</v>
      </c>
      <c r="AI42" s="1">
        <v>0.256222923040269</v>
      </c>
      <c r="AJ42" s="1">
        <v>42.369265142565602</v>
      </c>
      <c r="AK42" s="1">
        <v>5.1506560127335197</v>
      </c>
      <c r="AL42" s="1">
        <v>1.1293680422758501</v>
      </c>
      <c r="AM42" s="1">
        <v>608.62110603622398</v>
      </c>
      <c r="AN42" s="1">
        <v>2.95385689241812E-8</v>
      </c>
      <c r="AO42" s="1">
        <v>8.8180021909142998E-8</v>
      </c>
      <c r="AP42" s="1">
        <v>3.400230260631</v>
      </c>
      <c r="AQ42" s="1">
        <v>4.7165627013225398E-5</v>
      </c>
      <c r="AR42" s="1">
        <v>9.6004590484013906E-6</v>
      </c>
      <c r="AS42" s="1">
        <v>21.282371647544601</v>
      </c>
      <c r="AT42" s="1">
        <v>12.2393955393303</v>
      </c>
      <c r="AU42" s="1">
        <v>3.1360137013332299</v>
      </c>
      <c r="AV42" s="1">
        <v>0.264216559297766</v>
      </c>
      <c r="AW42" s="1">
        <v>1.1437780834663999E-2</v>
      </c>
      <c r="AX42" s="1">
        <v>0.26421655049705001</v>
      </c>
      <c r="AY42" s="1">
        <v>8.8007155452096697E-9</v>
      </c>
      <c r="AZ42" s="1">
        <v>1080577.4158407301</v>
      </c>
      <c r="BA42" s="1">
        <v>1.38713038229572E-5</v>
      </c>
      <c r="BB42" s="4">
        <v>4292357.5425925804</v>
      </c>
      <c r="BC42" s="4">
        <v>21633.523061330401</v>
      </c>
      <c r="BD42" s="7">
        <v>0.50655399324316197</v>
      </c>
      <c r="BE42" s="4">
        <v>4227700</v>
      </c>
      <c r="BF42" s="1">
        <v>1.0152937868326899</v>
      </c>
      <c r="BG42" s="1">
        <v>1</v>
      </c>
      <c r="BH42" s="1">
        <v>-3.1E-2</v>
      </c>
      <c r="BI42" s="1">
        <v>4.5999999999999999E-2</v>
      </c>
      <c r="BJ42" s="1">
        <v>5625</v>
      </c>
      <c r="BK42" s="1">
        <v>1.0366401828979299</v>
      </c>
      <c r="BL42" s="1">
        <v>75.772394947606003</v>
      </c>
      <c r="BM42" s="1">
        <v>4.2923575425925797</v>
      </c>
      <c r="BN42" s="1">
        <v>75.772394947606003</v>
      </c>
      <c r="BO42" s="1">
        <v>1.0366401828979299</v>
      </c>
      <c r="BP42" s="1">
        <v>1279.66424028751</v>
      </c>
      <c r="BQ42" s="1">
        <v>1</v>
      </c>
      <c r="BR42" s="1">
        <v>0.30480000000000002</v>
      </c>
    </row>
    <row r="43" spans="1:70">
      <c r="A43" s="2" t="s">
        <v>111</v>
      </c>
      <c r="B43" s="1">
        <v>13789520</v>
      </c>
      <c r="C43" s="1">
        <v>608.621106065763</v>
      </c>
      <c r="D43" s="1">
        <v>85.147893581579396</v>
      </c>
      <c r="E43" s="1">
        <v>624.86627494838604</v>
      </c>
      <c r="F43" s="1">
        <v>2643264.3898665099</v>
      </c>
      <c r="G43" s="1">
        <v>1562686.9740257801</v>
      </c>
      <c r="H43" s="1">
        <v>2.2019594042733499E-5</v>
      </c>
      <c r="I43" s="1">
        <v>7.2223252690249804E-5</v>
      </c>
      <c r="J43" s="1">
        <v>0.49112124879375701</v>
      </c>
      <c r="K43" s="1">
        <v>7679.7516396704104</v>
      </c>
      <c r="L43" s="1">
        <v>6.5036382888884496E-3</v>
      </c>
      <c r="M43" s="1">
        <v>42</v>
      </c>
      <c r="N43" s="1">
        <v>2759.46</v>
      </c>
      <c r="O43" s="3">
        <v>1.7530051946856999E-5</v>
      </c>
      <c r="P43" s="3">
        <v>1.48421403326196E-2</v>
      </c>
      <c r="Q43" s="3">
        <v>4.7244000000000001E-3</v>
      </c>
      <c r="R43" s="1">
        <v>0.30480000000000002</v>
      </c>
      <c r="S43" s="4">
        <v>4284386.38671875</v>
      </c>
      <c r="T43" s="1">
        <v>532.27181435384398</v>
      </c>
      <c r="U43" s="5">
        <v>584.44479460713706</v>
      </c>
      <c r="V43" s="1">
        <v>0.03</v>
      </c>
      <c r="W43" s="3">
        <v>180506.86362620699</v>
      </c>
      <c r="X43" s="1">
        <v>2.6930964972430499E-2</v>
      </c>
      <c r="Y43" s="1">
        <v>6.0936014016155697</v>
      </c>
      <c r="Z43" s="1">
        <v>6.0936014084825096</v>
      </c>
      <c r="AA43" s="1">
        <v>-6.8669399055920597E-9</v>
      </c>
      <c r="AB43" s="1">
        <v>1.9024558052984499E-5</v>
      </c>
      <c r="AC43" s="1">
        <v>691.32997663433696</v>
      </c>
      <c r="AD43" s="1">
        <v>5236.5431749017198</v>
      </c>
      <c r="AE43" s="1">
        <v>584.44479555365297</v>
      </c>
      <c r="AF43" s="6">
        <v>9.4651659310329695E-7</v>
      </c>
      <c r="AG43" s="1">
        <v>1.9111832755905199E-5</v>
      </c>
      <c r="AH43" s="1">
        <v>41.022587357512002</v>
      </c>
      <c r="AI43" s="1">
        <v>0.256222923040269</v>
      </c>
      <c r="AJ43" s="1">
        <v>42.367258224451199</v>
      </c>
      <c r="AK43" s="1">
        <v>5.1756140307345797</v>
      </c>
      <c r="AL43" s="1">
        <v>1.1293680422758501</v>
      </c>
      <c r="AM43" s="1">
        <v>608.62110603625695</v>
      </c>
      <c r="AN43" s="1">
        <v>2.9505827114917301E-8</v>
      </c>
      <c r="AO43" s="1">
        <v>8.7274702920744199E-8</v>
      </c>
      <c r="AP43" s="1">
        <v>3.4001181576980599</v>
      </c>
      <c r="AQ43" s="1">
        <v>4.7168737194719399E-5</v>
      </c>
      <c r="AR43" s="1">
        <v>9.5995537294129901E-6</v>
      </c>
      <c r="AS43" s="1">
        <v>21.2803647294302</v>
      </c>
      <c r="AT43" s="1">
        <v>12.238924019337301</v>
      </c>
      <c r="AU43" s="1">
        <v>3.1358928871023499</v>
      </c>
      <c r="AV43" s="1">
        <v>0.26422527059570899</v>
      </c>
      <c r="AW43" s="1">
        <v>1.1437780834663999E-2</v>
      </c>
      <c r="AX43" s="1">
        <v>0.26422526179732497</v>
      </c>
      <c r="AY43" s="1">
        <v>8.7983837993022007E-9</v>
      </c>
      <c r="AZ43" s="1">
        <v>1080577.4158407301</v>
      </c>
      <c r="BA43" s="1">
        <v>1.3872675891550001E-5</v>
      </c>
      <c r="BB43" s="4">
        <v>4247868.9646079503</v>
      </c>
      <c r="BC43" s="4">
        <v>-36517.4221108044</v>
      </c>
      <c r="BD43" s="7">
        <v>-0.85233727340758503</v>
      </c>
      <c r="BE43" s="4">
        <v>4196150</v>
      </c>
      <c r="BF43" s="1">
        <v>1.0123253374183301</v>
      </c>
      <c r="BG43" s="1">
        <v>1</v>
      </c>
      <c r="BH43" s="1">
        <v>-3.5999999999999997E-2</v>
      </c>
      <c r="BI43" s="1">
        <v>4.5999999999999999E-2</v>
      </c>
      <c r="BJ43" s="1">
        <v>5625</v>
      </c>
      <c r="BK43" s="1">
        <v>1.03637016416921</v>
      </c>
      <c r="BL43" s="1">
        <v>76.349291711918994</v>
      </c>
      <c r="BM43" s="1">
        <v>4.2478689646079504</v>
      </c>
      <c r="BN43" s="1">
        <v>76.349291711918994</v>
      </c>
      <c r="BO43" s="1">
        <v>1.03637016416921</v>
      </c>
      <c r="BP43" s="1">
        <v>1321.27100795819</v>
      </c>
      <c r="BQ43" s="1">
        <v>1</v>
      </c>
      <c r="BR43" s="1">
        <v>0.30480000000000002</v>
      </c>
    </row>
    <row r="44" spans="1:70">
      <c r="A44" s="2" t="s">
        <v>112</v>
      </c>
      <c r="B44" s="1">
        <v>13789520</v>
      </c>
      <c r="C44" s="1">
        <v>608.621106065763</v>
      </c>
      <c r="D44" s="1">
        <v>85.147893581579396</v>
      </c>
      <c r="E44" s="1">
        <v>624.86627494838604</v>
      </c>
      <c r="F44" s="1">
        <v>2643264.3898665099</v>
      </c>
      <c r="G44" s="1">
        <v>1562686.9740257801</v>
      </c>
      <c r="H44" s="1">
        <v>2.2019594042733499E-5</v>
      </c>
      <c r="I44" s="1">
        <v>7.2223252690249804E-5</v>
      </c>
      <c r="J44" s="1">
        <v>0.49112124879375701</v>
      </c>
      <c r="K44" s="1">
        <v>7679.7516396704104</v>
      </c>
      <c r="L44" s="1">
        <v>6.5036382888884496E-3</v>
      </c>
      <c r="M44" s="1">
        <v>43</v>
      </c>
      <c r="N44" s="1">
        <v>2766.24</v>
      </c>
      <c r="O44" s="3">
        <v>1.7530051946856999E-5</v>
      </c>
      <c r="P44" s="3">
        <v>1.48421403326196E-2</v>
      </c>
      <c r="Q44" s="3">
        <v>4.7244000000000001E-3</v>
      </c>
      <c r="R44" s="1">
        <v>0.30480000000000002</v>
      </c>
      <c r="S44" s="4">
        <v>4277783.203125</v>
      </c>
      <c r="T44" s="1">
        <v>532.84871111815698</v>
      </c>
      <c r="U44" s="5">
        <v>584.813603443136</v>
      </c>
      <c r="V44" s="1">
        <v>0.03</v>
      </c>
      <c r="W44" s="3">
        <v>180950.36943364199</v>
      </c>
      <c r="X44" s="1">
        <v>2.6902755474970001E-2</v>
      </c>
      <c r="Y44" s="1">
        <v>6.0967953568832902</v>
      </c>
      <c r="Z44" s="1">
        <v>6.09679536327066</v>
      </c>
      <c r="AA44" s="1">
        <v>-6.3873750733023396E-9</v>
      </c>
      <c r="AB44" s="1">
        <v>1.8951265668188598E-5</v>
      </c>
      <c r="AC44" s="1">
        <v>690.88908735883103</v>
      </c>
      <c r="AD44" s="1">
        <v>5246.65934293999</v>
      </c>
      <c r="AE44" s="1">
        <v>584.813603443136</v>
      </c>
      <c r="AF44" s="6">
        <v>0</v>
      </c>
      <c r="AG44" s="1">
        <v>1.9038226786648298E-5</v>
      </c>
      <c r="AH44" s="1">
        <v>41.1812386745571</v>
      </c>
      <c r="AI44" s="1">
        <v>0.25671790495069302</v>
      </c>
      <c r="AJ44" s="1">
        <v>42.285619525518101</v>
      </c>
      <c r="AK44" s="1">
        <v>5.14957865488892</v>
      </c>
      <c r="AL44" s="1">
        <v>1.1293680422758501</v>
      </c>
      <c r="AM44" s="1">
        <v>608.62110604928898</v>
      </c>
      <c r="AN44" s="1">
        <v>1.6473904906888499E-8</v>
      </c>
      <c r="AO44" s="1">
        <v>8.6961118459737295E-8</v>
      </c>
      <c r="AP44" s="1">
        <v>3.4039169398577398</v>
      </c>
      <c r="AQ44" s="1">
        <v>4.7063515019389101E-5</v>
      </c>
      <c r="AR44" s="1">
        <v>9.5625939525540297E-6</v>
      </c>
      <c r="AS44" s="1">
        <v>21.239384008089502</v>
      </c>
      <c r="AT44" s="1">
        <v>12.229285972254001</v>
      </c>
      <c r="AU44" s="1">
        <v>3.13947667383996</v>
      </c>
      <c r="AV44" s="1">
        <v>0.26444026601778298</v>
      </c>
      <c r="AW44" s="1">
        <v>1.1393716618727401E-2</v>
      </c>
      <c r="AX44" s="1">
        <v>0.26444025706397201</v>
      </c>
      <c r="AY44" s="1">
        <v>8.9538111369691398E-9</v>
      </c>
      <c r="AZ44" s="1">
        <v>1080577.4158407301</v>
      </c>
      <c r="BA44" s="1">
        <v>1.38262818543851E-5</v>
      </c>
      <c r="BB44" s="4">
        <v>4246808.5511449603</v>
      </c>
      <c r="BC44" s="4">
        <v>-30974.6519800397</v>
      </c>
      <c r="BD44" s="7">
        <v>-0.72408185523315205</v>
      </c>
      <c r="BE44" s="4">
        <v>4224545</v>
      </c>
      <c r="BF44" s="1">
        <v>1.00527004710447</v>
      </c>
      <c r="BG44" s="1">
        <v>1</v>
      </c>
      <c r="BH44" s="1">
        <v>-3.2000000000000001E-2</v>
      </c>
      <c r="BI44" s="1">
        <v>4.5999999999999999E-2</v>
      </c>
      <c r="BJ44" s="1">
        <v>5625</v>
      </c>
      <c r="BK44" s="1">
        <v>1.0366401828979299</v>
      </c>
      <c r="BL44" s="1">
        <v>75.772394947606003</v>
      </c>
      <c r="BM44" s="1">
        <v>4.2468085511449596</v>
      </c>
      <c r="BN44" s="1">
        <v>75.772394947606003</v>
      </c>
      <c r="BO44" s="1">
        <v>1.0366401828979299</v>
      </c>
      <c r="BP44" s="1">
        <v>1279.66424028751</v>
      </c>
      <c r="BQ44" s="1">
        <v>1</v>
      </c>
      <c r="BR44" s="1">
        <v>0.30480000000000002</v>
      </c>
    </row>
    <row r="45" spans="1:70">
      <c r="A45" s="2" t="s">
        <v>113</v>
      </c>
      <c r="B45" s="1">
        <v>13789520</v>
      </c>
      <c r="C45" s="1">
        <v>608.621106065763</v>
      </c>
      <c r="D45" s="1">
        <v>85.147893581579396</v>
      </c>
      <c r="E45" s="1">
        <v>624.86627494838604</v>
      </c>
      <c r="F45" s="1">
        <v>2643264.3898665099</v>
      </c>
      <c r="G45" s="1">
        <v>1562686.9740257801</v>
      </c>
      <c r="H45" s="1">
        <v>2.2019594042733499E-5</v>
      </c>
      <c r="I45" s="1">
        <v>7.2223252690249804E-5</v>
      </c>
      <c r="J45" s="1">
        <v>0.49112124879375701</v>
      </c>
      <c r="K45" s="1">
        <v>7679.7516396704104</v>
      </c>
      <c r="L45" s="1">
        <v>6.5036382888884496E-3</v>
      </c>
      <c r="M45" s="1">
        <v>44</v>
      </c>
      <c r="N45" s="1">
        <v>2779.8</v>
      </c>
      <c r="O45" s="3">
        <v>1.7530051946856999E-5</v>
      </c>
      <c r="P45" s="3">
        <v>1.48421403326196E-2</v>
      </c>
      <c r="Q45" s="3">
        <v>4.7244000000000001E-3</v>
      </c>
      <c r="R45" s="1">
        <v>0.30480000000000002</v>
      </c>
      <c r="S45" s="4">
        <v>4291956.93359375</v>
      </c>
      <c r="T45" s="1">
        <v>532.84871111815698</v>
      </c>
      <c r="U45" s="5">
        <v>584.73145339179803</v>
      </c>
      <c r="V45" s="1">
        <v>0.03</v>
      </c>
      <c r="W45" s="3">
        <v>181837.38104851299</v>
      </c>
      <c r="X45" s="1">
        <v>2.68466716729229E-2</v>
      </c>
      <c r="Y45" s="1">
        <v>6.1031602626924704</v>
      </c>
      <c r="Z45" s="1">
        <v>6.1031602680645403</v>
      </c>
      <c r="AA45" s="1">
        <v>-5.3720743409257904E-9</v>
      </c>
      <c r="AB45" s="1">
        <v>1.8806030895976101E-5</v>
      </c>
      <c r="AC45" s="1">
        <v>690.80685818817904</v>
      </c>
      <c r="AD45" s="1">
        <v>5266.8797671340399</v>
      </c>
      <c r="AE45" s="1">
        <v>584.73145339179803</v>
      </c>
      <c r="AF45" s="6">
        <v>0</v>
      </c>
      <c r="AG45" s="1">
        <v>1.8892861873191402E-5</v>
      </c>
      <c r="AH45" s="1">
        <v>41.499272174098301</v>
      </c>
      <c r="AI45" s="1">
        <v>0.25770728592571202</v>
      </c>
      <c r="AJ45" s="1">
        <v>42.124473771556197</v>
      </c>
      <c r="AK45" s="1">
        <v>5.14750712641818</v>
      </c>
      <c r="AL45" s="1">
        <v>1.1293680422758501</v>
      </c>
      <c r="AM45" s="1">
        <v>608.62110605352598</v>
      </c>
      <c r="AN45" s="1">
        <v>1.2237478586030199E-8</v>
      </c>
      <c r="AO45" s="1">
        <v>8.6830977215307094E-8</v>
      </c>
      <c r="AP45" s="1">
        <v>3.4115573840077502</v>
      </c>
      <c r="AQ45" s="1">
        <v>4.6852946380376001E-5</v>
      </c>
      <c r="AR45" s="1">
        <v>9.4898464252033696E-6</v>
      </c>
      <c r="AS45" s="1">
        <v>21.159038239824302</v>
      </c>
      <c r="AT45" s="1">
        <v>12.2103357707649</v>
      </c>
      <c r="AU45" s="1">
        <v>3.1466924917254802</v>
      </c>
      <c r="AV45" s="1">
        <v>0.264864892282275</v>
      </c>
      <c r="AW45" s="1">
        <v>1.13063998206439E-2</v>
      </c>
      <c r="AX45" s="1">
        <v>0.264864883023607</v>
      </c>
      <c r="AY45" s="1">
        <v>9.2586686650797406E-9</v>
      </c>
      <c r="AZ45" s="1">
        <v>1080577.4158407301</v>
      </c>
      <c r="BA45" s="1">
        <v>1.37335946919747E-5</v>
      </c>
      <c r="BB45" s="4">
        <v>4269071.5594984097</v>
      </c>
      <c r="BC45" s="4">
        <v>-22885.374095336501</v>
      </c>
      <c r="BD45" s="7">
        <v>-0.53321537120303997</v>
      </c>
      <c r="BE45" s="4">
        <v>4192995</v>
      </c>
      <c r="BF45" s="1">
        <v>1.01814372769307</v>
      </c>
      <c r="BG45" s="1">
        <v>1</v>
      </c>
      <c r="BH45" s="1">
        <v>-3.6999999999999998E-2</v>
      </c>
      <c r="BI45" s="1">
        <v>4.5999999999999999E-2</v>
      </c>
      <c r="BJ45" s="1">
        <v>5625</v>
      </c>
      <c r="BK45" s="1">
        <v>1.0366401828979299</v>
      </c>
      <c r="BL45" s="1">
        <v>75.772394947606003</v>
      </c>
      <c r="BM45" s="1">
        <v>4.2690715594984097</v>
      </c>
      <c r="BN45" s="1">
        <v>75.772394947606003</v>
      </c>
      <c r="BO45" s="1">
        <v>1.0366401828979299</v>
      </c>
      <c r="BP45" s="1">
        <v>1279.66424028751</v>
      </c>
      <c r="BQ45" s="1">
        <v>1</v>
      </c>
      <c r="BR45" s="1">
        <v>0.30480000000000002</v>
      </c>
    </row>
    <row r="46" spans="1:70">
      <c r="A46" s="2" t="s">
        <v>114</v>
      </c>
      <c r="B46" s="1">
        <v>13789520</v>
      </c>
      <c r="C46" s="1">
        <v>608.621106065763</v>
      </c>
      <c r="D46" s="1">
        <v>85.147893581579396</v>
      </c>
      <c r="E46" s="1">
        <v>624.86627494838604</v>
      </c>
      <c r="F46" s="1">
        <v>2643264.3898665099</v>
      </c>
      <c r="G46" s="1">
        <v>1562686.9740257801</v>
      </c>
      <c r="H46" s="1">
        <v>2.2019594042733499E-5</v>
      </c>
      <c r="I46" s="1">
        <v>7.2223252690249804E-5</v>
      </c>
      <c r="J46" s="1">
        <v>0.49112124879375701</v>
      </c>
      <c r="K46" s="1">
        <v>7679.7516396704104</v>
      </c>
      <c r="L46" s="1">
        <v>6.5036382888884496E-3</v>
      </c>
      <c r="M46" s="1">
        <v>45</v>
      </c>
      <c r="N46" s="1">
        <v>2793.36</v>
      </c>
      <c r="O46" s="3">
        <v>1.7530051946856999E-5</v>
      </c>
      <c r="P46" s="3">
        <v>1.48421403326196E-2</v>
      </c>
      <c r="Q46" s="3">
        <v>4.7244000000000001E-3</v>
      </c>
      <c r="R46" s="1">
        <v>0.30480000000000002</v>
      </c>
      <c r="S46" s="4">
        <v>4265534.47265625</v>
      </c>
      <c r="T46" s="1">
        <v>534.52714511009196</v>
      </c>
      <c r="U46" s="5">
        <v>585.84017556426897</v>
      </c>
      <c r="V46" s="1">
        <v>0.03</v>
      </c>
      <c r="W46" s="3">
        <v>182724.392663384</v>
      </c>
      <c r="X46" s="1">
        <v>2.67910299549288E-2</v>
      </c>
      <c r="Y46" s="1">
        <v>6.1094947370234403</v>
      </c>
      <c r="Z46" s="1">
        <v>6.1094947413837097</v>
      </c>
      <c r="AA46" s="1">
        <v>-4.3602650379170898E-9</v>
      </c>
      <c r="AB46" s="1">
        <v>1.86625707959308E-5</v>
      </c>
      <c r="AC46" s="1">
        <v>689.55746816548799</v>
      </c>
      <c r="AD46" s="1">
        <v>5287.0843949454502</v>
      </c>
      <c r="AE46" s="1">
        <v>585.84017649334896</v>
      </c>
      <c r="AF46" s="6">
        <v>9.2907987436774398E-7</v>
      </c>
      <c r="AG46" s="1">
        <v>1.87494113965466E-5</v>
      </c>
      <c r="AH46" s="1">
        <v>41.818279121372697</v>
      </c>
      <c r="AI46" s="1">
        <v>0.25869589398715098</v>
      </c>
      <c r="AJ46" s="1">
        <v>41.964998903180899</v>
      </c>
      <c r="AK46" s="1">
        <v>5.0722670602803701</v>
      </c>
      <c r="AL46" s="1">
        <v>1.1293680422758501</v>
      </c>
      <c r="AM46" s="1">
        <v>608.62110606052897</v>
      </c>
      <c r="AN46" s="1">
        <v>5.2341420087032004E-9</v>
      </c>
      <c r="AO46" s="1">
        <v>8.6840600615762097E-8</v>
      </c>
      <c r="AP46" s="1">
        <v>3.4191908820042101</v>
      </c>
      <c r="AQ46" s="1">
        <v>4.6643977271790802E-5</v>
      </c>
      <c r="AR46" s="1">
        <v>9.4181259985811808E-6</v>
      </c>
      <c r="AS46" s="1">
        <v>21.079682921314301</v>
      </c>
      <c r="AT46" s="1">
        <v>12.1915484093833</v>
      </c>
      <c r="AU46" s="1">
        <v>3.1539035148530399</v>
      </c>
      <c r="AV46" s="1">
        <v>0.26528736715117202</v>
      </c>
      <c r="AW46" s="1">
        <v>1.1220149975666401E-2</v>
      </c>
      <c r="AX46" s="1">
        <v>0.26528735759848299</v>
      </c>
      <c r="AY46" s="1">
        <v>9.5526882515351003E-9</v>
      </c>
      <c r="AZ46" s="1">
        <v>1080577.4158407301</v>
      </c>
      <c r="BA46" s="1">
        <v>1.36418172841084E-5</v>
      </c>
      <c r="BB46" s="4">
        <v>4298268.7105153603</v>
      </c>
      <c r="BC46" s="4">
        <v>32734.237859105699</v>
      </c>
      <c r="BD46" s="7">
        <v>0.76741233880408199</v>
      </c>
      <c r="BE46" s="4">
        <v>4126740</v>
      </c>
      <c r="BF46" s="1">
        <v>1.04156518475003</v>
      </c>
      <c r="BG46" s="1">
        <v>1</v>
      </c>
      <c r="BH46" s="1">
        <v>-3.6999999999999998E-2</v>
      </c>
      <c r="BI46" s="1">
        <v>4.5999999999999999E-2</v>
      </c>
      <c r="BJ46" s="1">
        <v>5625</v>
      </c>
      <c r="BK46" s="1">
        <v>1.0374120495227801</v>
      </c>
      <c r="BL46" s="1">
        <v>74.093960955670994</v>
      </c>
      <c r="BM46" s="1">
        <v>4.2982687105153596</v>
      </c>
      <c r="BN46" s="1">
        <v>74.093960955670994</v>
      </c>
      <c r="BO46" s="1">
        <v>1.0374120495227801</v>
      </c>
      <c r="BP46" s="1">
        <v>1162.3981736468199</v>
      </c>
      <c r="BQ46" s="1">
        <v>1</v>
      </c>
      <c r="BR46" s="1">
        <v>0.30480000000000002</v>
      </c>
    </row>
    <row r="47" spans="1:70">
      <c r="A47" s="2" t="s">
        <v>115</v>
      </c>
      <c r="B47" s="1">
        <v>13789520</v>
      </c>
      <c r="C47" s="1">
        <v>608.621106065763</v>
      </c>
      <c r="D47" s="1">
        <v>85.147893581579396</v>
      </c>
      <c r="E47" s="1">
        <v>624.86627494838604</v>
      </c>
      <c r="F47" s="1">
        <v>2643264.3898665099</v>
      </c>
      <c r="G47" s="1">
        <v>1562686.9740257801</v>
      </c>
      <c r="H47" s="1">
        <v>2.2019594042733499E-5</v>
      </c>
      <c r="I47" s="1">
        <v>7.2223252690249804E-5</v>
      </c>
      <c r="J47" s="1">
        <v>0.49112124879375701</v>
      </c>
      <c r="K47" s="1">
        <v>7679.7516396704104</v>
      </c>
      <c r="L47" s="1">
        <v>6.5036382888884496E-3</v>
      </c>
      <c r="M47" s="1">
        <v>46</v>
      </c>
      <c r="N47" s="1">
        <v>2793.36</v>
      </c>
      <c r="O47" s="3">
        <v>1.7530051946856999E-5</v>
      </c>
      <c r="P47" s="3">
        <v>1.48421403326196E-2</v>
      </c>
      <c r="Q47" s="3">
        <v>4.7244000000000001E-3</v>
      </c>
      <c r="R47" s="1">
        <v>0.30480000000000002</v>
      </c>
      <c r="S47" s="4">
        <v>4306133.30078125</v>
      </c>
      <c r="T47" s="1">
        <v>532.84871111815698</v>
      </c>
      <c r="U47" s="5">
        <v>584.65013263266599</v>
      </c>
      <c r="V47" s="1">
        <v>0.03</v>
      </c>
      <c r="W47" s="3">
        <v>182724.392663384</v>
      </c>
      <c r="X47" s="1">
        <v>2.67910299549288E-2</v>
      </c>
      <c r="Y47" s="1">
        <v>6.1094947370234403</v>
      </c>
      <c r="Z47" s="1">
        <v>6.1094947413837097</v>
      </c>
      <c r="AA47" s="1">
        <v>-4.3602650379170898E-9</v>
      </c>
      <c r="AB47" s="1">
        <v>1.86625707959308E-5</v>
      </c>
      <c r="AC47" s="1">
        <v>690.72595878698701</v>
      </c>
      <c r="AD47" s="1">
        <v>5287.0843949454502</v>
      </c>
      <c r="AE47" s="1">
        <v>584.65013263266599</v>
      </c>
      <c r="AF47" s="6">
        <v>0</v>
      </c>
      <c r="AG47" s="1">
        <v>1.8750073375809099E-5</v>
      </c>
      <c r="AH47" s="1">
        <v>41.818279121372697</v>
      </c>
      <c r="AI47" s="1">
        <v>0.25869589398715098</v>
      </c>
      <c r="AJ47" s="1">
        <v>41.966480547507601</v>
      </c>
      <c r="AK47" s="1">
        <v>5.1454676920892197</v>
      </c>
      <c r="AL47" s="1">
        <v>1.1293680422758501</v>
      </c>
      <c r="AM47" s="1">
        <v>608.62110606045405</v>
      </c>
      <c r="AN47" s="1">
        <v>5.3086068874108597E-9</v>
      </c>
      <c r="AO47" s="1">
        <v>8.7502579878228106E-8</v>
      </c>
      <c r="AP47" s="1">
        <v>3.4192752489437099</v>
      </c>
      <c r="AQ47" s="1">
        <v>4.6641675520236099E-5</v>
      </c>
      <c r="AR47" s="1">
        <v>9.4187879778436502E-6</v>
      </c>
      <c r="AS47" s="1">
        <v>21.081164565640901</v>
      </c>
      <c r="AT47" s="1">
        <v>12.1918998359829</v>
      </c>
      <c r="AU47" s="1">
        <v>3.1539944274714098</v>
      </c>
      <c r="AV47" s="1">
        <v>0.26528082147229798</v>
      </c>
      <c r="AW47" s="1">
        <v>1.1220149975666401E-2</v>
      </c>
      <c r="AX47" s="1">
        <v>0.26528081191823799</v>
      </c>
      <c r="AY47" s="1">
        <v>9.5540597655485693E-9</v>
      </c>
      <c r="AZ47" s="1">
        <v>1080577.4158407301</v>
      </c>
      <c r="BA47" s="1">
        <v>1.36408075175126E-5</v>
      </c>
      <c r="BB47" s="4">
        <v>4331354.6910840599</v>
      </c>
      <c r="BC47" s="4">
        <v>25221.390302807999</v>
      </c>
      <c r="BD47" s="7">
        <v>0.58570853573511505</v>
      </c>
      <c r="BE47" s="4">
        <v>4164600</v>
      </c>
      <c r="BF47" s="1">
        <v>1.0400409861893201</v>
      </c>
      <c r="BG47" s="1">
        <v>1</v>
      </c>
      <c r="BH47" s="1">
        <v>-3.9E-2</v>
      </c>
      <c r="BI47" s="1">
        <v>4.5999999999999999E-2</v>
      </c>
      <c r="BJ47" s="1">
        <v>5625</v>
      </c>
      <c r="BK47" s="1">
        <v>1.0366401828979299</v>
      </c>
      <c r="BL47" s="1">
        <v>75.772394947606003</v>
      </c>
      <c r="BM47" s="1">
        <v>4.3313546910840603</v>
      </c>
      <c r="BN47" s="1">
        <v>75.772394947606003</v>
      </c>
      <c r="BO47" s="1">
        <v>1.0366401828979299</v>
      </c>
      <c r="BP47" s="1">
        <v>1279.66424028751</v>
      </c>
      <c r="BQ47" s="1">
        <v>1</v>
      </c>
      <c r="BR47" s="1">
        <v>0.30480000000000002</v>
      </c>
    </row>
    <row r="48" spans="1:70">
      <c r="A48" s="2" t="s">
        <v>116</v>
      </c>
      <c r="B48" s="1">
        <v>13789520</v>
      </c>
      <c r="C48" s="1">
        <v>608.621106065763</v>
      </c>
      <c r="D48" s="1">
        <v>85.147893581579396</v>
      </c>
      <c r="E48" s="1">
        <v>624.86627494838604</v>
      </c>
      <c r="F48" s="1">
        <v>2643264.3898665099</v>
      </c>
      <c r="G48" s="1">
        <v>1562686.9740257801</v>
      </c>
      <c r="H48" s="1">
        <v>2.2019594042733499E-5</v>
      </c>
      <c r="I48" s="1">
        <v>7.2223252690249804E-5</v>
      </c>
      <c r="J48" s="1">
        <v>0.49112124879375701</v>
      </c>
      <c r="K48" s="1">
        <v>7679.7516396704104</v>
      </c>
      <c r="L48" s="1">
        <v>6.5036382888884496E-3</v>
      </c>
      <c r="M48" s="1">
        <v>47</v>
      </c>
      <c r="N48" s="1">
        <v>2797.4279999999999</v>
      </c>
      <c r="O48" s="3">
        <v>1.7530051946856999E-5</v>
      </c>
      <c r="P48" s="3">
        <v>1.48421403326196E-2</v>
      </c>
      <c r="Q48" s="3">
        <v>4.7244000000000001E-3</v>
      </c>
      <c r="R48" s="1">
        <v>0.30480000000000002</v>
      </c>
      <c r="S48" s="4">
        <v>4349337.40234375</v>
      </c>
      <c r="T48" s="1">
        <v>531.212292416884</v>
      </c>
      <c r="U48" s="5">
        <v>583.45736055640305</v>
      </c>
      <c r="V48" s="1">
        <v>0.03</v>
      </c>
      <c r="W48" s="3">
        <v>182990.496147845</v>
      </c>
      <c r="X48" s="1">
        <v>2.6774422788588E-2</v>
      </c>
      <c r="Y48" s="1">
        <v>6.1113891880796603</v>
      </c>
      <c r="Z48" s="1">
        <v>6.1113891921477101</v>
      </c>
      <c r="AA48" s="1">
        <v>-4.0680481205868099E-9</v>
      </c>
      <c r="AB48" s="1">
        <v>1.8619874352375501E-5</v>
      </c>
      <c r="AC48" s="1">
        <v>691.82699769332396</v>
      </c>
      <c r="AD48" s="1">
        <v>5293.1427183207497</v>
      </c>
      <c r="AE48" s="1">
        <v>583.45736055640305</v>
      </c>
      <c r="AF48" s="6">
        <v>0</v>
      </c>
      <c r="AG48" s="1">
        <v>1.8707711895684399E-5</v>
      </c>
      <c r="AH48" s="1">
        <v>41.914170842245703</v>
      </c>
      <c r="AI48" s="1">
        <v>0.25899232643735698</v>
      </c>
      <c r="AJ48" s="1">
        <v>41.9196465147255</v>
      </c>
      <c r="AK48" s="1">
        <v>5.2153816144042402</v>
      </c>
      <c r="AL48" s="1">
        <v>1.1293680422758501</v>
      </c>
      <c r="AM48" s="1">
        <v>608.62110606053295</v>
      </c>
      <c r="AN48" s="1">
        <v>5.2299355957074997E-9</v>
      </c>
      <c r="AO48" s="1">
        <v>8.7837543308959204E-8</v>
      </c>
      <c r="AP48" s="1">
        <v>3.42160332832007</v>
      </c>
      <c r="AQ48" s="1">
        <v>4.6578226562936299E-5</v>
      </c>
      <c r="AR48" s="1">
        <v>9.3977747194966996E-6</v>
      </c>
      <c r="AS48" s="1">
        <v>21.0582350456874</v>
      </c>
      <c r="AT48" s="1">
        <v>12.186458485980801</v>
      </c>
      <c r="AU48" s="1">
        <v>3.15619923431644</v>
      </c>
      <c r="AV48" s="1">
        <v>0.26540409400363502</v>
      </c>
      <c r="AW48" s="1">
        <v>1.11944803878396E-2</v>
      </c>
      <c r="AX48" s="1">
        <v>0.26540408436324597</v>
      </c>
      <c r="AY48" s="1">
        <v>9.6403892646534895E-9</v>
      </c>
      <c r="AZ48" s="1">
        <v>1080577.4158407301</v>
      </c>
      <c r="BA48" s="1">
        <v>1.36129825971981E-5</v>
      </c>
      <c r="BB48" s="4">
        <v>4356822.4674026696</v>
      </c>
      <c r="BC48" s="4">
        <v>7485.0650589223997</v>
      </c>
      <c r="BD48" s="7">
        <v>0.172096675113981</v>
      </c>
      <c r="BE48" s="4">
        <v>4312885</v>
      </c>
      <c r="BF48" s="1">
        <v>1.0101874887465501</v>
      </c>
      <c r="BG48" s="1">
        <v>1</v>
      </c>
      <c r="BH48" s="1">
        <v>-3.5999999999999997E-2</v>
      </c>
      <c r="BI48" s="1">
        <v>4.5999999999999999E-2</v>
      </c>
      <c r="BJ48" s="1">
        <v>5625</v>
      </c>
      <c r="BK48" s="1">
        <v>1.0358683659702701</v>
      </c>
      <c r="BL48" s="1">
        <v>77.408813648879004</v>
      </c>
      <c r="BM48" s="1">
        <v>4.3568224674026697</v>
      </c>
      <c r="BN48" s="1">
        <v>77.408813648879004</v>
      </c>
      <c r="BO48" s="1">
        <v>1.0358683659702701</v>
      </c>
      <c r="BP48" s="1">
        <v>1399.41933861656</v>
      </c>
      <c r="BQ48" s="1">
        <v>1</v>
      </c>
      <c r="BR48" s="1">
        <v>0.30480000000000002</v>
      </c>
    </row>
    <row r="49" spans="1:70">
      <c r="A49" s="2" t="s">
        <v>117</v>
      </c>
      <c r="B49" s="1">
        <v>13789520</v>
      </c>
      <c r="C49" s="1">
        <v>608.621106065763</v>
      </c>
      <c r="D49" s="1">
        <v>85.147893581579396</v>
      </c>
      <c r="E49" s="1">
        <v>624.86627494838604</v>
      </c>
      <c r="F49" s="1">
        <v>2643264.3898665099</v>
      </c>
      <c r="G49" s="1">
        <v>1562686.9740257801</v>
      </c>
      <c r="H49" s="1">
        <v>2.2019594042733499E-5</v>
      </c>
      <c r="I49" s="1">
        <v>7.2223252690249804E-5</v>
      </c>
      <c r="J49" s="1">
        <v>0.49112124879375701</v>
      </c>
      <c r="K49" s="1">
        <v>7679.7516396704104</v>
      </c>
      <c r="L49" s="1">
        <v>6.5036382888884496E-3</v>
      </c>
      <c r="M49" s="1">
        <v>48</v>
      </c>
      <c r="N49" s="1">
        <v>2797.4279999999999</v>
      </c>
      <c r="O49" s="3">
        <v>1.7530051946856999E-5</v>
      </c>
      <c r="P49" s="3">
        <v>1.48421403326196E-2</v>
      </c>
      <c r="Q49" s="3">
        <v>4.7244000000000001E-3</v>
      </c>
      <c r="R49" s="1">
        <v>0.30480000000000002</v>
      </c>
      <c r="S49" s="4">
        <v>4310363.84765625</v>
      </c>
      <c r="T49" s="1">
        <v>532.84871111815698</v>
      </c>
      <c r="U49" s="5">
        <v>584.62562150583301</v>
      </c>
      <c r="V49" s="1">
        <v>0.03</v>
      </c>
      <c r="W49" s="3">
        <v>182990.496147845</v>
      </c>
      <c r="X49" s="1">
        <v>2.6774422788588E-2</v>
      </c>
      <c r="Y49" s="1">
        <v>6.1113891880796603</v>
      </c>
      <c r="Z49" s="1">
        <v>6.1113891921477101</v>
      </c>
      <c r="AA49" s="1">
        <v>-4.0680481205868099E-9</v>
      </c>
      <c r="AB49" s="1">
        <v>1.8619874352375501E-5</v>
      </c>
      <c r="AC49" s="1">
        <v>690.701065394392</v>
      </c>
      <c r="AD49" s="1">
        <v>5293.1427183207497</v>
      </c>
      <c r="AE49" s="1">
        <v>584.62562150583301</v>
      </c>
      <c r="AF49" s="6">
        <v>0</v>
      </c>
      <c r="AG49" s="1">
        <v>1.8707029537775701E-5</v>
      </c>
      <c r="AH49" s="1">
        <v>41.914170842245703</v>
      </c>
      <c r="AI49" s="1">
        <v>0.25899232643735698</v>
      </c>
      <c r="AJ49" s="1">
        <v>41.918117508800499</v>
      </c>
      <c r="AK49" s="1">
        <v>5.1448370928173004</v>
      </c>
      <c r="AL49" s="1">
        <v>1.1293680422758501</v>
      </c>
      <c r="AM49" s="1">
        <v>608.62110606060901</v>
      </c>
      <c r="AN49" s="1">
        <v>5.1536517275963003E-9</v>
      </c>
      <c r="AO49" s="1">
        <v>8.7155185400199494E-8</v>
      </c>
      <c r="AP49" s="1">
        <v>3.4215160684171</v>
      </c>
      <c r="AQ49" s="1">
        <v>4.6580602388901603E-5</v>
      </c>
      <c r="AR49" s="1">
        <v>9.3970923615879399E-6</v>
      </c>
      <c r="AS49" s="1">
        <v>21.0567060397624</v>
      </c>
      <c r="AT49" s="1">
        <v>12.186095430522</v>
      </c>
      <c r="AU49" s="1">
        <v>3.1561052057385401</v>
      </c>
      <c r="AV49" s="1">
        <v>0.26541086267856101</v>
      </c>
      <c r="AW49" s="1">
        <v>1.11944803878396E-2</v>
      </c>
      <c r="AX49" s="1">
        <v>0.265410853039524</v>
      </c>
      <c r="AY49" s="1">
        <v>9.6390372905652605E-9</v>
      </c>
      <c r="AZ49" s="1">
        <v>1080577.4158407301</v>
      </c>
      <c r="BA49" s="1">
        <v>1.3614024151127599E-5</v>
      </c>
      <c r="BB49" s="4">
        <v>4322646.1576964296</v>
      </c>
      <c r="BC49" s="4">
        <v>12282.310040176801</v>
      </c>
      <c r="BD49" s="7">
        <v>0.28494833555304899</v>
      </c>
      <c r="BE49" s="4">
        <v>4259250</v>
      </c>
      <c r="BF49" s="1">
        <v>1.01488434764253</v>
      </c>
      <c r="BG49" s="1">
        <v>1</v>
      </c>
      <c r="BH49" s="1">
        <v>-3.3000000000000002E-2</v>
      </c>
      <c r="BI49" s="1">
        <v>4.5999999999999999E-2</v>
      </c>
      <c r="BJ49" s="1">
        <v>5625</v>
      </c>
      <c r="BK49" s="1">
        <v>1.0366401828979299</v>
      </c>
      <c r="BL49" s="1">
        <v>75.772394947606003</v>
      </c>
      <c r="BM49" s="1">
        <v>4.3226461576964299</v>
      </c>
      <c r="BN49" s="1">
        <v>75.772394947606003</v>
      </c>
      <c r="BO49" s="1">
        <v>1.0366401828979299</v>
      </c>
      <c r="BP49" s="1">
        <v>1279.66424028751</v>
      </c>
      <c r="BQ49" s="1">
        <v>1</v>
      </c>
      <c r="BR49" s="1">
        <v>0.30480000000000002</v>
      </c>
    </row>
    <row r="50" spans="1:70">
      <c r="A50" s="2" t="s">
        <v>118</v>
      </c>
      <c r="B50" s="1">
        <v>13789520</v>
      </c>
      <c r="C50" s="1">
        <v>608.621106065763</v>
      </c>
      <c r="D50" s="1">
        <v>85.147893581579396</v>
      </c>
      <c r="E50" s="1">
        <v>624.86627494838604</v>
      </c>
      <c r="F50" s="1">
        <v>2643264.3898665099</v>
      </c>
      <c r="G50" s="1">
        <v>1562686.9740257801</v>
      </c>
      <c r="H50" s="1">
        <v>2.2019594042733499E-5</v>
      </c>
      <c r="I50" s="1">
        <v>7.2223252690249804E-5</v>
      </c>
      <c r="J50" s="1">
        <v>0.49112124879375701</v>
      </c>
      <c r="K50" s="1">
        <v>7679.7516396704104</v>
      </c>
      <c r="L50" s="1">
        <v>6.5036382888884496E-3</v>
      </c>
      <c r="M50" s="1">
        <v>49</v>
      </c>
      <c r="N50" s="1">
        <v>2820.48</v>
      </c>
      <c r="O50" s="3">
        <v>1.7530051946856999E-5</v>
      </c>
      <c r="P50" s="3">
        <v>1.48421403326196E-2</v>
      </c>
      <c r="Q50" s="3">
        <v>4.7244000000000001E-3</v>
      </c>
      <c r="R50" s="1">
        <v>0.30480000000000002</v>
      </c>
      <c r="S50" s="4">
        <v>4357428.22265625</v>
      </c>
      <c r="T50" s="1">
        <v>531.88681381594404</v>
      </c>
      <c r="U50" s="5">
        <v>583.80127313834805</v>
      </c>
      <c r="V50" s="1">
        <v>0.03</v>
      </c>
      <c r="W50" s="3">
        <v>184498.415893125</v>
      </c>
      <c r="X50" s="1">
        <v>2.6681050006293099E-2</v>
      </c>
      <c r="Y50" s="1">
        <v>6.1220735321033803</v>
      </c>
      <c r="Z50" s="1">
        <v>6.1220735346898003</v>
      </c>
      <c r="AA50" s="1">
        <v>-2.5864146380172298E-9</v>
      </c>
      <c r="AB50" s="1">
        <v>1.8380855977977701E-5</v>
      </c>
      <c r="AC50" s="1">
        <v>691.224049910914</v>
      </c>
      <c r="AD50" s="1">
        <v>5327.4466695021101</v>
      </c>
      <c r="AE50" s="1">
        <v>583.80127313834703</v>
      </c>
      <c r="AF50" s="6">
        <v>0</v>
      </c>
      <c r="AG50" s="1">
        <v>1.8467633803144799E-5</v>
      </c>
      <c r="AH50" s="1">
        <v>42.459208406924297</v>
      </c>
      <c r="AI50" s="1">
        <v>0.26067081133664</v>
      </c>
      <c r="AJ50" s="1">
        <v>41.649874776965802</v>
      </c>
      <c r="AK50" s="1">
        <v>5.1828320627174298</v>
      </c>
      <c r="AL50" s="1">
        <v>1.1293680422758501</v>
      </c>
      <c r="AM50" s="1">
        <v>608.62110600301196</v>
      </c>
      <c r="AN50" s="1">
        <v>6.2751496443524996E-8</v>
      </c>
      <c r="AO50" s="1">
        <v>8.6777825167172194E-8</v>
      </c>
      <c r="AP50" s="1">
        <v>3.4343747655525001</v>
      </c>
      <c r="AQ50" s="1">
        <v>4.6232449027361098E-5</v>
      </c>
      <c r="AR50" s="1">
        <v>9.2772058141560108E-6</v>
      </c>
      <c r="AS50" s="1">
        <v>20.922791980743</v>
      </c>
      <c r="AT50" s="1">
        <v>12.1541954508715</v>
      </c>
      <c r="AU50" s="1">
        <v>3.1682439893227698</v>
      </c>
      <c r="AV50" s="1">
        <v>0.26613077622972697</v>
      </c>
      <c r="AW50" s="1">
        <v>1.10507798206987E-2</v>
      </c>
      <c r="AX50" s="1">
        <v>0.26613076613027398</v>
      </c>
      <c r="AY50" s="1">
        <v>1.00994531626597E-8</v>
      </c>
      <c r="AZ50" s="1">
        <v>1080577.4158407301</v>
      </c>
      <c r="BA50" s="1">
        <v>1.34616785247441E-5</v>
      </c>
      <c r="BB50" s="4">
        <v>4352637.6943044905</v>
      </c>
      <c r="BC50" s="4">
        <v>-4790.5283517586104</v>
      </c>
      <c r="BD50" s="7">
        <v>-0.10993935199782499</v>
      </c>
      <c r="BE50" s="4">
        <v>4284490</v>
      </c>
      <c r="BF50" s="1">
        <v>1.0159056723914599</v>
      </c>
      <c r="BG50" s="1">
        <v>1</v>
      </c>
      <c r="BH50" s="1">
        <v>-3.9E-2</v>
      </c>
      <c r="BI50" s="1">
        <v>4.5999999999999999E-2</v>
      </c>
      <c r="BJ50" s="1">
        <v>5625</v>
      </c>
      <c r="BK50" s="1">
        <v>1.0361886886061999</v>
      </c>
      <c r="BL50" s="1">
        <v>76.734292249819006</v>
      </c>
      <c r="BM50" s="1">
        <v>4.35263769430449</v>
      </c>
      <c r="BN50" s="1">
        <v>76.734292249819006</v>
      </c>
      <c r="BO50" s="1">
        <v>1.0361886886061999</v>
      </c>
      <c r="BP50" s="1">
        <v>1349.4082270951101</v>
      </c>
      <c r="BQ50" s="1">
        <v>1</v>
      </c>
      <c r="BR50" s="1">
        <v>0.30480000000000002</v>
      </c>
    </row>
    <row r="51" spans="1:70">
      <c r="A51" s="2" t="s">
        <v>119</v>
      </c>
      <c r="B51" s="1">
        <v>13789520</v>
      </c>
      <c r="C51" s="1">
        <v>608.621106065763</v>
      </c>
      <c r="D51" s="1">
        <v>85.147893581579396</v>
      </c>
      <c r="E51" s="1">
        <v>624.86627494838604</v>
      </c>
      <c r="F51" s="1">
        <v>2643264.3898665099</v>
      </c>
      <c r="G51" s="1">
        <v>1562686.9740257801</v>
      </c>
      <c r="H51" s="1">
        <v>2.2019594042733499E-5</v>
      </c>
      <c r="I51" s="1">
        <v>7.2223252690249804E-5</v>
      </c>
      <c r="J51" s="1">
        <v>0.49112124879375701</v>
      </c>
      <c r="K51" s="1">
        <v>7679.7516396704104</v>
      </c>
      <c r="L51" s="1">
        <v>6.5036382888884496E-3</v>
      </c>
      <c r="M51" s="1">
        <v>50</v>
      </c>
      <c r="N51" s="1">
        <v>2834.04</v>
      </c>
      <c r="O51" s="3">
        <v>1.7530051946856999E-5</v>
      </c>
      <c r="P51" s="3">
        <v>1.48421403326196E-2</v>
      </c>
      <c r="Q51" s="3">
        <v>4.7244000000000001E-3</v>
      </c>
      <c r="R51" s="1">
        <v>0.30480000000000002</v>
      </c>
      <c r="S51" s="4">
        <v>4401447.32421875</v>
      </c>
      <c r="T51" s="1">
        <v>530.63335550763395</v>
      </c>
      <c r="U51" s="5">
        <v>582.82135516240703</v>
      </c>
      <c r="V51" s="1">
        <v>0.03</v>
      </c>
      <c r="W51" s="3">
        <v>185385.42750799601</v>
      </c>
      <c r="X51" s="1">
        <v>2.66267006458492E-2</v>
      </c>
      <c r="Y51" s="1">
        <v>6.1283184133100903</v>
      </c>
      <c r="Z51" s="1">
        <v>6.1283184151948102</v>
      </c>
      <c r="AA51" s="1">
        <v>-1.8847252647447001E-9</v>
      </c>
      <c r="AB51" s="1">
        <v>1.8242543520100501E-5</v>
      </c>
      <c r="AC51" s="1">
        <v>691.99665934841505</v>
      </c>
      <c r="AD51" s="1">
        <v>5347.6045173894199</v>
      </c>
      <c r="AE51" s="1">
        <v>582.82135516240703</v>
      </c>
      <c r="AF51" s="6">
        <v>0</v>
      </c>
      <c r="AG51" s="1">
        <v>1.8329260263740799E-5</v>
      </c>
      <c r="AH51" s="1">
        <v>42.781128289851303</v>
      </c>
      <c r="AI51" s="1">
        <v>0.261657130466528</v>
      </c>
      <c r="AJ51" s="1">
        <v>41.494215132836601</v>
      </c>
      <c r="AK51" s="1">
        <v>5.2343829433364997</v>
      </c>
      <c r="AL51" s="1">
        <v>1.1293680422758501</v>
      </c>
      <c r="AM51" s="1">
        <v>608.62110604442705</v>
      </c>
      <c r="AN51" s="1">
        <v>2.13360635825666E-8</v>
      </c>
      <c r="AO51" s="1">
        <v>8.6716743640260997E-8</v>
      </c>
      <c r="AP51" s="1">
        <v>3.4419267186410001</v>
      </c>
      <c r="AQ51" s="1">
        <v>4.6029793779998298E-5</v>
      </c>
      <c r="AR51" s="1">
        <v>9.2079885036905098E-6</v>
      </c>
      <c r="AS51" s="1">
        <v>20.8452632793181</v>
      </c>
      <c r="AT51" s="1">
        <v>12.1356337079364</v>
      </c>
      <c r="AU51" s="1">
        <v>3.1753750924115098</v>
      </c>
      <c r="AV51" s="1">
        <v>0.26655162622948703</v>
      </c>
      <c r="AW51" s="1">
        <v>1.09676247967819E-2</v>
      </c>
      <c r="AX51" s="1">
        <v>0.26655161588123499</v>
      </c>
      <c r="AY51" s="1">
        <v>1.0348251811009801E-8</v>
      </c>
      <c r="AZ51" s="1">
        <v>1080577.4158407301</v>
      </c>
      <c r="BA51" s="1">
        <v>1.33732637393781E-5</v>
      </c>
      <c r="BB51" s="4">
        <v>4378330.3215079298</v>
      </c>
      <c r="BC51" s="4">
        <v>-23117.002710818299</v>
      </c>
      <c r="BD51" s="7">
        <v>-0.52521366286989601</v>
      </c>
      <c r="BE51" s="4">
        <v>4290800</v>
      </c>
      <c r="BF51" s="1">
        <v>1.02039953423789</v>
      </c>
      <c r="BG51" s="1">
        <v>1</v>
      </c>
      <c r="BH51" s="1">
        <v>-4.4999999999999998E-2</v>
      </c>
      <c r="BI51" s="1">
        <v>4.5999999999999999E-2</v>
      </c>
      <c r="BJ51" s="1">
        <v>5625</v>
      </c>
      <c r="BK51" s="1">
        <v>1.0355911055404701</v>
      </c>
      <c r="BL51" s="1">
        <v>77.987750558129093</v>
      </c>
      <c r="BM51" s="1">
        <v>4.3783303215079297</v>
      </c>
      <c r="BN51" s="1">
        <v>77.987750558129093</v>
      </c>
      <c r="BO51" s="1">
        <v>1.0355911055404701</v>
      </c>
      <c r="BP51" s="1">
        <v>1443.0691924666301</v>
      </c>
      <c r="BQ51" s="1">
        <v>1</v>
      </c>
      <c r="BR51" s="1">
        <v>0.30480000000000002</v>
      </c>
    </row>
    <row r="52" spans="1:70">
      <c r="A52" s="2" t="s">
        <v>120</v>
      </c>
      <c r="B52" s="1">
        <v>13789520</v>
      </c>
      <c r="C52" s="1">
        <v>608.621106065763</v>
      </c>
      <c r="D52" s="1">
        <v>85.147893581579396</v>
      </c>
      <c r="E52" s="1">
        <v>624.86627494838604</v>
      </c>
      <c r="F52" s="1">
        <v>2643264.3898665099</v>
      </c>
      <c r="G52" s="1">
        <v>1562686.9740257801</v>
      </c>
      <c r="H52" s="1">
        <v>2.2019594042733499E-5</v>
      </c>
      <c r="I52" s="1">
        <v>7.2223252690249804E-5</v>
      </c>
      <c r="J52" s="1">
        <v>0.49112124879375701</v>
      </c>
      <c r="K52" s="1">
        <v>7679.7516396704104</v>
      </c>
      <c r="L52" s="1">
        <v>6.5036382888884496E-3</v>
      </c>
      <c r="M52" s="1">
        <v>51</v>
      </c>
      <c r="N52" s="1">
        <v>3417.12</v>
      </c>
      <c r="O52" s="3">
        <v>1.7530051946856999E-5</v>
      </c>
      <c r="P52" s="3">
        <v>1.48421403326196E-2</v>
      </c>
      <c r="Q52" s="3">
        <v>4.7244000000000001E-3</v>
      </c>
      <c r="R52" s="1">
        <v>0.30480000000000002</v>
      </c>
      <c r="S52" s="4">
        <v>6343845.25390625</v>
      </c>
      <c r="T52" s="1">
        <v>479.48806170427099</v>
      </c>
      <c r="U52" s="5">
        <v>541.87209766032095</v>
      </c>
      <c r="V52" s="1">
        <v>0.03</v>
      </c>
      <c r="W52" s="3">
        <v>223526.92694743999</v>
      </c>
      <c r="X52" s="1">
        <v>2.4627077270517599E-2</v>
      </c>
      <c r="Y52" s="1">
        <v>6.3722611146904002</v>
      </c>
      <c r="Z52" s="1">
        <v>6.3722611346379603</v>
      </c>
      <c r="AA52" s="1">
        <v>-1.99475591600162E-8</v>
      </c>
      <c r="AB52" s="1">
        <v>1.3566923130281601E-5</v>
      </c>
      <c r="AC52" s="1">
        <v>720.92385403688104</v>
      </c>
      <c r="AD52" s="1">
        <v>6200.9937672651504</v>
      </c>
      <c r="AE52" s="1">
        <v>541.87209766032095</v>
      </c>
      <c r="AF52" s="6">
        <v>0</v>
      </c>
      <c r="AG52" s="1">
        <v>1.36638495688957E-5</v>
      </c>
      <c r="AH52" s="1">
        <v>57.524951469995798</v>
      </c>
      <c r="AI52" s="1">
        <v>0.30341328157443997</v>
      </c>
      <c r="AJ52" s="1">
        <v>35.868870550152799</v>
      </c>
      <c r="AK52" s="1">
        <v>7.2154391071549799</v>
      </c>
      <c r="AL52" s="1">
        <v>1.1293680422758501</v>
      </c>
      <c r="AM52" s="1">
        <v>608.62110603505698</v>
      </c>
      <c r="AN52" s="1">
        <v>3.0706019060744399E-8</v>
      </c>
      <c r="AO52" s="1">
        <v>9.69264386140941E-8</v>
      </c>
      <c r="AP52" s="1">
        <v>3.74847469721671</v>
      </c>
      <c r="AQ52" s="1">
        <v>3.8809057980121403E-5</v>
      </c>
      <c r="AR52" s="1">
        <v>6.8803880037549097E-6</v>
      </c>
      <c r="AS52" s="1">
        <v>18.061655714016599</v>
      </c>
      <c r="AT52" s="1">
        <v>11.418956111518</v>
      </c>
      <c r="AU52" s="1">
        <v>3.4646629459501801</v>
      </c>
      <c r="AV52" s="1">
        <v>0.28381175126652902</v>
      </c>
      <c r="AW52" s="1">
        <v>8.1565886015707596E-3</v>
      </c>
      <c r="AX52" s="1">
        <v>0.28381174828448602</v>
      </c>
      <c r="AY52" s="1">
        <v>2.9820428348870101E-9</v>
      </c>
      <c r="AZ52" s="1">
        <v>1080577.4158407301</v>
      </c>
      <c r="BA52" s="1">
        <v>1.03532933032568E-5</v>
      </c>
      <c r="BB52" s="4">
        <v>6321304.4911476104</v>
      </c>
      <c r="BC52" s="4">
        <v>-22540.762758638699</v>
      </c>
      <c r="BD52" s="7">
        <v>-0.3553170333838</v>
      </c>
      <c r="BE52" s="4">
        <v>6215350</v>
      </c>
      <c r="BF52" s="1">
        <v>1.0170472284179699</v>
      </c>
      <c r="BG52" s="1">
        <v>1</v>
      </c>
      <c r="BH52" s="1">
        <v>-0.191</v>
      </c>
      <c r="BI52" s="1">
        <v>4.5999999999999999E-2</v>
      </c>
      <c r="BJ52" s="1">
        <v>5625</v>
      </c>
      <c r="BK52" s="1">
        <v>1.0112037703158501</v>
      </c>
      <c r="BL52" s="1">
        <v>129.13304436149201</v>
      </c>
      <c r="BM52" s="1">
        <v>6.3213044911476102</v>
      </c>
      <c r="BN52" s="1">
        <v>129.13304436149201</v>
      </c>
      <c r="BO52" s="1">
        <v>1.0112037703158501</v>
      </c>
      <c r="BP52" s="1">
        <v>7944.6995971476999</v>
      </c>
      <c r="BQ52" s="1">
        <v>1</v>
      </c>
      <c r="BR52" s="1">
        <v>0.30480000000000002</v>
      </c>
    </row>
    <row r="53" spans="1:70">
      <c r="A53" s="2" t="s">
        <v>121</v>
      </c>
      <c r="B53" s="1">
        <v>13789520</v>
      </c>
      <c r="C53" s="1">
        <v>608.621106065763</v>
      </c>
      <c r="D53" s="1">
        <v>85.147893581579396</v>
      </c>
      <c r="E53" s="1">
        <v>624.86627494838604</v>
      </c>
      <c r="F53" s="1">
        <v>2643264.3898665099</v>
      </c>
      <c r="G53" s="1">
        <v>1562686.9740257801</v>
      </c>
      <c r="H53" s="1">
        <v>2.2019594042733499E-5</v>
      </c>
      <c r="I53" s="1">
        <v>7.2223252690249804E-5</v>
      </c>
      <c r="J53" s="1">
        <v>0.49112124879375701</v>
      </c>
      <c r="K53" s="1">
        <v>7679.7516396704104</v>
      </c>
      <c r="L53" s="1">
        <v>6.5036382888884496E-3</v>
      </c>
      <c r="M53" s="1">
        <v>52</v>
      </c>
      <c r="N53" s="1">
        <v>3451.02</v>
      </c>
      <c r="O53" s="3">
        <v>1.7530051946856999E-5</v>
      </c>
      <c r="P53" s="3">
        <v>1.48421403326196E-2</v>
      </c>
      <c r="Q53" s="3">
        <v>4.7244000000000001E-3</v>
      </c>
      <c r="R53" s="1">
        <v>0.30480000000000002</v>
      </c>
      <c r="S53" s="4">
        <v>4904694.62890625</v>
      </c>
      <c r="T53" s="1">
        <v>535.10115911890296</v>
      </c>
      <c r="U53" s="5">
        <v>582.85910230692605</v>
      </c>
      <c r="V53" s="1">
        <v>0.03</v>
      </c>
      <c r="W53" s="3">
        <v>225744.455984617</v>
      </c>
      <c r="X53" s="1">
        <v>2.4527777240697501E-2</v>
      </c>
      <c r="Y53" s="1">
        <v>6.3851470474837404</v>
      </c>
      <c r="Z53" s="1">
        <v>6.3851470632081497</v>
      </c>
      <c r="AA53" s="1">
        <v>-1.5724404001105099E-8</v>
      </c>
      <c r="AB53" s="1">
        <v>1.3355543071362601E-5</v>
      </c>
      <c r="AC53" s="1">
        <v>685.61036115526099</v>
      </c>
      <c r="AD53" s="1">
        <v>6249.8731217512104</v>
      </c>
      <c r="AE53" s="1">
        <v>582.85910319528</v>
      </c>
      <c r="AF53" s="6">
        <v>8.8835383849073E-7</v>
      </c>
      <c r="AG53" s="1">
        <v>1.3429542672870501E-5</v>
      </c>
      <c r="AH53" s="1">
        <v>58.435406968964998</v>
      </c>
      <c r="AI53" s="1">
        <v>0.30580493779963203</v>
      </c>
      <c r="AJ53" s="1">
        <v>35.531681393863501</v>
      </c>
      <c r="AK53" s="1">
        <v>4.9540669782201396</v>
      </c>
      <c r="AL53" s="1">
        <v>1.1293680422758501</v>
      </c>
      <c r="AM53" s="1">
        <v>608.62110605535599</v>
      </c>
      <c r="AN53" s="1">
        <v>1.04072341855499E-8</v>
      </c>
      <c r="AO53" s="1">
        <v>7.3999601507928597E-8</v>
      </c>
      <c r="AP53" s="1">
        <v>3.7602765873586401</v>
      </c>
      <c r="AQ53" s="1">
        <v>3.8565830406857197E-5</v>
      </c>
      <c r="AR53" s="1">
        <v>6.7517711371892298E-6</v>
      </c>
      <c r="AS53" s="1">
        <v>17.8637342115547</v>
      </c>
      <c r="AT53" s="1">
        <v>11.3638631799378</v>
      </c>
      <c r="AU53" s="1">
        <v>3.4751254729043999</v>
      </c>
      <c r="AV53" s="1">
        <v>0.28515111445423802</v>
      </c>
      <c r="AW53" s="1">
        <v>8.0295045042686995E-3</v>
      </c>
      <c r="AX53" s="1">
        <v>0.285151110962516</v>
      </c>
      <c r="AY53" s="1">
        <v>3.4917220781416302E-9</v>
      </c>
      <c r="AZ53" s="1">
        <v>1080577.4158407301</v>
      </c>
      <c r="BA53" s="1">
        <v>1.0256115344416E-5</v>
      </c>
      <c r="BB53" s="4">
        <v>4871800.06428356</v>
      </c>
      <c r="BC53" s="4">
        <v>-32894.564622686201</v>
      </c>
      <c r="BD53" s="7">
        <v>-0.67067507992891595</v>
      </c>
      <c r="BE53" s="4">
        <v>4732500</v>
      </c>
      <c r="BF53" s="1">
        <v>1.02943477322421</v>
      </c>
      <c r="BG53" s="1">
        <v>1</v>
      </c>
      <c r="BH53" s="1">
        <v>-5.8999999999999997E-2</v>
      </c>
      <c r="BI53" s="1">
        <v>4.5999999999999999E-2</v>
      </c>
      <c r="BJ53" s="1">
        <v>5625</v>
      </c>
      <c r="BK53" s="1">
        <v>1.0376710774768301</v>
      </c>
      <c r="BL53" s="1">
        <v>73.519946946860003</v>
      </c>
      <c r="BM53" s="1">
        <v>4.8718000642835602</v>
      </c>
      <c r="BN53" s="1">
        <v>73.519946946860003</v>
      </c>
      <c r="BO53" s="1">
        <v>1.0376710774768301</v>
      </c>
      <c r="BP53" s="1">
        <v>1123.58684332031</v>
      </c>
      <c r="BQ53" s="1">
        <v>1</v>
      </c>
      <c r="BR53" s="1">
        <v>0.30480000000000002</v>
      </c>
    </row>
    <row r="54" spans="1:70">
      <c r="A54" s="2" t="s">
        <v>122</v>
      </c>
      <c r="B54" s="1">
        <v>13789520</v>
      </c>
      <c r="C54" s="1">
        <v>608.621106065763</v>
      </c>
      <c r="D54" s="1">
        <v>85.147893581579396</v>
      </c>
      <c r="E54" s="1">
        <v>624.86627494838604</v>
      </c>
      <c r="F54" s="1">
        <v>2643264.3898665099</v>
      </c>
      <c r="G54" s="1">
        <v>1562686.9740257801</v>
      </c>
      <c r="H54" s="1">
        <v>2.2019594042733499E-5</v>
      </c>
      <c r="I54" s="1">
        <v>7.2223252690249804E-5</v>
      </c>
      <c r="J54" s="1">
        <v>0.49112124879375701</v>
      </c>
      <c r="K54" s="1">
        <v>7679.7516396704104</v>
      </c>
      <c r="L54" s="1">
        <v>6.5036382888884496E-3</v>
      </c>
      <c r="M54" s="1">
        <v>53</v>
      </c>
      <c r="N54" s="1">
        <v>3579.84</v>
      </c>
      <c r="O54" s="3">
        <v>1.7530051946856999E-5</v>
      </c>
      <c r="P54" s="3">
        <v>1.48421403326196E-2</v>
      </c>
      <c r="Q54" s="3">
        <v>4.7244000000000001E-3</v>
      </c>
      <c r="R54" s="1">
        <v>0.30480000000000002</v>
      </c>
      <c r="S54" s="4">
        <v>2822972.32765625</v>
      </c>
      <c r="T54" s="1">
        <v>586.97568839527196</v>
      </c>
      <c r="U54" s="5">
        <v>613.47436118183202</v>
      </c>
      <c r="V54" s="1">
        <v>0.03</v>
      </c>
      <c r="W54" s="3">
        <v>234171.06632588999</v>
      </c>
      <c r="X54" s="1">
        <v>2.4164267021167699E-2</v>
      </c>
      <c r="Y54" s="1">
        <v>6.4329946012287698</v>
      </c>
      <c r="Z54" s="1">
        <v>6.4329946343917497</v>
      </c>
      <c r="AA54" s="1">
        <v>-3.3162973700484599E-8</v>
      </c>
      <c r="AB54" s="1">
        <v>1.25983549178858E-5</v>
      </c>
      <c r="AC54" s="1">
        <v>642.23951790681201</v>
      </c>
      <c r="AD54" s="1">
        <v>6434.9482325499403</v>
      </c>
      <c r="AE54" s="1">
        <v>613.47436118183202</v>
      </c>
      <c r="AF54" s="6">
        <v>0</v>
      </c>
      <c r="AG54" s="1">
        <v>1.2639251040288501E-5</v>
      </c>
      <c r="AH54" s="1">
        <v>61.947500269153103</v>
      </c>
      <c r="AI54" s="1">
        <v>0.31486062287411598</v>
      </c>
      <c r="AJ54" s="1">
        <v>34.431007595656403</v>
      </c>
      <c r="AK54" s="1">
        <v>2.1742674771383701</v>
      </c>
      <c r="AL54" s="1">
        <v>1.1293680422758501</v>
      </c>
      <c r="AM54" s="1">
        <v>608.62110606318595</v>
      </c>
      <c r="AN54" s="1">
        <v>2.5770532374735901E-9</v>
      </c>
      <c r="AO54" s="1">
        <v>4.0896122402743001E-8</v>
      </c>
      <c r="AP54" s="1">
        <v>3.8143611245260698</v>
      </c>
      <c r="AQ54" s="1">
        <v>3.7479919849353898E-5</v>
      </c>
      <c r="AR54" s="1">
        <v>6.3400735813456202E-6</v>
      </c>
      <c r="AS54" s="1">
        <v>17.2712070470394</v>
      </c>
      <c r="AT54" s="1">
        <v>11.195203912113</v>
      </c>
      <c r="AU54" s="1">
        <v>3.5249288769706402</v>
      </c>
      <c r="AV54" s="1">
        <v>0.28943224755542701</v>
      </c>
      <c r="AW54" s="1">
        <v>7.5742743682544102E-3</v>
      </c>
      <c r="AX54" s="1">
        <v>0.28943224133732798</v>
      </c>
      <c r="AY54" s="1">
        <v>6.2180980364701099E-9</v>
      </c>
      <c r="AZ54" s="1">
        <v>1080577.4158407301</v>
      </c>
      <c r="BA54" s="1">
        <v>9.8260019504605099E-6</v>
      </c>
      <c r="BB54" s="4">
        <v>2810271.3650348498</v>
      </c>
      <c r="BC54" s="4">
        <v>-12700.9626213992</v>
      </c>
      <c r="BD54" s="7">
        <v>-0.44991452792398001</v>
      </c>
      <c r="BE54" s="4">
        <v>3186550</v>
      </c>
      <c r="BF54" s="1">
        <v>0.88191660731350596</v>
      </c>
      <c r="BG54" s="1">
        <v>1</v>
      </c>
      <c r="BH54" s="1">
        <v>8.1000000000000003E-2</v>
      </c>
      <c r="BI54" s="1">
        <v>4.5999999999999999E-2</v>
      </c>
      <c r="BJ54" s="1">
        <v>5625</v>
      </c>
      <c r="BK54" s="1">
        <v>1.04332586140585</v>
      </c>
      <c r="BL54" s="1">
        <v>21.645417670491</v>
      </c>
      <c r="BM54" s="1">
        <v>2.8102713650348501</v>
      </c>
      <c r="BN54" s="1">
        <v>21.645417670491</v>
      </c>
      <c r="BO54" s="1">
        <v>1.04332586140585</v>
      </c>
      <c r="BP54" s="1">
        <v>336.89069249072202</v>
      </c>
      <c r="BQ54" s="1">
        <v>1</v>
      </c>
      <c r="BR54" s="1">
        <v>0.30480000000000002</v>
      </c>
    </row>
    <row r="55" spans="1:70">
      <c r="A55" s="2" t="s">
        <v>123</v>
      </c>
      <c r="B55" s="1">
        <v>13789520</v>
      </c>
      <c r="C55" s="1">
        <v>608.621106065763</v>
      </c>
      <c r="D55" s="1">
        <v>85.147893581579396</v>
      </c>
      <c r="E55" s="1">
        <v>624.86627494838604</v>
      </c>
      <c r="F55" s="1">
        <v>2643264.3898665099</v>
      </c>
      <c r="G55" s="1">
        <v>1562686.9740257801</v>
      </c>
      <c r="H55" s="1">
        <v>2.2019594042733499E-5</v>
      </c>
      <c r="I55" s="1">
        <v>7.2223252690249804E-5</v>
      </c>
      <c r="J55" s="1">
        <v>0.49112124879375701</v>
      </c>
      <c r="K55" s="1">
        <v>7679.7516396704104</v>
      </c>
      <c r="L55" s="1">
        <v>6.5036382888884496E-3</v>
      </c>
      <c r="M55" s="1">
        <v>54</v>
      </c>
      <c r="N55" s="1">
        <v>4068</v>
      </c>
      <c r="O55" s="3">
        <v>1.7530051946856999E-5</v>
      </c>
      <c r="P55" s="3">
        <v>1.48421403326196E-2</v>
      </c>
      <c r="Q55" s="3">
        <v>4.7244000000000001E-3</v>
      </c>
      <c r="R55" s="1">
        <v>0.30480000000000002</v>
      </c>
      <c r="S55" s="4">
        <v>5409287.20703125</v>
      </c>
      <c r="T55" s="1">
        <v>537.38968663960395</v>
      </c>
      <c r="U55" s="5">
        <v>582.07246962935199</v>
      </c>
      <c r="V55" s="1">
        <v>0.03</v>
      </c>
      <c r="W55" s="3">
        <v>266103.48446123902</v>
      </c>
      <c r="X55" s="1">
        <v>2.2957021152822998E-2</v>
      </c>
      <c r="Y55" s="1">
        <v>6.59997412347618</v>
      </c>
      <c r="Z55" s="1">
        <v>6.59997412806133</v>
      </c>
      <c r="AA55" s="1">
        <v>-4.5851500374283197E-9</v>
      </c>
      <c r="AB55" s="1">
        <v>1.02692156759919E-5</v>
      </c>
      <c r="AC55" s="1">
        <v>681.32840806273805</v>
      </c>
      <c r="AD55" s="1">
        <v>7127.4362156440402</v>
      </c>
      <c r="AE55" s="1">
        <v>582.07246962935199</v>
      </c>
      <c r="AF55" s="6">
        <v>0</v>
      </c>
      <c r="AG55" s="1">
        <v>1.03354976269859E-5</v>
      </c>
      <c r="AH55" s="1">
        <v>75.997682714092306</v>
      </c>
      <c r="AI55" s="1">
        <v>0.34874390985798798</v>
      </c>
      <c r="AJ55" s="1">
        <v>31.1851664098225</v>
      </c>
      <c r="AK55" s="1">
        <v>4.7788443311546702</v>
      </c>
      <c r="AL55" s="1">
        <v>1.1293680422758501</v>
      </c>
      <c r="AM55" s="1">
        <v>608.62110606231295</v>
      </c>
      <c r="AN55" s="1">
        <v>3.45005446433788E-9</v>
      </c>
      <c r="AO55" s="1">
        <v>6.6281950994040202E-8</v>
      </c>
      <c r="AP55" s="1">
        <v>4.0398074980351604</v>
      </c>
      <c r="AQ55" s="1">
        <v>3.3413419758529903E-5</v>
      </c>
      <c r="AR55" s="1">
        <v>5.2008897889899904E-6</v>
      </c>
      <c r="AS55" s="1">
        <v>15.692579051570799</v>
      </c>
      <c r="AT55" s="1">
        <v>10.7159396436761</v>
      </c>
      <c r="AU55" s="1">
        <v>3.7371186891378301</v>
      </c>
      <c r="AV55" s="1">
        <v>0.30268880889732203</v>
      </c>
      <c r="AW55" s="1">
        <v>6.1739693462926296E-3</v>
      </c>
      <c r="AX55" s="1">
        <v>0.30268878234267699</v>
      </c>
      <c r="AY55" s="1">
        <v>2.65546444278009E-8</v>
      </c>
      <c r="AZ55" s="1">
        <v>1080577.4158407301</v>
      </c>
      <c r="BA55" s="1">
        <v>8.2710425619986008E-6</v>
      </c>
      <c r="BB55" s="4">
        <v>5411005.8050030796</v>
      </c>
      <c r="BC55" s="4">
        <v>1718.5979718267899</v>
      </c>
      <c r="BD55" s="7">
        <v>3.1771246488684797E-2</v>
      </c>
      <c r="BE55" s="4">
        <v>5016450</v>
      </c>
      <c r="BF55" s="1">
        <v>1.0786523946223101</v>
      </c>
      <c r="BG55" s="1">
        <v>1</v>
      </c>
      <c r="BH55" s="1">
        <v>-8.2000000000000003E-2</v>
      </c>
      <c r="BI55" s="1">
        <v>4.5999999999999999E-2</v>
      </c>
      <c r="BJ55" s="1">
        <v>5625</v>
      </c>
      <c r="BK55" s="1">
        <v>1.03867667382694</v>
      </c>
      <c r="BL55" s="1">
        <v>71.231419426159107</v>
      </c>
      <c r="BM55" s="1">
        <v>5.4110058050030796</v>
      </c>
      <c r="BN55" s="1">
        <v>71.231419426159107</v>
      </c>
      <c r="BO55" s="1">
        <v>1.03867667382694</v>
      </c>
      <c r="BP55" s="1">
        <v>975.40155937266502</v>
      </c>
      <c r="BQ55" s="1">
        <v>1</v>
      </c>
      <c r="BR55" s="1">
        <v>0.30480000000000002</v>
      </c>
    </row>
    <row r="56" spans="1:70">
      <c r="A56" s="2" t="s">
        <v>124</v>
      </c>
      <c r="B56" s="1">
        <v>13789520</v>
      </c>
      <c r="C56" s="1">
        <v>608.621106065763</v>
      </c>
      <c r="D56" s="1">
        <v>85.147893581579396</v>
      </c>
      <c r="E56" s="1">
        <v>624.86627494838604</v>
      </c>
      <c r="F56" s="1">
        <v>2643264.3898665099</v>
      </c>
      <c r="G56" s="1">
        <v>1562686.9740257801</v>
      </c>
      <c r="H56" s="1">
        <v>2.2019594042733499E-5</v>
      </c>
      <c r="I56" s="1">
        <v>7.2223252690249804E-5</v>
      </c>
      <c r="J56" s="1">
        <v>0.49112124879375701</v>
      </c>
      <c r="K56" s="1">
        <v>7679.7516396704104</v>
      </c>
      <c r="L56" s="1">
        <v>6.5036382888884496E-3</v>
      </c>
      <c r="M56" s="1">
        <v>55</v>
      </c>
      <c r="N56" s="1">
        <v>2752.68</v>
      </c>
      <c r="O56" s="3">
        <v>1.7719053836560401E-5</v>
      </c>
      <c r="P56" s="3">
        <v>1.4921936786020801E-2</v>
      </c>
      <c r="Q56" s="3">
        <v>4.7498000000000002E-3</v>
      </c>
      <c r="R56" s="1">
        <v>0.3175</v>
      </c>
      <c r="S56" s="4">
        <v>2215854.19921875</v>
      </c>
      <c r="T56" s="1">
        <v>588.56034428011105</v>
      </c>
      <c r="U56" s="5">
        <v>616.586702968341</v>
      </c>
      <c r="V56" s="1">
        <v>0.03</v>
      </c>
      <c r="W56" s="3">
        <v>181031.44038769</v>
      </c>
      <c r="X56" s="1">
        <v>2.69268936237952E-2</v>
      </c>
      <c r="Y56" s="1">
        <v>6.0940620607316998</v>
      </c>
      <c r="Z56" s="1">
        <v>6.09406206753121</v>
      </c>
      <c r="AA56" s="1">
        <v>-6.7995067354331704E-9</v>
      </c>
      <c r="AB56" s="1">
        <v>1.9121281205086501E-5</v>
      </c>
      <c r="AC56" s="1">
        <v>641.34091052618999</v>
      </c>
      <c r="AD56" s="1">
        <v>5251.3642719095396</v>
      </c>
      <c r="AE56" s="1">
        <v>616.586703399469</v>
      </c>
      <c r="AF56" s="6">
        <v>4.3112811454193402E-7</v>
      </c>
      <c r="AG56" s="1">
        <v>1.9166871605072201E-5</v>
      </c>
      <c r="AH56" s="1">
        <v>40.815078565917901</v>
      </c>
      <c r="AI56" s="1">
        <v>0.255574062009018</v>
      </c>
      <c r="AJ56" s="1">
        <v>42.381668597058301</v>
      </c>
      <c r="AK56" s="1">
        <v>2.04737495553029</v>
      </c>
      <c r="AL56" s="1">
        <v>1.1293680422758501</v>
      </c>
      <c r="AM56" s="1">
        <v>608.62110604961299</v>
      </c>
      <c r="AN56" s="1">
        <v>1.61503521667328E-8</v>
      </c>
      <c r="AO56" s="1">
        <v>4.5590399985740103E-8</v>
      </c>
      <c r="AP56" s="1">
        <v>3.38994681580404</v>
      </c>
      <c r="AQ56" s="1">
        <v>4.74522160450385E-5</v>
      </c>
      <c r="AR56" s="1">
        <v>9.6062310025289908E-6</v>
      </c>
      <c r="AS56" s="1">
        <v>21.241238904539301</v>
      </c>
      <c r="AT56" s="1">
        <v>12.2297226175581</v>
      </c>
      <c r="AU56" s="1">
        <v>3.1255998866128998</v>
      </c>
      <c r="AV56" s="1">
        <v>0.264346929191143</v>
      </c>
      <c r="AW56" s="1">
        <v>1.1495931894588699E-2</v>
      </c>
      <c r="AX56" s="1">
        <v>0.26434692071658</v>
      </c>
      <c r="AY56" s="1">
        <v>8.4745634398864006E-9</v>
      </c>
      <c r="AZ56" s="1">
        <v>1080577.4158407301</v>
      </c>
      <c r="BA56" s="1">
        <v>1.3997923455263301E-5</v>
      </c>
      <c r="BB56" s="4">
        <v>2199139.4045393802</v>
      </c>
      <c r="BC56" s="4">
        <v>-16714.794679368399</v>
      </c>
      <c r="BD56" s="7">
        <v>-0.75432736888832996</v>
      </c>
      <c r="BE56" s="4">
        <v>2665975</v>
      </c>
      <c r="BF56" s="1">
        <v>0.82489123286579302</v>
      </c>
      <c r="BG56" s="1">
        <v>1</v>
      </c>
      <c r="BH56" s="1">
        <v>0.11700000000000001</v>
      </c>
      <c r="BI56" s="1">
        <v>4.5999999999999999E-2</v>
      </c>
      <c r="BJ56" s="1">
        <v>5625</v>
      </c>
      <c r="BK56" s="1">
        <v>1.0428609739097201</v>
      </c>
      <c r="BL56" s="1">
        <v>20.060761785651898</v>
      </c>
      <c r="BM56" s="1">
        <v>2.1991394045393799</v>
      </c>
      <c r="BN56" s="1">
        <v>20.060761785651898</v>
      </c>
      <c r="BO56" s="1">
        <v>1.0428609739097201</v>
      </c>
      <c r="BP56" s="1">
        <v>397.57322056851802</v>
      </c>
      <c r="BQ56" s="1">
        <v>1</v>
      </c>
      <c r="BR56" s="1">
        <v>0.3175</v>
      </c>
    </row>
    <row r="57" spans="1:70">
      <c r="A57" s="2" t="s">
        <v>125</v>
      </c>
      <c r="B57" s="1">
        <v>13789520</v>
      </c>
      <c r="C57" s="1">
        <v>608.621106065763</v>
      </c>
      <c r="D57" s="1">
        <v>85.147893581579396</v>
      </c>
      <c r="E57" s="1">
        <v>624.86627494838604</v>
      </c>
      <c r="F57" s="1">
        <v>2643264.3898665099</v>
      </c>
      <c r="G57" s="1">
        <v>1562686.9740257801</v>
      </c>
      <c r="H57" s="1">
        <v>2.2019594042733499E-5</v>
      </c>
      <c r="I57" s="1">
        <v>7.2223252690249804E-5</v>
      </c>
      <c r="J57" s="1">
        <v>0.49112124879375701</v>
      </c>
      <c r="K57" s="1">
        <v>7679.7516396704104</v>
      </c>
      <c r="L57" s="1">
        <v>6.5036382888884496E-3</v>
      </c>
      <c r="M57" s="1">
        <v>56</v>
      </c>
      <c r="N57" s="1">
        <v>2861.16</v>
      </c>
      <c r="O57" s="3">
        <v>1.7719053836560401E-5</v>
      </c>
      <c r="P57" s="3">
        <v>1.4921936786020801E-2</v>
      </c>
      <c r="Q57" s="3">
        <v>4.7498000000000002E-3</v>
      </c>
      <c r="R57" s="1">
        <v>0.3175</v>
      </c>
      <c r="S57" s="4">
        <v>3480435.64453125</v>
      </c>
      <c r="T57" s="1">
        <v>560.91989777978495</v>
      </c>
      <c r="U57" s="5">
        <v>603.27177699943002</v>
      </c>
      <c r="V57" s="1">
        <v>0.03</v>
      </c>
      <c r="W57" s="3">
        <v>188165.68434385501</v>
      </c>
      <c r="X57" s="1">
        <v>2.6487587648389901E-2</v>
      </c>
      <c r="Y57" s="1">
        <v>6.1443903242986799</v>
      </c>
      <c r="Z57" s="1">
        <v>6.1443903505649899</v>
      </c>
      <c r="AA57" s="1">
        <v>-2.6266310904077299E-8</v>
      </c>
      <c r="AB57" s="1">
        <v>1.79923545897351E-5</v>
      </c>
      <c r="AC57" s="1">
        <v>667.30383493750503</v>
      </c>
      <c r="AD57" s="1">
        <v>5413.6059219729696</v>
      </c>
      <c r="AE57" s="1">
        <v>603.271777703103</v>
      </c>
      <c r="AF57" s="6">
        <v>7.0367332227760905E-7</v>
      </c>
      <c r="AG57" s="1">
        <v>1.8060865346201701E-5</v>
      </c>
      <c r="AH57" s="1">
        <v>43.3760123375883</v>
      </c>
      <c r="AI57" s="1">
        <v>0.26347005919884497</v>
      </c>
      <c r="AJ57" s="1">
        <v>41.169905088279101</v>
      </c>
      <c r="AK57" s="1">
        <v>3.6886906715080698</v>
      </c>
      <c r="AL57" s="1">
        <v>1.1293680422758501</v>
      </c>
      <c r="AM57" s="1">
        <v>608.62110605752605</v>
      </c>
      <c r="AN57" s="1">
        <v>8.2367250797687997E-9</v>
      </c>
      <c r="AO57" s="1">
        <v>6.8510756466597296E-8</v>
      </c>
      <c r="AP57" s="1">
        <v>3.4533222623981099</v>
      </c>
      <c r="AQ57" s="1">
        <v>4.5726509557291702E-5</v>
      </c>
      <c r="AR57" s="1">
        <v>9.0646880513341695E-6</v>
      </c>
      <c r="AS57" s="1">
        <v>20.6630379870901</v>
      </c>
      <c r="AT57" s="1">
        <v>12.0917324984548</v>
      </c>
      <c r="AU57" s="1">
        <v>3.1858094771844798</v>
      </c>
      <c r="AV57" s="1">
        <v>0.26751278521363597</v>
      </c>
      <c r="AW57" s="1">
        <v>1.08172083642525E-2</v>
      </c>
      <c r="AX57" s="1">
        <v>0.26751277446678501</v>
      </c>
      <c r="AY57" s="1">
        <v>1.0746851075715799E-8</v>
      </c>
      <c r="AZ57" s="1">
        <v>1080577.4158407301</v>
      </c>
      <c r="BA57" s="1">
        <v>1.32413096962279E-5</v>
      </c>
      <c r="BB57" s="4">
        <v>3493580.79758554</v>
      </c>
      <c r="BC57" s="4">
        <v>13145.153054291801</v>
      </c>
      <c r="BD57" s="7">
        <v>0.37768700234255498</v>
      </c>
      <c r="BE57" s="4">
        <v>3691350</v>
      </c>
      <c r="BF57" s="1">
        <v>0.94642361130359898</v>
      </c>
      <c r="BG57" s="1">
        <v>1</v>
      </c>
      <c r="BH57" s="1">
        <v>5.2999999999999999E-2</v>
      </c>
      <c r="BI57" s="1">
        <v>4.5999999999999999E-2</v>
      </c>
      <c r="BJ57" s="1">
        <v>5625</v>
      </c>
      <c r="BK57" s="1">
        <v>1.04551753533846</v>
      </c>
      <c r="BL57" s="1">
        <v>47.701208285978097</v>
      </c>
      <c r="BM57" s="1">
        <v>3.49358079758554</v>
      </c>
      <c r="BN57" s="1">
        <v>47.701208285978097</v>
      </c>
      <c r="BO57" s="1">
        <v>1.04551753533846</v>
      </c>
      <c r="BP57" s="1">
        <v>59.308609064016999</v>
      </c>
      <c r="BQ57" s="1">
        <v>1</v>
      </c>
      <c r="BR57" s="1">
        <v>0.3175</v>
      </c>
    </row>
    <row r="58" spans="1:70">
      <c r="A58" s="2" t="s">
        <v>126</v>
      </c>
      <c r="B58" s="1">
        <v>13789520</v>
      </c>
      <c r="C58" s="1">
        <v>608.621106065763</v>
      </c>
      <c r="D58" s="1">
        <v>85.147893581579396</v>
      </c>
      <c r="E58" s="1">
        <v>624.86627494838604</v>
      </c>
      <c r="F58" s="1">
        <v>2643264.3898665099</v>
      </c>
      <c r="G58" s="1">
        <v>1562686.9740257801</v>
      </c>
      <c r="H58" s="1">
        <v>2.2019594042733499E-5</v>
      </c>
      <c r="I58" s="1">
        <v>7.2223252690249804E-5</v>
      </c>
      <c r="J58" s="1">
        <v>0.49112124879375701</v>
      </c>
      <c r="K58" s="1">
        <v>7679.7516396704104</v>
      </c>
      <c r="L58" s="1">
        <v>6.5036382888884496E-3</v>
      </c>
      <c r="M58" s="1">
        <v>57</v>
      </c>
      <c r="N58" s="1">
        <v>2861.16</v>
      </c>
      <c r="O58" s="3">
        <v>1.7719053836560401E-5</v>
      </c>
      <c r="P58" s="3">
        <v>1.4921936786020801E-2</v>
      </c>
      <c r="Q58" s="3">
        <v>4.7498000000000002E-3</v>
      </c>
      <c r="R58" s="1">
        <v>0.3175</v>
      </c>
      <c r="S58" s="4">
        <v>2886659.86328125</v>
      </c>
      <c r="T58" s="1">
        <v>575.85741467334606</v>
      </c>
      <c r="U58" s="5">
        <v>610.98389950577803</v>
      </c>
      <c r="V58" s="1">
        <v>0.03</v>
      </c>
      <c r="W58" s="3">
        <v>188165.68434385501</v>
      </c>
      <c r="X58" s="1">
        <v>2.6487587648389901E-2</v>
      </c>
      <c r="Y58" s="1">
        <v>6.1443903242986799</v>
      </c>
      <c r="Z58" s="1">
        <v>6.1443903505649899</v>
      </c>
      <c r="AA58" s="1">
        <v>-2.6266310904077299E-8</v>
      </c>
      <c r="AB58" s="1">
        <v>1.79923545897351E-5</v>
      </c>
      <c r="AC58" s="1">
        <v>653.66337606092702</v>
      </c>
      <c r="AD58" s="1">
        <v>5413.6059219729696</v>
      </c>
      <c r="AE58" s="1">
        <v>610.98389950577803</v>
      </c>
      <c r="AF58" s="6">
        <v>0</v>
      </c>
      <c r="AG58" s="1">
        <v>1.80490716055067E-5</v>
      </c>
      <c r="AH58" s="1">
        <v>43.3760123375883</v>
      </c>
      <c r="AI58" s="1">
        <v>0.26347005919884497</v>
      </c>
      <c r="AJ58" s="1">
        <v>41.143021150231696</v>
      </c>
      <c r="AK58" s="1">
        <v>2.8315666465163298</v>
      </c>
      <c r="AL58" s="1">
        <v>1.1293680422758501</v>
      </c>
      <c r="AM58" s="1">
        <v>608.62110606239401</v>
      </c>
      <c r="AN58" s="1">
        <v>3.3688820622046499E-9</v>
      </c>
      <c r="AO58" s="1">
        <v>5.6717015771549003E-8</v>
      </c>
      <c r="AP58" s="1">
        <v>3.45173054868923</v>
      </c>
      <c r="AQ58" s="1">
        <v>4.57686914672681E-5</v>
      </c>
      <c r="AR58" s="1">
        <v>9.0528943106391195E-6</v>
      </c>
      <c r="AS58" s="1">
        <v>20.636154049042599</v>
      </c>
      <c r="AT58" s="1">
        <v>12.085222942088301</v>
      </c>
      <c r="AU58" s="1">
        <v>3.1840944039832499</v>
      </c>
      <c r="AV58" s="1">
        <v>0.26763614470597402</v>
      </c>
      <c r="AW58" s="1">
        <v>1.08172083642525E-2</v>
      </c>
      <c r="AX58" s="1">
        <v>0.26763613396556801</v>
      </c>
      <c r="AY58" s="1">
        <v>1.07404053983906E-8</v>
      </c>
      <c r="AZ58" s="1">
        <v>1080577.4158407301</v>
      </c>
      <c r="BA58" s="1">
        <v>1.32596362380164E-5</v>
      </c>
      <c r="BB58" s="4">
        <v>2888183.17854416</v>
      </c>
      <c r="BC58" s="4">
        <v>1523.3152629113799</v>
      </c>
      <c r="BD58" s="7">
        <v>5.2770860962463098E-2</v>
      </c>
      <c r="BE58" s="4">
        <v>3129760</v>
      </c>
      <c r="BF58" s="1">
        <v>0.92281298839021597</v>
      </c>
      <c r="BG58" s="1">
        <v>1</v>
      </c>
      <c r="BH58" s="1">
        <v>7.9000000000000001E-2</v>
      </c>
      <c r="BI58" s="1">
        <v>4.5999999999999999E-2</v>
      </c>
      <c r="BJ58" s="1">
        <v>5625</v>
      </c>
      <c r="BK58" s="1">
        <v>1.04557376454785</v>
      </c>
      <c r="BL58" s="1">
        <v>32.763691392416902</v>
      </c>
      <c r="BM58" s="1">
        <v>2.8881831785441601</v>
      </c>
      <c r="BN58" s="1">
        <v>32.763691392416902</v>
      </c>
      <c r="BO58" s="1">
        <v>1.04557376454785</v>
      </c>
      <c r="BP58" s="1">
        <v>52.364162264180599</v>
      </c>
      <c r="BQ58" s="1">
        <v>1</v>
      </c>
      <c r="BR58" s="1">
        <v>0.3175</v>
      </c>
    </row>
    <row r="59" spans="1:70">
      <c r="A59" s="2" t="s">
        <v>127</v>
      </c>
      <c r="B59" s="1">
        <v>13789520</v>
      </c>
      <c r="C59" s="1">
        <v>608.621106065763</v>
      </c>
      <c r="D59" s="1">
        <v>85.147893581579396</v>
      </c>
      <c r="E59" s="1">
        <v>624.86627494838604</v>
      </c>
      <c r="F59" s="1">
        <v>2643264.3898665099</v>
      </c>
      <c r="G59" s="1">
        <v>1562686.9740257801</v>
      </c>
      <c r="H59" s="1">
        <v>2.2019594042733499E-5</v>
      </c>
      <c r="I59" s="1">
        <v>7.2223252690249804E-5</v>
      </c>
      <c r="J59" s="1">
        <v>0.49112124879375701</v>
      </c>
      <c r="K59" s="1">
        <v>7679.7516396704104</v>
      </c>
      <c r="L59" s="1">
        <v>6.5036382888884496E-3</v>
      </c>
      <c r="M59" s="1">
        <v>58</v>
      </c>
      <c r="N59" s="1">
        <v>2861.16</v>
      </c>
      <c r="O59" s="3">
        <v>1.7719053836560401E-5</v>
      </c>
      <c r="P59" s="3">
        <v>1.4921936786020801E-2</v>
      </c>
      <c r="Q59" s="3">
        <v>4.7498000000000002E-3</v>
      </c>
      <c r="R59" s="1">
        <v>0.3175</v>
      </c>
      <c r="S59" s="4">
        <v>2910420.05078125</v>
      </c>
      <c r="T59" s="1">
        <v>575.31581159469101</v>
      </c>
      <c r="U59" s="5">
        <v>610.73142362096098</v>
      </c>
      <c r="V59" s="1">
        <v>0.03</v>
      </c>
      <c r="W59" s="3">
        <v>188165.68434385501</v>
      </c>
      <c r="X59" s="1">
        <v>2.6487587648389901E-2</v>
      </c>
      <c r="Y59" s="1">
        <v>6.1443903242986799</v>
      </c>
      <c r="Z59" s="1">
        <v>6.1443903505649899</v>
      </c>
      <c r="AA59" s="1">
        <v>-2.6266310904077299E-8</v>
      </c>
      <c r="AB59" s="1">
        <v>1.79923545897351E-5</v>
      </c>
      <c r="AC59" s="1">
        <v>654.18273654112204</v>
      </c>
      <c r="AD59" s="1">
        <v>5413.6059219729696</v>
      </c>
      <c r="AE59" s="1">
        <v>610.73142418751502</v>
      </c>
      <c r="AF59" s="6">
        <v>5.6655358093848896E-7</v>
      </c>
      <c r="AG59" s="1">
        <v>1.8049207741471499E-5</v>
      </c>
      <c r="AH59" s="1">
        <v>43.3760123375883</v>
      </c>
      <c r="AI59" s="1">
        <v>0.26347005919884497</v>
      </c>
      <c r="AJ59" s="1">
        <v>41.1433314733885</v>
      </c>
      <c r="AK59" s="1">
        <v>2.8642126673535602</v>
      </c>
      <c r="AL59" s="1">
        <v>1.1293680422758501</v>
      </c>
      <c r="AM59" s="1">
        <v>608.62110606232795</v>
      </c>
      <c r="AN59" s="1">
        <v>3.4353888622717899E-9</v>
      </c>
      <c r="AO59" s="1">
        <v>5.6853151736358198E-8</v>
      </c>
      <c r="AP59" s="1">
        <v>3.4517489331751201</v>
      </c>
      <c r="AQ59" s="1">
        <v>4.5768203927972497E-5</v>
      </c>
      <c r="AR59" s="1">
        <v>9.0530304466039303E-6</v>
      </c>
      <c r="AS59" s="1">
        <v>20.636464372199502</v>
      </c>
      <c r="AT59" s="1">
        <v>12.0852981307167</v>
      </c>
      <c r="AU59" s="1">
        <v>3.18411421393562</v>
      </c>
      <c r="AV59" s="1">
        <v>0.267634719239494</v>
      </c>
      <c r="AW59" s="1">
        <v>1.08172083642525E-2</v>
      </c>
      <c r="AX59" s="1">
        <v>0.26763470849899401</v>
      </c>
      <c r="AY59" s="1">
        <v>1.0740500266948101E-8</v>
      </c>
      <c r="AZ59" s="1">
        <v>1080577.4158407301</v>
      </c>
      <c r="BA59" s="1">
        <v>1.3259424371248299E-5</v>
      </c>
      <c r="BB59" s="4">
        <v>2895161.8483130401</v>
      </c>
      <c r="BC59" s="4">
        <v>-15258.2024682066</v>
      </c>
      <c r="BD59" s="7">
        <v>-0.52426117886697698</v>
      </c>
      <c r="BE59" s="4">
        <v>3249650</v>
      </c>
      <c r="BF59" s="1">
        <v>0.89091497493977601</v>
      </c>
      <c r="BG59" s="1">
        <v>1</v>
      </c>
      <c r="BH59" s="1">
        <v>8.6999999999999994E-2</v>
      </c>
      <c r="BI59" s="1">
        <v>4.5999999999999999E-2</v>
      </c>
      <c r="BJ59" s="1">
        <v>5625</v>
      </c>
      <c r="BK59" s="1">
        <v>1.0456349358235</v>
      </c>
      <c r="BL59" s="1">
        <v>33.305294471072003</v>
      </c>
      <c r="BM59" s="1">
        <v>2.8951618483130401</v>
      </c>
      <c r="BN59" s="1">
        <v>33.305294471072003</v>
      </c>
      <c r="BO59" s="1">
        <v>1.0456349358235</v>
      </c>
      <c r="BP59" s="1">
        <v>44.819082119059303</v>
      </c>
      <c r="BQ59" s="1">
        <v>1</v>
      </c>
      <c r="BR59" s="1">
        <v>0.3175</v>
      </c>
    </row>
    <row r="60" spans="1:70">
      <c r="A60" s="2" t="s">
        <v>128</v>
      </c>
      <c r="B60" s="1">
        <v>13789520</v>
      </c>
      <c r="C60" s="1">
        <v>608.621106065763</v>
      </c>
      <c r="D60" s="1">
        <v>85.147893581579396</v>
      </c>
      <c r="E60" s="1">
        <v>624.86627494838604</v>
      </c>
      <c r="F60" s="1">
        <v>2643264.3898665099</v>
      </c>
      <c r="G60" s="1">
        <v>1562686.9740257801</v>
      </c>
      <c r="H60" s="1">
        <v>2.2019594042733499E-5</v>
      </c>
      <c r="I60" s="1">
        <v>7.2223252690249804E-5</v>
      </c>
      <c r="J60" s="1">
        <v>0.49112124879375701</v>
      </c>
      <c r="K60" s="1">
        <v>7679.7516396704104</v>
      </c>
      <c r="L60" s="1">
        <v>6.5036382888884496E-3</v>
      </c>
      <c r="M60" s="1">
        <v>59</v>
      </c>
      <c r="N60" s="1">
        <v>3037.44</v>
      </c>
      <c r="O60" s="3">
        <v>1.7719053836560401E-5</v>
      </c>
      <c r="P60" s="3">
        <v>1.4921936786020801E-2</v>
      </c>
      <c r="Q60" s="3">
        <v>4.7498000000000002E-3</v>
      </c>
      <c r="R60" s="1">
        <v>0.3175</v>
      </c>
      <c r="S60" s="4">
        <v>4105194.43359375</v>
      </c>
      <c r="T60" s="1">
        <v>546.46403770430902</v>
      </c>
      <c r="U60" s="5">
        <v>593.51919678134004</v>
      </c>
      <c r="V60" s="1">
        <v>0.03</v>
      </c>
      <c r="W60" s="3">
        <v>199758.83077262301</v>
      </c>
      <c r="X60" s="1">
        <v>2.5828430167953501E-2</v>
      </c>
      <c r="Y60" s="1">
        <v>6.2223006925849997</v>
      </c>
      <c r="Z60" s="1">
        <v>6.2223006947724198</v>
      </c>
      <c r="AA60" s="1">
        <v>-2.1874164701784999E-9</v>
      </c>
      <c r="AB60" s="1">
        <v>1.6371982484804101E-5</v>
      </c>
      <c r="AC60" s="1">
        <v>678.18177648599703</v>
      </c>
      <c r="AD60" s="1">
        <v>5675.1847435444397</v>
      </c>
      <c r="AE60" s="1">
        <v>593.51919759611496</v>
      </c>
      <c r="AF60" s="6">
        <v>8.1477548974362403E-7</v>
      </c>
      <c r="AG60" s="1">
        <v>1.64459483010358E-5</v>
      </c>
      <c r="AH60" s="1">
        <v>47.669034302412101</v>
      </c>
      <c r="AI60" s="1">
        <v>0.27620061044286398</v>
      </c>
      <c r="AJ60" s="1">
        <v>39.300094695001498</v>
      </c>
      <c r="AK60" s="1">
        <v>4.4046308721230796</v>
      </c>
      <c r="AL60" s="1">
        <v>1.1293680422758501</v>
      </c>
      <c r="AM60" s="1">
        <v>608.621106046298</v>
      </c>
      <c r="AN60" s="1">
        <v>1.9464550859993301E-8</v>
      </c>
      <c r="AO60" s="1">
        <v>7.3965816231743301E-8</v>
      </c>
      <c r="AP60" s="1">
        <v>3.5493722037810298</v>
      </c>
      <c r="AQ60" s="1">
        <v>4.3285175295235999E-5</v>
      </c>
      <c r="AR60" s="1">
        <v>8.2599570586337801E-6</v>
      </c>
      <c r="AS60" s="1">
        <v>19.7384236310963</v>
      </c>
      <c r="AT60" s="1">
        <v>11.862835871179501</v>
      </c>
      <c r="AU60" s="1">
        <v>3.2765225092032799</v>
      </c>
      <c r="AV60" s="1">
        <v>0.27284969457774799</v>
      </c>
      <c r="AW60" s="1">
        <v>9.8430222120597308E-3</v>
      </c>
      <c r="AX60" s="1">
        <v>0.27284968402607801</v>
      </c>
      <c r="AY60" s="1">
        <v>1.05516694270946E-8</v>
      </c>
      <c r="AZ60" s="1">
        <v>1080577.4158407301</v>
      </c>
      <c r="BA60" s="1">
        <v>1.2195163767025E-5</v>
      </c>
      <c r="BB60" s="4">
        <v>4095306.3014396601</v>
      </c>
      <c r="BC60" s="4">
        <v>-9888.1321540931203</v>
      </c>
      <c r="BD60" s="7">
        <v>-0.24086878987207699</v>
      </c>
      <c r="BE60" s="4">
        <v>4297110</v>
      </c>
      <c r="BF60" s="1">
        <v>0.95303734403812301</v>
      </c>
      <c r="BG60" s="1">
        <v>1</v>
      </c>
      <c r="BH60" s="1">
        <v>1.4999999999999999E-2</v>
      </c>
      <c r="BI60" s="1">
        <v>4.5999999999999999E-2</v>
      </c>
      <c r="BJ60" s="1">
        <v>5625</v>
      </c>
      <c r="BK60" s="1">
        <v>1.04215544858138</v>
      </c>
      <c r="BL60" s="1">
        <v>62.157068361454002</v>
      </c>
      <c r="BM60" s="1">
        <v>4.0953063014396598</v>
      </c>
      <c r="BN60" s="1">
        <v>62.157068361454002</v>
      </c>
      <c r="BO60" s="1">
        <v>1.04215544858138</v>
      </c>
      <c r="BP60" s="1">
        <v>490.93567837414503</v>
      </c>
      <c r="BQ60" s="1">
        <v>1</v>
      </c>
      <c r="BR60" s="1">
        <v>0.3175</v>
      </c>
    </row>
    <row r="61" spans="1:70">
      <c r="A61" s="2" t="s">
        <v>129</v>
      </c>
      <c r="B61" s="1">
        <v>13789520</v>
      </c>
      <c r="C61" s="1">
        <v>608.621106065763</v>
      </c>
      <c r="D61" s="1">
        <v>85.147893581579396</v>
      </c>
      <c r="E61" s="1">
        <v>624.86627494838604</v>
      </c>
      <c r="F61" s="1">
        <v>2643264.3898665099</v>
      </c>
      <c r="G61" s="1">
        <v>1562686.9740257801</v>
      </c>
      <c r="H61" s="1">
        <v>2.2019594042733499E-5</v>
      </c>
      <c r="I61" s="1">
        <v>7.2223252690249804E-5</v>
      </c>
      <c r="J61" s="1">
        <v>0.49112124879375701</v>
      </c>
      <c r="K61" s="1">
        <v>7679.7516396704104</v>
      </c>
      <c r="L61" s="1">
        <v>6.5036382888884496E-3</v>
      </c>
      <c r="M61" s="1">
        <v>60</v>
      </c>
      <c r="N61" s="1">
        <v>3240.84</v>
      </c>
      <c r="O61" s="3">
        <v>1.7719053836560401E-5</v>
      </c>
      <c r="P61" s="3">
        <v>1.4921936786020801E-2</v>
      </c>
      <c r="Q61" s="3">
        <v>4.7498000000000002E-3</v>
      </c>
      <c r="R61" s="1">
        <v>0.3175</v>
      </c>
      <c r="S61" s="4">
        <v>4675183.02734375</v>
      </c>
      <c r="T61" s="1">
        <v>532.84871111815698</v>
      </c>
      <c r="U61" s="5">
        <v>583.07397759007404</v>
      </c>
      <c r="V61" s="1">
        <v>0.03</v>
      </c>
      <c r="W61" s="3">
        <v>213135.538190433</v>
      </c>
      <c r="X61" s="1">
        <v>2.5140656755995701E-2</v>
      </c>
      <c r="Y61" s="1">
        <v>6.3068382175993598</v>
      </c>
      <c r="Z61" s="1">
        <v>6.3068382264170504</v>
      </c>
      <c r="AA61" s="1">
        <v>-8.8176905777004305E-9</v>
      </c>
      <c r="AB61" s="1">
        <v>1.47748438042285E-5</v>
      </c>
      <c r="AC61" s="1">
        <v>686.69538866724304</v>
      </c>
      <c r="AD61" s="1">
        <v>5974.0546358768597</v>
      </c>
      <c r="AE61" s="1">
        <v>583.07397759007404</v>
      </c>
      <c r="AF61" s="6">
        <v>0</v>
      </c>
      <c r="AG61" s="1">
        <v>1.48519442549559E-5</v>
      </c>
      <c r="AH61" s="1">
        <v>52.821986141285301</v>
      </c>
      <c r="AI61" s="1">
        <v>0.290746048245414</v>
      </c>
      <c r="AJ61" s="1">
        <v>37.360026286624198</v>
      </c>
      <c r="AK61" s="1">
        <v>4.9836584753673199</v>
      </c>
      <c r="AL61" s="1">
        <v>1.1293680422758501</v>
      </c>
      <c r="AM61" s="1">
        <v>608.62110605236796</v>
      </c>
      <c r="AN61" s="1">
        <v>1.3394924280874E-8</v>
      </c>
      <c r="AO61" s="1">
        <v>7.7100450727349098E-8</v>
      </c>
      <c r="AP61" s="1">
        <v>3.65537026592669</v>
      </c>
      <c r="AQ61" s="1">
        <v>4.0811214469970002E-5</v>
      </c>
      <c r="AR61" s="1">
        <v>7.4645223528416196E-6</v>
      </c>
      <c r="AS61" s="1">
        <v>18.776986132721301</v>
      </c>
      <c r="AT61" s="1">
        <v>11.613159890428401</v>
      </c>
      <c r="AU61" s="1">
        <v>3.3764803457842101</v>
      </c>
      <c r="AV61" s="1">
        <v>0.27888992014248198</v>
      </c>
      <c r="AW61" s="1">
        <v>8.8828042590270995E-3</v>
      </c>
      <c r="AX61" s="1">
        <v>0.278889915540387</v>
      </c>
      <c r="AY61" s="1">
        <v>4.6020950383862702E-9</v>
      </c>
      <c r="AZ61" s="1">
        <v>1080577.4158407301</v>
      </c>
      <c r="BA61" s="1">
        <v>1.11647279211053E-5</v>
      </c>
      <c r="BB61" s="4">
        <v>4662853.2250242801</v>
      </c>
      <c r="BC61" s="4">
        <v>-12329.8023194671</v>
      </c>
      <c r="BD61" s="7">
        <v>-0.26372876200468998</v>
      </c>
      <c r="BE61" s="4">
        <v>5016450</v>
      </c>
      <c r="BF61" s="1">
        <v>0.92951254871956901</v>
      </c>
      <c r="BG61" s="1">
        <v>1</v>
      </c>
      <c r="BH61" s="1">
        <v>-1.4E-2</v>
      </c>
      <c r="BI61" s="1">
        <v>4.5999999999999999E-2</v>
      </c>
      <c r="BJ61" s="1">
        <v>5625</v>
      </c>
      <c r="BK61" s="1">
        <v>1.0366401828979299</v>
      </c>
      <c r="BL61" s="1">
        <v>75.772394947606003</v>
      </c>
      <c r="BM61" s="1">
        <v>4.6628532250242802</v>
      </c>
      <c r="BN61" s="1">
        <v>75.772394947606003</v>
      </c>
      <c r="BO61" s="1">
        <v>1.0366401828979299</v>
      </c>
      <c r="BP61" s="1">
        <v>1279.66424028751</v>
      </c>
      <c r="BQ61" s="1">
        <v>1</v>
      </c>
      <c r="BR61" s="1">
        <v>0.3175</v>
      </c>
    </row>
    <row r="62" spans="1:70">
      <c r="A62" s="2" t="s">
        <v>130</v>
      </c>
      <c r="B62" s="1">
        <v>13789520</v>
      </c>
      <c r="C62" s="1">
        <v>608.621106065763</v>
      </c>
      <c r="D62" s="1">
        <v>85.147893581579396</v>
      </c>
      <c r="E62" s="1">
        <v>624.86627494838604</v>
      </c>
      <c r="F62" s="1">
        <v>2643264.3898665099</v>
      </c>
      <c r="G62" s="1">
        <v>1562686.9740257801</v>
      </c>
      <c r="H62" s="1">
        <v>2.2019594042733499E-5</v>
      </c>
      <c r="I62" s="1">
        <v>7.2223252690249804E-5</v>
      </c>
      <c r="J62" s="1">
        <v>0.49112124879375701</v>
      </c>
      <c r="K62" s="1">
        <v>7679.7516396704104</v>
      </c>
      <c r="L62" s="1">
        <v>6.5036382888884496E-3</v>
      </c>
      <c r="M62" s="1">
        <v>61</v>
      </c>
      <c r="N62" s="1">
        <v>3254.4</v>
      </c>
      <c r="O62" s="3">
        <v>1.7719053836560401E-5</v>
      </c>
      <c r="P62" s="3">
        <v>1.4921936786020801E-2</v>
      </c>
      <c r="Q62" s="3">
        <v>4.7498000000000002E-3</v>
      </c>
      <c r="R62" s="1">
        <v>0.3175</v>
      </c>
      <c r="S62" s="4">
        <v>4717204.12890625</v>
      </c>
      <c r="T62" s="1">
        <v>531.74235590187595</v>
      </c>
      <c r="U62" s="5">
        <v>582.20790014265901</v>
      </c>
      <c r="V62" s="1">
        <v>0.03</v>
      </c>
      <c r="W62" s="3">
        <v>214027.318684953</v>
      </c>
      <c r="X62" s="1">
        <v>2.5097279250446199E-2</v>
      </c>
      <c r="Y62" s="1">
        <v>6.3122861547861699</v>
      </c>
      <c r="Z62" s="1">
        <v>6.3122861986763299</v>
      </c>
      <c r="AA62" s="1">
        <v>-4.3890162615412003E-8</v>
      </c>
      <c r="AB62" s="1">
        <v>1.46773007210318E-5</v>
      </c>
      <c r="AC62" s="1">
        <v>687.34914386711296</v>
      </c>
      <c r="AD62" s="1">
        <v>5993.8730869541596</v>
      </c>
      <c r="AE62" s="1">
        <v>582.20790104770094</v>
      </c>
      <c r="AF62" s="6">
        <v>9.0504215677356104E-7</v>
      </c>
      <c r="AG62" s="1">
        <v>1.4755584852701999E-5</v>
      </c>
      <c r="AH62" s="1">
        <v>53.173032937063702</v>
      </c>
      <c r="AI62" s="1">
        <v>0.29171057513448301</v>
      </c>
      <c r="AJ62" s="1">
        <v>37.240769266444602</v>
      </c>
      <c r="AK62" s="1">
        <v>5.0279544773577998</v>
      </c>
      <c r="AL62" s="1">
        <v>1.1293680422758501</v>
      </c>
      <c r="AM62" s="1">
        <v>608.62110605475004</v>
      </c>
      <c r="AN62" s="1">
        <v>1.10131850306061E-8</v>
      </c>
      <c r="AO62" s="1">
        <v>7.8284131670201095E-8</v>
      </c>
      <c r="AP62" s="1">
        <v>3.6624574829670502</v>
      </c>
      <c r="AQ62" s="1">
        <v>4.0653419828538801E-5</v>
      </c>
      <c r="AR62" s="1">
        <v>7.4169344921861197E-6</v>
      </c>
      <c r="AS62" s="1">
        <v>18.719173034829399</v>
      </c>
      <c r="AT62" s="1">
        <v>11.597741472918999</v>
      </c>
      <c r="AU62" s="1">
        <v>3.3831838353262502</v>
      </c>
      <c r="AV62" s="1">
        <v>0.27927364764080398</v>
      </c>
      <c r="AW62" s="1">
        <v>8.8241602471959696E-3</v>
      </c>
      <c r="AX62" s="1">
        <v>0.27927364077045502</v>
      </c>
      <c r="AY62" s="1">
        <v>6.8703489564114803E-9</v>
      </c>
      <c r="AZ62" s="1">
        <v>1080577.4158407301</v>
      </c>
      <c r="BA62" s="1">
        <v>1.11000387083277E-5</v>
      </c>
      <c r="BB62" s="4">
        <v>4762030.9936915301</v>
      </c>
      <c r="BC62" s="4">
        <v>44826.864785281003</v>
      </c>
      <c r="BD62" s="7">
        <v>0.95028460843128204</v>
      </c>
      <c r="BE62" s="4">
        <v>4101500</v>
      </c>
      <c r="BF62" s="1">
        <v>1.1610462010707101</v>
      </c>
      <c r="BG62" s="1">
        <v>1</v>
      </c>
      <c r="BH62" s="1">
        <v>-0.09</v>
      </c>
      <c r="BI62" s="1">
        <v>4.5999999999999999E-2</v>
      </c>
      <c r="BJ62" s="1">
        <v>5625</v>
      </c>
      <c r="BK62" s="1">
        <v>1.03612033900634</v>
      </c>
      <c r="BL62" s="1">
        <v>76.878750163887005</v>
      </c>
      <c r="BM62" s="1">
        <v>4.7620309936915302</v>
      </c>
      <c r="BN62" s="1">
        <v>76.878750163887005</v>
      </c>
      <c r="BO62" s="1">
        <v>1.03612033900634</v>
      </c>
      <c r="BP62" s="1">
        <v>1360.0422136504001</v>
      </c>
      <c r="BQ62" s="1">
        <v>1</v>
      </c>
      <c r="BR62" s="1">
        <v>0.3175</v>
      </c>
    </row>
    <row r="63" spans="1:70">
      <c r="A63" s="2" t="s">
        <v>131</v>
      </c>
      <c r="B63" s="1">
        <v>13789520</v>
      </c>
      <c r="C63" s="1">
        <v>608.621106065763</v>
      </c>
      <c r="D63" s="1">
        <v>85.147893581579396</v>
      </c>
      <c r="E63" s="1">
        <v>624.86627494838604</v>
      </c>
      <c r="F63" s="1">
        <v>2643264.3898665099</v>
      </c>
      <c r="G63" s="1">
        <v>1562686.9740257801</v>
      </c>
      <c r="H63" s="1">
        <v>2.2019594042733499E-5</v>
      </c>
      <c r="I63" s="1">
        <v>7.2223252690249804E-5</v>
      </c>
      <c r="J63" s="1">
        <v>0.49112124879375701</v>
      </c>
      <c r="K63" s="1">
        <v>7679.7516396704104</v>
      </c>
      <c r="L63" s="1">
        <v>6.5036382888884496E-3</v>
      </c>
      <c r="M63" s="1">
        <v>62</v>
      </c>
      <c r="N63" s="1">
        <v>3390</v>
      </c>
      <c r="O63" s="3">
        <v>1.7719053836560401E-5</v>
      </c>
      <c r="P63" s="3">
        <v>1.4921936786020801E-2</v>
      </c>
      <c r="Q63" s="3">
        <v>4.7498000000000002E-3</v>
      </c>
      <c r="R63" s="1">
        <v>0.3175</v>
      </c>
      <c r="S63" s="4">
        <v>5586708.88671875</v>
      </c>
      <c r="T63" s="1">
        <v>502.18664486312503</v>
      </c>
      <c r="U63" s="5">
        <v>559.56360903671396</v>
      </c>
      <c r="V63" s="1">
        <v>0.03</v>
      </c>
      <c r="W63" s="3">
        <v>222945.12363016</v>
      </c>
      <c r="X63" s="1">
        <v>2.4678932692460701E-2</v>
      </c>
      <c r="Y63" s="1">
        <v>6.3655628904620603</v>
      </c>
      <c r="Z63" s="1">
        <v>6.3655629128054798</v>
      </c>
      <c r="AA63" s="1">
        <v>-2.2343423999870999E-8</v>
      </c>
      <c r="AB63" s="1">
        <v>1.37558974038971E-5</v>
      </c>
      <c r="AC63" s="1">
        <v>704.71849471302801</v>
      </c>
      <c r="AD63" s="1">
        <v>6191.3616856873095</v>
      </c>
      <c r="AE63" s="1">
        <v>559.56360903671396</v>
      </c>
      <c r="AF63" s="6">
        <v>0</v>
      </c>
      <c r="AG63" s="1">
        <v>1.38422002731667E-5</v>
      </c>
      <c r="AH63" s="1">
        <v>56.7346914382709</v>
      </c>
      <c r="AI63" s="1">
        <v>0.30132197528980798</v>
      </c>
      <c r="AJ63" s="1">
        <v>36.086600874518901</v>
      </c>
      <c r="AK63" s="1">
        <v>6.1682505788405404</v>
      </c>
      <c r="AL63" s="1">
        <v>1.1293680422758501</v>
      </c>
      <c r="AM63" s="1">
        <v>608.62110603076405</v>
      </c>
      <c r="AN63" s="1">
        <v>3.49992888004635E-8</v>
      </c>
      <c r="AO63" s="1">
        <v>8.6302869269615302E-8</v>
      </c>
      <c r="AP63" s="1">
        <v>3.73173467307176</v>
      </c>
      <c r="AQ63" s="1">
        <v>3.9158022617483197E-5</v>
      </c>
      <c r="AR63" s="1">
        <v>6.9642515712181696E-6</v>
      </c>
      <c r="AS63" s="1">
        <v>18.155796179850899</v>
      </c>
      <c r="AT63" s="1">
        <v>11.444949292410101</v>
      </c>
      <c r="AU63" s="1">
        <v>3.44861472788069</v>
      </c>
      <c r="AV63" s="1">
        <v>0.28311994519106298</v>
      </c>
      <c r="AW63" s="1">
        <v>8.2702020857307601E-3</v>
      </c>
      <c r="AX63" s="1">
        <v>0.283119910903465</v>
      </c>
      <c r="AY63" s="1">
        <v>3.4287597427962202E-8</v>
      </c>
      <c r="AZ63" s="1">
        <v>1080577.4158407301</v>
      </c>
      <c r="BA63" s="1">
        <v>1.04932493995481E-5</v>
      </c>
      <c r="BB63" s="4">
        <v>5553390.4849257404</v>
      </c>
      <c r="BC63" s="4">
        <v>-33318.401793005898</v>
      </c>
      <c r="BD63" s="7">
        <v>-0.59638693314078906</v>
      </c>
      <c r="BE63" s="4">
        <v>5300400</v>
      </c>
      <c r="BF63" s="1">
        <v>1.0477304514613499</v>
      </c>
      <c r="BG63" s="1">
        <v>1</v>
      </c>
      <c r="BH63" s="1">
        <v>-0.14399999999999999</v>
      </c>
      <c r="BI63" s="1">
        <v>4.5999999999999999E-2</v>
      </c>
      <c r="BJ63" s="1">
        <v>5625</v>
      </c>
      <c r="BK63" s="1">
        <v>1.0209892936924401</v>
      </c>
      <c r="BL63" s="1">
        <v>106.434461202638</v>
      </c>
      <c r="BM63" s="1">
        <v>5.5533904849257398</v>
      </c>
      <c r="BN63" s="1">
        <v>106.434461202638</v>
      </c>
      <c r="BO63" s="1">
        <v>1.0209892936924401</v>
      </c>
      <c r="BP63" s="1">
        <v>4413.5376352848098</v>
      </c>
      <c r="BQ63" s="1">
        <v>1</v>
      </c>
      <c r="BR63" s="1">
        <v>0.3175</v>
      </c>
    </row>
    <row r="64" spans="1:70">
      <c r="A64" s="2" t="s">
        <v>132</v>
      </c>
      <c r="B64" s="1">
        <v>13789520</v>
      </c>
      <c r="C64" s="1">
        <v>608.621106065763</v>
      </c>
      <c r="D64" s="1">
        <v>85.147893581579396</v>
      </c>
      <c r="E64" s="1">
        <v>624.86627494838604</v>
      </c>
      <c r="F64" s="1">
        <v>2643264.3898665099</v>
      </c>
      <c r="G64" s="1">
        <v>1562686.9740257801</v>
      </c>
      <c r="H64" s="1">
        <v>2.2019594042733499E-5</v>
      </c>
      <c r="I64" s="1">
        <v>7.2223252690249804E-5</v>
      </c>
      <c r="J64" s="1">
        <v>0.49112124879375701</v>
      </c>
      <c r="K64" s="1">
        <v>7679.7516396704104</v>
      </c>
      <c r="L64" s="1">
        <v>6.5036382888884496E-3</v>
      </c>
      <c r="M64" s="1">
        <v>63</v>
      </c>
      <c r="N64" s="1">
        <v>3390</v>
      </c>
      <c r="O64" s="3">
        <v>1.7719053836560401E-5</v>
      </c>
      <c r="P64" s="3">
        <v>1.4921936786020801E-2</v>
      </c>
      <c r="Q64" s="3">
        <v>4.7498000000000002E-3</v>
      </c>
      <c r="R64" s="1">
        <v>0.3175</v>
      </c>
      <c r="S64" s="4">
        <v>4922051.26953125</v>
      </c>
      <c r="T64" s="1">
        <v>528.989187332651</v>
      </c>
      <c r="U64" s="5">
        <v>579.53994361491198</v>
      </c>
      <c r="V64" s="1">
        <v>0.03</v>
      </c>
      <c r="W64" s="3">
        <v>222945.12363016</v>
      </c>
      <c r="X64" s="1">
        <v>2.4678932692460701E-2</v>
      </c>
      <c r="Y64" s="1">
        <v>6.3655628904620603</v>
      </c>
      <c r="Z64" s="1">
        <v>6.3655629128054798</v>
      </c>
      <c r="AA64" s="1">
        <v>-2.2343423999870999E-8</v>
      </c>
      <c r="AB64" s="1">
        <v>1.37558974038971E-5</v>
      </c>
      <c r="AC64" s="1">
        <v>688.41539629949705</v>
      </c>
      <c r="AD64" s="1">
        <v>6191.3616856873095</v>
      </c>
      <c r="AE64" s="1">
        <v>579.53994452982795</v>
      </c>
      <c r="AF64" s="6">
        <v>9.1491597231652101E-7</v>
      </c>
      <c r="AG64" s="1">
        <v>1.38317723589033E-5</v>
      </c>
      <c r="AH64" s="1">
        <v>56.7346914382709</v>
      </c>
      <c r="AI64" s="1">
        <v>0.30132197528980798</v>
      </c>
      <c r="AJ64" s="1">
        <v>36.059415313513199</v>
      </c>
      <c r="AK64" s="1">
        <v>5.1224150148160001</v>
      </c>
      <c r="AL64" s="1">
        <v>1.1293680422758501</v>
      </c>
      <c r="AM64" s="1">
        <v>608.62110603673398</v>
      </c>
      <c r="AN64" s="1">
        <v>2.9028683456999699E-8</v>
      </c>
      <c r="AO64" s="1">
        <v>7.5874955006177694E-8</v>
      </c>
      <c r="AP64" s="1">
        <v>3.7296363467570202</v>
      </c>
      <c r="AQ64" s="1">
        <v>3.9202096310141098E-5</v>
      </c>
      <c r="AR64" s="1">
        <v>6.9538236569547303E-6</v>
      </c>
      <c r="AS64" s="1">
        <v>18.128610618845201</v>
      </c>
      <c r="AT64" s="1">
        <v>11.4374569372936</v>
      </c>
      <c r="AU64" s="1">
        <v>3.4463571166374298</v>
      </c>
      <c r="AV64" s="1">
        <v>0.28327923011959</v>
      </c>
      <c r="AW64" s="1">
        <v>8.2702020857307601E-3</v>
      </c>
      <c r="AX64" s="1">
        <v>0.28327919666326601</v>
      </c>
      <c r="AY64" s="1">
        <v>3.3456324155523001E-8</v>
      </c>
      <c r="AZ64" s="1">
        <v>1080577.4158407301</v>
      </c>
      <c r="BA64" s="1">
        <v>1.0510970149737999E-5</v>
      </c>
      <c r="BB64" s="4">
        <v>4874146.9220605604</v>
      </c>
      <c r="BC64" s="4">
        <v>-47904.347470692403</v>
      </c>
      <c r="BD64" s="7">
        <v>-0.97325982293667801</v>
      </c>
      <c r="BE64" s="4">
        <v>5300400</v>
      </c>
      <c r="BF64" s="1">
        <v>0.91958096031630798</v>
      </c>
      <c r="BG64" s="1">
        <v>1</v>
      </c>
      <c r="BH64" s="1">
        <v>-2.7E-2</v>
      </c>
      <c r="BI64" s="1">
        <v>4.5999999999999999E-2</v>
      </c>
      <c r="BJ64" s="1">
        <v>5625</v>
      </c>
      <c r="BK64" s="1">
        <v>1.0347927071306</v>
      </c>
      <c r="BL64" s="1">
        <v>79.631918733112002</v>
      </c>
      <c r="BM64" s="1">
        <v>4.87414692206056</v>
      </c>
      <c r="BN64" s="1">
        <v>79.631918733112002</v>
      </c>
      <c r="BO64" s="1">
        <v>1.0347927071306</v>
      </c>
      <c r="BP64" s="1">
        <v>1570.6889824679899</v>
      </c>
      <c r="BQ64" s="1">
        <v>1</v>
      </c>
      <c r="BR64" s="1">
        <v>0.3175</v>
      </c>
    </row>
    <row r="65" spans="1:70">
      <c r="A65" s="2" t="s">
        <v>133</v>
      </c>
      <c r="B65" s="1">
        <v>13789520</v>
      </c>
      <c r="C65" s="1">
        <v>608.621106065763</v>
      </c>
      <c r="D65" s="1">
        <v>85.147893581579396</v>
      </c>
      <c r="E65" s="1">
        <v>624.86627494838604</v>
      </c>
      <c r="F65" s="1">
        <v>2643264.3898665099</v>
      </c>
      <c r="G65" s="1">
        <v>1562686.9740257801</v>
      </c>
      <c r="H65" s="1">
        <v>2.2019594042733499E-5</v>
      </c>
      <c r="I65" s="1">
        <v>7.2223252690249804E-5</v>
      </c>
      <c r="J65" s="1">
        <v>0.49112124879375701</v>
      </c>
      <c r="K65" s="1">
        <v>7679.7516396704104</v>
      </c>
      <c r="L65" s="1">
        <v>6.5036382888884496E-3</v>
      </c>
      <c r="M65" s="1">
        <v>64</v>
      </c>
      <c r="N65" s="1">
        <v>3403.56</v>
      </c>
      <c r="O65" s="3">
        <v>1.7719053836560401E-5</v>
      </c>
      <c r="P65" s="3">
        <v>1.4921936786020801E-2</v>
      </c>
      <c r="Q65" s="3">
        <v>4.7498000000000002E-3</v>
      </c>
      <c r="R65" s="1">
        <v>0.3175</v>
      </c>
      <c r="S65" s="4">
        <v>6030615.72265625</v>
      </c>
      <c r="T65" s="1">
        <v>486.08905396706899</v>
      </c>
      <c r="U65" s="5">
        <v>547.77830067752302</v>
      </c>
      <c r="V65" s="1">
        <v>0.03</v>
      </c>
      <c r="W65" s="3">
        <v>223836.90412468</v>
      </c>
      <c r="X65" s="1">
        <v>2.4638575604823201E-2</v>
      </c>
      <c r="Y65" s="1">
        <v>6.3707740372673998</v>
      </c>
      <c r="Z65" s="1">
        <v>6.3707740577340601</v>
      </c>
      <c r="AA65" s="1">
        <v>-2.04666577019452E-8</v>
      </c>
      <c r="AB65" s="1">
        <v>1.36688594841877E-5</v>
      </c>
      <c r="AC65" s="1">
        <v>714.74287879082601</v>
      </c>
      <c r="AD65" s="1">
        <v>6211.0424832401304</v>
      </c>
      <c r="AE65" s="1">
        <v>547.77830067752302</v>
      </c>
      <c r="AF65" s="6">
        <v>0</v>
      </c>
      <c r="AG65" s="1">
        <v>1.37623676098852E-5</v>
      </c>
      <c r="AH65" s="1">
        <v>57.095955633272197</v>
      </c>
      <c r="AI65" s="1">
        <v>0.30227980283970002</v>
      </c>
      <c r="AJ65" s="1">
        <v>35.992525956867603</v>
      </c>
      <c r="AK65" s="1">
        <v>6.81454511999166</v>
      </c>
      <c r="AL65" s="1">
        <v>1.1293680422758501</v>
      </c>
      <c r="AM65" s="1">
        <v>608.62110603071699</v>
      </c>
      <c r="AN65" s="1">
        <v>3.5046468838117997E-8</v>
      </c>
      <c r="AO65" s="1">
        <v>9.3508125697443299E-8</v>
      </c>
      <c r="AP65" s="1">
        <v>3.7398740000643298</v>
      </c>
      <c r="AQ65" s="1">
        <v>3.8987763873389697E-5</v>
      </c>
      <c r="AR65" s="1">
        <v>6.9279378677913096E-6</v>
      </c>
      <c r="AS65" s="1">
        <v>18.118538219756601</v>
      </c>
      <c r="AT65" s="1">
        <v>11.434678125809</v>
      </c>
      <c r="AU65" s="1">
        <v>3.45647224940496</v>
      </c>
      <c r="AV65" s="1">
        <v>0.28340175065936901</v>
      </c>
      <c r="AW65" s="1">
        <v>8.2178738977555996E-3</v>
      </c>
      <c r="AX65" s="1">
        <v>0.28340174799375101</v>
      </c>
      <c r="AY65" s="1">
        <v>2.6656188367724098E-9</v>
      </c>
      <c r="AZ65" s="1">
        <v>1080577.4158407301</v>
      </c>
      <c r="BA65" s="1">
        <v>1.0424887007615501E-5</v>
      </c>
      <c r="BB65" s="4">
        <v>6056489.4872057997</v>
      </c>
      <c r="BC65" s="4">
        <v>25873.7645495459</v>
      </c>
      <c r="BD65" s="7">
        <v>0.42904017996606097</v>
      </c>
      <c r="BE65" s="4">
        <v>5836750</v>
      </c>
      <c r="BF65" s="1">
        <v>1.0376475756552499</v>
      </c>
      <c r="BG65" s="1">
        <v>1</v>
      </c>
      <c r="BH65" s="1">
        <v>-0.17399999999999999</v>
      </c>
      <c r="BI65" s="1">
        <v>4.5999999999999999E-2</v>
      </c>
      <c r="BJ65" s="1">
        <v>5625</v>
      </c>
      <c r="BK65" s="1">
        <v>1.01370418168794</v>
      </c>
      <c r="BL65" s="1">
        <v>122.532052098694</v>
      </c>
      <c r="BM65" s="1">
        <v>6.0564894872058002</v>
      </c>
      <c r="BN65" s="1">
        <v>122.532052098694</v>
      </c>
      <c r="BO65" s="1">
        <v>1.01370418168794</v>
      </c>
      <c r="BP65" s="1">
        <v>6811.5396236215402</v>
      </c>
      <c r="BQ65" s="1">
        <v>1</v>
      </c>
      <c r="BR65" s="1">
        <v>0.3175</v>
      </c>
    </row>
    <row r="66" spans="1:70">
      <c r="A66" s="2" t="s">
        <v>134</v>
      </c>
      <c r="B66" s="1">
        <v>13789520</v>
      </c>
      <c r="C66" s="1">
        <v>608.621106065763</v>
      </c>
      <c r="D66" s="1">
        <v>85.147893581579396</v>
      </c>
      <c r="E66" s="1">
        <v>624.86627494838604</v>
      </c>
      <c r="F66" s="1">
        <v>2643264.3898665099</v>
      </c>
      <c r="G66" s="1">
        <v>1562686.9740257801</v>
      </c>
      <c r="H66" s="1">
        <v>2.2019594042733499E-5</v>
      </c>
      <c r="I66" s="1">
        <v>7.2223252690249804E-5</v>
      </c>
      <c r="J66" s="1">
        <v>0.49112124879375701</v>
      </c>
      <c r="K66" s="1">
        <v>7679.7516396704104</v>
      </c>
      <c r="L66" s="1">
        <v>6.5036382888884496E-3</v>
      </c>
      <c r="M66" s="1">
        <v>65</v>
      </c>
      <c r="N66" s="1">
        <v>3403.56</v>
      </c>
      <c r="O66" s="3">
        <v>1.7719053836560401E-5</v>
      </c>
      <c r="P66" s="3">
        <v>1.4921936786020801E-2</v>
      </c>
      <c r="Q66" s="3">
        <v>4.7498000000000002E-3</v>
      </c>
      <c r="R66" s="1">
        <v>0.3175</v>
      </c>
      <c r="S66" s="4">
        <v>5311507.91015625</v>
      </c>
      <c r="T66" s="1">
        <v>513.90123078477097</v>
      </c>
      <c r="U66" s="5">
        <v>568.23447583687596</v>
      </c>
      <c r="V66" s="1">
        <v>0.03</v>
      </c>
      <c r="W66" s="3">
        <v>223836.90412468</v>
      </c>
      <c r="X66" s="1">
        <v>2.4638575604823201E-2</v>
      </c>
      <c r="Y66" s="1">
        <v>6.3707740372673998</v>
      </c>
      <c r="Z66" s="1">
        <v>6.3707740577340601</v>
      </c>
      <c r="AA66" s="1">
        <v>-2.04666577019452E-8</v>
      </c>
      <c r="AB66" s="1">
        <v>1.36688594841877E-5</v>
      </c>
      <c r="AC66" s="1">
        <v>697.57356660477706</v>
      </c>
      <c r="AD66" s="1">
        <v>6211.0424832401304</v>
      </c>
      <c r="AE66" s="1">
        <v>568.23447683896904</v>
      </c>
      <c r="AF66" s="6">
        <v>1.00209331321821E-6</v>
      </c>
      <c r="AG66" s="1">
        <v>1.3750230297333801E-5</v>
      </c>
      <c r="AH66" s="1">
        <v>57.095955633272197</v>
      </c>
      <c r="AI66" s="1">
        <v>0.30227980283970002</v>
      </c>
      <c r="AJ66" s="1">
        <v>35.960783414491601</v>
      </c>
      <c r="AK66" s="1">
        <v>5.7128373559497101</v>
      </c>
      <c r="AL66" s="1">
        <v>1.1293680422758501</v>
      </c>
      <c r="AM66" s="1">
        <v>608.62110603673796</v>
      </c>
      <c r="AN66" s="1">
        <v>2.9025386538705798E-8</v>
      </c>
      <c r="AO66" s="1">
        <v>8.1370813146106901E-8</v>
      </c>
      <c r="AP66" s="1">
        <v>3.73741059736754</v>
      </c>
      <c r="AQ66" s="1">
        <v>3.9039176054074602E-5</v>
      </c>
      <c r="AR66" s="1">
        <v>6.9158005552399699E-6</v>
      </c>
      <c r="AS66" s="1">
        <v>18.0867956773806</v>
      </c>
      <c r="AT66" s="1">
        <v>11.425910757277199</v>
      </c>
      <c r="AU66" s="1">
        <v>3.45382205097376</v>
      </c>
      <c r="AV66" s="1">
        <v>0.28358854639377601</v>
      </c>
      <c r="AW66" s="1">
        <v>8.2178738977555996E-3</v>
      </c>
      <c r="AX66" s="1">
        <v>0.28358854380119403</v>
      </c>
      <c r="AY66" s="1">
        <v>2.5925813162963599E-9</v>
      </c>
      <c r="AZ66" s="1">
        <v>1080577.4158407301</v>
      </c>
      <c r="BA66" s="1">
        <v>1.0445514357339301E-5</v>
      </c>
      <c r="BB66" s="4">
        <v>5259952.2041049898</v>
      </c>
      <c r="BC66" s="4">
        <v>-51555.706051258399</v>
      </c>
      <c r="BD66" s="7">
        <v>-0.97064161295284102</v>
      </c>
      <c r="BE66" s="4">
        <v>5836750</v>
      </c>
      <c r="BF66" s="1">
        <v>0.90117825915192395</v>
      </c>
      <c r="BG66" s="1">
        <v>1</v>
      </c>
      <c r="BH66" s="1">
        <v>-5.6000000000000001E-2</v>
      </c>
      <c r="BI66" s="1">
        <v>4.5999999999999999E-2</v>
      </c>
      <c r="BJ66" s="1">
        <v>5625</v>
      </c>
      <c r="BK66" s="1">
        <v>1.02701325477184</v>
      </c>
      <c r="BL66" s="1">
        <v>94.719875280991999</v>
      </c>
      <c r="BM66" s="1">
        <v>5.25995220410499</v>
      </c>
      <c r="BN66" s="1">
        <v>94.719875280991999</v>
      </c>
      <c r="BO66" s="1">
        <v>1.02701325477184</v>
      </c>
      <c r="BP66" s="1">
        <v>2994.26475076732</v>
      </c>
      <c r="BQ66" s="1">
        <v>1</v>
      </c>
      <c r="BR66" s="1">
        <v>0.3175</v>
      </c>
    </row>
    <row r="67" spans="1:70">
      <c r="A67" s="2" t="s">
        <v>135</v>
      </c>
      <c r="B67" s="1">
        <v>13789520</v>
      </c>
      <c r="C67" s="1">
        <v>608.621106065763</v>
      </c>
      <c r="D67" s="1">
        <v>85.147893581579396</v>
      </c>
      <c r="E67" s="1">
        <v>624.86627494838604</v>
      </c>
      <c r="F67" s="1">
        <v>2643264.3898665099</v>
      </c>
      <c r="G67" s="1">
        <v>1562686.9740257801</v>
      </c>
      <c r="H67" s="1">
        <v>2.2019594042733499E-5</v>
      </c>
      <c r="I67" s="1">
        <v>7.2223252690249804E-5</v>
      </c>
      <c r="J67" s="1">
        <v>0.49112124879375701</v>
      </c>
      <c r="K67" s="1">
        <v>7679.7516396704104</v>
      </c>
      <c r="L67" s="1">
        <v>6.5036382888884496E-3</v>
      </c>
      <c r="M67" s="1">
        <v>66</v>
      </c>
      <c r="N67" s="1">
        <v>3457.8</v>
      </c>
      <c r="O67" s="3">
        <v>1.7719053836560401E-5</v>
      </c>
      <c r="P67" s="3">
        <v>1.4921936786020801E-2</v>
      </c>
      <c r="Q67" s="3">
        <v>4.7498000000000002E-3</v>
      </c>
      <c r="R67" s="1">
        <v>0.3175</v>
      </c>
      <c r="S67" s="4">
        <v>4915946.72265625</v>
      </c>
      <c r="T67" s="1">
        <v>531.74235590187595</v>
      </c>
      <c r="U67" s="5">
        <v>581.24045490800995</v>
      </c>
      <c r="V67" s="1">
        <v>0.03</v>
      </c>
      <c r="W67" s="3">
        <v>227404.02610276299</v>
      </c>
      <c r="X67" s="1">
        <v>2.4479693484813901E-2</v>
      </c>
      <c r="Y67" s="1">
        <v>6.3914149207841797</v>
      </c>
      <c r="Z67" s="1">
        <v>6.3914149346502196</v>
      </c>
      <c r="AA67" s="1">
        <v>-1.38660345427866E-8</v>
      </c>
      <c r="AB67" s="1">
        <v>1.3329350327789201E-5</v>
      </c>
      <c r="AC67" s="1">
        <v>686.32959780453496</v>
      </c>
      <c r="AD67" s="1">
        <v>6289.6452084297298</v>
      </c>
      <c r="AE67" s="1">
        <v>581.24045580248901</v>
      </c>
      <c r="AF67" s="6">
        <v>8.9447848949930599E-7</v>
      </c>
      <c r="AG67" s="1">
        <v>1.34036462187352E-5</v>
      </c>
      <c r="AH67" s="1">
        <v>58.5502350433053</v>
      </c>
      <c r="AI67" s="1">
        <v>0.30610525023232199</v>
      </c>
      <c r="AJ67" s="1">
        <v>35.497991163903698</v>
      </c>
      <c r="AK67" s="1">
        <v>5.00111125637439</v>
      </c>
      <c r="AL67" s="1">
        <v>1.1293680422758501</v>
      </c>
      <c r="AM67" s="1">
        <v>608.62110605627004</v>
      </c>
      <c r="AN67" s="1">
        <v>9.4934193839435499E-9</v>
      </c>
      <c r="AO67" s="1">
        <v>7.4295890945999804E-8</v>
      </c>
      <c r="AP67" s="1">
        <v>3.76240575589435</v>
      </c>
      <c r="AQ67" s="1">
        <v>3.8522193476758203E-5</v>
      </c>
      <c r="AR67" s="1">
        <v>6.7389710548405798E-6</v>
      </c>
      <c r="AS67" s="1">
        <v>17.847377575824101</v>
      </c>
      <c r="AT67" s="1">
        <v>11.359282914565</v>
      </c>
      <c r="AU67" s="1">
        <v>3.4771361390226598</v>
      </c>
      <c r="AV67" s="1">
        <v>0.285269616871693</v>
      </c>
      <c r="AW67" s="1">
        <v>8.0137571287124797E-3</v>
      </c>
      <c r="AX67" s="1">
        <v>0.285269613291595</v>
      </c>
      <c r="AY67" s="1">
        <v>3.5800978293032398E-9</v>
      </c>
      <c r="AZ67" s="1">
        <v>1080577.4158407301</v>
      </c>
      <c r="BA67" s="1">
        <v>1.02387132000337E-5</v>
      </c>
      <c r="BB67" s="4">
        <v>4899619.8933708696</v>
      </c>
      <c r="BC67" s="4">
        <v>-16326.8292853814</v>
      </c>
      <c r="BD67" s="7">
        <v>-0.33211973616669799</v>
      </c>
      <c r="BE67" s="4">
        <v>4764050</v>
      </c>
      <c r="BF67" s="1">
        <v>1.0284568577934501</v>
      </c>
      <c r="BG67" s="1">
        <v>1</v>
      </c>
      <c r="BH67" s="1">
        <v>-6.0999999999999999E-2</v>
      </c>
      <c r="BI67" s="1">
        <v>4.5999999999999999E-2</v>
      </c>
      <c r="BJ67" s="1">
        <v>5625</v>
      </c>
      <c r="BK67" s="1">
        <v>1.03612033900634</v>
      </c>
      <c r="BL67" s="1">
        <v>76.878750163887005</v>
      </c>
      <c r="BM67" s="1">
        <v>4.8996198933708701</v>
      </c>
      <c r="BN67" s="1">
        <v>76.878750163887005</v>
      </c>
      <c r="BO67" s="1">
        <v>1.03612033900634</v>
      </c>
      <c r="BP67" s="1">
        <v>1360.0422136504001</v>
      </c>
      <c r="BQ67" s="1">
        <v>1</v>
      </c>
      <c r="BR67" s="1">
        <v>0.3175</v>
      </c>
    </row>
    <row r="68" spans="1:70">
      <c r="A68" s="2" t="s">
        <v>136</v>
      </c>
      <c r="B68" s="1">
        <v>13789520</v>
      </c>
      <c r="C68" s="1">
        <v>608.621106065763</v>
      </c>
      <c r="D68" s="1">
        <v>85.147893581579396</v>
      </c>
      <c r="E68" s="1">
        <v>624.86627494838604</v>
      </c>
      <c r="F68" s="1">
        <v>2643264.3898665099</v>
      </c>
      <c r="G68" s="1">
        <v>1562686.9740257801</v>
      </c>
      <c r="H68" s="1">
        <v>2.2019594042733499E-5</v>
      </c>
      <c r="I68" s="1">
        <v>7.2223252690249804E-5</v>
      </c>
      <c r="J68" s="1">
        <v>0.49112124879375701</v>
      </c>
      <c r="K68" s="1">
        <v>7679.7516396704104</v>
      </c>
      <c r="L68" s="1">
        <v>6.5036382888884496E-3</v>
      </c>
      <c r="M68" s="1">
        <v>67</v>
      </c>
      <c r="N68" s="1">
        <v>3471.36</v>
      </c>
      <c r="O68" s="3">
        <v>1.7719053836560401E-5</v>
      </c>
      <c r="P68" s="3">
        <v>1.4921936786020801E-2</v>
      </c>
      <c r="Q68" s="3">
        <v>4.7498000000000002E-3</v>
      </c>
      <c r="R68" s="1">
        <v>0.3175</v>
      </c>
      <c r="S68" s="4">
        <v>5720191.46484375</v>
      </c>
      <c r="T68" s="1">
        <v>500.510864523382</v>
      </c>
      <c r="U68" s="5">
        <v>557.88182665999295</v>
      </c>
      <c r="V68" s="1">
        <v>0.03</v>
      </c>
      <c r="W68" s="3">
        <v>228295.80659728299</v>
      </c>
      <c r="X68" s="1">
        <v>2.4440596296902501E-2</v>
      </c>
      <c r="Y68" s="1">
        <v>6.3965249944564002</v>
      </c>
      <c r="Z68" s="1">
        <v>6.3965250069065602</v>
      </c>
      <c r="AA68" s="1">
        <v>-1.2450162678589999E-8</v>
      </c>
      <c r="AB68" s="1">
        <v>1.3246574634701799E-5</v>
      </c>
      <c r="AC68" s="1">
        <v>705.22038811346704</v>
      </c>
      <c r="AD68" s="1">
        <v>6309.2660898415897</v>
      </c>
      <c r="AE68" s="1">
        <v>557.88182665999295</v>
      </c>
      <c r="AF68" s="6">
        <v>0</v>
      </c>
      <c r="AG68" s="1">
        <v>1.33325162989459E-5</v>
      </c>
      <c r="AH68" s="1">
        <v>58.916105951052501</v>
      </c>
      <c r="AI68" s="1">
        <v>0.30706016177587098</v>
      </c>
      <c r="AJ68" s="1">
        <v>35.419762085645402</v>
      </c>
      <c r="AK68" s="1">
        <v>6.2190796679543299</v>
      </c>
      <c r="AL68" s="1">
        <v>1.1293680422758501</v>
      </c>
      <c r="AM68" s="1">
        <v>608.62110605705698</v>
      </c>
      <c r="AN68" s="1">
        <v>8.7055695985327508E-9</v>
      </c>
      <c r="AO68" s="1">
        <v>8.5941664244081704E-8</v>
      </c>
      <c r="AP68" s="1">
        <v>3.7714477524419499</v>
      </c>
      <c r="AQ68" s="1">
        <v>3.8337701992378502E-5</v>
      </c>
      <c r="AR68" s="1">
        <v>6.7092289815949704E-6</v>
      </c>
      <c r="AS68" s="1">
        <v>17.824039286942401</v>
      </c>
      <c r="AT68" s="1">
        <v>11.352740339510699</v>
      </c>
      <c r="AU68" s="1">
        <v>3.4859742852496098</v>
      </c>
      <c r="AV68" s="1">
        <v>0.28547346719234101</v>
      </c>
      <c r="AW68" s="1">
        <v>7.9639914398941507E-3</v>
      </c>
      <c r="AX68" s="1">
        <v>0.28547346324726702</v>
      </c>
      <c r="AY68" s="1">
        <v>3.9450735456192401E-9</v>
      </c>
      <c r="AZ68" s="1">
        <v>1080577.4158407301</v>
      </c>
      <c r="BA68" s="1">
        <v>1.0165248071527801E-5</v>
      </c>
      <c r="BB68" s="4">
        <v>5708588.6553509999</v>
      </c>
      <c r="BC68" s="4">
        <v>-11602.8094927454</v>
      </c>
      <c r="BD68" s="7">
        <v>-0.202839530181047</v>
      </c>
      <c r="BE68" s="4">
        <v>5742100</v>
      </c>
      <c r="BF68" s="1">
        <v>0.99416392179707802</v>
      </c>
      <c r="BG68" s="1">
        <v>1</v>
      </c>
      <c r="BH68" s="1">
        <v>-0.128</v>
      </c>
      <c r="BI68" s="1">
        <v>4.5999999999999999E-2</v>
      </c>
      <c r="BJ68" s="1">
        <v>5625</v>
      </c>
      <c r="BK68" s="1">
        <v>1.02016461621606</v>
      </c>
      <c r="BL68" s="1">
        <v>108.110241542381</v>
      </c>
      <c r="BM68" s="1">
        <v>5.7085886553509999</v>
      </c>
      <c r="BN68" s="1">
        <v>108.110241542381</v>
      </c>
      <c r="BO68" s="1">
        <v>1.02016461621606</v>
      </c>
      <c r="BP68" s="1">
        <v>4639.0050029614804</v>
      </c>
      <c r="BQ68" s="1">
        <v>1</v>
      </c>
      <c r="BR68" s="1">
        <v>0.3175</v>
      </c>
    </row>
    <row r="69" spans="1:70">
      <c r="A69" s="2" t="s">
        <v>137</v>
      </c>
      <c r="B69" s="1">
        <v>13789520</v>
      </c>
      <c r="C69" s="1">
        <v>608.621106065763</v>
      </c>
      <c r="D69" s="1">
        <v>85.147893581579396</v>
      </c>
      <c r="E69" s="1">
        <v>624.86627494838604</v>
      </c>
      <c r="F69" s="1">
        <v>2643264.3898665099</v>
      </c>
      <c r="G69" s="1">
        <v>1562686.9740257801</v>
      </c>
      <c r="H69" s="1">
        <v>2.2019594042733499E-5</v>
      </c>
      <c r="I69" s="1">
        <v>7.2223252690249804E-5</v>
      </c>
      <c r="J69" s="1">
        <v>0.49112124879375701</v>
      </c>
      <c r="K69" s="1">
        <v>7679.7516396704104</v>
      </c>
      <c r="L69" s="1">
        <v>6.5036382888884496E-3</v>
      </c>
      <c r="M69" s="1">
        <v>68</v>
      </c>
      <c r="N69" s="1">
        <v>3593.4</v>
      </c>
      <c r="O69" s="3">
        <v>1.7719053836560401E-5</v>
      </c>
      <c r="P69" s="3">
        <v>1.4921936786020801E-2</v>
      </c>
      <c r="Q69" s="3">
        <v>4.7498000000000002E-3</v>
      </c>
      <c r="R69" s="1">
        <v>0.3175</v>
      </c>
      <c r="S69" s="4">
        <v>7604529.92578125</v>
      </c>
      <c r="T69" s="1">
        <v>446.050522823802</v>
      </c>
      <c r="U69" s="5">
        <v>519.73025393911303</v>
      </c>
      <c r="V69" s="1">
        <v>0.03</v>
      </c>
      <c r="W69" s="3">
        <v>236321.831047969</v>
      </c>
      <c r="X69" s="1">
        <v>2.4099415895864999E-2</v>
      </c>
      <c r="Y69" s="1">
        <v>6.4416443265370704</v>
      </c>
      <c r="Z69" s="1">
        <v>6.4416443519234496</v>
      </c>
      <c r="AA69" s="1">
        <v>-2.53863881027883E-8</v>
      </c>
      <c r="AB69" s="1">
        <v>1.25370989752036E-5</v>
      </c>
      <c r="AC69" s="1">
        <v>742.07774324398099</v>
      </c>
      <c r="AD69" s="1">
        <v>6485.33048417599</v>
      </c>
      <c r="AE69" s="1">
        <v>519.73025393911303</v>
      </c>
      <c r="AF69" s="6">
        <v>0</v>
      </c>
      <c r="AG69" s="1">
        <v>1.2646913341628801E-5</v>
      </c>
      <c r="AH69" s="1">
        <v>62.250174159922899</v>
      </c>
      <c r="AI69" s="1">
        <v>0.31562888603594502</v>
      </c>
      <c r="AJ69" s="1">
        <v>34.535943671395501</v>
      </c>
      <c r="AK69" s="1">
        <v>8.6270501237342305</v>
      </c>
      <c r="AL69" s="1">
        <v>1.1293680422758501</v>
      </c>
      <c r="AM69" s="1">
        <v>608.62110605626799</v>
      </c>
      <c r="AN69" s="1">
        <v>9.4951246865093708E-9</v>
      </c>
      <c r="AO69" s="1">
        <v>1.0981436642519401E-7</v>
      </c>
      <c r="AP69" s="1">
        <v>3.8354233007358598</v>
      </c>
      <c r="AQ69" s="1">
        <v>3.70694091438447E-5</v>
      </c>
      <c r="AR69" s="1">
        <v>6.37836385402699E-6</v>
      </c>
      <c r="AS69" s="1">
        <v>17.417911298028301</v>
      </c>
      <c r="AT69" s="1">
        <v>11.2374953085563</v>
      </c>
      <c r="AU69" s="1">
        <v>3.5468781260737998</v>
      </c>
      <c r="AV69" s="1">
        <v>0.28854517466206298</v>
      </c>
      <c r="AW69" s="1">
        <v>7.5374465983126197E-3</v>
      </c>
      <c r="AX69" s="1">
        <v>0.28854516748522102</v>
      </c>
      <c r="AY69" s="1">
        <v>7.1768416765039003E-9</v>
      </c>
      <c r="AZ69" s="1">
        <v>1080577.4158407301</v>
      </c>
      <c r="BA69" s="1">
        <v>9.6650111962172607E-6</v>
      </c>
      <c r="BB69" s="4">
        <v>7671844.1368228104</v>
      </c>
      <c r="BC69" s="4">
        <v>67314.211041555696</v>
      </c>
      <c r="BD69" s="7">
        <v>0.88518569456007801</v>
      </c>
      <c r="BE69" s="4">
        <v>6941000</v>
      </c>
      <c r="BF69" s="1">
        <v>1.1052937814180701</v>
      </c>
      <c r="BG69" s="1">
        <v>1</v>
      </c>
      <c r="BH69" s="1">
        <v>-0.28399999999999997</v>
      </c>
      <c r="BI69" s="1">
        <v>4.5999999999999999E-2</v>
      </c>
      <c r="BJ69" s="1">
        <v>5625</v>
      </c>
      <c r="BK69" s="1">
        <v>1.00318288634476</v>
      </c>
      <c r="BL69" s="1">
        <v>162.570583241961</v>
      </c>
      <c r="BM69" s="1">
        <v>7.6718441368228101</v>
      </c>
      <c r="BN69" s="1">
        <v>162.570583241961</v>
      </c>
      <c r="BO69" s="1">
        <v>1.00318288634476</v>
      </c>
      <c r="BP69" s="1">
        <v>15023.547876274501</v>
      </c>
      <c r="BQ69" s="1">
        <v>1</v>
      </c>
      <c r="BR69" s="1">
        <v>0.3175</v>
      </c>
    </row>
    <row r="70" spans="1:70">
      <c r="A70" s="2" t="s">
        <v>138</v>
      </c>
      <c r="B70" s="1">
        <v>13789520</v>
      </c>
      <c r="C70" s="1">
        <v>608.621106065763</v>
      </c>
      <c r="D70" s="1">
        <v>85.147893581579396</v>
      </c>
      <c r="E70" s="1">
        <v>624.86627494838604</v>
      </c>
      <c r="F70" s="1">
        <v>2643264.3898665099</v>
      </c>
      <c r="G70" s="1">
        <v>1562686.9740257801</v>
      </c>
      <c r="H70" s="1">
        <v>2.2019594042733499E-5</v>
      </c>
      <c r="I70" s="1">
        <v>7.2223252690249804E-5</v>
      </c>
      <c r="J70" s="1">
        <v>0.49112124879375701</v>
      </c>
      <c r="K70" s="1">
        <v>7679.7516396704104</v>
      </c>
      <c r="L70" s="1">
        <v>6.5036382888884496E-3</v>
      </c>
      <c r="M70" s="1">
        <v>69</v>
      </c>
      <c r="N70" s="1">
        <v>3593.4</v>
      </c>
      <c r="O70" s="3">
        <v>1.7719053836560401E-5</v>
      </c>
      <c r="P70" s="3">
        <v>1.4921936786020801E-2</v>
      </c>
      <c r="Q70" s="3">
        <v>4.7498000000000002E-3</v>
      </c>
      <c r="R70" s="1">
        <v>0.3175</v>
      </c>
      <c r="S70" s="4">
        <v>6453330.37109375</v>
      </c>
      <c r="T70" s="1">
        <v>479.48806170427099</v>
      </c>
      <c r="U70" s="5">
        <v>542.01390500833395</v>
      </c>
      <c r="V70" s="1">
        <v>0.03</v>
      </c>
      <c r="W70" s="3">
        <v>236321.831047969</v>
      </c>
      <c r="X70" s="1">
        <v>2.4099415895864999E-2</v>
      </c>
      <c r="Y70" s="1">
        <v>6.4416443265370704</v>
      </c>
      <c r="Z70" s="1">
        <v>6.4416443519234496</v>
      </c>
      <c r="AA70" s="1">
        <v>-2.53863881027883E-8</v>
      </c>
      <c r="AB70" s="1">
        <v>1.25370989752036E-5</v>
      </c>
      <c r="AC70" s="1">
        <v>717.73743157676097</v>
      </c>
      <c r="AD70" s="1">
        <v>6485.33048417599</v>
      </c>
      <c r="AE70" s="1">
        <v>542.01390500833395</v>
      </c>
      <c r="AF70" s="6">
        <v>0</v>
      </c>
      <c r="AG70" s="1">
        <v>1.2630406897222401E-5</v>
      </c>
      <c r="AH70" s="1">
        <v>62.250174159922899</v>
      </c>
      <c r="AI70" s="1">
        <v>0.31562888603594502</v>
      </c>
      <c r="AJ70" s="1">
        <v>34.490868195756903</v>
      </c>
      <c r="AK70" s="1">
        <v>7.0551061163133699</v>
      </c>
      <c r="AL70" s="1">
        <v>1.1293680422758501</v>
      </c>
      <c r="AM70" s="1">
        <v>608.62110605779299</v>
      </c>
      <c r="AN70" s="1">
        <v>7.9704705058247799E-9</v>
      </c>
      <c r="AO70" s="1">
        <v>9.3307922018812799E-8</v>
      </c>
      <c r="AP70" s="1">
        <v>3.8316203440986301</v>
      </c>
      <c r="AQ70" s="1">
        <v>3.7143029858975298E-5</v>
      </c>
      <c r="AR70" s="1">
        <v>6.36185740962061E-6</v>
      </c>
      <c r="AS70" s="1">
        <v>17.3728358223897</v>
      </c>
      <c r="AT70" s="1">
        <v>11.2245391335411</v>
      </c>
      <c r="AU70" s="1">
        <v>3.5427887829864599</v>
      </c>
      <c r="AV70" s="1">
        <v>0.28883156111216302</v>
      </c>
      <c r="AW70" s="1">
        <v>7.5374465983126197E-3</v>
      </c>
      <c r="AX70" s="1">
        <v>0.28883155409487599</v>
      </c>
      <c r="AY70" s="1">
        <v>7.0172870292317701E-9</v>
      </c>
      <c r="AZ70" s="1">
        <v>1080577.4158407301</v>
      </c>
      <c r="BA70" s="1">
        <v>9.6938178951320504E-6</v>
      </c>
      <c r="BB70" s="4">
        <v>6499300.73418188</v>
      </c>
      <c r="BC70" s="4">
        <v>45970.363088131002</v>
      </c>
      <c r="BD70" s="7">
        <v>0.71235099467470198</v>
      </c>
      <c r="BE70" s="4">
        <v>6941000</v>
      </c>
      <c r="BF70" s="1">
        <v>0.93636374213829099</v>
      </c>
      <c r="BG70" s="1">
        <v>1</v>
      </c>
      <c r="BH70" s="1">
        <v>-0.14799999999999999</v>
      </c>
      <c r="BI70" s="1">
        <v>4.5999999999999999E-2</v>
      </c>
      <c r="BJ70" s="1">
        <v>5625</v>
      </c>
      <c r="BK70" s="1">
        <v>1.0112037703158501</v>
      </c>
      <c r="BL70" s="1">
        <v>129.13304436149201</v>
      </c>
      <c r="BM70" s="1">
        <v>6.4993007341818796</v>
      </c>
      <c r="BN70" s="1">
        <v>129.13304436149201</v>
      </c>
      <c r="BO70" s="1">
        <v>1.0112037703158501</v>
      </c>
      <c r="BP70" s="1">
        <v>7944.6995971476999</v>
      </c>
      <c r="BQ70" s="1">
        <v>1</v>
      </c>
      <c r="BR70" s="1">
        <v>0.3175</v>
      </c>
    </row>
    <row r="71" spans="1:70">
      <c r="A71" s="2" t="s">
        <v>139</v>
      </c>
      <c r="B71" s="1">
        <v>13789520</v>
      </c>
      <c r="C71" s="1">
        <v>608.621106065763</v>
      </c>
      <c r="D71" s="1">
        <v>85.147893581579396</v>
      </c>
      <c r="E71" s="1">
        <v>624.86627494838604</v>
      </c>
      <c r="F71" s="1">
        <v>2643264.3898665099</v>
      </c>
      <c r="G71" s="1">
        <v>1562686.9740257801</v>
      </c>
      <c r="H71" s="1">
        <v>2.2019594042733499E-5</v>
      </c>
      <c r="I71" s="1">
        <v>7.2223252690249804E-5</v>
      </c>
      <c r="J71" s="1">
        <v>0.49112124879375701</v>
      </c>
      <c r="K71" s="1">
        <v>7679.7516396704104</v>
      </c>
      <c r="L71" s="1">
        <v>6.5036382888884496E-3</v>
      </c>
      <c r="M71" s="1">
        <v>70</v>
      </c>
      <c r="N71" s="1">
        <v>3606.96</v>
      </c>
      <c r="O71" s="3">
        <v>1.7719053836560401E-5</v>
      </c>
      <c r="P71" s="3">
        <v>1.4921936786020801E-2</v>
      </c>
      <c r="Q71" s="3">
        <v>4.7498000000000002E-3</v>
      </c>
      <c r="R71" s="1">
        <v>0.3175</v>
      </c>
      <c r="S71" s="4">
        <v>6592208.49609375</v>
      </c>
      <c r="T71" s="1">
        <v>475.56753850351203</v>
      </c>
      <c r="U71" s="5">
        <v>539.19884361331503</v>
      </c>
      <c r="V71" s="1">
        <v>0.03</v>
      </c>
      <c r="W71" s="3">
        <v>237213.61154248999</v>
      </c>
      <c r="X71" s="1">
        <v>2.4062651639905699E-2</v>
      </c>
      <c r="Y71" s="1">
        <v>6.4465633993775704</v>
      </c>
      <c r="Z71" s="1">
        <v>6.4465634208098503</v>
      </c>
      <c r="AA71" s="1">
        <v>-2.1432279950772701E-8</v>
      </c>
      <c r="AB71" s="1">
        <v>1.24620233863153E-5</v>
      </c>
      <c r="AC71" s="1">
        <v>720.27722797398803</v>
      </c>
      <c r="AD71" s="1">
        <v>6504.8361010318004</v>
      </c>
      <c r="AE71" s="1">
        <v>539.19884361331503</v>
      </c>
      <c r="AF71" s="6">
        <v>0</v>
      </c>
      <c r="AG71" s="1">
        <v>1.2555644729457601E-5</v>
      </c>
      <c r="AH71" s="1">
        <v>62.625190988135998</v>
      </c>
      <c r="AI71" s="1">
        <v>0.31657818786947001</v>
      </c>
      <c r="AJ71" s="1">
        <v>34.3898316172913</v>
      </c>
      <c r="AK71" s="1">
        <v>7.2227461319253399</v>
      </c>
      <c r="AL71" s="1">
        <v>1.1293680422758501</v>
      </c>
      <c r="AM71" s="1">
        <v>608.621106059353</v>
      </c>
      <c r="AN71" s="1">
        <v>6.4103460317710398E-9</v>
      </c>
      <c r="AO71" s="1">
        <v>9.3621343142245103E-8</v>
      </c>
      <c r="AP71" s="1">
        <v>3.8381186890543</v>
      </c>
      <c r="AQ71" s="1">
        <v>3.7017362098716003E-5</v>
      </c>
      <c r="AR71" s="1">
        <v>6.3246330362999102E-6</v>
      </c>
      <c r="AS71" s="1">
        <v>17.323129942440499</v>
      </c>
      <c r="AT71" s="1">
        <v>11.2102129970989</v>
      </c>
      <c r="AU71" s="1">
        <v>3.5489089162523402</v>
      </c>
      <c r="AV71" s="1">
        <v>0.28920977280196197</v>
      </c>
      <c r="AW71" s="1">
        <v>7.4923102997796502E-3</v>
      </c>
      <c r="AX71" s="1">
        <v>0.289209765394697</v>
      </c>
      <c r="AY71" s="1">
        <v>7.40726568970729E-9</v>
      </c>
      <c r="AZ71" s="1">
        <v>1080577.4158407301</v>
      </c>
      <c r="BA71" s="1">
        <v>9.6446632055135794E-6</v>
      </c>
      <c r="BB71" s="4">
        <v>6554367.2696159799</v>
      </c>
      <c r="BC71" s="4">
        <v>-37841.2264777729</v>
      </c>
      <c r="BD71" s="7">
        <v>-0.57402957597891402</v>
      </c>
      <c r="BE71" s="4">
        <v>6215350</v>
      </c>
      <c r="BF71" s="1">
        <v>1.05454516151399</v>
      </c>
      <c r="BG71" s="1">
        <v>1</v>
      </c>
      <c r="BH71" s="1">
        <v>-0.216</v>
      </c>
      <c r="BI71" s="1">
        <v>4.5999999999999999E-2</v>
      </c>
      <c r="BJ71" s="1">
        <v>5625</v>
      </c>
      <c r="BK71" s="1">
        <v>1.0098677275183501</v>
      </c>
      <c r="BL71" s="1">
        <v>133.053567562251</v>
      </c>
      <c r="BM71" s="1">
        <v>6.5543672696159803</v>
      </c>
      <c r="BN71" s="1">
        <v>133.053567562251</v>
      </c>
      <c r="BO71" s="1">
        <v>1.0098677275183501</v>
      </c>
      <c r="BP71" s="1">
        <v>8658.9664360624101</v>
      </c>
      <c r="BQ71" s="1">
        <v>1</v>
      </c>
      <c r="BR71" s="1">
        <v>0.3175</v>
      </c>
    </row>
    <row r="72" spans="1:70">
      <c r="A72" s="2" t="s">
        <v>140</v>
      </c>
      <c r="B72" s="1">
        <v>13789520</v>
      </c>
      <c r="C72" s="1">
        <v>608.621106065763</v>
      </c>
      <c r="D72" s="1">
        <v>85.147893581579396</v>
      </c>
      <c r="E72" s="1">
        <v>624.86627494838604</v>
      </c>
      <c r="F72" s="1">
        <v>2643264.3898665099</v>
      </c>
      <c r="G72" s="1">
        <v>1562686.9740257801</v>
      </c>
      <c r="H72" s="1">
        <v>2.2019594042733499E-5</v>
      </c>
      <c r="I72" s="1">
        <v>7.2223252690249804E-5</v>
      </c>
      <c r="J72" s="1">
        <v>0.49112124879375701</v>
      </c>
      <c r="K72" s="1">
        <v>7679.7516396704104</v>
      </c>
      <c r="L72" s="1">
        <v>6.5036382888884496E-3</v>
      </c>
      <c r="M72" s="1">
        <v>71</v>
      </c>
      <c r="N72" s="1">
        <v>3606.96</v>
      </c>
      <c r="O72" s="3">
        <v>1.7719053836560401E-5</v>
      </c>
      <c r="P72" s="3">
        <v>1.4921936786020801E-2</v>
      </c>
      <c r="Q72" s="3">
        <v>4.7498000000000002E-3</v>
      </c>
      <c r="R72" s="1">
        <v>0.3175</v>
      </c>
      <c r="S72" s="4">
        <v>5709005.37109375</v>
      </c>
      <c r="T72" s="1">
        <v>506.68610815273303</v>
      </c>
      <c r="U72" s="5">
        <v>561.79229341019698</v>
      </c>
      <c r="V72" s="1">
        <v>0.03</v>
      </c>
      <c r="W72" s="3">
        <v>237213.61154248999</v>
      </c>
      <c r="X72" s="1">
        <v>2.4062651639905699E-2</v>
      </c>
      <c r="Y72" s="1">
        <v>6.4465633993775704</v>
      </c>
      <c r="Z72" s="1">
        <v>6.4465634208098503</v>
      </c>
      <c r="AA72" s="1">
        <v>-2.1432279950772701E-8</v>
      </c>
      <c r="AB72" s="1">
        <v>1.24620233863153E-5</v>
      </c>
      <c r="AC72" s="1">
        <v>700.68843737748796</v>
      </c>
      <c r="AD72" s="1">
        <v>6504.8361010318004</v>
      </c>
      <c r="AE72" s="1">
        <v>561.792294440501</v>
      </c>
      <c r="AF72" s="6">
        <v>1.0303035651304501E-6</v>
      </c>
      <c r="AG72" s="1">
        <v>1.2544296840293699E-5</v>
      </c>
      <c r="AH72" s="1">
        <v>62.625190988135998</v>
      </c>
      <c r="AI72" s="1">
        <v>0.31657818786947001</v>
      </c>
      <c r="AJ72" s="1">
        <v>34.358749820540403</v>
      </c>
      <c r="AK72" s="1">
        <v>5.9564688696020003</v>
      </c>
      <c r="AL72" s="1">
        <v>1.1293680422758501</v>
      </c>
      <c r="AM72" s="1">
        <v>608.62110606080296</v>
      </c>
      <c r="AN72" s="1">
        <v>4.9602704166318298E-9</v>
      </c>
      <c r="AO72" s="1">
        <v>8.2273453978340194E-8</v>
      </c>
      <c r="AP72" s="1">
        <v>3.8354753731724802</v>
      </c>
      <c r="AQ72" s="1">
        <v>3.7068402602977098E-5</v>
      </c>
      <c r="AR72" s="1">
        <v>6.3132851471360002E-6</v>
      </c>
      <c r="AS72" s="1">
        <v>17.292048145689598</v>
      </c>
      <c r="AT72" s="1">
        <v>11.201233755384401</v>
      </c>
      <c r="AU72" s="1">
        <v>3.5460662841819199</v>
      </c>
      <c r="AV72" s="1">
        <v>0.289409088990562</v>
      </c>
      <c r="AW72" s="1">
        <v>7.4923102997796502E-3</v>
      </c>
      <c r="AX72" s="1">
        <v>0.28940908169624102</v>
      </c>
      <c r="AY72" s="1">
        <v>7.2943205919884202E-9</v>
      </c>
      <c r="AZ72" s="1">
        <v>1080577.4158407301</v>
      </c>
      <c r="BA72" s="1">
        <v>9.6646175496927499E-6</v>
      </c>
      <c r="BB72" s="4">
        <v>5748016.8108693399</v>
      </c>
      <c r="BC72" s="4">
        <v>39011.439775591702</v>
      </c>
      <c r="BD72" s="7">
        <v>0.68333163554403498</v>
      </c>
      <c r="BE72" s="4">
        <v>6215350</v>
      </c>
      <c r="BF72" s="1">
        <v>0.92480983546692297</v>
      </c>
      <c r="BG72" s="1">
        <v>1</v>
      </c>
      <c r="BH72" s="1">
        <v>-8.5000000000000006E-2</v>
      </c>
      <c r="BI72" s="1">
        <v>4.5999999999999999E-2</v>
      </c>
      <c r="BJ72" s="1">
        <v>5625</v>
      </c>
      <c r="BK72" s="1">
        <v>1.0232590848615899</v>
      </c>
      <c r="BL72" s="1">
        <v>101.93499791303</v>
      </c>
      <c r="BM72" s="1">
        <v>5.7480168108693404</v>
      </c>
      <c r="BN72" s="1">
        <v>101.93499791303</v>
      </c>
      <c r="BO72" s="1">
        <v>1.0232590848615899</v>
      </c>
      <c r="BP72" s="1">
        <v>3835.9439664870301</v>
      </c>
      <c r="BQ72" s="1">
        <v>1</v>
      </c>
      <c r="BR72" s="1">
        <v>0.3175</v>
      </c>
    </row>
    <row r="73" spans="1:70">
      <c r="A73" s="2" t="s">
        <v>141</v>
      </c>
      <c r="B73" s="1">
        <v>13789520</v>
      </c>
      <c r="C73" s="1">
        <v>608.621106065763</v>
      </c>
      <c r="D73" s="1">
        <v>85.147893581579396</v>
      </c>
      <c r="E73" s="1">
        <v>624.86627494838604</v>
      </c>
      <c r="F73" s="1">
        <v>2643264.3898665099</v>
      </c>
      <c r="G73" s="1">
        <v>1562686.9740257801</v>
      </c>
      <c r="H73" s="1">
        <v>2.2019594042733499E-5</v>
      </c>
      <c r="I73" s="1">
        <v>7.2223252690249804E-5</v>
      </c>
      <c r="J73" s="1">
        <v>0.49112124879375701</v>
      </c>
      <c r="K73" s="1">
        <v>7679.7516396704104</v>
      </c>
      <c r="L73" s="1">
        <v>6.5036382888884496E-3</v>
      </c>
      <c r="M73" s="1">
        <v>72</v>
      </c>
      <c r="N73" s="1">
        <v>3647.64</v>
      </c>
      <c r="O73" s="3">
        <v>1.7719053836560401E-5</v>
      </c>
      <c r="P73" s="3">
        <v>1.4921936786020801E-2</v>
      </c>
      <c r="Q73" s="3">
        <v>4.7498000000000002E-3</v>
      </c>
      <c r="R73" s="1">
        <v>0.3175</v>
      </c>
      <c r="S73" s="4">
        <v>8961083.984375</v>
      </c>
      <c r="T73" s="1">
        <v>414.08396642751802</v>
      </c>
      <c r="U73" s="5">
        <v>499.61619749360199</v>
      </c>
      <c r="V73" s="1">
        <v>0.03</v>
      </c>
      <c r="W73" s="3">
        <v>239888.95302605201</v>
      </c>
      <c r="X73" s="1">
        <v>2.3953673772885199E-2</v>
      </c>
      <c r="Y73" s="1">
        <v>6.4612111628115603</v>
      </c>
      <c r="Z73" s="1">
        <v>6.4612111743555198</v>
      </c>
      <c r="AA73" s="1">
        <v>-1.1543957789683601E-8</v>
      </c>
      <c r="AB73" s="1">
        <v>1.22410487732576E-5</v>
      </c>
      <c r="AC73" s="1">
        <v>767.66496938146997</v>
      </c>
      <c r="AD73" s="1">
        <v>6563.2859359548402</v>
      </c>
      <c r="AE73" s="1">
        <v>499.61619749360199</v>
      </c>
      <c r="AF73" s="6">
        <v>0</v>
      </c>
      <c r="AG73" s="1">
        <v>1.23666628760385E-5</v>
      </c>
      <c r="AH73" s="1">
        <v>63.755696846139301</v>
      </c>
      <c r="AI73" s="1">
        <v>0.31942283184416997</v>
      </c>
      <c r="AJ73" s="1">
        <v>34.176573552148902</v>
      </c>
      <c r="AK73" s="1">
        <v>10.298496713095901</v>
      </c>
      <c r="AL73" s="1">
        <v>1.1293680422758501</v>
      </c>
      <c r="AM73" s="1">
        <v>608.62110603850795</v>
      </c>
      <c r="AN73" s="1">
        <v>2.7255168788542499E-8</v>
      </c>
      <c r="AO73" s="1">
        <v>1.2561410278094699E-7</v>
      </c>
      <c r="AP73" s="1">
        <v>3.8649238767673602</v>
      </c>
      <c r="AQ73" s="1">
        <v>3.65056746917766E-5</v>
      </c>
      <c r="AR73" s="1">
        <v>6.2461384894097297E-6</v>
      </c>
      <c r="AS73" s="1">
        <v>17.261860668478299</v>
      </c>
      <c r="AT73" s="1">
        <v>11.1924974109512</v>
      </c>
      <c r="AU73" s="1">
        <v>3.5751392184145598</v>
      </c>
      <c r="AV73" s="1">
        <v>0.28978465835280298</v>
      </c>
      <c r="AW73" s="1">
        <v>7.3594578473263504E-3</v>
      </c>
      <c r="AX73" s="1">
        <v>0.28978464937463799</v>
      </c>
      <c r="AY73" s="1">
        <v>8.9781649337261593E-9</v>
      </c>
      <c r="AZ73" s="1">
        <v>1080577.4158407301</v>
      </c>
      <c r="BA73" s="1">
        <v>9.4453800011994305E-6</v>
      </c>
      <c r="BB73" s="4">
        <v>8979702.2806377504</v>
      </c>
      <c r="BC73" s="4">
        <v>18618.296262750398</v>
      </c>
      <c r="BD73" s="7">
        <v>0.20776834917755699</v>
      </c>
      <c r="BE73" s="4">
        <v>8171450</v>
      </c>
      <c r="BF73" s="1">
        <v>1.0989117330018201</v>
      </c>
      <c r="BG73" s="1">
        <v>1</v>
      </c>
      <c r="BH73" s="1">
        <v>-0.33400000000000002</v>
      </c>
      <c r="BI73" s="1">
        <v>4.5999999999999999E-2</v>
      </c>
      <c r="BJ73" s="1">
        <v>5625</v>
      </c>
      <c r="BK73" s="1">
        <v>1.00065902154413</v>
      </c>
      <c r="BL73" s="1">
        <v>194.53713963824501</v>
      </c>
      <c r="BM73" s="1">
        <v>8.9797022806377491</v>
      </c>
      <c r="BN73" s="1">
        <v>194.53713963824501</v>
      </c>
      <c r="BO73" s="1">
        <v>1.00065902154413</v>
      </c>
      <c r="BP73" s="1">
        <v>23881.727527570401</v>
      </c>
      <c r="BQ73" s="1">
        <v>1</v>
      </c>
      <c r="BR73" s="1">
        <v>0.3175</v>
      </c>
    </row>
    <row r="74" spans="1:70">
      <c r="A74" s="2" t="s">
        <v>142</v>
      </c>
      <c r="B74" s="1">
        <v>13789520</v>
      </c>
      <c r="C74" s="1">
        <v>608.621106065763</v>
      </c>
      <c r="D74" s="1">
        <v>85.147893581579396</v>
      </c>
      <c r="E74" s="1">
        <v>624.86627494838604</v>
      </c>
      <c r="F74" s="1">
        <v>2643264.3898665099</v>
      </c>
      <c r="G74" s="1">
        <v>1562686.9740257801</v>
      </c>
      <c r="H74" s="1">
        <v>2.2019594042733499E-5</v>
      </c>
      <c r="I74" s="1">
        <v>7.2223252690249804E-5</v>
      </c>
      <c r="J74" s="1">
        <v>0.49112124879375701</v>
      </c>
      <c r="K74" s="1">
        <v>7679.7516396704104</v>
      </c>
      <c r="L74" s="1">
        <v>6.5036382888884496E-3</v>
      </c>
      <c r="M74" s="1">
        <v>73</v>
      </c>
      <c r="N74" s="1">
        <v>3647.64</v>
      </c>
      <c r="O74" s="3">
        <v>1.7719053836560401E-5</v>
      </c>
      <c r="P74" s="3">
        <v>1.4921936786020801E-2</v>
      </c>
      <c r="Q74" s="3">
        <v>4.7498000000000002E-3</v>
      </c>
      <c r="R74" s="1">
        <v>0.3175</v>
      </c>
      <c r="S74" s="4">
        <v>8746646.38671875</v>
      </c>
      <c r="T74" s="1">
        <v>419.27906470028603</v>
      </c>
      <c r="U74" s="5">
        <v>502.76452037803898</v>
      </c>
      <c r="V74" s="1">
        <v>0.03</v>
      </c>
      <c r="W74" s="3">
        <v>239888.95302605201</v>
      </c>
      <c r="X74" s="1">
        <v>2.3953673772885199E-2</v>
      </c>
      <c r="Y74" s="1">
        <v>6.4612111628115603</v>
      </c>
      <c r="Z74" s="1">
        <v>6.4612111743555198</v>
      </c>
      <c r="AA74" s="1">
        <v>-1.1543957789683601E-8</v>
      </c>
      <c r="AB74" s="1">
        <v>1.22410487732576E-5</v>
      </c>
      <c r="AC74" s="1">
        <v>763.31474989916103</v>
      </c>
      <c r="AD74" s="1">
        <v>6563.2859359548402</v>
      </c>
      <c r="AE74" s="1">
        <v>502.76452037803898</v>
      </c>
      <c r="AF74" s="6">
        <v>0</v>
      </c>
      <c r="AG74" s="1">
        <v>1.2364566448114401E-5</v>
      </c>
      <c r="AH74" s="1">
        <v>63.755696846139301</v>
      </c>
      <c r="AI74" s="1">
        <v>0.31942283184416997</v>
      </c>
      <c r="AJ74" s="1">
        <v>34.170779853083602</v>
      </c>
      <c r="AK74" s="1">
        <v>10.0170837986203</v>
      </c>
      <c r="AL74" s="1">
        <v>1.1293680422758501</v>
      </c>
      <c r="AM74" s="1">
        <v>608.62110604063696</v>
      </c>
      <c r="AN74" s="1">
        <v>2.51262690653675E-8</v>
      </c>
      <c r="AO74" s="1">
        <v>1.2351767485681699E-7</v>
      </c>
      <c r="AP74" s="1">
        <v>3.8644251373754899</v>
      </c>
      <c r="AQ74" s="1">
        <v>3.6515098081919599E-5</v>
      </c>
      <c r="AR74" s="1">
        <v>6.2440420614855996E-6</v>
      </c>
      <c r="AS74" s="1">
        <v>17.256066969412998</v>
      </c>
      <c r="AT74" s="1">
        <v>11.190818950071201</v>
      </c>
      <c r="AU74" s="1">
        <v>3.57460307968715</v>
      </c>
      <c r="AV74" s="1">
        <v>0.28982205768833902</v>
      </c>
      <c r="AW74" s="1">
        <v>7.3594578473263504E-3</v>
      </c>
      <c r="AX74" s="1">
        <v>0.28982204873280099</v>
      </c>
      <c r="AY74" s="1">
        <v>8.95553819990624E-9</v>
      </c>
      <c r="AZ74" s="1">
        <v>1080577.4158407301</v>
      </c>
      <c r="BA74" s="1">
        <v>9.4490375111054097E-6</v>
      </c>
      <c r="BB74" s="4">
        <v>8826418.3263821099</v>
      </c>
      <c r="BC74" s="4">
        <v>79771.939663359895</v>
      </c>
      <c r="BD74" s="7">
        <v>0.91202886382246695</v>
      </c>
      <c r="BE74" s="4">
        <v>7950600</v>
      </c>
      <c r="BF74" s="1">
        <v>1.11015751344328</v>
      </c>
      <c r="BG74" s="1">
        <v>1</v>
      </c>
      <c r="BH74" s="1">
        <v>-0.32900000000000001</v>
      </c>
      <c r="BI74" s="1">
        <v>4.5999999999999999E-2</v>
      </c>
      <c r="BJ74" s="1">
        <v>5625</v>
      </c>
      <c r="BK74" s="1">
        <v>1.0008725420440601</v>
      </c>
      <c r="BL74" s="1">
        <v>189.342041365477</v>
      </c>
      <c r="BM74" s="1">
        <v>8.8264183263821092</v>
      </c>
      <c r="BN74" s="1">
        <v>189.342041365477</v>
      </c>
      <c r="BO74" s="1">
        <v>1.0008725420440601</v>
      </c>
      <c r="BP74" s="1">
        <v>22303.045319207798</v>
      </c>
      <c r="BQ74" s="1">
        <v>1</v>
      </c>
      <c r="BR74" s="1">
        <v>0.3175</v>
      </c>
    </row>
    <row r="75" spans="1:70">
      <c r="A75" s="2" t="s">
        <v>143</v>
      </c>
      <c r="B75" s="1">
        <v>13789520</v>
      </c>
      <c r="C75" s="1">
        <v>608.621106065763</v>
      </c>
      <c r="D75" s="1">
        <v>85.147893581579396</v>
      </c>
      <c r="E75" s="1">
        <v>624.86627494838604</v>
      </c>
      <c r="F75" s="1">
        <v>2643264.3898665099</v>
      </c>
      <c r="G75" s="1">
        <v>1562686.9740257801</v>
      </c>
      <c r="H75" s="1">
        <v>2.2019594042733499E-5</v>
      </c>
      <c r="I75" s="1">
        <v>7.2223252690249804E-5</v>
      </c>
      <c r="J75" s="1">
        <v>0.49112124879375701</v>
      </c>
      <c r="K75" s="1">
        <v>7679.7516396704104</v>
      </c>
      <c r="L75" s="1">
        <v>6.5036382888884496E-3</v>
      </c>
      <c r="M75" s="1">
        <v>74</v>
      </c>
      <c r="N75" s="1">
        <v>3701.88</v>
      </c>
      <c r="O75" s="3">
        <v>1.7719053836560401E-5</v>
      </c>
      <c r="P75" s="3">
        <v>1.4921936786020801E-2</v>
      </c>
      <c r="Q75" s="3">
        <v>4.7498000000000002E-3</v>
      </c>
      <c r="R75" s="1">
        <v>0.3175</v>
      </c>
      <c r="S75" s="4">
        <v>1800099.34765625</v>
      </c>
      <c r="T75" s="1">
        <v>602.76785429697395</v>
      </c>
      <c r="U75" s="5">
        <v>619.69779201440997</v>
      </c>
      <c r="V75" s="1">
        <v>0.03</v>
      </c>
      <c r="W75" s="3">
        <v>243456.07500413401</v>
      </c>
      <c r="X75" s="1">
        <v>2.38113586163918E-2</v>
      </c>
      <c r="Y75" s="1">
        <v>6.4804910037808199</v>
      </c>
      <c r="Z75" s="1">
        <v>6.4804910224067402</v>
      </c>
      <c r="AA75" s="1">
        <v>-1.8625915920722501E-8</v>
      </c>
      <c r="AB75" s="1">
        <v>1.1955998419780099E-5</v>
      </c>
      <c r="AC75" s="1">
        <v>626.35489008827994</v>
      </c>
      <c r="AD75" s="1">
        <v>6641.0647532744497</v>
      </c>
      <c r="AE75" s="1">
        <v>619.69779228781204</v>
      </c>
      <c r="AF75" s="6">
        <v>2.7340240649209601E-7</v>
      </c>
      <c r="AG75" s="1">
        <v>1.19811231663311E-5</v>
      </c>
      <c r="AH75" s="1">
        <v>65.275735849501004</v>
      </c>
      <c r="AI75" s="1">
        <v>0.32320818118414202</v>
      </c>
      <c r="AJ75" s="1">
        <v>33.503480047396401</v>
      </c>
      <c r="AK75" s="1">
        <v>1.15201734482358</v>
      </c>
      <c r="AL75" s="1">
        <v>1.1293680422758501</v>
      </c>
      <c r="AM75" s="1">
        <v>608.62110606200497</v>
      </c>
      <c r="AN75" s="1">
        <v>3.7581457945634603E-9</v>
      </c>
      <c r="AO75" s="1">
        <v>2.5124746551083599E-8</v>
      </c>
      <c r="AP75" s="1">
        <v>3.86558384242216</v>
      </c>
      <c r="AQ75" s="1">
        <v>3.6493210631574903E-5</v>
      </c>
      <c r="AR75" s="1">
        <v>6.0031239564411096E-6</v>
      </c>
      <c r="AS75" s="1">
        <v>16.786868885704099</v>
      </c>
      <c r="AT75" s="1">
        <v>11.0529848342179</v>
      </c>
      <c r="AU75" s="1">
        <v>3.5724151249234799</v>
      </c>
      <c r="AV75" s="1">
        <v>0.29316871749867901</v>
      </c>
      <c r="AW75" s="1">
        <v>7.1880823304371301E-3</v>
      </c>
      <c r="AX75" s="1">
        <v>0.29316870791071897</v>
      </c>
      <c r="AY75" s="1">
        <v>9.5879597594716903E-9</v>
      </c>
      <c r="AZ75" s="1">
        <v>1080577.4158407301</v>
      </c>
      <c r="BA75" s="1">
        <v>9.4405430380494194E-6</v>
      </c>
      <c r="BB75" s="4">
        <v>1796998.37843932</v>
      </c>
      <c r="BC75" s="4">
        <v>-3100.9692169320801</v>
      </c>
      <c r="BD75" s="7">
        <v>-0.17226655967458501</v>
      </c>
      <c r="BE75" s="4">
        <v>2508225</v>
      </c>
      <c r="BF75" s="1">
        <v>0.71644225635232806</v>
      </c>
      <c r="BG75" s="1">
        <v>1</v>
      </c>
      <c r="BH75" s="1">
        <v>0.13</v>
      </c>
      <c r="BI75" s="1">
        <v>4.5999999999999999E-2</v>
      </c>
      <c r="BJ75" s="1">
        <v>5625</v>
      </c>
      <c r="BK75" s="1">
        <v>1.03738809857523</v>
      </c>
      <c r="BL75" s="1">
        <v>5.8532517687890504</v>
      </c>
      <c r="BM75" s="1">
        <v>1.79699837843932</v>
      </c>
      <c r="BN75" s="1">
        <v>5.8532517687890504</v>
      </c>
      <c r="BO75" s="1">
        <v>1.03738809857523</v>
      </c>
      <c r="BP75" s="1">
        <v>1166.00041476571</v>
      </c>
      <c r="BQ75" s="1">
        <v>1</v>
      </c>
      <c r="BR75" s="1">
        <v>0.3175</v>
      </c>
    </row>
    <row r="76" spans="1:70">
      <c r="A76" s="2" t="s">
        <v>144</v>
      </c>
      <c r="B76" s="1">
        <v>13789520</v>
      </c>
      <c r="C76" s="1">
        <v>608.621106065763</v>
      </c>
      <c r="D76" s="1">
        <v>85.147893581579396</v>
      </c>
      <c r="E76" s="1">
        <v>624.86627494838604</v>
      </c>
      <c r="F76" s="1">
        <v>2643264.3898665099</v>
      </c>
      <c r="G76" s="1">
        <v>1562686.9740257801</v>
      </c>
      <c r="H76" s="1">
        <v>2.2019594042733499E-5</v>
      </c>
      <c r="I76" s="1">
        <v>7.2223252690249804E-5</v>
      </c>
      <c r="J76" s="1">
        <v>0.49112124879375701</v>
      </c>
      <c r="K76" s="1">
        <v>7679.7516396704104</v>
      </c>
      <c r="L76" s="1">
        <v>6.5036382888884496E-3</v>
      </c>
      <c r="M76" s="1">
        <v>75</v>
      </c>
      <c r="N76" s="1">
        <v>3769.68</v>
      </c>
      <c r="O76" s="3">
        <v>1.7719053836560401E-5</v>
      </c>
      <c r="P76" s="3">
        <v>1.4921936786020801E-2</v>
      </c>
      <c r="Q76" s="3">
        <v>4.7498000000000002E-3</v>
      </c>
      <c r="R76" s="1">
        <v>0.3175</v>
      </c>
      <c r="S76" s="4">
        <v>1884253.72734375</v>
      </c>
      <c r="T76" s="1">
        <v>601.93187912108897</v>
      </c>
      <c r="U76" s="5">
        <v>619.33455854386705</v>
      </c>
      <c r="V76" s="1">
        <v>0.03</v>
      </c>
      <c r="W76" s="3">
        <v>247914.977476737</v>
      </c>
      <c r="X76" s="1">
        <v>2.3638084170766901E-2</v>
      </c>
      <c r="Y76" s="1">
        <v>6.5041996338577102</v>
      </c>
      <c r="Z76" s="1">
        <v>6.50419964825935</v>
      </c>
      <c r="AA76" s="1">
        <v>-1.4401643433359399E-8</v>
      </c>
      <c r="AB76" s="1">
        <v>1.1614311032901801E-5</v>
      </c>
      <c r="AC76" s="1">
        <v>627.08753358073398</v>
      </c>
      <c r="AD76" s="1">
        <v>6738.0450939333195</v>
      </c>
      <c r="AE76" s="1">
        <v>619.33455854386705</v>
      </c>
      <c r="AF76" s="6">
        <v>0</v>
      </c>
      <c r="AG76" s="1">
        <v>1.16402749654117E-5</v>
      </c>
      <c r="AH76" s="1">
        <v>67.196116278937197</v>
      </c>
      <c r="AI76" s="1">
        <v>0.32792803269583198</v>
      </c>
      <c r="AJ76" s="1">
        <v>33.025684291013299</v>
      </c>
      <c r="AK76" s="1">
        <v>1.20241605319262</v>
      </c>
      <c r="AL76" s="1">
        <v>1.1293680422758501</v>
      </c>
      <c r="AM76" s="1">
        <v>608.62110606104602</v>
      </c>
      <c r="AN76" s="1">
        <v>4.7167532102321299E-9</v>
      </c>
      <c r="AO76" s="1">
        <v>2.5963932509908201E-8</v>
      </c>
      <c r="AP76" s="1">
        <v>3.8963516805844698</v>
      </c>
      <c r="AQ76" s="1">
        <v>3.59191433580826E-5</v>
      </c>
      <c r="AR76" s="1">
        <v>5.8331194489608296E-6</v>
      </c>
      <c r="AS76" s="1">
        <v>16.549674464355299</v>
      </c>
      <c r="AT76" s="1">
        <v>10.9818321590107</v>
      </c>
      <c r="AU76" s="1">
        <v>3.6012506153002102</v>
      </c>
      <c r="AV76" s="1">
        <v>0.295101065284264</v>
      </c>
      <c r="AW76" s="1">
        <v>6.9826559844375097E-3</v>
      </c>
      <c r="AX76" s="1">
        <v>0.295101053318642</v>
      </c>
      <c r="AY76" s="1">
        <v>1.19656214381259E-8</v>
      </c>
      <c r="AZ76" s="1">
        <v>1080577.4158407301</v>
      </c>
      <c r="BA76" s="1">
        <v>9.2186605067165094E-6</v>
      </c>
      <c r="BB76" s="4">
        <v>1901715.83250496</v>
      </c>
      <c r="BC76" s="4">
        <v>17462.105161209402</v>
      </c>
      <c r="BD76" s="7">
        <v>0.92673852293904402</v>
      </c>
      <c r="BE76" s="4">
        <v>2637580</v>
      </c>
      <c r="BF76" s="1">
        <v>0.72100783009613301</v>
      </c>
      <c r="BG76" s="1">
        <v>1</v>
      </c>
      <c r="BH76" s="1">
        <v>0.13</v>
      </c>
      <c r="BI76" s="1">
        <v>4.5999999999999999E-2</v>
      </c>
      <c r="BJ76" s="1">
        <v>5625</v>
      </c>
      <c r="BK76" s="1">
        <v>1.03776481401221</v>
      </c>
      <c r="BL76" s="1">
        <v>6.6892269446740302</v>
      </c>
      <c r="BM76" s="1">
        <v>1.9017158325049599</v>
      </c>
      <c r="BN76" s="1">
        <v>6.6892269446740302</v>
      </c>
      <c r="BO76" s="1">
        <v>1.03776481401221</v>
      </c>
      <c r="BP76" s="1">
        <v>1109.6076015434301</v>
      </c>
      <c r="BQ76" s="1">
        <v>1</v>
      </c>
      <c r="BR76" s="1">
        <v>0.3175</v>
      </c>
    </row>
    <row r="77" spans="1:70">
      <c r="A77" s="2" t="s">
        <v>145</v>
      </c>
      <c r="B77" s="1">
        <v>13789520</v>
      </c>
      <c r="C77" s="1">
        <v>608.621106065763</v>
      </c>
      <c r="D77" s="1">
        <v>85.147893581579396</v>
      </c>
      <c r="E77" s="1">
        <v>624.86627494838604</v>
      </c>
      <c r="F77" s="1">
        <v>2643264.3898665099</v>
      </c>
      <c r="G77" s="1">
        <v>1562686.9740257801</v>
      </c>
      <c r="H77" s="1">
        <v>2.2019594042733499E-5</v>
      </c>
      <c r="I77" s="1">
        <v>7.2223252690249804E-5</v>
      </c>
      <c r="J77" s="1">
        <v>0.49112124879375701</v>
      </c>
      <c r="K77" s="1">
        <v>7679.7516396704104</v>
      </c>
      <c r="L77" s="1">
        <v>6.5036382888884496E-3</v>
      </c>
      <c r="M77" s="1">
        <v>76</v>
      </c>
      <c r="N77" s="1">
        <v>3783.24</v>
      </c>
      <c r="O77" s="3">
        <v>1.7719053836560401E-5</v>
      </c>
      <c r="P77" s="3">
        <v>1.4921936786020801E-2</v>
      </c>
      <c r="Q77" s="3">
        <v>4.7498000000000002E-3</v>
      </c>
      <c r="R77" s="1">
        <v>0.3175</v>
      </c>
      <c r="S77" s="4">
        <v>11639746.09375</v>
      </c>
      <c r="T77" s="1">
        <v>357.53101423134598</v>
      </c>
      <c r="U77" s="5">
        <v>464.64861493977298</v>
      </c>
      <c r="V77" s="1">
        <v>0.03</v>
      </c>
      <c r="W77" s="3">
        <v>248806.75797125799</v>
      </c>
      <c r="X77" s="1">
        <v>2.3604025735671399E-2</v>
      </c>
      <c r="Y77" s="1">
        <v>6.5088904228757496</v>
      </c>
      <c r="Z77" s="1">
        <v>6.5088904394100497</v>
      </c>
      <c r="AA77" s="1">
        <v>-1.65342939340007E-8</v>
      </c>
      <c r="AB77" s="1">
        <v>1.1547841993175801E-5</v>
      </c>
      <c r="AC77" s="1">
        <v>814.18000914639003</v>
      </c>
      <c r="AD77" s="1">
        <v>6757.4092639581604</v>
      </c>
      <c r="AE77" s="1">
        <v>464.64861493977298</v>
      </c>
      <c r="AF77" s="6">
        <v>0</v>
      </c>
      <c r="AG77" s="1">
        <v>1.17027570294109E-5</v>
      </c>
      <c r="AH77" s="1">
        <v>67.582895152861596</v>
      </c>
      <c r="AI77" s="1">
        <v>0.32887045057705899</v>
      </c>
      <c r="AJ77" s="1">
        <v>33.298378358832998</v>
      </c>
      <c r="AK77" s="1">
        <v>13.3667928058463</v>
      </c>
      <c r="AL77" s="1">
        <v>1.1293680422758501</v>
      </c>
      <c r="AM77" s="1">
        <v>608.62110605989699</v>
      </c>
      <c r="AN77" s="1">
        <v>5.8655587054090599E-9</v>
      </c>
      <c r="AO77" s="1">
        <v>1.5491503623503601E-7</v>
      </c>
      <c r="AP77" s="1">
        <v>3.9360468802639401</v>
      </c>
      <c r="AQ77" s="1">
        <v>3.5198304457655102E-5</v>
      </c>
      <c r="AR77" s="1">
        <v>5.9288360328229503E-6</v>
      </c>
      <c r="AS77" s="1">
        <v>16.8695825225006</v>
      </c>
      <c r="AT77" s="1">
        <v>11.0775607475597</v>
      </c>
      <c r="AU77" s="1">
        <v>3.6430823943446899</v>
      </c>
      <c r="AV77" s="1">
        <v>0.29296448591924901</v>
      </c>
      <c r="AW77" s="1">
        <v>6.94269404121869E-3</v>
      </c>
      <c r="AX77" s="1">
        <v>0.29296447165792899</v>
      </c>
      <c r="AY77" s="1">
        <v>1.42613202913644E-8</v>
      </c>
      <c r="AZ77" s="1">
        <v>1080577.4158407301</v>
      </c>
      <c r="BA77" s="1">
        <v>8.9425521413746101E-6</v>
      </c>
      <c r="BB77" s="4">
        <v>11697015.4646846</v>
      </c>
      <c r="BC77" s="4">
        <v>57269.370934644699</v>
      </c>
      <c r="BD77" s="7">
        <v>0.492015637397758</v>
      </c>
      <c r="BE77" s="4">
        <v>9969800</v>
      </c>
      <c r="BF77" s="1">
        <v>1.17324474560018</v>
      </c>
      <c r="BG77" s="1">
        <v>1</v>
      </c>
      <c r="BH77" s="1">
        <v>-0.45700000000000002</v>
      </c>
      <c r="BI77" s="1">
        <v>4.5999999999999999E-2</v>
      </c>
      <c r="BJ77" s="1">
        <v>5625</v>
      </c>
      <c r="BK77" s="1">
        <v>1.00001668970227</v>
      </c>
      <c r="BL77" s="1">
        <v>251.090091834417</v>
      </c>
      <c r="BM77" s="1">
        <v>11.697015464684601</v>
      </c>
      <c r="BN77" s="1">
        <v>251.090091834417</v>
      </c>
      <c r="BO77" s="1">
        <v>1.00001668970227</v>
      </c>
      <c r="BP77" s="1">
        <v>44559.026870662601</v>
      </c>
      <c r="BQ77" s="1">
        <v>1</v>
      </c>
      <c r="BR77" s="1">
        <v>0.3175</v>
      </c>
    </row>
    <row r="78" spans="1:70">
      <c r="A78" s="2" t="s">
        <v>146</v>
      </c>
      <c r="B78" s="1">
        <v>13789520</v>
      </c>
      <c r="C78" s="1">
        <v>608.621106065763</v>
      </c>
      <c r="D78" s="1">
        <v>85.147893581579396</v>
      </c>
      <c r="E78" s="1">
        <v>624.86627494838604</v>
      </c>
      <c r="F78" s="1">
        <v>2643264.3898665099</v>
      </c>
      <c r="G78" s="1">
        <v>1562686.9740257801</v>
      </c>
      <c r="H78" s="1">
        <v>2.2019594042733499E-5</v>
      </c>
      <c r="I78" s="1">
        <v>7.2223252690249804E-5</v>
      </c>
      <c r="J78" s="1">
        <v>0.49112124879375701</v>
      </c>
      <c r="K78" s="1">
        <v>7679.7516396704104</v>
      </c>
      <c r="L78" s="1">
        <v>6.5036382888884496E-3</v>
      </c>
      <c r="M78" s="1">
        <v>77</v>
      </c>
      <c r="N78" s="1">
        <v>3905.28</v>
      </c>
      <c r="O78" s="3">
        <v>1.7719053836560401E-5</v>
      </c>
      <c r="P78" s="3">
        <v>1.4921936786020801E-2</v>
      </c>
      <c r="Q78" s="3">
        <v>4.7498000000000002E-3</v>
      </c>
      <c r="R78" s="1">
        <v>0.3175</v>
      </c>
      <c r="S78" s="4">
        <v>2845917.6351562501</v>
      </c>
      <c r="T78" s="1">
        <v>588.56034428011105</v>
      </c>
      <c r="U78" s="5">
        <v>613.93214969667804</v>
      </c>
      <c r="V78" s="1">
        <v>0.03</v>
      </c>
      <c r="W78" s="3">
        <v>256832.78242194399</v>
      </c>
      <c r="X78" s="1">
        <v>2.33060340740632E-2</v>
      </c>
      <c r="Y78" s="1">
        <v>6.5503696908217401</v>
      </c>
      <c r="Z78" s="1">
        <v>6.5503697070469604</v>
      </c>
      <c r="AA78" s="1">
        <v>-1.6225222054799798E-8</v>
      </c>
      <c r="AB78" s="1">
        <v>1.0975946116808E-5</v>
      </c>
      <c r="AC78" s="1">
        <v>639.55468506097804</v>
      </c>
      <c r="AD78" s="1">
        <v>6931.2195591048803</v>
      </c>
      <c r="AE78" s="1">
        <v>613.932150109178</v>
      </c>
      <c r="AF78" s="6">
        <v>4.12500298807572E-7</v>
      </c>
      <c r="AG78" s="1">
        <v>1.1012881044473499E-5</v>
      </c>
      <c r="AH78" s="1">
        <v>71.104266216421294</v>
      </c>
      <c r="AI78" s="1">
        <v>0.33732947205215402</v>
      </c>
      <c r="AJ78" s="1">
        <v>32.141436059434099</v>
      </c>
      <c r="AK78" s="1">
        <v>2.02313546618675</v>
      </c>
      <c r="AL78" s="1">
        <v>1.1293680422758501</v>
      </c>
      <c r="AM78" s="1">
        <v>608.62110606525198</v>
      </c>
      <c r="AN78" s="1">
        <v>5.1136339607182901E-10</v>
      </c>
      <c r="AO78" s="1">
        <v>3.6934927665463599E-8</v>
      </c>
      <c r="AP78" s="1">
        <v>3.9593420467187999</v>
      </c>
      <c r="AQ78" s="1">
        <v>3.4785337745733297E-5</v>
      </c>
      <c r="AR78" s="1">
        <v>5.5249079860694899E-6</v>
      </c>
      <c r="AS78" s="1">
        <v>16.1246158976376</v>
      </c>
      <c r="AT78" s="1">
        <v>10.8517352104829</v>
      </c>
      <c r="AU78" s="1">
        <v>3.6606101094019801</v>
      </c>
      <c r="AV78" s="1">
        <v>0.29873193731682102</v>
      </c>
      <c r="AW78" s="1">
        <v>6.5988637311570697E-3</v>
      </c>
      <c r="AX78" s="1">
        <v>0.29873191961249601</v>
      </c>
      <c r="AY78" s="1">
        <v>1.7704324728473598E-8</v>
      </c>
      <c r="AZ78" s="1">
        <v>1080577.4158407301</v>
      </c>
      <c r="BA78" s="1">
        <v>8.7856359302325807E-6</v>
      </c>
      <c r="BB78" s="4">
        <v>2838618.4589116401</v>
      </c>
      <c r="BC78" s="4">
        <v>-7299.1762446071998</v>
      </c>
      <c r="BD78" s="7">
        <v>-0.25647882969060198</v>
      </c>
      <c r="BE78" s="4">
        <v>3344300</v>
      </c>
      <c r="BF78" s="1">
        <v>0.848793008674952</v>
      </c>
      <c r="BG78" s="1">
        <v>1</v>
      </c>
      <c r="BH78" s="1">
        <v>8.8999999999999996E-2</v>
      </c>
      <c r="BI78" s="1">
        <v>4.5999999999999999E-2</v>
      </c>
      <c r="BJ78" s="1">
        <v>5625</v>
      </c>
      <c r="BK78" s="1">
        <v>1.0428609739097201</v>
      </c>
      <c r="BL78" s="1">
        <v>20.060761785651898</v>
      </c>
      <c r="BM78" s="1">
        <v>2.8386184589116401</v>
      </c>
      <c r="BN78" s="1">
        <v>20.060761785651898</v>
      </c>
      <c r="BO78" s="1">
        <v>1.0428609739097201</v>
      </c>
      <c r="BP78" s="1">
        <v>397.57322056851802</v>
      </c>
      <c r="BQ78" s="1">
        <v>1</v>
      </c>
      <c r="BR78" s="1">
        <v>0.3175</v>
      </c>
    </row>
    <row r="79" spans="1:70">
      <c r="A79" s="2" t="s">
        <v>147</v>
      </c>
      <c r="B79" s="1">
        <v>13789520</v>
      </c>
      <c r="C79" s="1">
        <v>608.621106065763</v>
      </c>
      <c r="D79" s="1">
        <v>85.147893581579396</v>
      </c>
      <c r="E79" s="1">
        <v>624.86627494838604</v>
      </c>
      <c r="F79" s="1">
        <v>2643264.3898665099</v>
      </c>
      <c r="G79" s="1">
        <v>1562686.9740257801</v>
      </c>
      <c r="H79" s="1">
        <v>2.2019594042733499E-5</v>
      </c>
      <c r="I79" s="1">
        <v>7.2223252690249804E-5</v>
      </c>
      <c r="J79" s="1">
        <v>0.49112124879375701</v>
      </c>
      <c r="K79" s="1">
        <v>7679.7516396704104</v>
      </c>
      <c r="L79" s="1">
        <v>6.5036382888884496E-3</v>
      </c>
      <c r="M79" s="1">
        <v>78</v>
      </c>
      <c r="N79" s="1">
        <v>3973.08</v>
      </c>
      <c r="O79" s="3">
        <v>1.7719053836560401E-5</v>
      </c>
      <c r="P79" s="3">
        <v>1.4921936786020801E-2</v>
      </c>
      <c r="Q79" s="3">
        <v>4.7498000000000002E-3</v>
      </c>
      <c r="R79" s="1">
        <v>0.3175</v>
      </c>
      <c r="S79" s="4">
        <v>2905594.00390625</v>
      </c>
      <c r="T79" s="1">
        <v>588.17556002646495</v>
      </c>
      <c r="U79" s="5">
        <v>613.63734482525194</v>
      </c>
      <c r="V79" s="1">
        <v>0.03</v>
      </c>
      <c r="W79" s="3">
        <v>261291.68489454701</v>
      </c>
      <c r="X79" s="1">
        <v>2.3146820560291399E-2</v>
      </c>
      <c r="Y79" s="1">
        <v>6.5728591754018701</v>
      </c>
      <c r="Z79" s="1">
        <v>6.5728591860058199</v>
      </c>
      <c r="AA79" s="1">
        <v>-1.0603954159194E-8</v>
      </c>
      <c r="AB79" s="1">
        <v>1.06774791808225E-5</v>
      </c>
      <c r="AC79" s="1">
        <v>639.82020102577599</v>
      </c>
      <c r="AD79" s="1">
        <v>7027.4258631631301</v>
      </c>
      <c r="AE79" s="1">
        <v>613.63734524056702</v>
      </c>
      <c r="AF79" s="6">
        <v>4.1531529859639699E-7</v>
      </c>
      <c r="AG79" s="1">
        <v>1.07145300527617E-5</v>
      </c>
      <c r="AH79" s="1">
        <v>73.091839510990198</v>
      </c>
      <c r="AI79" s="1">
        <v>0.34201165265245398</v>
      </c>
      <c r="AJ79" s="1">
        <v>31.704730980005898</v>
      </c>
      <c r="AK79" s="1">
        <v>2.04507529334722</v>
      </c>
      <c r="AL79" s="1">
        <v>1.1293680422758501</v>
      </c>
      <c r="AM79" s="1">
        <v>608.62110606550402</v>
      </c>
      <c r="AN79" s="1">
        <v>2.5931967684300601E-10</v>
      </c>
      <c r="AO79" s="1">
        <v>3.7050871939197101E-8</v>
      </c>
      <c r="AP79" s="1">
        <v>3.98884207819337</v>
      </c>
      <c r="AQ79" s="1">
        <v>3.4272720824434897E-5</v>
      </c>
      <c r="AR79" s="1">
        <v>5.37579046235043E-6</v>
      </c>
      <c r="AS79" s="1">
        <v>15.9071830098392</v>
      </c>
      <c r="AT79" s="1">
        <v>10.7838538441887</v>
      </c>
      <c r="AU79" s="1">
        <v>3.6882036752134799</v>
      </c>
      <c r="AV79" s="1">
        <v>0.30063840297988997</v>
      </c>
      <c r="AW79" s="1">
        <v>6.4194220121594897E-3</v>
      </c>
      <c r="AX79" s="1">
        <v>0.30063838207624799</v>
      </c>
      <c r="AY79" s="1">
        <v>2.0903641817504599E-8</v>
      </c>
      <c r="AZ79" s="1">
        <v>1080577.4158407301</v>
      </c>
      <c r="BA79" s="1">
        <v>8.5921478345308906E-6</v>
      </c>
      <c r="BB79" s="4">
        <v>2911653.3234708202</v>
      </c>
      <c r="BC79" s="4">
        <v>6059.3195645669502</v>
      </c>
      <c r="BD79" s="7">
        <v>0.208539787610412</v>
      </c>
      <c r="BE79" s="4">
        <v>3129760</v>
      </c>
      <c r="BF79" s="1">
        <v>0.93031201225359705</v>
      </c>
      <c r="BG79" s="1">
        <v>1</v>
      </c>
      <c r="BH79" s="1">
        <v>7.1999999999999995E-2</v>
      </c>
      <c r="BI79" s="1">
        <v>4.5999999999999999E-2</v>
      </c>
      <c r="BJ79" s="1">
        <v>5625</v>
      </c>
      <c r="BK79" s="1">
        <v>1.0429769240598901</v>
      </c>
      <c r="BL79" s="1">
        <v>20.445546039298101</v>
      </c>
      <c r="BM79" s="1">
        <v>2.9116533234708202</v>
      </c>
      <c r="BN79" s="1">
        <v>20.445546039298101</v>
      </c>
      <c r="BO79" s="1">
        <v>1.0429769240598901</v>
      </c>
      <c r="BP79" s="1">
        <v>382.37666970121199</v>
      </c>
      <c r="BQ79" s="1">
        <v>1</v>
      </c>
      <c r="BR79" s="1">
        <v>0.3175</v>
      </c>
    </row>
    <row r="80" spans="1:70">
      <c r="A80" s="2" t="s">
        <v>148</v>
      </c>
      <c r="B80" s="1">
        <v>13789520</v>
      </c>
      <c r="C80" s="1">
        <v>608.621106065763</v>
      </c>
      <c r="D80" s="1">
        <v>85.147893581579396</v>
      </c>
      <c r="E80" s="1">
        <v>624.86627494838604</v>
      </c>
      <c r="F80" s="1">
        <v>2643264.3898665099</v>
      </c>
      <c r="G80" s="1">
        <v>1562686.9740257801</v>
      </c>
      <c r="H80" s="1">
        <v>2.2019594042733499E-5</v>
      </c>
      <c r="I80" s="1">
        <v>7.2223252690249804E-5</v>
      </c>
      <c r="J80" s="1">
        <v>0.49112124879375701</v>
      </c>
      <c r="K80" s="1">
        <v>7679.7516396704104</v>
      </c>
      <c r="L80" s="1">
        <v>6.5036382888884496E-3</v>
      </c>
      <c r="M80" s="1">
        <v>79</v>
      </c>
      <c r="N80" s="1">
        <v>2766.24</v>
      </c>
      <c r="O80" s="3">
        <v>4.7446061512773302E-5</v>
      </c>
      <c r="P80" s="3">
        <v>2.44177147407613E-2</v>
      </c>
      <c r="Q80" s="3">
        <v>7.7723999999999996E-3</v>
      </c>
      <c r="R80" s="1">
        <v>0.59055000000000002</v>
      </c>
      <c r="S80" s="4">
        <v>2094230.21484375</v>
      </c>
      <c r="T80" s="1">
        <v>584.781818283598</v>
      </c>
      <c r="U80" s="5">
        <v>614.74230821581205</v>
      </c>
      <c r="V80" s="1">
        <v>0.03</v>
      </c>
      <c r="W80" s="3">
        <v>297692.54326179798</v>
      </c>
      <c r="X80" s="1">
        <v>2.41208123571655E-2</v>
      </c>
      <c r="Y80" s="1">
        <v>6.4387866497231201</v>
      </c>
      <c r="Z80" s="1">
        <v>6.4387866773748099</v>
      </c>
      <c r="AA80" s="1">
        <v>-2.76516951558392E-8</v>
      </c>
      <c r="AB80" s="1">
        <v>2.11369857143727E-5</v>
      </c>
      <c r="AC80" s="1">
        <v>642.43728194641199</v>
      </c>
      <c r="AD80" s="1">
        <v>8173.1398903448398</v>
      </c>
      <c r="AE80" s="1">
        <v>614.74230821581295</v>
      </c>
      <c r="AF80" s="6">
        <v>0</v>
      </c>
      <c r="AG80" s="1">
        <v>2.1184351476232598E-5</v>
      </c>
      <c r="AH80" s="1">
        <v>36.922795199503497</v>
      </c>
      <c r="AI80" s="1">
        <v>0.24308252720246501</v>
      </c>
      <c r="AJ80" s="1">
        <v>44.553205728342</v>
      </c>
      <c r="AK80" s="1">
        <v>2.0995665976791602</v>
      </c>
      <c r="AL80" s="1">
        <v>1.1293680422758501</v>
      </c>
      <c r="AM80" s="1">
        <v>608.62110602655002</v>
      </c>
      <c r="AN80" s="1">
        <v>3.9212750380102099E-8</v>
      </c>
      <c r="AO80" s="1">
        <v>4.7365761859928602E-8</v>
      </c>
      <c r="AP80" s="1">
        <v>3.29227634404675</v>
      </c>
      <c r="AQ80" s="1">
        <v>5.0309465751330097E-5</v>
      </c>
      <c r="AR80" s="1">
        <v>1.0615858619046301E-5</v>
      </c>
      <c r="AS80" s="1">
        <v>22.326410773914901</v>
      </c>
      <c r="AT80" s="1">
        <v>12.478851586632899</v>
      </c>
      <c r="AU80" s="1">
        <v>3.0333907802632201</v>
      </c>
      <c r="AV80" s="1">
        <v>0.25888556378353</v>
      </c>
      <c r="AW80" s="1">
        <v>1.2707796387863599E-2</v>
      </c>
      <c r="AX80" s="1">
        <v>0.25888555946154201</v>
      </c>
      <c r="AY80" s="1">
        <v>4.32198798971939E-9</v>
      </c>
      <c r="AZ80" s="1">
        <v>1080577.4158407301</v>
      </c>
      <c r="BA80" s="1">
        <v>1.52810579957245E-5</v>
      </c>
      <c r="BB80" s="4">
        <v>2092926.9745094201</v>
      </c>
      <c r="BC80" s="4">
        <v>-1303.2403343326901</v>
      </c>
      <c r="BD80" s="7">
        <v>-6.22300416208025E-2</v>
      </c>
      <c r="BE80" s="4">
        <v>2236895</v>
      </c>
      <c r="BF80" s="1">
        <v>0.93563934583850294</v>
      </c>
      <c r="BG80" s="1">
        <v>1</v>
      </c>
      <c r="BH80" s="1">
        <v>8.3000000000000004E-2</v>
      </c>
      <c r="BI80" s="1">
        <v>4.5999999999999999E-2</v>
      </c>
      <c r="BJ80" s="1">
        <v>5625</v>
      </c>
      <c r="BK80" s="1">
        <v>1.04391304461135</v>
      </c>
      <c r="BL80" s="1">
        <v>23.839287782165002</v>
      </c>
      <c r="BM80" s="1">
        <v>2.0929269745094201</v>
      </c>
      <c r="BN80" s="1">
        <v>23.839287782165002</v>
      </c>
      <c r="BO80" s="1">
        <v>1.04391304461135</v>
      </c>
      <c r="BP80" s="1">
        <v>261.16861938768102</v>
      </c>
      <c r="BQ80" s="1">
        <v>1</v>
      </c>
      <c r="BR80" s="1">
        <v>0.59055000000000002</v>
      </c>
    </row>
    <row r="81" spans="1:70">
      <c r="A81" s="2" t="s">
        <v>149</v>
      </c>
      <c r="B81" s="1">
        <v>13789520</v>
      </c>
      <c r="C81" s="1">
        <v>608.621106065763</v>
      </c>
      <c r="D81" s="1">
        <v>85.147893581579396</v>
      </c>
      <c r="E81" s="1">
        <v>624.86627494838604</v>
      </c>
      <c r="F81" s="1">
        <v>2643264.3898665099</v>
      </c>
      <c r="G81" s="1">
        <v>1562686.9740257801</v>
      </c>
      <c r="H81" s="1">
        <v>2.2019594042733499E-5</v>
      </c>
      <c r="I81" s="1">
        <v>7.2223252690249804E-5</v>
      </c>
      <c r="J81" s="1">
        <v>0.49112124879375701</v>
      </c>
      <c r="K81" s="1">
        <v>7679.7516396704104</v>
      </c>
      <c r="L81" s="1">
        <v>6.5036382888884496E-3</v>
      </c>
      <c r="M81" s="1">
        <v>80</v>
      </c>
      <c r="N81" s="1">
        <v>2766.24</v>
      </c>
      <c r="O81" s="3">
        <v>4.7446061512773302E-5</v>
      </c>
      <c r="P81" s="3">
        <v>2.44177147407613E-2</v>
      </c>
      <c r="Q81" s="3">
        <v>7.7723999999999996E-3</v>
      </c>
      <c r="R81" s="1">
        <v>0.59055000000000002</v>
      </c>
      <c r="S81" s="4">
        <v>2117343.70090375</v>
      </c>
      <c r="T81" s="1">
        <v>584.22817624184802</v>
      </c>
      <c r="U81" s="5">
        <v>614.51933247879401</v>
      </c>
      <c r="V81" s="1">
        <v>0.03</v>
      </c>
      <c r="W81" s="3">
        <v>297692.54326179798</v>
      </c>
      <c r="X81" s="1">
        <v>2.41208123571655E-2</v>
      </c>
      <c r="Y81" s="1">
        <v>6.4387866497231201</v>
      </c>
      <c r="Z81" s="1">
        <v>6.4387866773748099</v>
      </c>
      <c r="AA81" s="1">
        <v>-2.76516951558392E-8</v>
      </c>
      <c r="AB81" s="1">
        <v>2.11369857143727E-5</v>
      </c>
      <c r="AC81" s="1">
        <v>642.94875346210097</v>
      </c>
      <c r="AD81" s="1">
        <v>8173.1398903448398</v>
      </c>
      <c r="AE81" s="1">
        <v>614.51933247879401</v>
      </c>
      <c r="AF81" s="6">
        <v>0</v>
      </c>
      <c r="AG81" s="1">
        <v>2.1184978513202498E-5</v>
      </c>
      <c r="AH81" s="1">
        <v>36.922795199503497</v>
      </c>
      <c r="AI81" s="1">
        <v>0.24308252720246501</v>
      </c>
      <c r="AJ81" s="1">
        <v>44.554524461518497</v>
      </c>
      <c r="AK81" s="1">
        <v>2.13131286584079</v>
      </c>
      <c r="AL81" s="1">
        <v>1.1293680422758501</v>
      </c>
      <c r="AM81" s="1">
        <v>608.62110602596101</v>
      </c>
      <c r="AN81" s="1">
        <v>3.9801534512662302E-8</v>
      </c>
      <c r="AO81" s="1">
        <v>4.7992798829750603E-8</v>
      </c>
      <c r="AP81" s="1">
        <v>3.2923428982368401</v>
      </c>
      <c r="AQ81" s="1">
        <v>5.03074317761289E-5</v>
      </c>
      <c r="AR81" s="1">
        <v>1.0616485656016101E-5</v>
      </c>
      <c r="AS81" s="1">
        <v>22.327729507091501</v>
      </c>
      <c r="AT81" s="1">
        <v>12.479146908224299</v>
      </c>
      <c r="AU81" s="1">
        <v>3.03346256778199</v>
      </c>
      <c r="AV81" s="1">
        <v>0.25888033045485298</v>
      </c>
      <c r="AW81" s="1">
        <v>1.2707796387863599E-2</v>
      </c>
      <c r="AX81" s="1">
        <v>0.258880326130972</v>
      </c>
      <c r="AY81" s="1">
        <v>4.3238805869094701E-9</v>
      </c>
      <c r="AZ81" s="1">
        <v>1080577.4158407301</v>
      </c>
      <c r="BA81" s="1">
        <v>1.5280131301958299E-5</v>
      </c>
      <c r="BB81" s="4">
        <v>2120762.1501219599</v>
      </c>
      <c r="BC81" s="4">
        <v>3418.4492182121598</v>
      </c>
      <c r="BD81" s="7">
        <v>0.16144989671507101</v>
      </c>
      <c r="BE81" s="4">
        <v>2255825</v>
      </c>
      <c r="BF81" s="1">
        <v>0.94012707108129501</v>
      </c>
      <c r="BG81" s="1">
        <v>1</v>
      </c>
      <c r="BH81" s="1">
        <v>8.2000000000000003E-2</v>
      </c>
      <c r="BI81" s="1">
        <v>4.5999999999999999E-2</v>
      </c>
      <c r="BJ81" s="1">
        <v>5625</v>
      </c>
      <c r="BK81" s="1">
        <v>1.04405056469424</v>
      </c>
      <c r="BL81" s="1">
        <v>24.392929823915001</v>
      </c>
      <c r="BM81" s="1">
        <v>2.1207621501219598</v>
      </c>
      <c r="BN81" s="1">
        <v>24.392929823915001</v>
      </c>
      <c r="BO81" s="1">
        <v>1.04405056469424</v>
      </c>
      <c r="BP81" s="1">
        <v>243.580639481242</v>
      </c>
      <c r="BQ81" s="1">
        <v>1</v>
      </c>
      <c r="BR81" s="1">
        <v>0.59055000000000002</v>
      </c>
    </row>
    <row r="82" spans="1:70">
      <c r="A82" s="2" t="s">
        <v>150</v>
      </c>
      <c r="B82" s="1">
        <v>13789520</v>
      </c>
      <c r="C82" s="1">
        <v>608.621106065763</v>
      </c>
      <c r="D82" s="1">
        <v>85.147893581579396</v>
      </c>
      <c r="E82" s="1">
        <v>624.86627494838604</v>
      </c>
      <c r="F82" s="1">
        <v>2643264.3898665099</v>
      </c>
      <c r="G82" s="1">
        <v>1562686.9740257801</v>
      </c>
      <c r="H82" s="1">
        <v>2.2019594042733499E-5</v>
      </c>
      <c r="I82" s="1">
        <v>7.2223252690249804E-5</v>
      </c>
      <c r="J82" s="1">
        <v>0.49112124879375701</v>
      </c>
      <c r="K82" s="1">
        <v>7679.7516396704104</v>
      </c>
      <c r="L82" s="1">
        <v>6.5036382888884496E-3</v>
      </c>
      <c r="M82" s="1">
        <v>81</v>
      </c>
      <c r="N82" s="1">
        <v>2888.28</v>
      </c>
      <c r="O82" s="3">
        <v>4.7446061512773302E-5</v>
      </c>
      <c r="P82" s="3">
        <v>2.44177147407613E-2</v>
      </c>
      <c r="Q82" s="3">
        <v>7.7723999999999996E-3</v>
      </c>
      <c r="R82" s="1">
        <v>0.59055000000000002</v>
      </c>
      <c r="S82" s="4">
        <v>2566785.78515625</v>
      </c>
      <c r="T82" s="1">
        <v>574.77270588422698</v>
      </c>
      <c r="U82" s="5">
        <v>609.94208321618703</v>
      </c>
      <c r="V82" s="1">
        <v>0.03</v>
      </c>
      <c r="W82" s="3">
        <v>310826.03781746601</v>
      </c>
      <c r="X82" s="1">
        <v>2.36996304818783E-2</v>
      </c>
      <c r="Y82" s="1">
        <v>6.4957486639876496</v>
      </c>
      <c r="Z82" s="1">
        <v>6.49574867255531</v>
      </c>
      <c r="AA82" s="1">
        <v>-8.5676630234843304E-9</v>
      </c>
      <c r="AB82" s="1">
        <v>1.9733064588115901E-5</v>
      </c>
      <c r="AC82" s="1">
        <v>651.229100424286</v>
      </c>
      <c r="AD82" s="1">
        <v>8458.88636088147</v>
      </c>
      <c r="AE82" s="1">
        <v>609.94208321618703</v>
      </c>
      <c r="AF82" s="6">
        <v>0</v>
      </c>
      <c r="AG82" s="1">
        <v>1.9787395108738799E-5</v>
      </c>
      <c r="AH82" s="1">
        <v>39.549690377876097</v>
      </c>
      <c r="AI82" s="1">
        <v>0.25158109386462202</v>
      </c>
      <c r="AJ82" s="1">
        <v>43.070178221059898</v>
      </c>
      <c r="AK82" s="1">
        <v>2.6594041703459599</v>
      </c>
      <c r="AL82" s="1">
        <v>1.1293680422758501</v>
      </c>
      <c r="AM82" s="1">
        <v>608.62110605938801</v>
      </c>
      <c r="AN82" s="1">
        <v>6.3752167989150596E-9</v>
      </c>
      <c r="AO82" s="1">
        <v>5.4330520622887897E-8</v>
      </c>
      <c r="AP82" s="1">
        <v>3.36003226164422</v>
      </c>
      <c r="AQ82" s="1">
        <v>4.8300916755332599E-5</v>
      </c>
      <c r="AR82" s="1">
        <v>9.9208628146808198E-6</v>
      </c>
      <c r="AS82" s="1">
        <v>21.5942182984097</v>
      </c>
      <c r="AT82" s="1">
        <v>12.312128037449099</v>
      </c>
      <c r="AU82" s="1">
        <v>3.0974986394627302</v>
      </c>
      <c r="AV82" s="1">
        <v>0.26253362218148801</v>
      </c>
      <c r="AW82" s="1">
        <v>1.18637430276458E-2</v>
      </c>
      <c r="AX82" s="1">
        <v>0.26253361502624001</v>
      </c>
      <c r="AY82" s="1">
        <v>7.1552477831637898E-9</v>
      </c>
      <c r="AZ82" s="1">
        <v>1080577.4158407301</v>
      </c>
      <c r="BA82" s="1">
        <v>1.4375134818407E-5</v>
      </c>
      <c r="BB82" s="4">
        <v>2551966.1675147801</v>
      </c>
      <c r="BC82" s="4">
        <v>-14819.6176414699</v>
      </c>
      <c r="BD82" s="7">
        <v>-0.57736090511222005</v>
      </c>
      <c r="BE82" s="4">
        <v>2527155</v>
      </c>
      <c r="BF82" s="1">
        <v>1.0098178257822601</v>
      </c>
      <c r="BG82" s="1">
        <v>1</v>
      </c>
      <c r="BH82" s="1">
        <v>4.9000000000000002E-2</v>
      </c>
      <c r="BI82" s="1">
        <v>4.5999999999999999E-2</v>
      </c>
      <c r="BJ82" s="1">
        <v>5625</v>
      </c>
      <c r="BK82" s="1">
        <v>1.04569157369073</v>
      </c>
      <c r="BL82" s="1">
        <v>33.848400181536</v>
      </c>
      <c r="BM82" s="1">
        <v>2.55196616751478</v>
      </c>
      <c r="BN82" s="1">
        <v>33.848400181536</v>
      </c>
      <c r="BO82" s="1">
        <v>1.04569157369073</v>
      </c>
      <c r="BP82" s="1">
        <v>37.842180326526098</v>
      </c>
      <c r="BQ82" s="1">
        <v>1</v>
      </c>
      <c r="BR82" s="1">
        <v>0.59055000000000002</v>
      </c>
    </row>
    <row r="83" spans="1:70">
      <c r="A83" s="2" t="s">
        <v>151</v>
      </c>
      <c r="B83" s="1">
        <v>13789520</v>
      </c>
      <c r="C83" s="1">
        <v>608.621106065763</v>
      </c>
      <c r="D83" s="1">
        <v>85.147893581579396</v>
      </c>
      <c r="E83" s="1">
        <v>624.86627494838604</v>
      </c>
      <c r="F83" s="1">
        <v>2643264.3898665099</v>
      </c>
      <c r="G83" s="1">
        <v>1562686.9740257801</v>
      </c>
      <c r="H83" s="1">
        <v>2.2019594042733499E-5</v>
      </c>
      <c r="I83" s="1">
        <v>7.2223252690249804E-5</v>
      </c>
      <c r="J83" s="1">
        <v>0.49112124879375701</v>
      </c>
      <c r="K83" s="1">
        <v>7679.7516396704104</v>
      </c>
      <c r="L83" s="1">
        <v>6.5036382888884496E-3</v>
      </c>
      <c r="M83" s="1">
        <v>82</v>
      </c>
      <c r="N83" s="1">
        <v>2915.4</v>
      </c>
      <c r="O83" s="3">
        <v>4.7446061512773302E-5</v>
      </c>
      <c r="P83" s="3">
        <v>2.44177147407613E-2</v>
      </c>
      <c r="Q83" s="3">
        <v>7.7723999999999996E-3</v>
      </c>
      <c r="R83" s="1">
        <v>0.59055000000000002</v>
      </c>
      <c r="S83" s="4">
        <v>2128012.2480937499</v>
      </c>
      <c r="T83" s="1">
        <v>585.88293483903703</v>
      </c>
      <c r="U83" s="5">
        <v>614.76912863413202</v>
      </c>
      <c r="V83" s="1">
        <v>0.03</v>
      </c>
      <c r="W83" s="3">
        <v>313744.59216316999</v>
      </c>
      <c r="X83" s="1">
        <v>2.36098747398341E-2</v>
      </c>
      <c r="Y83" s="1">
        <v>6.5080841313188298</v>
      </c>
      <c r="Z83" s="1">
        <v>6.5080841474443201</v>
      </c>
      <c r="AA83" s="1">
        <v>-1.6125491164586901E-8</v>
      </c>
      <c r="AB83" s="1">
        <v>1.9441273774930802E-5</v>
      </c>
      <c r="AC83" s="1">
        <v>641.16570809474797</v>
      </c>
      <c r="AD83" s="1">
        <v>8522.1289477333594</v>
      </c>
      <c r="AE83" s="1">
        <v>614.76912906374901</v>
      </c>
      <c r="AF83" s="6">
        <v>4.2961630697391202E-7</v>
      </c>
      <c r="AG83" s="1">
        <v>1.9485781619205202E-5</v>
      </c>
      <c r="AH83" s="1">
        <v>40.143285038914101</v>
      </c>
      <c r="AI83" s="1">
        <v>0.253462031673718</v>
      </c>
      <c r="AJ83" s="1">
        <v>42.730776492779398</v>
      </c>
      <c r="AK83" s="1">
        <v>2.0338020593514501</v>
      </c>
      <c r="AL83" s="1">
        <v>1.1293680422758501</v>
      </c>
      <c r="AM83" s="1">
        <v>608.62110602393602</v>
      </c>
      <c r="AN83" s="1">
        <v>4.1827092900348401E-8</v>
      </c>
      <c r="AO83" s="1">
        <v>4.4507844274355898E-8</v>
      </c>
      <c r="AP83" s="1">
        <v>3.37348865904471</v>
      </c>
      <c r="AQ83" s="1">
        <v>4.7916353413602101E-5</v>
      </c>
      <c r="AR83" s="1">
        <v>9.7651447317397804E-6</v>
      </c>
      <c r="AS83" s="1">
        <v>21.4141893358976</v>
      </c>
      <c r="AT83" s="1">
        <v>12.2702687769228</v>
      </c>
      <c r="AU83" s="1">
        <v>3.1100472533814401</v>
      </c>
      <c r="AV83" s="1">
        <v>0.26344140566326402</v>
      </c>
      <c r="AW83" s="1">
        <v>1.16883150696621E-2</v>
      </c>
      <c r="AX83" s="1">
        <v>0.26344139789858001</v>
      </c>
      <c r="AY83" s="1">
        <v>7.7646840623835106E-9</v>
      </c>
      <c r="AZ83" s="1">
        <v>1080577.4158407301</v>
      </c>
      <c r="BA83" s="1">
        <v>1.4203798576625699E-5</v>
      </c>
      <c r="BB83" s="4">
        <v>2115802.01848609</v>
      </c>
      <c r="BC83" s="4">
        <v>-12210.2296076645</v>
      </c>
      <c r="BD83" s="7">
        <v>-0.573785682793993</v>
      </c>
      <c r="BE83" s="4">
        <v>2271600</v>
      </c>
      <c r="BF83" s="1">
        <v>0.93141486990935296</v>
      </c>
      <c r="BG83" s="1">
        <v>1</v>
      </c>
      <c r="BH83" s="1">
        <v>8.1000000000000003E-2</v>
      </c>
      <c r="BI83" s="1">
        <v>4.5999999999999999E-2</v>
      </c>
      <c r="BJ83" s="1">
        <v>5625</v>
      </c>
      <c r="BK83" s="1">
        <v>1.0436266770331799</v>
      </c>
      <c r="BL83" s="1">
        <v>22.738171226725999</v>
      </c>
      <c r="BM83" s="1">
        <v>2.11580201848609</v>
      </c>
      <c r="BN83" s="1">
        <v>22.738171226725999</v>
      </c>
      <c r="BO83" s="1">
        <v>1.0436266770331799</v>
      </c>
      <c r="BP83" s="1">
        <v>297.97073259783099</v>
      </c>
      <c r="BQ83" s="1">
        <v>1</v>
      </c>
      <c r="BR83" s="1">
        <v>0.59055000000000002</v>
      </c>
    </row>
    <row r="84" spans="1:70">
      <c r="A84" s="2" t="s">
        <v>152</v>
      </c>
      <c r="B84" s="1">
        <v>13789520</v>
      </c>
      <c r="C84" s="1">
        <v>608.621106065763</v>
      </c>
      <c r="D84" s="1">
        <v>85.147893581579396</v>
      </c>
      <c r="E84" s="1">
        <v>624.86627494838604</v>
      </c>
      <c r="F84" s="1">
        <v>2643264.3898665099</v>
      </c>
      <c r="G84" s="1">
        <v>1562686.9740257801</v>
      </c>
      <c r="H84" s="1">
        <v>2.2019594042733499E-5</v>
      </c>
      <c r="I84" s="1">
        <v>7.2223252690249804E-5</v>
      </c>
      <c r="J84" s="1">
        <v>0.49112124879375701</v>
      </c>
      <c r="K84" s="1">
        <v>7679.7516396704104</v>
      </c>
      <c r="L84" s="1">
        <v>6.5036382888884496E-3</v>
      </c>
      <c r="M84" s="1">
        <v>83</v>
      </c>
      <c r="N84" s="1">
        <v>2915.4</v>
      </c>
      <c r="O84" s="3">
        <v>4.7446061512773302E-5</v>
      </c>
      <c r="P84" s="3">
        <v>2.44177147407613E-2</v>
      </c>
      <c r="Q84" s="3">
        <v>7.7723999999999996E-3</v>
      </c>
      <c r="R84" s="1">
        <v>0.59055000000000002</v>
      </c>
      <c r="S84" s="4">
        <v>2152038.68359375</v>
      </c>
      <c r="T84" s="1">
        <v>585.33341139100696</v>
      </c>
      <c r="U84" s="5">
        <v>614.54574629392698</v>
      </c>
      <c r="V84" s="1">
        <v>0.03</v>
      </c>
      <c r="W84" s="3">
        <v>313744.59216316999</v>
      </c>
      <c r="X84" s="1">
        <v>2.36098747398341E-2</v>
      </c>
      <c r="Y84" s="1">
        <v>6.5080841313188298</v>
      </c>
      <c r="Z84" s="1">
        <v>6.5080841474443201</v>
      </c>
      <c r="AA84" s="1">
        <v>-1.6125491164586901E-8</v>
      </c>
      <c r="AB84" s="1">
        <v>1.9441273774930802E-5</v>
      </c>
      <c r="AC84" s="1">
        <v>641.67113741115804</v>
      </c>
      <c r="AD84" s="1">
        <v>8522.1289477333594</v>
      </c>
      <c r="AE84" s="1">
        <v>614.54574629392698</v>
      </c>
      <c r="AF84" s="6">
        <v>0</v>
      </c>
      <c r="AG84" s="1">
        <v>1.94867590725172E-5</v>
      </c>
      <c r="AH84" s="1">
        <v>40.143285038914101</v>
      </c>
      <c r="AI84" s="1">
        <v>0.253462031673718</v>
      </c>
      <c r="AJ84" s="1">
        <v>42.7329199705121</v>
      </c>
      <c r="AK84" s="1">
        <v>2.0653715473435299</v>
      </c>
      <c r="AL84" s="1">
        <v>1.1293680422758501</v>
      </c>
      <c r="AM84" s="1">
        <v>608.62110602324901</v>
      </c>
      <c r="AN84" s="1">
        <v>4.2514443521213298E-8</v>
      </c>
      <c r="AO84" s="1">
        <v>4.5485297586330803E-8</v>
      </c>
      <c r="AP84" s="1">
        <v>3.3736063177140498</v>
      </c>
      <c r="AQ84" s="1">
        <v>4.79130111883753E-5</v>
      </c>
      <c r="AR84" s="1">
        <v>9.7661221850517502E-6</v>
      </c>
      <c r="AS84" s="1">
        <v>21.416332813630401</v>
      </c>
      <c r="AT84" s="1">
        <v>12.270769232585501</v>
      </c>
      <c r="AU84" s="1">
        <v>3.1101740998904699</v>
      </c>
      <c r="AV84" s="1">
        <v>0.26343221782357801</v>
      </c>
      <c r="AW84" s="1">
        <v>1.16883150696621E-2</v>
      </c>
      <c r="AX84" s="1">
        <v>0.263432210055836</v>
      </c>
      <c r="AY84" s="1">
        <v>7.7677421717048406E-9</v>
      </c>
      <c r="AZ84" s="1">
        <v>1080577.4158407301</v>
      </c>
      <c r="BA84" s="1">
        <v>1.42023125036241E-5</v>
      </c>
      <c r="BB84" s="4">
        <v>2162494.18411357</v>
      </c>
      <c r="BC84" s="4">
        <v>10455.50051982</v>
      </c>
      <c r="BD84" s="7">
        <v>0.48584166258387601</v>
      </c>
      <c r="BE84" s="4">
        <v>2258980</v>
      </c>
      <c r="BF84" s="1">
        <v>0.95728788396248299</v>
      </c>
      <c r="BG84" s="1">
        <v>1</v>
      </c>
      <c r="BH84" s="1">
        <v>7.6999999999999999E-2</v>
      </c>
      <c r="BI84" s="1">
        <v>4.5999999999999999E-2</v>
      </c>
      <c r="BJ84" s="1">
        <v>5625</v>
      </c>
      <c r="BK84" s="1">
        <v>1.04377171615186</v>
      </c>
      <c r="BL84" s="1">
        <v>23.287694674756001</v>
      </c>
      <c r="BM84" s="1">
        <v>2.1624941841135699</v>
      </c>
      <c r="BN84" s="1">
        <v>23.287694674756001</v>
      </c>
      <c r="BO84" s="1">
        <v>1.04377171615186</v>
      </c>
      <c r="BP84" s="1">
        <v>279.301149284178</v>
      </c>
      <c r="BQ84" s="1">
        <v>1</v>
      </c>
      <c r="BR84" s="1">
        <v>0.59055000000000002</v>
      </c>
    </row>
    <row r="85" spans="1:70">
      <c r="A85" s="2" t="s">
        <v>153</v>
      </c>
      <c r="B85" s="1">
        <v>13789520</v>
      </c>
      <c r="C85" s="1">
        <v>608.621106065763</v>
      </c>
      <c r="D85" s="1">
        <v>85.147893581579396</v>
      </c>
      <c r="E85" s="1">
        <v>624.86627494838604</v>
      </c>
      <c r="F85" s="1">
        <v>2643264.3898665099</v>
      </c>
      <c r="G85" s="1">
        <v>1562686.9740257801</v>
      </c>
      <c r="H85" s="1">
        <v>2.2019594042733499E-5</v>
      </c>
      <c r="I85" s="1">
        <v>7.2223252690249804E-5</v>
      </c>
      <c r="J85" s="1">
        <v>0.49112124879375701</v>
      </c>
      <c r="K85" s="1">
        <v>7679.7516396704104</v>
      </c>
      <c r="L85" s="1">
        <v>6.5036382888884496E-3</v>
      </c>
      <c r="M85" s="1">
        <v>84</v>
      </c>
      <c r="N85" s="1">
        <v>2996.76</v>
      </c>
      <c r="O85" s="3">
        <v>4.7446061512773302E-5</v>
      </c>
      <c r="P85" s="3">
        <v>2.44177147407613E-2</v>
      </c>
      <c r="Q85" s="3">
        <v>7.7723999999999996E-3</v>
      </c>
      <c r="R85" s="1">
        <v>0.59055000000000002</v>
      </c>
      <c r="S85" s="4">
        <v>2700357.8608812499</v>
      </c>
      <c r="T85" s="1">
        <v>573.09232433052603</v>
      </c>
      <c r="U85" s="5">
        <v>608.75251867601196</v>
      </c>
      <c r="V85" s="1">
        <v>0.03</v>
      </c>
      <c r="W85" s="3">
        <v>322500.25520028197</v>
      </c>
      <c r="X85" s="1">
        <v>2.3348415220437301E-2</v>
      </c>
      <c r="Y85" s="1">
        <v>6.5444220008767502</v>
      </c>
      <c r="Z85" s="1">
        <v>6.5444220182639503</v>
      </c>
      <c r="AA85" s="1">
        <v>-1.7387197459584101E-8</v>
      </c>
      <c r="AB85" s="1">
        <v>1.8606014860463901E-5</v>
      </c>
      <c r="AC85" s="1">
        <v>652.43085702514895</v>
      </c>
      <c r="AD85" s="1">
        <v>8711.3161924750802</v>
      </c>
      <c r="AE85" s="1">
        <v>608.75251922435302</v>
      </c>
      <c r="AF85" s="6">
        <v>5.4834117690916205E-7</v>
      </c>
      <c r="AG85" s="1">
        <v>1.8660609145781801E-5</v>
      </c>
      <c r="AH85" s="1">
        <v>41.945392418500703</v>
      </c>
      <c r="AI85" s="1">
        <v>0.25908876927802799</v>
      </c>
      <c r="AJ85" s="1">
        <v>41.829670787169498</v>
      </c>
      <c r="AK85" s="1">
        <v>2.7469392183518799</v>
      </c>
      <c r="AL85" s="1">
        <v>1.1293680422758501</v>
      </c>
      <c r="AM85" s="1">
        <v>608.621106063296</v>
      </c>
      <c r="AN85" s="1">
        <v>2.4667770048836201E-9</v>
      </c>
      <c r="AO85" s="1">
        <v>5.4594285317913303E-8</v>
      </c>
      <c r="AP85" s="1">
        <v>3.4180836070089899</v>
      </c>
      <c r="AQ85" s="1">
        <v>4.66742024395677E-5</v>
      </c>
      <c r="AR85" s="1">
        <v>9.3576017155498806E-6</v>
      </c>
      <c r="AS85" s="1">
        <v>20.976024740724199</v>
      </c>
      <c r="AT85" s="1">
        <v>12.166900532491701</v>
      </c>
      <c r="AU85" s="1">
        <v>3.1523072848914699</v>
      </c>
      <c r="AV85" s="1">
        <v>0.265776322117526</v>
      </c>
      <c r="AW85" s="1">
        <v>1.1186147903556799E-2</v>
      </c>
      <c r="AX85" s="1">
        <v>0.26577631251717598</v>
      </c>
      <c r="AY85" s="1">
        <v>9.6003497374041996E-9</v>
      </c>
      <c r="AZ85" s="1">
        <v>1080577.4158407301</v>
      </c>
      <c r="BA85" s="1">
        <v>1.36550792215437E-5</v>
      </c>
      <c r="BB85" s="4">
        <v>2699578.3294795798</v>
      </c>
      <c r="BC85" s="4">
        <v>-779.53140167286597</v>
      </c>
      <c r="BD85" s="7">
        <v>-2.8867707238568401E-2</v>
      </c>
      <c r="BE85" s="4">
        <v>2587100</v>
      </c>
      <c r="BF85" s="1">
        <v>1.0434766068105501</v>
      </c>
      <c r="BG85" s="1">
        <v>1</v>
      </c>
      <c r="BH85" s="1">
        <v>3.6999999999999998E-2</v>
      </c>
      <c r="BI85" s="1">
        <v>4.5999999999999999E-2</v>
      </c>
      <c r="BJ85" s="1">
        <v>5625</v>
      </c>
      <c r="BK85" s="1">
        <v>1.0458368017443</v>
      </c>
      <c r="BL85" s="1">
        <v>35.528781735236997</v>
      </c>
      <c r="BM85" s="1">
        <v>2.6995783294795799</v>
      </c>
      <c r="BN85" s="1">
        <v>35.528781735236997</v>
      </c>
      <c r="BO85" s="1">
        <v>1.0458368017443</v>
      </c>
      <c r="BP85" s="1">
        <v>19.9917927711505</v>
      </c>
      <c r="BQ85" s="1">
        <v>1</v>
      </c>
      <c r="BR85" s="1">
        <v>0.59055000000000002</v>
      </c>
    </row>
    <row r="86" spans="1:70">
      <c r="A86" s="2" t="s">
        <v>154</v>
      </c>
      <c r="B86" s="1">
        <v>13789520</v>
      </c>
      <c r="C86" s="1">
        <v>608.621106065763</v>
      </c>
      <c r="D86" s="1">
        <v>85.147893581579396</v>
      </c>
      <c r="E86" s="1">
        <v>624.86627494838604</v>
      </c>
      <c r="F86" s="1">
        <v>2643264.3898665099</v>
      </c>
      <c r="G86" s="1">
        <v>1562686.9740257801</v>
      </c>
      <c r="H86" s="1">
        <v>2.2019594042733499E-5</v>
      </c>
      <c r="I86" s="1">
        <v>7.2223252690249804E-5</v>
      </c>
      <c r="J86" s="1">
        <v>0.49112124879375701</v>
      </c>
      <c r="K86" s="1">
        <v>7679.7516396704104</v>
      </c>
      <c r="L86" s="1">
        <v>6.5036382888884496E-3</v>
      </c>
      <c r="M86" s="1">
        <v>85</v>
      </c>
      <c r="N86" s="1">
        <v>3051</v>
      </c>
      <c r="O86" s="3">
        <v>4.7446061512773302E-5</v>
      </c>
      <c r="P86" s="3">
        <v>2.44177147407613E-2</v>
      </c>
      <c r="Q86" s="3">
        <v>7.7723999999999996E-3</v>
      </c>
      <c r="R86" s="1">
        <v>0.59055000000000002</v>
      </c>
      <c r="S86" s="4">
        <v>2735388.8445312502</v>
      </c>
      <c r="T86" s="1">
        <v>573.09232433052603</v>
      </c>
      <c r="U86" s="5">
        <v>608.57294517303205</v>
      </c>
      <c r="V86" s="1">
        <v>0.03</v>
      </c>
      <c r="W86" s="3">
        <v>328337.36389168899</v>
      </c>
      <c r="X86" s="1">
        <v>2.3180308583188799E-2</v>
      </c>
      <c r="Y86" s="1">
        <v>6.56810963522911</v>
      </c>
      <c r="Z86" s="1">
        <v>6.5681096469750804</v>
      </c>
      <c r="AA86" s="1">
        <v>-1.17459659776387E-8</v>
      </c>
      <c r="AB86" s="1">
        <v>1.80805263628992E-5</v>
      </c>
      <c r="AC86" s="1">
        <v>652.29906265299201</v>
      </c>
      <c r="AD86" s="1">
        <v>8837.0014135973706</v>
      </c>
      <c r="AE86" s="1">
        <v>608.572945719995</v>
      </c>
      <c r="AF86" s="6">
        <v>5.4696283768862496E-7</v>
      </c>
      <c r="AG86" s="1">
        <v>1.8134534271082599E-5</v>
      </c>
      <c r="AH86" s="1">
        <v>43.164484208161802</v>
      </c>
      <c r="AI86" s="1">
        <v>0.26282685300011099</v>
      </c>
      <c r="AJ86" s="1">
        <v>41.236916522177701</v>
      </c>
      <c r="AK86" s="1">
        <v>2.7448162015114201</v>
      </c>
      <c r="AL86" s="1">
        <v>1.1293680422758501</v>
      </c>
      <c r="AM86" s="1">
        <v>608.62110600634503</v>
      </c>
      <c r="AN86" s="1">
        <v>5.9417516240500799E-8</v>
      </c>
      <c r="AO86" s="1">
        <v>5.4007908183429399E-8</v>
      </c>
      <c r="AP86" s="1">
        <v>3.4464903540358298</v>
      </c>
      <c r="AQ86" s="1">
        <v>4.5907974713053501E-5</v>
      </c>
      <c r="AR86" s="1">
        <v>9.0942710896330207E-6</v>
      </c>
      <c r="AS86" s="1">
        <v>20.679863742145201</v>
      </c>
      <c r="AT86" s="1">
        <v>12.095802303737001</v>
      </c>
      <c r="AU86" s="1">
        <v>3.17910165400269</v>
      </c>
      <c r="AV86" s="1">
        <v>0.26738870003313903</v>
      </c>
      <c r="AW86" s="1">
        <v>1.0870218237829901E-2</v>
      </c>
      <c r="AX86" s="1">
        <v>0.26738868943949401</v>
      </c>
      <c r="AY86" s="1">
        <v>1.0593644794720801E-8</v>
      </c>
      <c r="AZ86" s="1">
        <v>1080577.4158407301</v>
      </c>
      <c r="BA86" s="1">
        <v>1.33202098358684E-5</v>
      </c>
      <c r="BB86" s="4">
        <v>2737721.4739390202</v>
      </c>
      <c r="BC86" s="4">
        <v>2332.6294077672101</v>
      </c>
      <c r="BD86" s="7">
        <v>8.5275971364390704E-2</v>
      </c>
      <c r="BE86" s="4">
        <v>2602875</v>
      </c>
      <c r="BF86" s="1">
        <v>1.0518067421366799</v>
      </c>
      <c r="BG86" s="1">
        <v>1</v>
      </c>
      <c r="BH86" s="1">
        <v>3.4000000000000002E-2</v>
      </c>
      <c r="BI86" s="1">
        <v>4.5999999999999999E-2</v>
      </c>
      <c r="BJ86" s="1">
        <v>5625</v>
      </c>
      <c r="BK86" s="1">
        <v>1.0458368017443</v>
      </c>
      <c r="BL86" s="1">
        <v>35.528781735236997</v>
      </c>
      <c r="BM86" s="1">
        <v>2.7377214739390201</v>
      </c>
      <c r="BN86" s="1">
        <v>35.528781735236997</v>
      </c>
      <c r="BO86" s="1">
        <v>1.0458368017443</v>
      </c>
      <c r="BP86" s="1">
        <v>19.9917927711505</v>
      </c>
      <c r="BQ86" s="1">
        <v>1</v>
      </c>
      <c r="BR86" s="1">
        <v>0.59055000000000002</v>
      </c>
    </row>
    <row r="87" spans="1:70">
      <c r="A87" s="2" t="s">
        <v>155</v>
      </c>
      <c r="B87" s="1">
        <v>13789520</v>
      </c>
      <c r="C87" s="1">
        <v>608.621106065763</v>
      </c>
      <c r="D87" s="1">
        <v>85.147893581579396</v>
      </c>
      <c r="E87" s="1">
        <v>624.86627494838604</v>
      </c>
      <c r="F87" s="1">
        <v>2643264.3898665099</v>
      </c>
      <c r="G87" s="1">
        <v>1562686.9740257801</v>
      </c>
      <c r="H87" s="1">
        <v>2.2019594042733499E-5</v>
      </c>
      <c r="I87" s="1">
        <v>7.2223252690249804E-5</v>
      </c>
      <c r="J87" s="1">
        <v>0.49112124879375701</v>
      </c>
      <c r="K87" s="1">
        <v>7679.7516396704104</v>
      </c>
      <c r="L87" s="1">
        <v>6.5036382888884496E-3</v>
      </c>
      <c r="M87" s="1">
        <v>86</v>
      </c>
      <c r="N87" s="1">
        <v>3051</v>
      </c>
      <c r="O87" s="3">
        <v>4.7446061512773302E-5</v>
      </c>
      <c r="P87" s="3">
        <v>2.44177147407613E-2</v>
      </c>
      <c r="Q87" s="3">
        <v>7.7723999999999996E-3</v>
      </c>
      <c r="R87" s="1">
        <v>0.59055000000000002</v>
      </c>
      <c r="S87" s="4">
        <v>2756416.55859375</v>
      </c>
      <c r="T87" s="1">
        <v>572.54322596837198</v>
      </c>
      <c r="U87" s="5">
        <v>608.29659646083303</v>
      </c>
      <c r="V87" s="1">
        <v>0.03</v>
      </c>
      <c r="W87" s="3">
        <v>328337.36389168899</v>
      </c>
      <c r="X87" s="1">
        <v>2.3180308583188799E-2</v>
      </c>
      <c r="Y87" s="1">
        <v>6.56810963522911</v>
      </c>
      <c r="Z87" s="1">
        <v>6.5681096469750804</v>
      </c>
      <c r="AA87" s="1">
        <v>-1.17459659776387E-8</v>
      </c>
      <c r="AB87" s="1">
        <v>1.80805263628992E-5</v>
      </c>
      <c r="AC87" s="1">
        <v>652.76923692471496</v>
      </c>
      <c r="AD87" s="1">
        <v>8837.0014135973706</v>
      </c>
      <c r="AE87" s="1">
        <v>608.29659701273295</v>
      </c>
      <c r="AF87" s="6">
        <v>5.5189991599036095E-7</v>
      </c>
      <c r="AG87" s="1">
        <v>1.81344507802479E-5</v>
      </c>
      <c r="AH87" s="1">
        <v>43.164484208161802</v>
      </c>
      <c r="AI87" s="1">
        <v>0.26282685300011099</v>
      </c>
      <c r="AJ87" s="1">
        <v>41.236726668689798</v>
      </c>
      <c r="AK87" s="1">
        <v>2.7743649649789401</v>
      </c>
      <c r="AL87" s="1">
        <v>1.1293680422758501</v>
      </c>
      <c r="AM87" s="1">
        <v>608.62110600581002</v>
      </c>
      <c r="AN87" s="1">
        <v>5.9953322306682795E-8</v>
      </c>
      <c r="AO87" s="1">
        <v>5.3924417348693399E-8</v>
      </c>
      <c r="AP87" s="1">
        <v>3.44647915806256</v>
      </c>
      <c r="AQ87" s="1">
        <v>4.59082729799335E-5</v>
      </c>
      <c r="AR87" s="1">
        <v>9.0941875987982796E-6</v>
      </c>
      <c r="AS87" s="1">
        <v>20.679673888657302</v>
      </c>
      <c r="AT87" s="1">
        <v>12.095756400542999</v>
      </c>
      <c r="AU87" s="1">
        <v>3.1790895894106699</v>
      </c>
      <c r="AV87" s="1">
        <v>0.26738956865188201</v>
      </c>
      <c r="AW87" s="1">
        <v>1.0870218237829901E-2</v>
      </c>
      <c r="AX87" s="1">
        <v>0.267389558058302</v>
      </c>
      <c r="AY87" s="1">
        <v>1.0593579791162701E-8</v>
      </c>
      <c r="AZ87" s="1">
        <v>1080577.4158407301</v>
      </c>
      <c r="BA87" s="1">
        <v>1.3320339649389E-5</v>
      </c>
      <c r="BB87" s="4">
        <v>2733462.59058196</v>
      </c>
      <c r="BC87" s="4">
        <v>-22953.968011794601</v>
      </c>
      <c r="BD87" s="7">
        <v>-0.83274670296949305</v>
      </c>
      <c r="BE87" s="4">
        <v>2618650</v>
      </c>
      <c r="BF87" s="1">
        <v>1.04384419093119</v>
      </c>
      <c r="BG87" s="1">
        <v>1</v>
      </c>
      <c r="BH87" s="1">
        <v>3.3000000000000002E-2</v>
      </c>
      <c r="BI87" s="1">
        <v>4.5999999999999999E-2</v>
      </c>
      <c r="BJ87" s="1">
        <v>5625</v>
      </c>
      <c r="BK87" s="1">
        <v>1.04587437290211</v>
      </c>
      <c r="BL87" s="1">
        <v>36.077880097391002</v>
      </c>
      <c r="BM87" s="1">
        <v>2.7334625905819601</v>
      </c>
      <c r="BN87" s="1">
        <v>36.077880097391002</v>
      </c>
      <c r="BO87" s="1">
        <v>1.04587437290211</v>
      </c>
      <c r="BP87" s="1">
        <v>15.383024530441499</v>
      </c>
      <c r="BQ87" s="1">
        <v>1</v>
      </c>
      <c r="BR87" s="1">
        <v>0.59055000000000002</v>
      </c>
    </row>
    <row r="88" spans="1:70">
      <c r="A88" s="2" t="s">
        <v>156</v>
      </c>
      <c r="B88" s="1">
        <v>10962664.096137701</v>
      </c>
      <c r="C88" s="1">
        <v>590.91885773675403</v>
      </c>
      <c r="D88" s="1">
        <v>62.329534958311001</v>
      </c>
      <c r="E88" s="1">
        <v>672.42409881111701</v>
      </c>
      <c r="F88" s="1">
        <v>2706878.8036725</v>
      </c>
      <c r="G88" s="1">
        <v>1448743.0254953799</v>
      </c>
      <c r="H88" s="1">
        <v>2.0627960844486401E-5</v>
      </c>
      <c r="I88" s="1">
        <v>7.9154719957673402E-5</v>
      </c>
      <c r="J88" s="1">
        <v>0.52383293111878604</v>
      </c>
      <c r="K88" s="1">
        <v>6433.0576498432902</v>
      </c>
      <c r="L88" s="1">
        <v>1.0258316120707199E-2</v>
      </c>
      <c r="M88" s="1">
        <v>87</v>
      </c>
      <c r="N88" s="1">
        <v>1017.17242424647</v>
      </c>
      <c r="O88" s="3">
        <v>6.8620353649299505E-5</v>
      </c>
      <c r="P88" s="3">
        <v>2.93650948516345E-2</v>
      </c>
      <c r="Q88" s="3">
        <v>9.3472E-3</v>
      </c>
      <c r="R88" s="1">
        <v>1.524</v>
      </c>
      <c r="S88" s="4">
        <v>905400.42570625001</v>
      </c>
      <c r="T88" s="1">
        <v>506.55651294115302</v>
      </c>
      <c r="U88" s="5">
        <v>596.79506044209495</v>
      </c>
      <c r="V88" s="1">
        <v>0.03</v>
      </c>
      <c r="W88" s="3">
        <v>120115.567195496</v>
      </c>
      <c r="X88" s="1">
        <v>4.1253861327832902E-2</v>
      </c>
      <c r="Y88" s="1">
        <v>4.9234292085143698</v>
      </c>
      <c r="Z88" s="1">
        <v>4.9234292704113702</v>
      </c>
      <c r="AA88" s="1">
        <v>-6.18969977494999E-8</v>
      </c>
      <c r="AB88" s="1">
        <v>1.5514465597390599E-4</v>
      </c>
      <c r="AC88" s="1">
        <v>634.02654852914395</v>
      </c>
      <c r="AD88" s="1">
        <v>4312.7730943669103</v>
      </c>
      <c r="AE88" s="1">
        <v>596.79506044209495</v>
      </c>
      <c r="AF88" s="6">
        <v>0</v>
      </c>
      <c r="AG88" s="1">
        <v>1.5529391988604001E-4</v>
      </c>
      <c r="AH88" s="1">
        <v>7.9345171559883498</v>
      </c>
      <c r="AI88" s="1">
        <v>0.10862720794115199</v>
      </c>
      <c r="AJ88" s="1">
        <v>143.30439905068499</v>
      </c>
      <c r="AK88" s="1">
        <v>2.4477829743200101</v>
      </c>
      <c r="AL88" s="1">
        <v>0.972078780265621</v>
      </c>
      <c r="AM88" s="1">
        <v>590.91885765878396</v>
      </c>
      <c r="AN88" s="1">
        <v>7.79701849751291E-8</v>
      </c>
      <c r="AO88" s="1">
        <v>1.4926391213418601E-7</v>
      </c>
      <c r="AP88" s="1">
        <v>2.0089117577072302</v>
      </c>
      <c r="AQ88" s="1">
        <v>2.7998760890436599E-4</v>
      </c>
      <c r="AR88" s="1">
        <v>7.7721591899086896E-5</v>
      </c>
      <c r="AS88" s="1">
        <v>71.721069495409793</v>
      </c>
      <c r="AT88" s="1">
        <v>16.1819614018004</v>
      </c>
      <c r="AU88" s="1">
        <v>1.7578012860890599</v>
      </c>
      <c r="AV88" s="1">
        <v>0.25111047161816902</v>
      </c>
      <c r="AW88" s="1">
        <v>7.8962181485626004E-2</v>
      </c>
      <c r="AX88" s="1">
        <v>0.251110466778171</v>
      </c>
      <c r="AY88" s="1">
        <v>4.8399979024615902E-9</v>
      </c>
      <c r="AZ88" s="1">
        <v>1258135.77817712</v>
      </c>
      <c r="BA88" s="1">
        <v>1.3937277624573999E-4</v>
      </c>
      <c r="BB88" s="4">
        <v>906040.58403079596</v>
      </c>
      <c r="BC88" s="4">
        <v>640.158324545715</v>
      </c>
      <c r="BD88" s="7">
        <v>7.0704442627842201E-2</v>
      </c>
      <c r="BE88" s="4">
        <v>1462152.81033672</v>
      </c>
      <c r="BF88" s="1">
        <v>0.61966203369820405</v>
      </c>
      <c r="BG88" s="1">
        <v>1</v>
      </c>
      <c r="BH88" s="1">
        <v>0.39500000000000002</v>
      </c>
      <c r="BI88" s="1">
        <v>4.5999999999999999E-2</v>
      </c>
      <c r="BJ88" s="1">
        <v>5625</v>
      </c>
      <c r="BK88" s="1">
        <v>1.0324198728577001</v>
      </c>
      <c r="BL88" s="1">
        <v>84.362344795601103</v>
      </c>
      <c r="BM88" s="1">
        <v>0.90604058403079601</v>
      </c>
      <c r="BN88" s="1">
        <v>84.362344795601103</v>
      </c>
      <c r="BO88" s="1">
        <v>1.0324198728577001</v>
      </c>
      <c r="BP88" s="1">
        <v>1968.0176357637999</v>
      </c>
      <c r="BQ88" s="1">
        <v>1</v>
      </c>
      <c r="BR88" s="1">
        <v>1.524</v>
      </c>
    </row>
    <row r="89" spans="1:70">
      <c r="A89" s="2" t="s">
        <v>157</v>
      </c>
      <c r="B89" s="1">
        <v>10997137.8826035</v>
      </c>
      <c r="C89" s="1">
        <v>591.14538588286302</v>
      </c>
      <c r="D89" s="1">
        <v>62.591709712512603</v>
      </c>
      <c r="E89" s="1">
        <v>671.85012637514706</v>
      </c>
      <c r="F89" s="1">
        <v>2706154.0000695102</v>
      </c>
      <c r="G89" s="1">
        <v>1450155.2183028101</v>
      </c>
      <c r="H89" s="1">
        <v>2.0644130954317801E-5</v>
      </c>
      <c r="I89" s="1">
        <v>7.9067733661598901E-5</v>
      </c>
      <c r="J89" s="1">
        <v>0.52342986170916905</v>
      </c>
      <c r="K89" s="1">
        <v>6446.0268474749801</v>
      </c>
      <c r="L89" s="1">
        <v>1.0209472461236E-2</v>
      </c>
      <c r="M89" s="1">
        <v>88</v>
      </c>
      <c r="N89" s="1">
        <v>1017.17242424647</v>
      </c>
      <c r="O89" s="3">
        <v>6.8620353649299505E-5</v>
      </c>
      <c r="P89" s="3">
        <v>2.93650948516345E-2</v>
      </c>
      <c r="Q89" s="3">
        <v>9.3472E-3</v>
      </c>
      <c r="R89" s="1">
        <v>1.524</v>
      </c>
      <c r="S89" s="4">
        <v>1233468.4273437499</v>
      </c>
      <c r="T89" s="1">
        <v>451.88649460669899</v>
      </c>
      <c r="U89" s="5">
        <v>574.575253349077</v>
      </c>
      <c r="V89" s="1">
        <v>0.03</v>
      </c>
      <c r="W89" s="3">
        <v>120247.712228715</v>
      </c>
      <c r="X89" s="1">
        <v>4.1194604914599801E-2</v>
      </c>
      <c r="Y89" s="1">
        <v>4.9269689914128501</v>
      </c>
      <c r="Z89" s="1">
        <v>4.9269690481970603</v>
      </c>
      <c r="AA89" s="1">
        <v>-5.6784205781923401E-8</v>
      </c>
      <c r="AB89" s="1">
        <v>1.5449607142591001E-4</v>
      </c>
      <c r="AC89" s="1">
        <v>655.08322729794702</v>
      </c>
      <c r="AD89" s="1">
        <v>4314.4158653772101</v>
      </c>
      <c r="AE89" s="1">
        <v>574.575253349077</v>
      </c>
      <c r="AF89" s="6">
        <v>0</v>
      </c>
      <c r="AG89" s="1">
        <v>1.54697947971849E-4</v>
      </c>
      <c r="AH89" s="1">
        <v>7.9298889870856897</v>
      </c>
      <c r="AI89" s="1">
        <v>0.108641899987035</v>
      </c>
      <c r="AJ89" s="1">
        <v>142.80881570332201</v>
      </c>
      <c r="AK89" s="1">
        <v>3.6292378410290702</v>
      </c>
      <c r="AL89" s="1">
        <v>0.97371734254408104</v>
      </c>
      <c r="AM89" s="1">
        <v>591.14538579556199</v>
      </c>
      <c r="AN89" s="1">
        <v>8.7300122686428896E-8</v>
      </c>
      <c r="AO89" s="1">
        <v>2.01876545939558E-7</v>
      </c>
      <c r="AP89" s="1">
        <v>2.0076372675504</v>
      </c>
      <c r="AQ89" s="1">
        <v>2.7795907806864003E-4</v>
      </c>
      <c r="AR89" s="1">
        <v>7.7449912258894399E-5</v>
      </c>
      <c r="AS89" s="1">
        <v>71.497588630145302</v>
      </c>
      <c r="AT89" s="1">
        <v>16.174159309196799</v>
      </c>
      <c r="AU89" s="1">
        <v>1.75719139804414</v>
      </c>
      <c r="AV89" s="1">
        <v>0.25044586950626702</v>
      </c>
      <c r="AW89" s="1">
        <v>7.8765917651280604E-2</v>
      </c>
      <c r="AX89" s="1">
        <v>0.25044586496319998</v>
      </c>
      <c r="AY89" s="1">
        <v>4.5430674777691097E-9</v>
      </c>
      <c r="AZ89" s="1">
        <v>1255998.7817667101</v>
      </c>
      <c r="BA89" s="1">
        <v>1.3845084595774001E-4</v>
      </c>
      <c r="BB89" s="4">
        <v>1230415.7256399801</v>
      </c>
      <c r="BC89" s="4">
        <v>-3052.7017037691498</v>
      </c>
      <c r="BD89" s="7">
        <v>-0.247489245455847</v>
      </c>
      <c r="BE89" s="4">
        <v>1810104.16951718</v>
      </c>
      <c r="BF89" s="1">
        <v>0.67974857268472999</v>
      </c>
      <c r="BG89" s="1">
        <v>1</v>
      </c>
      <c r="BH89" s="1">
        <v>0.378</v>
      </c>
      <c r="BI89" s="1">
        <v>4.5999999999999999E-2</v>
      </c>
      <c r="BJ89" s="1">
        <v>5625</v>
      </c>
      <c r="BK89" s="1">
        <v>1.00798142133748</v>
      </c>
      <c r="BL89" s="1">
        <v>139.25889127616401</v>
      </c>
      <c r="BM89" s="1">
        <v>1.2304157256399799</v>
      </c>
      <c r="BN89" s="1">
        <v>139.25889127616401</v>
      </c>
      <c r="BO89" s="1">
        <v>1.00798142133748</v>
      </c>
      <c r="BP89" s="1">
        <v>9852.3274973732605</v>
      </c>
      <c r="BQ89" s="1">
        <v>1</v>
      </c>
      <c r="BR89" s="1">
        <v>1.524</v>
      </c>
    </row>
    <row r="90" spans="1:70">
      <c r="A90" s="2" t="s">
        <v>158</v>
      </c>
      <c r="B90" s="1">
        <v>10997137.8826035</v>
      </c>
      <c r="C90" s="1">
        <v>591.14538588286302</v>
      </c>
      <c r="D90" s="1">
        <v>62.591709712512603</v>
      </c>
      <c r="E90" s="1">
        <v>671.85012637514706</v>
      </c>
      <c r="F90" s="1">
        <v>2706154.0000695102</v>
      </c>
      <c r="G90" s="1">
        <v>1450155.2183028101</v>
      </c>
      <c r="H90" s="1">
        <v>2.0644130954317801E-5</v>
      </c>
      <c r="I90" s="1">
        <v>7.9067733661598901E-5</v>
      </c>
      <c r="J90" s="1">
        <v>0.52342986170916905</v>
      </c>
      <c r="K90" s="1">
        <v>6446.0268474749801</v>
      </c>
      <c r="L90" s="1">
        <v>1.0209472461236E-2</v>
      </c>
      <c r="M90" s="1">
        <v>89</v>
      </c>
      <c r="N90" s="1">
        <v>1017.17242424647</v>
      </c>
      <c r="O90" s="3">
        <v>6.8620353649299505E-5</v>
      </c>
      <c r="P90" s="3">
        <v>2.93650948516345E-2</v>
      </c>
      <c r="Q90" s="3">
        <v>9.3472E-3</v>
      </c>
      <c r="R90" s="1">
        <v>1.524</v>
      </c>
      <c r="S90" s="4">
        <v>1233468.4273437499</v>
      </c>
      <c r="T90" s="1">
        <v>451.88649460669899</v>
      </c>
      <c r="U90" s="5">
        <v>574.575253349077</v>
      </c>
      <c r="V90" s="1">
        <v>0.03</v>
      </c>
      <c r="W90" s="3">
        <v>120247.712228715</v>
      </c>
      <c r="X90" s="1">
        <v>4.1194604914599801E-2</v>
      </c>
      <c r="Y90" s="1">
        <v>4.9269689914128501</v>
      </c>
      <c r="Z90" s="1">
        <v>4.9269690481970603</v>
      </c>
      <c r="AA90" s="1">
        <v>-5.6784205781923401E-8</v>
      </c>
      <c r="AB90" s="1">
        <v>1.5449607142591001E-4</v>
      </c>
      <c r="AC90" s="1">
        <v>655.08322729794702</v>
      </c>
      <c r="AD90" s="1">
        <v>4314.4158653772101</v>
      </c>
      <c r="AE90" s="1">
        <v>574.575253349077</v>
      </c>
      <c r="AF90" s="6">
        <v>0</v>
      </c>
      <c r="AG90" s="1">
        <v>1.54697947971849E-4</v>
      </c>
      <c r="AH90" s="1">
        <v>7.9298889870856897</v>
      </c>
      <c r="AI90" s="1">
        <v>0.108641899987035</v>
      </c>
      <c r="AJ90" s="1">
        <v>142.80881570332201</v>
      </c>
      <c r="AK90" s="1">
        <v>3.6292378410290702</v>
      </c>
      <c r="AL90" s="1">
        <v>0.97371734254408104</v>
      </c>
      <c r="AM90" s="1">
        <v>591.14538579556199</v>
      </c>
      <c r="AN90" s="1">
        <v>8.7300122686428896E-8</v>
      </c>
      <c r="AO90" s="1">
        <v>2.01876545939558E-7</v>
      </c>
      <c r="AP90" s="1">
        <v>2.0076372675504</v>
      </c>
      <c r="AQ90" s="1">
        <v>2.7795907806864003E-4</v>
      </c>
      <c r="AR90" s="1">
        <v>7.7449912258894399E-5</v>
      </c>
      <c r="AS90" s="1">
        <v>71.497588630145302</v>
      </c>
      <c r="AT90" s="1">
        <v>16.174159309196799</v>
      </c>
      <c r="AU90" s="1">
        <v>1.75719139804414</v>
      </c>
      <c r="AV90" s="1">
        <v>0.25044586950626702</v>
      </c>
      <c r="AW90" s="1">
        <v>7.8765917651280604E-2</v>
      </c>
      <c r="AX90" s="1">
        <v>0.25044586496319998</v>
      </c>
      <c r="AY90" s="1">
        <v>4.5430674777691097E-9</v>
      </c>
      <c r="AZ90" s="1">
        <v>1255998.7817667101</v>
      </c>
      <c r="BA90" s="1">
        <v>1.3845084595774001E-4</v>
      </c>
      <c r="BB90" s="4">
        <v>1230415.7256399801</v>
      </c>
      <c r="BC90" s="4">
        <v>-3052.7017037691498</v>
      </c>
      <c r="BD90" s="7">
        <v>-0.247489245455847</v>
      </c>
      <c r="BE90" s="4">
        <v>1810104.16951718</v>
      </c>
      <c r="BF90" s="1">
        <v>0.67974857268472999</v>
      </c>
      <c r="BG90" s="1">
        <v>1</v>
      </c>
      <c r="BH90" s="1">
        <v>0.378</v>
      </c>
      <c r="BI90" s="1">
        <v>4.5999999999999999E-2</v>
      </c>
      <c r="BJ90" s="1">
        <v>5625</v>
      </c>
      <c r="BK90" s="1">
        <v>1.00798142133748</v>
      </c>
      <c r="BL90" s="1">
        <v>139.25889127616401</v>
      </c>
      <c r="BM90" s="1">
        <v>1.2304157256399799</v>
      </c>
      <c r="BN90" s="1">
        <v>139.25889127616401</v>
      </c>
      <c r="BO90" s="1">
        <v>1.00798142133748</v>
      </c>
      <c r="BP90" s="1">
        <v>9852.3274973732605</v>
      </c>
      <c r="BQ90" s="1">
        <v>1</v>
      </c>
      <c r="BR90" s="1">
        <v>1.524</v>
      </c>
    </row>
    <row r="91" spans="1:70">
      <c r="A91" s="2" t="s">
        <v>159</v>
      </c>
      <c r="B91" s="1">
        <v>11066085.455535199</v>
      </c>
      <c r="C91" s="1">
        <v>591.59844217507998</v>
      </c>
      <c r="D91" s="1">
        <v>63.116059220916597</v>
      </c>
      <c r="E91" s="1">
        <v>670.70218150320602</v>
      </c>
      <c r="F91" s="1">
        <v>2704704.39286354</v>
      </c>
      <c r="G91" s="1">
        <v>1452979.60391767</v>
      </c>
      <c r="H91" s="1">
        <v>2.06764711739806E-5</v>
      </c>
      <c r="I91" s="1">
        <v>7.8893761069449804E-5</v>
      </c>
      <c r="J91" s="1">
        <v>0.52262372288993397</v>
      </c>
      <c r="K91" s="1">
        <v>6471.9652427383999</v>
      </c>
      <c r="L91" s="1">
        <v>1.01117851422936E-2</v>
      </c>
      <c r="M91" s="1">
        <v>90</v>
      </c>
      <c r="N91" s="1">
        <v>1017.17242424647</v>
      </c>
      <c r="O91" s="3">
        <v>6.8620353649299505E-5</v>
      </c>
      <c r="P91" s="3">
        <v>2.93650948516345E-2</v>
      </c>
      <c r="Q91" s="3">
        <v>9.3472E-3</v>
      </c>
      <c r="R91" s="1">
        <v>1.524</v>
      </c>
      <c r="S91" s="4">
        <v>908266.83954375004</v>
      </c>
      <c r="T91" s="1">
        <v>507.48014958658098</v>
      </c>
      <c r="U91" s="5">
        <v>597.46017831479401</v>
      </c>
      <c r="V91" s="1">
        <v>0.03</v>
      </c>
      <c r="W91" s="3">
        <v>120512.876494087</v>
      </c>
      <c r="X91" s="1">
        <v>4.1075713965040901E-2</v>
      </c>
      <c r="Y91" s="1">
        <v>4.9340942329244299</v>
      </c>
      <c r="Z91" s="1">
        <v>4.9340942800857697</v>
      </c>
      <c r="AA91" s="1">
        <v>-4.7161330840594902E-8</v>
      </c>
      <c r="AB91" s="1">
        <v>1.5319849834416501E-4</v>
      </c>
      <c r="AC91" s="1">
        <v>634.87604227138604</v>
      </c>
      <c r="AD91" s="1">
        <v>4317.6856869005596</v>
      </c>
      <c r="AE91" s="1">
        <v>597.46017831479401</v>
      </c>
      <c r="AF91" s="6">
        <v>0</v>
      </c>
      <c r="AG91" s="1">
        <v>1.5334667578599401E-4</v>
      </c>
      <c r="AH91" s="1">
        <v>7.9205359725475999</v>
      </c>
      <c r="AI91" s="1">
        <v>0.108670690327047</v>
      </c>
      <c r="AJ91" s="1">
        <v>141.66868092583201</v>
      </c>
      <c r="AK91" s="1">
        <v>2.4550951468357298</v>
      </c>
      <c r="AL91" s="1">
        <v>0.976989097790955</v>
      </c>
      <c r="AM91" s="1">
        <v>591.59844215047406</v>
      </c>
      <c r="AN91" s="1">
        <v>2.4605583348602499E-8</v>
      </c>
      <c r="AO91" s="1">
        <v>1.4817744182948499E-7</v>
      </c>
      <c r="AP91" s="1">
        <v>2.00457431526277</v>
      </c>
      <c r="AQ91" s="1">
        <v>2.7408311886045002E-4</v>
      </c>
      <c r="AR91" s="1">
        <v>7.6747426613911897E-5</v>
      </c>
      <c r="AS91" s="1">
        <v>70.902787015863296</v>
      </c>
      <c r="AT91" s="1">
        <v>16.1532743546875</v>
      </c>
      <c r="AU91" s="1">
        <v>1.7553874751660801</v>
      </c>
      <c r="AV91" s="1">
        <v>0.24918684009669401</v>
      </c>
      <c r="AW91" s="1">
        <v>7.8372967922635497E-2</v>
      </c>
      <c r="AX91" s="1">
        <v>0.249186836214593</v>
      </c>
      <c r="AY91" s="1">
        <v>3.8821009185063798E-9</v>
      </c>
      <c r="AZ91" s="1">
        <v>1251724.78894587</v>
      </c>
      <c r="BA91" s="1">
        <v>1.36728839022624E-4</v>
      </c>
      <c r="BB91" s="4">
        <v>909830.59850489302</v>
      </c>
      <c r="BC91" s="4">
        <v>1563.75896114274</v>
      </c>
      <c r="BD91" s="7">
        <v>0.172169553380179</v>
      </c>
      <c r="BE91" s="4">
        <v>1463730.1057092501</v>
      </c>
      <c r="BF91" s="1">
        <v>0.62158357948375598</v>
      </c>
      <c r="BG91" s="1">
        <v>1</v>
      </c>
      <c r="BH91" s="1">
        <v>0.39800000000000002</v>
      </c>
      <c r="BI91" s="1">
        <v>4.5999999999999999E-2</v>
      </c>
      <c r="BJ91" s="1">
        <v>5625</v>
      </c>
      <c r="BK91" s="1">
        <v>1.0325445691783</v>
      </c>
      <c r="BL91" s="1">
        <v>84.118292588498903</v>
      </c>
      <c r="BM91" s="1">
        <v>0.90983059850489301</v>
      </c>
      <c r="BN91" s="1">
        <v>84.118292588498903</v>
      </c>
      <c r="BO91" s="1">
        <v>1.0325445691783</v>
      </c>
      <c r="BP91" s="1">
        <v>1946.4237409243999</v>
      </c>
      <c r="BQ91" s="1">
        <v>1</v>
      </c>
      <c r="BR91" s="1">
        <v>1.524</v>
      </c>
    </row>
    <row r="92" spans="1:70">
      <c r="A92" s="2" t="s">
        <v>160</v>
      </c>
      <c r="B92" s="1">
        <v>11100559.2420011</v>
      </c>
      <c r="C92" s="1">
        <v>591.82497032118897</v>
      </c>
      <c r="D92" s="1">
        <v>63.378233975119002</v>
      </c>
      <c r="E92" s="1">
        <v>670.12820906723402</v>
      </c>
      <c r="F92" s="1">
        <v>2703979.5892605502</v>
      </c>
      <c r="G92" s="1">
        <v>1454391.7967250999</v>
      </c>
      <c r="H92" s="1">
        <v>2.0692641283812099E-5</v>
      </c>
      <c r="I92" s="1">
        <v>7.8806774773375099E-5</v>
      </c>
      <c r="J92" s="1">
        <v>0.52222065348031699</v>
      </c>
      <c r="K92" s="1">
        <v>6484.9344403701298</v>
      </c>
      <c r="L92" s="1">
        <v>1.00629414828223E-2</v>
      </c>
      <c r="M92" s="1">
        <v>91</v>
      </c>
      <c r="N92" s="1">
        <v>1017.17242424647</v>
      </c>
      <c r="O92" s="3">
        <v>6.8620353649299505E-5</v>
      </c>
      <c r="P92" s="3">
        <v>2.93650948516345E-2</v>
      </c>
      <c r="Q92" s="3">
        <v>9.3472E-3</v>
      </c>
      <c r="R92" s="1">
        <v>1.524</v>
      </c>
      <c r="S92" s="4">
        <v>497549.74621875002</v>
      </c>
      <c r="T92" s="1">
        <v>563.20065007780795</v>
      </c>
      <c r="U92" s="5">
        <v>612.39324862522994</v>
      </c>
      <c r="V92" s="1">
        <v>0.03</v>
      </c>
      <c r="W92" s="3">
        <v>120645.89765610899</v>
      </c>
      <c r="X92" s="1">
        <v>4.1016077268350097E-2</v>
      </c>
      <c r="Y92" s="1">
        <v>4.9376799756223502</v>
      </c>
      <c r="Z92" s="1">
        <v>4.9376800182882796</v>
      </c>
      <c r="AA92" s="1">
        <v>-4.2665931232477299E-8</v>
      </c>
      <c r="AB92" s="1">
        <v>1.5254950471217199E-4</v>
      </c>
      <c r="AC92" s="1">
        <v>612.10864184345905</v>
      </c>
      <c r="AD92" s="1">
        <v>4319.3125504361997</v>
      </c>
      <c r="AE92" s="1">
        <v>612.39324875175896</v>
      </c>
      <c r="AF92" s="6">
        <v>1.26529585031676E-7</v>
      </c>
      <c r="AG92" s="1">
        <v>1.52629735044912E-4</v>
      </c>
      <c r="AH92" s="1">
        <v>7.91581054436769</v>
      </c>
      <c r="AI92" s="1">
        <v>0.10868478377249099</v>
      </c>
      <c r="AJ92" s="1">
        <v>141.05946810793401</v>
      </c>
      <c r="AK92" s="1">
        <v>1.1503902166025901</v>
      </c>
      <c r="AL92" s="1">
        <v>0.9786222824709</v>
      </c>
      <c r="AM92" s="1">
        <v>591.82497026575197</v>
      </c>
      <c r="AN92" s="1">
        <v>5.5437340051867101E-8</v>
      </c>
      <c r="AO92" s="1">
        <v>8.0230332740279702E-8</v>
      </c>
      <c r="AP92" s="1">
        <v>2.0029021997362002</v>
      </c>
      <c r="AQ92" s="1">
        <v>2.7220194750065798E-4</v>
      </c>
      <c r="AR92" s="1">
        <v>7.6354982688826194E-5</v>
      </c>
      <c r="AS92" s="1">
        <v>70.566808245503594</v>
      </c>
      <c r="AT92" s="1">
        <v>16.1413997394598</v>
      </c>
      <c r="AU92" s="1">
        <v>1.7543245404685299</v>
      </c>
      <c r="AV92" s="1">
        <v>0.24857765926766701</v>
      </c>
      <c r="AW92" s="1">
        <v>7.8176278185764697E-2</v>
      </c>
      <c r="AX92" s="1">
        <v>0.248577655725153</v>
      </c>
      <c r="AY92" s="1">
        <v>3.54251464274036E-9</v>
      </c>
      <c r="AZ92" s="1">
        <v>1249587.7925354501</v>
      </c>
      <c r="BA92" s="1">
        <v>1.3590376381658099E-4</v>
      </c>
      <c r="BB92" s="4">
        <v>494346.86303151498</v>
      </c>
      <c r="BC92" s="4">
        <v>-3202.8831872348101</v>
      </c>
      <c r="BD92" s="7">
        <v>-0.64373124729253695</v>
      </c>
      <c r="BE92" s="4">
        <v>1117356.04190133</v>
      </c>
      <c r="BF92" s="1">
        <v>0.442425551474459</v>
      </c>
      <c r="BG92" s="1">
        <v>1</v>
      </c>
      <c r="BH92" s="1">
        <v>0.44</v>
      </c>
      <c r="BI92" s="1">
        <v>4.5999999999999999E-2</v>
      </c>
      <c r="BJ92" s="1">
        <v>5625</v>
      </c>
      <c r="BK92" s="1">
        <v>1.0449538257886899</v>
      </c>
      <c r="BL92" s="1">
        <v>28.6243202433809</v>
      </c>
      <c r="BM92" s="1">
        <v>0.49434686303151498</v>
      </c>
      <c r="BN92" s="1">
        <v>28.6243202433809</v>
      </c>
      <c r="BO92" s="1">
        <v>1.0449538257886899</v>
      </c>
      <c r="BP92" s="1">
        <v>129.406089925153</v>
      </c>
      <c r="BQ92" s="1">
        <v>1</v>
      </c>
      <c r="BR92" s="1">
        <v>1.524</v>
      </c>
    </row>
    <row r="93" spans="1:70">
      <c r="A93" s="2" t="s">
        <v>161</v>
      </c>
      <c r="B93" s="1">
        <v>11100559.2420011</v>
      </c>
      <c r="C93" s="1">
        <v>591.82497032118897</v>
      </c>
      <c r="D93" s="1">
        <v>63.378233975119002</v>
      </c>
      <c r="E93" s="1">
        <v>670.12820906723402</v>
      </c>
      <c r="F93" s="1">
        <v>2703979.5892605502</v>
      </c>
      <c r="G93" s="1">
        <v>1454391.7967250999</v>
      </c>
      <c r="H93" s="1">
        <v>2.0692641283812099E-5</v>
      </c>
      <c r="I93" s="1">
        <v>7.8806774773375099E-5</v>
      </c>
      <c r="J93" s="1">
        <v>0.52222065348031699</v>
      </c>
      <c r="K93" s="1">
        <v>6484.9344403701298</v>
      </c>
      <c r="L93" s="1">
        <v>1.00629414828223E-2</v>
      </c>
      <c r="M93" s="1">
        <v>92</v>
      </c>
      <c r="N93" s="1">
        <v>1017.17242424647</v>
      </c>
      <c r="O93" s="3">
        <v>6.8620353649299505E-5</v>
      </c>
      <c r="P93" s="3">
        <v>2.93650948516345E-2</v>
      </c>
      <c r="Q93" s="3">
        <v>9.3472E-3</v>
      </c>
      <c r="R93" s="1">
        <v>1.524</v>
      </c>
      <c r="S93" s="4">
        <v>497549.74621875002</v>
      </c>
      <c r="T93" s="1">
        <v>563.20065007780795</v>
      </c>
      <c r="U93" s="5">
        <v>612.39324862522994</v>
      </c>
      <c r="V93" s="1">
        <v>0.03</v>
      </c>
      <c r="W93" s="3">
        <v>120645.89765610899</v>
      </c>
      <c r="X93" s="1">
        <v>4.1016077268350097E-2</v>
      </c>
      <c r="Y93" s="1">
        <v>4.9376799756223502</v>
      </c>
      <c r="Z93" s="1">
        <v>4.9376800182882796</v>
      </c>
      <c r="AA93" s="1">
        <v>-4.2665931232477299E-8</v>
      </c>
      <c r="AB93" s="1">
        <v>1.5254950471217199E-4</v>
      </c>
      <c r="AC93" s="1">
        <v>612.10864184345905</v>
      </c>
      <c r="AD93" s="1">
        <v>4319.3125504361997</v>
      </c>
      <c r="AE93" s="1">
        <v>612.39324875175896</v>
      </c>
      <c r="AF93" s="6">
        <v>1.26529585031676E-7</v>
      </c>
      <c r="AG93" s="1">
        <v>1.52629735044912E-4</v>
      </c>
      <c r="AH93" s="1">
        <v>7.91581054436769</v>
      </c>
      <c r="AI93" s="1">
        <v>0.10868478377249099</v>
      </c>
      <c r="AJ93" s="1">
        <v>141.05946810793401</v>
      </c>
      <c r="AK93" s="1">
        <v>1.1503902166025901</v>
      </c>
      <c r="AL93" s="1">
        <v>0.9786222824709</v>
      </c>
      <c r="AM93" s="1">
        <v>591.82497026575197</v>
      </c>
      <c r="AN93" s="1">
        <v>5.5437340051867101E-8</v>
      </c>
      <c r="AO93" s="1">
        <v>8.0230332740279702E-8</v>
      </c>
      <c r="AP93" s="1">
        <v>2.0029021997362002</v>
      </c>
      <c r="AQ93" s="1">
        <v>2.7220194750065798E-4</v>
      </c>
      <c r="AR93" s="1">
        <v>7.6354982688826194E-5</v>
      </c>
      <c r="AS93" s="1">
        <v>70.566808245503594</v>
      </c>
      <c r="AT93" s="1">
        <v>16.1413997394598</v>
      </c>
      <c r="AU93" s="1">
        <v>1.7543245404685299</v>
      </c>
      <c r="AV93" s="1">
        <v>0.24857765926766701</v>
      </c>
      <c r="AW93" s="1">
        <v>7.8176278185764697E-2</v>
      </c>
      <c r="AX93" s="1">
        <v>0.248577655725153</v>
      </c>
      <c r="AY93" s="1">
        <v>3.54251464274036E-9</v>
      </c>
      <c r="AZ93" s="1">
        <v>1249587.7925354501</v>
      </c>
      <c r="BA93" s="1">
        <v>1.3590376381658099E-4</v>
      </c>
      <c r="BB93" s="4">
        <v>494346.86303151498</v>
      </c>
      <c r="BC93" s="4">
        <v>-3202.8831872348101</v>
      </c>
      <c r="BD93" s="7">
        <v>-0.64373124729253695</v>
      </c>
      <c r="BE93" s="4">
        <v>1123980.68246596</v>
      </c>
      <c r="BF93" s="1">
        <v>0.439817935257519</v>
      </c>
      <c r="BG93" s="1">
        <v>1</v>
      </c>
      <c r="BH93" s="1">
        <v>0.44400000000000001</v>
      </c>
      <c r="BI93" s="1">
        <v>4.5999999999999999E-2</v>
      </c>
      <c r="BJ93" s="1">
        <v>5625</v>
      </c>
      <c r="BK93" s="1">
        <v>1.0449538257886899</v>
      </c>
      <c r="BL93" s="1">
        <v>28.6243202433809</v>
      </c>
      <c r="BM93" s="1">
        <v>0.49434686303151498</v>
      </c>
      <c r="BN93" s="1">
        <v>28.6243202433809</v>
      </c>
      <c r="BO93" s="1">
        <v>1.0449538257886899</v>
      </c>
      <c r="BP93" s="1">
        <v>129.406089925153</v>
      </c>
      <c r="BQ93" s="1">
        <v>1</v>
      </c>
      <c r="BR93" s="1">
        <v>1.524</v>
      </c>
    </row>
    <row r="94" spans="1:70">
      <c r="A94" s="2" t="s">
        <v>162</v>
      </c>
      <c r="B94" s="1">
        <v>10997137.8826035</v>
      </c>
      <c r="C94" s="1">
        <v>591.14538588286302</v>
      </c>
      <c r="D94" s="1">
        <v>62.591709712512603</v>
      </c>
      <c r="E94" s="1">
        <v>671.85012637514706</v>
      </c>
      <c r="F94" s="1">
        <v>2706154.0000695102</v>
      </c>
      <c r="G94" s="1">
        <v>1450155.2183028101</v>
      </c>
      <c r="H94" s="1">
        <v>2.0644130954317801E-5</v>
      </c>
      <c r="I94" s="1">
        <v>7.9067733661598901E-5</v>
      </c>
      <c r="J94" s="1">
        <v>0.52342986170916905</v>
      </c>
      <c r="K94" s="1">
        <v>6446.0268474749801</v>
      </c>
      <c r="L94" s="1">
        <v>1.0209472461236E-2</v>
      </c>
      <c r="M94" s="1">
        <v>93</v>
      </c>
      <c r="N94" s="1">
        <v>2034.3448484929399</v>
      </c>
      <c r="O94" s="3">
        <v>6.8620353649299505E-5</v>
      </c>
      <c r="P94" s="3">
        <v>2.93650948516345E-2</v>
      </c>
      <c r="Q94" s="3">
        <v>9.3472E-3</v>
      </c>
      <c r="R94" s="1">
        <v>1.524</v>
      </c>
      <c r="S94" s="4">
        <v>1634789.25171875</v>
      </c>
      <c r="T94" s="1">
        <v>508.01717724928898</v>
      </c>
      <c r="U94" s="5">
        <v>589.32054085895902</v>
      </c>
      <c r="V94" s="1">
        <v>0.03</v>
      </c>
      <c r="W94" s="3">
        <v>240495.42445742901</v>
      </c>
      <c r="X94" s="1">
        <v>2.9492300038704899E-2</v>
      </c>
      <c r="Y94" s="1">
        <v>5.8229850920735604</v>
      </c>
      <c r="Z94" s="1">
        <v>5.8229851049200798</v>
      </c>
      <c r="AA94" s="1">
        <v>-1.28465176274517E-8</v>
      </c>
      <c r="AB94" s="1">
        <v>5.3949714119411298E-5</v>
      </c>
      <c r="AC94" s="1">
        <v>634.120960308897</v>
      </c>
      <c r="AD94" s="1">
        <v>7301.0639212210599</v>
      </c>
      <c r="AE94" s="1">
        <v>589.32054121144495</v>
      </c>
      <c r="AF94" s="6">
        <v>3.5248592666903299E-7</v>
      </c>
      <c r="AG94" s="1">
        <v>5.4028752041715799E-5</v>
      </c>
      <c r="AH94" s="1">
        <v>22.708863528667301</v>
      </c>
      <c r="AI94" s="1">
        <v>0.18384909593292001</v>
      </c>
      <c r="AJ94" s="1">
        <v>84.403323399599799</v>
      </c>
      <c r="AK94" s="1">
        <v>2.63610499095924</v>
      </c>
      <c r="AL94" s="1">
        <v>0.97371734254408104</v>
      </c>
      <c r="AM94" s="1">
        <v>591.14538576440498</v>
      </c>
      <c r="AN94" s="1">
        <v>1.18458046927117E-7</v>
      </c>
      <c r="AO94" s="1">
        <v>7.9037922304426703E-8</v>
      </c>
      <c r="AP94" s="1">
        <v>3.0142444968106399</v>
      </c>
      <c r="AQ94" s="1">
        <v>1.2330889526139801E-4</v>
      </c>
      <c r="AR94" s="1">
        <v>2.7053894982010099E-5</v>
      </c>
      <c r="AS94" s="1">
        <v>42.263397933425502</v>
      </c>
      <c r="AT94" s="1">
        <v>14.8598035359612</v>
      </c>
      <c r="AU94" s="1">
        <v>2.7319614458272801</v>
      </c>
      <c r="AV94" s="1">
        <v>0.28228305098336498</v>
      </c>
      <c r="AW94" s="1">
        <v>2.7504898347383101E-2</v>
      </c>
      <c r="AX94" s="1">
        <v>0.282283038902852</v>
      </c>
      <c r="AY94" s="1">
        <v>1.20805124792511E-8</v>
      </c>
      <c r="AZ94" s="1">
        <v>1255998.7817667101</v>
      </c>
      <c r="BA94" s="1">
        <v>4.0908723692411399E-5</v>
      </c>
      <c r="BB94" s="4">
        <v>1630351.34634482</v>
      </c>
      <c r="BC94" s="4">
        <v>-4437.9053739297697</v>
      </c>
      <c r="BD94" s="7">
        <v>-0.271466512840352</v>
      </c>
      <c r="BE94" s="4">
        <v>1988969.46476225</v>
      </c>
      <c r="BF94" s="1">
        <v>0.819696518840073</v>
      </c>
      <c r="BG94" s="1">
        <v>1</v>
      </c>
      <c r="BH94" s="1">
        <v>0.151</v>
      </c>
      <c r="BI94" s="1">
        <v>4.5999999999999999E-2</v>
      </c>
      <c r="BJ94" s="1">
        <v>5625</v>
      </c>
      <c r="BK94" s="1">
        <v>1.03304820309764</v>
      </c>
      <c r="BL94" s="1">
        <v>83.128208633573607</v>
      </c>
      <c r="BM94" s="1">
        <v>1.63035134634482</v>
      </c>
      <c r="BN94" s="1">
        <v>83.128208633573607</v>
      </c>
      <c r="BO94" s="1">
        <v>1.03304820309764</v>
      </c>
      <c r="BP94" s="1">
        <v>1860.0423799410501</v>
      </c>
      <c r="BQ94" s="1">
        <v>1</v>
      </c>
      <c r="BR94" s="1">
        <v>1.524</v>
      </c>
    </row>
    <row r="95" spans="1:70">
      <c r="A95" s="2" t="s">
        <v>163</v>
      </c>
      <c r="B95" s="1">
        <v>11031611.6690694</v>
      </c>
      <c r="C95" s="1">
        <v>591.37191402897201</v>
      </c>
      <c r="D95" s="1">
        <v>62.853884466715002</v>
      </c>
      <c r="E95" s="1">
        <v>671.27615393917495</v>
      </c>
      <c r="F95" s="1">
        <v>2705429.1964665302</v>
      </c>
      <c r="G95" s="1">
        <v>1451567.41111024</v>
      </c>
      <c r="H95" s="1">
        <v>2.0660301064149199E-5</v>
      </c>
      <c r="I95" s="1">
        <v>7.8980747365524196E-5</v>
      </c>
      <c r="J95" s="1">
        <v>0.52302679229955096</v>
      </c>
      <c r="K95" s="1">
        <v>6458.99604510671</v>
      </c>
      <c r="L95" s="1">
        <v>1.01606288017648E-2</v>
      </c>
      <c r="M95" s="1">
        <v>94</v>
      </c>
      <c r="N95" s="1">
        <v>2034.3448484929399</v>
      </c>
      <c r="O95" s="3">
        <v>6.8620353649299505E-5</v>
      </c>
      <c r="P95" s="3">
        <v>2.93650948516345E-2</v>
      </c>
      <c r="Q95" s="3">
        <v>9.3472E-3</v>
      </c>
      <c r="R95" s="1">
        <v>1.524</v>
      </c>
      <c r="S95" s="4">
        <v>902406.84546874999</v>
      </c>
      <c r="T95" s="1">
        <v>563.22085425488206</v>
      </c>
      <c r="U95" s="5">
        <v>608.01035401992795</v>
      </c>
      <c r="V95" s="1">
        <v>0.03</v>
      </c>
      <c r="W95" s="3">
        <v>240760.29668128499</v>
      </c>
      <c r="X95" s="1">
        <v>2.9455365014964E-2</v>
      </c>
      <c r="Y95" s="1">
        <v>5.8266347618927004</v>
      </c>
      <c r="Z95" s="1">
        <v>5.8266347737278803</v>
      </c>
      <c r="AA95" s="1">
        <v>-1.18351852762544E-8</v>
      </c>
      <c r="AB95" s="1">
        <v>5.37130090298092E-5</v>
      </c>
      <c r="AC95" s="1">
        <v>611.73479892995601</v>
      </c>
      <c r="AD95" s="1">
        <v>7304.5267714927304</v>
      </c>
      <c r="AE95" s="1">
        <v>608.01035414254102</v>
      </c>
      <c r="AF95" s="6">
        <v>1.2261284609849099E-7</v>
      </c>
      <c r="AG95" s="1">
        <v>5.37564743190514E-5</v>
      </c>
      <c r="AH95" s="1">
        <v>22.699816640976199</v>
      </c>
      <c r="AI95" s="1">
        <v>0.18389103818348901</v>
      </c>
      <c r="AJ95" s="1">
        <v>84.017803364552506</v>
      </c>
      <c r="AK95" s="1">
        <v>1.2487675132673299</v>
      </c>
      <c r="AL95" s="1">
        <v>0.97535411643181102</v>
      </c>
      <c r="AM95" s="1">
        <v>591.37191398100003</v>
      </c>
      <c r="AN95" s="1">
        <v>4.7971411731850802E-8</v>
      </c>
      <c r="AO95" s="1">
        <v>4.3465289242240698E-8</v>
      </c>
      <c r="AP95" s="1">
        <v>3.0117928847256401</v>
      </c>
      <c r="AQ95" s="1">
        <v>1.2245877191459299E-4</v>
      </c>
      <c r="AR95" s="1">
        <v>2.68999698041468E-5</v>
      </c>
      <c r="AS95" s="1">
        <v>42.042868364159702</v>
      </c>
      <c r="AT95" s="1">
        <v>14.846724432714</v>
      </c>
      <c r="AU95" s="1">
        <v>2.7301795695559599</v>
      </c>
      <c r="AV95" s="1">
        <v>0.28161331516968202</v>
      </c>
      <c r="AW95" s="1">
        <v>2.7431118692853401E-2</v>
      </c>
      <c r="AX95" s="1">
        <v>0.281613303305495</v>
      </c>
      <c r="AY95" s="1">
        <v>1.18641865221036E-8</v>
      </c>
      <c r="AZ95" s="1">
        <v>1253861.7853562899</v>
      </c>
      <c r="BA95" s="1">
        <v>4.0659758689133299E-5</v>
      </c>
      <c r="BB95" s="4">
        <v>899764.10462663998</v>
      </c>
      <c r="BC95" s="4">
        <v>-2642.74084211024</v>
      </c>
      <c r="BD95" s="7">
        <v>-0.29285469800902098</v>
      </c>
      <c r="BE95" s="4">
        <v>1385496.2552316899</v>
      </c>
      <c r="BF95" s="1">
        <v>0.64941648252681605</v>
      </c>
      <c r="BG95" s="1">
        <v>1</v>
      </c>
      <c r="BH95" s="1">
        <v>0.224</v>
      </c>
      <c r="BI95" s="1">
        <v>4.5999999999999999E-2</v>
      </c>
      <c r="BJ95" s="1">
        <v>5625</v>
      </c>
      <c r="BK95" s="1">
        <v>1.04486607142134</v>
      </c>
      <c r="BL95" s="1">
        <v>28.1510597740895</v>
      </c>
      <c r="BM95" s="1">
        <v>0.89976410462664003</v>
      </c>
      <c r="BN95" s="1">
        <v>28.1510597740895</v>
      </c>
      <c r="BO95" s="1">
        <v>1.04486607142134</v>
      </c>
      <c r="BP95" s="1">
        <v>140.39738447720001</v>
      </c>
      <c r="BQ95" s="1">
        <v>1</v>
      </c>
      <c r="BR95" s="1">
        <v>1.524</v>
      </c>
    </row>
    <row r="96" spans="1:70">
      <c r="A96" s="2" t="s">
        <v>164</v>
      </c>
      <c r="B96" s="1">
        <v>11031611.6690694</v>
      </c>
      <c r="C96" s="1">
        <v>591.37191402897201</v>
      </c>
      <c r="D96" s="1">
        <v>62.853884466715002</v>
      </c>
      <c r="E96" s="1">
        <v>671.27615393917495</v>
      </c>
      <c r="F96" s="1">
        <v>2705429.1964665302</v>
      </c>
      <c r="G96" s="1">
        <v>1451567.41111024</v>
      </c>
      <c r="H96" s="1">
        <v>2.0660301064149199E-5</v>
      </c>
      <c r="I96" s="1">
        <v>7.8980747365524196E-5</v>
      </c>
      <c r="J96" s="1">
        <v>0.52302679229955096</v>
      </c>
      <c r="K96" s="1">
        <v>6458.99604510671</v>
      </c>
      <c r="L96" s="1">
        <v>1.01606288017648E-2</v>
      </c>
      <c r="M96" s="1">
        <v>95</v>
      </c>
      <c r="N96" s="1">
        <v>2034.3448484929399</v>
      </c>
      <c r="O96" s="3">
        <v>6.8620353649299505E-5</v>
      </c>
      <c r="P96" s="3">
        <v>2.93650948516345E-2</v>
      </c>
      <c r="Q96" s="3">
        <v>9.3472E-3</v>
      </c>
      <c r="R96" s="1">
        <v>1.524</v>
      </c>
      <c r="S96" s="4">
        <v>2234220.83984375</v>
      </c>
      <c r="T96" s="1">
        <v>451.67797883511702</v>
      </c>
      <c r="U96" s="5">
        <v>562.56990555721802</v>
      </c>
      <c r="V96" s="1">
        <v>0.03</v>
      </c>
      <c r="W96" s="3">
        <v>240760.29668128499</v>
      </c>
      <c r="X96" s="1">
        <v>2.9455365014964E-2</v>
      </c>
      <c r="Y96" s="1">
        <v>5.8266347618927004</v>
      </c>
      <c r="Z96" s="1">
        <v>5.8266347737278803</v>
      </c>
      <c r="AA96" s="1">
        <v>-1.18351852762544E-8</v>
      </c>
      <c r="AB96" s="1">
        <v>5.37130090298092E-5</v>
      </c>
      <c r="AC96" s="1">
        <v>655.37636496599998</v>
      </c>
      <c r="AD96" s="1">
        <v>7304.5267714927304</v>
      </c>
      <c r="AE96" s="1">
        <v>562.56990611533399</v>
      </c>
      <c r="AF96" s="6">
        <v>5.5811597121646596E-7</v>
      </c>
      <c r="AG96" s="1">
        <v>5.3819842087507303E-5</v>
      </c>
      <c r="AH96" s="1">
        <v>22.699816640976199</v>
      </c>
      <c r="AI96" s="1">
        <v>0.18389103818348901</v>
      </c>
      <c r="AJ96" s="1">
        <v>84.116842983076907</v>
      </c>
      <c r="AK96" s="1">
        <v>3.9244068676421802</v>
      </c>
      <c r="AL96" s="1">
        <v>0.97535411643181102</v>
      </c>
      <c r="AM96" s="1">
        <v>591.37191387242694</v>
      </c>
      <c r="AN96" s="1">
        <v>1.5654438811907301E-7</v>
      </c>
      <c r="AO96" s="1">
        <v>1.06833057698062E-7</v>
      </c>
      <c r="AP96" s="1">
        <v>3.01278211677413</v>
      </c>
      <c r="AQ96" s="1">
        <v>1.2237836765751801E-4</v>
      </c>
      <c r="AR96" s="1">
        <v>2.69633375726027E-5</v>
      </c>
      <c r="AS96" s="1">
        <v>42.141907982684003</v>
      </c>
      <c r="AT96" s="1">
        <v>14.852606711465199</v>
      </c>
      <c r="AU96" s="1">
        <v>2.7312612679024002</v>
      </c>
      <c r="AV96" s="1">
        <v>0.28152084887172502</v>
      </c>
      <c r="AW96" s="1">
        <v>2.7431118692853401E-2</v>
      </c>
      <c r="AX96" s="1">
        <v>0.28152083697566699</v>
      </c>
      <c r="AY96" s="1">
        <v>1.18960586936723E-8</v>
      </c>
      <c r="AZ96" s="1">
        <v>1253861.7853562899</v>
      </c>
      <c r="BA96" s="1">
        <v>4.0619720548710601E-5</v>
      </c>
      <c r="BB96" s="4">
        <v>2213704.3248005402</v>
      </c>
      <c r="BC96" s="4">
        <v>-20516.515043206</v>
      </c>
      <c r="BD96" s="7">
        <v>-0.91828500913279798</v>
      </c>
      <c r="BE96" s="4">
        <v>2603483.7419005302</v>
      </c>
      <c r="BF96" s="1">
        <v>0.85028544222233204</v>
      </c>
      <c r="BG96" s="1">
        <v>1</v>
      </c>
      <c r="BH96" s="1">
        <v>0.11600000000000001</v>
      </c>
      <c r="BI96" s="1">
        <v>4.5999999999999999E-2</v>
      </c>
      <c r="BJ96" s="1">
        <v>5625</v>
      </c>
      <c r="BK96" s="1">
        <v>1.00785954934439</v>
      </c>
      <c r="BL96" s="1">
        <v>139.693935193855</v>
      </c>
      <c r="BM96" s="1">
        <v>2.2137043248005401</v>
      </c>
      <c r="BN96" s="1">
        <v>139.693935193855</v>
      </c>
      <c r="BO96" s="1">
        <v>1.00785954934439</v>
      </c>
      <c r="BP96" s="1">
        <v>9938.8807144364691</v>
      </c>
      <c r="BQ96" s="1">
        <v>1</v>
      </c>
      <c r="BR96" s="1">
        <v>1.524</v>
      </c>
    </row>
    <row r="97" spans="1:70">
      <c r="A97" s="2" t="s">
        <v>165</v>
      </c>
      <c r="B97" s="1">
        <v>11066085.455535199</v>
      </c>
      <c r="C97" s="1">
        <v>591.59844217507998</v>
      </c>
      <c r="D97" s="1">
        <v>63.116059220916597</v>
      </c>
      <c r="E97" s="1">
        <v>670.70218150320602</v>
      </c>
      <c r="F97" s="1">
        <v>2704704.39286354</v>
      </c>
      <c r="G97" s="1">
        <v>1452979.60391767</v>
      </c>
      <c r="H97" s="1">
        <v>2.06764711739806E-5</v>
      </c>
      <c r="I97" s="1">
        <v>7.8893761069449804E-5</v>
      </c>
      <c r="J97" s="1">
        <v>0.52262372288993397</v>
      </c>
      <c r="K97" s="1">
        <v>6471.9652427383999</v>
      </c>
      <c r="L97" s="1">
        <v>1.01117851422936E-2</v>
      </c>
      <c r="M97" s="1">
        <v>96</v>
      </c>
      <c r="N97" s="1">
        <v>2034.3448484929399</v>
      </c>
      <c r="O97" s="3">
        <v>6.8620353649299505E-5</v>
      </c>
      <c r="P97" s="3">
        <v>2.93650948516345E-2</v>
      </c>
      <c r="Q97" s="3">
        <v>9.3472E-3</v>
      </c>
      <c r="R97" s="1">
        <v>1.524</v>
      </c>
      <c r="S97" s="4">
        <v>903157.05546874995</v>
      </c>
      <c r="T97" s="1">
        <v>563.49230128878798</v>
      </c>
      <c r="U97" s="5">
        <v>608.22920803195905</v>
      </c>
      <c r="V97" s="1">
        <v>0.03</v>
      </c>
      <c r="W97" s="3">
        <v>241025.752988174</v>
      </c>
      <c r="X97" s="1">
        <v>2.94183448568998E-2</v>
      </c>
      <c r="Y97" s="1">
        <v>5.8302997390222604</v>
      </c>
      <c r="Z97" s="1">
        <v>5.8302997498897398</v>
      </c>
      <c r="AA97" s="1">
        <v>-1.0867479360854301E-8</v>
      </c>
      <c r="AB97" s="1">
        <v>5.3476306437943699E-5</v>
      </c>
      <c r="AC97" s="1">
        <v>611.96613376691801</v>
      </c>
      <c r="AD97" s="1">
        <v>7307.9838090413796</v>
      </c>
      <c r="AE97" s="1">
        <v>608.22920815698797</v>
      </c>
      <c r="AF97" s="6">
        <v>1.2502891877375101E-7</v>
      </c>
      <c r="AG97" s="1">
        <v>5.3519447609770802E-5</v>
      </c>
      <c r="AH97" s="1">
        <v>22.690688603995799</v>
      </c>
      <c r="AI97" s="1">
        <v>0.18393271373060499</v>
      </c>
      <c r="AJ97" s="1">
        <v>83.686934397689996</v>
      </c>
      <c r="AK97" s="1">
        <v>1.2486594486156699</v>
      </c>
      <c r="AL97" s="1">
        <v>0.976989097790955</v>
      </c>
      <c r="AM97" s="1">
        <v>591.59844213369297</v>
      </c>
      <c r="AN97" s="1">
        <v>4.1386442717339398E-8</v>
      </c>
      <c r="AO97" s="1">
        <v>4.3141171827170899E-8</v>
      </c>
      <c r="AP97" s="1">
        <v>3.0098783173753199</v>
      </c>
      <c r="AQ97" s="1">
        <v>1.2157064856960001E-4</v>
      </c>
      <c r="AR97" s="1">
        <v>2.6781294390799E-5</v>
      </c>
      <c r="AS97" s="1">
        <v>41.877196549368797</v>
      </c>
      <c r="AT97" s="1">
        <v>14.836853609199499</v>
      </c>
      <c r="AU97" s="1">
        <v>2.7289827475637898</v>
      </c>
      <c r="AV97" s="1">
        <v>0.28089556981153002</v>
      </c>
      <c r="AW97" s="1">
        <v>2.73572971953456E-2</v>
      </c>
      <c r="AX97" s="1">
        <v>0.28089555815053302</v>
      </c>
      <c r="AY97" s="1">
        <v>1.16609968348058E-8</v>
      </c>
      <c r="AZ97" s="1">
        <v>1251724.78894587</v>
      </c>
      <c r="BA97" s="1">
        <v>4.0390552623938802E-5</v>
      </c>
      <c r="BB97" s="4">
        <v>896707.31832763203</v>
      </c>
      <c r="BC97" s="4">
        <v>-6449.7371411180402</v>
      </c>
      <c r="BD97" s="7">
        <v>-0.71413239835352205</v>
      </c>
      <c r="BE97" s="4">
        <v>1385496.2552316899</v>
      </c>
      <c r="BF97" s="1">
        <v>0.64721020713093103</v>
      </c>
      <c r="BG97" s="1">
        <v>1</v>
      </c>
      <c r="BH97" s="1">
        <v>0.224</v>
      </c>
      <c r="BI97" s="1">
        <v>4.5999999999999999E-2</v>
      </c>
      <c r="BJ97" s="1">
        <v>5625</v>
      </c>
      <c r="BK97" s="1">
        <v>1.0448575656194601</v>
      </c>
      <c r="BL97" s="1">
        <v>28.1061408862919</v>
      </c>
      <c r="BM97" s="1">
        <v>0.89670731832763195</v>
      </c>
      <c r="BN97" s="1">
        <v>28.1061408862919</v>
      </c>
      <c r="BO97" s="1">
        <v>1.0448575656194601</v>
      </c>
      <c r="BP97" s="1">
        <v>141.463884616738</v>
      </c>
      <c r="BQ97" s="1">
        <v>1</v>
      </c>
      <c r="BR97" s="1">
        <v>1.524</v>
      </c>
    </row>
    <row r="98" spans="1:70">
      <c r="A98" s="2" t="s">
        <v>166</v>
      </c>
      <c r="B98" s="1">
        <v>11066085.455535199</v>
      </c>
      <c r="C98" s="1">
        <v>591.59844217507998</v>
      </c>
      <c r="D98" s="1">
        <v>63.116059220916597</v>
      </c>
      <c r="E98" s="1">
        <v>670.70218150320602</v>
      </c>
      <c r="F98" s="1">
        <v>2704704.39286354</v>
      </c>
      <c r="G98" s="1">
        <v>1452979.60391767</v>
      </c>
      <c r="H98" s="1">
        <v>2.06764711739806E-5</v>
      </c>
      <c r="I98" s="1">
        <v>7.8893761069449804E-5</v>
      </c>
      <c r="J98" s="1">
        <v>0.52262372288993397</v>
      </c>
      <c r="K98" s="1">
        <v>6471.9652427383999</v>
      </c>
      <c r="L98" s="1">
        <v>1.01117851422936E-2</v>
      </c>
      <c r="M98" s="1">
        <v>97</v>
      </c>
      <c r="N98" s="1">
        <v>2034.3448484929399</v>
      </c>
      <c r="O98" s="3">
        <v>6.8620353649299505E-5</v>
      </c>
      <c r="P98" s="3">
        <v>2.93650948516345E-2</v>
      </c>
      <c r="Q98" s="3">
        <v>9.3472E-3</v>
      </c>
      <c r="R98" s="1">
        <v>1.524</v>
      </c>
      <c r="S98" s="4">
        <v>2235652.11328125</v>
      </c>
      <c r="T98" s="1">
        <v>452.00279575601002</v>
      </c>
      <c r="U98" s="5">
        <v>562.74340227225605</v>
      </c>
      <c r="V98" s="1">
        <v>0.03</v>
      </c>
      <c r="W98" s="3">
        <v>241025.752988174</v>
      </c>
      <c r="X98" s="1">
        <v>2.94183448568998E-2</v>
      </c>
      <c r="Y98" s="1">
        <v>5.8302997390222604</v>
      </c>
      <c r="Z98" s="1">
        <v>5.8302997498897398</v>
      </c>
      <c r="AA98" s="1">
        <v>-1.0867479360854301E-8</v>
      </c>
      <c r="AB98" s="1">
        <v>5.3476306437943699E-5</v>
      </c>
      <c r="AC98" s="1">
        <v>655.68098001988301</v>
      </c>
      <c r="AD98" s="1">
        <v>7307.9838090413796</v>
      </c>
      <c r="AE98" s="1">
        <v>562.74340283345703</v>
      </c>
      <c r="AF98" s="6">
        <v>5.6120120461855496E-7</v>
      </c>
      <c r="AG98" s="1">
        <v>5.35840239752561E-5</v>
      </c>
      <c r="AH98" s="1">
        <v>22.690688603995799</v>
      </c>
      <c r="AI98" s="1">
        <v>0.18393271373060499</v>
      </c>
      <c r="AJ98" s="1">
        <v>83.787910739998495</v>
      </c>
      <c r="AK98" s="1">
        <v>3.9279110342785399</v>
      </c>
      <c r="AL98" s="1">
        <v>0.976989097790955</v>
      </c>
      <c r="AM98" s="1">
        <v>591.598442039406</v>
      </c>
      <c r="AN98" s="1">
        <v>1.35673985823814E-7</v>
      </c>
      <c r="AO98" s="1">
        <v>1.07717537312435E-7</v>
      </c>
      <c r="AP98" s="1">
        <v>3.01089125180745</v>
      </c>
      <c r="AQ98" s="1">
        <v>1.21488863894258E-4</v>
      </c>
      <c r="AR98" s="1">
        <v>2.6845870756284302E-5</v>
      </c>
      <c r="AS98" s="1">
        <v>41.978172891677303</v>
      </c>
      <c r="AT98" s="1">
        <v>14.842874475352099</v>
      </c>
      <c r="AU98" s="1">
        <v>2.73009018181423</v>
      </c>
      <c r="AV98" s="1">
        <v>0.28080106999321602</v>
      </c>
      <c r="AW98" s="1">
        <v>2.73572971953456E-2</v>
      </c>
      <c r="AX98" s="1">
        <v>0.28080105829687302</v>
      </c>
      <c r="AY98" s="1">
        <v>1.1696343171774301E-8</v>
      </c>
      <c r="AZ98" s="1">
        <v>1251724.78894587</v>
      </c>
      <c r="BA98" s="1">
        <v>4.0349801349128198E-5</v>
      </c>
      <c r="BB98" s="4">
        <v>2241215.3424167</v>
      </c>
      <c r="BC98" s="4">
        <v>5563.2291354485797</v>
      </c>
      <c r="BD98" s="7">
        <v>0.24884144999122701</v>
      </c>
      <c r="BE98" s="4">
        <v>2603483.7419005302</v>
      </c>
      <c r="BF98" s="1">
        <v>0.86085244411037598</v>
      </c>
      <c r="BG98" s="1">
        <v>1</v>
      </c>
      <c r="BH98" s="1">
        <v>0.11600000000000001</v>
      </c>
      <c r="BI98" s="1">
        <v>4.5999999999999999E-2</v>
      </c>
      <c r="BJ98" s="1">
        <v>5625</v>
      </c>
      <c r="BK98" s="1">
        <v>1.00788696635032</v>
      </c>
      <c r="BL98" s="1">
        <v>139.59564641906999</v>
      </c>
      <c r="BM98" s="1">
        <v>2.2412153424166998</v>
      </c>
      <c r="BN98" s="1">
        <v>139.59564641906999</v>
      </c>
      <c r="BO98" s="1">
        <v>1.00788696635032</v>
      </c>
      <c r="BP98" s="1">
        <v>9919.2927856323804</v>
      </c>
      <c r="BQ98" s="1">
        <v>1</v>
      </c>
      <c r="BR98" s="1">
        <v>1.524</v>
      </c>
    </row>
    <row r="99" spans="1:70">
      <c r="A99" s="2" t="s">
        <v>167</v>
      </c>
      <c r="B99" s="1">
        <v>11100559.2420011</v>
      </c>
      <c r="C99" s="1">
        <v>591.82497032118897</v>
      </c>
      <c r="D99" s="1">
        <v>63.378233975119002</v>
      </c>
      <c r="E99" s="1">
        <v>670.12820906723402</v>
      </c>
      <c r="F99" s="1">
        <v>2703979.5892605502</v>
      </c>
      <c r="G99" s="1">
        <v>1454391.7967250999</v>
      </c>
      <c r="H99" s="1">
        <v>2.0692641283812099E-5</v>
      </c>
      <c r="I99" s="1">
        <v>7.8806774773375099E-5</v>
      </c>
      <c r="J99" s="1">
        <v>0.52222065348031699</v>
      </c>
      <c r="K99" s="1">
        <v>6484.9344403701298</v>
      </c>
      <c r="L99" s="1">
        <v>1.00629414828223E-2</v>
      </c>
      <c r="M99" s="1">
        <v>98</v>
      </c>
      <c r="N99" s="1">
        <v>2034.3448484929399</v>
      </c>
      <c r="O99" s="3">
        <v>6.8620353649299505E-5</v>
      </c>
      <c r="P99" s="3">
        <v>2.93650948516345E-2</v>
      </c>
      <c r="Q99" s="3">
        <v>9.3472E-3</v>
      </c>
      <c r="R99" s="1">
        <v>1.524</v>
      </c>
      <c r="S99" s="4">
        <v>1656234.12578125</v>
      </c>
      <c r="T99" s="1">
        <v>507.23595773091199</v>
      </c>
      <c r="U99" s="5">
        <v>589.111650633262</v>
      </c>
      <c r="V99" s="1">
        <v>0.03</v>
      </c>
      <c r="W99" s="3">
        <v>241291.795312217</v>
      </c>
      <c r="X99" s="1">
        <v>2.93812388502834E-2</v>
      </c>
      <c r="Y99" s="1">
        <v>5.8339801638063502</v>
      </c>
      <c r="Z99" s="1">
        <v>5.8339801737503301</v>
      </c>
      <c r="AA99" s="1">
        <v>-9.9439816381163804E-9</v>
      </c>
      <c r="AB99" s="1">
        <v>5.3239605589866302E-5</v>
      </c>
      <c r="AC99" s="1">
        <v>635.54882657874305</v>
      </c>
      <c r="AD99" s="1">
        <v>7311.4349003299303</v>
      </c>
      <c r="AE99" s="1">
        <v>589.111650633262</v>
      </c>
      <c r="AF99" s="6">
        <v>0</v>
      </c>
      <c r="AG99" s="1">
        <v>5.33191506792485E-5</v>
      </c>
      <c r="AH99" s="1">
        <v>22.681478657845702</v>
      </c>
      <c r="AI99" s="1">
        <v>0.18397411901316399</v>
      </c>
      <c r="AJ99" s="1">
        <v>83.413107482927103</v>
      </c>
      <c r="AK99" s="1">
        <v>2.6793955666717499</v>
      </c>
      <c r="AL99" s="1">
        <v>0.9786222824709</v>
      </c>
      <c r="AM99" s="1">
        <v>591.82497024346299</v>
      </c>
      <c r="AN99" s="1">
        <v>7.7726213021378499E-8</v>
      </c>
      <c r="AO99" s="1">
        <v>7.9545089382204394E-8</v>
      </c>
      <c r="AP99" s="1">
        <v>3.0085318904665801</v>
      </c>
      <c r="AQ99" s="1">
        <v>1.20642818944868E-4</v>
      </c>
      <c r="AR99" s="1">
        <v>2.6699347884315399E-5</v>
      </c>
      <c r="AS99" s="1">
        <v>41.768774378944201</v>
      </c>
      <c r="AT99" s="1">
        <v>14.830372589854401</v>
      </c>
      <c r="AU99" s="1">
        <v>2.7284047318554401</v>
      </c>
      <c r="AV99" s="1">
        <v>0.28012715861114301</v>
      </c>
      <c r="AW99" s="1">
        <v>2.7283433171066199E-2</v>
      </c>
      <c r="AX99" s="1">
        <v>0.28012714713447101</v>
      </c>
      <c r="AY99" s="1">
        <v>1.1476671946120101E-8</v>
      </c>
      <c r="AZ99" s="1">
        <v>1249587.7925354501</v>
      </c>
      <c r="BA99" s="1">
        <v>4.0100229393333199E-5</v>
      </c>
      <c r="BB99" s="4">
        <v>1661082.45464587</v>
      </c>
      <c r="BC99" s="4">
        <v>4848.3288646182</v>
      </c>
      <c r="BD99" s="7">
        <v>0.292732095610651</v>
      </c>
      <c r="BE99" s="4">
        <v>1988969.46476225</v>
      </c>
      <c r="BF99" s="1">
        <v>0.83514728811808303</v>
      </c>
      <c r="BG99" s="1">
        <v>1</v>
      </c>
      <c r="BH99" s="1">
        <v>0.156</v>
      </c>
      <c r="BI99" s="1">
        <v>4.5999999999999999E-2</v>
      </c>
      <c r="BJ99" s="1">
        <v>5625</v>
      </c>
      <c r="BK99" s="1">
        <v>1.0323038741733901</v>
      </c>
      <c r="BL99" s="1">
        <v>84.589012590276894</v>
      </c>
      <c r="BM99" s="1">
        <v>1.66108245464587</v>
      </c>
      <c r="BN99" s="1">
        <v>84.589012590276894</v>
      </c>
      <c r="BO99" s="1">
        <v>1.0323038741733901</v>
      </c>
      <c r="BP99" s="1">
        <v>1988.18004377587</v>
      </c>
      <c r="BQ99" s="1">
        <v>1</v>
      </c>
      <c r="BR99" s="1">
        <v>1.524</v>
      </c>
    </row>
    <row r="100" spans="1:70">
      <c r="A100" s="2" t="s">
        <v>168</v>
      </c>
      <c r="B100" s="1">
        <v>10962664.096137701</v>
      </c>
      <c r="C100" s="1">
        <v>590.91885773675403</v>
      </c>
      <c r="D100" s="1">
        <v>62.329534958311001</v>
      </c>
      <c r="E100" s="1">
        <v>672.42409881111701</v>
      </c>
      <c r="F100" s="1">
        <v>2706878.8036725</v>
      </c>
      <c r="G100" s="1">
        <v>1448743.0254953799</v>
      </c>
      <c r="H100" s="1">
        <v>2.0627960844486401E-5</v>
      </c>
      <c r="I100" s="1">
        <v>7.9154719957673402E-5</v>
      </c>
      <c r="J100" s="1">
        <v>0.52383293111878604</v>
      </c>
      <c r="K100" s="1">
        <v>6433.0576498432902</v>
      </c>
      <c r="L100" s="1">
        <v>1.0258316120707199E-2</v>
      </c>
      <c r="M100" s="1">
        <v>99</v>
      </c>
      <c r="N100" s="1">
        <v>4068.6896969858799</v>
      </c>
      <c r="O100" s="3">
        <v>6.8620353649299505E-5</v>
      </c>
      <c r="P100" s="3">
        <v>2.93650948516345E-2</v>
      </c>
      <c r="Q100" s="3">
        <v>9.3472E-3</v>
      </c>
      <c r="R100" s="1">
        <v>1.524</v>
      </c>
      <c r="S100" s="4">
        <v>2919254.4310937501</v>
      </c>
      <c r="T100" s="1">
        <v>507.70933491723503</v>
      </c>
      <c r="U100" s="5">
        <v>580.44767040070496</v>
      </c>
      <c r="V100" s="1">
        <v>0.03</v>
      </c>
      <c r="W100" s="3">
        <v>480462.26878198498</v>
      </c>
      <c r="X100" s="1">
        <v>2.2025520592233502E-2</v>
      </c>
      <c r="Y100" s="1">
        <v>6.7380915735687399</v>
      </c>
      <c r="Z100" s="1">
        <v>6.7380916019165999</v>
      </c>
      <c r="AA100" s="1">
        <v>-2.8347860059341201E-8</v>
      </c>
      <c r="AB100" s="1">
        <v>1.8161648258494202E-5</v>
      </c>
      <c r="AC100" s="1">
        <v>632.09177314432497</v>
      </c>
      <c r="AD100" s="1">
        <v>12605.1317591428</v>
      </c>
      <c r="AE100" s="1">
        <v>580.44767040070496</v>
      </c>
      <c r="AF100" s="6">
        <v>0</v>
      </c>
      <c r="AG100" s="1">
        <v>1.8206100259850099E-5</v>
      </c>
      <c r="AH100" s="1">
        <v>67.780077940289701</v>
      </c>
      <c r="AI100" s="1">
        <v>0.31748952211616899</v>
      </c>
      <c r="AJ100" s="1">
        <v>49.103537443421402</v>
      </c>
      <c r="AK100" s="1">
        <v>2.75711876527278</v>
      </c>
      <c r="AL100" s="1">
        <v>0.972078780265621</v>
      </c>
      <c r="AM100" s="1">
        <v>590.91885773465401</v>
      </c>
      <c r="AN100" s="1">
        <v>2.0999095795559701E-9</v>
      </c>
      <c r="AO100" s="1">
        <v>4.4452001355870699E-8</v>
      </c>
      <c r="AP100" s="1">
        <v>4.4480749983961996</v>
      </c>
      <c r="AQ100" s="1">
        <v>5.71105483981217E-5</v>
      </c>
      <c r="AR100" s="1">
        <v>9.1252761306029699E-6</v>
      </c>
      <c r="AS100" s="1">
        <v>24.6117143026385</v>
      </c>
      <c r="AT100" s="1">
        <v>12.966112603797299</v>
      </c>
      <c r="AU100" s="1">
        <v>4.1166048942840296</v>
      </c>
      <c r="AV100" s="1">
        <v>0.33147010411217298</v>
      </c>
      <c r="AW100" s="1">
        <v>9.2435240960315607E-3</v>
      </c>
      <c r="AX100" s="1">
        <v>0.33147009664231802</v>
      </c>
      <c r="AY100" s="1">
        <v>7.4698550678320397E-9</v>
      </c>
      <c r="AZ100" s="1">
        <v>1258135.77817712</v>
      </c>
      <c r="BA100" s="1">
        <v>1.2839385221407801E-5</v>
      </c>
      <c r="BB100" s="4">
        <v>2928989.8860399001</v>
      </c>
      <c r="BC100" s="4">
        <v>9735.4549461505394</v>
      </c>
      <c r="BD100" s="7">
        <v>0.33349114220588799</v>
      </c>
      <c r="BE100" s="4">
        <v>3141972.3820827999</v>
      </c>
      <c r="BF100" s="1">
        <v>0.93221375933873896</v>
      </c>
      <c r="BG100" s="1">
        <v>1</v>
      </c>
      <c r="BH100" s="1">
        <v>5.3999999999999999E-2</v>
      </c>
      <c r="BI100" s="1">
        <v>4.5999999999999999E-2</v>
      </c>
      <c r="BJ100" s="1">
        <v>5625</v>
      </c>
      <c r="BK100" s="1">
        <v>1.0330069818354499</v>
      </c>
      <c r="BL100" s="1">
        <v>83.209522819519094</v>
      </c>
      <c r="BM100" s="1">
        <v>2.9289898860399002</v>
      </c>
      <c r="BN100" s="1">
        <v>83.209522819519094</v>
      </c>
      <c r="BO100" s="1">
        <v>1.0330069818354499</v>
      </c>
      <c r="BP100" s="1">
        <v>1867.0628622905399</v>
      </c>
      <c r="BQ100" s="1">
        <v>1</v>
      </c>
      <c r="BR100" s="1">
        <v>1.524</v>
      </c>
    </row>
    <row r="101" spans="1:70">
      <c r="A101" s="2" t="s">
        <v>169</v>
      </c>
      <c r="B101" s="1">
        <v>11066085.455535199</v>
      </c>
      <c r="C101" s="1">
        <v>591.59844217507998</v>
      </c>
      <c r="D101" s="1">
        <v>63.116059220916597</v>
      </c>
      <c r="E101" s="1">
        <v>670.70218150320602</v>
      </c>
      <c r="F101" s="1">
        <v>2704704.39286354</v>
      </c>
      <c r="G101" s="1">
        <v>1452979.60391767</v>
      </c>
      <c r="H101" s="1">
        <v>2.06764711739806E-5</v>
      </c>
      <c r="I101" s="1">
        <v>7.8893761069449804E-5</v>
      </c>
      <c r="J101" s="1">
        <v>0.52262372288993397</v>
      </c>
      <c r="K101" s="1">
        <v>6471.9652427383999</v>
      </c>
      <c r="L101" s="1">
        <v>1.01117851422936E-2</v>
      </c>
      <c r="M101" s="1">
        <v>100</v>
      </c>
      <c r="N101" s="1">
        <v>4068.6896969858799</v>
      </c>
      <c r="O101" s="3">
        <v>6.8620353649299505E-5</v>
      </c>
      <c r="P101" s="3">
        <v>2.93650948516345E-2</v>
      </c>
      <c r="Q101" s="3">
        <v>9.3472E-3</v>
      </c>
      <c r="R101" s="1">
        <v>1.524</v>
      </c>
      <c r="S101" s="4">
        <v>1632654.23828125</v>
      </c>
      <c r="T101" s="1">
        <v>563.49230128878798</v>
      </c>
      <c r="U101" s="5">
        <v>603.92818116126602</v>
      </c>
      <c r="V101" s="1">
        <v>0.03</v>
      </c>
      <c r="W101" s="3">
        <v>482051.50597634801</v>
      </c>
      <c r="X101" s="1">
        <v>2.19536601587824E-2</v>
      </c>
      <c r="Y101" s="1">
        <v>6.7491103875770904</v>
      </c>
      <c r="Z101" s="1">
        <v>6.7491104089474598</v>
      </c>
      <c r="AA101" s="1">
        <v>-2.1370364144956999E-8</v>
      </c>
      <c r="AB101" s="1">
        <v>1.7914830751301099E-5</v>
      </c>
      <c r="AC101" s="1">
        <v>611.38647271163995</v>
      </c>
      <c r="AD101" s="1">
        <v>12626.1784584409</v>
      </c>
      <c r="AE101" s="1">
        <v>603.92818128023896</v>
      </c>
      <c r="AF101" s="6">
        <v>1.1897236618096901E-7</v>
      </c>
      <c r="AG101" s="1">
        <v>1.7939704024274099E-5</v>
      </c>
      <c r="AH101" s="1">
        <v>67.732385190806497</v>
      </c>
      <c r="AI101" s="1">
        <v>0.31778494980171201</v>
      </c>
      <c r="AJ101" s="1">
        <v>48.465830302571</v>
      </c>
      <c r="AK101" s="1">
        <v>1.32396061791812</v>
      </c>
      <c r="AL101" s="1">
        <v>0.976989097790955</v>
      </c>
      <c r="AM101" s="1">
        <v>591.59844216594797</v>
      </c>
      <c r="AN101" s="1">
        <v>9.1316678663133594E-9</v>
      </c>
      <c r="AO101" s="1">
        <v>2.4873272973012999E-8</v>
      </c>
      <c r="AP101" s="1">
        <v>4.4278837697054101</v>
      </c>
      <c r="AQ101" s="1">
        <v>5.61738494323843E-5</v>
      </c>
      <c r="AR101" s="1">
        <v>8.9822886486235694E-6</v>
      </c>
      <c r="AS101" s="1">
        <v>24.2665139170552</v>
      </c>
      <c r="AT101" s="1">
        <v>12.8954868594394</v>
      </c>
      <c r="AU101" s="1">
        <v>4.0979916442955799</v>
      </c>
      <c r="AV101" s="1">
        <v>0.32989212540982898</v>
      </c>
      <c r="AW101" s="1">
        <v>9.1648317117113895E-3</v>
      </c>
      <c r="AX101" s="1">
        <v>0.32989212212628699</v>
      </c>
      <c r="AY101" s="1">
        <v>3.2835421048815802E-9</v>
      </c>
      <c r="AZ101" s="1">
        <v>1251724.78894587</v>
      </c>
      <c r="BA101" s="1">
        <v>1.26863875282168E-5</v>
      </c>
      <c r="BB101" s="4">
        <v>1646014.03678579</v>
      </c>
      <c r="BC101" s="4">
        <v>13359.7985045388</v>
      </c>
      <c r="BD101" s="7">
        <v>0.81828706846117905</v>
      </c>
      <c r="BE101" s="4">
        <v>1832501.76380712</v>
      </c>
      <c r="BF101" s="1">
        <v>0.89823326192391095</v>
      </c>
      <c r="BG101" s="1">
        <v>1</v>
      </c>
      <c r="BH101" s="1">
        <v>0.104</v>
      </c>
      <c r="BI101" s="1">
        <v>4.5999999999999999E-2</v>
      </c>
      <c r="BJ101" s="1">
        <v>5625</v>
      </c>
      <c r="BK101" s="1">
        <v>1.0448575656194601</v>
      </c>
      <c r="BL101" s="1">
        <v>28.1061408862919</v>
      </c>
      <c r="BM101" s="1">
        <v>1.6460140367857901</v>
      </c>
      <c r="BN101" s="1">
        <v>28.1061408862919</v>
      </c>
      <c r="BO101" s="1">
        <v>1.0448575656194601</v>
      </c>
      <c r="BP101" s="1">
        <v>141.463884616738</v>
      </c>
      <c r="BQ101" s="1">
        <v>1</v>
      </c>
      <c r="BR101" s="1">
        <v>1.524</v>
      </c>
    </row>
    <row r="102" spans="1:70">
      <c r="A102" s="2" t="s">
        <v>170</v>
      </c>
      <c r="B102" s="1">
        <v>11066085.455535199</v>
      </c>
      <c r="C102" s="1">
        <v>591.59844217507998</v>
      </c>
      <c r="D102" s="1">
        <v>63.116059220916597</v>
      </c>
      <c r="E102" s="1">
        <v>670.70218150320602</v>
      </c>
      <c r="F102" s="1">
        <v>2704704.39286354</v>
      </c>
      <c r="G102" s="1">
        <v>1452979.60391767</v>
      </c>
      <c r="H102" s="1">
        <v>2.06764711739806E-5</v>
      </c>
      <c r="I102" s="1">
        <v>7.8893761069449804E-5</v>
      </c>
      <c r="J102" s="1">
        <v>0.52262372288993397</v>
      </c>
      <c r="K102" s="1">
        <v>6471.9652427383999</v>
      </c>
      <c r="L102" s="1">
        <v>1.01117851422936E-2</v>
      </c>
      <c r="M102" s="1">
        <v>101</v>
      </c>
      <c r="N102" s="1">
        <v>4068.6896969858799</v>
      </c>
      <c r="O102" s="3">
        <v>6.8620353649299505E-5</v>
      </c>
      <c r="P102" s="3">
        <v>2.93650948516345E-2</v>
      </c>
      <c r="Q102" s="3">
        <v>9.3472E-3</v>
      </c>
      <c r="R102" s="1">
        <v>1.524</v>
      </c>
      <c r="S102" s="4">
        <v>2935930.3117187498</v>
      </c>
      <c r="T102" s="1">
        <v>508.03105271669699</v>
      </c>
      <c r="U102" s="5">
        <v>580.74511710034994</v>
      </c>
      <c r="V102" s="1">
        <v>0.03</v>
      </c>
      <c r="W102" s="3">
        <v>482051.50597634801</v>
      </c>
      <c r="X102" s="1">
        <v>2.19536601587824E-2</v>
      </c>
      <c r="Y102" s="1">
        <v>6.7491103875770904</v>
      </c>
      <c r="Z102" s="1">
        <v>6.7491104089474598</v>
      </c>
      <c r="AA102" s="1">
        <v>-2.1370364144956999E-8</v>
      </c>
      <c r="AB102" s="1">
        <v>1.7914830751301099E-5</v>
      </c>
      <c r="AC102" s="1">
        <v>633.08416965998401</v>
      </c>
      <c r="AD102" s="1">
        <v>12626.1784584409</v>
      </c>
      <c r="AE102" s="1">
        <v>580.74511710034994</v>
      </c>
      <c r="AF102" s="6">
        <v>0</v>
      </c>
      <c r="AG102" s="1">
        <v>1.79594840464509E-5</v>
      </c>
      <c r="AH102" s="1">
        <v>67.732385190806497</v>
      </c>
      <c r="AI102" s="1">
        <v>0.31778494980171201</v>
      </c>
      <c r="AJ102" s="1">
        <v>48.5192679287941</v>
      </c>
      <c r="AK102" s="1">
        <v>2.77518002679696</v>
      </c>
      <c r="AL102" s="1">
        <v>0.976989097790955</v>
      </c>
      <c r="AM102" s="1">
        <v>591.59844215531405</v>
      </c>
      <c r="AN102" s="1">
        <v>1.9765593606280199E-8</v>
      </c>
      <c r="AO102" s="1">
        <v>4.4653295149790399E-8</v>
      </c>
      <c r="AP102" s="1">
        <v>4.4311367375318103</v>
      </c>
      <c r="AQ102" s="1">
        <v>5.6091403476604499E-5</v>
      </c>
      <c r="AR102" s="1">
        <v>9.0020686708003502E-6</v>
      </c>
      <c r="AS102" s="1">
        <v>24.3199515432783</v>
      </c>
      <c r="AT102" s="1">
        <v>12.906485323160499</v>
      </c>
      <c r="AU102" s="1">
        <v>4.1014867905370904</v>
      </c>
      <c r="AV102" s="1">
        <v>0.329649946994722</v>
      </c>
      <c r="AW102" s="1">
        <v>9.1648317117113895E-3</v>
      </c>
      <c r="AX102" s="1">
        <v>0.329649943082167</v>
      </c>
      <c r="AY102" s="1">
        <v>3.9125550022056602E-9</v>
      </c>
      <c r="AZ102" s="1">
        <v>1251724.78894587</v>
      </c>
      <c r="BA102" s="1">
        <v>1.2658468198805301E-5</v>
      </c>
      <c r="BB102" s="4">
        <v>2961494.4958949401</v>
      </c>
      <c r="BC102" s="4">
        <v>25564.1841761949</v>
      </c>
      <c r="BD102" s="7">
        <v>0.87073538749048796</v>
      </c>
      <c r="BE102" s="4">
        <v>3154590.7450630502</v>
      </c>
      <c r="BF102" s="1">
        <v>0.93878881136315295</v>
      </c>
      <c r="BG102" s="1">
        <v>1</v>
      </c>
      <c r="BH102" s="1">
        <v>5.3999999999999999E-2</v>
      </c>
      <c r="BI102" s="1">
        <v>4.5999999999999999E-2</v>
      </c>
      <c r="BJ102" s="1">
        <v>5625</v>
      </c>
      <c r="BK102" s="1">
        <v>1.0328252586180799</v>
      </c>
      <c r="BL102" s="1">
        <v>83.567389458382905</v>
      </c>
      <c r="BM102" s="1">
        <v>2.9614944958949398</v>
      </c>
      <c r="BN102" s="1">
        <v>83.567389458382905</v>
      </c>
      <c r="BO102" s="1">
        <v>1.0328252586180799</v>
      </c>
      <c r="BP102" s="1">
        <v>1898.11742421841</v>
      </c>
      <c r="BQ102" s="1">
        <v>1</v>
      </c>
      <c r="BR102" s="1">
        <v>1.524</v>
      </c>
    </row>
    <row r="103" spans="1:70">
      <c r="A103" s="2" t="s">
        <v>171</v>
      </c>
      <c r="B103" s="1">
        <v>11100559.2420011</v>
      </c>
      <c r="C103" s="1">
        <v>591.82497032118897</v>
      </c>
      <c r="D103" s="1">
        <v>63.378233975119002</v>
      </c>
      <c r="E103" s="1">
        <v>670.12820906723402</v>
      </c>
      <c r="F103" s="1">
        <v>2703979.5892605502</v>
      </c>
      <c r="G103" s="1">
        <v>1454391.7967250999</v>
      </c>
      <c r="H103" s="1">
        <v>2.0692641283812099E-5</v>
      </c>
      <c r="I103" s="1">
        <v>7.8806774773375099E-5</v>
      </c>
      <c r="J103" s="1">
        <v>0.52222065348031699</v>
      </c>
      <c r="K103" s="1">
        <v>6484.9344403701298</v>
      </c>
      <c r="L103" s="1">
        <v>1.00629414828223E-2</v>
      </c>
      <c r="M103" s="1">
        <v>102</v>
      </c>
      <c r="N103" s="1">
        <v>4068.6896969858799</v>
      </c>
      <c r="O103" s="3">
        <v>6.8620353649299505E-5</v>
      </c>
      <c r="P103" s="3">
        <v>2.93650948516345E-2</v>
      </c>
      <c r="Q103" s="3">
        <v>9.3472E-3</v>
      </c>
      <c r="R103" s="1">
        <v>1.524</v>
      </c>
      <c r="S103" s="4">
        <v>1651710.89234375</v>
      </c>
      <c r="T103" s="1">
        <v>563.20065007780795</v>
      </c>
      <c r="U103" s="5">
        <v>604.02669383572504</v>
      </c>
      <c r="V103" s="1">
        <v>0.03</v>
      </c>
      <c r="W103" s="3">
        <v>482583.590624434</v>
      </c>
      <c r="X103" s="1">
        <v>2.19295914946466E-2</v>
      </c>
      <c r="Y103" s="1">
        <v>6.7528130904714203</v>
      </c>
      <c r="Z103" s="1">
        <v>6.7528131097325703</v>
      </c>
      <c r="AA103" s="1">
        <v>-1.9261148231919401E-8</v>
      </c>
      <c r="AB103" s="1">
        <v>1.7832588998666498E-5</v>
      </c>
      <c r="AC103" s="1">
        <v>611.873186071237</v>
      </c>
      <c r="AD103" s="1">
        <v>12633.1843058634</v>
      </c>
      <c r="AE103" s="1">
        <v>604.02669383572504</v>
      </c>
      <c r="AF103" s="6">
        <v>0</v>
      </c>
      <c r="AG103" s="1">
        <v>1.78575288621423E-5</v>
      </c>
      <c r="AH103" s="1">
        <v>67.716077459586799</v>
      </c>
      <c r="AI103" s="1">
        <v>0.31788273911831899</v>
      </c>
      <c r="AJ103" s="1">
        <v>48.270595122115601</v>
      </c>
      <c r="AK103" s="1">
        <v>1.34091956530876</v>
      </c>
      <c r="AL103" s="1">
        <v>0.9786222824709</v>
      </c>
      <c r="AM103" s="1">
        <v>591.82497031317098</v>
      </c>
      <c r="AN103" s="1">
        <v>8.0177642303169705E-9</v>
      </c>
      <c r="AO103" s="1">
        <v>2.4939863475808701E-8</v>
      </c>
      <c r="AP103" s="1">
        <v>4.4221492918893999</v>
      </c>
      <c r="AQ103" s="1">
        <v>5.5839807773202302E-5</v>
      </c>
      <c r="AR103" s="1">
        <v>8.9412343628090697E-6</v>
      </c>
      <c r="AS103" s="1">
        <v>24.169004969891802</v>
      </c>
      <c r="AT103" s="1">
        <v>12.8753551294333</v>
      </c>
      <c r="AU103" s="1">
        <v>4.0928531556653498</v>
      </c>
      <c r="AV103" s="1">
        <v>0.32929613622405401</v>
      </c>
      <c r="AW103" s="1">
        <v>9.1385772832399698E-3</v>
      </c>
      <c r="AX103" s="1">
        <v>0.32929613404793401</v>
      </c>
      <c r="AY103" s="1">
        <v>2.1761200064141001E-9</v>
      </c>
      <c r="AZ103" s="1">
        <v>1249587.7925354501</v>
      </c>
      <c r="BA103" s="1">
        <v>1.26273004567298E-5</v>
      </c>
      <c r="BB103" s="4">
        <v>1653896.1311421699</v>
      </c>
      <c r="BC103" s="4">
        <v>2185.2387984185498</v>
      </c>
      <c r="BD103" s="7">
        <v>0.13230153100932401</v>
      </c>
      <c r="BE103" s="4">
        <v>1868148.63922634</v>
      </c>
      <c r="BF103" s="1">
        <v>0.885312922331009</v>
      </c>
      <c r="BG103" s="1">
        <v>1</v>
      </c>
      <c r="BH103" s="1">
        <v>0.106</v>
      </c>
      <c r="BI103" s="1">
        <v>4.5999999999999999E-2</v>
      </c>
      <c r="BJ103" s="1">
        <v>5625</v>
      </c>
      <c r="BK103" s="1">
        <v>1.0449538257886899</v>
      </c>
      <c r="BL103" s="1">
        <v>28.6243202433809</v>
      </c>
      <c r="BM103" s="1">
        <v>1.65389613114217</v>
      </c>
      <c r="BN103" s="1">
        <v>28.6243202433809</v>
      </c>
      <c r="BO103" s="1">
        <v>1.0449538257886899</v>
      </c>
      <c r="BP103" s="1">
        <v>129.406089925153</v>
      </c>
      <c r="BQ103" s="1">
        <v>1</v>
      </c>
      <c r="BR103" s="1">
        <v>1.524</v>
      </c>
    </row>
    <row r="104" spans="1:70">
      <c r="A104" s="2" t="s">
        <v>172</v>
      </c>
      <c r="B104" s="1">
        <v>12065825.263044599</v>
      </c>
      <c r="C104" s="1">
        <v>598.16775841223</v>
      </c>
      <c r="D104" s="1">
        <v>70.719127092772794</v>
      </c>
      <c r="E104" s="1">
        <v>654.056980860061</v>
      </c>
      <c r="F104" s="1">
        <v>2683685.08837691</v>
      </c>
      <c r="G104" s="1">
        <v>1493933.1953330799</v>
      </c>
      <c r="H104" s="1">
        <v>2.11454043590923E-5</v>
      </c>
      <c r="I104" s="1">
        <v>7.6371158483287804E-5</v>
      </c>
      <c r="J104" s="1">
        <v>0.51093471001103696</v>
      </c>
      <c r="K104" s="1">
        <v>6848.0719740579098</v>
      </c>
      <c r="L104" s="1">
        <v>8.69531901762856E-3</v>
      </c>
      <c r="M104" s="1">
        <v>103</v>
      </c>
      <c r="N104" s="1">
        <v>2305.590828292</v>
      </c>
      <c r="O104" s="3">
        <v>2.8502295699234199E-6</v>
      </c>
      <c r="P104" s="3">
        <v>5.98473400508856E-3</v>
      </c>
      <c r="Q104" s="3">
        <v>1.905E-3</v>
      </c>
      <c r="R104" s="1">
        <v>0.15240000000000001</v>
      </c>
      <c r="S104" s="4">
        <v>3857058.69140625</v>
      </c>
      <c r="T104" s="1">
        <v>509.74524427840402</v>
      </c>
      <c r="U104" s="5">
        <v>587.91804533710604</v>
      </c>
      <c r="V104" s="1">
        <v>0.03</v>
      </c>
      <c r="W104" s="3">
        <v>57510.591892584504</v>
      </c>
      <c r="X104" s="1">
        <v>3.9249802747889001E-2</v>
      </c>
      <c r="Y104" s="1">
        <v>5.0475573345957896</v>
      </c>
      <c r="Z104" s="1">
        <v>5.04755734622014</v>
      </c>
      <c r="AA104" s="1">
        <v>-1.1624356588413301E-8</v>
      </c>
      <c r="AB104" s="1">
        <v>2.6167991399821499E-5</v>
      </c>
      <c r="AC104" s="1">
        <v>672.88181022482502</v>
      </c>
      <c r="AD104" s="1">
        <v>2014.1489646177099</v>
      </c>
      <c r="AE104" s="1">
        <v>587.91804608802101</v>
      </c>
      <c r="AF104" s="6">
        <v>7.5091566031915104E-7</v>
      </c>
      <c r="AG104" s="1">
        <v>2.6256109989475201E-5</v>
      </c>
      <c r="AH104" s="1">
        <v>39.874603525074001</v>
      </c>
      <c r="AI104" s="1">
        <v>0.246910976061682</v>
      </c>
      <c r="AJ104" s="1">
        <v>55.520962467391399</v>
      </c>
      <c r="AK104" s="1">
        <v>4.7548810398985299</v>
      </c>
      <c r="AL104" s="1">
        <v>1.0236047381170099</v>
      </c>
      <c r="AM104" s="1">
        <v>598.16775841007995</v>
      </c>
      <c r="AN104" s="1">
        <v>2.1499317881534799E-9</v>
      </c>
      <c r="AO104" s="1">
        <v>8.8118589653708306E-8</v>
      </c>
      <c r="AP104" s="1">
        <v>3.6370449753200398</v>
      </c>
      <c r="AQ104" s="1">
        <v>6.4717157992054603E-5</v>
      </c>
      <c r="AR104" s="1">
        <v>1.31721142895645E-5</v>
      </c>
      <c r="AS104" s="1">
        <v>27.853648669976302</v>
      </c>
      <c r="AT104" s="1">
        <v>13.584819846406599</v>
      </c>
      <c r="AU104" s="1">
        <v>3.3542411278983599</v>
      </c>
      <c r="AV104" s="1">
        <v>0.28280384742168102</v>
      </c>
      <c r="AW104" s="1">
        <v>1.4145212846796E-2</v>
      </c>
      <c r="AX104" s="1">
        <v>0.28280383728853298</v>
      </c>
      <c r="AY104" s="1">
        <v>1.01331482094125E-8</v>
      </c>
      <c r="AZ104" s="1">
        <v>1189751.8930438301</v>
      </c>
      <c r="BA104" s="1">
        <v>1.77938844394851E-5</v>
      </c>
      <c r="BB104" s="4">
        <v>3853618.8854156001</v>
      </c>
      <c r="BC104" s="4">
        <v>-3439.8059906465901</v>
      </c>
      <c r="BD104" s="7">
        <v>-8.9182101333087793E-2</v>
      </c>
      <c r="BE104" s="4">
        <v>3217681.8</v>
      </c>
      <c r="BF104" s="1">
        <v>1.1976382765429501</v>
      </c>
      <c r="BG104" s="1">
        <v>1</v>
      </c>
      <c r="BH104" s="1">
        <v>-2.1000000000000001E-2</v>
      </c>
      <c r="BI104" s="1">
        <v>4.5999999999999999E-2</v>
      </c>
      <c r="BJ104" s="1">
        <v>5625</v>
      </c>
      <c r="BK104" s="1">
        <v>1.03031973292028</v>
      </c>
      <c r="BL104" s="1">
        <v>88.422514133825999</v>
      </c>
      <c r="BM104" s="1">
        <v>3.8536188854155999</v>
      </c>
      <c r="BN104" s="1">
        <v>88.422514133825999</v>
      </c>
      <c r="BO104" s="1">
        <v>1.03031973292028</v>
      </c>
      <c r="BP104" s="1">
        <v>2344.73987504058</v>
      </c>
      <c r="BQ104" s="1">
        <v>1</v>
      </c>
      <c r="BR104" s="1">
        <v>0.15240000000000001</v>
      </c>
    </row>
    <row r="105" spans="1:70">
      <c r="A105" s="2" t="s">
        <v>173</v>
      </c>
      <c r="B105" s="1">
        <v>12065825.263044599</v>
      </c>
      <c r="C105" s="1">
        <v>598.16775841223</v>
      </c>
      <c r="D105" s="1">
        <v>70.719127092772794</v>
      </c>
      <c r="E105" s="1">
        <v>654.056980860061</v>
      </c>
      <c r="F105" s="1">
        <v>2683685.08837691</v>
      </c>
      <c r="G105" s="1">
        <v>1493933.1953330799</v>
      </c>
      <c r="H105" s="1">
        <v>2.11454043590923E-5</v>
      </c>
      <c r="I105" s="1">
        <v>7.6371158483287804E-5</v>
      </c>
      <c r="J105" s="1">
        <v>0.51093471001103696</v>
      </c>
      <c r="K105" s="1">
        <v>6848.0719740579098</v>
      </c>
      <c r="L105" s="1">
        <v>8.69531901762856E-3</v>
      </c>
      <c r="M105" s="1">
        <v>104</v>
      </c>
      <c r="N105" s="1">
        <v>2359.8400242518101</v>
      </c>
      <c r="O105" s="3">
        <v>2.8502295699234199E-6</v>
      </c>
      <c r="P105" s="3">
        <v>5.98473400508856E-3</v>
      </c>
      <c r="Q105" s="3">
        <v>1.905E-3</v>
      </c>
      <c r="R105" s="1">
        <v>0.15240000000000001</v>
      </c>
      <c r="S105" s="4">
        <v>4020291.50390625</v>
      </c>
      <c r="T105" s="1">
        <v>505.32839124330701</v>
      </c>
      <c r="U105" s="5">
        <v>584.93637846397996</v>
      </c>
      <c r="V105" s="1">
        <v>0.03</v>
      </c>
      <c r="W105" s="3">
        <v>58863.782290057097</v>
      </c>
      <c r="X105" s="1">
        <v>3.8799010040635601E-2</v>
      </c>
      <c r="Y105" s="1">
        <v>5.0767955918201002</v>
      </c>
      <c r="Z105" s="1">
        <v>5.0767956483501004</v>
      </c>
      <c r="AA105" s="1">
        <v>-5.6530007341848399E-8</v>
      </c>
      <c r="AB105" s="1">
        <v>2.5268913480376799E-5</v>
      </c>
      <c r="AC105" s="1">
        <v>675.24857522808804</v>
      </c>
      <c r="AD105" s="1">
        <v>2049.6678894582801</v>
      </c>
      <c r="AE105" s="1">
        <v>584.93637846397996</v>
      </c>
      <c r="AF105" s="6">
        <v>0</v>
      </c>
      <c r="AG105" s="1">
        <v>2.5358730315379799E-5</v>
      </c>
      <c r="AH105" s="1">
        <v>41.293357663586598</v>
      </c>
      <c r="AI105" s="1">
        <v>0.251265178533847</v>
      </c>
      <c r="AJ105" s="1">
        <v>54.569002881749199</v>
      </c>
      <c r="AK105" s="1">
        <v>4.9190398141274301</v>
      </c>
      <c r="AL105" s="1">
        <v>1.0236047381170099</v>
      </c>
      <c r="AM105" s="1">
        <v>598.16775826228297</v>
      </c>
      <c r="AN105" s="1">
        <v>1.4994702723924999E-7</v>
      </c>
      <c r="AO105" s="1">
        <v>8.9816835002942301E-8</v>
      </c>
      <c r="AP105" s="1">
        <v>3.6765923925159001</v>
      </c>
      <c r="AQ105" s="1">
        <v>6.3332380432550299E-5</v>
      </c>
      <c r="AR105" s="1">
        <v>1.27242735751914E-5</v>
      </c>
      <c r="AS105" s="1">
        <v>27.381139069556099</v>
      </c>
      <c r="AT105" s="1">
        <v>13.4992721062158</v>
      </c>
      <c r="AU105" s="1">
        <v>3.3918970158452999</v>
      </c>
      <c r="AV105" s="1">
        <v>0.28469537667060102</v>
      </c>
      <c r="AW105" s="1">
        <v>1.3659212666572501E-2</v>
      </c>
      <c r="AX105" s="1">
        <v>0.28469536409697099</v>
      </c>
      <c r="AY105" s="1">
        <v>1.25736293044021E-8</v>
      </c>
      <c r="AZ105" s="1">
        <v>1189751.8930438301</v>
      </c>
      <c r="BA105" s="1">
        <v>1.72258367725153E-5</v>
      </c>
      <c r="BB105" s="4">
        <v>4057414.8030130402</v>
      </c>
      <c r="BC105" s="4">
        <v>37123.299106785598</v>
      </c>
      <c r="BD105" s="7">
        <v>0.92339819315876304</v>
      </c>
      <c r="BE105" s="4">
        <v>3438503.1</v>
      </c>
      <c r="BF105" s="1">
        <v>1.1799945165130199</v>
      </c>
      <c r="BG105" s="1">
        <v>1</v>
      </c>
      <c r="BH105" s="1">
        <v>-2.1000000000000001E-2</v>
      </c>
      <c r="BI105" s="1">
        <v>4.5999999999999999E-2</v>
      </c>
      <c r="BJ105" s="1">
        <v>5625</v>
      </c>
      <c r="BK105" s="1">
        <v>1.02800228371192</v>
      </c>
      <c r="BL105" s="1">
        <v>92.839367168923005</v>
      </c>
      <c r="BM105" s="1">
        <v>4.0574148030130397</v>
      </c>
      <c r="BN105" s="1">
        <v>92.839367168923005</v>
      </c>
      <c r="BO105" s="1">
        <v>1.02800228371192</v>
      </c>
      <c r="BP105" s="1">
        <v>2791.99872281226</v>
      </c>
      <c r="BQ105" s="1">
        <v>1</v>
      </c>
      <c r="BR105" s="1">
        <v>0.15240000000000001</v>
      </c>
    </row>
    <row r="106" spans="1:70">
      <c r="A106" s="2" t="s">
        <v>174</v>
      </c>
      <c r="B106" s="1">
        <v>12065825.263044599</v>
      </c>
      <c r="C106" s="1">
        <v>598.16775841223</v>
      </c>
      <c r="D106" s="1">
        <v>70.719127092772794</v>
      </c>
      <c r="E106" s="1">
        <v>654.056980860061</v>
      </c>
      <c r="F106" s="1">
        <v>2683685.08837691</v>
      </c>
      <c r="G106" s="1">
        <v>1493933.1953330799</v>
      </c>
      <c r="H106" s="1">
        <v>2.11454043590923E-5</v>
      </c>
      <c r="I106" s="1">
        <v>7.6371158483287804E-5</v>
      </c>
      <c r="J106" s="1">
        <v>0.51093471001103696</v>
      </c>
      <c r="K106" s="1">
        <v>6848.0719740579098</v>
      </c>
      <c r="L106" s="1">
        <v>8.69531901762856E-3</v>
      </c>
      <c r="M106" s="1">
        <v>105</v>
      </c>
      <c r="N106" s="1">
        <v>2373.4023232417599</v>
      </c>
      <c r="O106" s="3">
        <v>2.8502295699234199E-6</v>
      </c>
      <c r="P106" s="3">
        <v>5.98473400508856E-3</v>
      </c>
      <c r="Q106" s="3">
        <v>1.905E-3</v>
      </c>
      <c r="R106" s="1">
        <v>0.15240000000000001</v>
      </c>
      <c r="S106" s="4">
        <v>4375214.86328125</v>
      </c>
      <c r="T106" s="1">
        <v>489.74374548652298</v>
      </c>
      <c r="U106" s="5">
        <v>575.884700978154</v>
      </c>
      <c r="V106" s="1">
        <v>0.03</v>
      </c>
      <c r="W106" s="3">
        <v>59202.079889425098</v>
      </c>
      <c r="X106" s="1">
        <v>3.8689057939631698E-2</v>
      </c>
      <c r="Y106" s="1">
        <v>5.0840044557431696</v>
      </c>
      <c r="Z106" s="1">
        <v>5.0840044978888601</v>
      </c>
      <c r="AA106" s="1">
        <v>-4.2145681611316403E-8</v>
      </c>
      <c r="AB106" s="1">
        <v>2.5051945446299999E-5</v>
      </c>
      <c r="AC106" s="1">
        <v>684.10966728582196</v>
      </c>
      <c r="AD106" s="1">
        <v>2058.5245604412498</v>
      </c>
      <c r="AE106" s="1">
        <v>575.884700978154</v>
      </c>
      <c r="AF106" s="6">
        <v>0</v>
      </c>
      <c r="AG106" s="1">
        <v>2.5147648779752999E-5</v>
      </c>
      <c r="AH106" s="1">
        <v>41.650988117952103</v>
      </c>
      <c r="AI106" s="1">
        <v>0.25235090223923201</v>
      </c>
      <c r="AJ106" s="1">
        <v>54.348611706532303</v>
      </c>
      <c r="AK106" s="1">
        <v>5.4880684550404304</v>
      </c>
      <c r="AL106" s="1">
        <v>1.0236047381170099</v>
      </c>
      <c r="AM106" s="1">
        <v>598.16775832424696</v>
      </c>
      <c r="AN106" s="1">
        <v>8.7982812146947306E-8</v>
      </c>
      <c r="AO106" s="1">
        <v>9.5703333453027006E-8</v>
      </c>
      <c r="AP106" s="1">
        <v>3.6869047125276899</v>
      </c>
      <c r="AQ106" s="1">
        <v>6.2978592930489394E-5</v>
      </c>
      <c r="AR106" s="1">
        <v>1.2621676056603E-5</v>
      </c>
      <c r="AS106" s="1">
        <v>27.277721949029502</v>
      </c>
      <c r="AT106" s="1">
        <v>13.480351616105899</v>
      </c>
      <c r="AU106" s="1">
        <v>3.4017788928264001</v>
      </c>
      <c r="AV106" s="1">
        <v>0.28512581970129303</v>
      </c>
      <c r="AW106" s="1">
        <v>1.3541929724367401E-2</v>
      </c>
      <c r="AX106" s="1">
        <v>0.28512580312506097</v>
      </c>
      <c r="AY106" s="1">
        <v>1.6576232275689101E-8</v>
      </c>
      <c r="AZ106" s="1">
        <v>1189751.8930438301</v>
      </c>
      <c r="BA106" s="1">
        <v>1.7081698020698799E-5</v>
      </c>
      <c r="BB106" s="4">
        <v>4359814.5347021502</v>
      </c>
      <c r="BC106" s="4">
        <v>-15400.3285790961</v>
      </c>
      <c r="BD106" s="7">
        <v>-0.35199022357376197</v>
      </c>
      <c r="BE106" s="4">
        <v>3974783.4</v>
      </c>
      <c r="BF106" s="1">
        <v>1.0968684569584699</v>
      </c>
      <c r="BG106" s="1">
        <v>1</v>
      </c>
      <c r="BH106" s="1">
        <v>-2.3E-2</v>
      </c>
      <c r="BI106" s="1">
        <v>4.5999999999999999E-2</v>
      </c>
      <c r="BJ106" s="1">
        <v>5625</v>
      </c>
      <c r="BK106" s="1">
        <v>1.0200116238979999</v>
      </c>
      <c r="BL106" s="1">
        <v>108.424012925707</v>
      </c>
      <c r="BM106" s="1">
        <v>4.3598145347021502</v>
      </c>
      <c r="BN106" s="1">
        <v>108.424012925707</v>
      </c>
      <c r="BO106" s="1">
        <v>1.0200116238979999</v>
      </c>
      <c r="BP106" s="1">
        <v>4681.8455448573204</v>
      </c>
      <c r="BQ106" s="1">
        <v>1</v>
      </c>
      <c r="BR106" s="1">
        <v>0.15240000000000001</v>
      </c>
    </row>
    <row r="107" spans="1:70">
      <c r="A107" s="2" t="s">
        <v>175</v>
      </c>
      <c r="B107" s="1">
        <v>12065825.263044599</v>
      </c>
      <c r="C107" s="1">
        <v>598.16775841223</v>
      </c>
      <c r="D107" s="1">
        <v>70.719127092772794</v>
      </c>
      <c r="E107" s="1">
        <v>654.056980860061</v>
      </c>
      <c r="F107" s="1">
        <v>2683685.08837691</v>
      </c>
      <c r="G107" s="1">
        <v>1493933.1953330799</v>
      </c>
      <c r="H107" s="1">
        <v>2.11454043590923E-5</v>
      </c>
      <c r="I107" s="1">
        <v>7.6371158483287804E-5</v>
      </c>
      <c r="J107" s="1">
        <v>0.51093471001103696</v>
      </c>
      <c r="K107" s="1">
        <v>6848.0719740579098</v>
      </c>
      <c r="L107" s="1">
        <v>8.69531901762856E-3</v>
      </c>
      <c r="M107" s="1">
        <v>106</v>
      </c>
      <c r="N107" s="1">
        <v>2427.65151920157</v>
      </c>
      <c r="O107" s="3">
        <v>2.8502295699234199E-6</v>
      </c>
      <c r="P107" s="3">
        <v>5.98473400508856E-3</v>
      </c>
      <c r="Q107" s="3">
        <v>1.905E-3</v>
      </c>
      <c r="R107" s="1">
        <v>0.15240000000000001</v>
      </c>
      <c r="S107" s="4">
        <v>4487121.9273437504</v>
      </c>
      <c r="T107" s="1">
        <v>488.095222083176</v>
      </c>
      <c r="U107" s="5">
        <v>574.46527533425694</v>
      </c>
      <c r="V107" s="1">
        <v>0.03</v>
      </c>
      <c r="W107" s="3">
        <v>60555.270286897699</v>
      </c>
      <c r="X107" s="1">
        <v>3.82597250109772E-2</v>
      </c>
      <c r="Y107" s="1">
        <v>5.1124500501846102</v>
      </c>
      <c r="Z107" s="1">
        <v>5.1124500834252897</v>
      </c>
      <c r="AA107" s="1">
        <v>-3.3240684871316301E-8</v>
      </c>
      <c r="AB107" s="1">
        <v>2.42135130078799E-5</v>
      </c>
      <c r="AC107" s="1">
        <v>684.86848013682004</v>
      </c>
      <c r="AD107" s="1">
        <v>2093.8611544431301</v>
      </c>
      <c r="AE107" s="1">
        <v>574.46527619924996</v>
      </c>
      <c r="AF107" s="6">
        <v>8.6499278495466601E-7</v>
      </c>
      <c r="AG107" s="1">
        <v>2.43089584043928E-5</v>
      </c>
      <c r="AH107" s="1">
        <v>43.093221614552803</v>
      </c>
      <c r="AI107" s="1">
        <v>0.25668275309484001</v>
      </c>
      <c r="AJ107" s="1">
        <v>53.437883157933904</v>
      </c>
      <c r="AK107" s="1">
        <v>5.5515018189170204</v>
      </c>
      <c r="AL107" s="1">
        <v>1.0236047381170099</v>
      </c>
      <c r="AM107" s="1">
        <v>598.16775825811396</v>
      </c>
      <c r="AN107" s="1">
        <v>1.5411558251798899E-7</v>
      </c>
      <c r="AO107" s="1">
        <v>9.5445396512858901E-8</v>
      </c>
      <c r="AP107" s="1">
        <v>3.72564411606107</v>
      </c>
      <c r="AQ107" s="1">
        <v>6.1675694037139494E-5</v>
      </c>
      <c r="AR107" s="1">
        <v>1.22022019004528E-5</v>
      </c>
      <c r="AS107" s="1">
        <v>26.823849404756299</v>
      </c>
      <c r="AT107" s="1">
        <v>13.3964569747515</v>
      </c>
      <c r="AU107" s="1">
        <v>3.43863945799577</v>
      </c>
      <c r="AV107" s="1">
        <v>0.28700465806529402</v>
      </c>
      <c r="AW107" s="1">
        <v>1.30887117024756E-2</v>
      </c>
      <c r="AX107" s="1">
        <v>0.28700462443027303</v>
      </c>
      <c r="AY107" s="1">
        <v>3.3635020990630002E-8</v>
      </c>
      <c r="AZ107" s="1">
        <v>1189751.8930438301</v>
      </c>
      <c r="BA107" s="1">
        <v>1.65543707653822E-5</v>
      </c>
      <c r="BB107" s="4">
        <v>4486568.4552206099</v>
      </c>
      <c r="BC107" s="4">
        <v>-553.47212313674402</v>
      </c>
      <c r="BD107" s="7">
        <v>-1.23346798259254E-2</v>
      </c>
      <c r="BE107" s="4">
        <v>4069421.1</v>
      </c>
      <c r="BF107" s="1">
        <v>1.1025077879555401</v>
      </c>
      <c r="BG107" s="1">
        <v>1</v>
      </c>
      <c r="BH107" s="1">
        <v>-2.9000000000000001E-2</v>
      </c>
      <c r="BI107" s="1">
        <v>4.5999999999999999E-2</v>
      </c>
      <c r="BJ107" s="1">
        <v>5625</v>
      </c>
      <c r="BK107" s="1">
        <v>1.0192156298270201</v>
      </c>
      <c r="BL107" s="1">
        <v>110.072536329054</v>
      </c>
      <c r="BM107" s="1">
        <v>4.4865684552206098</v>
      </c>
      <c r="BN107" s="1">
        <v>110.072536329054</v>
      </c>
      <c r="BO107" s="1">
        <v>1.0192156298270201</v>
      </c>
      <c r="BP107" s="1">
        <v>4910.1603475865904</v>
      </c>
      <c r="BQ107" s="1">
        <v>1</v>
      </c>
      <c r="BR107" s="1">
        <v>0.15240000000000001</v>
      </c>
    </row>
    <row r="108" spans="1:70">
      <c r="A108" s="2" t="s">
        <v>176</v>
      </c>
      <c r="B108" s="1">
        <v>12065825.263044599</v>
      </c>
      <c r="C108" s="1">
        <v>598.16775841223</v>
      </c>
      <c r="D108" s="1">
        <v>70.719127092772794</v>
      </c>
      <c r="E108" s="1">
        <v>654.056980860061</v>
      </c>
      <c r="F108" s="1">
        <v>2683685.08837691</v>
      </c>
      <c r="G108" s="1">
        <v>1493933.1953330799</v>
      </c>
      <c r="H108" s="1">
        <v>2.11454043590923E-5</v>
      </c>
      <c r="I108" s="1">
        <v>7.6371158483287804E-5</v>
      </c>
      <c r="J108" s="1">
        <v>0.51093471001103696</v>
      </c>
      <c r="K108" s="1">
        <v>6848.0719740579098</v>
      </c>
      <c r="L108" s="1">
        <v>8.69531901762856E-3</v>
      </c>
      <c r="M108" s="1">
        <v>107</v>
      </c>
      <c r="N108" s="1">
        <v>2509.0253131412901</v>
      </c>
      <c r="O108" s="3">
        <v>2.8502295699234199E-6</v>
      </c>
      <c r="P108" s="3">
        <v>5.98473400508856E-3</v>
      </c>
      <c r="Q108" s="3">
        <v>1.905E-3</v>
      </c>
      <c r="R108" s="1">
        <v>0.15240000000000001</v>
      </c>
      <c r="S108" s="4">
        <v>5379198.47265625</v>
      </c>
      <c r="T108" s="1">
        <v>457.53598356801803</v>
      </c>
      <c r="U108" s="5">
        <v>557.71901935622702</v>
      </c>
      <c r="V108" s="1">
        <v>0.03</v>
      </c>
      <c r="W108" s="3">
        <v>62585.055883106601</v>
      </c>
      <c r="X108" s="1">
        <v>3.7645423118246299E-2</v>
      </c>
      <c r="Y108" s="1">
        <v>5.1539939996903597</v>
      </c>
      <c r="Z108" s="1">
        <v>5.1539940048134598</v>
      </c>
      <c r="AA108" s="1">
        <v>-5.1230975017801897E-9</v>
      </c>
      <c r="AB108" s="1">
        <v>2.3038280944948399E-5</v>
      </c>
      <c r="AC108" s="1">
        <v>703.51372423896896</v>
      </c>
      <c r="AD108" s="1">
        <v>2146.6030722262399</v>
      </c>
      <c r="AE108" s="1">
        <v>557.719019356226</v>
      </c>
      <c r="AF108" s="6">
        <v>0</v>
      </c>
      <c r="AG108" s="1">
        <v>2.3148327944537299E-5</v>
      </c>
      <c r="AH108" s="1">
        <v>45.291499162146501</v>
      </c>
      <c r="AI108" s="1">
        <v>0.26314829195415801</v>
      </c>
      <c r="AJ108" s="1">
        <v>52.1682644437211</v>
      </c>
      <c r="AK108" s="1">
        <v>6.7714326733730399</v>
      </c>
      <c r="AL108" s="1">
        <v>1.0236047381170099</v>
      </c>
      <c r="AM108" s="1">
        <v>598.16775834515101</v>
      </c>
      <c r="AN108" s="1">
        <v>6.7078758547722801E-8</v>
      </c>
      <c r="AO108" s="1">
        <v>1.10046999588954E-7</v>
      </c>
      <c r="AP108" s="1">
        <v>3.7843693500430602</v>
      </c>
      <c r="AQ108" s="1">
        <v>5.9776398778809397E-5</v>
      </c>
      <c r="AR108" s="1">
        <v>1.16291874720632E-5</v>
      </c>
      <c r="AS108" s="1">
        <v>26.208136015775001</v>
      </c>
      <c r="AT108" s="1">
        <v>13.280349487571501</v>
      </c>
      <c r="AU108" s="1">
        <v>3.49470128420871</v>
      </c>
      <c r="AV108" s="1">
        <v>0.289668065834356</v>
      </c>
      <c r="AW108" s="1">
        <v>1.2453435290902801E-2</v>
      </c>
      <c r="AX108" s="1">
        <v>0.28966806100559001</v>
      </c>
      <c r="AY108" s="1">
        <v>4.8287662757218203E-9</v>
      </c>
      <c r="AZ108" s="1">
        <v>1189751.8930438301</v>
      </c>
      <c r="BA108" s="1">
        <v>1.5795603771637501E-5</v>
      </c>
      <c r="BB108" s="4">
        <v>5421431.3756663101</v>
      </c>
      <c r="BC108" s="4">
        <v>42232.903010063797</v>
      </c>
      <c r="BD108" s="7">
        <v>0.78511516585126395</v>
      </c>
      <c r="BE108" s="4">
        <v>5110435.8</v>
      </c>
      <c r="BF108" s="1">
        <v>1.0608550009896001</v>
      </c>
      <c r="BG108" s="1">
        <v>1</v>
      </c>
      <c r="BH108" s="1">
        <v>-4.5999999999999999E-2</v>
      </c>
      <c r="BI108" s="1">
        <v>4.5999999999999999E-2</v>
      </c>
      <c r="BJ108" s="1">
        <v>5625</v>
      </c>
      <c r="BK108" s="1">
        <v>1.0076013780636099</v>
      </c>
      <c r="BL108" s="1">
        <v>140.631774844212</v>
      </c>
      <c r="BM108" s="1">
        <v>5.4214313756663097</v>
      </c>
      <c r="BN108" s="1">
        <v>140.631774844212</v>
      </c>
      <c r="BO108" s="1">
        <v>1.0076013780636099</v>
      </c>
      <c r="BP108" s="1">
        <v>10126.7541082962</v>
      </c>
      <c r="BQ108" s="1">
        <v>1</v>
      </c>
      <c r="BR108" s="1">
        <v>0.15240000000000001</v>
      </c>
    </row>
    <row r="109" spans="1:70">
      <c r="A109" s="2" t="s">
        <v>177</v>
      </c>
      <c r="B109" s="1">
        <v>12065825.263044599</v>
      </c>
      <c r="C109" s="1">
        <v>598.16775841223</v>
      </c>
      <c r="D109" s="1">
        <v>70.719127092772794</v>
      </c>
      <c r="E109" s="1">
        <v>654.056980860061</v>
      </c>
      <c r="F109" s="1">
        <v>2683685.08837691</v>
      </c>
      <c r="G109" s="1">
        <v>1493933.1953330799</v>
      </c>
      <c r="H109" s="1">
        <v>2.11454043590923E-5</v>
      </c>
      <c r="I109" s="1">
        <v>7.6371158483287804E-5</v>
      </c>
      <c r="J109" s="1">
        <v>0.51093471001103696</v>
      </c>
      <c r="K109" s="1">
        <v>6848.0719740579098</v>
      </c>
      <c r="L109" s="1">
        <v>8.69531901762856E-3</v>
      </c>
      <c r="M109" s="1">
        <v>108</v>
      </c>
      <c r="N109" s="1">
        <v>2509.0253131412901</v>
      </c>
      <c r="O109" s="3">
        <v>2.8502295699234199E-6</v>
      </c>
      <c r="P109" s="3">
        <v>5.98473400508856E-3</v>
      </c>
      <c r="Q109" s="3">
        <v>1.905E-3</v>
      </c>
      <c r="R109" s="1">
        <v>0.15240000000000001</v>
      </c>
      <c r="S109" s="4">
        <v>5362766.83203125</v>
      </c>
      <c r="T109" s="1">
        <v>458.12079612380802</v>
      </c>
      <c r="U109" s="5">
        <v>557.99780646061095</v>
      </c>
      <c r="V109" s="1">
        <v>0.03</v>
      </c>
      <c r="W109" s="3">
        <v>62585.055883106601</v>
      </c>
      <c r="X109" s="1">
        <v>3.7645423118246299E-2</v>
      </c>
      <c r="Y109" s="1">
        <v>5.1539939996903597</v>
      </c>
      <c r="Z109" s="1">
        <v>5.1539940048134598</v>
      </c>
      <c r="AA109" s="1">
        <v>-5.1230975017801897E-9</v>
      </c>
      <c r="AB109" s="1">
        <v>2.3038280944948399E-5</v>
      </c>
      <c r="AC109" s="1">
        <v>703.12266712273299</v>
      </c>
      <c r="AD109" s="1">
        <v>2146.6030722262399</v>
      </c>
      <c r="AE109" s="1">
        <v>557.997807499842</v>
      </c>
      <c r="AF109" s="6">
        <v>1.03923059668887E-6</v>
      </c>
      <c r="AG109" s="1">
        <v>2.3147444128526501E-5</v>
      </c>
      <c r="AH109" s="1">
        <v>45.291499162146501</v>
      </c>
      <c r="AI109" s="1">
        <v>0.26314829195415801</v>
      </c>
      <c r="AJ109" s="1">
        <v>52.166272630425297</v>
      </c>
      <c r="AK109" s="1">
        <v>6.7463376791330898</v>
      </c>
      <c r="AL109" s="1">
        <v>1.0236047381170099</v>
      </c>
      <c r="AM109" s="1">
        <v>598.16775834548503</v>
      </c>
      <c r="AN109" s="1">
        <v>6.6744860305334402E-8</v>
      </c>
      <c r="AO109" s="1">
        <v>1.0916318357807899E-7</v>
      </c>
      <c r="AP109" s="1">
        <v>3.7842764603949601</v>
      </c>
      <c r="AQ109" s="1">
        <v>5.9779333383008399E-5</v>
      </c>
      <c r="AR109" s="1">
        <v>1.16283036560523E-5</v>
      </c>
      <c r="AS109" s="1">
        <v>26.206144202479202</v>
      </c>
      <c r="AT109" s="1">
        <v>13.279969474092599</v>
      </c>
      <c r="AU109" s="1">
        <v>3.4946012843108298</v>
      </c>
      <c r="AV109" s="1">
        <v>0.28967517608413001</v>
      </c>
      <c r="AW109" s="1">
        <v>1.2453435290902801E-2</v>
      </c>
      <c r="AX109" s="1">
        <v>0.28967517125890702</v>
      </c>
      <c r="AY109" s="1">
        <v>4.8252232764944803E-9</v>
      </c>
      <c r="AZ109" s="1">
        <v>1189751.8930438301</v>
      </c>
      <c r="BA109" s="1">
        <v>1.5796766966853501E-5</v>
      </c>
      <c r="BB109" s="4">
        <v>5377494.4523688396</v>
      </c>
      <c r="BC109" s="4">
        <v>14727.620337586801</v>
      </c>
      <c r="BD109" s="7">
        <v>0.27462727354880101</v>
      </c>
      <c r="BE109" s="4">
        <v>5110435.8</v>
      </c>
      <c r="BF109" s="1">
        <v>1.05225751047862</v>
      </c>
      <c r="BG109" s="1">
        <v>1</v>
      </c>
      <c r="BH109" s="1">
        <v>-4.2999999999999997E-2</v>
      </c>
      <c r="BI109" s="1">
        <v>4.5999999999999999E-2</v>
      </c>
      <c r="BJ109" s="1">
        <v>5625</v>
      </c>
      <c r="BK109" s="1">
        <v>1.0077616384810699</v>
      </c>
      <c r="BL109" s="1">
        <v>140.04696228842201</v>
      </c>
      <c r="BM109" s="1">
        <v>5.3774944523688397</v>
      </c>
      <c r="BN109" s="1">
        <v>140.04696228842201</v>
      </c>
      <c r="BO109" s="1">
        <v>1.0077616384810699</v>
      </c>
      <c r="BP109" s="1">
        <v>10009.3946631409</v>
      </c>
      <c r="BQ109" s="1">
        <v>1</v>
      </c>
      <c r="BR109" s="1">
        <v>0.15240000000000001</v>
      </c>
    </row>
    <row r="110" spans="1:70">
      <c r="A110" s="2" t="s">
        <v>178</v>
      </c>
      <c r="B110" s="1">
        <v>12065825.263044599</v>
      </c>
      <c r="C110" s="1">
        <v>598.16775841223</v>
      </c>
      <c r="D110" s="1">
        <v>70.719127092772794</v>
      </c>
      <c r="E110" s="1">
        <v>654.056980860061</v>
      </c>
      <c r="F110" s="1">
        <v>2683685.08837691</v>
      </c>
      <c r="G110" s="1">
        <v>1493933.1953330799</v>
      </c>
      <c r="H110" s="1">
        <v>2.11454043590923E-5</v>
      </c>
      <c r="I110" s="1">
        <v>7.6371158483287804E-5</v>
      </c>
      <c r="J110" s="1">
        <v>0.51093471001103696</v>
      </c>
      <c r="K110" s="1">
        <v>6848.0719740579098</v>
      </c>
      <c r="L110" s="1">
        <v>8.69531901762856E-3</v>
      </c>
      <c r="M110" s="1">
        <v>109</v>
      </c>
      <c r="N110" s="1">
        <v>2563.2745091011002</v>
      </c>
      <c r="O110" s="3">
        <v>2.8502295699234199E-6</v>
      </c>
      <c r="P110" s="3">
        <v>5.98473400508856E-3</v>
      </c>
      <c r="Q110" s="3">
        <v>1.905E-3</v>
      </c>
      <c r="R110" s="1">
        <v>0.15240000000000001</v>
      </c>
      <c r="S110" s="4">
        <v>4928637.08984375</v>
      </c>
      <c r="T110" s="1">
        <v>477.56256686264697</v>
      </c>
      <c r="U110" s="5">
        <v>567.41159511937599</v>
      </c>
      <c r="V110" s="1">
        <v>0.03</v>
      </c>
      <c r="W110" s="3">
        <v>63938.2462805791</v>
      </c>
      <c r="X110" s="1">
        <v>3.72543332247815E-2</v>
      </c>
      <c r="Y110" s="1">
        <v>5.1809762634966701</v>
      </c>
      <c r="Z110" s="1">
        <v>5.1809763082277902</v>
      </c>
      <c r="AA110" s="1">
        <v>-4.4731123693963997E-8</v>
      </c>
      <c r="AB110" s="1">
        <v>2.2305158130225799E-5</v>
      </c>
      <c r="AC110" s="1">
        <v>690.562191875812</v>
      </c>
      <c r="AD110" s="1">
        <v>2181.5949940127598</v>
      </c>
      <c r="AE110" s="1">
        <v>567.41159603812196</v>
      </c>
      <c r="AF110" s="6">
        <v>9.1874596819252495E-7</v>
      </c>
      <c r="AG110" s="1">
        <v>2.2402605972958301E-5</v>
      </c>
      <c r="AH110" s="1">
        <v>46.780133815839598</v>
      </c>
      <c r="AI110" s="1">
        <v>0.26743789004961099</v>
      </c>
      <c r="AJ110" s="1">
        <v>51.3106698618857</v>
      </c>
      <c r="AK110" s="1">
        <v>5.9547948272913098</v>
      </c>
      <c r="AL110" s="1">
        <v>1.0236047381170099</v>
      </c>
      <c r="AM110" s="1">
        <v>598.16775833873703</v>
      </c>
      <c r="AN110" s="1">
        <v>7.3493197305651794E-8</v>
      </c>
      <c r="AO110" s="1">
        <v>9.7447842732471605E-8</v>
      </c>
      <c r="AP110" s="1">
        <v>3.82056672782304</v>
      </c>
      <c r="AQ110" s="1">
        <v>5.8649079725051099E-5</v>
      </c>
      <c r="AR110" s="1">
        <v>1.12500269078454E-5</v>
      </c>
      <c r="AS110" s="1">
        <v>25.766931637442902</v>
      </c>
      <c r="AT110" s="1">
        <v>13.1954597517183</v>
      </c>
      <c r="AU110" s="1">
        <v>3.5289659142341101</v>
      </c>
      <c r="AV110" s="1">
        <v>0.29160081358893802</v>
      </c>
      <c r="AW110" s="1">
        <v>1.2057142809044101E-2</v>
      </c>
      <c r="AX110" s="1">
        <v>0.29160080679732697</v>
      </c>
      <c r="AY110" s="1">
        <v>6.79161077377088E-9</v>
      </c>
      <c r="AZ110" s="1">
        <v>1189751.8930438301</v>
      </c>
      <c r="BA110" s="1">
        <v>1.5350884804064001E-5</v>
      </c>
      <c r="BB110" s="4">
        <v>4939816.3862172002</v>
      </c>
      <c r="BC110" s="4">
        <v>11179.296373453</v>
      </c>
      <c r="BD110" s="7">
        <v>0.22682328135885099</v>
      </c>
      <c r="BE110" s="4">
        <v>4605701.4000000004</v>
      </c>
      <c r="BF110" s="1">
        <v>1.0725437793724999</v>
      </c>
      <c r="BG110" s="1">
        <v>1</v>
      </c>
      <c r="BH110" s="1">
        <v>-3.5999999999999997E-2</v>
      </c>
      <c r="BI110" s="1">
        <v>4.5999999999999999E-2</v>
      </c>
      <c r="BJ110" s="1">
        <v>5625</v>
      </c>
      <c r="BK110" s="1">
        <v>1.0144918173432</v>
      </c>
      <c r="BL110" s="1">
        <v>120.605191549583</v>
      </c>
      <c r="BM110" s="1">
        <v>4.9398163862172</v>
      </c>
      <c r="BN110" s="1">
        <v>120.605191549583</v>
      </c>
      <c r="BO110" s="1">
        <v>1.0144918173432</v>
      </c>
      <c r="BP110" s="1">
        <v>6497.1969047449702</v>
      </c>
      <c r="BQ110" s="1">
        <v>1</v>
      </c>
      <c r="BR110" s="1">
        <v>0.15240000000000001</v>
      </c>
    </row>
    <row r="111" spans="1:70">
      <c r="A111" s="2" t="s">
        <v>179</v>
      </c>
      <c r="B111" s="1">
        <v>12065825.263044599</v>
      </c>
      <c r="C111" s="1">
        <v>598.16775841223</v>
      </c>
      <c r="D111" s="1">
        <v>70.719127092772794</v>
      </c>
      <c r="E111" s="1">
        <v>654.056980860061</v>
      </c>
      <c r="F111" s="1">
        <v>2683685.08837691</v>
      </c>
      <c r="G111" s="1">
        <v>1493933.1953330799</v>
      </c>
      <c r="H111" s="1">
        <v>2.11454043590923E-5</v>
      </c>
      <c r="I111" s="1">
        <v>7.6371158483287804E-5</v>
      </c>
      <c r="J111" s="1">
        <v>0.51093471001103696</v>
      </c>
      <c r="K111" s="1">
        <v>6848.0719740579098</v>
      </c>
      <c r="L111" s="1">
        <v>8.69531901762856E-3</v>
      </c>
      <c r="M111" s="1">
        <v>110</v>
      </c>
      <c r="N111" s="1">
        <v>2576.83680809105</v>
      </c>
      <c r="O111" s="3">
        <v>2.8502295699234199E-6</v>
      </c>
      <c r="P111" s="3">
        <v>5.98473400508856E-3</v>
      </c>
      <c r="Q111" s="3">
        <v>1.905E-3</v>
      </c>
      <c r="R111" s="1">
        <v>0.15240000000000001</v>
      </c>
      <c r="S111" s="4">
        <v>4626003.37890625</v>
      </c>
      <c r="T111" s="1">
        <v>490.87515158354</v>
      </c>
      <c r="U111" s="5">
        <v>574.76331615706295</v>
      </c>
      <c r="V111" s="1">
        <v>0.03</v>
      </c>
      <c r="W111" s="3">
        <v>64276.543879947203</v>
      </c>
      <c r="X111" s="1">
        <v>3.71587429954593E-2</v>
      </c>
      <c r="Y111" s="1">
        <v>5.1876359695613896</v>
      </c>
      <c r="Z111" s="1">
        <v>5.1876360006330202</v>
      </c>
      <c r="AA111" s="1">
        <v>-3.1071621720002401E-8</v>
      </c>
      <c r="AB111" s="1">
        <v>2.2127762093614899E-5</v>
      </c>
      <c r="AC111" s="1">
        <v>682.72461253362997</v>
      </c>
      <c r="AD111" s="1">
        <v>2190.3223508466499</v>
      </c>
      <c r="AE111" s="1">
        <v>574.76331700132198</v>
      </c>
      <c r="AF111" s="6">
        <v>8.4425869317783498E-7</v>
      </c>
      <c r="AG111" s="1">
        <v>2.22180334509275E-5</v>
      </c>
      <c r="AH111" s="1">
        <v>47.155165429789001</v>
      </c>
      <c r="AI111" s="1">
        <v>0.268507761361092</v>
      </c>
      <c r="AJ111" s="1">
        <v>51.091501584698101</v>
      </c>
      <c r="AK111" s="1">
        <v>5.4534263051481897</v>
      </c>
      <c r="AL111" s="1">
        <v>1.0236047381170099</v>
      </c>
      <c r="AM111" s="1">
        <v>598.16775836977899</v>
      </c>
      <c r="AN111" s="1">
        <v>4.2450892578926902E-8</v>
      </c>
      <c r="AO111" s="1">
        <v>9.0271357312549995E-8</v>
      </c>
      <c r="AP111" s="1">
        <v>3.82907022003663</v>
      </c>
      <c r="AQ111" s="1">
        <v>5.8388876495435799E-5</v>
      </c>
      <c r="AR111" s="1">
        <v>1.115415240412E-5</v>
      </c>
      <c r="AS111" s="1">
        <v>25.649542588445101</v>
      </c>
      <c r="AT111" s="1">
        <v>13.1726286932431</v>
      </c>
      <c r="AU111" s="1">
        <v>3.5369530416635899</v>
      </c>
      <c r="AV111" s="1">
        <v>0.29211717837303802</v>
      </c>
      <c r="AW111" s="1">
        <v>1.19612506689979E-2</v>
      </c>
      <c r="AX111" s="1">
        <v>0.29211717106114599</v>
      </c>
      <c r="AY111" s="1">
        <v>7.3118919252657097E-9</v>
      </c>
      <c r="AZ111" s="1">
        <v>1189751.8930438301</v>
      </c>
      <c r="BA111" s="1">
        <v>1.52488393108856E-5</v>
      </c>
      <c r="BB111" s="4">
        <v>4606649.5473798597</v>
      </c>
      <c r="BC111" s="4">
        <v>-19353.831526393999</v>
      </c>
      <c r="BD111" s="7">
        <v>-0.418370458064169</v>
      </c>
      <c r="BE111" s="4">
        <v>3974783.4</v>
      </c>
      <c r="BF111" s="1">
        <v>1.1589686993710999</v>
      </c>
      <c r="BG111" s="1">
        <v>1</v>
      </c>
      <c r="BH111" s="1">
        <v>-5.3999999999999999E-2</v>
      </c>
      <c r="BI111" s="1">
        <v>4.5999999999999999E-2</v>
      </c>
      <c r="BJ111" s="1">
        <v>5625</v>
      </c>
      <c r="BK111" s="1">
        <v>1.02056542332158</v>
      </c>
      <c r="BL111" s="1">
        <v>107.29260682869</v>
      </c>
      <c r="BM111" s="1">
        <v>4.6066495473798597</v>
      </c>
      <c r="BN111" s="1">
        <v>107.29260682869</v>
      </c>
      <c r="BO111" s="1">
        <v>1.02056542332158</v>
      </c>
      <c r="BP111" s="1">
        <v>4528.2949338006601</v>
      </c>
      <c r="BQ111" s="1">
        <v>1</v>
      </c>
      <c r="BR111" s="1">
        <v>0.15240000000000001</v>
      </c>
    </row>
    <row r="112" spans="1:70">
      <c r="A112" s="2" t="s">
        <v>180</v>
      </c>
      <c r="B112" s="1">
        <v>12065825.263044599</v>
      </c>
      <c r="C112" s="1">
        <v>598.16775841223</v>
      </c>
      <c r="D112" s="1">
        <v>70.719127092772794</v>
      </c>
      <c r="E112" s="1">
        <v>654.056980860061</v>
      </c>
      <c r="F112" s="1">
        <v>2683685.08837691</v>
      </c>
      <c r="G112" s="1">
        <v>1493933.1953330799</v>
      </c>
      <c r="H112" s="1">
        <v>2.11454043590923E-5</v>
      </c>
      <c r="I112" s="1">
        <v>7.6371158483287804E-5</v>
      </c>
      <c r="J112" s="1">
        <v>0.51093471001103696</v>
      </c>
      <c r="K112" s="1">
        <v>6848.0719740579098</v>
      </c>
      <c r="L112" s="1">
        <v>8.69531901762856E-3</v>
      </c>
      <c r="M112" s="1">
        <v>111</v>
      </c>
      <c r="N112" s="1">
        <v>2590.3991070810098</v>
      </c>
      <c r="O112" s="3">
        <v>2.8502295699234199E-6</v>
      </c>
      <c r="P112" s="3">
        <v>5.98473400508856E-3</v>
      </c>
      <c r="Q112" s="3">
        <v>1.905E-3</v>
      </c>
      <c r="R112" s="1">
        <v>0.15240000000000001</v>
      </c>
      <c r="S112" s="4">
        <v>4967335.64453125</v>
      </c>
      <c r="T112" s="1">
        <v>477.56256686264697</v>
      </c>
      <c r="U112" s="5">
        <v>567.16885488002299</v>
      </c>
      <c r="V112" s="1">
        <v>0.03</v>
      </c>
      <c r="W112" s="3">
        <v>64614.841479315503</v>
      </c>
      <c r="X112" s="1">
        <v>3.7064000565584697E-2</v>
      </c>
      <c r="Y112" s="1">
        <v>5.1942620156714003</v>
      </c>
      <c r="Z112" s="1">
        <v>5.1942620358384497</v>
      </c>
      <c r="AA112" s="1">
        <v>-2.0167054692876701E-8</v>
      </c>
      <c r="AB112" s="1">
        <v>2.19526362518863E-5</v>
      </c>
      <c r="AC112" s="1">
        <v>690.45170745024996</v>
      </c>
      <c r="AD112" s="1">
        <v>2199.0415788359201</v>
      </c>
      <c r="AE112" s="1">
        <v>567.16885579764801</v>
      </c>
      <c r="AF112" s="6">
        <v>9.1762512965942701E-7</v>
      </c>
      <c r="AG112" s="1">
        <v>2.2049570633582401E-5</v>
      </c>
      <c r="AH112" s="1">
        <v>47.531342939541801</v>
      </c>
      <c r="AI112" s="1">
        <v>0.26957663617182098</v>
      </c>
      <c r="AJ112" s="1">
        <v>50.9059555052253</v>
      </c>
      <c r="AK112" s="1">
        <v>5.9552725396437998</v>
      </c>
      <c r="AL112" s="1">
        <v>1.0236047381170099</v>
      </c>
      <c r="AM112" s="1">
        <v>598.16775826167998</v>
      </c>
      <c r="AN112" s="1">
        <v>1.5054990853968799E-7</v>
      </c>
      <c r="AO112" s="1">
        <v>9.69343816960434E-8</v>
      </c>
      <c r="AP112" s="1">
        <v>3.8390907861263401</v>
      </c>
      <c r="AQ112" s="1">
        <v>5.8084467954261198E-5</v>
      </c>
      <c r="AR112" s="1">
        <v>1.10732525076392E-5</v>
      </c>
      <c r="AS112" s="1">
        <v>25.5648742018349</v>
      </c>
      <c r="AT112" s="1">
        <v>13.1560965390074</v>
      </c>
      <c r="AU112" s="1">
        <v>3.5465762501373601</v>
      </c>
      <c r="AV112" s="1">
        <v>0.29251453598897997</v>
      </c>
      <c r="AW112" s="1">
        <v>1.1866585691912899E-2</v>
      </c>
      <c r="AX112" s="1">
        <v>0.29251452806707101</v>
      </c>
      <c r="AY112" s="1">
        <v>7.9219087401050103E-9</v>
      </c>
      <c r="AZ112" s="1">
        <v>1189751.8930438301</v>
      </c>
      <c r="BA112" s="1">
        <v>1.5129745866955299E-5</v>
      </c>
      <c r="BB112" s="4">
        <v>4985608.8318486204</v>
      </c>
      <c r="BC112" s="4">
        <v>18273.187317373198</v>
      </c>
      <c r="BD112" s="7">
        <v>0.36786697386738798</v>
      </c>
      <c r="BE112" s="4">
        <v>4542609.5999999996</v>
      </c>
      <c r="BF112" s="1">
        <v>1.0975208681478199</v>
      </c>
      <c r="BG112" s="1">
        <v>1</v>
      </c>
      <c r="BH112" s="1">
        <v>-4.7E-2</v>
      </c>
      <c r="BI112" s="1">
        <v>4.5999999999999999E-2</v>
      </c>
      <c r="BJ112" s="1">
        <v>5625</v>
      </c>
      <c r="BK112" s="1">
        <v>1.0144918173432</v>
      </c>
      <c r="BL112" s="1">
        <v>120.605191549583</v>
      </c>
      <c r="BM112" s="1">
        <v>4.9856088318486202</v>
      </c>
      <c r="BN112" s="1">
        <v>120.605191549583</v>
      </c>
      <c r="BO112" s="1">
        <v>1.0144918173432</v>
      </c>
      <c r="BP112" s="1">
        <v>6497.1969047449702</v>
      </c>
      <c r="BQ112" s="1">
        <v>1</v>
      </c>
      <c r="BR112" s="1">
        <v>0.15240000000000001</v>
      </c>
    </row>
    <row r="113" spans="1:70">
      <c r="A113" s="2" t="s">
        <v>181</v>
      </c>
      <c r="B113" s="1">
        <v>12065825.263044599</v>
      </c>
      <c r="C113" s="1">
        <v>598.16775841223</v>
      </c>
      <c r="D113" s="1">
        <v>70.719127092772794</v>
      </c>
      <c r="E113" s="1">
        <v>654.056980860061</v>
      </c>
      <c r="F113" s="1">
        <v>2683685.08837691</v>
      </c>
      <c r="G113" s="1">
        <v>1493933.1953330799</v>
      </c>
      <c r="H113" s="1">
        <v>2.11454043590923E-5</v>
      </c>
      <c r="I113" s="1">
        <v>7.6371158483287804E-5</v>
      </c>
      <c r="J113" s="1">
        <v>0.51093471001103696</v>
      </c>
      <c r="K113" s="1">
        <v>6848.0719740579098</v>
      </c>
      <c r="L113" s="1">
        <v>8.69531901762856E-3</v>
      </c>
      <c r="M113" s="1">
        <v>112</v>
      </c>
      <c r="N113" s="1">
        <v>2590.3991070810098</v>
      </c>
      <c r="O113" s="3">
        <v>2.8502295699234199E-6</v>
      </c>
      <c r="P113" s="3">
        <v>5.98473400508856E-3</v>
      </c>
      <c r="Q113" s="3">
        <v>1.905E-3</v>
      </c>
      <c r="R113" s="1">
        <v>0.15240000000000001</v>
      </c>
      <c r="S113" s="4">
        <v>4644175.29296875</v>
      </c>
      <c r="T113" s="1">
        <v>490.87515158354</v>
      </c>
      <c r="U113" s="5">
        <v>574.65191616821096</v>
      </c>
      <c r="V113" s="1">
        <v>0.03</v>
      </c>
      <c r="W113" s="3">
        <v>64614.841479315503</v>
      </c>
      <c r="X113" s="1">
        <v>3.7064000565584697E-2</v>
      </c>
      <c r="Y113" s="1">
        <v>5.1942620156714003</v>
      </c>
      <c r="Z113" s="1">
        <v>5.1942620358384497</v>
      </c>
      <c r="AA113" s="1">
        <v>-2.0167054692876701E-8</v>
      </c>
      <c r="AB113" s="1">
        <v>2.19526362518863E-5</v>
      </c>
      <c r="AC113" s="1">
        <v>682.67711629303005</v>
      </c>
      <c r="AD113" s="1">
        <v>2199.0415788359201</v>
      </c>
      <c r="AE113" s="1">
        <v>574.65191616821096</v>
      </c>
      <c r="AF113" s="6">
        <v>0</v>
      </c>
      <c r="AG113" s="1">
        <v>2.2043871299802699E-5</v>
      </c>
      <c r="AH113" s="1">
        <v>47.531342939541801</v>
      </c>
      <c r="AI113" s="1">
        <v>0.26957663617182098</v>
      </c>
      <c r="AJ113" s="1">
        <v>50.892797424434399</v>
      </c>
      <c r="AK113" s="1">
        <v>5.4537896777635204</v>
      </c>
      <c r="AL113" s="1">
        <v>1.0236047381170099</v>
      </c>
      <c r="AM113" s="1">
        <v>598.16775827690003</v>
      </c>
      <c r="AN113" s="1">
        <v>1.3533042420021999E-7</v>
      </c>
      <c r="AO113" s="1">
        <v>9.1235047916314096E-8</v>
      </c>
      <c r="AP113" s="1">
        <v>3.8384459975427299</v>
      </c>
      <c r="AQ113" s="1">
        <v>5.8103983845581402E-5</v>
      </c>
      <c r="AR113" s="1">
        <v>1.10675531738595E-5</v>
      </c>
      <c r="AS113" s="1">
        <v>25.551716121043999</v>
      </c>
      <c r="AT113" s="1">
        <v>13.153522407791201</v>
      </c>
      <c r="AU113" s="1">
        <v>3.5458823245030402</v>
      </c>
      <c r="AV113" s="1">
        <v>0.29256367303969899</v>
      </c>
      <c r="AW113" s="1">
        <v>1.1866585691912899E-2</v>
      </c>
      <c r="AX113" s="1">
        <v>0.29256366514711701</v>
      </c>
      <c r="AY113" s="1">
        <v>7.8925811441976601E-9</v>
      </c>
      <c r="AZ113" s="1">
        <v>1189751.8930438301</v>
      </c>
      <c r="BA113" s="1">
        <v>1.5137371707919801E-5</v>
      </c>
      <c r="BB113" s="4">
        <v>4690112.0544555299</v>
      </c>
      <c r="BC113" s="4">
        <v>45936.761486779003</v>
      </c>
      <c r="BD113" s="7">
        <v>0.98912634835999602</v>
      </c>
      <c r="BE113" s="4">
        <v>3974783.4</v>
      </c>
      <c r="BF113" s="1">
        <v>1.1799667006900401</v>
      </c>
      <c r="BG113" s="1">
        <v>1</v>
      </c>
      <c r="BH113" s="1">
        <v>-5.6000000000000001E-2</v>
      </c>
      <c r="BI113" s="1">
        <v>4.5999999999999999E-2</v>
      </c>
      <c r="BJ113" s="1">
        <v>5625</v>
      </c>
      <c r="BK113" s="1">
        <v>1.02056542332158</v>
      </c>
      <c r="BL113" s="1">
        <v>107.29260682869</v>
      </c>
      <c r="BM113" s="1">
        <v>4.6901120544555299</v>
      </c>
      <c r="BN113" s="1">
        <v>107.29260682869</v>
      </c>
      <c r="BO113" s="1">
        <v>1.02056542332158</v>
      </c>
      <c r="BP113" s="1">
        <v>4528.2949338006601</v>
      </c>
      <c r="BQ113" s="1">
        <v>1</v>
      </c>
      <c r="BR113" s="1">
        <v>0.15240000000000001</v>
      </c>
    </row>
    <row r="114" spans="1:70">
      <c r="A114" s="2" t="s">
        <v>182</v>
      </c>
      <c r="B114" s="1">
        <v>12065825.263044599</v>
      </c>
      <c r="C114" s="1">
        <v>598.16775841223</v>
      </c>
      <c r="D114" s="1">
        <v>70.719127092772794</v>
      </c>
      <c r="E114" s="1">
        <v>654.056980860061</v>
      </c>
      <c r="F114" s="1">
        <v>2683685.08837691</v>
      </c>
      <c r="G114" s="1">
        <v>1493933.1953330799</v>
      </c>
      <c r="H114" s="1">
        <v>2.11454043590923E-5</v>
      </c>
      <c r="I114" s="1">
        <v>7.6371158483287804E-5</v>
      </c>
      <c r="J114" s="1">
        <v>0.51093471001103696</v>
      </c>
      <c r="K114" s="1">
        <v>6848.0719740579098</v>
      </c>
      <c r="L114" s="1">
        <v>8.69531901762856E-3</v>
      </c>
      <c r="M114" s="1">
        <v>113</v>
      </c>
      <c r="N114" s="1">
        <v>3200.7025616288902</v>
      </c>
      <c r="O114" s="3">
        <v>2.8502295699234199E-6</v>
      </c>
      <c r="P114" s="3">
        <v>5.98473400508856E-3</v>
      </c>
      <c r="Q114" s="3">
        <v>1.905E-3</v>
      </c>
      <c r="R114" s="1">
        <v>0.15240000000000001</v>
      </c>
      <c r="S114" s="4">
        <v>6566346.03515625</v>
      </c>
      <c r="T114" s="1">
        <v>453.64790590713602</v>
      </c>
      <c r="U114" s="5">
        <v>549.51291334069504</v>
      </c>
      <c r="V114" s="1">
        <v>0.03</v>
      </c>
      <c r="W114" s="3">
        <v>79838.233450882006</v>
      </c>
      <c r="X114" s="1">
        <v>3.3515797014276497E-2</v>
      </c>
      <c r="Y114" s="1">
        <v>5.4622959187728899</v>
      </c>
      <c r="Z114" s="1">
        <v>5.4622959290082296</v>
      </c>
      <c r="AA114" s="1">
        <v>-1.02353396869148E-8</v>
      </c>
      <c r="AB114" s="1">
        <v>1.5901282462099201E-5</v>
      </c>
      <c r="AC114" s="1">
        <v>702.75807769501</v>
      </c>
      <c r="AD114" s="1">
        <v>2583.81077803982</v>
      </c>
      <c r="AE114" s="1">
        <v>549.51291437505404</v>
      </c>
      <c r="AF114" s="6">
        <v>1.03435900200566E-6</v>
      </c>
      <c r="AG114" s="1">
        <v>1.5996200693190101E-5</v>
      </c>
      <c r="AH114" s="1">
        <v>65.6197564317511</v>
      </c>
      <c r="AI114" s="1">
        <v>0.316744814992169</v>
      </c>
      <c r="AJ114" s="1">
        <v>43.3922895105013</v>
      </c>
      <c r="AK114" s="1">
        <v>6.9279196269369097</v>
      </c>
      <c r="AL114" s="1">
        <v>1.0236047381170099</v>
      </c>
      <c r="AM114" s="1">
        <v>598.16775839889306</v>
      </c>
      <c r="AN114" s="1">
        <v>1.33372850541491E-8</v>
      </c>
      <c r="AO114" s="1">
        <v>9.4918231090815796E-8</v>
      </c>
      <c r="AP114" s="1">
        <v>4.2286628086110198</v>
      </c>
      <c r="AQ114" s="1">
        <v>4.7875207371415698E-5</v>
      </c>
      <c r="AR114" s="1">
        <v>8.0455594621404298E-6</v>
      </c>
      <c r="AS114" s="1">
        <v>21.8248853056574</v>
      </c>
      <c r="AT114" s="1">
        <v>12.365254232650299</v>
      </c>
      <c r="AU114" s="1">
        <v>3.9166301642519699</v>
      </c>
      <c r="AV114" s="1">
        <v>0.31203264435904798</v>
      </c>
      <c r="AW114" s="1">
        <v>8.5955020974575694E-3</v>
      </c>
      <c r="AX114" s="1">
        <v>0.31203264428129801</v>
      </c>
      <c r="AY114" s="1">
        <v>7.77506947713391E-11</v>
      </c>
      <c r="AZ114" s="1">
        <v>1189751.8930438301</v>
      </c>
      <c r="BA114" s="1">
        <v>1.13215949197759E-5</v>
      </c>
      <c r="BB114" s="4">
        <v>6524000.9234327199</v>
      </c>
      <c r="BC114" s="4">
        <v>-42345.111723531001</v>
      </c>
      <c r="BD114" s="7">
        <v>-0.64488090479568205</v>
      </c>
      <c r="BE114" s="4">
        <v>6561547.2000000002</v>
      </c>
      <c r="BF114" s="1">
        <v>0.99427783182489604</v>
      </c>
      <c r="BG114" s="1">
        <v>1</v>
      </c>
      <c r="BH114" s="1">
        <v>-5.6000000000000001E-2</v>
      </c>
      <c r="BI114" s="1">
        <v>4.5999999999999999E-2</v>
      </c>
      <c r="BJ114" s="1">
        <v>5625</v>
      </c>
      <c r="BK114" s="1">
        <v>1.0065964123492399</v>
      </c>
      <c r="BL114" s="1">
        <v>144.51985250509401</v>
      </c>
      <c r="BM114" s="1">
        <v>6.5240009234327196</v>
      </c>
      <c r="BN114" s="1">
        <v>144.51985250509401</v>
      </c>
      <c r="BO114" s="1">
        <v>1.0065964123492399</v>
      </c>
      <c r="BP114" s="1">
        <v>10924.3995676866</v>
      </c>
      <c r="BQ114" s="1">
        <v>1</v>
      </c>
      <c r="BR114" s="1">
        <v>0.15240000000000001</v>
      </c>
    </row>
    <row r="115" spans="1:70">
      <c r="A115" s="2" t="s">
        <v>183</v>
      </c>
      <c r="B115" s="1">
        <v>12065825.263044599</v>
      </c>
      <c r="C115" s="1">
        <v>598.16775841223</v>
      </c>
      <c r="D115" s="1">
        <v>70.719127092772794</v>
      </c>
      <c r="E115" s="1">
        <v>654.056980860061</v>
      </c>
      <c r="F115" s="1">
        <v>2683685.08837691</v>
      </c>
      <c r="G115" s="1">
        <v>1493933.1953330799</v>
      </c>
      <c r="H115" s="1">
        <v>2.11454043590923E-5</v>
      </c>
      <c r="I115" s="1">
        <v>7.6371158483287804E-5</v>
      </c>
      <c r="J115" s="1">
        <v>0.51093471001103696</v>
      </c>
      <c r="K115" s="1">
        <v>6848.0719740579098</v>
      </c>
      <c r="L115" s="1">
        <v>8.69531901762856E-3</v>
      </c>
      <c r="M115" s="1">
        <v>114</v>
      </c>
      <c r="N115" s="1">
        <v>3200.7025616288902</v>
      </c>
      <c r="O115" s="3">
        <v>2.8502295699234199E-6</v>
      </c>
      <c r="P115" s="3">
        <v>5.98473400508856E-3</v>
      </c>
      <c r="Q115" s="3">
        <v>1.905E-3</v>
      </c>
      <c r="R115" s="1">
        <v>0.15240000000000001</v>
      </c>
      <c r="S115" s="4">
        <v>5492980.13671875</v>
      </c>
      <c r="T115" s="1">
        <v>488.66227888857202</v>
      </c>
      <c r="U115" s="5">
        <v>568.856739981484</v>
      </c>
      <c r="V115" s="1">
        <v>0.03</v>
      </c>
      <c r="W115" s="3">
        <v>79838.233450882006</v>
      </c>
      <c r="X115" s="1">
        <v>3.3515797014276497E-2</v>
      </c>
      <c r="Y115" s="1">
        <v>5.4622959187728899</v>
      </c>
      <c r="Z115" s="1">
        <v>5.4622959290082296</v>
      </c>
      <c r="AA115" s="1">
        <v>-1.02353396869148E-8</v>
      </c>
      <c r="AB115" s="1">
        <v>1.5901282462099201E-5</v>
      </c>
      <c r="AC115" s="1">
        <v>681.73085989126901</v>
      </c>
      <c r="AD115" s="1">
        <v>2583.81077803982</v>
      </c>
      <c r="AE115" s="1">
        <v>568.85674081472098</v>
      </c>
      <c r="AF115" s="6">
        <v>8.3323618582653601E-7</v>
      </c>
      <c r="AG115" s="1">
        <v>1.5981100951466799E-5</v>
      </c>
      <c r="AH115" s="1">
        <v>65.6197564317511</v>
      </c>
      <c r="AI115" s="1">
        <v>0.316744814992169</v>
      </c>
      <c r="AJ115" s="1">
        <v>43.3513290113831</v>
      </c>
      <c r="AK115" s="1">
        <v>5.5359712648091799</v>
      </c>
      <c r="AL115" s="1">
        <v>1.0236047381170099</v>
      </c>
      <c r="AM115" s="1">
        <v>598.16775839280899</v>
      </c>
      <c r="AN115" s="1">
        <v>1.9421236174821401E-8</v>
      </c>
      <c r="AO115" s="1">
        <v>7.98184893675845E-8</v>
      </c>
      <c r="AP115" s="1">
        <v>4.2258922855850702</v>
      </c>
      <c r="AQ115" s="1">
        <v>4.79380025564566E-5</v>
      </c>
      <c r="AR115" s="1">
        <v>8.0304597204172002E-6</v>
      </c>
      <c r="AS115" s="1">
        <v>21.783924806539201</v>
      </c>
      <c r="AT115" s="1">
        <v>12.3558615179538</v>
      </c>
      <c r="AU115" s="1">
        <v>3.9136550705731499</v>
      </c>
      <c r="AV115" s="1">
        <v>0.31223721501191898</v>
      </c>
      <c r="AW115" s="1">
        <v>8.5955020974575694E-3</v>
      </c>
      <c r="AX115" s="1">
        <v>0.31223721495357398</v>
      </c>
      <c r="AY115" s="1">
        <v>5.8345051012764796E-11</v>
      </c>
      <c r="AZ115" s="1">
        <v>1189751.8930438301</v>
      </c>
      <c r="BA115" s="1">
        <v>1.13438770599946E-5</v>
      </c>
      <c r="BB115" s="4">
        <v>5475376.4382996503</v>
      </c>
      <c r="BC115" s="4">
        <v>-17603.698419095901</v>
      </c>
      <c r="BD115" s="7">
        <v>-0.32047628028765401</v>
      </c>
      <c r="BE115" s="4">
        <v>5205073.5</v>
      </c>
      <c r="BF115" s="1">
        <v>1.0519306669348001</v>
      </c>
      <c r="BG115" s="1">
        <v>1</v>
      </c>
      <c r="BH115" s="1">
        <v>-0.04</v>
      </c>
      <c r="BI115" s="1">
        <v>4.5999999999999999E-2</v>
      </c>
      <c r="BJ115" s="1">
        <v>5625</v>
      </c>
      <c r="BK115" s="1">
        <v>1.0194879217245501</v>
      </c>
      <c r="BL115" s="1">
        <v>109.505479523658</v>
      </c>
      <c r="BM115" s="1">
        <v>5.4753764382996497</v>
      </c>
      <c r="BN115" s="1">
        <v>109.505479523658</v>
      </c>
      <c r="BO115" s="1">
        <v>1.0194879217245501</v>
      </c>
      <c r="BP115" s="1">
        <v>4831.01168381364</v>
      </c>
      <c r="BQ115" s="1">
        <v>1</v>
      </c>
      <c r="BR115" s="1">
        <v>0.15240000000000001</v>
      </c>
    </row>
    <row r="116" spans="1:70">
      <c r="A116" s="2" t="s">
        <v>184</v>
      </c>
      <c r="B116" s="1">
        <v>12065825.263044599</v>
      </c>
      <c r="C116" s="1">
        <v>598.16775841223</v>
      </c>
      <c r="D116" s="1">
        <v>70.719127092772794</v>
      </c>
      <c r="E116" s="1">
        <v>654.056980860061</v>
      </c>
      <c r="F116" s="1">
        <v>2683685.08837691</v>
      </c>
      <c r="G116" s="1">
        <v>1493933.1953330799</v>
      </c>
      <c r="H116" s="1">
        <v>2.11454043590923E-5</v>
      </c>
      <c r="I116" s="1">
        <v>7.6371158483287804E-5</v>
      </c>
      <c r="J116" s="1">
        <v>0.51093471001103696</v>
      </c>
      <c r="K116" s="1">
        <v>6848.0719740579098</v>
      </c>
      <c r="L116" s="1">
        <v>8.69531901762856E-3</v>
      </c>
      <c r="M116" s="1">
        <v>115</v>
      </c>
      <c r="N116" s="1">
        <v>3200.7025616288902</v>
      </c>
      <c r="O116" s="3">
        <v>2.8502295699234199E-6</v>
      </c>
      <c r="P116" s="3">
        <v>5.98473400508856E-3</v>
      </c>
      <c r="Q116" s="3">
        <v>1.905E-3</v>
      </c>
      <c r="R116" s="1">
        <v>0.15240000000000001</v>
      </c>
      <c r="S116" s="4">
        <v>5538491.23828125</v>
      </c>
      <c r="T116" s="1">
        <v>487.01157338752699</v>
      </c>
      <c r="U116" s="5">
        <v>567.87047130211101</v>
      </c>
      <c r="V116" s="1">
        <v>0.03</v>
      </c>
      <c r="W116" s="3">
        <v>79838.233450882006</v>
      </c>
      <c r="X116" s="1">
        <v>3.3515797014276497E-2</v>
      </c>
      <c r="Y116" s="1">
        <v>5.4622959187728899</v>
      </c>
      <c r="Z116" s="1">
        <v>5.4622959290082296</v>
      </c>
      <c r="AA116" s="1">
        <v>-1.02353396869148E-8</v>
      </c>
      <c r="AB116" s="1">
        <v>1.5901282462099201E-5</v>
      </c>
      <c r="AC116" s="1">
        <v>682.64628796534998</v>
      </c>
      <c r="AD116" s="1">
        <v>2583.81077803982</v>
      </c>
      <c r="AE116" s="1">
        <v>567.87047214402901</v>
      </c>
      <c r="AF116" s="6">
        <v>8.4191754012863395E-7</v>
      </c>
      <c r="AG116" s="1">
        <v>1.5981475795930902E-5</v>
      </c>
      <c r="AH116" s="1">
        <v>65.6197564317511</v>
      </c>
      <c r="AI116" s="1">
        <v>0.316744814992169</v>
      </c>
      <c r="AJ116" s="1">
        <v>43.352345837804599</v>
      </c>
      <c r="AK116" s="1">
        <v>5.5965957110572102</v>
      </c>
      <c r="AL116" s="1">
        <v>1.0236047381170099</v>
      </c>
      <c r="AM116" s="1">
        <v>598.16775839280604</v>
      </c>
      <c r="AN116" s="1">
        <v>1.94241920326021E-8</v>
      </c>
      <c r="AO116" s="1">
        <v>8.0193333831704098E-8</v>
      </c>
      <c r="AP116" s="1">
        <v>4.2259611226118299</v>
      </c>
      <c r="AQ116" s="1">
        <v>4.7936440837078501E-5</v>
      </c>
      <c r="AR116" s="1">
        <v>8.0308345648813198E-6</v>
      </c>
      <c r="AS116" s="1">
        <v>21.784941632960699</v>
      </c>
      <c r="AT116" s="1">
        <v>12.356094901675901</v>
      </c>
      <c r="AU116" s="1">
        <v>3.9137289936570299</v>
      </c>
      <c r="AV116" s="1">
        <v>0.31223212895479602</v>
      </c>
      <c r="AW116" s="1">
        <v>8.5955020974575694E-3</v>
      </c>
      <c r="AX116" s="1">
        <v>0.31223212889601298</v>
      </c>
      <c r="AY116" s="1">
        <v>5.8782700929071994E-11</v>
      </c>
      <c r="AZ116" s="1">
        <v>1189751.8930438301</v>
      </c>
      <c r="BA116" s="1">
        <v>1.1343322724997499E-5</v>
      </c>
      <c r="BB116" s="4">
        <v>5501358.7929802705</v>
      </c>
      <c r="BC116" s="4">
        <v>-37132.445300978601</v>
      </c>
      <c r="BD116" s="7">
        <v>-0.67044333381489396</v>
      </c>
      <c r="BE116" s="4">
        <v>5394348.9000000004</v>
      </c>
      <c r="BF116" s="1">
        <v>1.0198374066942999</v>
      </c>
      <c r="BG116" s="1">
        <v>1</v>
      </c>
      <c r="BH116" s="1">
        <v>-0.03</v>
      </c>
      <c r="BI116" s="1">
        <v>4.5999999999999999E-2</v>
      </c>
      <c r="BJ116" s="1">
        <v>5625</v>
      </c>
      <c r="BK116" s="1">
        <v>1.0186998682403201</v>
      </c>
      <c r="BL116" s="1">
        <v>111.15618502470301</v>
      </c>
      <c r="BM116" s="1">
        <v>5.5013587929802696</v>
      </c>
      <c r="BN116" s="1">
        <v>111.15618502470301</v>
      </c>
      <c r="BO116" s="1">
        <v>1.0186998682403201</v>
      </c>
      <c r="BP116" s="1">
        <v>5063.2026672697702</v>
      </c>
      <c r="BQ116" s="1">
        <v>1</v>
      </c>
      <c r="BR116" s="1">
        <v>0.15240000000000001</v>
      </c>
    </row>
    <row r="117" spans="1:70">
      <c r="A117" s="2" t="s">
        <v>185</v>
      </c>
      <c r="B117" s="1">
        <v>12065825.263044599</v>
      </c>
      <c r="C117" s="1">
        <v>598.16775841223</v>
      </c>
      <c r="D117" s="1">
        <v>70.719127092772794</v>
      </c>
      <c r="E117" s="1">
        <v>654.056980860061</v>
      </c>
      <c r="F117" s="1">
        <v>2683685.08837691</v>
      </c>
      <c r="G117" s="1">
        <v>1493933.1953330799</v>
      </c>
      <c r="H117" s="1">
        <v>2.11454043590923E-5</v>
      </c>
      <c r="I117" s="1">
        <v>7.6371158483287804E-5</v>
      </c>
      <c r="J117" s="1">
        <v>0.51093471001103696</v>
      </c>
      <c r="K117" s="1">
        <v>6848.0719740579098</v>
      </c>
      <c r="L117" s="1">
        <v>8.69531901762856E-3</v>
      </c>
      <c r="M117" s="1">
        <v>116</v>
      </c>
      <c r="N117" s="1">
        <v>3200.7025616288902</v>
      </c>
      <c r="O117" s="3">
        <v>2.8502295699234199E-6</v>
      </c>
      <c r="P117" s="3">
        <v>5.98473400508856E-3</v>
      </c>
      <c r="Q117" s="3">
        <v>1.905E-3</v>
      </c>
      <c r="R117" s="1">
        <v>0.15240000000000001</v>
      </c>
      <c r="S117" s="4">
        <v>4462284.8664062498</v>
      </c>
      <c r="T117" s="1">
        <v>526.45012634417299</v>
      </c>
      <c r="U117" s="5">
        <v>591.59700858253996</v>
      </c>
      <c r="V117" s="1">
        <v>0.03</v>
      </c>
      <c r="W117" s="3">
        <v>79838.233450882006</v>
      </c>
      <c r="X117" s="1">
        <v>3.3515797014276497E-2</v>
      </c>
      <c r="Y117" s="1">
        <v>5.4622959187728899</v>
      </c>
      <c r="Z117" s="1">
        <v>5.4622959290082296</v>
      </c>
      <c r="AA117" s="1">
        <v>-1.02353396869148E-8</v>
      </c>
      <c r="AB117" s="1">
        <v>1.5901282462099201E-5</v>
      </c>
      <c r="AC117" s="1">
        <v>660.90191001420396</v>
      </c>
      <c r="AD117" s="1">
        <v>2583.81077803982</v>
      </c>
      <c r="AE117" s="1">
        <v>591.59700858253996</v>
      </c>
      <c r="AF117" s="6">
        <v>0</v>
      </c>
      <c r="AG117" s="1">
        <v>1.59662224526031E-5</v>
      </c>
      <c r="AH117" s="1">
        <v>65.6197564317511</v>
      </c>
      <c r="AI117" s="1">
        <v>0.316744814992169</v>
      </c>
      <c r="AJ117" s="1">
        <v>43.3109686694144</v>
      </c>
      <c r="AK117" s="1">
        <v>4.1567155709792099</v>
      </c>
      <c r="AL117" s="1">
        <v>1.0236047381170099</v>
      </c>
      <c r="AM117" s="1">
        <v>598.16775839175898</v>
      </c>
      <c r="AN117" s="1">
        <v>2.04710204343428E-8</v>
      </c>
      <c r="AO117" s="1">
        <v>6.4939990503848696E-8</v>
      </c>
      <c r="AP117" s="1">
        <v>4.2231575014604399</v>
      </c>
      <c r="AQ117" s="1">
        <v>4.8000108947924102E-5</v>
      </c>
      <c r="AR117" s="1">
        <v>8.0155812215534695E-6</v>
      </c>
      <c r="AS117" s="1">
        <v>21.7435644645705</v>
      </c>
      <c r="AT117" s="1">
        <v>12.3465891353259</v>
      </c>
      <c r="AU117" s="1">
        <v>3.9107180914531301</v>
      </c>
      <c r="AV117" s="1">
        <v>0.31243941000731501</v>
      </c>
      <c r="AW117" s="1">
        <v>8.5955020974575694E-3</v>
      </c>
      <c r="AX117" s="1">
        <v>0.31243940996483699</v>
      </c>
      <c r="AY117" s="1">
        <v>4.2477965589426997E-11</v>
      </c>
      <c r="AZ117" s="1">
        <v>1189751.8930438301</v>
      </c>
      <c r="BA117" s="1">
        <v>1.13659291492976E-5</v>
      </c>
      <c r="BB117" s="4">
        <v>4446100.4057524204</v>
      </c>
      <c r="BC117" s="4">
        <v>-16184.4606538313</v>
      </c>
      <c r="BD117" s="7">
        <v>-0.36269447465521398</v>
      </c>
      <c r="BE117" s="4">
        <v>3974783.4</v>
      </c>
      <c r="BF117" s="1">
        <v>1.11857677722827</v>
      </c>
      <c r="BG117" s="1">
        <v>1</v>
      </c>
      <c r="BH117" s="1">
        <v>4.0000000000000001E-3</v>
      </c>
      <c r="BI117" s="1">
        <v>4.5999999999999999E-2</v>
      </c>
      <c r="BJ117" s="1">
        <v>5625</v>
      </c>
      <c r="BK117" s="1">
        <v>1.03846679867313</v>
      </c>
      <c r="BL117" s="1">
        <v>71.717632068057</v>
      </c>
      <c r="BM117" s="1">
        <v>4.4461004057524196</v>
      </c>
      <c r="BN117" s="1">
        <v>71.717632068057</v>
      </c>
      <c r="BO117" s="1">
        <v>1.03846679867313</v>
      </c>
      <c r="BP117" s="1">
        <v>1006.00818400464</v>
      </c>
      <c r="BQ117" s="1">
        <v>1</v>
      </c>
      <c r="BR117" s="1">
        <v>0.15240000000000001</v>
      </c>
    </row>
    <row r="118" spans="1:70">
      <c r="A118" s="2" t="s">
        <v>186</v>
      </c>
      <c r="B118" s="1">
        <v>12065825.263044599</v>
      </c>
      <c r="C118" s="1">
        <v>598.16775841223</v>
      </c>
      <c r="D118" s="1">
        <v>70.719127092772794</v>
      </c>
      <c r="E118" s="1">
        <v>654.056980860061</v>
      </c>
      <c r="F118" s="1">
        <v>2683685.08837691</v>
      </c>
      <c r="G118" s="1">
        <v>1493933.1953330799</v>
      </c>
      <c r="H118" s="1">
        <v>2.11454043590923E-5</v>
      </c>
      <c r="I118" s="1">
        <v>7.6371158483287804E-5</v>
      </c>
      <c r="J118" s="1">
        <v>0.51093471001103696</v>
      </c>
      <c r="K118" s="1">
        <v>6848.0719740579098</v>
      </c>
      <c r="L118" s="1">
        <v>8.69531901762856E-3</v>
      </c>
      <c r="M118" s="1">
        <v>117</v>
      </c>
      <c r="N118" s="1">
        <v>3214.26486061884</v>
      </c>
      <c r="O118" s="3">
        <v>2.8502295699234199E-6</v>
      </c>
      <c r="P118" s="3">
        <v>5.98473400508856E-3</v>
      </c>
      <c r="Q118" s="3">
        <v>1.905E-3</v>
      </c>
      <c r="R118" s="1">
        <v>0.15240000000000001</v>
      </c>
      <c r="S118" s="4">
        <v>5541467.0077187503</v>
      </c>
      <c r="T118" s="1">
        <v>487.52777357266399</v>
      </c>
      <c r="U118" s="5">
        <v>568.08875597439896</v>
      </c>
      <c r="V118" s="1">
        <v>0.03</v>
      </c>
      <c r="W118" s="3">
        <v>80176.531050250007</v>
      </c>
      <c r="X118" s="1">
        <v>3.34499327767354E-2</v>
      </c>
      <c r="Y118" s="1">
        <v>5.4676710122319498</v>
      </c>
      <c r="Z118" s="1">
        <v>5.4676710211262503</v>
      </c>
      <c r="AA118" s="1">
        <v>-8.8942986309348304E-9</v>
      </c>
      <c r="AB118" s="1">
        <v>1.5798424110076499E-5</v>
      </c>
      <c r="AC118" s="1">
        <v>682.31182901216903</v>
      </c>
      <c r="AD118" s="1">
        <v>2592.2083036275699</v>
      </c>
      <c r="AE118" s="1">
        <v>568.08875597439896</v>
      </c>
      <c r="AF118" s="6">
        <v>0</v>
      </c>
      <c r="AG118" s="1">
        <v>1.5878801825704899E-5</v>
      </c>
      <c r="AH118" s="1">
        <v>66.046985119857993</v>
      </c>
      <c r="AI118" s="1">
        <v>0.31777425287178901</v>
      </c>
      <c r="AJ118" s="1">
        <v>43.213818314172002</v>
      </c>
      <c r="AK118" s="1">
        <v>5.57739465833538</v>
      </c>
      <c r="AL118" s="1">
        <v>1.0236047381170099</v>
      </c>
      <c r="AM118" s="1">
        <v>598.16775835845704</v>
      </c>
      <c r="AN118" s="1">
        <v>5.3772737373947199E-8</v>
      </c>
      <c r="AO118" s="1">
        <v>8.0377715628440695E-8</v>
      </c>
      <c r="AP118" s="1">
        <v>4.2340795689430699</v>
      </c>
      <c r="AQ118" s="1">
        <v>4.7752789907438598E-5</v>
      </c>
      <c r="AR118" s="1">
        <v>7.9795897706666799E-6</v>
      </c>
      <c r="AS118" s="1">
        <v>21.7162822709331</v>
      </c>
      <c r="AT118" s="1">
        <v>12.3403115712592</v>
      </c>
      <c r="AU118" s="1">
        <v>3.9214332897619699</v>
      </c>
      <c r="AV118" s="1">
        <v>0.312646279181097</v>
      </c>
      <c r="AW118" s="1">
        <v>8.5399016021729997E-3</v>
      </c>
      <c r="AX118" s="1">
        <v>0.31264627905382097</v>
      </c>
      <c r="AY118" s="1">
        <v>1.27276245098784E-10</v>
      </c>
      <c r="AZ118" s="1">
        <v>1189751.8930438301</v>
      </c>
      <c r="BA118" s="1">
        <v>1.12781985151401E-5</v>
      </c>
      <c r="BB118" s="4">
        <v>5545847.3877368504</v>
      </c>
      <c r="BC118" s="4">
        <v>4380.3800180973503</v>
      </c>
      <c r="BD118" s="7">
        <v>7.9047299424428299E-2</v>
      </c>
      <c r="BE118" s="4">
        <v>5425894.7999999998</v>
      </c>
      <c r="BF118" s="1">
        <v>1.02210742967904</v>
      </c>
      <c r="BG118" s="1">
        <v>1</v>
      </c>
      <c r="BH118" s="1">
        <v>-2.8000000000000001E-2</v>
      </c>
      <c r="BI118" s="1">
        <v>4.5999999999999999E-2</v>
      </c>
      <c r="BJ118" s="1">
        <v>5625</v>
      </c>
      <c r="BK118" s="1">
        <v>1.0189447899961599</v>
      </c>
      <c r="BL118" s="1">
        <v>110.639984839566</v>
      </c>
      <c r="BM118" s="1">
        <v>5.5458473877368499</v>
      </c>
      <c r="BN118" s="1">
        <v>110.639984839566</v>
      </c>
      <c r="BO118" s="1">
        <v>1.0189447899961599</v>
      </c>
      <c r="BP118" s="1">
        <v>4990.0074581341196</v>
      </c>
      <c r="BQ118" s="1">
        <v>1</v>
      </c>
      <c r="BR118" s="1">
        <v>0.15240000000000001</v>
      </c>
    </row>
    <row r="119" spans="1:70">
      <c r="A119" s="2" t="s">
        <v>187</v>
      </c>
      <c r="B119" s="1">
        <v>12065825.263044599</v>
      </c>
      <c r="C119" s="1">
        <v>598.16775841223</v>
      </c>
      <c r="D119" s="1">
        <v>70.719127092772794</v>
      </c>
      <c r="E119" s="1">
        <v>654.056980860061</v>
      </c>
      <c r="F119" s="1">
        <v>2683685.08837691</v>
      </c>
      <c r="G119" s="1">
        <v>1493933.1953330799</v>
      </c>
      <c r="H119" s="1">
        <v>2.11454043590923E-5</v>
      </c>
      <c r="I119" s="1">
        <v>7.6371158483287804E-5</v>
      </c>
      <c r="J119" s="1">
        <v>0.51093471001103696</v>
      </c>
      <c r="K119" s="1">
        <v>6848.0719740579098</v>
      </c>
      <c r="L119" s="1">
        <v>8.69531901762856E-3</v>
      </c>
      <c r="M119" s="1">
        <v>118</v>
      </c>
      <c r="N119" s="1">
        <v>3254.9517575886998</v>
      </c>
      <c r="O119" s="3">
        <v>2.8502295699234199E-6</v>
      </c>
      <c r="P119" s="3">
        <v>5.98473400508856E-3</v>
      </c>
      <c r="Q119" s="3">
        <v>1.905E-3</v>
      </c>
      <c r="R119" s="1">
        <v>0.15240000000000001</v>
      </c>
      <c r="S119" s="4">
        <v>6494859.47265625</v>
      </c>
      <c r="T119" s="1">
        <v>458.12079612380802</v>
      </c>
      <c r="U119" s="5">
        <v>551.36178370213702</v>
      </c>
      <c r="V119" s="1">
        <v>0.03</v>
      </c>
      <c r="W119" s="3">
        <v>81191.423848354505</v>
      </c>
      <c r="X119" s="1">
        <v>3.3255093087555303E-2</v>
      </c>
      <c r="Y119" s="1">
        <v>5.4836650054080103</v>
      </c>
      <c r="Z119" s="1">
        <v>5.4836650106196796</v>
      </c>
      <c r="AA119" s="1">
        <v>-5.2116648774358501E-9</v>
      </c>
      <c r="AB119" s="1">
        <v>1.54961944859755E-5</v>
      </c>
      <c r="AC119" s="1">
        <v>699.61608834790002</v>
      </c>
      <c r="AD119" s="1">
        <v>2617.3647697636402</v>
      </c>
      <c r="AE119" s="1">
        <v>551.36178370213702</v>
      </c>
      <c r="AF119" s="6">
        <v>0</v>
      </c>
      <c r="AG119" s="1">
        <v>1.5589148981654602E-5</v>
      </c>
      <c r="AH119" s="1">
        <v>67.335130767735805</v>
      </c>
      <c r="AI119" s="1">
        <v>0.320858139772427</v>
      </c>
      <c r="AJ119" s="1">
        <v>42.837259144545399</v>
      </c>
      <c r="AK119" s="1">
        <v>6.7341544769648598</v>
      </c>
      <c r="AL119" s="1">
        <v>1.0236047381170099</v>
      </c>
      <c r="AM119" s="1">
        <v>598.16775834116197</v>
      </c>
      <c r="AN119" s="1">
        <v>7.1067688622861196E-8</v>
      </c>
      <c r="AO119" s="1">
        <v>9.2954495679125204E-8</v>
      </c>
      <c r="AP119" s="1">
        <v>4.26060117565574</v>
      </c>
      <c r="AQ119" s="1">
        <v>4.7160132282585103E-5</v>
      </c>
      <c r="AR119" s="1">
        <v>7.8410517386668701E-6</v>
      </c>
      <c r="AS119" s="1">
        <v>21.5463439146253</v>
      </c>
      <c r="AT119" s="1">
        <v>12.301030731113499</v>
      </c>
      <c r="AU119" s="1">
        <v>3.9468858376685398</v>
      </c>
      <c r="AV119" s="1">
        <v>0.31371533798720502</v>
      </c>
      <c r="AW119" s="1">
        <v>8.3765301650536497E-3</v>
      </c>
      <c r="AX119" s="1">
        <v>0.313715337378563</v>
      </c>
      <c r="AY119" s="1">
        <v>6.0864152606754405E-10</v>
      </c>
      <c r="AZ119" s="1">
        <v>1189751.8930438301</v>
      </c>
      <c r="BA119" s="1">
        <v>1.10688915339105E-5</v>
      </c>
      <c r="BB119" s="4">
        <v>6534889.6301040603</v>
      </c>
      <c r="BC119" s="4">
        <v>40030.157447813101</v>
      </c>
      <c r="BD119" s="7">
        <v>0.616336005672524</v>
      </c>
      <c r="BE119" s="4">
        <v>6624639</v>
      </c>
      <c r="BF119" s="1">
        <v>0.98645218707073101</v>
      </c>
      <c r="BG119" s="1">
        <v>1</v>
      </c>
      <c r="BH119" s="1">
        <v>-4.3999999999999997E-2</v>
      </c>
      <c r="BI119" s="1">
        <v>4.5999999999999999E-2</v>
      </c>
      <c r="BJ119" s="1">
        <v>5625</v>
      </c>
      <c r="BK119" s="1">
        <v>1.0077616384810699</v>
      </c>
      <c r="BL119" s="1">
        <v>140.04696228842201</v>
      </c>
      <c r="BM119" s="1">
        <v>6.5348896301040602</v>
      </c>
      <c r="BN119" s="1">
        <v>140.04696228842201</v>
      </c>
      <c r="BO119" s="1">
        <v>1.0077616384810699</v>
      </c>
      <c r="BP119" s="1">
        <v>10009.3946631409</v>
      </c>
      <c r="BQ119" s="1">
        <v>1</v>
      </c>
      <c r="BR119" s="1">
        <v>0.15240000000000001</v>
      </c>
    </row>
    <row r="120" spans="1:70">
      <c r="A120" s="2" t="s">
        <v>188</v>
      </c>
      <c r="B120" s="1">
        <v>12065825.263044599</v>
      </c>
      <c r="C120" s="1">
        <v>598.16775841223</v>
      </c>
      <c r="D120" s="1">
        <v>70.719127092772794</v>
      </c>
      <c r="E120" s="1">
        <v>654.056980860061</v>
      </c>
      <c r="F120" s="1">
        <v>2683685.08837691</v>
      </c>
      <c r="G120" s="1">
        <v>1493933.1953330799</v>
      </c>
      <c r="H120" s="1">
        <v>2.11454043590923E-5</v>
      </c>
      <c r="I120" s="1">
        <v>7.6371158483287804E-5</v>
      </c>
      <c r="J120" s="1">
        <v>0.51093471001103696</v>
      </c>
      <c r="K120" s="1">
        <v>6848.0719740579098</v>
      </c>
      <c r="L120" s="1">
        <v>8.69531901762856E-3</v>
      </c>
      <c r="M120" s="1">
        <v>119</v>
      </c>
      <c r="N120" s="1">
        <v>3295.6386545585601</v>
      </c>
      <c r="O120" s="3">
        <v>2.8502295699234199E-6</v>
      </c>
      <c r="P120" s="3">
        <v>5.98473400508856E-3</v>
      </c>
      <c r="Q120" s="3">
        <v>1.905E-3</v>
      </c>
      <c r="R120" s="1">
        <v>0.15240000000000001</v>
      </c>
      <c r="S120" s="4">
        <v>4676068.30078125</v>
      </c>
      <c r="T120" s="1">
        <v>522.60407503228396</v>
      </c>
      <c r="U120" s="5">
        <v>588.90550880032799</v>
      </c>
      <c r="V120" s="1">
        <v>0.03</v>
      </c>
      <c r="W120" s="3">
        <v>82206.316646459003</v>
      </c>
      <c r="X120" s="1">
        <v>3.3064274849559601E-2</v>
      </c>
      <c r="Y120" s="1">
        <v>5.4994657138155496</v>
      </c>
      <c r="Z120" s="1">
        <v>5.4994657451812596</v>
      </c>
      <c r="AA120" s="1">
        <v>-3.1365715358333499E-8</v>
      </c>
      <c r="AB120" s="1">
        <v>1.52031702906789E-5</v>
      </c>
      <c r="AC120" s="1">
        <v>662.89607077276401</v>
      </c>
      <c r="AD120" s="1">
        <v>2642.4677860546999</v>
      </c>
      <c r="AE120" s="1">
        <v>588.90550945239499</v>
      </c>
      <c r="AF120" s="6">
        <v>6.52067001283285E-7</v>
      </c>
      <c r="AG120" s="1">
        <v>1.5269003049548199E-5</v>
      </c>
      <c r="AH120" s="1">
        <v>68.632940509464703</v>
      </c>
      <c r="AI120" s="1">
        <v>0.32393547435065501</v>
      </c>
      <c r="AJ120" s="1">
        <v>42.359946124516803</v>
      </c>
      <c r="AK120" s="1">
        <v>4.3046789681365603</v>
      </c>
      <c r="AL120" s="1">
        <v>1.0236047381170099</v>
      </c>
      <c r="AM120" s="1">
        <v>598.16775839464401</v>
      </c>
      <c r="AN120" s="1">
        <v>1.75855348061305E-8</v>
      </c>
      <c r="AO120" s="1">
        <v>6.5832758869320806E-8</v>
      </c>
      <c r="AP120" s="1">
        <v>4.2792730992228796</v>
      </c>
      <c r="AQ120" s="1">
        <v>4.6749478766895801E-5</v>
      </c>
      <c r="AR120" s="1">
        <v>7.6674179042087794E-6</v>
      </c>
      <c r="AS120" s="1">
        <v>21.271291143402401</v>
      </c>
      <c r="AT120" s="1">
        <v>12.236791649637601</v>
      </c>
      <c r="AU120" s="1">
        <v>3.9639309075555</v>
      </c>
      <c r="AV120" s="1">
        <v>0.31534219166738098</v>
      </c>
      <c r="AW120" s="1">
        <v>8.2181347594452708E-3</v>
      </c>
      <c r="AX120" s="1">
        <v>0.31534219046443601</v>
      </c>
      <c r="AY120" s="1">
        <v>1.2029448548389599E-9</v>
      </c>
      <c r="AZ120" s="1">
        <v>1189751.8930438301</v>
      </c>
      <c r="BA120" s="1">
        <v>1.0924630815309601E-5</v>
      </c>
      <c r="BB120" s="4">
        <v>4689291.9896161398</v>
      </c>
      <c r="BC120" s="4">
        <v>13223.6888348879</v>
      </c>
      <c r="BD120" s="7">
        <v>0.28279503172951098</v>
      </c>
      <c r="BE120" s="4">
        <v>4037875.2</v>
      </c>
      <c r="BF120" s="1">
        <v>1.1613266278304299</v>
      </c>
      <c r="BG120" s="1">
        <v>1</v>
      </c>
      <c r="BH120" s="1">
        <v>-1.6E-2</v>
      </c>
      <c r="BI120" s="1">
        <v>4.5999999999999999E-2</v>
      </c>
      <c r="BJ120" s="1">
        <v>5625</v>
      </c>
      <c r="BK120" s="1">
        <v>1.0367372932983401</v>
      </c>
      <c r="BL120" s="1">
        <v>75.563683379945999</v>
      </c>
      <c r="BM120" s="1">
        <v>4.68929198961614</v>
      </c>
      <c r="BN120" s="1">
        <v>75.563683379945999</v>
      </c>
      <c r="BO120" s="1">
        <v>1.0367372932983401</v>
      </c>
      <c r="BP120" s="1">
        <v>1264.77557554905</v>
      </c>
      <c r="BQ120" s="1">
        <v>1</v>
      </c>
      <c r="BR120" s="1">
        <v>0.15240000000000001</v>
      </c>
    </row>
    <row r="121" spans="1:70">
      <c r="A121" s="2" t="s">
        <v>189</v>
      </c>
      <c r="B121" s="1">
        <v>12065825.263044599</v>
      </c>
      <c r="C121" s="1">
        <v>598.16775841223</v>
      </c>
      <c r="D121" s="1">
        <v>70.719127092772794</v>
      </c>
      <c r="E121" s="1">
        <v>654.056980860061</v>
      </c>
      <c r="F121" s="1">
        <v>2683685.08837691</v>
      </c>
      <c r="G121" s="1">
        <v>1493933.1953330799</v>
      </c>
      <c r="H121" s="1">
        <v>2.11454043590923E-5</v>
      </c>
      <c r="I121" s="1">
        <v>7.6371158483287804E-5</v>
      </c>
      <c r="J121" s="1">
        <v>0.51093471001103696</v>
      </c>
      <c r="K121" s="1">
        <v>6848.0719740579098</v>
      </c>
      <c r="L121" s="1">
        <v>8.69531901762856E-3</v>
      </c>
      <c r="M121" s="1">
        <v>120</v>
      </c>
      <c r="N121" s="1">
        <v>3811.0060161767701</v>
      </c>
      <c r="O121" s="3">
        <v>2.8502295699234199E-6</v>
      </c>
      <c r="P121" s="3">
        <v>5.98473400508856E-3</v>
      </c>
      <c r="Q121" s="3">
        <v>1.905E-3</v>
      </c>
      <c r="R121" s="1">
        <v>0.15240000000000001</v>
      </c>
      <c r="S121" s="4">
        <v>4759205.95703125</v>
      </c>
      <c r="T121" s="1">
        <v>535.47689091834604</v>
      </c>
      <c r="U121" s="5">
        <v>593.83168317304603</v>
      </c>
      <c r="V121" s="1">
        <v>0.03</v>
      </c>
      <c r="W121" s="3">
        <v>95061.6254224484</v>
      </c>
      <c r="X121" s="1">
        <v>3.0945300439482602E-2</v>
      </c>
      <c r="Y121" s="1">
        <v>5.6846358323022699</v>
      </c>
      <c r="Z121" s="1">
        <v>5.6846358673975699</v>
      </c>
      <c r="AA121" s="1">
        <v>-3.5095298223097897E-8</v>
      </c>
      <c r="AB121" s="1">
        <v>1.21478205091792E-5</v>
      </c>
      <c r="AC121" s="1">
        <v>654.21558770639103</v>
      </c>
      <c r="AD121" s="1">
        <v>2956.15770076538</v>
      </c>
      <c r="AE121" s="1">
        <v>593.83168317304603</v>
      </c>
      <c r="AF121" s="6">
        <v>0</v>
      </c>
      <c r="AG121" s="1">
        <v>1.22027390281693E-5</v>
      </c>
      <c r="AH121" s="1">
        <v>85.895102033074707</v>
      </c>
      <c r="AI121" s="1">
        <v>0.362390168805998</v>
      </c>
      <c r="AJ121" s="1">
        <v>37.872147977483301</v>
      </c>
      <c r="AK121" s="1">
        <v>3.7981106663531001</v>
      </c>
      <c r="AL121" s="1">
        <v>1.0236047381170099</v>
      </c>
      <c r="AM121" s="1">
        <v>598.16775839935406</v>
      </c>
      <c r="AN121" s="1">
        <v>1.28760575535125E-8</v>
      </c>
      <c r="AO121" s="1">
        <v>5.4918518990038898E-8</v>
      </c>
      <c r="AP121" s="1">
        <v>4.5627758606842201</v>
      </c>
      <c r="AQ121" s="1">
        <v>4.1120511652791498E-5</v>
      </c>
      <c r="AR121" s="1">
        <v>6.1288287735796498E-6</v>
      </c>
      <c r="AS121" s="1">
        <v>19.0212959324829</v>
      </c>
      <c r="AT121" s="1">
        <v>11.677795950238</v>
      </c>
      <c r="AU121" s="1">
        <v>4.2319184456887697</v>
      </c>
      <c r="AV121" s="1">
        <v>0.33085741499545201</v>
      </c>
      <c r="AW121" s="1">
        <v>6.5665531641907202E-3</v>
      </c>
      <c r="AX121" s="1">
        <v>0.33085739444450801</v>
      </c>
      <c r="AY121" s="1">
        <v>2.0550944668240599E-8</v>
      </c>
      <c r="AZ121" s="1">
        <v>1189751.8930438301</v>
      </c>
      <c r="BA121" s="1">
        <v>9.0121699834331006E-6</v>
      </c>
      <c r="BB121" s="4">
        <v>4741998.7170337001</v>
      </c>
      <c r="BC121" s="4">
        <v>-17207.239997551798</v>
      </c>
      <c r="BD121" s="7">
        <v>-0.36155695199804899</v>
      </c>
      <c r="BE121" s="4">
        <v>4053648.15</v>
      </c>
      <c r="BF121" s="1">
        <v>1.16981014176914</v>
      </c>
      <c r="BG121" s="1">
        <v>1</v>
      </c>
      <c r="BH121" s="1">
        <v>-7.0000000000000001E-3</v>
      </c>
      <c r="BI121" s="1">
        <v>4.5999999999999999E-2</v>
      </c>
      <c r="BJ121" s="1">
        <v>5625</v>
      </c>
      <c r="BK121" s="1">
        <v>1.04197641781599</v>
      </c>
      <c r="BL121" s="1">
        <v>62.690867493883999</v>
      </c>
      <c r="BM121" s="1">
        <v>4.7419987170336997</v>
      </c>
      <c r="BN121" s="1">
        <v>62.690867493883999</v>
      </c>
      <c r="BO121" s="1">
        <v>1.04197641781599</v>
      </c>
      <c r="BP121" s="1">
        <v>514.87546762500006</v>
      </c>
      <c r="BQ121" s="1">
        <v>1</v>
      </c>
      <c r="BR121" s="1">
        <v>0.15240000000000001</v>
      </c>
    </row>
    <row r="122" spans="1:70">
      <c r="A122" s="2" t="s">
        <v>190</v>
      </c>
      <c r="B122" s="1">
        <v>12065825.263044599</v>
      </c>
      <c r="C122" s="1">
        <v>598.16775841223</v>
      </c>
      <c r="D122" s="1">
        <v>70.719127092772794</v>
      </c>
      <c r="E122" s="1">
        <v>654.056980860061</v>
      </c>
      <c r="F122" s="1">
        <v>2683685.08837691</v>
      </c>
      <c r="G122" s="1">
        <v>1493933.1953330799</v>
      </c>
      <c r="H122" s="1">
        <v>2.11454043590923E-5</v>
      </c>
      <c r="I122" s="1">
        <v>7.6371158483287804E-5</v>
      </c>
      <c r="J122" s="1">
        <v>0.51093471001103696</v>
      </c>
      <c r="K122" s="1">
        <v>6848.0719740579098</v>
      </c>
      <c r="L122" s="1">
        <v>8.69531901762856E-3</v>
      </c>
      <c r="M122" s="1">
        <v>121</v>
      </c>
      <c r="N122" s="1">
        <v>4041.5650990059698</v>
      </c>
      <c r="O122" s="3">
        <v>2.8502295699234199E-6</v>
      </c>
      <c r="P122" s="3">
        <v>5.98473400508856E-3</v>
      </c>
      <c r="Q122" s="3">
        <v>1.905E-3</v>
      </c>
      <c r="R122" s="1">
        <v>0.15240000000000001</v>
      </c>
      <c r="S122" s="4">
        <v>5204152.79296875</v>
      </c>
      <c r="T122" s="1">
        <v>529.302558596925</v>
      </c>
      <c r="U122" s="5">
        <v>589.47285106880599</v>
      </c>
      <c r="V122" s="1">
        <v>0.03</v>
      </c>
      <c r="W122" s="3">
        <v>100812.68461170699</v>
      </c>
      <c r="X122" s="1">
        <v>3.0144337567857799E-2</v>
      </c>
      <c r="Y122" s="1">
        <v>5.7596637200681799</v>
      </c>
      <c r="Z122" s="1">
        <v>5.7596637569575702</v>
      </c>
      <c r="AA122" s="1">
        <v>-3.6889382215576903E-8</v>
      </c>
      <c r="AB122" s="1">
        <v>1.1088363050012001E-5</v>
      </c>
      <c r="AC122" s="1">
        <v>657.37582741667904</v>
      </c>
      <c r="AD122" s="1">
        <v>3094.1621066426901</v>
      </c>
      <c r="AE122" s="1">
        <v>589.47285106880599</v>
      </c>
      <c r="AF122" s="6">
        <v>0</v>
      </c>
      <c r="AG122" s="1">
        <v>1.1143818005638199E-5</v>
      </c>
      <c r="AH122" s="1">
        <v>94.102103025414607</v>
      </c>
      <c r="AI122" s="1">
        <v>0.37930788599304199</v>
      </c>
      <c r="AJ122" s="1">
        <v>36.200293329520598</v>
      </c>
      <c r="AK122" s="1">
        <v>4.0431916190799999</v>
      </c>
      <c r="AL122" s="1">
        <v>1.0236047381170099</v>
      </c>
      <c r="AM122" s="1">
        <v>598.16775840641606</v>
      </c>
      <c r="AN122" s="1">
        <v>5.8140585679211703E-9</v>
      </c>
      <c r="AO122" s="1">
        <v>5.5454955626273197E-8</v>
      </c>
      <c r="AP122" s="1">
        <v>4.6822205923112596</v>
      </c>
      <c r="AQ122" s="1">
        <v>3.9049280753577103E-5</v>
      </c>
      <c r="AR122" s="1">
        <v>5.59963648063226E-6</v>
      </c>
      <c r="AS122" s="1">
        <v>18.190218382515901</v>
      </c>
      <c r="AT122" s="1">
        <v>11.454419990469001</v>
      </c>
      <c r="AU122" s="1">
        <v>4.3447518318612399</v>
      </c>
      <c r="AV122" s="1">
        <v>0.337468760450025</v>
      </c>
      <c r="AW122" s="1">
        <v>5.9938591796555203E-3</v>
      </c>
      <c r="AX122" s="1">
        <v>0.337468759107311</v>
      </c>
      <c r="AY122" s="1">
        <v>1.34271366247773E-9</v>
      </c>
      <c r="AZ122" s="1">
        <v>1189751.8930438301</v>
      </c>
      <c r="BA122" s="1">
        <v>8.3399062439946702E-6</v>
      </c>
      <c r="BB122" s="4">
        <v>5174294.9784548497</v>
      </c>
      <c r="BC122" s="4">
        <v>-29857.8145139031</v>
      </c>
      <c r="BD122" s="7">
        <v>-0.57373055138280205</v>
      </c>
      <c r="BE122" s="4">
        <v>4653020.25</v>
      </c>
      <c r="BF122" s="1">
        <v>1.1120293272858299</v>
      </c>
      <c r="BG122" s="1">
        <v>1</v>
      </c>
      <c r="BH122" s="1">
        <v>-8.9999999999999993E-3</v>
      </c>
      <c r="BI122" s="1">
        <v>4.5999999999999999E-2</v>
      </c>
      <c r="BJ122" s="1">
        <v>5625</v>
      </c>
      <c r="BK122" s="1">
        <v>1.0396668963453</v>
      </c>
      <c r="BL122" s="1">
        <v>68.865199815305004</v>
      </c>
      <c r="BM122" s="1">
        <v>5.1742949784548502</v>
      </c>
      <c r="BN122" s="1">
        <v>68.865199815305004</v>
      </c>
      <c r="BO122" s="1">
        <v>1.0396668963453</v>
      </c>
      <c r="BP122" s="1">
        <v>833.19976037748404</v>
      </c>
      <c r="BQ122" s="1">
        <v>1</v>
      </c>
      <c r="BR122" s="1">
        <v>0.15240000000000001</v>
      </c>
    </row>
    <row r="123" spans="1:70">
      <c r="A123" s="2" t="s">
        <v>191</v>
      </c>
      <c r="B123" s="1">
        <v>12065825.263044599</v>
      </c>
      <c r="C123" s="1">
        <v>598.16775841223</v>
      </c>
      <c r="D123" s="1">
        <v>70.719127092772794</v>
      </c>
      <c r="E123" s="1">
        <v>654.056980860061</v>
      </c>
      <c r="F123" s="1">
        <v>2683685.08837691</v>
      </c>
      <c r="G123" s="1">
        <v>1493933.1953330799</v>
      </c>
      <c r="H123" s="1">
        <v>2.11454043590923E-5</v>
      </c>
      <c r="I123" s="1">
        <v>7.6371158483287804E-5</v>
      </c>
      <c r="J123" s="1">
        <v>0.51093471001103696</v>
      </c>
      <c r="K123" s="1">
        <v>6848.0719740579098</v>
      </c>
      <c r="L123" s="1">
        <v>8.69531901762856E-3</v>
      </c>
      <c r="M123" s="1">
        <v>122</v>
      </c>
      <c r="N123" s="1">
        <v>4041.5650990059698</v>
      </c>
      <c r="O123" s="3">
        <v>2.8502295699234199E-6</v>
      </c>
      <c r="P123" s="3">
        <v>5.98473400508856E-3</v>
      </c>
      <c r="Q123" s="3">
        <v>1.905E-3</v>
      </c>
      <c r="R123" s="1">
        <v>0.15240000000000001</v>
      </c>
      <c r="S123" s="4">
        <v>5324894.27734375</v>
      </c>
      <c r="T123" s="1">
        <v>525.91640840595801</v>
      </c>
      <c r="U123" s="5">
        <v>587.48271108686902</v>
      </c>
      <c r="V123" s="1">
        <v>0.03</v>
      </c>
      <c r="W123" s="3">
        <v>100812.68461170699</v>
      </c>
      <c r="X123" s="1">
        <v>3.0144337567857799E-2</v>
      </c>
      <c r="Y123" s="1">
        <v>5.7596637200681799</v>
      </c>
      <c r="Z123" s="1">
        <v>5.7596637569575702</v>
      </c>
      <c r="AA123" s="1">
        <v>-3.6889382215576903E-8</v>
      </c>
      <c r="AB123" s="1">
        <v>1.1088363050012001E-5</v>
      </c>
      <c r="AC123" s="1">
        <v>659.29028134790894</v>
      </c>
      <c r="AD123" s="1">
        <v>3094.1621066426901</v>
      </c>
      <c r="AE123" s="1">
        <v>587.48271170244095</v>
      </c>
      <c r="AF123" s="6">
        <v>6.1557182107208096E-7</v>
      </c>
      <c r="AG123" s="1">
        <v>1.1145764277863599E-5</v>
      </c>
      <c r="AH123" s="1">
        <v>94.102103025414607</v>
      </c>
      <c r="AI123" s="1">
        <v>0.37930788599304199</v>
      </c>
      <c r="AJ123" s="1">
        <v>36.206615725078599</v>
      </c>
      <c r="AK123" s="1">
        <v>4.1738011220006399</v>
      </c>
      <c r="AL123" s="1">
        <v>1.0236047381170099</v>
      </c>
      <c r="AM123" s="1">
        <v>598.16775840610603</v>
      </c>
      <c r="AN123" s="1">
        <v>6.1235141401994001E-9</v>
      </c>
      <c r="AO123" s="1">
        <v>5.74012278516509E-8</v>
      </c>
      <c r="AP123" s="1">
        <v>4.68283535717286</v>
      </c>
      <c r="AQ123" s="1">
        <v>3.9039028610130097E-5</v>
      </c>
      <c r="AR123" s="1">
        <v>5.6015827528576302E-6</v>
      </c>
      <c r="AS123" s="1">
        <v>18.196540778073899</v>
      </c>
      <c r="AT123" s="1">
        <v>11.4561575443945</v>
      </c>
      <c r="AU123" s="1">
        <v>4.3454108997675203</v>
      </c>
      <c r="AV123" s="1">
        <v>0.33742445740533999</v>
      </c>
      <c r="AW123" s="1">
        <v>5.9938591796555203E-3</v>
      </c>
      <c r="AX123" s="1">
        <v>0.337424456047485</v>
      </c>
      <c r="AY123" s="1">
        <v>1.3578548285764199E-9</v>
      </c>
      <c r="AZ123" s="1">
        <v>1189751.8930438301</v>
      </c>
      <c r="BA123" s="1">
        <v>8.33662207455846E-6</v>
      </c>
      <c r="BB123" s="4">
        <v>5358004.3043332295</v>
      </c>
      <c r="BC123" s="4">
        <v>33110.0269894823</v>
      </c>
      <c r="BD123" s="7">
        <v>0.62179688957127699</v>
      </c>
      <c r="BE123" s="4">
        <v>5173527.5999999996</v>
      </c>
      <c r="BF123" s="1">
        <v>1.0356578177592499</v>
      </c>
      <c r="BG123" s="1">
        <v>1</v>
      </c>
      <c r="BH123" s="1">
        <v>-1.2E-2</v>
      </c>
      <c r="BI123" s="1">
        <v>4.5999999999999999E-2</v>
      </c>
      <c r="BJ123" s="1">
        <v>5625</v>
      </c>
      <c r="BK123" s="1">
        <v>1.03823402844558</v>
      </c>
      <c r="BL123" s="1">
        <v>72.251350006272006</v>
      </c>
      <c r="BM123" s="1">
        <v>5.3580043043332299</v>
      </c>
      <c r="BN123" s="1">
        <v>72.251350006272006</v>
      </c>
      <c r="BO123" s="1">
        <v>1.03823402844558</v>
      </c>
      <c r="BP123" s="1">
        <v>1040.14957722706</v>
      </c>
      <c r="BQ123" s="1">
        <v>1</v>
      </c>
      <c r="BR123" s="1">
        <v>0.15240000000000001</v>
      </c>
    </row>
    <row r="124" spans="1:70">
      <c r="A124" s="2" t="s">
        <v>192</v>
      </c>
      <c r="B124" s="1">
        <v>12065825.263044599</v>
      </c>
      <c r="C124" s="1">
        <v>598.16775841223</v>
      </c>
      <c r="D124" s="1">
        <v>70.719127092772794</v>
      </c>
      <c r="E124" s="1">
        <v>654.056980860061</v>
      </c>
      <c r="F124" s="1">
        <v>2683685.08837691</v>
      </c>
      <c r="G124" s="1">
        <v>1493933.1953330799</v>
      </c>
      <c r="H124" s="1">
        <v>2.11454043590923E-5</v>
      </c>
      <c r="I124" s="1">
        <v>7.6371158483287804E-5</v>
      </c>
      <c r="J124" s="1">
        <v>0.51093471001103696</v>
      </c>
      <c r="K124" s="1">
        <v>6848.0719740579098</v>
      </c>
      <c r="L124" s="1">
        <v>8.69531901762856E-3</v>
      </c>
      <c r="M124" s="1">
        <v>123</v>
      </c>
      <c r="N124" s="1">
        <v>4082.2519959758301</v>
      </c>
      <c r="O124" s="3">
        <v>2.8502295699234199E-6</v>
      </c>
      <c r="P124" s="3">
        <v>5.98473400508856E-3</v>
      </c>
      <c r="Q124" s="3">
        <v>1.905E-3</v>
      </c>
      <c r="R124" s="1">
        <v>0.15240000000000001</v>
      </c>
      <c r="S124" s="4">
        <v>5345531.19140625</v>
      </c>
      <c r="T124" s="1">
        <v>526.45012634417299</v>
      </c>
      <c r="U124" s="5">
        <v>587.63903679838199</v>
      </c>
      <c r="V124" s="1">
        <v>0.03</v>
      </c>
      <c r="W124" s="3">
        <v>101827.577409811</v>
      </c>
      <c r="X124" s="1">
        <v>3.00107704692281E-2</v>
      </c>
      <c r="Y124" s="1">
        <v>5.7724665819879704</v>
      </c>
      <c r="Z124" s="1">
        <v>5.77246661364559</v>
      </c>
      <c r="AA124" s="1">
        <v>-3.1657623189573802E-8</v>
      </c>
      <c r="AB124" s="1">
        <v>1.09168055121032E-5</v>
      </c>
      <c r="AC124" s="1">
        <v>658.90256464140202</v>
      </c>
      <c r="AD124" s="1">
        <v>3118.3797028357499</v>
      </c>
      <c r="AE124" s="1">
        <v>587.63903679838199</v>
      </c>
      <c r="AF124" s="6">
        <v>0</v>
      </c>
      <c r="AG124" s="1">
        <v>1.0973441210933101E-5</v>
      </c>
      <c r="AH124" s="1">
        <v>95.580917051109196</v>
      </c>
      <c r="AI124" s="1">
        <v>0.38227667848006103</v>
      </c>
      <c r="AJ124" s="1">
        <v>35.925833430378098</v>
      </c>
      <c r="AK124" s="1">
        <v>4.15284491517804</v>
      </c>
      <c r="AL124" s="1">
        <v>1.0236047381170099</v>
      </c>
      <c r="AM124" s="1">
        <v>598.16775840923106</v>
      </c>
      <c r="AN124" s="1">
        <v>2.99928615277167E-9</v>
      </c>
      <c r="AO124" s="1">
        <v>5.66356988299332E-8</v>
      </c>
      <c r="AP124" s="1">
        <v>4.7031583955070504</v>
      </c>
      <c r="AQ124" s="1">
        <v>3.8702370803861103E-5</v>
      </c>
      <c r="AR124" s="1">
        <v>5.5150384548815297E-6</v>
      </c>
      <c r="AS124" s="1">
        <v>18.0556262236863</v>
      </c>
      <c r="AT124" s="1">
        <v>11.417286691765799</v>
      </c>
      <c r="AU124" s="1">
        <v>4.3645624337828197</v>
      </c>
      <c r="AV124" s="1">
        <v>0.33859596172422801</v>
      </c>
      <c r="AW124" s="1">
        <v>5.9011230635312804E-3</v>
      </c>
      <c r="AX124" s="1">
        <v>0.33859595979618301</v>
      </c>
      <c r="AY124" s="1">
        <v>1.92804461285334E-9</v>
      </c>
      <c r="AZ124" s="1">
        <v>1189751.8930438301</v>
      </c>
      <c r="BA124" s="1">
        <v>8.2290170879283305E-6</v>
      </c>
      <c r="BB124" s="4">
        <v>5355675.9197826898</v>
      </c>
      <c r="BC124" s="4">
        <v>10144.7283764435</v>
      </c>
      <c r="BD124" s="7">
        <v>0.189779612412564</v>
      </c>
      <c r="BE124" s="4">
        <v>4700339.0999999996</v>
      </c>
      <c r="BF124" s="1">
        <v>1.13942330666796</v>
      </c>
      <c r="BG124" s="1">
        <v>1</v>
      </c>
      <c r="BH124" s="1">
        <v>-0.02</v>
      </c>
      <c r="BI124" s="1">
        <v>4.5999999999999999E-2</v>
      </c>
      <c r="BJ124" s="1">
        <v>5625</v>
      </c>
      <c r="BK124" s="1">
        <v>1.03846679867313</v>
      </c>
      <c r="BL124" s="1">
        <v>71.717632068057</v>
      </c>
      <c r="BM124" s="1">
        <v>5.3556759197826898</v>
      </c>
      <c r="BN124" s="1">
        <v>71.717632068057</v>
      </c>
      <c r="BO124" s="1">
        <v>1.03846679867313</v>
      </c>
      <c r="BP124" s="1">
        <v>1006.00818400464</v>
      </c>
      <c r="BQ124" s="1">
        <v>1</v>
      </c>
      <c r="BR124" s="1">
        <v>0.15240000000000001</v>
      </c>
    </row>
    <row r="125" spans="1:70">
      <c r="A125" s="2" t="s">
        <v>193</v>
      </c>
      <c r="B125" s="1">
        <v>12065825.263044599</v>
      </c>
      <c r="C125" s="1">
        <v>598.16775841223</v>
      </c>
      <c r="D125" s="1">
        <v>70.719127092772794</v>
      </c>
      <c r="E125" s="1">
        <v>654.056980860061</v>
      </c>
      <c r="F125" s="1">
        <v>2683685.08837691</v>
      </c>
      <c r="G125" s="1">
        <v>1493933.1953330799</v>
      </c>
      <c r="H125" s="1">
        <v>2.11454043590923E-5</v>
      </c>
      <c r="I125" s="1">
        <v>7.6371158483287804E-5</v>
      </c>
      <c r="J125" s="1">
        <v>0.51093471001103696</v>
      </c>
      <c r="K125" s="1">
        <v>6848.0719740579098</v>
      </c>
      <c r="L125" s="1">
        <v>8.69531901762856E-3</v>
      </c>
      <c r="M125" s="1">
        <v>124</v>
      </c>
      <c r="N125" s="1">
        <v>2325.9342767769299</v>
      </c>
      <c r="O125" s="3">
        <v>2.8502295699234199E-6</v>
      </c>
      <c r="P125" s="3">
        <v>5.98473400508856E-3</v>
      </c>
      <c r="Q125" s="3">
        <v>1.905E-3</v>
      </c>
      <c r="R125" s="1">
        <v>0.69596000000000002</v>
      </c>
      <c r="S125" s="4">
        <v>2963578.97265625</v>
      </c>
      <c r="T125" s="1">
        <v>298.737706474898</v>
      </c>
      <c r="U125" s="5">
        <v>570.63196722715497</v>
      </c>
      <c r="V125" s="1">
        <v>0.03</v>
      </c>
      <c r="W125" s="3">
        <v>58018.038291636803</v>
      </c>
      <c r="X125" s="1">
        <v>3.90786566983174E-2</v>
      </c>
      <c r="Y125" s="1">
        <v>5.0585982172817499</v>
      </c>
      <c r="Z125" s="1">
        <v>5.0585982262515303</v>
      </c>
      <c r="AA125" s="1">
        <v>-8.9697866911819801E-9</v>
      </c>
      <c r="AB125" s="1">
        <v>2.58248515761656E-5</v>
      </c>
      <c r="AC125" s="1">
        <v>664.84606444497297</v>
      </c>
      <c r="AD125" s="1">
        <v>2027.48600229818</v>
      </c>
      <c r="AE125" s="1">
        <v>570.63196722715497</v>
      </c>
      <c r="AF125" s="6">
        <v>0</v>
      </c>
      <c r="AG125" s="1">
        <v>2.5891948637876101E-5</v>
      </c>
      <c r="AH125" s="1">
        <v>40.404425134371103</v>
      </c>
      <c r="AI125" s="1">
        <v>0.248545940033715</v>
      </c>
      <c r="AJ125" s="1">
        <v>55.1134524257401</v>
      </c>
      <c r="AK125" s="1">
        <v>4.2484572423270803</v>
      </c>
      <c r="AL125" s="1">
        <v>1.0236047381170099</v>
      </c>
      <c r="AM125" s="1">
        <v>598.16775835241799</v>
      </c>
      <c r="AN125" s="1">
        <v>5.9812009567394906E-8</v>
      </c>
      <c r="AO125" s="1">
        <v>6.7097061710568294E-8</v>
      </c>
      <c r="AP125" s="1">
        <v>3.6500143198636001</v>
      </c>
      <c r="AQ125" s="1">
        <v>6.42580650332295E-5</v>
      </c>
      <c r="AR125" s="1">
        <v>1.2979522849793401E-5</v>
      </c>
      <c r="AS125" s="1">
        <v>27.628137422011001</v>
      </c>
      <c r="AT125" s="1">
        <v>13.5441736261331</v>
      </c>
      <c r="AU125" s="1">
        <v>3.36634936588711</v>
      </c>
      <c r="AV125" s="1">
        <v>0.28366495397649599</v>
      </c>
      <c r="AW125" s="1">
        <v>1.39597272370041E-2</v>
      </c>
      <c r="AX125" s="1">
        <v>0.28366495077835802</v>
      </c>
      <c r="AY125" s="1">
        <v>3.19813825422344E-9</v>
      </c>
      <c r="AZ125" s="1">
        <v>1189751.8930438301</v>
      </c>
      <c r="BA125" s="1">
        <v>1.7604880255820701E-5</v>
      </c>
      <c r="BB125" s="4">
        <v>2965803.7944597299</v>
      </c>
      <c r="BC125" s="4">
        <v>2224.8218034766601</v>
      </c>
      <c r="BD125" s="7">
        <v>7.5072128126302595E-2</v>
      </c>
      <c r="BE125" s="4">
        <v>2104111.5299999998</v>
      </c>
      <c r="BF125" s="1">
        <v>1.40952784687213</v>
      </c>
      <c r="BG125" s="1">
        <v>1</v>
      </c>
      <c r="BH125" s="1">
        <v>-4.4999999999999998E-2</v>
      </c>
      <c r="BI125" s="1">
        <v>4.5999999999999999E-2</v>
      </c>
      <c r="BJ125" s="1">
        <v>5625</v>
      </c>
      <c r="BK125" s="1">
        <v>1.00000029265808</v>
      </c>
      <c r="BL125" s="1">
        <v>299.430051937332</v>
      </c>
      <c r="BM125" s="1">
        <v>2.9658037944597302</v>
      </c>
      <c r="BN125" s="1">
        <v>299.430051937332</v>
      </c>
      <c r="BO125" s="1">
        <v>1.00000029265808</v>
      </c>
      <c r="BP125" s="1">
        <v>67303.951848206794</v>
      </c>
      <c r="BQ125" s="1">
        <v>1</v>
      </c>
      <c r="BR125" s="1">
        <v>0.69596000000000002</v>
      </c>
    </row>
    <row r="126" spans="1:70">
      <c r="A126" s="2" t="s">
        <v>194</v>
      </c>
      <c r="B126" s="1">
        <v>12065825.263044599</v>
      </c>
      <c r="C126" s="1">
        <v>598.16775841223</v>
      </c>
      <c r="D126" s="1">
        <v>70.719127092772794</v>
      </c>
      <c r="E126" s="1">
        <v>654.056980860061</v>
      </c>
      <c r="F126" s="1">
        <v>2683685.08837691</v>
      </c>
      <c r="G126" s="1">
        <v>1493933.1953330799</v>
      </c>
      <c r="H126" s="1">
        <v>2.11454043590923E-5</v>
      </c>
      <c r="I126" s="1">
        <v>7.6371158483287804E-5</v>
      </c>
      <c r="J126" s="1">
        <v>0.51093471001103696</v>
      </c>
      <c r="K126" s="1">
        <v>6848.0719740579098</v>
      </c>
      <c r="L126" s="1">
        <v>8.69531901762856E-3</v>
      </c>
      <c r="M126" s="1">
        <v>125</v>
      </c>
      <c r="N126" s="1">
        <v>2454.77611718148</v>
      </c>
      <c r="O126" s="3">
        <v>2.8502295699234199E-6</v>
      </c>
      <c r="P126" s="3">
        <v>5.98473400508856E-3</v>
      </c>
      <c r="Q126" s="3">
        <v>1.905E-3</v>
      </c>
      <c r="R126" s="1">
        <v>0.69596000000000002</v>
      </c>
      <c r="S126" s="4">
        <v>3126217.28515625</v>
      </c>
      <c r="T126" s="1">
        <v>297.61642558059998</v>
      </c>
      <c r="U126" s="5">
        <v>569.37812224507798</v>
      </c>
      <c r="V126" s="1">
        <v>0.03</v>
      </c>
      <c r="W126" s="3">
        <v>61231.865485634102</v>
      </c>
      <c r="X126" s="1">
        <v>3.8051118795571201E-2</v>
      </c>
      <c r="Y126" s="1">
        <v>5.1264447918666702</v>
      </c>
      <c r="Z126" s="1">
        <v>5.1264447975649503</v>
      </c>
      <c r="AA126" s="1">
        <v>-5.6982845109132499E-9</v>
      </c>
      <c r="AB126" s="1">
        <v>2.3811191581321001E-5</v>
      </c>
      <c r="AC126" s="1">
        <v>665.32142715384305</v>
      </c>
      <c r="AD126" s="1">
        <v>2111.4763285019499</v>
      </c>
      <c r="AE126" s="1">
        <v>569.37812224507798</v>
      </c>
      <c r="AF126" s="6">
        <v>0</v>
      </c>
      <c r="AG126" s="1">
        <v>2.3876769213806901E-5</v>
      </c>
      <c r="AH126" s="1">
        <v>43.821338321176803</v>
      </c>
      <c r="AI126" s="1">
        <v>0.25884216627468098</v>
      </c>
      <c r="AJ126" s="1">
        <v>52.929378473551097</v>
      </c>
      <c r="AK126" s="1">
        <v>4.30648299933471</v>
      </c>
      <c r="AL126" s="1">
        <v>1.0236047381170099</v>
      </c>
      <c r="AM126" s="1">
        <v>598.16775831668997</v>
      </c>
      <c r="AN126" s="1">
        <v>9.5540144684491706E-8</v>
      </c>
      <c r="AO126" s="1">
        <v>6.5577632485866604E-8</v>
      </c>
      <c r="AP126" s="1">
        <v>3.7418381942568502</v>
      </c>
      <c r="AQ126" s="1">
        <v>6.1143004124903104E-5</v>
      </c>
      <c r="AR126" s="1">
        <v>1.1971173423146401E-5</v>
      </c>
      <c r="AS126" s="1">
        <v>26.5373746009084</v>
      </c>
      <c r="AT126" s="1">
        <v>13.3427705083192</v>
      </c>
      <c r="AU126" s="1">
        <v>3.4536716224792698</v>
      </c>
      <c r="AV126" s="1">
        <v>0.28816657177757898</v>
      </c>
      <c r="AW126" s="1">
        <v>1.2871235239549901E-2</v>
      </c>
      <c r="AX126" s="1">
        <v>0.28816656879200098</v>
      </c>
      <c r="AY126" s="1">
        <v>2.9855780070420199E-9</v>
      </c>
      <c r="AZ126" s="1">
        <v>1189751.8930438301</v>
      </c>
      <c r="BA126" s="1">
        <v>1.63403656039292E-5</v>
      </c>
      <c r="BB126" s="4">
        <v>3122956.6370159201</v>
      </c>
      <c r="BC126" s="4">
        <v>-3260.6481403266098</v>
      </c>
      <c r="BD126" s="7">
        <v>-0.10430011233731799</v>
      </c>
      <c r="BE126" s="4">
        <v>2161840.5269999998</v>
      </c>
      <c r="BF126" s="1">
        <v>1.44458233528894</v>
      </c>
      <c r="BG126" s="1">
        <v>1</v>
      </c>
      <c r="BH126" s="1">
        <v>-7.9000000000000001E-2</v>
      </c>
      <c r="BI126" s="1">
        <v>4.5999999999999999E-2</v>
      </c>
      <c r="BJ126" s="1">
        <v>5625</v>
      </c>
      <c r="BK126" s="1">
        <v>1.00000026384254</v>
      </c>
      <c r="BL126" s="1">
        <v>300.55133283163002</v>
      </c>
      <c r="BM126" s="1">
        <v>3.1229566370159199</v>
      </c>
      <c r="BN126" s="1">
        <v>300.55133283163002</v>
      </c>
      <c r="BO126" s="1">
        <v>1.00000026384254</v>
      </c>
      <c r="BP126" s="1">
        <v>67886.9970403388</v>
      </c>
      <c r="BQ126" s="1">
        <v>1</v>
      </c>
      <c r="BR126" s="1">
        <v>0.69596000000000002</v>
      </c>
    </row>
    <row r="127" spans="1:70">
      <c r="A127" s="2" t="s">
        <v>195</v>
      </c>
      <c r="B127" s="1">
        <v>12065825.263044599</v>
      </c>
      <c r="C127" s="1">
        <v>598.16775841223</v>
      </c>
      <c r="D127" s="1">
        <v>70.719127092772794</v>
      </c>
      <c r="E127" s="1">
        <v>654.056980860061</v>
      </c>
      <c r="F127" s="1">
        <v>2683685.08837691</v>
      </c>
      <c r="G127" s="1">
        <v>1493933.1953330799</v>
      </c>
      <c r="H127" s="1">
        <v>2.11454043590923E-5</v>
      </c>
      <c r="I127" s="1">
        <v>7.6371158483287804E-5</v>
      </c>
      <c r="J127" s="1">
        <v>0.51093471001103696</v>
      </c>
      <c r="K127" s="1">
        <v>6848.0719740579098</v>
      </c>
      <c r="L127" s="1">
        <v>8.69531901762856E-3</v>
      </c>
      <c r="M127" s="1">
        <v>126</v>
      </c>
      <c r="N127" s="1">
        <v>2739.5843959704898</v>
      </c>
      <c r="O127" s="3">
        <v>2.8502295699234199E-6</v>
      </c>
      <c r="P127" s="3">
        <v>5.98473400508856E-3</v>
      </c>
      <c r="Q127" s="3">
        <v>1.905E-3</v>
      </c>
      <c r="R127" s="1">
        <v>0.69596000000000002</v>
      </c>
      <c r="S127" s="4">
        <v>3426564.63465625</v>
      </c>
      <c r="T127" s="1">
        <v>300.41963647945403</v>
      </c>
      <c r="U127" s="5">
        <v>567.32372034201705</v>
      </c>
      <c r="V127" s="1">
        <v>0.03</v>
      </c>
      <c r="W127" s="3">
        <v>68336.115072365006</v>
      </c>
      <c r="X127" s="1">
        <v>3.6074469187045398E-2</v>
      </c>
      <c r="Y127" s="1">
        <v>5.26502000021559</v>
      </c>
      <c r="Z127" s="1">
        <v>5.2650200301068102</v>
      </c>
      <c r="AA127" s="1">
        <v>-2.9891224606615203E-8</v>
      </c>
      <c r="AB127" s="1">
        <v>2.0165222639742601E-5</v>
      </c>
      <c r="AC127" s="1">
        <v>664.98972427513104</v>
      </c>
      <c r="AD127" s="1">
        <v>2294.4324221766901</v>
      </c>
      <c r="AE127" s="1">
        <v>567.323720991914</v>
      </c>
      <c r="AF127" s="6">
        <v>6.4989740167220599E-7</v>
      </c>
      <c r="AG127" s="1">
        <v>2.0227292192750699E-5</v>
      </c>
      <c r="AH127" s="1">
        <v>51.744446404423599</v>
      </c>
      <c r="AI127" s="1">
        <v>0.28127043174025801</v>
      </c>
      <c r="AJ127" s="1">
        <v>48.7245721993581</v>
      </c>
      <c r="AK127" s="1">
        <v>4.34284370488741</v>
      </c>
      <c r="AL127" s="1">
        <v>1.0236047381170099</v>
      </c>
      <c r="AM127" s="1">
        <v>598.167758398415</v>
      </c>
      <c r="AN127" s="1">
        <v>1.38145423989045E-8</v>
      </c>
      <c r="AO127" s="1">
        <v>6.2069553008101704E-8</v>
      </c>
      <c r="AP127" s="1">
        <v>3.9347509463228101</v>
      </c>
      <c r="AQ127" s="1">
        <v>5.5294544312818799E-5</v>
      </c>
      <c r="AR127" s="1">
        <v>1.01446808728794E-5</v>
      </c>
      <c r="AS127" s="1">
        <v>24.437044312199699</v>
      </c>
      <c r="AT127" s="1">
        <v>12.930500952503101</v>
      </c>
      <c r="AU127" s="1">
        <v>3.6369675855283599</v>
      </c>
      <c r="AV127" s="1">
        <v>0.297783360794454</v>
      </c>
      <c r="AW127" s="1">
        <v>1.09003920852761E-2</v>
      </c>
      <c r="AX127" s="1">
        <v>0.29778334535355799</v>
      </c>
      <c r="AY127" s="1">
        <v>1.5440895673179999E-8</v>
      </c>
      <c r="AZ127" s="1">
        <v>1189751.8930438301</v>
      </c>
      <c r="BA127" s="1">
        <v>1.4052870198682799E-5</v>
      </c>
      <c r="BB127" s="4">
        <v>3437047.8059705999</v>
      </c>
      <c r="BC127" s="4">
        <v>10483.1713143461</v>
      </c>
      <c r="BD127" s="7">
        <v>0.30593823353919603</v>
      </c>
      <c r="BE127" s="4">
        <v>2460580.2000000002</v>
      </c>
      <c r="BF127" s="1">
        <v>1.3968444539912199</v>
      </c>
      <c r="BG127" s="1">
        <v>1</v>
      </c>
      <c r="BH127" s="1">
        <v>-4.7E-2</v>
      </c>
      <c r="BI127" s="1">
        <v>4.5999999999999999E-2</v>
      </c>
      <c r="BJ127" s="1">
        <v>5625</v>
      </c>
      <c r="BK127" s="1">
        <v>1.00000034160199</v>
      </c>
      <c r="BL127" s="1">
        <v>297.74812193277597</v>
      </c>
      <c r="BM127" s="1">
        <v>3.4370478059705998</v>
      </c>
      <c r="BN127" s="1">
        <v>297.74812193277597</v>
      </c>
      <c r="BO127" s="1">
        <v>1.00000034160199</v>
      </c>
      <c r="BP127" s="1">
        <v>66434.094359873197</v>
      </c>
      <c r="BQ127" s="1">
        <v>1</v>
      </c>
      <c r="BR127" s="1">
        <v>0.69596000000000002</v>
      </c>
    </row>
    <row r="128" spans="1:70">
      <c r="A128" s="2" t="s">
        <v>196</v>
      </c>
      <c r="B128" s="1">
        <v>12065825.263044599</v>
      </c>
      <c r="C128" s="1">
        <v>598.16775841223</v>
      </c>
      <c r="D128" s="1">
        <v>70.719127092772794</v>
      </c>
      <c r="E128" s="1">
        <v>654.056980860061</v>
      </c>
      <c r="F128" s="1">
        <v>2683685.08837691</v>
      </c>
      <c r="G128" s="1">
        <v>1493933.1953330799</v>
      </c>
      <c r="H128" s="1">
        <v>2.11454043590923E-5</v>
      </c>
      <c r="I128" s="1">
        <v>7.6371158483287804E-5</v>
      </c>
      <c r="J128" s="1">
        <v>0.51093471001103696</v>
      </c>
      <c r="K128" s="1">
        <v>6848.0719740579098</v>
      </c>
      <c r="L128" s="1">
        <v>8.69531901762856E-3</v>
      </c>
      <c r="M128" s="1">
        <v>127</v>
      </c>
      <c r="N128" s="1">
        <v>2834.5204889001602</v>
      </c>
      <c r="O128" s="3">
        <v>2.8502295699234199E-6</v>
      </c>
      <c r="P128" s="3">
        <v>5.98473400508856E-3</v>
      </c>
      <c r="Q128" s="3">
        <v>1.905E-3</v>
      </c>
      <c r="R128" s="1">
        <v>0.69596000000000002</v>
      </c>
      <c r="S128" s="4">
        <v>3568393.84765625</v>
      </c>
      <c r="T128" s="1">
        <v>297.61642558059998</v>
      </c>
      <c r="U128" s="5">
        <v>566.25857642779795</v>
      </c>
      <c r="V128" s="1">
        <v>0.03</v>
      </c>
      <c r="W128" s="3">
        <v>70704.198267942105</v>
      </c>
      <c r="X128" s="1">
        <v>3.5490800697075997E-2</v>
      </c>
      <c r="Y128" s="1">
        <v>5.3081367316897401</v>
      </c>
      <c r="Z128" s="1">
        <v>5.3081367455630799</v>
      </c>
      <c r="AA128" s="1">
        <v>-1.38733389221102E-8</v>
      </c>
      <c r="AB128" s="1">
        <v>1.91468502220541E-5</v>
      </c>
      <c r="AC128" s="1">
        <v>665.77081661487898</v>
      </c>
      <c r="AD128" s="1">
        <v>2354.65948696959</v>
      </c>
      <c r="AE128" s="1">
        <v>566.25857708550598</v>
      </c>
      <c r="AF128" s="6">
        <v>6.5770825585787005E-7</v>
      </c>
      <c r="AG128" s="1">
        <v>1.9208302304356799E-5</v>
      </c>
      <c r="AH128" s="1">
        <v>54.496602313917499</v>
      </c>
      <c r="AI128" s="1">
        <v>0.28865356159538602</v>
      </c>
      <c r="AJ128" s="1">
        <v>47.4845262462295</v>
      </c>
      <c r="AK128" s="1">
        <v>4.4120884296742497</v>
      </c>
      <c r="AL128" s="1">
        <v>1.0236047381170099</v>
      </c>
      <c r="AM128" s="1">
        <v>598.16775836954901</v>
      </c>
      <c r="AN128" s="1">
        <v>4.2681449485826299E-8</v>
      </c>
      <c r="AO128" s="1">
        <v>6.1452082302713303E-8</v>
      </c>
      <c r="AP128" s="1">
        <v>3.9963088704376299</v>
      </c>
      <c r="AQ128" s="1">
        <v>5.3604183637735603E-5</v>
      </c>
      <c r="AR128" s="1">
        <v>9.6348771933297699E-6</v>
      </c>
      <c r="AS128" s="1">
        <v>23.818220460956301</v>
      </c>
      <c r="AT128" s="1">
        <v>12.802254266839901</v>
      </c>
      <c r="AU128" s="1">
        <v>3.6954162905730499</v>
      </c>
      <c r="AV128" s="1">
        <v>0.30089257986458101</v>
      </c>
      <c r="AW128" s="1">
        <v>1.03499067849176E-2</v>
      </c>
      <c r="AX128" s="1">
        <v>0.300892558190062</v>
      </c>
      <c r="AY128" s="1">
        <v>2.16745181247369E-8</v>
      </c>
      <c r="AZ128" s="1">
        <v>1189751.8930438301</v>
      </c>
      <c r="BA128" s="1">
        <v>1.34134235805115E-5</v>
      </c>
      <c r="BB128" s="4">
        <v>3565077.32552562</v>
      </c>
      <c r="BC128" s="4">
        <v>-3316.5221306257899</v>
      </c>
      <c r="BD128" s="7">
        <v>-9.2941594235852298E-2</v>
      </c>
      <c r="BE128" s="4">
        <v>2523672</v>
      </c>
      <c r="BF128" s="1">
        <v>1.4126547845859601</v>
      </c>
      <c r="BG128" s="1">
        <v>1</v>
      </c>
      <c r="BH128" s="1">
        <v>-5.6000000000000001E-2</v>
      </c>
      <c r="BI128" s="1">
        <v>4.5999999999999999E-2</v>
      </c>
      <c r="BJ128" s="1">
        <v>5625</v>
      </c>
      <c r="BK128" s="1">
        <v>1.00000026384254</v>
      </c>
      <c r="BL128" s="1">
        <v>300.55133283163002</v>
      </c>
      <c r="BM128" s="1">
        <v>3.5650773255256198</v>
      </c>
      <c r="BN128" s="1">
        <v>300.55133283163002</v>
      </c>
      <c r="BO128" s="1">
        <v>1.00000026384254</v>
      </c>
      <c r="BP128" s="1">
        <v>67886.9970403388</v>
      </c>
      <c r="BQ128" s="1">
        <v>1</v>
      </c>
      <c r="BR128" s="1">
        <v>0.69596000000000002</v>
      </c>
    </row>
    <row r="129" spans="1:70">
      <c r="A129" s="2" t="s">
        <v>197</v>
      </c>
      <c r="B129" s="1">
        <v>12065825.263044599</v>
      </c>
      <c r="C129" s="1">
        <v>598.16775841223</v>
      </c>
      <c r="D129" s="1">
        <v>70.719127092772794</v>
      </c>
      <c r="E129" s="1">
        <v>654.056980860061</v>
      </c>
      <c r="F129" s="1">
        <v>2683685.08837691</v>
      </c>
      <c r="G129" s="1">
        <v>1493933.1953330799</v>
      </c>
      <c r="H129" s="1">
        <v>2.11454043590923E-5</v>
      </c>
      <c r="I129" s="1">
        <v>7.6371158483287804E-5</v>
      </c>
      <c r="J129" s="1">
        <v>0.51093471001103696</v>
      </c>
      <c r="K129" s="1">
        <v>6848.0719740579098</v>
      </c>
      <c r="L129" s="1">
        <v>8.69531901762856E-3</v>
      </c>
      <c r="M129" s="1">
        <v>128</v>
      </c>
      <c r="N129" s="1">
        <v>3295.6386545585601</v>
      </c>
      <c r="O129" s="3">
        <v>2.8502295699234199E-6</v>
      </c>
      <c r="P129" s="3">
        <v>5.98473400508856E-3</v>
      </c>
      <c r="Q129" s="3">
        <v>1.905E-3</v>
      </c>
      <c r="R129" s="1">
        <v>0.69596000000000002</v>
      </c>
      <c r="S129" s="4">
        <v>4103513.5135937501</v>
      </c>
      <c r="T129" s="1">
        <v>297.11185267539003</v>
      </c>
      <c r="U129" s="5">
        <v>562.81533998867201</v>
      </c>
      <c r="V129" s="1">
        <v>0.03</v>
      </c>
      <c r="W129" s="3">
        <v>82206.316646459003</v>
      </c>
      <c r="X129" s="1">
        <v>3.3064274849559601E-2</v>
      </c>
      <c r="Y129" s="1">
        <v>5.4994657138155496</v>
      </c>
      <c r="Z129" s="1">
        <v>5.4994657451812596</v>
      </c>
      <c r="AA129" s="1">
        <v>-3.1365715358333499E-8</v>
      </c>
      <c r="AB129" s="1">
        <v>1.52031702906789E-5</v>
      </c>
      <c r="AC129" s="1">
        <v>666.22394348020498</v>
      </c>
      <c r="AD129" s="1">
        <v>2642.4677860546999</v>
      </c>
      <c r="AE129" s="1">
        <v>562.81533998867201</v>
      </c>
      <c r="AF129" s="6">
        <v>0</v>
      </c>
      <c r="AG129" s="1">
        <v>1.52609493575207E-5</v>
      </c>
      <c r="AH129" s="1">
        <v>68.632940509464703</v>
      </c>
      <c r="AI129" s="1">
        <v>0.32393547435065501</v>
      </c>
      <c r="AJ129" s="1">
        <v>42.337603214551798</v>
      </c>
      <c r="AK129" s="1">
        <v>4.5263922038334297</v>
      </c>
      <c r="AL129" s="1">
        <v>1.0236047381170099</v>
      </c>
      <c r="AM129" s="1">
        <v>598.16775839436696</v>
      </c>
      <c r="AN129" s="1">
        <v>1.7863499124359799E-8</v>
      </c>
      <c r="AO129" s="1">
        <v>5.7779066841750597E-8</v>
      </c>
      <c r="AP129" s="1">
        <v>4.2776877957790704</v>
      </c>
      <c r="AQ129" s="1">
        <v>4.6784135733992098E-5</v>
      </c>
      <c r="AR129" s="1">
        <v>7.6593642121812092E-6</v>
      </c>
      <c r="AS129" s="1">
        <v>21.2489482334374</v>
      </c>
      <c r="AT129" s="1">
        <v>12.2315369962422</v>
      </c>
      <c r="AU129" s="1">
        <v>3.9622287389153201</v>
      </c>
      <c r="AV129" s="1">
        <v>0.31545905686374698</v>
      </c>
      <c r="AW129" s="1">
        <v>8.2181347594452708E-3</v>
      </c>
      <c r="AX129" s="1">
        <v>0.315459055716037</v>
      </c>
      <c r="AY129" s="1">
        <v>1.1477099270962301E-9</v>
      </c>
      <c r="AZ129" s="1">
        <v>1189751.8930438301</v>
      </c>
      <c r="BA129" s="1">
        <v>1.09367812630355E-5</v>
      </c>
      <c r="BB129" s="4">
        <v>4111052.1602422199</v>
      </c>
      <c r="BC129" s="4">
        <v>7538.6466484717103</v>
      </c>
      <c r="BD129" s="7">
        <v>0.183711997621023</v>
      </c>
      <c r="BE129" s="4">
        <v>3006324.27</v>
      </c>
      <c r="BF129" s="1">
        <v>1.36746797451834</v>
      </c>
      <c r="BG129" s="1">
        <v>1</v>
      </c>
      <c r="BH129" s="1">
        <v>-4.2000000000000003E-2</v>
      </c>
      <c r="BI129" s="1">
        <v>4.5999999999999999E-2</v>
      </c>
      <c r="BJ129" s="1">
        <v>5625</v>
      </c>
      <c r="BK129" s="1">
        <v>1.00000025178193</v>
      </c>
      <c r="BL129" s="1">
        <v>301.05590573683997</v>
      </c>
      <c r="BM129" s="1">
        <v>4.1110521602422203</v>
      </c>
      <c r="BN129" s="1">
        <v>301.05590573683997</v>
      </c>
      <c r="BO129" s="1">
        <v>1.00000025178193</v>
      </c>
      <c r="BP129" s="1">
        <v>68150.185920081902</v>
      </c>
      <c r="BQ129" s="1">
        <v>1</v>
      </c>
      <c r="BR129" s="1">
        <v>0.69596000000000002</v>
      </c>
    </row>
    <row r="130" spans="1:70">
      <c r="A130" s="2" t="s">
        <v>198</v>
      </c>
      <c r="B130" s="1">
        <v>12065825.263044599</v>
      </c>
      <c r="C130" s="1">
        <v>598.16775841223</v>
      </c>
      <c r="D130" s="1">
        <v>70.719127092772794</v>
      </c>
      <c r="E130" s="1">
        <v>654.056980860061</v>
      </c>
      <c r="F130" s="1">
        <v>2683685.08837691</v>
      </c>
      <c r="G130" s="1">
        <v>1493933.1953330799</v>
      </c>
      <c r="H130" s="1">
        <v>2.11454043590923E-5</v>
      </c>
      <c r="I130" s="1">
        <v>7.6371158483287804E-5</v>
      </c>
      <c r="J130" s="1">
        <v>0.51093471001103696</v>
      </c>
      <c r="K130" s="1">
        <v>6848.0719740579098</v>
      </c>
      <c r="L130" s="1">
        <v>8.69531901762856E-3</v>
      </c>
      <c r="M130" s="1">
        <v>129</v>
      </c>
      <c r="N130" s="1">
        <v>3471.9485414279502</v>
      </c>
      <c r="O130" s="3">
        <v>2.8502295699234199E-6</v>
      </c>
      <c r="P130" s="3">
        <v>5.98473400508856E-3</v>
      </c>
      <c r="Q130" s="3">
        <v>1.905E-3</v>
      </c>
      <c r="R130" s="1">
        <v>0.69596000000000002</v>
      </c>
      <c r="S130" s="4">
        <v>4343195.60546875</v>
      </c>
      <c r="T130" s="1">
        <v>294.30874222031798</v>
      </c>
      <c r="U130" s="5">
        <v>561.25084919084804</v>
      </c>
      <c r="V130" s="1">
        <v>0.03</v>
      </c>
      <c r="W130" s="3">
        <v>86604.185438244895</v>
      </c>
      <c r="X130" s="1">
        <v>3.2280713915647401E-2</v>
      </c>
      <c r="Y130" s="1">
        <v>5.5658107404926103</v>
      </c>
      <c r="Z130" s="1">
        <v>5.5658107462575801</v>
      </c>
      <c r="AA130" s="1">
        <v>-5.76496983484276E-9</v>
      </c>
      <c r="AB130" s="1">
        <v>1.40308069136412E-5</v>
      </c>
      <c r="AC130" s="1">
        <v>666.99356132465095</v>
      </c>
      <c r="AD130" s="1">
        <v>2750.6507882578599</v>
      </c>
      <c r="AE130" s="1">
        <v>561.25084986078298</v>
      </c>
      <c r="AF130" s="6">
        <v>6.6993550262850498E-7</v>
      </c>
      <c r="AG130" s="1">
        <v>1.4087609102732699E-5</v>
      </c>
      <c r="AH130" s="1">
        <v>74.367660287660598</v>
      </c>
      <c r="AI130" s="1">
        <v>0.33719743815596598</v>
      </c>
      <c r="AJ130" s="1">
        <v>40.682512423202297</v>
      </c>
      <c r="AK130" s="1">
        <v>4.6081337432180201</v>
      </c>
      <c r="AL130" s="1">
        <v>1.0236047381170099</v>
      </c>
      <c r="AM130" s="1">
        <v>598.167758404344</v>
      </c>
      <c r="AN130" s="1">
        <v>7.8863422459107807E-9</v>
      </c>
      <c r="AO130" s="1">
        <v>5.6802189091465402E-8</v>
      </c>
      <c r="AP130" s="1">
        <v>4.3784411147662503</v>
      </c>
      <c r="AQ130" s="1">
        <v>4.46557876278811E-5</v>
      </c>
      <c r="AR130" s="1">
        <v>7.0722056459120604E-6</v>
      </c>
      <c r="AS130" s="1">
        <v>20.423273527191299</v>
      </c>
      <c r="AT130" s="1">
        <v>12.033375548704599</v>
      </c>
      <c r="AU130" s="1">
        <v>4.0576234073918398</v>
      </c>
      <c r="AV130" s="1">
        <v>0.32081770737441101</v>
      </c>
      <c r="AW130" s="1">
        <v>7.5844090275535899E-3</v>
      </c>
      <c r="AX130" s="1">
        <v>0.32081770399694798</v>
      </c>
      <c r="AY130" s="1">
        <v>3.37746369760694E-9</v>
      </c>
      <c r="AZ130" s="1">
        <v>1189751.8930438301</v>
      </c>
      <c r="BA130" s="1">
        <v>1.0199015233362399E-5</v>
      </c>
      <c r="BB130" s="4">
        <v>4333899.3650586205</v>
      </c>
      <c r="BC130" s="4">
        <v>-9296.2404101304692</v>
      </c>
      <c r="BD130" s="7">
        <v>-0.21404148591477401</v>
      </c>
      <c r="BE130" s="4">
        <v>3091498.2</v>
      </c>
      <c r="BF130" s="1">
        <v>1.4018767227678199</v>
      </c>
      <c r="BG130" s="1">
        <v>1</v>
      </c>
      <c r="BH130" s="1">
        <v>-7.8E-2</v>
      </c>
      <c r="BI130" s="1">
        <v>4.5999999999999999E-2</v>
      </c>
      <c r="BJ130" s="1">
        <v>5625</v>
      </c>
      <c r="BK130" s="1">
        <v>1.00000019383012</v>
      </c>
      <c r="BL130" s="1">
        <v>303.85901619191202</v>
      </c>
      <c r="BM130" s="1">
        <v>4.3338993650586204</v>
      </c>
      <c r="BN130" s="1">
        <v>303.85901619191202</v>
      </c>
      <c r="BO130" s="1">
        <v>1.00000019383012</v>
      </c>
      <c r="BP130" s="1">
        <v>69621.580425763706</v>
      </c>
      <c r="BQ130" s="1">
        <v>1</v>
      </c>
      <c r="BR130" s="1">
        <v>0.69596000000000002</v>
      </c>
    </row>
    <row r="131" spans="1:70">
      <c r="A131" s="2" t="s">
        <v>199</v>
      </c>
      <c r="B131" s="1">
        <v>12065825.263044599</v>
      </c>
      <c r="C131" s="1">
        <v>598.16775841223</v>
      </c>
      <c r="D131" s="1">
        <v>70.719127092772794</v>
      </c>
      <c r="E131" s="1">
        <v>654.056980860061</v>
      </c>
      <c r="F131" s="1">
        <v>2683685.08837691</v>
      </c>
      <c r="G131" s="1">
        <v>1493933.1953330799</v>
      </c>
      <c r="H131" s="1">
        <v>2.11454043590923E-5</v>
      </c>
      <c r="I131" s="1">
        <v>7.6371158483287804E-5</v>
      </c>
      <c r="J131" s="1">
        <v>0.51093471001103696</v>
      </c>
      <c r="K131" s="1">
        <v>6848.0719740579098</v>
      </c>
      <c r="L131" s="1">
        <v>8.69531901762856E-3</v>
      </c>
      <c r="M131" s="1">
        <v>130</v>
      </c>
      <c r="N131" s="1">
        <v>4000.87820203611</v>
      </c>
      <c r="O131" s="3">
        <v>2.8502295699234199E-6</v>
      </c>
      <c r="P131" s="3">
        <v>5.98473400508856E-3</v>
      </c>
      <c r="Q131" s="3">
        <v>1.905E-3</v>
      </c>
      <c r="R131" s="1">
        <v>0.69596000000000002</v>
      </c>
      <c r="S131" s="4">
        <v>4853050.7324687503</v>
      </c>
      <c r="T131" s="1">
        <v>299.85899298833198</v>
      </c>
      <c r="U131" s="5">
        <v>558.704407312488</v>
      </c>
      <c r="V131" s="1">
        <v>0.03</v>
      </c>
      <c r="W131" s="3">
        <v>99797.791813602395</v>
      </c>
      <c r="X131" s="1">
        <v>3.0280138556132801E-2</v>
      </c>
      <c r="Y131" s="1">
        <v>5.7467336773813704</v>
      </c>
      <c r="Z131" s="1">
        <v>5.7467337191382404</v>
      </c>
      <c r="AA131" s="1">
        <v>-4.1756874402665303E-8</v>
      </c>
      <c r="AB131" s="1">
        <v>1.1264289915259E-5</v>
      </c>
      <c r="AC131" s="1">
        <v>665.75832930262698</v>
      </c>
      <c r="AD131" s="1">
        <v>3069.90454493262</v>
      </c>
      <c r="AE131" s="1">
        <v>558.70440797007097</v>
      </c>
      <c r="AF131" s="6">
        <v>6.5758342771005097E-7</v>
      </c>
      <c r="AG131" s="1">
        <v>1.1317373554590699E-5</v>
      </c>
      <c r="AH131" s="1">
        <v>92.632406477921904</v>
      </c>
      <c r="AI131" s="1">
        <v>0.376334194203642</v>
      </c>
      <c r="AJ131" s="1">
        <v>36.4758598550534</v>
      </c>
      <c r="AK131" s="1">
        <v>4.6096467866883604</v>
      </c>
      <c r="AL131" s="1">
        <v>1.0236047381170099</v>
      </c>
      <c r="AM131" s="1">
        <v>598.16775840941204</v>
      </c>
      <c r="AN131" s="1">
        <v>2.8181830202811402E-9</v>
      </c>
      <c r="AO131" s="1">
        <v>5.3083639331759103E-8</v>
      </c>
      <c r="AP131" s="1">
        <v>4.6607870235110997</v>
      </c>
      <c r="AQ131" s="1">
        <v>3.9409258550704102E-5</v>
      </c>
      <c r="AR131" s="1">
        <v>5.6852285969612496E-6</v>
      </c>
      <c r="AS131" s="1">
        <v>18.3234741299656</v>
      </c>
      <c r="AT131" s="1">
        <v>11.4909148859126</v>
      </c>
      <c r="AU131" s="1">
        <v>4.3244241942525603</v>
      </c>
      <c r="AV131" s="1">
        <v>0.336362829258539</v>
      </c>
      <c r="AW131" s="1">
        <v>6.0889571532205004E-3</v>
      </c>
      <c r="AX131" s="1">
        <v>0.33636282844790599</v>
      </c>
      <c r="AY131" s="1">
        <v>8.1063294965488798E-10</v>
      </c>
      <c r="AZ131" s="1">
        <v>1189751.8930438301</v>
      </c>
      <c r="BA131" s="1">
        <v>8.4554943943815108E-6</v>
      </c>
      <c r="BB131" s="4">
        <v>4885327.3940693699</v>
      </c>
      <c r="BC131" s="4">
        <v>32276.661600616801</v>
      </c>
      <c r="BD131" s="7">
        <v>0.66507983080979705</v>
      </c>
      <c r="BE131" s="4">
        <v>3615160.14</v>
      </c>
      <c r="BF131" s="1">
        <v>1.35134467212547</v>
      </c>
      <c r="BG131" s="1">
        <v>1</v>
      </c>
      <c r="BH131" s="1">
        <v>-4.2999999999999997E-2</v>
      </c>
      <c r="BI131" s="1">
        <v>4.5999999999999999E-2</v>
      </c>
      <c r="BJ131" s="1">
        <v>5625</v>
      </c>
      <c r="BK131" s="1">
        <v>1.00000032447579</v>
      </c>
      <c r="BL131" s="1">
        <v>298.30876542389802</v>
      </c>
      <c r="BM131" s="1">
        <v>4.8853273940693702</v>
      </c>
      <c r="BN131" s="1">
        <v>298.30876542389802</v>
      </c>
      <c r="BO131" s="1">
        <v>1.00000032447579</v>
      </c>
      <c r="BP131" s="1">
        <v>66723.418294818403</v>
      </c>
      <c r="BQ131" s="1">
        <v>1</v>
      </c>
      <c r="BR131" s="1">
        <v>0.69596000000000002</v>
      </c>
    </row>
    <row r="132" spans="1:70">
      <c r="A132" s="2" t="s">
        <v>200</v>
      </c>
      <c r="B132" s="1">
        <v>12065825.263044599</v>
      </c>
      <c r="C132" s="1">
        <v>598.16775841223</v>
      </c>
      <c r="D132" s="1">
        <v>70.719127092772794</v>
      </c>
      <c r="E132" s="1">
        <v>654.056980860061</v>
      </c>
      <c r="F132" s="1">
        <v>2683685.08837691</v>
      </c>
      <c r="G132" s="1">
        <v>1493933.1953330799</v>
      </c>
      <c r="H132" s="1">
        <v>2.11454043590923E-5</v>
      </c>
      <c r="I132" s="1">
        <v>7.6371158483287804E-5</v>
      </c>
      <c r="J132" s="1">
        <v>0.51093471001103696</v>
      </c>
      <c r="K132" s="1">
        <v>6848.0719740579098</v>
      </c>
      <c r="L132" s="1">
        <v>8.69531901762856E-3</v>
      </c>
      <c r="M132" s="1">
        <v>131</v>
      </c>
      <c r="N132" s="1">
        <v>4028.00280001602</v>
      </c>
      <c r="O132" s="3">
        <v>2.8502295699234199E-6</v>
      </c>
      <c r="P132" s="3">
        <v>5.98473400508856E-3</v>
      </c>
      <c r="Q132" s="3">
        <v>1.905E-3</v>
      </c>
      <c r="R132" s="1">
        <v>0.69596000000000002</v>
      </c>
      <c r="S132" s="4">
        <v>4927346.81640625</v>
      </c>
      <c r="T132" s="1">
        <v>297.11185267539003</v>
      </c>
      <c r="U132" s="5">
        <v>558.15021876330798</v>
      </c>
      <c r="V132" s="1">
        <v>0.03</v>
      </c>
      <c r="W132" s="3">
        <v>100474.38701233899</v>
      </c>
      <c r="X132" s="1">
        <v>3.0189353342588401E-2</v>
      </c>
      <c r="Y132" s="1">
        <v>5.7553679598019398</v>
      </c>
      <c r="Z132" s="1">
        <v>5.7553679983791897</v>
      </c>
      <c r="AA132" s="1">
        <v>-3.8577247174487197E-8</v>
      </c>
      <c r="AB132" s="1">
        <v>1.1146512323351701E-5</v>
      </c>
      <c r="AC132" s="1">
        <v>666.43720775870395</v>
      </c>
      <c r="AD132" s="1">
        <v>3086.0807201296302</v>
      </c>
      <c r="AE132" s="1">
        <v>558.15021942767999</v>
      </c>
      <c r="AF132" s="6">
        <v>6.6437212353775997E-7</v>
      </c>
      <c r="AG132" s="1">
        <v>1.11996120687165E-5</v>
      </c>
      <c r="AH132" s="1">
        <v>93.6111899261481</v>
      </c>
      <c r="AI132" s="1">
        <v>0.37831720304608801</v>
      </c>
      <c r="AJ132" s="1">
        <v>36.2865164075561</v>
      </c>
      <c r="AK132" s="1">
        <v>4.6600811273939602</v>
      </c>
      <c r="AL132" s="1">
        <v>1.0236047381170099</v>
      </c>
      <c r="AM132" s="1">
        <v>598.16775840108801</v>
      </c>
      <c r="AN132" s="1">
        <v>1.11424469650956E-8</v>
      </c>
      <c r="AO132" s="1">
        <v>5.3099745364802499E-8</v>
      </c>
      <c r="AP132" s="1">
        <v>4.67459790046974</v>
      </c>
      <c r="AQ132" s="1">
        <v>3.9176736989252597E-5</v>
      </c>
      <c r="AR132" s="1">
        <v>5.6263559070406604E-6</v>
      </c>
      <c r="AS132" s="1">
        <v>18.229279253864199</v>
      </c>
      <c r="AT132" s="1">
        <v>11.4651452582131</v>
      </c>
      <c r="AU132" s="1">
        <v>4.3374616866043096</v>
      </c>
      <c r="AV132" s="1">
        <v>0.33713621386542802</v>
      </c>
      <c r="AW132" s="1">
        <v>6.0252920028978398E-3</v>
      </c>
      <c r="AX132" s="1">
        <v>0.33713621271917699</v>
      </c>
      <c r="AY132" s="1">
        <v>1.1462504834192099E-9</v>
      </c>
      <c r="AZ132" s="1">
        <v>1189751.8930438301</v>
      </c>
      <c r="BA132" s="1">
        <v>8.3807715280314896E-6</v>
      </c>
      <c r="BB132" s="4">
        <v>4930380.3852454098</v>
      </c>
      <c r="BC132" s="4">
        <v>3033.5688391588601</v>
      </c>
      <c r="BD132" s="7">
        <v>6.1565969520517502E-2</v>
      </c>
      <c r="BE132" s="4">
        <v>3671942.76</v>
      </c>
      <c r="BF132" s="1">
        <v>1.3427171139360099</v>
      </c>
      <c r="BG132" s="1">
        <v>1</v>
      </c>
      <c r="BH132" s="1">
        <v>-4.2000000000000003E-2</v>
      </c>
      <c r="BI132" s="1">
        <v>4.5999999999999999E-2</v>
      </c>
      <c r="BJ132" s="1">
        <v>5625</v>
      </c>
      <c r="BK132" s="1">
        <v>1.00000025178193</v>
      </c>
      <c r="BL132" s="1">
        <v>301.05590573683997</v>
      </c>
      <c r="BM132" s="1">
        <v>4.9303803852454102</v>
      </c>
      <c r="BN132" s="1">
        <v>301.05590573683997</v>
      </c>
      <c r="BO132" s="1">
        <v>1.00000025178193</v>
      </c>
      <c r="BP132" s="1">
        <v>68150.185920081902</v>
      </c>
      <c r="BQ132" s="1">
        <v>1</v>
      </c>
      <c r="BR132" s="1">
        <v>0.69596000000000002</v>
      </c>
    </row>
    <row r="133" spans="1:70">
      <c r="A133" s="2" t="s">
        <v>201</v>
      </c>
      <c r="B133" s="1">
        <v>12065825.263044599</v>
      </c>
      <c r="C133" s="1">
        <v>598.16775841223</v>
      </c>
      <c r="D133" s="1">
        <v>70.719127092772794</v>
      </c>
      <c r="E133" s="1">
        <v>654.056980860061</v>
      </c>
      <c r="F133" s="1">
        <v>2683685.08837691</v>
      </c>
      <c r="G133" s="1">
        <v>1493933.1953330799</v>
      </c>
      <c r="H133" s="1">
        <v>2.11454043590923E-5</v>
      </c>
      <c r="I133" s="1">
        <v>7.6371158483287804E-5</v>
      </c>
      <c r="J133" s="1">
        <v>0.51093471001103696</v>
      </c>
      <c r="K133" s="1">
        <v>6848.0719740579098</v>
      </c>
      <c r="L133" s="1">
        <v>8.69531901762856E-3</v>
      </c>
      <c r="M133" s="1">
        <v>132</v>
      </c>
      <c r="N133" s="1">
        <v>4109.3765939557297</v>
      </c>
      <c r="O133" s="3">
        <v>2.8502295699234199E-6</v>
      </c>
      <c r="P133" s="3">
        <v>5.98473400508856E-3</v>
      </c>
      <c r="Q133" s="3">
        <v>1.905E-3</v>
      </c>
      <c r="R133" s="1">
        <v>0.69596000000000002</v>
      </c>
      <c r="S133" s="4">
        <v>5009458.43265625</v>
      </c>
      <c r="T133" s="1">
        <v>297.61642558059998</v>
      </c>
      <c r="U133" s="5">
        <v>557.74964085065903</v>
      </c>
      <c r="V133" s="1">
        <v>0.03</v>
      </c>
      <c r="W133" s="3">
        <v>102504.172608547</v>
      </c>
      <c r="X133" s="1">
        <v>2.9922937230895001E-2</v>
      </c>
      <c r="Y133" s="1">
        <v>5.7809323771818404</v>
      </c>
      <c r="Z133" s="1">
        <v>5.7809324053557001</v>
      </c>
      <c r="AA133" s="1">
        <v>-2.81738561369593E-8</v>
      </c>
      <c r="AB133" s="1">
        <v>1.0804787528474199E-5</v>
      </c>
      <c r="AC133" s="1">
        <v>666.32031673520703</v>
      </c>
      <c r="AD133" s="1">
        <v>3134.5028285365602</v>
      </c>
      <c r="AE133" s="1">
        <v>557.749641513862</v>
      </c>
      <c r="AF133" s="6">
        <v>6.6320330915914404E-7</v>
      </c>
      <c r="AG133" s="1">
        <v>1.0857373094130001E-5</v>
      </c>
      <c r="AH133" s="1">
        <v>96.571846449143194</v>
      </c>
      <c r="AI133" s="1">
        <v>0.38425318407815101</v>
      </c>
      <c r="AJ133" s="1">
        <v>35.729623804752997</v>
      </c>
      <c r="AK133" s="1">
        <v>4.6644128762254002</v>
      </c>
      <c r="AL133" s="1">
        <v>1.0236047381170099</v>
      </c>
      <c r="AM133" s="1">
        <v>598.167758404452</v>
      </c>
      <c r="AN133" s="1">
        <v>7.7782260632375305E-9</v>
      </c>
      <c r="AO133" s="1">
        <v>5.2585565655804402E-8</v>
      </c>
      <c r="AP133" s="1">
        <v>4.7154581914726403</v>
      </c>
      <c r="AQ133" s="1">
        <v>3.8500731681953999E-5</v>
      </c>
      <c r="AR133" s="1">
        <v>5.4549793298928999E-6</v>
      </c>
      <c r="AS133" s="1">
        <v>17.951336629037002</v>
      </c>
      <c r="AT133" s="1">
        <v>11.388322880875901</v>
      </c>
      <c r="AU133" s="1">
        <v>4.3759993282866301</v>
      </c>
      <c r="AV133" s="1">
        <v>0.33945886318600799</v>
      </c>
      <c r="AW133" s="1">
        <v>5.8405712925951401E-3</v>
      </c>
      <c r="AX133" s="1">
        <v>0.33945886088217297</v>
      </c>
      <c r="AY133" s="1">
        <v>2.30383573329718E-9</v>
      </c>
      <c r="AZ133" s="1">
        <v>1189751.8930438301</v>
      </c>
      <c r="BA133" s="1">
        <v>8.1647912288943898E-6</v>
      </c>
      <c r="BB133" s="4">
        <v>5011796.80919025</v>
      </c>
      <c r="BC133" s="4">
        <v>2338.3765339981801</v>
      </c>
      <c r="BD133" s="7">
        <v>4.66792282126645E-2</v>
      </c>
      <c r="BE133" s="4">
        <v>3653015.22</v>
      </c>
      <c r="BF133" s="1">
        <v>1.3719616556074099</v>
      </c>
      <c r="BG133" s="1">
        <v>1</v>
      </c>
      <c r="BH133" s="1">
        <v>-6.8000000000000005E-2</v>
      </c>
      <c r="BI133" s="1">
        <v>4.5999999999999999E-2</v>
      </c>
      <c r="BJ133" s="1">
        <v>5625</v>
      </c>
      <c r="BK133" s="1">
        <v>1.00000026384254</v>
      </c>
      <c r="BL133" s="1">
        <v>300.55133283163002</v>
      </c>
      <c r="BM133" s="1">
        <v>5.0117968091902503</v>
      </c>
      <c r="BN133" s="1">
        <v>300.55133283163002</v>
      </c>
      <c r="BO133" s="1">
        <v>1.00000026384254</v>
      </c>
      <c r="BP133" s="1">
        <v>67886.9970403388</v>
      </c>
      <c r="BQ133" s="1">
        <v>1</v>
      </c>
      <c r="BR133" s="1">
        <v>0.69596000000000002</v>
      </c>
    </row>
    <row r="134" spans="1:70">
      <c r="A134" s="2" t="s">
        <v>202</v>
      </c>
      <c r="B134" s="1">
        <v>15513203.909628799</v>
      </c>
      <c r="C134" s="1">
        <v>617.97483343502097</v>
      </c>
      <c r="D134" s="1">
        <v>102.22394330033001</v>
      </c>
      <c r="E134" s="1">
        <v>593.997803214295</v>
      </c>
      <c r="F134" s="1">
        <v>2595333.5493798102</v>
      </c>
      <c r="G134" s="1">
        <v>1630481.38578821</v>
      </c>
      <c r="H134" s="1">
        <v>2.3048203873610299E-5</v>
      </c>
      <c r="I134" s="1">
        <v>6.8200503236293095E-5</v>
      </c>
      <c r="J134" s="1">
        <v>0.471717723289031</v>
      </c>
      <c r="K134" s="1">
        <v>9005.0430614720299</v>
      </c>
      <c r="L134" s="1">
        <v>4.6429387983550402E-3</v>
      </c>
      <c r="M134" s="1">
        <v>133</v>
      </c>
      <c r="N134" s="1">
        <v>2034.345</v>
      </c>
      <c r="O134" s="3">
        <v>2.8502295699234199E-6</v>
      </c>
      <c r="P134" s="3">
        <v>5.98473400508856E-3</v>
      </c>
      <c r="Q134" s="3">
        <v>1.905E-3</v>
      </c>
      <c r="R134" s="1">
        <v>0.15240000000000001</v>
      </c>
      <c r="S134" s="4">
        <v>3904911.56640625</v>
      </c>
      <c r="T134" s="1">
        <v>532.51320671869905</v>
      </c>
      <c r="U134" s="5">
        <v>600.72363580088097</v>
      </c>
      <c r="V134" s="1">
        <v>0.03</v>
      </c>
      <c r="W134" s="3">
        <v>56824.026819463099</v>
      </c>
      <c r="X134" s="1">
        <v>3.5196888733325903E-2</v>
      </c>
      <c r="Y134" s="1">
        <v>5.3302534800051404</v>
      </c>
      <c r="Z134" s="1">
        <v>5.3302535319536997</v>
      </c>
      <c r="AA134" s="1">
        <v>-5.1948557455716602E-8</v>
      </c>
      <c r="AB134" s="1">
        <v>1.8175884064821801E-5</v>
      </c>
      <c r="AC134" s="1">
        <v>710.64647684515705</v>
      </c>
      <c r="AD134" s="1">
        <v>1884.5564685194799</v>
      </c>
      <c r="AE134" s="1">
        <v>600.72363694259298</v>
      </c>
      <c r="AF134" s="6">
        <v>1.14171200493729E-6</v>
      </c>
      <c r="AG134" s="1">
        <v>1.8276867043868E-5</v>
      </c>
      <c r="AH134" s="1">
        <v>30.6534006167511</v>
      </c>
      <c r="AI134" s="1">
        <v>0.227167872716697</v>
      </c>
      <c r="AJ134" s="1">
        <v>36.161457230227803</v>
      </c>
      <c r="AK134" s="1">
        <v>5.4328417648728999</v>
      </c>
      <c r="AL134" s="1">
        <v>1.30194062706561</v>
      </c>
      <c r="AM134" s="1">
        <v>617.97483342276098</v>
      </c>
      <c r="AN134" s="1">
        <v>1.2259192772035E-8</v>
      </c>
      <c r="AO134" s="1">
        <v>1.00982979046229E-7</v>
      </c>
      <c r="AP134" s="1">
        <v>2.8353359149582</v>
      </c>
      <c r="AQ134" s="1">
        <v>4.1607718716905302E-5</v>
      </c>
      <c r="AR134" s="1">
        <v>9.1889250114571297E-6</v>
      </c>
      <c r="AS134" s="1">
        <v>18.180627894049302</v>
      </c>
      <c r="AT134" s="1">
        <v>11.451783128897</v>
      </c>
      <c r="AU134" s="1">
        <v>2.60147721220449</v>
      </c>
      <c r="AV134" s="1">
        <v>0.23385870275371001</v>
      </c>
      <c r="AW134" s="1">
        <v>1.23453544424565E-2</v>
      </c>
      <c r="AX134" s="1">
        <v>0.23385868706334201</v>
      </c>
      <c r="AY134" s="1">
        <v>1.5690367088927499E-8</v>
      </c>
      <c r="AZ134" s="1">
        <v>964852.16359160398</v>
      </c>
      <c r="BA134" s="1">
        <v>1.46747052077315E-5</v>
      </c>
      <c r="BB134" s="4">
        <v>3943886.4874071302</v>
      </c>
      <c r="BC134" s="4">
        <v>38974.9210008788</v>
      </c>
      <c r="BD134" s="7">
        <v>0.99809996559660896</v>
      </c>
      <c r="BE134" s="4">
        <v>3059952.3</v>
      </c>
      <c r="BF134" s="1">
        <v>1.2888718845085001</v>
      </c>
      <c r="BG134" s="1">
        <v>1</v>
      </c>
      <c r="BH134" s="1">
        <v>-1.9E-2</v>
      </c>
      <c r="BI134" s="1">
        <v>4.5999999999999999E-2</v>
      </c>
      <c r="BJ134" s="1">
        <v>5625</v>
      </c>
      <c r="BK134" s="1">
        <v>1.0318557367876799</v>
      </c>
      <c r="BL134" s="1">
        <v>85.461626716321504</v>
      </c>
      <c r="BM134" s="1">
        <v>3.9438864874071302</v>
      </c>
      <c r="BN134" s="1">
        <v>85.461626716321504</v>
      </c>
      <c r="BO134" s="1">
        <v>1.0318557367876799</v>
      </c>
      <c r="BP134" s="1">
        <v>2066.7595036941502</v>
      </c>
      <c r="BQ134" s="1">
        <v>1</v>
      </c>
      <c r="BR134" s="1">
        <v>0.15240000000000001</v>
      </c>
    </row>
    <row r="135" spans="1:70">
      <c r="A135" s="2" t="s">
        <v>203</v>
      </c>
      <c r="B135" s="1">
        <v>15513203.909628799</v>
      </c>
      <c r="C135" s="1">
        <v>617.97483343502097</v>
      </c>
      <c r="D135" s="1">
        <v>102.22394330033001</v>
      </c>
      <c r="E135" s="1">
        <v>593.997803214295</v>
      </c>
      <c r="F135" s="1">
        <v>2595333.5493798102</v>
      </c>
      <c r="G135" s="1">
        <v>1630481.38578821</v>
      </c>
      <c r="H135" s="1">
        <v>2.3048203873610299E-5</v>
      </c>
      <c r="I135" s="1">
        <v>6.8200503236293095E-5</v>
      </c>
      <c r="J135" s="1">
        <v>0.471717723289031</v>
      </c>
      <c r="K135" s="1">
        <v>9005.0430614720299</v>
      </c>
      <c r="L135" s="1">
        <v>4.6429387983550402E-3</v>
      </c>
      <c r="M135" s="1">
        <v>134</v>
      </c>
      <c r="N135" s="1">
        <v>2061.4695999999999</v>
      </c>
      <c r="O135" s="3">
        <v>2.8502295699234199E-6</v>
      </c>
      <c r="P135" s="3">
        <v>5.98473400508856E-3</v>
      </c>
      <c r="Q135" s="3">
        <v>1.905E-3</v>
      </c>
      <c r="R135" s="1">
        <v>0.15240000000000001</v>
      </c>
      <c r="S135" s="4">
        <v>4026477.05078125</v>
      </c>
      <c r="T135" s="1">
        <v>528.04902786314199</v>
      </c>
      <c r="U135" s="5">
        <v>597.45749892026004</v>
      </c>
      <c r="V135" s="1">
        <v>0.03</v>
      </c>
      <c r="W135" s="3">
        <v>57581.680510389298</v>
      </c>
      <c r="X135" s="1">
        <v>3.4978260181261399E-2</v>
      </c>
      <c r="Y135" s="1">
        <v>5.3468856722663496</v>
      </c>
      <c r="Z135" s="1">
        <v>5.3468857046363096</v>
      </c>
      <c r="AA135" s="1">
        <v>-3.2369960045741697E-8</v>
      </c>
      <c r="AB135" s="1">
        <v>1.7811354909090299E-5</v>
      </c>
      <c r="AC135" s="1">
        <v>713.81599078095701</v>
      </c>
      <c r="AD135" s="1">
        <v>1903.74356479158</v>
      </c>
      <c r="AE135" s="1">
        <v>597.45749892026004</v>
      </c>
      <c r="AF135" s="6">
        <v>0</v>
      </c>
      <c r="AG135" s="1">
        <v>1.7913618089653399E-5</v>
      </c>
      <c r="AH135" s="1">
        <v>31.2807564975449</v>
      </c>
      <c r="AI135" s="1">
        <v>0.22948072028404401</v>
      </c>
      <c r="AJ135" s="1">
        <v>35.803606467519003</v>
      </c>
      <c r="AK135" s="1">
        <v>5.6268550025998101</v>
      </c>
      <c r="AL135" s="1">
        <v>1.30194062706561</v>
      </c>
      <c r="AM135" s="1">
        <v>617.97483339668702</v>
      </c>
      <c r="AN135" s="1">
        <v>3.8333041629812201E-8</v>
      </c>
      <c r="AO135" s="1">
        <v>1.02263180563114E-7</v>
      </c>
      <c r="AP135" s="1">
        <v>2.8516498191647401</v>
      </c>
      <c r="AQ135" s="1">
        <v>4.1133016166819898E-5</v>
      </c>
      <c r="AR135" s="1">
        <v>9.0079406351082803E-6</v>
      </c>
      <c r="AS135" s="1">
        <v>18.003998967046702</v>
      </c>
      <c r="AT135" s="1">
        <v>11.402969490285701</v>
      </c>
      <c r="AU135" s="1">
        <v>2.6167616520077401</v>
      </c>
      <c r="AV135" s="1">
        <v>0.23488816715699901</v>
      </c>
      <c r="AW135" s="1">
        <v>1.2097760343811E-2</v>
      </c>
      <c r="AX135" s="1">
        <v>0.23488816010458999</v>
      </c>
      <c r="AY135" s="1">
        <v>7.05240876808233E-9</v>
      </c>
      <c r="AZ135" s="1">
        <v>964852.16359160398</v>
      </c>
      <c r="BA135" s="1">
        <v>1.4424287263598099E-5</v>
      </c>
      <c r="BB135" s="4">
        <v>4063221.9590289602</v>
      </c>
      <c r="BC135" s="4">
        <v>36744.908247712097</v>
      </c>
      <c r="BD135" s="7">
        <v>0.91258208563693499</v>
      </c>
      <c r="BE135" s="4">
        <v>3217681.8</v>
      </c>
      <c r="BF135" s="1">
        <v>1.2627792962713</v>
      </c>
      <c r="BG135" s="1">
        <v>1</v>
      </c>
      <c r="BH135" s="1">
        <v>-2.1999999999999999E-2</v>
      </c>
      <c r="BI135" s="1">
        <v>4.5999999999999999E-2</v>
      </c>
      <c r="BJ135" s="1">
        <v>5625</v>
      </c>
      <c r="BK135" s="1">
        <v>1.02953319796831</v>
      </c>
      <c r="BL135" s="1">
        <v>89.925805571878499</v>
      </c>
      <c r="BM135" s="1">
        <v>4.0632219590289598</v>
      </c>
      <c r="BN135" s="1">
        <v>89.925805571878499</v>
      </c>
      <c r="BO135" s="1">
        <v>1.02953319796831</v>
      </c>
      <c r="BP135" s="1">
        <v>2492.5860620010199</v>
      </c>
      <c r="BQ135" s="1">
        <v>1</v>
      </c>
      <c r="BR135" s="1">
        <v>0.15240000000000001</v>
      </c>
    </row>
    <row r="136" spans="1:70">
      <c r="A136" s="2" t="s">
        <v>204</v>
      </c>
      <c r="B136" s="1">
        <v>15513203.909628799</v>
      </c>
      <c r="C136" s="1">
        <v>617.97483343502097</v>
      </c>
      <c r="D136" s="1">
        <v>102.22394330033001</v>
      </c>
      <c r="E136" s="1">
        <v>593.997803214295</v>
      </c>
      <c r="F136" s="1">
        <v>2595333.5493798102</v>
      </c>
      <c r="G136" s="1">
        <v>1630481.38578821</v>
      </c>
      <c r="H136" s="1">
        <v>2.3048203873610299E-5</v>
      </c>
      <c r="I136" s="1">
        <v>6.8200503236293095E-5</v>
      </c>
      <c r="J136" s="1">
        <v>0.471717723289031</v>
      </c>
      <c r="K136" s="1">
        <v>9005.0430614720299</v>
      </c>
      <c r="L136" s="1">
        <v>4.6429387983550402E-3</v>
      </c>
      <c r="M136" s="1">
        <v>135</v>
      </c>
      <c r="N136" s="1">
        <v>2115.7188000000001</v>
      </c>
      <c r="O136" s="3">
        <v>2.8502295699234199E-6</v>
      </c>
      <c r="P136" s="3">
        <v>5.98473400508856E-3</v>
      </c>
      <c r="Q136" s="3">
        <v>1.905E-3</v>
      </c>
      <c r="R136" s="1">
        <v>0.15240000000000001</v>
      </c>
      <c r="S136" s="4">
        <v>4357918.22265625</v>
      </c>
      <c r="T136" s="1">
        <v>514.67337606307899</v>
      </c>
      <c r="U136" s="5">
        <v>587.86903344160498</v>
      </c>
      <c r="V136" s="1">
        <v>0.03</v>
      </c>
      <c r="W136" s="3">
        <v>59096.987892241603</v>
      </c>
      <c r="X136" s="1">
        <v>3.4555174610075401E-2</v>
      </c>
      <c r="Y136" s="1">
        <v>5.3795191032892404</v>
      </c>
      <c r="Z136" s="1">
        <v>5.3795191594520197</v>
      </c>
      <c r="AA136" s="1">
        <v>-5.6162785533331303E-8</v>
      </c>
      <c r="AB136" s="1">
        <v>1.7116700383670199E-5</v>
      </c>
      <c r="AC136" s="1">
        <v>723.21503848382599</v>
      </c>
      <c r="AD136" s="1">
        <v>1941.98961300986</v>
      </c>
      <c r="AE136" s="1">
        <v>587.86903470155596</v>
      </c>
      <c r="AF136" s="6">
        <v>1.25995018152025E-6</v>
      </c>
      <c r="AG136" s="1">
        <v>1.72227712760506E-5</v>
      </c>
      <c r="AH136" s="1">
        <v>32.550237096756298</v>
      </c>
      <c r="AI136" s="1">
        <v>0.23409096866805401</v>
      </c>
      <c r="AJ136" s="1">
        <v>35.114375774629899</v>
      </c>
      <c r="AK136" s="1">
        <v>6.19635346955919</v>
      </c>
      <c r="AL136" s="1">
        <v>1.30194062706561</v>
      </c>
      <c r="AM136" s="1">
        <v>617.97483341355598</v>
      </c>
      <c r="AN136" s="1">
        <v>2.1464643396029701E-8</v>
      </c>
      <c r="AO136" s="1">
        <v>1.06070892380452E-7</v>
      </c>
      <c r="AP136" s="1">
        <v>2.8840220698465999</v>
      </c>
      <c r="AQ136" s="1">
        <v>4.0214788040592801E-5</v>
      </c>
      <c r="AR136" s="1">
        <v>8.6644210842155396E-6</v>
      </c>
      <c r="AS136" s="1">
        <v>17.665318370908398</v>
      </c>
      <c r="AT136" s="1">
        <v>11.308016516718901</v>
      </c>
      <c r="AU136" s="1">
        <v>2.6471045401130699</v>
      </c>
      <c r="AV136" s="1">
        <v>0.23691752973352201</v>
      </c>
      <c r="AW136" s="1">
        <v>1.1625939754463899E-2</v>
      </c>
      <c r="AX136" s="1">
        <v>0.23691752896471199</v>
      </c>
      <c r="AY136" s="1">
        <v>7.6881054300592697E-10</v>
      </c>
      <c r="AZ136" s="1">
        <v>964852.16359160398</v>
      </c>
      <c r="BA136" s="1">
        <v>1.39439945557462E-5</v>
      </c>
      <c r="BB136" s="4">
        <v>4359680.1875027101</v>
      </c>
      <c r="BC136" s="4">
        <v>1761.96484645549</v>
      </c>
      <c r="BD136" s="7">
        <v>4.0431342591406703E-2</v>
      </c>
      <c r="BE136" s="4">
        <v>3722416.2</v>
      </c>
      <c r="BF136" s="1">
        <v>1.1711963287454801</v>
      </c>
      <c r="BG136" s="1">
        <v>1</v>
      </c>
      <c r="BH136" s="1">
        <v>-2.1999999999999999E-2</v>
      </c>
      <c r="BI136" s="1">
        <v>4.5999999999999999E-2</v>
      </c>
      <c r="BJ136" s="1">
        <v>5625</v>
      </c>
      <c r="BK136" s="1">
        <v>1.02256212455035</v>
      </c>
      <c r="BL136" s="1">
        <v>103.30145737194201</v>
      </c>
      <c r="BM136" s="1">
        <v>4.3596801875026996</v>
      </c>
      <c r="BN136" s="1">
        <v>103.30145737194201</v>
      </c>
      <c r="BO136" s="1">
        <v>1.02256212455035</v>
      </c>
      <c r="BP136" s="1">
        <v>4007.0745054117301</v>
      </c>
      <c r="BQ136" s="1">
        <v>1</v>
      </c>
      <c r="BR136" s="1">
        <v>0.15240000000000001</v>
      </c>
    </row>
    <row r="137" spans="1:70">
      <c r="A137" s="2" t="s">
        <v>205</v>
      </c>
      <c r="B137" s="1">
        <v>15513203.909628799</v>
      </c>
      <c r="C137" s="1">
        <v>617.97483343502097</v>
      </c>
      <c r="D137" s="1">
        <v>102.22394330033001</v>
      </c>
      <c r="E137" s="1">
        <v>593.997803214295</v>
      </c>
      <c r="F137" s="1">
        <v>2595333.5493798102</v>
      </c>
      <c r="G137" s="1">
        <v>1630481.38578821</v>
      </c>
      <c r="H137" s="1">
        <v>2.3048203873610299E-5</v>
      </c>
      <c r="I137" s="1">
        <v>6.8200503236293095E-5</v>
      </c>
      <c r="J137" s="1">
        <v>0.471717723289031</v>
      </c>
      <c r="K137" s="1">
        <v>9005.0430614720299</v>
      </c>
      <c r="L137" s="1">
        <v>4.6429387983550402E-3</v>
      </c>
      <c r="M137" s="1">
        <v>136</v>
      </c>
      <c r="N137" s="1">
        <v>2156.4056999999998</v>
      </c>
      <c r="O137" s="3">
        <v>2.8502295699234199E-6</v>
      </c>
      <c r="P137" s="3">
        <v>5.98473400508856E-3</v>
      </c>
      <c r="Q137" s="3">
        <v>1.905E-3</v>
      </c>
      <c r="R137" s="1">
        <v>0.15240000000000001</v>
      </c>
      <c r="S137" s="4">
        <v>4437730.0389062501</v>
      </c>
      <c r="T137" s="1">
        <v>513.57370580890699</v>
      </c>
      <c r="U137" s="5">
        <v>586.70354062803904</v>
      </c>
      <c r="V137" s="1">
        <v>0.03</v>
      </c>
      <c r="W137" s="3">
        <v>60233.468428630898</v>
      </c>
      <c r="X137" s="1">
        <v>3.4249617312816803E-2</v>
      </c>
      <c r="Y137" s="1">
        <v>5.4034624570516501</v>
      </c>
      <c r="Z137" s="1">
        <v>5.4034625052941996</v>
      </c>
      <c r="AA137" s="1">
        <v>-4.8242550398924797E-8</v>
      </c>
      <c r="AB137" s="1">
        <v>1.6623878854372201E-5</v>
      </c>
      <c r="AC137" s="1">
        <v>723.70740016818502</v>
      </c>
      <c r="AD137" s="1">
        <v>1970.5649071683599</v>
      </c>
      <c r="AE137" s="1">
        <v>586.70354189233501</v>
      </c>
      <c r="AF137" s="6">
        <v>1.2642967703868599E-6</v>
      </c>
      <c r="AG137" s="1">
        <v>1.6729098810329499E-5</v>
      </c>
      <c r="AH137" s="1">
        <v>33.5152018781747</v>
      </c>
      <c r="AI137" s="1">
        <v>0.237535486725578</v>
      </c>
      <c r="AJ137" s="1">
        <v>34.609737579199098</v>
      </c>
      <c r="AK137" s="1">
        <v>6.2386357120074303</v>
      </c>
      <c r="AL137" s="1">
        <v>1.30194062706561</v>
      </c>
      <c r="AM137" s="1">
        <v>617.97483337610799</v>
      </c>
      <c r="AN137" s="1">
        <v>5.8912291933666003E-8</v>
      </c>
      <c r="AO137" s="1">
        <v>1.0521995595724301E-7</v>
      </c>
      <c r="AP137" s="1">
        <v>2.9074813395784398</v>
      </c>
      <c r="AQ137" s="1">
        <v>3.9568452977028003E-5</v>
      </c>
      <c r="AR137" s="1">
        <v>8.4171593831433707E-6</v>
      </c>
      <c r="AS137" s="1">
        <v>17.413710129622199</v>
      </c>
      <c r="AT137" s="1">
        <v>11.2362891722198</v>
      </c>
      <c r="AU137" s="1">
        <v>2.66901741751257</v>
      </c>
      <c r="AV137" s="1">
        <v>0.238463922065867</v>
      </c>
      <c r="AW137" s="1">
        <v>1.1291207400628601E-2</v>
      </c>
      <c r="AX137" s="1">
        <v>0.23846392031306701</v>
      </c>
      <c r="AY137" s="1">
        <v>1.75279932235206E-9</v>
      </c>
      <c r="AZ137" s="1">
        <v>964852.16359160398</v>
      </c>
      <c r="BA137" s="1">
        <v>1.3609185530582E-5</v>
      </c>
      <c r="BB137" s="4">
        <v>4431100.4449993996</v>
      </c>
      <c r="BC137" s="4">
        <v>-6629.5939068524203</v>
      </c>
      <c r="BD137" s="7">
        <v>-0.14939155488796699</v>
      </c>
      <c r="BE137" s="4">
        <v>3785508</v>
      </c>
      <c r="BF137" s="1">
        <v>1.17054314638865</v>
      </c>
      <c r="BG137" s="1">
        <v>1</v>
      </c>
      <c r="BH137" s="1">
        <v>-2.8000000000000001E-2</v>
      </c>
      <c r="BI137" s="1">
        <v>4.5999999999999999E-2</v>
      </c>
      <c r="BJ137" s="1">
        <v>5625</v>
      </c>
      <c r="BK137" s="1">
        <v>1.02200582369389</v>
      </c>
      <c r="BL137" s="1">
        <v>104.401127626114</v>
      </c>
      <c r="BM137" s="1">
        <v>4.4311004449993998</v>
      </c>
      <c r="BN137" s="1">
        <v>104.401127626114</v>
      </c>
      <c r="BO137" s="1">
        <v>1.02200582369389</v>
      </c>
      <c r="BP137" s="1">
        <v>4147.5052395149596</v>
      </c>
      <c r="BQ137" s="1">
        <v>1</v>
      </c>
      <c r="BR137" s="1">
        <v>0.15240000000000001</v>
      </c>
    </row>
    <row r="138" spans="1:70">
      <c r="A138" s="2" t="s">
        <v>206</v>
      </c>
      <c r="B138" s="1">
        <v>15513203.909628799</v>
      </c>
      <c r="C138" s="1">
        <v>617.97483343502097</v>
      </c>
      <c r="D138" s="1">
        <v>102.22394330033001</v>
      </c>
      <c r="E138" s="1">
        <v>593.997803214295</v>
      </c>
      <c r="F138" s="1">
        <v>2595333.5493798102</v>
      </c>
      <c r="G138" s="1">
        <v>1630481.38578821</v>
      </c>
      <c r="H138" s="1">
        <v>2.3048203873610299E-5</v>
      </c>
      <c r="I138" s="1">
        <v>6.8200503236293095E-5</v>
      </c>
      <c r="J138" s="1">
        <v>0.471717723289031</v>
      </c>
      <c r="K138" s="1">
        <v>9005.0430614720299</v>
      </c>
      <c r="L138" s="1">
        <v>4.6429387983550402E-3</v>
      </c>
      <c r="M138" s="1">
        <v>137</v>
      </c>
      <c r="N138" s="1">
        <v>2251.3418000000001</v>
      </c>
      <c r="O138" s="3">
        <v>2.8502295699234199E-6</v>
      </c>
      <c r="P138" s="3">
        <v>5.98473400508856E-3</v>
      </c>
      <c r="Q138" s="3">
        <v>1.905E-3</v>
      </c>
      <c r="R138" s="1">
        <v>0.15240000000000001</v>
      </c>
      <c r="S138" s="4">
        <v>5470497.94921875</v>
      </c>
      <c r="T138" s="1">
        <v>475.20630857768703</v>
      </c>
      <c r="U138" s="5">
        <v>561.55377697659401</v>
      </c>
      <c r="V138" s="1">
        <v>0.03</v>
      </c>
      <c r="W138" s="3">
        <v>62885.256346872498</v>
      </c>
      <c r="X138" s="1">
        <v>3.3572814002577597E-2</v>
      </c>
      <c r="Y138" s="1">
        <v>5.4576556165522199</v>
      </c>
      <c r="Z138" s="1">
        <v>5.4576556280146997</v>
      </c>
      <c r="AA138" s="1">
        <v>-1.1462480742352501E-8</v>
      </c>
      <c r="AB138" s="1">
        <v>1.55588830625686E-5</v>
      </c>
      <c r="AC138" s="1">
        <v>752.688317303963</v>
      </c>
      <c r="AD138" s="1">
        <v>2036.8906689837499</v>
      </c>
      <c r="AE138" s="1">
        <v>561.55377697659299</v>
      </c>
      <c r="AF138" s="6">
        <v>0</v>
      </c>
      <c r="AG138" s="1">
        <v>1.5681045437671801E-5</v>
      </c>
      <c r="AH138" s="1">
        <v>35.809296436130303</v>
      </c>
      <c r="AI138" s="1">
        <v>0.24553051498268</v>
      </c>
      <c r="AJ138" s="1">
        <v>33.533412211972703</v>
      </c>
      <c r="AK138" s="1">
        <v>7.9858393069113296</v>
      </c>
      <c r="AL138" s="1">
        <v>1.30194062706561</v>
      </c>
      <c r="AM138" s="1">
        <v>617.974833371258</v>
      </c>
      <c r="AN138" s="1">
        <v>6.3762399804545606E-8</v>
      </c>
      <c r="AO138" s="1">
        <v>1.2216237510323099E-7</v>
      </c>
      <c r="AP138" s="1">
        <v>2.9637102133603199</v>
      </c>
      <c r="AQ138" s="1">
        <v>3.8081274018598702E-5</v>
      </c>
      <c r="AR138" s="1">
        <v>7.9016039063875297E-6</v>
      </c>
      <c r="AS138" s="1">
        <v>16.8973262644896</v>
      </c>
      <c r="AT138" s="1">
        <v>11.0857770010542</v>
      </c>
      <c r="AU138" s="1">
        <v>2.7218965360519798</v>
      </c>
      <c r="AV138" s="1">
        <v>0.24181367730834399</v>
      </c>
      <c r="AW138" s="1">
        <v>1.05678450330732E-2</v>
      </c>
      <c r="AX138" s="1">
        <v>0.24181367257001399</v>
      </c>
      <c r="AY138" s="1">
        <v>4.7383298951153596E-9</v>
      </c>
      <c r="AZ138" s="1">
        <v>964852.16359160398</v>
      </c>
      <c r="BA138" s="1">
        <v>1.28491894541273E-5</v>
      </c>
      <c r="BB138" s="4">
        <v>5448881.3230567798</v>
      </c>
      <c r="BC138" s="4">
        <v>-21616.626161967401</v>
      </c>
      <c r="BD138" s="7">
        <v>-0.39514915027167702</v>
      </c>
      <c r="BE138" s="4">
        <v>4889614.5</v>
      </c>
      <c r="BF138" s="1">
        <v>1.11437851042383</v>
      </c>
      <c r="BG138" s="1">
        <v>1</v>
      </c>
      <c r="BH138" s="1">
        <v>-7.0999999999999994E-2</v>
      </c>
      <c r="BI138" s="1">
        <v>4.5999999999999999E-2</v>
      </c>
      <c r="BJ138" s="1">
        <v>5625</v>
      </c>
      <c r="BK138" s="1">
        <v>1.0070361740292899</v>
      </c>
      <c r="BL138" s="1">
        <v>142.76852485733301</v>
      </c>
      <c r="BM138" s="1">
        <v>5.4488813230567796</v>
      </c>
      <c r="BN138" s="1">
        <v>142.76852485733301</v>
      </c>
      <c r="BO138" s="1">
        <v>1.0070361740292899</v>
      </c>
      <c r="BP138" s="1">
        <v>10561.3697013524</v>
      </c>
      <c r="BQ138" s="1">
        <v>1</v>
      </c>
      <c r="BR138" s="1">
        <v>0.15240000000000001</v>
      </c>
    </row>
    <row r="139" spans="1:70">
      <c r="A139" s="2" t="s">
        <v>207</v>
      </c>
      <c r="B139" s="1">
        <v>15513203.909628799</v>
      </c>
      <c r="C139" s="1">
        <v>617.97483343502097</v>
      </c>
      <c r="D139" s="1">
        <v>102.22394330033001</v>
      </c>
      <c r="E139" s="1">
        <v>593.997803214295</v>
      </c>
      <c r="F139" s="1">
        <v>2595333.5493798102</v>
      </c>
      <c r="G139" s="1">
        <v>1630481.38578821</v>
      </c>
      <c r="H139" s="1">
        <v>2.3048203873610299E-5</v>
      </c>
      <c r="I139" s="1">
        <v>6.8200503236293095E-5</v>
      </c>
      <c r="J139" s="1">
        <v>0.471717723289031</v>
      </c>
      <c r="K139" s="1">
        <v>9005.0430614720299</v>
      </c>
      <c r="L139" s="1">
        <v>4.6429387983550402E-3</v>
      </c>
      <c r="M139" s="1">
        <v>138</v>
      </c>
      <c r="N139" s="1">
        <v>2264.9041000000002</v>
      </c>
      <c r="O139" s="3">
        <v>2.8502295699234199E-6</v>
      </c>
      <c r="P139" s="3">
        <v>5.98473400508856E-3</v>
      </c>
      <c r="Q139" s="3">
        <v>1.905E-3</v>
      </c>
      <c r="R139" s="1">
        <v>0.15240000000000001</v>
      </c>
      <c r="S139" s="4">
        <v>5567651.97265625</v>
      </c>
      <c r="T139" s="1">
        <v>472.471300672398</v>
      </c>
      <c r="U139" s="5">
        <v>559.826034885122</v>
      </c>
      <c r="V139" s="1">
        <v>0.03</v>
      </c>
      <c r="W139" s="3">
        <v>63264.083192335602</v>
      </c>
      <c r="X139" s="1">
        <v>3.3480012199594698E-2</v>
      </c>
      <c r="Y139" s="1">
        <v>5.4652143024798701</v>
      </c>
      <c r="Z139" s="1">
        <v>5.4652143120479897</v>
      </c>
      <c r="AA139" s="1">
        <v>-9.5681231826460994E-9</v>
      </c>
      <c r="AB139" s="1">
        <v>1.5415719072528501E-5</v>
      </c>
      <c r="AC139" s="1">
        <v>754.88424551521496</v>
      </c>
      <c r="AD139" s="1">
        <v>2046.3269944671599</v>
      </c>
      <c r="AE139" s="1">
        <v>559.826034885122</v>
      </c>
      <c r="AF139" s="6">
        <v>0</v>
      </c>
      <c r="AG139" s="1">
        <v>1.5540164257639601E-5</v>
      </c>
      <c r="AH139" s="1">
        <v>36.141853207190103</v>
      </c>
      <c r="AI139" s="1">
        <v>0.24666798686114999</v>
      </c>
      <c r="AJ139" s="1">
        <v>33.386097237650098</v>
      </c>
      <c r="AK139" s="1">
        <v>8.1213134067882198</v>
      </c>
      <c r="AL139" s="1">
        <v>1.30194062706561</v>
      </c>
      <c r="AM139" s="1">
        <v>617.97483332296395</v>
      </c>
      <c r="AN139" s="1">
        <v>1.1205645478185E-7</v>
      </c>
      <c r="AO139" s="1">
        <v>1.24445185111127E-7</v>
      </c>
      <c r="AP139" s="1">
        <v>2.9716289407251502</v>
      </c>
      <c r="AQ139" s="1">
        <v>3.78785882566784E-5</v>
      </c>
      <c r="AR139" s="1">
        <v>7.8323047213753695E-6</v>
      </c>
      <c r="AS139" s="1">
        <v>16.826726068496601</v>
      </c>
      <c r="AT139" s="1">
        <v>11.064842298891501</v>
      </c>
      <c r="AU139" s="1">
        <v>2.7293423748036698</v>
      </c>
      <c r="AV139" s="1">
        <v>0.24228656592147499</v>
      </c>
      <c r="AW139" s="1">
        <v>1.0470605735433699E-2</v>
      </c>
      <c r="AX139" s="1">
        <v>0.242286560744463</v>
      </c>
      <c r="AY139" s="1">
        <v>5.17701159719053E-9</v>
      </c>
      <c r="AZ139" s="1">
        <v>964852.16359160398</v>
      </c>
      <c r="BA139" s="1">
        <v>1.27467422791471E-5</v>
      </c>
      <c r="BB139" s="4">
        <v>5595314.5590123301</v>
      </c>
      <c r="BC139" s="4">
        <v>27662.586356076401</v>
      </c>
      <c r="BD139" s="7">
        <v>0.49684474697650599</v>
      </c>
      <c r="BE139" s="4">
        <v>5015798.0999999996</v>
      </c>
      <c r="BF139" s="1">
        <v>1.11553823488476</v>
      </c>
      <c r="BG139" s="1">
        <v>1</v>
      </c>
      <c r="BH139" s="1">
        <v>-6.9000000000000006E-2</v>
      </c>
      <c r="BI139" s="1">
        <v>4.5999999999999999E-2</v>
      </c>
      <c r="BJ139" s="1">
        <v>5625</v>
      </c>
      <c r="BK139" s="1">
        <v>1.0063585334765099</v>
      </c>
      <c r="BL139" s="1">
        <v>145.503532762623</v>
      </c>
      <c r="BM139" s="1">
        <v>5.5953145590123299</v>
      </c>
      <c r="BN139" s="1">
        <v>145.503532762623</v>
      </c>
      <c r="BO139" s="1">
        <v>1.0063585334765099</v>
      </c>
      <c r="BP139" s="1">
        <v>11130.995425393799</v>
      </c>
      <c r="BQ139" s="1">
        <v>1</v>
      </c>
      <c r="BR139" s="1">
        <v>0.15240000000000001</v>
      </c>
    </row>
    <row r="140" spans="1:70">
      <c r="A140" s="2" t="s">
        <v>208</v>
      </c>
      <c r="B140" s="1">
        <v>15513203.909628799</v>
      </c>
      <c r="C140" s="1">
        <v>617.97483343502097</v>
      </c>
      <c r="D140" s="1">
        <v>102.22394330033001</v>
      </c>
      <c r="E140" s="1">
        <v>593.997803214295</v>
      </c>
      <c r="F140" s="1">
        <v>2595333.5493798102</v>
      </c>
      <c r="G140" s="1">
        <v>1630481.38578821</v>
      </c>
      <c r="H140" s="1">
        <v>2.3048203873610299E-5</v>
      </c>
      <c r="I140" s="1">
        <v>6.8200503236293095E-5</v>
      </c>
      <c r="J140" s="1">
        <v>0.471717723289031</v>
      </c>
      <c r="K140" s="1">
        <v>9005.0430614720299</v>
      </c>
      <c r="L140" s="1">
        <v>4.6429387983550402E-3</v>
      </c>
      <c r="M140" s="1">
        <v>139</v>
      </c>
      <c r="N140" s="1">
        <v>2305.5909999999999</v>
      </c>
      <c r="O140" s="3">
        <v>2.8502295699234199E-6</v>
      </c>
      <c r="P140" s="3">
        <v>5.98473400508856E-3</v>
      </c>
      <c r="Q140" s="3">
        <v>1.905E-3</v>
      </c>
      <c r="R140" s="1">
        <v>0.15240000000000001</v>
      </c>
      <c r="S140" s="4">
        <v>5005314.19921875</v>
      </c>
      <c r="T140" s="1">
        <v>497.21408100250602</v>
      </c>
      <c r="U140" s="5">
        <v>574.36005399826604</v>
      </c>
      <c r="V140" s="1">
        <v>0.03</v>
      </c>
      <c r="W140" s="3">
        <v>64400.563728724803</v>
      </c>
      <c r="X140" s="1">
        <v>3.3207089835678598E-2</v>
      </c>
      <c r="Y140" s="1">
        <v>5.4876270913902703</v>
      </c>
      <c r="Z140" s="1">
        <v>5.4876271449188501</v>
      </c>
      <c r="AA140" s="1">
        <v>-5.3528578014550001E-8</v>
      </c>
      <c r="AB140" s="1">
        <v>1.4998702032369299E-5</v>
      </c>
      <c r="AC140" s="1">
        <v>734.56369693611998</v>
      </c>
      <c r="AD140" s="1">
        <v>2074.5795298419598</v>
      </c>
      <c r="AE140" s="1">
        <v>574.36005536331595</v>
      </c>
      <c r="AF140" s="6">
        <v>1.36505070713611E-6</v>
      </c>
      <c r="AG140" s="1">
        <v>1.5108523497466999E-5</v>
      </c>
      <c r="AH140" s="1">
        <v>37.1467247365932</v>
      </c>
      <c r="AI140" s="1">
        <v>0.25007359898642001</v>
      </c>
      <c r="AJ140" s="1">
        <v>32.906911888694403</v>
      </c>
      <c r="AK140" s="1">
        <v>6.9307801197903203</v>
      </c>
      <c r="AL140" s="1">
        <v>1.30194062706561</v>
      </c>
      <c r="AM140" s="1">
        <v>617.97483339316705</v>
      </c>
      <c r="AN140" s="1">
        <v>4.18536956203752E-8</v>
      </c>
      <c r="AO140" s="1">
        <v>1.09821465097717E-7</v>
      </c>
      <c r="AP140" s="1">
        <v>2.99199139207284</v>
      </c>
      <c r="AQ140" s="1">
        <v>3.7364765717047897E-5</v>
      </c>
      <c r="AR140" s="1">
        <v>7.60917248128238E-6</v>
      </c>
      <c r="AS140" s="1">
        <v>16.573053510451601</v>
      </c>
      <c r="AT140" s="1">
        <v>10.988890469545</v>
      </c>
      <c r="AU140" s="1">
        <v>2.7480313885866798</v>
      </c>
      <c r="AV140" s="1">
        <v>0.24396000348615399</v>
      </c>
      <c r="AW140" s="1">
        <v>1.0187361016720201E-2</v>
      </c>
      <c r="AX140" s="1">
        <v>0.24395999720750999</v>
      </c>
      <c r="AY140" s="1">
        <v>6.2786439658513201E-9</v>
      </c>
      <c r="AZ140" s="1">
        <v>964852.16359160398</v>
      </c>
      <c r="BA140" s="1">
        <v>1.24882597643978E-5</v>
      </c>
      <c r="BB140" s="4">
        <v>5040004.4896986699</v>
      </c>
      <c r="BC140" s="4">
        <v>34690.290479923598</v>
      </c>
      <c r="BD140" s="7">
        <v>0.69306918805093598</v>
      </c>
      <c r="BE140" s="4">
        <v>4416426</v>
      </c>
      <c r="BF140" s="1">
        <v>1.14119527638382</v>
      </c>
      <c r="BG140" s="1">
        <v>1</v>
      </c>
      <c r="BH140" s="1">
        <v>-5.2999999999999999E-2</v>
      </c>
      <c r="BI140" s="1">
        <v>4.5999999999999999E-2</v>
      </c>
      <c r="BJ140" s="1">
        <v>5625</v>
      </c>
      <c r="BK140" s="1">
        <v>1.0144272899794999</v>
      </c>
      <c r="BL140" s="1">
        <v>120.760752432514</v>
      </c>
      <c r="BM140" s="1">
        <v>5.0400044896986698</v>
      </c>
      <c r="BN140" s="1">
        <v>120.760752432514</v>
      </c>
      <c r="BO140" s="1">
        <v>1.0144272899794999</v>
      </c>
      <c r="BP140" s="1">
        <v>6522.2991334659</v>
      </c>
      <c r="BQ140" s="1">
        <v>1</v>
      </c>
      <c r="BR140" s="1">
        <v>0.15240000000000001</v>
      </c>
    </row>
    <row r="141" spans="1:70">
      <c r="A141" s="2" t="s">
        <v>209</v>
      </c>
      <c r="B141" s="1">
        <v>15513203.909628799</v>
      </c>
      <c r="C141" s="1">
        <v>617.97483343502097</v>
      </c>
      <c r="D141" s="1">
        <v>102.22394330033001</v>
      </c>
      <c r="E141" s="1">
        <v>593.997803214295</v>
      </c>
      <c r="F141" s="1">
        <v>2595333.5493798102</v>
      </c>
      <c r="G141" s="1">
        <v>1630481.38578821</v>
      </c>
      <c r="H141" s="1">
        <v>2.3048203873610299E-5</v>
      </c>
      <c r="I141" s="1">
        <v>6.8200503236293095E-5</v>
      </c>
      <c r="J141" s="1">
        <v>0.471717723289031</v>
      </c>
      <c r="K141" s="1">
        <v>9005.0430614720299</v>
      </c>
      <c r="L141" s="1">
        <v>4.6429387983550402E-3</v>
      </c>
      <c r="M141" s="1">
        <v>140</v>
      </c>
      <c r="N141" s="1">
        <v>2319.1532999999999</v>
      </c>
      <c r="O141" s="3">
        <v>2.8502295699234199E-6</v>
      </c>
      <c r="P141" s="3">
        <v>5.98473400508856E-3</v>
      </c>
      <c r="Q141" s="3">
        <v>1.905E-3</v>
      </c>
      <c r="R141" s="1">
        <v>0.15240000000000001</v>
      </c>
      <c r="S141" s="4">
        <v>4636988.6326562501</v>
      </c>
      <c r="T141" s="1">
        <v>515.02285575524695</v>
      </c>
      <c r="U141" s="5">
        <v>586.07394797812503</v>
      </c>
      <c r="V141" s="1">
        <v>0.03</v>
      </c>
      <c r="W141" s="3">
        <v>64779.390574187899</v>
      </c>
      <c r="X141" s="1">
        <v>3.3117894312529698E-2</v>
      </c>
      <c r="Y141" s="1">
        <v>5.4950119606917998</v>
      </c>
      <c r="Z141" s="1">
        <v>5.4950120000108598</v>
      </c>
      <c r="AA141" s="1">
        <v>-3.93190591196912E-8</v>
      </c>
      <c r="AB141" s="1">
        <v>1.4863716064969801E-5</v>
      </c>
      <c r="AC141" s="1">
        <v>721.465116175547</v>
      </c>
      <c r="AD141" s="1">
        <v>2083.9784646425701</v>
      </c>
      <c r="AE141" s="1">
        <v>586.07394797812503</v>
      </c>
      <c r="AF141" s="6">
        <v>0</v>
      </c>
      <c r="AG141" s="1">
        <v>1.49642745548948E-5</v>
      </c>
      <c r="AH141" s="1">
        <v>37.484075541222197</v>
      </c>
      <c r="AI141" s="1">
        <v>0.251206563723812</v>
      </c>
      <c r="AJ141" s="1">
        <v>32.740394657637403</v>
      </c>
      <c r="AK141" s="1">
        <v>6.1567594013285101</v>
      </c>
      <c r="AL141" s="1">
        <v>1.30194062706561</v>
      </c>
      <c r="AM141" s="1">
        <v>617.97483339034295</v>
      </c>
      <c r="AN141" s="1">
        <v>4.4677221922029302E-8</v>
      </c>
      <c r="AO141" s="1">
        <v>1.00558489925053E-7</v>
      </c>
      <c r="AP141" s="1">
        <v>2.9979989387724801</v>
      </c>
      <c r="AQ141" s="1">
        <v>3.7215168818169E-5</v>
      </c>
      <c r="AR141" s="1">
        <v>7.5324165224099501E-6</v>
      </c>
      <c r="AS141" s="1">
        <v>16.480203484955599</v>
      </c>
      <c r="AT141" s="1">
        <v>10.9607993589659</v>
      </c>
      <c r="AU141" s="1">
        <v>2.7534247426319798</v>
      </c>
      <c r="AV141" s="1">
        <v>0.244574196140499</v>
      </c>
      <c r="AW141" s="1">
        <v>1.00956763643335E-2</v>
      </c>
      <c r="AX141" s="1">
        <v>0.244574189555121</v>
      </c>
      <c r="AY141" s="1">
        <v>6.5853775488289301E-9</v>
      </c>
      <c r="AZ141" s="1">
        <v>964852.16359160398</v>
      </c>
      <c r="BA141" s="1">
        <v>1.24133362213286E-5</v>
      </c>
      <c r="BB141" s="4">
        <v>4642755.7680631699</v>
      </c>
      <c r="BC141" s="4">
        <v>5767.1354069188201</v>
      </c>
      <c r="BD141" s="7">
        <v>0.124372429259443</v>
      </c>
      <c r="BE141" s="4">
        <v>3848599.8</v>
      </c>
      <c r="BF141" s="1">
        <v>1.2063493242563601</v>
      </c>
      <c r="BG141" s="1">
        <v>1</v>
      </c>
      <c r="BH141" s="1">
        <v>-5.2999999999999999E-2</v>
      </c>
      <c r="BI141" s="1">
        <v>4.5999999999999999E-2</v>
      </c>
      <c r="BJ141" s="1">
        <v>5625</v>
      </c>
      <c r="BK141" s="1">
        <v>1.02273979984701</v>
      </c>
      <c r="BL141" s="1">
        <v>102.951977679774</v>
      </c>
      <c r="BM141" s="1">
        <v>4.6427557680631697</v>
      </c>
      <c r="BN141" s="1">
        <v>102.951977679774</v>
      </c>
      <c r="BO141" s="1">
        <v>1.02273979984701</v>
      </c>
      <c r="BP141" s="1">
        <v>3962.9514937947101</v>
      </c>
      <c r="BQ141" s="1">
        <v>1</v>
      </c>
      <c r="BR141" s="1">
        <v>0.15240000000000001</v>
      </c>
    </row>
    <row r="142" spans="1:70">
      <c r="A142" s="2" t="s">
        <v>210</v>
      </c>
      <c r="B142" s="1">
        <v>15513203.909628799</v>
      </c>
      <c r="C142" s="1">
        <v>617.97483343502097</v>
      </c>
      <c r="D142" s="1">
        <v>102.22394330033001</v>
      </c>
      <c r="E142" s="1">
        <v>593.997803214295</v>
      </c>
      <c r="F142" s="1">
        <v>2595333.5493798102</v>
      </c>
      <c r="G142" s="1">
        <v>1630481.38578821</v>
      </c>
      <c r="H142" s="1">
        <v>2.3048203873610299E-5</v>
      </c>
      <c r="I142" s="1">
        <v>6.8200503236293095E-5</v>
      </c>
      <c r="J142" s="1">
        <v>0.471717723289031</v>
      </c>
      <c r="K142" s="1">
        <v>9005.0430614720299</v>
      </c>
      <c r="L142" s="1">
        <v>4.6429387983550402E-3</v>
      </c>
      <c r="M142" s="1">
        <v>141</v>
      </c>
      <c r="N142" s="1">
        <v>2319.1532999999999</v>
      </c>
      <c r="O142" s="3">
        <v>2.8502295699234199E-6</v>
      </c>
      <c r="P142" s="3">
        <v>5.98473400508856E-3</v>
      </c>
      <c r="Q142" s="3">
        <v>1.905E-3</v>
      </c>
      <c r="R142" s="1">
        <v>0.15240000000000001</v>
      </c>
      <c r="S142" s="4">
        <v>4674353.02734375</v>
      </c>
      <c r="T142" s="1">
        <v>513.223397961415</v>
      </c>
      <c r="U142" s="5">
        <v>584.84701284136804</v>
      </c>
      <c r="V142" s="1">
        <v>0.03</v>
      </c>
      <c r="W142" s="3">
        <v>64779.390574187899</v>
      </c>
      <c r="X142" s="1">
        <v>3.3117894312529698E-2</v>
      </c>
      <c r="Y142" s="1">
        <v>5.4950119606917998</v>
      </c>
      <c r="Z142" s="1">
        <v>5.4950120000108598</v>
      </c>
      <c r="AA142" s="1">
        <v>-3.93190591196912E-8</v>
      </c>
      <c r="AB142" s="1">
        <v>1.4863716064969801E-5</v>
      </c>
      <c r="AC142" s="1">
        <v>722.74764390258304</v>
      </c>
      <c r="AD142" s="1">
        <v>2083.9784646425701</v>
      </c>
      <c r="AE142" s="1">
        <v>584.84701284136804</v>
      </c>
      <c r="AF142" s="6">
        <v>0</v>
      </c>
      <c r="AG142" s="1">
        <v>1.49645664241686E-5</v>
      </c>
      <c r="AH142" s="1">
        <v>37.484075541222197</v>
      </c>
      <c r="AI142" s="1">
        <v>0.251206563723812</v>
      </c>
      <c r="AJ142" s="1">
        <v>32.741033239559599</v>
      </c>
      <c r="AK142" s="1">
        <v>6.2330404127457797</v>
      </c>
      <c r="AL142" s="1">
        <v>1.30194062706561</v>
      </c>
      <c r="AM142" s="1">
        <v>617.97483338976804</v>
      </c>
      <c r="AN142" s="1">
        <v>4.5252249947225203E-8</v>
      </c>
      <c r="AO142" s="1">
        <v>1.0085035919879E-7</v>
      </c>
      <c r="AP142" s="1">
        <v>2.99804393631777</v>
      </c>
      <c r="AQ142" s="1">
        <v>3.7214051704001798E-5</v>
      </c>
      <c r="AR142" s="1">
        <v>7.5327083916836796E-6</v>
      </c>
      <c r="AS142" s="1">
        <v>16.480842066877798</v>
      </c>
      <c r="AT142" s="1">
        <v>10.9609930973354</v>
      </c>
      <c r="AU142" s="1">
        <v>2.75347341098206</v>
      </c>
      <c r="AV142" s="1">
        <v>0.24457052533571899</v>
      </c>
      <c r="AW142" s="1">
        <v>1.00956763643335E-2</v>
      </c>
      <c r="AX142" s="1">
        <v>0.244570518748953</v>
      </c>
      <c r="AY142" s="1">
        <v>6.5867659659879499E-9</v>
      </c>
      <c r="AZ142" s="1">
        <v>964852.16359160398</v>
      </c>
      <c r="BA142" s="1">
        <v>1.24127772956218E-5</v>
      </c>
      <c r="BB142" s="4">
        <v>4656440.9481654</v>
      </c>
      <c r="BC142" s="4">
        <v>-17912.0791783491</v>
      </c>
      <c r="BD142" s="7">
        <v>-0.38319910955736802</v>
      </c>
      <c r="BE142" s="4">
        <v>3911691.6</v>
      </c>
      <c r="BF142" s="1">
        <v>1.19039060956784</v>
      </c>
      <c r="BG142" s="1">
        <v>1</v>
      </c>
      <c r="BH142" s="1">
        <v>-5.2999999999999999E-2</v>
      </c>
      <c r="BI142" s="1">
        <v>4.5999999999999999E-2</v>
      </c>
      <c r="BJ142" s="1">
        <v>5625</v>
      </c>
      <c r="BK142" s="1">
        <v>1.0218295357534</v>
      </c>
      <c r="BL142" s="1">
        <v>104.75143547360599</v>
      </c>
      <c r="BM142" s="1">
        <v>4.6564409481654003</v>
      </c>
      <c r="BN142" s="1">
        <v>104.75143547360599</v>
      </c>
      <c r="BO142" s="1">
        <v>1.0218295357534</v>
      </c>
      <c r="BP142" s="1">
        <v>4192.7483958925004</v>
      </c>
      <c r="BQ142" s="1">
        <v>1</v>
      </c>
      <c r="BR142" s="1">
        <v>0.15240000000000001</v>
      </c>
    </row>
    <row r="143" spans="1:70">
      <c r="A143" s="2" t="s">
        <v>211</v>
      </c>
      <c r="B143" s="1">
        <v>15513203.909628799</v>
      </c>
      <c r="C143" s="1">
        <v>617.97483343502097</v>
      </c>
      <c r="D143" s="1">
        <v>102.22394330033001</v>
      </c>
      <c r="E143" s="1">
        <v>593.997803214295</v>
      </c>
      <c r="F143" s="1">
        <v>2595333.5493798102</v>
      </c>
      <c r="G143" s="1">
        <v>1630481.38578821</v>
      </c>
      <c r="H143" s="1">
        <v>2.3048203873610299E-5</v>
      </c>
      <c r="I143" s="1">
        <v>6.8200503236293095E-5</v>
      </c>
      <c r="J143" s="1">
        <v>0.471717723289031</v>
      </c>
      <c r="K143" s="1">
        <v>9005.0430614720299</v>
      </c>
      <c r="L143" s="1">
        <v>4.6429387983550402E-3</v>
      </c>
      <c r="M143" s="1">
        <v>142</v>
      </c>
      <c r="N143" s="1">
        <v>2319.1532999999999</v>
      </c>
      <c r="O143" s="3">
        <v>2.8502295699234199E-6</v>
      </c>
      <c r="P143" s="3">
        <v>5.98473400508856E-3</v>
      </c>
      <c r="Q143" s="3">
        <v>1.905E-3</v>
      </c>
      <c r="R143" s="1">
        <v>0.15240000000000001</v>
      </c>
      <c r="S143" s="4">
        <v>4941311.7835937496</v>
      </c>
      <c r="T143" s="1">
        <v>500.89394004301198</v>
      </c>
      <c r="U143" s="5">
        <v>576.608078474487</v>
      </c>
      <c r="V143" s="1">
        <v>0.03</v>
      </c>
      <c r="W143" s="3">
        <v>64779.390574187899</v>
      </c>
      <c r="X143" s="1">
        <v>3.3117894312529698E-2</v>
      </c>
      <c r="Y143" s="1">
        <v>5.4950119606917998</v>
      </c>
      <c r="Z143" s="1">
        <v>5.4950120000108598</v>
      </c>
      <c r="AA143" s="1">
        <v>-3.93190591196912E-8</v>
      </c>
      <c r="AB143" s="1">
        <v>1.4863716064969801E-5</v>
      </c>
      <c r="AC143" s="1">
        <v>731.69719700062205</v>
      </c>
      <c r="AD143" s="1">
        <v>2083.9784646425701</v>
      </c>
      <c r="AE143" s="1">
        <v>576.60807981252697</v>
      </c>
      <c r="AF143" s="6">
        <v>1.33803905555396E-6</v>
      </c>
      <c r="AG143" s="1">
        <v>1.4971199294995399E-5</v>
      </c>
      <c r="AH143" s="1">
        <v>37.484075541222197</v>
      </c>
      <c r="AI143" s="1">
        <v>0.251206563723812</v>
      </c>
      <c r="AJ143" s="1">
        <v>32.755545323509097</v>
      </c>
      <c r="AK143" s="1">
        <v>6.7650125112632198</v>
      </c>
      <c r="AL143" s="1">
        <v>1.30194062706561</v>
      </c>
      <c r="AM143" s="1">
        <v>617.97483338540496</v>
      </c>
      <c r="AN143" s="1">
        <v>4.96150960316299E-8</v>
      </c>
      <c r="AO143" s="1">
        <v>1.07483230025617E-7</v>
      </c>
      <c r="AP143" s="1">
        <v>2.9990660850387698</v>
      </c>
      <c r="AQ143" s="1">
        <v>3.7188689266413798E-5</v>
      </c>
      <c r="AR143" s="1">
        <v>7.5393412625105101E-6</v>
      </c>
      <c r="AS143" s="1">
        <v>16.4953541508273</v>
      </c>
      <c r="AT143" s="1">
        <v>10.965393873213401</v>
      </c>
      <c r="AU143" s="1">
        <v>2.7545789147680901</v>
      </c>
      <c r="AV143" s="1">
        <v>0.244487170270689</v>
      </c>
      <c r="AW143" s="1">
        <v>1.00956763643335E-2</v>
      </c>
      <c r="AX143" s="1">
        <v>0.24448716365245199</v>
      </c>
      <c r="AY143" s="1">
        <v>6.6182374025558496E-9</v>
      </c>
      <c r="AZ143" s="1">
        <v>964852.16359160398</v>
      </c>
      <c r="BA143" s="1">
        <v>1.24000899653176E-5</v>
      </c>
      <c r="BB143" s="4">
        <v>4967770.0738843596</v>
      </c>
      <c r="BC143" s="4">
        <v>26458.290290610901</v>
      </c>
      <c r="BD143" s="7">
        <v>0.53545073554067701</v>
      </c>
      <c r="BE143" s="4">
        <v>4447971.9000000004</v>
      </c>
      <c r="BF143" s="1">
        <v>1.11686183851215</v>
      </c>
      <c r="BG143" s="1">
        <v>1</v>
      </c>
      <c r="BH143" s="1">
        <v>-3.5000000000000003E-2</v>
      </c>
      <c r="BI143" s="1">
        <v>4.5999999999999999E-2</v>
      </c>
      <c r="BJ143" s="1">
        <v>5625</v>
      </c>
      <c r="BK143" s="1">
        <v>1.0159966785074199</v>
      </c>
      <c r="BL143" s="1">
        <v>117.080893392009</v>
      </c>
      <c r="BM143" s="1">
        <v>4.9677700738843598</v>
      </c>
      <c r="BN143" s="1">
        <v>117.080893392009</v>
      </c>
      <c r="BO143" s="1">
        <v>1.0159966785074199</v>
      </c>
      <c r="BP143" s="1">
        <v>5941.4641261101897</v>
      </c>
      <c r="BQ143" s="1">
        <v>1</v>
      </c>
      <c r="BR143" s="1">
        <v>0.15240000000000001</v>
      </c>
    </row>
    <row r="144" spans="1:70">
      <c r="A144" s="2" t="s">
        <v>212</v>
      </c>
      <c r="B144" s="1">
        <v>15513203.909628799</v>
      </c>
      <c r="C144" s="1">
        <v>617.97483343502097</v>
      </c>
      <c r="D144" s="1">
        <v>102.22394330033001</v>
      </c>
      <c r="E144" s="1">
        <v>593.997803214295</v>
      </c>
      <c r="F144" s="1">
        <v>2595333.5493798102</v>
      </c>
      <c r="G144" s="1">
        <v>1630481.38578821</v>
      </c>
      <c r="H144" s="1">
        <v>2.3048203873610299E-5</v>
      </c>
      <c r="I144" s="1">
        <v>6.8200503236293095E-5</v>
      </c>
      <c r="J144" s="1">
        <v>0.471717723289031</v>
      </c>
      <c r="K144" s="1">
        <v>9005.0430614720299</v>
      </c>
      <c r="L144" s="1">
        <v>4.6429387983550402E-3</v>
      </c>
      <c r="M144" s="1">
        <v>143</v>
      </c>
      <c r="N144" s="1">
        <v>2875.2076000000002</v>
      </c>
      <c r="O144" s="3">
        <v>2.8502295699234199E-6</v>
      </c>
      <c r="P144" s="3">
        <v>5.98473400508856E-3</v>
      </c>
      <c r="Q144" s="3">
        <v>1.905E-3</v>
      </c>
      <c r="R144" s="1">
        <v>0.15240000000000001</v>
      </c>
      <c r="S144" s="4">
        <v>5403326.66015625</v>
      </c>
      <c r="T144" s="1">
        <v>511.31829053055202</v>
      </c>
      <c r="U144" s="5">
        <v>578.09979526384097</v>
      </c>
      <c r="V144" s="1">
        <v>0.03</v>
      </c>
      <c r="W144" s="3">
        <v>80311.291238174497</v>
      </c>
      <c r="X144" s="1">
        <v>3.0077052509272499E-2</v>
      </c>
      <c r="Y144" s="1">
        <v>5.7661025626505902</v>
      </c>
      <c r="Z144" s="1">
        <v>5.7661025972645303</v>
      </c>
      <c r="AA144" s="1">
        <v>-3.4613937494043499E-8</v>
      </c>
      <c r="AB144" s="1">
        <v>1.0648178955476399E-5</v>
      </c>
      <c r="AC144" s="1">
        <v>717.83704699093198</v>
      </c>
      <c r="AD144" s="1">
        <v>2462.1769220775</v>
      </c>
      <c r="AE144" s="1">
        <v>578.09979646681495</v>
      </c>
      <c r="AF144" s="6">
        <v>1.20297374905931E-6</v>
      </c>
      <c r="AG144" s="1">
        <v>1.07376937398852E-5</v>
      </c>
      <c r="AH144" s="1">
        <v>52.323750204823497</v>
      </c>
      <c r="AI144" s="1">
        <v>0.29679529533010102</v>
      </c>
      <c r="AJ144" s="1">
        <v>27.756537241660201</v>
      </c>
      <c r="AK144" s="1">
        <v>6.1697507746342399</v>
      </c>
      <c r="AL144" s="1">
        <v>1.30194062706561</v>
      </c>
      <c r="AM144" s="1">
        <v>617.97483341778104</v>
      </c>
      <c r="AN144" s="1">
        <v>1.7239813132619E-8</v>
      </c>
      <c r="AO144" s="1">
        <v>8.9514784408784005E-8</v>
      </c>
      <c r="AP144" s="1">
        <v>3.2749560156375002</v>
      </c>
      <c r="AQ144" s="1">
        <v>3.1186885071912701E-5</v>
      </c>
      <c r="AR144" s="1">
        <v>5.4136042621469701E-6</v>
      </c>
      <c r="AS144" s="1">
        <v>13.993964807893599</v>
      </c>
      <c r="AT144" s="1">
        <v>10.1431307576044</v>
      </c>
      <c r="AU144" s="1">
        <v>3.0104334887750399</v>
      </c>
      <c r="AV144" s="1">
        <v>0.26452252686246203</v>
      </c>
      <c r="AW144" s="1">
        <v>7.2324153754086398E-3</v>
      </c>
      <c r="AX144" s="1">
        <v>0.26452252274377003</v>
      </c>
      <c r="AY144" s="1">
        <v>4.1186926091896201E-9</v>
      </c>
      <c r="AZ144" s="1">
        <v>964852.16359160398</v>
      </c>
      <c r="BA144" s="1">
        <v>9.5228408940453502E-6</v>
      </c>
      <c r="BB144" s="4">
        <v>5387333.4316243101</v>
      </c>
      <c r="BC144" s="4">
        <v>-15993.228531938001</v>
      </c>
      <c r="BD144" s="7">
        <v>-0.29598855552952202</v>
      </c>
      <c r="BE144" s="4">
        <v>5394348.9000000004</v>
      </c>
      <c r="BF144" s="1">
        <v>0.99869947819361704</v>
      </c>
      <c r="BG144" s="1">
        <v>1</v>
      </c>
      <c r="BH144" s="1">
        <v>1E-3</v>
      </c>
      <c r="BI144" s="1">
        <v>4.5999999999999999E-2</v>
      </c>
      <c r="BJ144" s="1">
        <v>5625</v>
      </c>
      <c r="BK144" s="1">
        <v>1.0208792927880801</v>
      </c>
      <c r="BL144" s="1">
        <v>106.656542904468</v>
      </c>
      <c r="BM144" s="1">
        <v>5.3873334316243104</v>
      </c>
      <c r="BN144" s="1">
        <v>106.656542904468</v>
      </c>
      <c r="BO144" s="1">
        <v>1.0208792927880801</v>
      </c>
      <c r="BP144" s="1">
        <v>4443.09471197525</v>
      </c>
      <c r="BQ144" s="1">
        <v>1</v>
      </c>
      <c r="BR144" s="1">
        <v>0.15240000000000001</v>
      </c>
    </row>
    <row r="145" spans="1:70">
      <c r="A145" s="2" t="s">
        <v>213</v>
      </c>
      <c r="B145" s="1">
        <v>15513203.909628799</v>
      </c>
      <c r="C145" s="1">
        <v>617.97483343502097</v>
      </c>
      <c r="D145" s="1">
        <v>102.22394330033001</v>
      </c>
      <c r="E145" s="1">
        <v>593.997803214295</v>
      </c>
      <c r="F145" s="1">
        <v>2595333.5493798102</v>
      </c>
      <c r="G145" s="1">
        <v>1630481.38578821</v>
      </c>
      <c r="H145" s="1">
        <v>2.3048203873610299E-5</v>
      </c>
      <c r="I145" s="1">
        <v>6.8200503236293095E-5</v>
      </c>
      <c r="J145" s="1">
        <v>0.471717723289031</v>
      </c>
      <c r="K145" s="1">
        <v>9005.0430614720299</v>
      </c>
      <c r="L145" s="1">
        <v>4.6429387983550402E-3</v>
      </c>
      <c r="M145" s="1">
        <v>144</v>
      </c>
      <c r="N145" s="1">
        <v>2929.4567999999999</v>
      </c>
      <c r="O145" s="3">
        <v>2.8502295699234199E-6</v>
      </c>
      <c r="P145" s="3">
        <v>5.98473400508856E-3</v>
      </c>
      <c r="Q145" s="3">
        <v>1.905E-3</v>
      </c>
      <c r="R145" s="1">
        <v>0.15240000000000001</v>
      </c>
      <c r="S145" s="4">
        <v>4761511.23046875</v>
      </c>
      <c r="T145" s="1">
        <v>540.88707296318796</v>
      </c>
      <c r="U145" s="5">
        <v>598.64637005941199</v>
      </c>
      <c r="V145" s="1">
        <v>0.03</v>
      </c>
      <c r="W145" s="3">
        <v>81826.598620026896</v>
      </c>
      <c r="X145" s="1">
        <v>2.9832242040537499E-2</v>
      </c>
      <c r="Y145" s="1">
        <v>5.7897132269993099</v>
      </c>
      <c r="Z145" s="1">
        <v>5.7897132518930503</v>
      </c>
      <c r="AA145" s="1">
        <v>-2.4893739514197899E-8</v>
      </c>
      <c r="AB145" s="1">
        <v>1.0341628698207299E-5</v>
      </c>
      <c r="AC145" s="1">
        <v>697.42893982916496</v>
      </c>
      <c r="AD145" s="1">
        <v>2498.4027920342501</v>
      </c>
      <c r="AE145" s="1">
        <v>598.64637005941199</v>
      </c>
      <c r="AF145" s="6">
        <v>0</v>
      </c>
      <c r="AG145" s="1">
        <v>1.04195533738423E-5</v>
      </c>
      <c r="AH145" s="1">
        <v>53.874749525593202</v>
      </c>
      <c r="AI145" s="1">
        <v>0.30116202774319301</v>
      </c>
      <c r="AJ145" s="1">
        <v>27.330436998380499</v>
      </c>
      <c r="AK145" s="1">
        <v>4.9334976255565604</v>
      </c>
      <c r="AL145" s="1">
        <v>1.30194062706561</v>
      </c>
      <c r="AM145" s="1">
        <v>617.97483343446595</v>
      </c>
      <c r="AN145" s="1">
        <v>5.5410964705515705E-10</v>
      </c>
      <c r="AO145" s="1">
        <v>7.7924675634988801E-8</v>
      </c>
      <c r="AP145" s="1">
        <v>3.2967858963802699</v>
      </c>
      <c r="AQ145" s="1">
        <v>3.0775240517006603E-5</v>
      </c>
      <c r="AR145" s="1">
        <v>5.2487390247386402E-6</v>
      </c>
      <c r="AS145" s="1">
        <v>13.7674165187046</v>
      </c>
      <c r="AT145" s="1">
        <v>10.061523392432701</v>
      </c>
      <c r="AU145" s="1">
        <v>3.0301487870506101</v>
      </c>
      <c r="AV145" s="1">
        <v>0.26663710932965501</v>
      </c>
      <c r="AW145" s="1">
        <v>7.0242014823778398E-3</v>
      </c>
      <c r="AX145" s="1">
        <v>0.26663710420803499</v>
      </c>
      <c r="AY145" s="1">
        <v>5.1216201280013301E-9</v>
      </c>
      <c r="AZ145" s="1">
        <v>964852.16359160398</v>
      </c>
      <c r="BA145" s="1">
        <v>9.3349224014809297E-6</v>
      </c>
      <c r="BB145" s="4">
        <v>4784206.3694815803</v>
      </c>
      <c r="BC145" s="4">
        <v>22695.139012826599</v>
      </c>
      <c r="BD145" s="7">
        <v>0.47663730933996701</v>
      </c>
      <c r="BE145" s="4">
        <v>4164058.8</v>
      </c>
      <c r="BF145" s="1">
        <v>1.14892862931752</v>
      </c>
      <c r="BG145" s="1">
        <v>1</v>
      </c>
      <c r="BH145" s="1">
        <v>-4.0000000000000001E-3</v>
      </c>
      <c r="BI145" s="1">
        <v>4.5999999999999999E-2</v>
      </c>
      <c r="BJ145" s="1">
        <v>5625</v>
      </c>
      <c r="BK145" s="1">
        <v>1.03602120207856</v>
      </c>
      <c r="BL145" s="1">
        <v>77.087760471832595</v>
      </c>
      <c r="BM145" s="1">
        <v>4.7842063694815797</v>
      </c>
      <c r="BN145" s="1">
        <v>77.087760471832595</v>
      </c>
      <c r="BO145" s="1">
        <v>1.03602120207856</v>
      </c>
      <c r="BP145" s="1">
        <v>1375.50197681603</v>
      </c>
      <c r="BQ145" s="1">
        <v>1</v>
      </c>
      <c r="BR145" s="1">
        <v>0.15240000000000001</v>
      </c>
    </row>
    <row r="146" spans="1:70">
      <c r="A146" s="2" t="s">
        <v>214</v>
      </c>
      <c r="B146" s="1">
        <v>15513203.909628799</v>
      </c>
      <c r="C146" s="1">
        <v>617.97483343502097</v>
      </c>
      <c r="D146" s="1">
        <v>102.22394330033001</v>
      </c>
      <c r="E146" s="1">
        <v>593.997803214295</v>
      </c>
      <c r="F146" s="1">
        <v>2595333.5493798102</v>
      </c>
      <c r="G146" s="1">
        <v>1630481.38578821</v>
      </c>
      <c r="H146" s="1">
        <v>2.3048203873610299E-5</v>
      </c>
      <c r="I146" s="1">
        <v>6.8200503236293095E-5</v>
      </c>
      <c r="J146" s="1">
        <v>0.471717723289031</v>
      </c>
      <c r="K146" s="1">
        <v>9005.0430614720299</v>
      </c>
      <c r="L146" s="1">
        <v>4.6429387983550402E-3</v>
      </c>
      <c r="M146" s="1">
        <v>145</v>
      </c>
      <c r="N146" s="1">
        <v>2956.5814</v>
      </c>
      <c r="O146" s="3">
        <v>2.8502295699234199E-6</v>
      </c>
      <c r="P146" s="3">
        <v>5.98473400508856E-3</v>
      </c>
      <c r="Q146" s="3">
        <v>1.905E-3</v>
      </c>
      <c r="R146" s="1">
        <v>0.15240000000000001</v>
      </c>
      <c r="S146" s="4">
        <v>4686924.12109375</v>
      </c>
      <c r="T146" s="1">
        <v>544.80126491492899</v>
      </c>
      <c r="U146" s="5">
        <v>601.13418533199194</v>
      </c>
      <c r="V146" s="1">
        <v>0.03</v>
      </c>
      <c r="W146" s="3">
        <v>82584.252310953001</v>
      </c>
      <c r="X146" s="1">
        <v>2.9712616755100299E-2</v>
      </c>
      <c r="Y146" s="1">
        <v>5.8013564355317904</v>
      </c>
      <c r="Z146" s="1">
        <v>5.80135645597049</v>
      </c>
      <c r="AA146" s="1">
        <v>-2.04386987334715E-8</v>
      </c>
      <c r="AB146" s="1">
        <v>1.01936202092765E-5</v>
      </c>
      <c r="AC146" s="1">
        <v>694.36498395710396</v>
      </c>
      <c r="AD146" s="1">
        <v>2516.4754776415798</v>
      </c>
      <c r="AE146" s="1">
        <v>601.13418533199103</v>
      </c>
      <c r="AF146" s="6">
        <v>0</v>
      </c>
      <c r="AG146" s="1">
        <v>1.02695308165222E-5</v>
      </c>
      <c r="AH146" s="1">
        <v>54.656995685946796</v>
      </c>
      <c r="AI146" s="1">
        <v>0.303340542217169</v>
      </c>
      <c r="AJ146" s="1">
        <v>27.131782117231001</v>
      </c>
      <c r="AK146" s="1">
        <v>4.7544964863997397</v>
      </c>
      <c r="AL146" s="1">
        <v>1.30194062706561</v>
      </c>
      <c r="AM146" s="1">
        <v>617.97483343067495</v>
      </c>
      <c r="AN146" s="1">
        <v>4.3459067455842201E-9</v>
      </c>
      <c r="AO146" s="1">
        <v>7.5910607245698504E-8</v>
      </c>
      <c r="AP146" s="1">
        <v>3.3084884917726298</v>
      </c>
      <c r="AQ146" s="1">
        <v>3.05579127327379E-5</v>
      </c>
      <c r="AR146" s="1">
        <v>5.1727207118839398E-6</v>
      </c>
      <c r="AS146" s="1">
        <v>13.6661677943776</v>
      </c>
      <c r="AT146" s="1">
        <v>10.0246163725977</v>
      </c>
      <c r="AU146" s="1">
        <v>3.0408725659828799</v>
      </c>
      <c r="AV146" s="1">
        <v>0.26761592578974902</v>
      </c>
      <c r="AW146" s="1">
        <v>6.9236717227344098E-3</v>
      </c>
      <c r="AX146" s="1">
        <v>0.26761592010526303</v>
      </c>
      <c r="AY146" s="1">
        <v>5.6844864371186102E-9</v>
      </c>
      <c r="AZ146" s="1">
        <v>964852.16359160398</v>
      </c>
      <c r="BA146" s="1">
        <v>9.2362155131346694E-6</v>
      </c>
      <c r="BB146" s="4">
        <v>4710359.1446647597</v>
      </c>
      <c r="BC146" s="4">
        <v>23435.023571011599</v>
      </c>
      <c r="BD146" s="7">
        <v>0.500008597654505</v>
      </c>
      <c r="BE146" s="4">
        <v>4164058.8</v>
      </c>
      <c r="BF146" s="1">
        <v>1.13119419559223</v>
      </c>
      <c r="BG146" s="1">
        <v>1</v>
      </c>
      <c r="BH146" s="1">
        <v>1.0999999999999999E-2</v>
      </c>
      <c r="BI146" s="1">
        <v>4.5999999999999999E-2</v>
      </c>
      <c r="BJ146" s="1">
        <v>5625</v>
      </c>
      <c r="BK146" s="1">
        <v>1.0378261061619001</v>
      </c>
      <c r="BL146" s="1">
        <v>73.173568520091493</v>
      </c>
      <c r="BM146" s="1">
        <v>4.7103591446647597</v>
      </c>
      <c r="BN146" s="1">
        <v>73.173568520091493</v>
      </c>
      <c r="BO146" s="1">
        <v>1.0378261061619001</v>
      </c>
      <c r="BP146" s="1">
        <v>1100.48564835721</v>
      </c>
      <c r="BQ146" s="1">
        <v>1</v>
      </c>
      <c r="BR146" s="1">
        <v>0.15240000000000001</v>
      </c>
    </row>
    <row r="147" spans="1:70">
      <c r="A147" s="2" t="s">
        <v>215</v>
      </c>
      <c r="B147" s="1">
        <v>15513203.909628799</v>
      </c>
      <c r="C147" s="1">
        <v>617.97483343502097</v>
      </c>
      <c r="D147" s="1">
        <v>102.22394330033001</v>
      </c>
      <c r="E147" s="1">
        <v>593.997803214295</v>
      </c>
      <c r="F147" s="1">
        <v>2595333.5493798102</v>
      </c>
      <c r="G147" s="1">
        <v>1630481.38578821</v>
      </c>
      <c r="H147" s="1">
        <v>2.3048203873610299E-5</v>
      </c>
      <c r="I147" s="1">
        <v>6.8200503236293095E-5</v>
      </c>
      <c r="J147" s="1">
        <v>0.471717723289031</v>
      </c>
      <c r="K147" s="1">
        <v>9005.0430614720299</v>
      </c>
      <c r="L147" s="1">
        <v>4.6429387983550402E-3</v>
      </c>
      <c r="M147" s="1">
        <v>146</v>
      </c>
      <c r="N147" s="1">
        <v>2983.7060000000001</v>
      </c>
      <c r="O147" s="3">
        <v>2.8502295699234199E-6</v>
      </c>
      <c r="P147" s="3">
        <v>5.98473400508856E-3</v>
      </c>
      <c r="Q147" s="3">
        <v>1.905E-3</v>
      </c>
      <c r="R147" s="1">
        <v>0.15240000000000001</v>
      </c>
      <c r="S147" s="4">
        <v>5631387.98828125</v>
      </c>
      <c r="T147" s="1">
        <v>506.78358716530897</v>
      </c>
      <c r="U147" s="5">
        <v>573.85286141774304</v>
      </c>
      <c r="V147" s="1">
        <v>0.03</v>
      </c>
      <c r="W147" s="3">
        <v>83341.906001879193</v>
      </c>
      <c r="X147" s="1">
        <v>2.9594784018131599E-2</v>
      </c>
      <c r="Y147" s="1">
        <v>5.8128941210789398</v>
      </c>
      <c r="Z147" s="1">
        <v>5.8128941374986898</v>
      </c>
      <c r="AA147" s="1">
        <v>-1.6419753556817799E-8</v>
      </c>
      <c r="AB147" s="1">
        <v>1.00489758091185E-5</v>
      </c>
      <c r="AC147" s="1">
        <v>719.26100129451095</v>
      </c>
      <c r="AD147" s="1">
        <v>2534.5217744995798</v>
      </c>
      <c r="AE147" s="1">
        <v>573.85286141774304</v>
      </c>
      <c r="AF147" s="6">
        <v>0</v>
      </c>
      <c r="AG147" s="1">
        <v>1.01389398370477E-5</v>
      </c>
      <c r="AH147" s="1">
        <v>55.4437254488207</v>
      </c>
      <c r="AI147" s="1">
        <v>0.305515875743187</v>
      </c>
      <c r="AJ147" s="1">
        <v>26.978859619253001</v>
      </c>
      <c r="AK147" s="1">
        <v>6.3156223766093902</v>
      </c>
      <c r="AL147" s="1">
        <v>1.30194062706561</v>
      </c>
      <c r="AM147" s="1">
        <v>617.97483343466502</v>
      </c>
      <c r="AN147" s="1">
        <v>3.5561242839321499E-10</v>
      </c>
      <c r="AO147" s="1">
        <v>8.9964027929180799E-8</v>
      </c>
      <c r="AP147" s="1">
        <v>3.3245246949976699</v>
      </c>
      <c r="AQ147" s="1">
        <v>3.0263824957606301E-5</v>
      </c>
      <c r="AR147" s="1">
        <v>5.11445193248842E-6</v>
      </c>
      <c r="AS147" s="1">
        <v>13.609123136507399</v>
      </c>
      <c r="AT147" s="1">
        <v>10.003701933522199</v>
      </c>
      <c r="AU147" s="1">
        <v>3.0562897568938601</v>
      </c>
      <c r="AV147" s="1">
        <v>0.26823493810380999</v>
      </c>
      <c r="AW147" s="1">
        <v>6.8254269065978904E-3</v>
      </c>
      <c r="AX147" s="1">
        <v>0.268234931690565</v>
      </c>
      <c r="AY147" s="1">
        <v>6.4132453236886996E-9</v>
      </c>
      <c r="AZ147" s="1">
        <v>964852.16359160398</v>
      </c>
      <c r="BA147" s="1">
        <v>9.1032035355741208E-6</v>
      </c>
      <c r="BB147" s="4">
        <v>5663960.9766956698</v>
      </c>
      <c r="BC147" s="4">
        <v>32572.988414416101</v>
      </c>
      <c r="BD147" s="7">
        <v>0.57841847306915295</v>
      </c>
      <c r="BE147" s="4">
        <v>5520532.5</v>
      </c>
      <c r="BF147" s="1">
        <v>1.0259809133803099</v>
      </c>
      <c r="BG147" s="1">
        <v>1</v>
      </c>
      <c r="BH147" s="1">
        <v>-0.03</v>
      </c>
      <c r="BI147" s="1">
        <v>4.5999999999999999E-2</v>
      </c>
      <c r="BJ147" s="1">
        <v>5625</v>
      </c>
      <c r="BK147" s="1">
        <v>1.01868328381853</v>
      </c>
      <c r="BL147" s="1">
        <v>111.191246269712</v>
      </c>
      <c r="BM147" s="1">
        <v>5.6639609766956696</v>
      </c>
      <c r="BN147" s="1">
        <v>111.191246269712</v>
      </c>
      <c r="BO147" s="1">
        <v>1.01868328381853</v>
      </c>
      <c r="BP147" s="1">
        <v>5068.1935454347204</v>
      </c>
      <c r="BQ147" s="1">
        <v>1</v>
      </c>
      <c r="BR147" s="1">
        <v>0.15240000000000001</v>
      </c>
    </row>
    <row r="148" spans="1:70">
      <c r="A148" s="2" t="s">
        <v>216</v>
      </c>
      <c r="B148" s="1">
        <v>15513203.909628799</v>
      </c>
      <c r="C148" s="1">
        <v>617.97483343502097</v>
      </c>
      <c r="D148" s="1">
        <v>102.22394330033001</v>
      </c>
      <c r="E148" s="1">
        <v>593.997803214295</v>
      </c>
      <c r="F148" s="1">
        <v>2595333.5493798102</v>
      </c>
      <c r="G148" s="1">
        <v>1630481.38578821</v>
      </c>
      <c r="H148" s="1">
        <v>2.3048203873610299E-5</v>
      </c>
      <c r="I148" s="1">
        <v>6.8200503236293095E-5</v>
      </c>
      <c r="J148" s="1">
        <v>0.471717723289031</v>
      </c>
      <c r="K148" s="1">
        <v>9005.0430614720299</v>
      </c>
      <c r="L148" s="1">
        <v>4.6429387983550402E-3</v>
      </c>
      <c r="M148" s="1">
        <v>147</v>
      </c>
      <c r="N148" s="1">
        <v>2997.2683000000002</v>
      </c>
      <c r="O148" s="3">
        <v>2.8502295699234199E-6</v>
      </c>
      <c r="P148" s="3">
        <v>5.98473400508856E-3</v>
      </c>
      <c r="Q148" s="3">
        <v>1.905E-3</v>
      </c>
      <c r="R148" s="1">
        <v>0.15240000000000001</v>
      </c>
      <c r="S148" s="4">
        <v>5683082.91015625</v>
      </c>
      <c r="T148" s="1">
        <v>505.31581815094103</v>
      </c>
      <c r="U148" s="5">
        <v>572.69450704493102</v>
      </c>
      <c r="V148" s="1">
        <v>0.03</v>
      </c>
      <c r="W148" s="3">
        <v>83720.732847342297</v>
      </c>
      <c r="X148" s="1">
        <v>2.9536526159325501E-2</v>
      </c>
      <c r="Y148" s="1">
        <v>5.8186239746990402</v>
      </c>
      <c r="Z148" s="1">
        <v>5.8186239892910896</v>
      </c>
      <c r="AA148" s="1">
        <v>-1.45920484584394E-8</v>
      </c>
      <c r="AB148" s="1">
        <v>9.9778822390283107E-6</v>
      </c>
      <c r="AC148" s="1">
        <v>720.03368752092103</v>
      </c>
      <c r="AD148" s="1">
        <v>2543.53512873828</v>
      </c>
      <c r="AE148" s="1">
        <v>572.69450704493102</v>
      </c>
      <c r="AF148" s="6">
        <v>0</v>
      </c>
      <c r="AG148" s="1">
        <v>1.00680732466582E-5</v>
      </c>
      <c r="AH148" s="1">
        <v>55.838768433577201</v>
      </c>
      <c r="AI148" s="1">
        <v>0.30660236189664097</v>
      </c>
      <c r="AJ148" s="1">
        <v>26.8855621853914</v>
      </c>
      <c r="AK148" s="1">
        <v>6.3709930667380004</v>
      </c>
      <c r="AL148" s="1">
        <v>1.30194062706561</v>
      </c>
      <c r="AM148" s="1">
        <v>617.97483343323199</v>
      </c>
      <c r="AN148" s="1">
        <v>1.7889760783873501E-9</v>
      </c>
      <c r="AO148" s="1">
        <v>9.0191007629916898E-8</v>
      </c>
      <c r="AP148" s="1">
        <v>3.3306694156178902</v>
      </c>
      <c r="AQ148" s="1">
        <v>3.0152261073222901E-5</v>
      </c>
      <c r="AR148" s="1">
        <v>5.0791321271440697E-6</v>
      </c>
      <c r="AS148" s="1">
        <v>13.5632031379466</v>
      </c>
      <c r="AT148" s="1">
        <v>9.9868023711468492</v>
      </c>
      <c r="AU148" s="1">
        <v>3.0619771947886001</v>
      </c>
      <c r="AV148" s="1">
        <v>0.26869222082928901</v>
      </c>
      <c r="AW148" s="1">
        <v>6.77713900389051E-3</v>
      </c>
      <c r="AX148" s="1">
        <v>0.26869221410698602</v>
      </c>
      <c r="AY148" s="1">
        <v>6.7223030475460599E-9</v>
      </c>
      <c r="AZ148" s="1">
        <v>964852.16359160398</v>
      </c>
      <c r="BA148" s="1">
        <v>9.0529131867111896E-6</v>
      </c>
      <c r="BB148" s="4">
        <v>5709794.7526175203</v>
      </c>
      <c r="BC148" s="4">
        <v>26711.8424612749</v>
      </c>
      <c r="BD148" s="7">
        <v>0.47002380369179803</v>
      </c>
      <c r="BE148" s="4">
        <v>5520532.5</v>
      </c>
      <c r="BF148" s="1">
        <v>1.0342833327432699</v>
      </c>
      <c r="BG148" s="1">
        <v>1</v>
      </c>
      <c r="BH148" s="1">
        <v>-3.9E-2</v>
      </c>
      <c r="BI148" s="1">
        <v>4.5999999999999999E-2</v>
      </c>
      <c r="BJ148" s="1">
        <v>5625</v>
      </c>
      <c r="BK148" s="1">
        <v>1.01799499018541</v>
      </c>
      <c r="BL148" s="1">
        <v>112.659015284079</v>
      </c>
      <c r="BM148" s="1">
        <v>5.7097947526175199</v>
      </c>
      <c r="BN148" s="1">
        <v>112.659015284079</v>
      </c>
      <c r="BO148" s="1">
        <v>1.01799499018541</v>
      </c>
      <c r="BP148" s="1">
        <v>5279.3325020520997</v>
      </c>
      <c r="BQ148" s="1">
        <v>1</v>
      </c>
      <c r="BR148" s="1">
        <v>0.15240000000000001</v>
      </c>
    </row>
    <row r="149" spans="1:70">
      <c r="A149" s="2" t="s">
        <v>217</v>
      </c>
      <c r="B149" s="1">
        <v>15513203.909628799</v>
      </c>
      <c r="C149" s="1">
        <v>617.97483343502097</v>
      </c>
      <c r="D149" s="1">
        <v>102.22394330033001</v>
      </c>
      <c r="E149" s="1">
        <v>593.997803214295</v>
      </c>
      <c r="F149" s="1">
        <v>2595333.5493798102</v>
      </c>
      <c r="G149" s="1">
        <v>1630481.38578821</v>
      </c>
      <c r="H149" s="1">
        <v>2.3048203873610299E-5</v>
      </c>
      <c r="I149" s="1">
        <v>6.8200503236293095E-5</v>
      </c>
      <c r="J149" s="1">
        <v>0.471717723289031</v>
      </c>
      <c r="K149" s="1">
        <v>9005.0430614720299</v>
      </c>
      <c r="L149" s="1">
        <v>4.6429387983550402E-3</v>
      </c>
      <c r="M149" s="1">
        <v>148</v>
      </c>
      <c r="N149" s="1">
        <v>3024.3928999999998</v>
      </c>
      <c r="O149" s="3">
        <v>2.8502295699234199E-6</v>
      </c>
      <c r="P149" s="3">
        <v>5.98473400508856E-3</v>
      </c>
      <c r="Q149" s="3">
        <v>1.905E-3</v>
      </c>
      <c r="R149" s="1">
        <v>0.15240000000000001</v>
      </c>
      <c r="S149" s="4">
        <v>6946526.85546875</v>
      </c>
      <c r="T149" s="1">
        <v>464.11830000844998</v>
      </c>
      <c r="U149" s="5">
        <v>545.73775558565001</v>
      </c>
      <c r="V149" s="1">
        <v>0.03</v>
      </c>
      <c r="W149" s="3">
        <v>84478.386538268504</v>
      </c>
      <c r="X149" s="1">
        <v>2.94213008732391E-2</v>
      </c>
      <c r="Y149" s="1">
        <v>5.8300068407870196</v>
      </c>
      <c r="Z149" s="1">
        <v>5.8300068521006301</v>
      </c>
      <c r="AA149" s="1">
        <v>-1.1313605163820699E-8</v>
      </c>
      <c r="AB149" s="1">
        <v>9.8380888363249604E-6</v>
      </c>
      <c r="AC149" s="1">
        <v>749.73551125686902</v>
      </c>
      <c r="AD149" s="1">
        <v>2561.5424482436802</v>
      </c>
      <c r="AE149" s="1">
        <v>545.73775558565001</v>
      </c>
      <c r="AF149" s="6">
        <v>0</v>
      </c>
      <c r="AG149" s="1">
        <v>9.9462832464340904E-6</v>
      </c>
      <c r="AH149" s="1">
        <v>56.632204188423501</v>
      </c>
      <c r="AI149" s="1">
        <v>0.30877299702151201</v>
      </c>
      <c r="AJ149" s="1">
        <v>26.748374528079701</v>
      </c>
      <c r="AK149" s="1">
        <v>8.2388702631918704</v>
      </c>
      <c r="AL149" s="1">
        <v>1.30194062706561</v>
      </c>
      <c r="AM149" s="1">
        <v>617.97483343599697</v>
      </c>
      <c r="AN149" s="1">
        <v>-9.765699360286819E-10</v>
      </c>
      <c r="AO149" s="1">
        <v>1.08194410109127E-7</v>
      </c>
      <c r="AP149" s="1">
        <v>3.3478939492751998</v>
      </c>
      <c r="AQ149" s="1">
        <v>2.9842799290389798E-5</v>
      </c>
      <c r="AR149" s="1">
        <v>5.0272388282716102E-6</v>
      </c>
      <c r="AS149" s="1">
        <v>13.5196699801329</v>
      </c>
      <c r="AT149" s="1">
        <v>9.9707283028170401</v>
      </c>
      <c r="AU149" s="1">
        <v>3.0786916605480399</v>
      </c>
      <c r="AV149" s="1">
        <v>0.26920228872716301</v>
      </c>
      <c r="AW149" s="1">
        <v>6.6821890636876002E-3</v>
      </c>
      <c r="AX149" s="1">
        <v>0.269202281216679</v>
      </c>
      <c r="AY149" s="1">
        <v>7.5104840679962592E-9</v>
      </c>
      <c r="AZ149" s="1">
        <v>964852.16359160398</v>
      </c>
      <c r="BA149" s="1">
        <v>8.9139022151076896E-6</v>
      </c>
      <c r="BB149" s="4">
        <v>6956368.3696460398</v>
      </c>
      <c r="BC149" s="4">
        <v>9841.5141772860698</v>
      </c>
      <c r="BD149" s="7">
        <v>0.14167532037306099</v>
      </c>
      <c r="BE149" s="4">
        <v>6561547.2000000002</v>
      </c>
      <c r="BF149" s="1">
        <v>1.06017196213205</v>
      </c>
      <c r="BG149" s="1">
        <v>1</v>
      </c>
      <c r="BH149" s="1">
        <v>-0.122</v>
      </c>
      <c r="BI149" s="1">
        <v>4.5999999999999999E-2</v>
      </c>
      <c r="BJ149" s="1">
        <v>5625</v>
      </c>
      <c r="BK149" s="1">
        <v>1.0045907936416001</v>
      </c>
      <c r="BL149" s="1">
        <v>153.85653342657099</v>
      </c>
      <c r="BM149" s="1">
        <v>6.9563683696460403</v>
      </c>
      <c r="BN149" s="1">
        <v>153.85653342657099</v>
      </c>
      <c r="BO149" s="1">
        <v>1.0045907936416001</v>
      </c>
      <c r="BP149" s="1">
        <v>12963.3102039158</v>
      </c>
      <c r="BQ149" s="1">
        <v>1</v>
      </c>
      <c r="BR149" s="1">
        <v>0.15240000000000001</v>
      </c>
    </row>
    <row r="150" spans="1:70">
      <c r="A150" s="2" t="s">
        <v>218</v>
      </c>
      <c r="B150" s="1">
        <v>15513203.909628799</v>
      </c>
      <c r="C150" s="1">
        <v>617.97483343502097</v>
      </c>
      <c r="D150" s="1">
        <v>102.22394330033001</v>
      </c>
      <c r="E150" s="1">
        <v>593.997803214295</v>
      </c>
      <c r="F150" s="1">
        <v>2595333.5493798102</v>
      </c>
      <c r="G150" s="1">
        <v>1630481.38578821</v>
      </c>
      <c r="H150" s="1">
        <v>2.3048203873610299E-5</v>
      </c>
      <c r="I150" s="1">
        <v>6.8200503236293095E-5</v>
      </c>
      <c r="J150" s="1">
        <v>0.471717723289031</v>
      </c>
      <c r="K150" s="1">
        <v>9005.0430614720299</v>
      </c>
      <c r="L150" s="1">
        <v>4.6429387983550402E-3</v>
      </c>
      <c r="M150" s="1">
        <v>149</v>
      </c>
      <c r="N150" s="1">
        <v>3024.3928999999998</v>
      </c>
      <c r="O150" s="3">
        <v>2.8502295699234199E-6</v>
      </c>
      <c r="P150" s="3">
        <v>5.98473400508856E-3</v>
      </c>
      <c r="Q150" s="3">
        <v>1.905E-3</v>
      </c>
      <c r="R150" s="1">
        <v>0.15240000000000001</v>
      </c>
      <c r="S150" s="4">
        <v>6908508.30078125</v>
      </c>
      <c r="T150" s="1">
        <v>465.232089236273</v>
      </c>
      <c r="U150" s="5">
        <v>546.40483902797905</v>
      </c>
      <c r="V150" s="1">
        <v>0.03</v>
      </c>
      <c r="W150" s="3">
        <v>84478.386538268504</v>
      </c>
      <c r="X150" s="1">
        <v>2.94213008732391E-2</v>
      </c>
      <c r="Y150" s="1">
        <v>5.8300068407870196</v>
      </c>
      <c r="Z150" s="1">
        <v>5.8300068521006301</v>
      </c>
      <c r="AA150" s="1">
        <v>-1.1313605163820699E-8</v>
      </c>
      <c r="AB150" s="1">
        <v>9.8380888363249604E-6</v>
      </c>
      <c r="AC150" s="1">
        <v>748.84348527614895</v>
      </c>
      <c r="AD150" s="1">
        <v>2561.5424482436802</v>
      </c>
      <c r="AE150" s="1">
        <v>546.40483902797905</v>
      </c>
      <c r="AF150" s="6">
        <v>0</v>
      </c>
      <c r="AG150" s="1">
        <v>9.9464410513112305E-6</v>
      </c>
      <c r="AH150" s="1">
        <v>56.632204188423501</v>
      </c>
      <c r="AI150" s="1">
        <v>0.30877299702151201</v>
      </c>
      <c r="AJ150" s="1">
        <v>26.748798910117799</v>
      </c>
      <c r="AK150" s="1">
        <v>8.1830502945749206</v>
      </c>
      <c r="AL150" s="1">
        <v>1.30194062706561</v>
      </c>
      <c r="AM150" s="1">
        <v>617.97483343597901</v>
      </c>
      <c r="AN150" s="1">
        <v>-9.5872110250638798E-10</v>
      </c>
      <c r="AO150" s="1">
        <v>1.0835221498627E-7</v>
      </c>
      <c r="AP150" s="1">
        <v>3.3479388037195101</v>
      </c>
      <c r="AQ150" s="1">
        <v>2.9841999650199099E-5</v>
      </c>
      <c r="AR150" s="1">
        <v>5.0273966331487503E-6</v>
      </c>
      <c r="AS150" s="1">
        <v>13.520094362170999</v>
      </c>
      <c r="AT150" s="1">
        <v>9.9708852502048995</v>
      </c>
      <c r="AU150" s="1">
        <v>3.0787401216633601</v>
      </c>
      <c r="AV150" s="1">
        <v>0.269198682056146</v>
      </c>
      <c r="AW150" s="1">
        <v>6.6821890636876002E-3</v>
      </c>
      <c r="AX150" s="1">
        <v>0.26919867454420399</v>
      </c>
      <c r="AY150" s="1">
        <v>7.5119412912272293E-9</v>
      </c>
      <c r="AZ150" s="1">
        <v>964852.16359160398</v>
      </c>
      <c r="BA150" s="1">
        <v>8.9135439444248798E-6</v>
      </c>
      <c r="BB150" s="4">
        <v>6966794.4588610101</v>
      </c>
      <c r="BC150" s="4">
        <v>58286.158079762899</v>
      </c>
      <c r="BD150" s="7">
        <v>0.84368658966757903</v>
      </c>
      <c r="BE150" s="4">
        <v>6593093.0999999996</v>
      </c>
      <c r="BF150" s="1">
        <v>1.05668073439779</v>
      </c>
      <c r="BG150" s="1">
        <v>1</v>
      </c>
      <c r="BH150" s="1">
        <v>-0.113</v>
      </c>
      <c r="BI150" s="1">
        <v>4.5999999999999999E-2</v>
      </c>
      <c r="BJ150" s="1">
        <v>5625</v>
      </c>
      <c r="BK150" s="1">
        <v>1.00480146535218</v>
      </c>
      <c r="BL150" s="1">
        <v>152.742744198748</v>
      </c>
      <c r="BM150" s="1">
        <v>6.9667944588610098</v>
      </c>
      <c r="BN150" s="1">
        <v>152.742744198748</v>
      </c>
      <c r="BO150" s="1">
        <v>1.00480146535218</v>
      </c>
      <c r="BP150" s="1">
        <v>12710.9263694642</v>
      </c>
      <c r="BQ150" s="1">
        <v>1</v>
      </c>
      <c r="BR150" s="1">
        <v>0.15240000000000001</v>
      </c>
    </row>
    <row r="151" spans="1:70">
      <c r="A151" s="2" t="s">
        <v>219</v>
      </c>
      <c r="B151" s="1">
        <v>15513203.909628799</v>
      </c>
      <c r="C151" s="1">
        <v>617.97483343502097</v>
      </c>
      <c r="D151" s="1">
        <v>102.22394330033001</v>
      </c>
      <c r="E151" s="1">
        <v>593.997803214295</v>
      </c>
      <c r="F151" s="1">
        <v>2595333.5493798102</v>
      </c>
      <c r="G151" s="1">
        <v>1630481.38578821</v>
      </c>
      <c r="H151" s="1">
        <v>2.3048203873610299E-5</v>
      </c>
      <c r="I151" s="1">
        <v>6.8200503236293095E-5</v>
      </c>
      <c r="J151" s="1">
        <v>0.471717723289031</v>
      </c>
      <c r="K151" s="1">
        <v>9005.0430614720299</v>
      </c>
      <c r="L151" s="1">
        <v>4.6429387983550402E-3</v>
      </c>
      <c r="M151" s="1">
        <v>150</v>
      </c>
      <c r="N151" s="1">
        <v>3553.3226</v>
      </c>
      <c r="O151" s="3">
        <v>2.8502295699234199E-6</v>
      </c>
      <c r="P151" s="3">
        <v>5.98473400508856E-3</v>
      </c>
      <c r="Q151" s="3">
        <v>1.905E-3</v>
      </c>
      <c r="R151" s="1">
        <v>0.15240000000000001</v>
      </c>
      <c r="S151" s="4">
        <v>5104583.49609375</v>
      </c>
      <c r="T151" s="1">
        <v>548.629770529251</v>
      </c>
      <c r="U151" s="5">
        <v>599.67907839964596</v>
      </c>
      <c r="V151" s="1">
        <v>0.03</v>
      </c>
      <c r="W151" s="3">
        <v>99252.633511328895</v>
      </c>
      <c r="X151" s="1">
        <v>2.74681994354301E-2</v>
      </c>
      <c r="Y151" s="1">
        <v>6.0337165478324701</v>
      </c>
      <c r="Z151" s="1">
        <v>6.0337165682810801</v>
      </c>
      <c r="AA151" s="1">
        <v>-2.0448607251921701E-8</v>
      </c>
      <c r="AB151" s="1">
        <v>7.6339544209671002E-6</v>
      </c>
      <c r="AC151" s="1">
        <v>686.23477292498603</v>
      </c>
      <c r="AD151" s="1">
        <v>2907.91793292377</v>
      </c>
      <c r="AE151" s="1">
        <v>599.67907839964596</v>
      </c>
      <c r="AF151" s="6">
        <v>0</v>
      </c>
      <c r="AG151" s="1">
        <v>7.7009586794490098E-6</v>
      </c>
      <c r="AH151" s="1">
        <v>72.983492575270404</v>
      </c>
      <c r="AI151" s="1">
        <v>0.35052572947097099</v>
      </c>
      <c r="AJ151" s="1">
        <v>23.510504823805501</v>
      </c>
      <c r="AK151" s="1">
        <v>4.4567348738683696</v>
      </c>
      <c r="AL151" s="1">
        <v>1.30194062706561</v>
      </c>
      <c r="AM151" s="1">
        <v>617.97483340055601</v>
      </c>
      <c r="AN151" s="1">
        <v>3.4464846976334203E-8</v>
      </c>
      <c r="AO151" s="1">
        <v>6.7004258481912995E-8</v>
      </c>
      <c r="AP151" s="1">
        <v>3.5530418664943202</v>
      </c>
      <c r="AQ151" s="1">
        <v>2.64961206767164E-5</v>
      </c>
      <c r="AR151" s="1">
        <v>3.8839814689654597E-6</v>
      </c>
      <c r="AS151" s="1">
        <v>11.857532141468001</v>
      </c>
      <c r="AT151" s="1">
        <v>9.3148164470524897</v>
      </c>
      <c r="AU151" s="1">
        <v>3.26508282999127</v>
      </c>
      <c r="AV151" s="1">
        <v>0.287959036503042</v>
      </c>
      <c r="AW151" s="1">
        <v>5.1851053180295799E-3</v>
      </c>
      <c r="AX151" s="1">
        <v>0.28795902333395801</v>
      </c>
      <c r="AY151" s="1">
        <v>1.31690847116062E-8</v>
      </c>
      <c r="AZ151" s="1">
        <v>964852.16359160398</v>
      </c>
      <c r="BA151" s="1">
        <v>7.45730606964655E-6</v>
      </c>
      <c r="BB151" s="4">
        <v>5149511.7215232598</v>
      </c>
      <c r="BC151" s="4">
        <v>44928.225429507002</v>
      </c>
      <c r="BD151" s="7">
        <v>0.88015457997480095</v>
      </c>
      <c r="BE151" s="4">
        <v>4700339.0999999996</v>
      </c>
      <c r="BF151" s="1">
        <v>1.09556174819882</v>
      </c>
      <c r="BG151" s="1">
        <v>1</v>
      </c>
      <c r="BH151" s="1">
        <v>3.0000000000000001E-3</v>
      </c>
      <c r="BI151" s="1">
        <v>4.5999999999999999E-2</v>
      </c>
      <c r="BJ151" s="1">
        <v>5625</v>
      </c>
      <c r="BK151" s="1">
        <v>1.0394704044126499</v>
      </c>
      <c r="BL151" s="1">
        <v>69.345062905769495</v>
      </c>
      <c r="BM151" s="1">
        <v>5.1495117215232602</v>
      </c>
      <c r="BN151" s="1">
        <v>69.345062905769495</v>
      </c>
      <c r="BO151" s="1">
        <v>1.0394704044126499</v>
      </c>
      <c r="BP151" s="1">
        <v>861.13271694357002</v>
      </c>
      <c r="BQ151" s="1">
        <v>1</v>
      </c>
      <c r="BR151" s="1">
        <v>0.15240000000000001</v>
      </c>
    </row>
    <row r="152" spans="1:70">
      <c r="A152" s="2" t="s">
        <v>220</v>
      </c>
      <c r="B152" s="1">
        <v>15513203.909628799</v>
      </c>
      <c r="C152" s="1">
        <v>617.97483343502097</v>
      </c>
      <c r="D152" s="1">
        <v>102.22394330033001</v>
      </c>
      <c r="E152" s="1">
        <v>593.997803214295</v>
      </c>
      <c r="F152" s="1">
        <v>2595333.5493798102</v>
      </c>
      <c r="G152" s="1">
        <v>1630481.38578821</v>
      </c>
      <c r="H152" s="1">
        <v>2.3048203873610299E-5</v>
      </c>
      <c r="I152" s="1">
        <v>6.8200503236293095E-5</v>
      </c>
      <c r="J152" s="1">
        <v>0.471717723289031</v>
      </c>
      <c r="K152" s="1">
        <v>9005.0430614720299</v>
      </c>
      <c r="L152" s="1">
        <v>4.6429387983550402E-3</v>
      </c>
      <c r="M152" s="1">
        <v>151</v>
      </c>
      <c r="N152" s="1">
        <v>3675.3833</v>
      </c>
      <c r="O152" s="3">
        <v>2.8502295699234199E-6</v>
      </c>
      <c r="P152" s="3">
        <v>5.98473400508856E-3</v>
      </c>
      <c r="Q152" s="3">
        <v>1.905E-3</v>
      </c>
      <c r="R152" s="1">
        <v>0.15240000000000001</v>
      </c>
      <c r="S152" s="4">
        <v>5415797.75390625</v>
      </c>
      <c r="T152" s="1">
        <v>541.45534065612401</v>
      </c>
      <c r="U152" s="5">
        <v>593.81827605125295</v>
      </c>
      <c r="V152" s="1">
        <v>0.03</v>
      </c>
      <c r="W152" s="3">
        <v>102662.075120497</v>
      </c>
      <c r="X152" s="1">
        <v>2.7083591457044299E-2</v>
      </c>
      <c r="Y152" s="1">
        <v>6.0764072462979897</v>
      </c>
      <c r="Z152" s="1">
        <v>6.0764072546537502</v>
      </c>
      <c r="AA152" s="1">
        <v>-8.35576496882595E-9</v>
      </c>
      <c r="AB152" s="1">
        <v>7.23664888240171E-6</v>
      </c>
      <c r="AC152" s="1">
        <v>689.84739510200302</v>
      </c>
      <c r="AD152" s="1">
        <v>2986.67644160177</v>
      </c>
      <c r="AE152" s="1">
        <v>593.81827605125295</v>
      </c>
      <c r="AF152" s="6">
        <v>0</v>
      </c>
      <c r="AG152" s="1">
        <v>7.3038378837902696E-6</v>
      </c>
      <c r="AH152" s="1">
        <v>76.990422619163397</v>
      </c>
      <c r="AI152" s="1">
        <v>0.36001942370279</v>
      </c>
      <c r="AJ152" s="1">
        <v>22.9020478118582</v>
      </c>
      <c r="AK152" s="1">
        <v>4.73527105157482</v>
      </c>
      <c r="AL152" s="1">
        <v>1.30194062706561</v>
      </c>
      <c r="AM152" s="1">
        <v>617.974833419996</v>
      </c>
      <c r="AN152" s="1">
        <v>1.5024284039100199E-8</v>
      </c>
      <c r="AO152" s="1">
        <v>6.7189001388556205E-8</v>
      </c>
      <c r="AP152" s="1">
        <v>3.5991711788816998</v>
      </c>
      <c r="AQ152" s="1">
        <v>2.5821290163292999E-5</v>
      </c>
      <c r="AR152" s="1">
        <v>3.68551344258941E-6</v>
      </c>
      <c r="AS152" s="1">
        <v>11.5563634374682</v>
      </c>
      <c r="AT152" s="1">
        <v>9.1861811610959396</v>
      </c>
      <c r="AU152" s="1">
        <v>3.30720364764719</v>
      </c>
      <c r="AV152" s="1">
        <v>0.29196753123451002</v>
      </c>
      <c r="AW152" s="1">
        <v>4.9152489700220597E-3</v>
      </c>
      <c r="AX152" s="1">
        <v>0.29196752270936799</v>
      </c>
      <c r="AY152" s="1">
        <v>8.5251416481746406E-9</v>
      </c>
      <c r="AZ152" s="1">
        <v>964852.16359160398</v>
      </c>
      <c r="BA152" s="1">
        <v>7.1742323107054704E-6</v>
      </c>
      <c r="BB152" s="4">
        <v>5367454.4140346302</v>
      </c>
      <c r="BC152" s="4">
        <v>-48343.339871618002</v>
      </c>
      <c r="BD152" s="7">
        <v>-0.89263562024171605</v>
      </c>
      <c r="BE152" s="4">
        <v>5078889.9000000004</v>
      </c>
      <c r="BF152" s="1">
        <v>1.0568164539331</v>
      </c>
      <c r="BG152" s="1">
        <v>1</v>
      </c>
      <c r="BH152" s="1">
        <v>-1.4E-2</v>
      </c>
      <c r="BI152" s="1">
        <v>4.5999999999999999E-2</v>
      </c>
      <c r="BJ152" s="1">
        <v>5625</v>
      </c>
      <c r="BK152" s="1">
        <v>1.0362900613416499</v>
      </c>
      <c r="BL152" s="1">
        <v>76.519492778896506</v>
      </c>
      <c r="BM152" s="1">
        <v>5.3674544140346301</v>
      </c>
      <c r="BN152" s="1">
        <v>76.519492778896506</v>
      </c>
      <c r="BO152" s="1">
        <v>1.0362900613416499</v>
      </c>
      <c r="BP152" s="1">
        <v>1333.6733528278701</v>
      </c>
      <c r="BQ152" s="1">
        <v>1</v>
      </c>
      <c r="BR152" s="1">
        <v>0.15240000000000001</v>
      </c>
    </row>
    <row r="153" spans="1:70">
      <c r="A153" s="2" t="s">
        <v>221</v>
      </c>
      <c r="B153" s="1">
        <v>15513203.909628799</v>
      </c>
      <c r="C153" s="1">
        <v>617.97483343502097</v>
      </c>
      <c r="D153" s="1">
        <v>102.22394330033001</v>
      </c>
      <c r="E153" s="1">
        <v>593.997803214295</v>
      </c>
      <c r="F153" s="1">
        <v>2595333.5493798102</v>
      </c>
      <c r="G153" s="1">
        <v>1630481.38578821</v>
      </c>
      <c r="H153" s="1">
        <v>2.3048203873610299E-5</v>
      </c>
      <c r="I153" s="1">
        <v>6.8200503236293095E-5</v>
      </c>
      <c r="J153" s="1">
        <v>0.471717723289031</v>
      </c>
      <c r="K153" s="1">
        <v>9005.0430614720299</v>
      </c>
      <c r="L153" s="1">
        <v>4.6429387983550402E-3</v>
      </c>
      <c r="M153" s="1">
        <v>152</v>
      </c>
      <c r="N153" s="1">
        <v>3743.1948000000002</v>
      </c>
      <c r="O153" s="3">
        <v>2.8502295699234199E-6</v>
      </c>
      <c r="P153" s="3">
        <v>5.98473400508856E-3</v>
      </c>
      <c r="Q153" s="3">
        <v>1.905E-3</v>
      </c>
      <c r="R153" s="1">
        <v>0.15240000000000001</v>
      </c>
      <c r="S153" s="4">
        <v>5598729.98046875</v>
      </c>
      <c r="T153" s="1">
        <v>536.98317199257201</v>
      </c>
      <c r="U153" s="5">
        <v>590.13415218717705</v>
      </c>
      <c r="V153" s="1">
        <v>0.03</v>
      </c>
      <c r="W153" s="3">
        <v>104556.20934781199</v>
      </c>
      <c r="X153" s="1">
        <v>2.6878779410128499E-2</v>
      </c>
      <c r="Y153" s="1">
        <v>6.0995139434554897</v>
      </c>
      <c r="Z153" s="1">
        <v>6.0995139494937103</v>
      </c>
      <c r="AA153" s="1">
        <v>-6.0382214783771798E-9</v>
      </c>
      <c r="AB153" s="1">
        <v>7.0299887495018698E-6</v>
      </c>
      <c r="AC153" s="1">
        <v>692.00159872714801</v>
      </c>
      <c r="AD153" s="1">
        <v>3030.2580390165499</v>
      </c>
      <c r="AE153" s="1">
        <v>590.13415313858502</v>
      </c>
      <c r="AF153" s="6">
        <v>9.5140796929627001E-7</v>
      </c>
      <c r="AG153" s="1">
        <v>7.0989086541482301E-6</v>
      </c>
      <c r="AH153" s="1">
        <v>79.253705184390796</v>
      </c>
      <c r="AI153" s="1">
        <v>0.36527282891494101</v>
      </c>
      <c r="AJ153" s="1">
        <v>22.584278233571499</v>
      </c>
      <c r="AK153" s="1">
        <v>4.9009692430037299</v>
      </c>
      <c r="AL153" s="1">
        <v>1.30194062706561</v>
      </c>
      <c r="AM153" s="1">
        <v>617.97483337405595</v>
      </c>
      <c r="AN153" s="1">
        <v>6.0964339354541206E-8</v>
      </c>
      <c r="AO153" s="1">
        <v>6.8919904646366296E-8</v>
      </c>
      <c r="AP153" s="1">
        <v>3.62498398168497</v>
      </c>
      <c r="AQ153" s="1">
        <v>2.5454862727714301E-5</v>
      </c>
      <c r="AR153" s="1">
        <v>3.5839142793972999E-6</v>
      </c>
      <c r="AS153" s="1">
        <v>11.4017690879684</v>
      </c>
      <c r="AT153" s="1">
        <v>9.1188426325795593</v>
      </c>
      <c r="AU153" s="1">
        <v>3.3308654448324999</v>
      </c>
      <c r="AV153" s="1">
        <v>0.29411853685246703</v>
      </c>
      <c r="AW153" s="1">
        <v>4.7748820651345204E-3</v>
      </c>
      <c r="AX153" s="1">
        <v>0.29411853313542102</v>
      </c>
      <c r="AY153" s="1">
        <v>3.7170469480152202E-9</v>
      </c>
      <c r="AZ153" s="1">
        <v>964852.16359160398</v>
      </c>
      <c r="BA153" s="1">
        <v>7.0220621267083102E-6</v>
      </c>
      <c r="BB153" s="4">
        <v>5625039.9895828199</v>
      </c>
      <c r="BC153" s="4">
        <v>26310.009114071701</v>
      </c>
      <c r="BD153" s="7">
        <v>0.46992816595646802</v>
      </c>
      <c r="BE153" s="4">
        <v>5552078.4000000004</v>
      </c>
      <c r="BF153" s="1">
        <v>1.0131413111138401</v>
      </c>
      <c r="BG153" s="1">
        <v>1</v>
      </c>
      <c r="BH153" s="1">
        <v>-3.0000000000000001E-3</v>
      </c>
      <c r="BI153" s="1">
        <v>4.5999999999999999E-2</v>
      </c>
      <c r="BJ153" s="1">
        <v>5625</v>
      </c>
      <c r="BK153" s="1">
        <v>1.0341211865333599</v>
      </c>
      <c r="BL153" s="1">
        <v>80.991661442448503</v>
      </c>
      <c r="BM153" s="1">
        <v>5.6250399895828203</v>
      </c>
      <c r="BN153" s="1">
        <v>80.991661442448503</v>
      </c>
      <c r="BO153" s="1">
        <v>1.0341211865333599</v>
      </c>
      <c r="BP153" s="1">
        <v>1680.31630781232</v>
      </c>
      <c r="BQ153" s="1">
        <v>1</v>
      </c>
      <c r="BR153" s="1">
        <v>0.15240000000000001</v>
      </c>
    </row>
    <row r="154" spans="1:70">
      <c r="A154" s="2" t="s">
        <v>222</v>
      </c>
      <c r="B154" s="1">
        <v>15513203.909628799</v>
      </c>
      <c r="C154" s="1">
        <v>617.97483343502097</v>
      </c>
      <c r="D154" s="1">
        <v>102.22394330033001</v>
      </c>
      <c r="E154" s="1">
        <v>593.997803214295</v>
      </c>
      <c r="F154" s="1">
        <v>2595333.5493798102</v>
      </c>
      <c r="G154" s="1">
        <v>1630481.38578821</v>
      </c>
      <c r="H154" s="1">
        <v>2.3048203873610299E-5</v>
      </c>
      <c r="I154" s="1">
        <v>6.8200503236293095E-5</v>
      </c>
      <c r="J154" s="1">
        <v>0.471717723289031</v>
      </c>
      <c r="K154" s="1">
        <v>9005.0430614720299</v>
      </c>
      <c r="L154" s="1">
        <v>4.6429387983550402E-3</v>
      </c>
      <c r="M154" s="1">
        <v>153</v>
      </c>
      <c r="N154" s="1">
        <v>3811.0063</v>
      </c>
      <c r="O154" s="3">
        <v>2.8502295699234199E-6</v>
      </c>
      <c r="P154" s="3">
        <v>5.98473400508856E-3</v>
      </c>
      <c r="Q154" s="3">
        <v>1.905E-3</v>
      </c>
      <c r="R154" s="1">
        <v>0.15240000000000001</v>
      </c>
      <c r="S154" s="4">
        <v>5531158.69140625</v>
      </c>
      <c r="T154" s="1">
        <v>541.45534065612401</v>
      </c>
      <c r="U154" s="5">
        <v>593.030506889751</v>
      </c>
      <c r="V154" s="1">
        <v>0.03</v>
      </c>
      <c r="W154" s="3">
        <v>106450.343575128</v>
      </c>
      <c r="X154" s="1">
        <v>2.66799122456483E-2</v>
      </c>
      <c r="Y154" s="1">
        <v>6.1222040681412597</v>
      </c>
      <c r="Z154" s="1">
        <v>6.1222040707463101</v>
      </c>
      <c r="AA154" s="1">
        <v>-2.6050521739762202E-9</v>
      </c>
      <c r="AB154" s="1">
        <v>6.8325890505261298E-6</v>
      </c>
      <c r="AC154" s="1">
        <v>688.70923675233598</v>
      </c>
      <c r="AD154" s="1">
        <v>3073.7198141315598</v>
      </c>
      <c r="AE154" s="1">
        <v>593.03050780903504</v>
      </c>
      <c r="AF154" s="6">
        <v>9.1928495749016303E-7</v>
      </c>
      <c r="AG154" s="1">
        <v>6.8987392644898796E-6</v>
      </c>
      <c r="AH154" s="1">
        <v>81.543416658389901</v>
      </c>
      <c r="AI154" s="1">
        <v>0.370511790528611</v>
      </c>
      <c r="AJ154" s="1">
        <v>22.2622483672335</v>
      </c>
      <c r="AK154" s="1">
        <v>4.7065930631784596</v>
      </c>
      <c r="AL154" s="1">
        <v>1.30194062706561</v>
      </c>
      <c r="AM154" s="1">
        <v>617.97483341851796</v>
      </c>
      <c r="AN154" s="1">
        <v>1.65020992426435E-8</v>
      </c>
      <c r="AO154" s="1">
        <v>6.6150213963749004E-8</v>
      </c>
      <c r="AP154" s="1">
        <v>3.6482476613784698</v>
      </c>
      <c r="AQ154" s="1">
        <v>2.5131263137505699E-5</v>
      </c>
      <c r="AR154" s="1">
        <v>3.4824447392268101E-6</v>
      </c>
      <c r="AS154" s="1">
        <v>11.237857634204399</v>
      </c>
      <c r="AT154" s="1">
        <v>9.0464411217978693</v>
      </c>
      <c r="AU154" s="1">
        <v>3.35181309794898</v>
      </c>
      <c r="AV154" s="1">
        <v>0.29643456342948299</v>
      </c>
      <c r="AW154" s="1">
        <v>4.6408049967510204E-3</v>
      </c>
      <c r="AX154" s="1">
        <v>0.296434560234414</v>
      </c>
      <c r="AY154" s="1">
        <v>3.1950687096049502E-9</v>
      </c>
      <c r="AZ154" s="1">
        <v>964852.16359160398</v>
      </c>
      <c r="BA154" s="1">
        <v>6.8885847316653996E-6</v>
      </c>
      <c r="BB154" s="4">
        <v>5503600.0053947698</v>
      </c>
      <c r="BC154" s="4">
        <v>-27558.6860114792</v>
      </c>
      <c r="BD154" s="7">
        <v>-0.49824435618340002</v>
      </c>
      <c r="BE154" s="4">
        <v>5236619.4000000004</v>
      </c>
      <c r="BF154" s="1">
        <v>1.05098338928255</v>
      </c>
      <c r="BG154" s="1">
        <v>1</v>
      </c>
      <c r="BH154" s="1">
        <v>-1.7000000000000001E-2</v>
      </c>
      <c r="BI154" s="1">
        <v>4.5999999999999999E-2</v>
      </c>
      <c r="BJ154" s="1">
        <v>5625</v>
      </c>
      <c r="BK154" s="1">
        <v>1.0362900613416499</v>
      </c>
      <c r="BL154" s="1">
        <v>76.519492778896506</v>
      </c>
      <c r="BM154" s="1">
        <v>5.5036000053947696</v>
      </c>
      <c r="BN154" s="1">
        <v>76.519492778896506</v>
      </c>
      <c r="BO154" s="1">
        <v>1.0362900613416499</v>
      </c>
      <c r="BP154" s="1">
        <v>1333.6733528278701</v>
      </c>
      <c r="BQ154" s="1">
        <v>1</v>
      </c>
      <c r="BR154" s="1">
        <v>0.15240000000000001</v>
      </c>
    </row>
    <row r="155" spans="1:70">
      <c r="A155" s="2" t="s">
        <v>223</v>
      </c>
      <c r="B155" s="1">
        <v>15513203.909628799</v>
      </c>
      <c r="C155" s="1">
        <v>617.97483343502097</v>
      </c>
      <c r="D155" s="1">
        <v>102.22394330033001</v>
      </c>
      <c r="E155" s="1">
        <v>593.997803214295</v>
      </c>
      <c r="F155" s="1">
        <v>2595333.5493798102</v>
      </c>
      <c r="G155" s="1">
        <v>1630481.38578821</v>
      </c>
      <c r="H155" s="1">
        <v>2.3048203873610299E-5</v>
      </c>
      <c r="I155" s="1">
        <v>6.8200503236293095E-5</v>
      </c>
      <c r="J155" s="1">
        <v>0.471717723289031</v>
      </c>
      <c r="K155" s="1">
        <v>9005.0430614720299</v>
      </c>
      <c r="L155" s="1">
        <v>4.6429387983550402E-3</v>
      </c>
      <c r="M155" s="1">
        <v>154</v>
      </c>
      <c r="N155" s="1">
        <v>2102.1565000000001</v>
      </c>
      <c r="O155" s="3">
        <v>2.8502295699234199E-6</v>
      </c>
      <c r="P155" s="3">
        <v>5.98473400508856E-3</v>
      </c>
      <c r="Q155" s="3">
        <v>1.905E-3</v>
      </c>
      <c r="R155" s="1">
        <v>0.69596000000000002</v>
      </c>
      <c r="S155" s="4">
        <v>3550235.95703125</v>
      </c>
      <c r="T155" s="1">
        <v>299.28719429629098</v>
      </c>
      <c r="U155" s="5">
        <v>573.35351538122904</v>
      </c>
      <c r="V155" s="1">
        <v>0.03</v>
      </c>
      <c r="W155" s="3">
        <v>58718.161046778601</v>
      </c>
      <c r="X155" s="1">
        <v>3.4659226492567398E-2</v>
      </c>
      <c r="Y155" s="1">
        <v>5.3714379963301004</v>
      </c>
      <c r="Z155" s="1">
        <v>5.3714380084148798</v>
      </c>
      <c r="AA155" s="1">
        <v>-1.2084776734866399E-8</v>
      </c>
      <c r="AB155" s="1">
        <v>1.7286221546981498E-5</v>
      </c>
      <c r="AC155" s="1">
        <v>719.48435328963001</v>
      </c>
      <c r="AD155" s="1">
        <v>1932.4438764511699</v>
      </c>
      <c r="AE155" s="1">
        <v>573.35351657607202</v>
      </c>
      <c r="AF155" s="6">
        <v>1.1948433211728101E-6</v>
      </c>
      <c r="AG155" s="1">
        <v>1.73733421145223E-5</v>
      </c>
      <c r="AH155" s="1">
        <v>32.231025981492998</v>
      </c>
      <c r="AI155" s="1">
        <v>0.23294030817908701</v>
      </c>
      <c r="AJ155" s="1">
        <v>35.247253105196599</v>
      </c>
      <c r="AK155" s="1">
        <v>5.9733765215393202</v>
      </c>
      <c r="AL155" s="1">
        <v>1.30194062706561</v>
      </c>
      <c r="AM155" s="1">
        <v>617.97483342566898</v>
      </c>
      <c r="AN155" s="1">
        <v>9.3518792709801296E-9</v>
      </c>
      <c r="AO155" s="1">
        <v>8.7120567540825594E-8</v>
      </c>
      <c r="AP155" s="1">
        <v>2.8737614481915799</v>
      </c>
      <c r="AQ155" s="1">
        <v>4.0502470485775298E-5</v>
      </c>
      <c r="AR155" s="1">
        <v>8.7302313410315697E-6</v>
      </c>
      <c r="AS155" s="1">
        <v>17.712002199452499</v>
      </c>
      <c r="AT155" s="1">
        <v>11.3212125007247</v>
      </c>
      <c r="AU155" s="1">
        <v>2.6371667288797398</v>
      </c>
      <c r="AV155" s="1">
        <v>0.23659471931184101</v>
      </c>
      <c r="AW155" s="1">
        <v>1.17410812705031E-2</v>
      </c>
      <c r="AX155" s="1">
        <v>0.23659471889966899</v>
      </c>
      <c r="AY155" s="1">
        <v>4.1217126933723602E-10</v>
      </c>
      <c r="AZ155" s="1">
        <v>964852.16359160398</v>
      </c>
      <c r="BA155" s="1">
        <v>1.4093887476729499E-5</v>
      </c>
      <c r="BB155" s="4">
        <v>3542709.2394873602</v>
      </c>
      <c r="BC155" s="4">
        <v>-7526.7175438897702</v>
      </c>
      <c r="BD155" s="7">
        <v>-0.212006121141979</v>
      </c>
      <c r="BE155" s="4">
        <v>2082029.4</v>
      </c>
      <c r="BF155" s="1">
        <v>1.70156542433424</v>
      </c>
      <c r="BG155" s="1">
        <v>1</v>
      </c>
      <c r="BH155" s="1">
        <v>-6.0999999999999999E-2</v>
      </c>
      <c r="BI155" s="1">
        <v>4.5999999999999999E-2</v>
      </c>
      <c r="BJ155" s="1">
        <v>5625</v>
      </c>
      <c r="BK155" s="1">
        <v>1.00000004637316</v>
      </c>
      <c r="BL155" s="1">
        <v>318.68763913872999</v>
      </c>
      <c r="BM155" s="1">
        <v>3.5427092394873601</v>
      </c>
      <c r="BN155" s="1">
        <v>318.68763913872999</v>
      </c>
      <c r="BO155" s="1">
        <v>1.00000004637316</v>
      </c>
      <c r="BP155" s="1">
        <v>77666.800208718705</v>
      </c>
      <c r="BQ155" s="1">
        <v>1</v>
      </c>
      <c r="BR155" s="1">
        <v>0.69596000000000002</v>
      </c>
    </row>
    <row r="156" spans="1:70">
      <c r="A156" s="2" t="s">
        <v>224</v>
      </c>
      <c r="B156" s="1">
        <v>15513203.909628799</v>
      </c>
      <c r="C156" s="1">
        <v>617.97483343502097</v>
      </c>
      <c r="D156" s="1">
        <v>102.22394330033001</v>
      </c>
      <c r="E156" s="1">
        <v>593.997803214295</v>
      </c>
      <c r="F156" s="1">
        <v>2595333.5493798102</v>
      </c>
      <c r="G156" s="1">
        <v>1630481.38578821</v>
      </c>
      <c r="H156" s="1">
        <v>2.3048203873610299E-5</v>
      </c>
      <c r="I156" s="1">
        <v>6.8200503236293095E-5</v>
      </c>
      <c r="J156" s="1">
        <v>0.471717723289031</v>
      </c>
      <c r="K156" s="1">
        <v>9005.0430614720299</v>
      </c>
      <c r="L156" s="1">
        <v>4.6429387983550402E-3</v>
      </c>
      <c r="M156" s="1">
        <v>155</v>
      </c>
      <c r="N156" s="1">
        <v>2197.0925999999999</v>
      </c>
      <c r="O156" s="3">
        <v>2.8502295699234199E-6</v>
      </c>
      <c r="P156" s="3">
        <v>5.98473400508856E-3</v>
      </c>
      <c r="Q156" s="3">
        <v>1.905E-3</v>
      </c>
      <c r="R156" s="1">
        <v>0.69596000000000002</v>
      </c>
      <c r="S156" s="4">
        <v>3712322.0219312501</v>
      </c>
      <c r="T156" s="1">
        <v>297.60162944706502</v>
      </c>
      <c r="U156" s="5">
        <v>571.79741615633895</v>
      </c>
      <c r="V156" s="1">
        <v>0.03</v>
      </c>
      <c r="W156" s="3">
        <v>61369.948965020201</v>
      </c>
      <c r="X156" s="1">
        <v>3.3953568446514801E-2</v>
      </c>
      <c r="Y156" s="1">
        <v>5.4269683375017603</v>
      </c>
      <c r="Z156" s="1">
        <v>5.4269683533117297</v>
      </c>
      <c r="AA156" s="1">
        <v>-1.5809962228274799E-8</v>
      </c>
      <c r="AB156" s="1">
        <v>1.6153509213843E-5</v>
      </c>
      <c r="AC156" s="1">
        <v>720.17890535153197</v>
      </c>
      <c r="AD156" s="1">
        <v>1999.04921014402</v>
      </c>
      <c r="AE156" s="1">
        <v>571.79741615633804</v>
      </c>
      <c r="AF156" s="6">
        <v>0</v>
      </c>
      <c r="AG156" s="1">
        <v>1.6239755907755699E-5</v>
      </c>
      <c r="AH156" s="1">
        <v>34.491121924463599</v>
      </c>
      <c r="AI156" s="1">
        <v>0.24096903654002499</v>
      </c>
      <c r="AJ156" s="1">
        <v>34.083014404546702</v>
      </c>
      <c r="AK156" s="1">
        <v>6.0441136806122602</v>
      </c>
      <c r="AL156" s="1">
        <v>1.30194062706561</v>
      </c>
      <c r="AM156" s="1">
        <v>617.97483341705299</v>
      </c>
      <c r="AN156" s="1">
        <v>1.79675225808751E-8</v>
      </c>
      <c r="AO156" s="1">
        <v>8.6246693912692403E-8</v>
      </c>
      <c r="AP156" s="1">
        <v>2.9281511058689902</v>
      </c>
      <c r="AQ156" s="1">
        <v>3.9011798638633602E-5</v>
      </c>
      <c r="AR156" s="1">
        <v>8.1630013008341806E-6</v>
      </c>
      <c r="AS156" s="1">
        <v>17.132011866495699</v>
      </c>
      <c r="AT156" s="1">
        <v>11.1547437620191</v>
      </c>
      <c r="AU156" s="1">
        <v>2.6879478571845898</v>
      </c>
      <c r="AV156" s="1">
        <v>0.24020324868440099</v>
      </c>
      <c r="AW156" s="1">
        <v>1.09717247327927E-2</v>
      </c>
      <c r="AX156" s="1">
        <v>0.240203245884724</v>
      </c>
      <c r="AY156" s="1">
        <v>2.79967651839463E-9</v>
      </c>
      <c r="AZ156" s="1">
        <v>964852.16359160398</v>
      </c>
      <c r="BA156" s="1">
        <v>1.3323014157446001E-5</v>
      </c>
      <c r="BB156" s="4">
        <v>3710099.7033315999</v>
      </c>
      <c r="BC156" s="4">
        <v>-2222.3185996483098</v>
      </c>
      <c r="BD156" s="7">
        <v>-5.9863303520533401E-2</v>
      </c>
      <c r="BE156" s="4">
        <v>2145121.2000000002</v>
      </c>
      <c r="BF156" s="1">
        <v>1.7295524855805799</v>
      </c>
      <c r="BG156" s="1">
        <v>1</v>
      </c>
      <c r="BH156" s="1">
        <v>-0.09</v>
      </c>
      <c r="BI156" s="1">
        <v>4.5999999999999999E-2</v>
      </c>
      <c r="BJ156" s="1">
        <v>5625</v>
      </c>
      <c r="BK156" s="1">
        <v>1.0000000392203201</v>
      </c>
      <c r="BL156" s="1">
        <v>320.37320398795498</v>
      </c>
      <c r="BM156" s="1">
        <v>3.7100997033316001</v>
      </c>
      <c r="BN156" s="1">
        <v>320.37320398795498</v>
      </c>
      <c r="BO156" s="1">
        <v>1.0000000392203201</v>
      </c>
      <c r="BP156" s="1">
        <v>78609.133514471701</v>
      </c>
      <c r="BQ156" s="1">
        <v>1</v>
      </c>
      <c r="BR156" s="1">
        <v>0.69596000000000002</v>
      </c>
    </row>
    <row r="157" spans="1:70">
      <c r="A157" s="2" t="s">
        <v>225</v>
      </c>
      <c r="B157" s="1">
        <v>15513203.909628799</v>
      </c>
      <c r="C157" s="1">
        <v>617.97483343502097</v>
      </c>
      <c r="D157" s="1">
        <v>102.22394330033001</v>
      </c>
      <c r="E157" s="1">
        <v>593.997803214295</v>
      </c>
      <c r="F157" s="1">
        <v>2595333.5493798102</v>
      </c>
      <c r="G157" s="1">
        <v>1630481.38578821</v>
      </c>
      <c r="H157" s="1">
        <v>2.3048203873610299E-5</v>
      </c>
      <c r="I157" s="1">
        <v>6.8200503236293095E-5</v>
      </c>
      <c r="J157" s="1">
        <v>0.471717723289031</v>
      </c>
      <c r="K157" s="1">
        <v>9005.0430614720299</v>
      </c>
      <c r="L157" s="1">
        <v>4.6429387983550402E-3</v>
      </c>
      <c r="M157" s="1">
        <v>156</v>
      </c>
      <c r="N157" s="1">
        <v>2454.7763</v>
      </c>
      <c r="O157" s="3">
        <v>2.8502295699234199E-6</v>
      </c>
      <c r="P157" s="3">
        <v>5.98473400508856E-3</v>
      </c>
      <c r="Q157" s="3">
        <v>1.905E-3</v>
      </c>
      <c r="R157" s="1">
        <v>0.69596000000000002</v>
      </c>
      <c r="S157" s="4">
        <v>4097869.2867187499</v>
      </c>
      <c r="T157" s="1">
        <v>297.60162944706502</v>
      </c>
      <c r="U157" s="5">
        <v>568.50204821258103</v>
      </c>
      <c r="V157" s="1">
        <v>0.03</v>
      </c>
      <c r="W157" s="3">
        <v>68567.659028818802</v>
      </c>
      <c r="X157" s="1">
        <v>3.2271405788035702E-2</v>
      </c>
      <c r="Y157" s="1">
        <v>5.5666133634366899</v>
      </c>
      <c r="Z157" s="1">
        <v>5.56661336910736</v>
      </c>
      <c r="AA157" s="1">
        <v>-5.6706737083800404E-9</v>
      </c>
      <c r="AB157" s="1">
        <v>1.3614675770691901E-5</v>
      </c>
      <c r="AC157" s="1">
        <v>720.35470337215395</v>
      </c>
      <c r="AD157" s="1">
        <v>2177.47549110504</v>
      </c>
      <c r="AE157" s="1">
        <v>568.50204941612799</v>
      </c>
      <c r="AF157" s="6">
        <v>1.2035469580951001E-6</v>
      </c>
      <c r="AG157" s="1">
        <v>1.3697660344603799E-5</v>
      </c>
      <c r="AH157" s="1">
        <v>40.9229470599644</v>
      </c>
      <c r="AI157" s="1">
        <v>0.26247686576124701</v>
      </c>
      <c r="AJ157" s="1">
        <v>31.3137214549673</v>
      </c>
      <c r="AK157" s="1">
        <v>6.1313277205046299</v>
      </c>
      <c r="AL157" s="1">
        <v>1.30194062706561</v>
      </c>
      <c r="AM157" s="1">
        <v>617.97483341925499</v>
      </c>
      <c r="AN157" s="1">
        <v>1.5765408534207401E-8</v>
      </c>
      <c r="AO157" s="1">
        <v>8.2984573911951006E-8</v>
      </c>
      <c r="AP157" s="1">
        <v>3.06738855315225</v>
      </c>
      <c r="AQ157" s="1">
        <v>3.55504709106935E-5</v>
      </c>
      <c r="AR157" s="1">
        <v>6.8903224592578997E-6</v>
      </c>
      <c r="AS157" s="1">
        <v>15.751714730545601</v>
      </c>
      <c r="AT157" s="1">
        <v>10.7347461556311</v>
      </c>
      <c r="AU157" s="1">
        <v>2.8176225256726402</v>
      </c>
      <c r="AV157" s="1">
        <v>0.24976602747960799</v>
      </c>
      <c r="AW157" s="1">
        <v>9.2473079938719203E-3</v>
      </c>
      <c r="AX157" s="1">
        <v>0.24976602031811099</v>
      </c>
      <c r="AY157" s="1">
        <v>7.1614968955024899E-9</v>
      </c>
      <c r="AZ157" s="1">
        <v>964852.16359160398</v>
      </c>
      <c r="BA157" s="1">
        <v>1.1589816645223999E-5</v>
      </c>
      <c r="BB157" s="4">
        <v>4103613.1890664501</v>
      </c>
      <c r="BC157" s="4">
        <v>5743.9023476955499</v>
      </c>
      <c r="BD157" s="7">
        <v>0.140168022594367</v>
      </c>
      <c r="BE157" s="4">
        <v>2492126.1</v>
      </c>
      <c r="BF157" s="1">
        <v>1.6466314401452</v>
      </c>
      <c r="BG157" s="1">
        <v>1</v>
      </c>
      <c r="BH157" s="1">
        <v>-3.1E-2</v>
      </c>
      <c r="BI157" s="1">
        <v>4.5999999999999999E-2</v>
      </c>
      <c r="BJ157" s="1">
        <v>5625</v>
      </c>
      <c r="BK157" s="1">
        <v>1.0000000392203201</v>
      </c>
      <c r="BL157" s="1">
        <v>320.37320398795498</v>
      </c>
      <c r="BM157" s="1">
        <v>4.1036131890664498</v>
      </c>
      <c r="BN157" s="1">
        <v>320.37320398795498</v>
      </c>
      <c r="BO157" s="1">
        <v>1.0000000392203201</v>
      </c>
      <c r="BP157" s="1">
        <v>78609.133514471701</v>
      </c>
      <c r="BQ157" s="1">
        <v>1</v>
      </c>
      <c r="BR157" s="1">
        <v>0.69596000000000002</v>
      </c>
    </row>
    <row r="158" spans="1:70">
      <c r="A158" s="2" t="s">
        <v>226</v>
      </c>
      <c r="B158" s="1">
        <v>15513203.909628799</v>
      </c>
      <c r="C158" s="1">
        <v>617.97483343502097</v>
      </c>
      <c r="D158" s="1">
        <v>102.22394330033001</v>
      </c>
      <c r="E158" s="1">
        <v>593.997803214295</v>
      </c>
      <c r="F158" s="1">
        <v>2595333.5493798102</v>
      </c>
      <c r="G158" s="1">
        <v>1630481.38578821</v>
      </c>
      <c r="H158" s="1">
        <v>2.3048203873610299E-5</v>
      </c>
      <c r="I158" s="1">
        <v>6.8200503236293095E-5</v>
      </c>
      <c r="J158" s="1">
        <v>0.471717723289031</v>
      </c>
      <c r="K158" s="1">
        <v>9005.0430614720299</v>
      </c>
      <c r="L158" s="1">
        <v>4.6429387983550402E-3</v>
      </c>
      <c r="M158" s="1">
        <v>157</v>
      </c>
      <c r="N158" s="1">
        <v>2495.4632000000001</v>
      </c>
      <c r="O158" s="3">
        <v>2.8502295699234199E-6</v>
      </c>
      <c r="P158" s="3">
        <v>5.98473400508856E-3</v>
      </c>
      <c r="Q158" s="3">
        <v>1.905E-3</v>
      </c>
      <c r="R158" s="1">
        <v>0.69596000000000002</v>
      </c>
      <c r="S158" s="4">
        <v>4136705.8414062499</v>
      </c>
      <c r="T158" s="1">
        <v>299.28719429629098</v>
      </c>
      <c r="U158" s="5">
        <v>568.296291261031</v>
      </c>
      <c r="V158" s="1">
        <v>0.03</v>
      </c>
      <c r="W158" s="3">
        <v>69704.139565208097</v>
      </c>
      <c r="X158" s="1">
        <v>3.2032461781834103E-2</v>
      </c>
      <c r="Y158" s="1">
        <v>5.5873366792250403</v>
      </c>
      <c r="Z158" s="1">
        <v>5.5873367167956198</v>
      </c>
      <c r="AA158" s="1">
        <v>-3.7570576871814898E-8</v>
      </c>
      <c r="AB158" s="1">
        <v>1.32726112596687E-5</v>
      </c>
      <c r="AC158" s="1">
        <v>719.77883740456105</v>
      </c>
      <c r="AD158" s="1">
        <v>2205.3561738366702</v>
      </c>
      <c r="AE158" s="1">
        <v>568.29629245881904</v>
      </c>
      <c r="AF158" s="6">
        <v>1.19778837870399E-6</v>
      </c>
      <c r="AG158" s="1">
        <v>1.33542175049844E-5</v>
      </c>
      <c r="AH158" s="1">
        <v>41.977621803451598</v>
      </c>
      <c r="AI158" s="1">
        <v>0.26583765409093302</v>
      </c>
      <c r="AJ158" s="1">
        <v>30.919481387270601</v>
      </c>
      <c r="AK158" s="1">
        <v>6.10842758857431</v>
      </c>
      <c r="AL158" s="1">
        <v>1.30194062706561</v>
      </c>
      <c r="AM158" s="1">
        <v>617.97483343217095</v>
      </c>
      <c r="AN158" s="1">
        <v>2.8499016480054698E-9</v>
      </c>
      <c r="AO158" s="1">
        <v>8.1606245315782206E-8</v>
      </c>
      <c r="AP158" s="1">
        <v>3.08818873859778</v>
      </c>
      <c r="AQ158" s="1">
        <v>3.5073190418572899E-5</v>
      </c>
      <c r="AR158" s="1">
        <v>6.71791187515011E-6</v>
      </c>
      <c r="AS158" s="1">
        <v>15.5542135739139</v>
      </c>
      <c r="AT158" s="1">
        <v>10.671657856515999</v>
      </c>
      <c r="AU158" s="1">
        <v>2.8369284898372902</v>
      </c>
      <c r="AV158" s="1">
        <v>0.25126024876049502</v>
      </c>
      <c r="AW158" s="1">
        <v>9.0149722452664005E-3</v>
      </c>
      <c r="AX158" s="1">
        <v>0.25126024327909802</v>
      </c>
      <c r="AY158" s="1">
        <v>5.4813972250045098E-9</v>
      </c>
      <c r="AZ158" s="1">
        <v>964852.16359160398</v>
      </c>
      <c r="BA158" s="1">
        <v>1.1357204299144699E-5</v>
      </c>
      <c r="BB158" s="4">
        <v>4118106.4843811002</v>
      </c>
      <c r="BC158" s="4">
        <v>-18599.357025147401</v>
      </c>
      <c r="BD158" s="7">
        <v>-0.44961758796039197</v>
      </c>
      <c r="BE158" s="4">
        <v>2429034.2999999998</v>
      </c>
      <c r="BF158" s="1">
        <v>1.69536777820762</v>
      </c>
      <c r="BG158" s="1">
        <v>1</v>
      </c>
      <c r="BH158" s="1">
        <v>-8.6999999999999994E-2</v>
      </c>
      <c r="BI158" s="1">
        <v>4.5999999999999999E-2</v>
      </c>
      <c r="BJ158" s="1">
        <v>5625</v>
      </c>
      <c r="BK158" s="1">
        <v>1.00000004637316</v>
      </c>
      <c r="BL158" s="1">
        <v>318.68763913872999</v>
      </c>
      <c r="BM158" s="1">
        <v>4.1181064843810997</v>
      </c>
      <c r="BN158" s="1">
        <v>318.68763913872999</v>
      </c>
      <c r="BO158" s="1">
        <v>1.00000004637316</v>
      </c>
      <c r="BP158" s="1">
        <v>77666.800208718705</v>
      </c>
      <c r="BQ158" s="1">
        <v>1</v>
      </c>
      <c r="BR158" s="1">
        <v>0.69596000000000002</v>
      </c>
    </row>
    <row r="159" spans="1:70">
      <c r="A159" s="2" t="s">
        <v>227</v>
      </c>
      <c r="B159" s="1">
        <v>15513203.909628799</v>
      </c>
      <c r="C159" s="1">
        <v>617.97483343502097</v>
      </c>
      <c r="D159" s="1">
        <v>102.22394330033001</v>
      </c>
      <c r="E159" s="1">
        <v>593.997803214295</v>
      </c>
      <c r="F159" s="1">
        <v>2595333.5493798102</v>
      </c>
      <c r="G159" s="1">
        <v>1630481.38578821</v>
      </c>
      <c r="H159" s="1">
        <v>2.3048203873610299E-5</v>
      </c>
      <c r="I159" s="1">
        <v>6.8200503236293095E-5</v>
      </c>
      <c r="J159" s="1">
        <v>0.471717723289031</v>
      </c>
      <c r="K159" s="1">
        <v>9005.0430614720299</v>
      </c>
      <c r="L159" s="1">
        <v>4.6429387983550402E-3</v>
      </c>
      <c r="M159" s="1">
        <v>158</v>
      </c>
      <c r="N159" s="1">
        <v>3065.0798</v>
      </c>
      <c r="O159" s="3">
        <v>2.8502295699234199E-6</v>
      </c>
      <c r="P159" s="3">
        <v>5.98473400508856E-3</v>
      </c>
      <c r="Q159" s="3">
        <v>1.905E-3</v>
      </c>
      <c r="R159" s="1">
        <v>0.69596000000000002</v>
      </c>
      <c r="S159" s="4">
        <v>4954920.55078125</v>
      </c>
      <c r="T159" s="1">
        <v>297.60162944706502</v>
      </c>
      <c r="U159" s="5">
        <v>559.93793981014801</v>
      </c>
      <c r="V159" s="1">
        <v>0.03</v>
      </c>
      <c r="W159" s="3">
        <v>85614.867074657697</v>
      </c>
      <c r="X159" s="1">
        <v>2.92516122202446E-2</v>
      </c>
      <c r="Y159" s="1">
        <v>5.84689232788807</v>
      </c>
      <c r="Z159" s="1">
        <v>5.8468923760100697</v>
      </c>
      <c r="AA159" s="1">
        <v>-4.8121992612948401E-8</v>
      </c>
      <c r="AB159" s="1">
        <v>9.6341998605828001E-6</v>
      </c>
      <c r="AC159" s="1">
        <v>717.52334462423505</v>
      </c>
      <c r="AD159" s="1">
        <v>2588.5055549133999</v>
      </c>
      <c r="AE159" s="1">
        <v>559.93794098538206</v>
      </c>
      <c r="AF159" s="6">
        <v>1.17523347853421E-6</v>
      </c>
      <c r="AG159" s="1">
        <v>9.7108526090836394E-6</v>
      </c>
      <c r="AH159" s="1">
        <v>57.830713901019401</v>
      </c>
      <c r="AI159" s="1">
        <v>0.31202317905973298</v>
      </c>
      <c r="AJ159" s="1">
        <v>26.3901269517673</v>
      </c>
      <c r="AK159" s="1">
        <v>6.2522339767117003</v>
      </c>
      <c r="AL159" s="1">
        <v>1.30194062706561</v>
      </c>
      <c r="AM159" s="1">
        <v>617.97483343534202</v>
      </c>
      <c r="AN159" s="1">
        <v>-3.21733750752173E-10</v>
      </c>
      <c r="AO159" s="1">
        <v>7.6652748500842698E-8</v>
      </c>
      <c r="AP159" s="1">
        <v>3.3567663931111098</v>
      </c>
      <c r="AQ159" s="1">
        <v>2.9685249669921301E-5</v>
      </c>
      <c r="AR159" s="1">
        <v>4.8937526787922402E-6</v>
      </c>
      <c r="AS159" s="1">
        <v>13.299218890736</v>
      </c>
      <c r="AT159" s="1">
        <v>9.8885265174159294</v>
      </c>
      <c r="AU159" s="1">
        <v>3.0854494801805901</v>
      </c>
      <c r="AV159" s="1">
        <v>0.27131691293052401</v>
      </c>
      <c r="AW159" s="1">
        <v>6.5437043735636097E-3</v>
      </c>
      <c r="AX159" s="1">
        <v>0.27131690476449999</v>
      </c>
      <c r="AY159" s="1">
        <v>8.1660235240477197E-9</v>
      </c>
      <c r="AZ159" s="1">
        <v>964852.16359160398</v>
      </c>
      <c r="BA159" s="1">
        <v>8.8434064791766693E-6</v>
      </c>
      <c r="BB159" s="4">
        <v>4967681.6679935297</v>
      </c>
      <c r="BC159" s="4">
        <v>12761.1172122769</v>
      </c>
      <c r="BD159" s="7">
        <v>0.25754433560523698</v>
      </c>
      <c r="BE159" s="4">
        <v>2996860.5</v>
      </c>
      <c r="BF159" s="1">
        <v>1.65762859765863</v>
      </c>
      <c r="BG159" s="1">
        <v>1</v>
      </c>
      <c r="BH159" s="1">
        <v>-8.7999999999999995E-2</v>
      </c>
      <c r="BI159" s="1">
        <v>4.5999999999999999E-2</v>
      </c>
      <c r="BJ159" s="1">
        <v>5625</v>
      </c>
      <c r="BK159" s="1">
        <v>1.0000000392203201</v>
      </c>
      <c r="BL159" s="1">
        <v>320.37320398795498</v>
      </c>
      <c r="BM159" s="1">
        <v>4.9676816679935296</v>
      </c>
      <c r="BN159" s="1">
        <v>320.37320398795498</v>
      </c>
      <c r="BO159" s="1">
        <v>1.0000000392203201</v>
      </c>
      <c r="BP159" s="1">
        <v>78609.133514471701</v>
      </c>
      <c r="BQ159" s="1">
        <v>1</v>
      </c>
      <c r="BR159" s="1">
        <v>0.69596000000000002</v>
      </c>
    </row>
    <row r="160" spans="1:70">
      <c r="A160" s="2" t="s">
        <v>228</v>
      </c>
      <c r="B160" s="1">
        <v>15513203.909628799</v>
      </c>
      <c r="C160" s="1">
        <v>617.97483343502097</v>
      </c>
      <c r="D160" s="1">
        <v>102.22394330033001</v>
      </c>
      <c r="E160" s="1">
        <v>593.997803214295</v>
      </c>
      <c r="F160" s="1">
        <v>2595333.5493798102</v>
      </c>
      <c r="G160" s="1">
        <v>1630481.38578821</v>
      </c>
      <c r="H160" s="1">
        <v>2.3048203873610299E-5</v>
      </c>
      <c r="I160" s="1">
        <v>6.8200503236293095E-5</v>
      </c>
      <c r="J160" s="1">
        <v>0.471717723289031</v>
      </c>
      <c r="K160" s="1">
        <v>9005.0430614720299</v>
      </c>
      <c r="L160" s="1">
        <v>4.6429387983550402E-3</v>
      </c>
      <c r="M160" s="1">
        <v>159</v>
      </c>
      <c r="N160" s="1">
        <v>3173.5781999999999</v>
      </c>
      <c r="O160" s="3">
        <v>2.8502295699234199E-6</v>
      </c>
      <c r="P160" s="3">
        <v>5.98473400508856E-3</v>
      </c>
      <c r="Q160" s="3">
        <v>1.905E-3</v>
      </c>
      <c r="R160" s="1">
        <v>0.69596000000000002</v>
      </c>
      <c r="S160" s="4">
        <v>5110644.04296875</v>
      </c>
      <c r="T160" s="1">
        <v>297.03976193416099</v>
      </c>
      <c r="U160" s="5">
        <v>558.37015757476195</v>
      </c>
      <c r="V160" s="1">
        <v>0.03</v>
      </c>
      <c r="W160" s="3">
        <v>88645.481838362393</v>
      </c>
      <c r="X160" s="1">
        <v>2.8816656506257102E-2</v>
      </c>
      <c r="Y160" s="1">
        <v>5.8908532659419297</v>
      </c>
      <c r="Z160" s="1">
        <v>5.8908532754526899</v>
      </c>
      <c r="AA160" s="1">
        <v>-9.5107628439450293E-9</v>
      </c>
      <c r="AB160" s="1">
        <v>9.1223563377912495E-6</v>
      </c>
      <c r="AC160" s="1">
        <v>717.06121195600804</v>
      </c>
      <c r="AD160" s="1">
        <v>2660.13336692034</v>
      </c>
      <c r="AE160" s="1">
        <v>558.37015874537406</v>
      </c>
      <c r="AF160" s="6">
        <v>1.1706121085808299E-6</v>
      </c>
      <c r="AG160" s="1">
        <v>9.1977846459958892E-6</v>
      </c>
      <c r="AH160" s="1">
        <v>61.075519873575303</v>
      </c>
      <c r="AI160" s="1">
        <v>0.32065732611384001</v>
      </c>
      <c r="AJ160" s="1">
        <v>25.68748959429</v>
      </c>
      <c r="AK160" s="1">
        <v>6.2788993110418003</v>
      </c>
      <c r="AL160" s="1">
        <v>1.30194062706561</v>
      </c>
      <c r="AM160" s="1">
        <v>617.97483342798398</v>
      </c>
      <c r="AN160" s="1">
        <v>7.0368741944548699E-9</v>
      </c>
      <c r="AO160" s="1">
        <v>7.5428308204644799E-8</v>
      </c>
      <c r="AP160" s="1">
        <v>3.40308093320481</v>
      </c>
      <c r="AQ160" s="1">
        <v>2.8882739779301801E-5</v>
      </c>
      <c r="AR160" s="1">
        <v>4.6366064771002704E-6</v>
      </c>
      <c r="AS160" s="1">
        <v>12.9490725448959</v>
      </c>
      <c r="AT160" s="1">
        <v>9.7551208371304501</v>
      </c>
      <c r="AU160" s="1">
        <v>3.12805096355165</v>
      </c>
      <c r="AV160" s="1">
        <v>0.27502996965315801</v>
      </c>
      <c r="AW160" s="1">
        <v>6.1960519740763701E-3</v>
      </c>
      <c r="AX160" s="1">
        <v>0.27502995899210197</v>
      </c>
      <c r="AY160" s="1">
        <v>1.06610554273523E-8</v>
      </c>
      <c r="AZ160" s="1">
        <v>964852.16359160398</v>
      </c>
      <c r="BA160" s="1">
        <v>8.4872327006639208E-6</v>
      </c>
      <c r="BB160" s="4">
        <v>5093471.3906170204</v>
      </c>
      <c r="BC160" s="4">
        <v>-17172.652351727698</v>
      </c>
      <c r="BD160" s="7">
        <v>-0.33601738268886</v>
      </c>
      <c r="BE160" s="4">
        <v>3091498.2</v>
      </c>
      <c r="BF160" s="1">
        <v>1.6475737849748799</v>
      </c>
      <c r="BG160" s="1">
        <v>1</v>
      </c>
      <c r="BH160" s="1">
        <v>-9.6000000000000002E-2</v>
      </c>
      <c r="BI160" s="1">
        <v>4.5999999999999999E-2</v>
      </c>
      <c r="BJ160" s="1">
        <v>5625</v>
      </c>
      <c r="BK160" s="1">
        <v>1.0000000370818301</v>
      </c>
      <c r="BL160" s="1">
        <v>320.93507150085998</v>
      </c>
      <c r="BM160" s="1">
        <v>5.0934713906170197</v>
      </c>
      <c r="BN160" s="1">
        <v>320.93507150085998</v>
      </c>
      <c r="BO160" s="1">
        <v>1.0000000370818301</v>
      </c>
      <c r="BP160" s="1">
        <v>78924.514399193096</v>
      </c>
      <c r="BQ160" s="1">
        <v>1</v>
      </c>
      <c r="BR160" s="1">
        <v>0.69596000000000002</v>
      </c>
    </row>
    <row r="161" spans="1:70">
      <c r="A161" s="2" t="s">
        <v>229</v>
      </c>
      <c r="B161" s="1">
        <v>15513203.909628799</v>
      </c>
      <c r="C161" s="1">
        <v>617.97483343502097</v>
      </c>
      <c r="D161" s="1">
        <v>102.22394330033001</v>
      </c>
      <c r="E161" s="1">
        <v>593.997803214295</v>
      </c>
      <c r="F161" s="1">
        <v>2595333.5493798102</v>
      </c>
      <c r="G161" s="1">
        <v>1630481.38578821</v>
      </c>
      <c r="H161" s="1">
        <v>2.3048203873610299E-5</v>
      </c>
      <c r="I161" s="1">
        <v>6.8200503236293095E-5</v>
      </c>
      <c r="J161" s="1">
        <v>0.471717723289031</v>
      </c>
      <c r="K161" s="1">
        <v>9005.0430614720299</v>
      </c>
      <c r="L161" s="1">
        <v>4.6429387983550402E-3</v>
      </c>
      <c r="M161" s="1">
        <v>160</v>
      </c>
      <c r="N161" s="1">
        <v>3688.9456</v>
      </c>
      <c r="O161" s="3">
        <v>2.8502295699234199E-6</v>
      </c>
      <c r="P161" s="3">
        <v>5.98473400508856E-3</v>
      </c>
      <c r="Q161" s="3">
        <v>1.905E-3</v>
      </c>
      <c r="R161" s="1">
        <v>0.69596000000000002</v>
      </c>
      <c r="S161" s="4">
        <v>5747924.19921875</v>
      </c>
      <c r="T161" s="1">
        <v>299.79285116759797</v>
      </c>
      <c r="U161" s="5">
        <v>552.64827756438501</v>
      </c>
      <c r="V161" s="1">
        <v>0.03</v>
      </c>
      <c r="W161" s="3">
        <v>103040.90196596</v>
      </c>
      <c r="X161" s="1">
        <v>2.7042139441522301E-2</v>
      </c>
      <c r="Y161" s="1">
        <v>6.0810626264231198</v>
      </c>
      <c r="Z161" s="1">
        <v>6.0810626347094399</v>
      </c>
      <c r="AA161" s="1">
        <v>-8.2863165218327595E-9</v>
      </c>
      <c r="AB161" s="1">
        <v>7.1945474511830199E-6</v>
      </c>
      <c r="AC161" s="1">
        <v>713.16600184899903</v>
      </c>
      <c r="AD161" s="1">
        <v>2995.4024894891299</v>
      </c>
      <c r="AE161" s="1">
        <v>552.64827756438501</v>
      </c>
      <c r="AF161" s="6">
        <v>0</v>
      </c>
      <c r="AG161" s="1">
        <v>7.2656566846274504E-6</v>
      </c>
      <c r="AH161" s="1">
        <v>77.440959224056598</v>
      </c>
      <c r="AI161" s="1">
        <v>0.36107127742482398</v>
      </c>
      <c r="AJ161" s="1">
        <v>22.848888315912198</v>
      </c>
      <c r="AK161" s="1">
        <v>6.2766619225739904</v>
      </c>
      <c r="AL161" s="1">
        <v>1.30194062706561</v>
      </c>
      <c r="AM161" s="1">
        <v>617.97483340516101</v>
      </c>
      <c r="AN161" s="1">
        <v>2.9859052119718399E-8</v>
      </c>
      <c r="AO161" s="1">
        <v>7.1109233444425498E-8</v>
      </c>
      <c r="AP161" s="1">
        <v>3.60598906532609</v>
      </c>
      <c r="AQ161" s="1">
        <v>2.5723741227746602E-5</v>
      </c>
      <c r="AR161" s="1">
        <v>3.66838295903594E-6</v>
      </c>
      <c r="AS161" s="1">
        <v>11.536255588342</v>
      </c>
      <c r="AT161" s="1">
        <v>9.1774736800667505</v>
      </c>
      <c r="AU161" s="1">
        <v>3.3137221451943999</v>
      </c>
      <c r="AV161" s="1">
        <v>0.29226692013168798</v>
      </c>
      <c r="AW161" s="1">
        <v>4.8866529969692103E-3</v>
      </c>
      <c r="AX161" s="1">
        <v>0.29226691273005601</v>
      </c>
      <c r="AY161" s="1">
        <v>7.4016327511472501E-9</v>
      </c>
      <c r="AZ161" s="1">
        <v>964852.16359160398</v>
      </c>
      <c r="BA161" s="1">
        <v>7.1336159821162599E-6</v>
      </c>
      <c r="BB161" s="4">
        <v>5712969.2204629602</v>
      </c>
      <c r="BC161" s="4">
        <v>-34954.978755785203</v>
      </c>
      <c r="BD161" s="7">
        <v>-0.60813221511404403</v>
      </c>
      <c r="BE161" s="4">
        <v>3523677.03</v>
      </c>
      <c r="BF161" s="1">
        <v>1.6213089825837299</v>
      </c>
      <c r="BG161" s="1">
        <v>1</v>
      </c>
      <c r="BH161" s="1">
        <v>-4.3999999999999997E-2</v>
      </c>
      <c r="BI161" s="1">
        <v>4.5999999999999999E-2</v>
      </c>
      <c r="BJ161" s="1">
        <v>5625</v>
      </c>
      <c r="BK161" s="1">
        <v>1.00000004875366</v>
      </c>
      <c r="BL161" s="1">
        <v>318.181982267423</v>
      </c>
      <c r="BM161" s="1">
        <v>5.7129692204629601</v>
      </c>
      <c r="BN161" s="1">
        <v>318.181982267423</v>
      </c>
      <c r="BO161" s="1">
        <v>1.00000004875366</v>
      </c>
      <c r="BP161" s="1">
        <v>77385.215258232594</v>
      </c>
      <c r="BQ161" s="1">
        <v>1</v>
      </c>
      <c r="BR161" s="1">
        <v>0.69596000000000002</v>
      </c>
    </row>
    <row r="162" spans="1:70">
      <c r="A162" s="2" t="s">
        <v>230</v>
      </c>
      <c r="B162" s="1">
        <v>15513203.909628799</v>
      </c>
      <c r="C162" s="1">
        <v>617.97483343502097</v>
      </c>
      <c r="D162" s="1">
        <v>102.22394330033001</v>
      </c>
      <c r="E162" s="1">
        <v>593.997803214295</v>
      </c>
      <c r="F162" s="1">
        <v>2595333.5493798102</v>
      </c>
      <c r="G162" s="1">
        <v>1630481.38578821</v>
      </c>
      <c r="H162" s="1">
        <v>2.3048203873610299E-5</v>
      </c>
      <c r="I162" s="1">
        <v>6.8200503236293095E-5</v>
      </c>
      <c r="J162" s="1">
        <v>0.471717723289031</v>
      </c>
      <c r="K162" s="1">
        <v>9005.0430614720299</v>
      </c>
      <c r="L162" s="1">
        <v>4.6429387983550402E-3</v>
      </c>
      <c r="M162" s="1">
        <v>161</v>
      </c>
      <c r="N162" s="1">
        <v>3743.1948000000002</v>
      </c>
      <c r="O162" s="3">
        <v>2.8502295699234199E-6</v>
      </c>
      <c r="P162" s="3">
        <v>5.98473400508856E-3</v>
      </c>
      <c r="Q162" s="3">
        <v>1.905E-3</v>
      </c>
      <c r="R162" s="1">
        <v>0.69596000000000002</v>
      </c>
      <c r="S162" s="4">
        <v>5818430.76171875</v>
      </c>
      <c r="T162" s="1">
        <v>299.79285116759797</v>
      </c>
      <c r="U162" s="5">
        <v>552.04039063001903</v>
      </c>
      <c r="V162" s="1">
        <v>0.03</v>
      </c>
      <c r="W162" s="3">
        <v>104556.20934781199</v>
      </c>
      <c r="X162" s="1">
        <v>2.6878779410128499E-2</v>
      </c>
      <c r="Y162" s="1">
        <v>6.0995139434554897</v>
      </c>
      <c r="Z162" s="1">
        <v>6.0995139494937103</v>
      </c>
      <c r="AA162" s="1">
        <v>-6.0382214783771798E-9</v>
      </c>
      <c r="AB162" s="1">
        <v>7.0299887495018698E-6</v>
      </c>
      <c r="AC162" s="1">
        <v>712.86877385153502</v>
      </c>
      <c r="AD162" s="1">
        <v>3030.2580390165499</v>
      </c>
      <c r="AE162" s="1">
        <v>552.04039063001903</v>
      </c>
      <c r="AF162" s="6">
        <v>0</v>
      </c>
      <c r="AG162" s="1">
        <v>7.1016833858646498E-6</v>
      </c>
      <c r="AH162" s="1">
        <v>79.253705184390796</v>
      </c>
      <c r="AI162" s="1">
        <v>0.36527282891494101</v>
      </c>
      <c r="AJ162" s="1">
        <v>22.593105690883601</v>
      </c>
      <c r="AK162" s="1">
        <v>6.28163167424003</v>
      </c>
      <c r="AL162" s="1">
        <v>1.30194062706561</v>
      </c>
      <c r="AM162" s="1">
        <v>617.97483335695802</v>
      </c>
      <c r="AN162" s="1">
        <v>7.8062385000521304E-8</v>
      </c>
      <c r="AO162" s="1">
        <v>7.16946363627818E-8</v>
      </c>
      <c r="AP162" s="1">
        <v>3.6262913977503102</v>
      </c>
      <c r="AQ162" s="1">
        <v>2.54365111428851E-5</v>
      </c>
      <c r="AR162" s="1">
        <v>3.5866890111137099E-6</v>
      </c>
      <c r="AS162" s="1">
        <v>11.4105965452805</v>
      </c>
      <c r="AT162" s="1">
        <v>9.1227122258933893</v>
      </c>
      <c r="AU162" s="1">
        <v>3.3322789021289898</v>
      </c>
      <c r="AV162" s="1">
        <v>0.29401249562131898</v>
      </c>
      <c r="AW162" s="1">
        <v>4.7748820651345204E-3</v>
      </c>
      <c r="AX162" s="1">
        <v>0.29401249221009002</v>
      </c>
      <c r="AY162" s="1">
        <v>3.4112290214771698E-9</v>
      </c>
      <c r="AZ162" s="1">
        <v>964852.16359160398</v>
      </c>
      <c r="BA162" s="1">
        <v>7.0144697027562199E-6</v>
      </c>
      <c r="BB162" s="4">
        <v>5857839.07217649</v>
      </c>
      <c r="BC162" s="4">
        <v>39408.310457743697</v>
      </c>
      <c r="BD162" s="7">
        <v>0.67730135618392395</v>
      </c>
      <c r="BE162" s="4">
        <v>3722416.2</v>
      </c>
      <c r="BF162" s="1">
        <v>1.5736658013084299</v>
      </c>
      <c r="BG162" s="1">
        <v>1</v>
      </c>
      <c r="BH162" s="1">
        <v>-0.06</v>
      </c>
      <c r="BI162" s="1">
        <v>4.5999999999999999E-2</v>
      </c>
      <c r="BJ162" s="1">
        <v>5625</v>
      </c>
      <c r="BK162" s="1">
        <v>1.00000004875366</v>
      </c>
      <c r="BL162" s="1">
        <v>318.181982267423</v>
      </c>
      <c r="BM162" s="1">
        <v>5.8578390721764899</v>
      </c>
      <c r="BN162" s="1">
        <v>318.181982267423</v>
      </c>
      <c r="BO162" s="1">
        <v>1.00000004875366</v>
      </c>
      <c r="BP162" s="1">
        <v>77385.215258232594</v>
      </c>
      <c r="BQ162" s="1">
        <v>1</v>
      </c>
      <c r="BR162" s="1">
        <v>0.69596000000000002</v>
      </c>
    </row>
    <row r="163" spans="1:70">
      <c r="A163" s="2" t="s">
        <v>231</v>
      </c>
      <c r="B163" s="1">
        <v>15513203.909628799</v>
      </c>
      <c r="C163" s="1">
        <v>617.97483343502097</v>
      </c>
      <c r="D163" s="1">
        <v>102.22394330033001</v>
      </c>
      <c r="E163" s="1">
        <v>593.997803214295</v>
      </c>
      <c r="F163" s="1">
        <v>2595333.5493798102</v>
      </c>
      <c r="G163" s="1">
        <v>1630481.38578821</v>
      </c>
      <c r="H163" s="1">
        <v>2.3048203873610299E-5</v>
      </c>
      <c r="I163" s="1">
        <v>6.8200503236293095E-5</v>
      </c>
      <c r="J163" s="1">
        <v>0.471717723289031</v>
      </c>
      <c r="K163" s="1">
        <v>9005.0430614720299</v>
      </c>
      <c r="L163" s="1">
        <v>4.6429387983550402E-3</v>
      </c>
      <c r="M163" s="1">
        <v>162</v>
      </c>
      <c r="N163" s="1">
        <v>3878.8177999999998</v>
      </c>
      <c r="O163" s="3">
        <v>2.8502295699234199E-6</v>
      </c>
      <c r="P163" s="3">
        <v>5.98473400508856E-3</v>
      </c>
      <c r="Q163" s="3">
        <v>1.905E-3</v>
      </c>
      <c r="R163" s="1">
        <v>0.69596000000000002</v>
      </c>
      <c r="S163" s="4">
        <v>5983178.7109375</v>
      </c>
      <c r="T163" s="1">
        <v>300.35468451217503</v>
      </c>
      <c r="U163" s="5">
        <v>550.67499673512805</v>
      </c>
      <c r="V163" s="1">
        <v>0.03</v>
      </c>
      <c r="W163" s="3">
        <v>108344.477802443</v>
      </c>
      <c r="X163" s="1">
        <v>2.6486711415857098E-2</v>
      </c>
      <c r="Y163" s="1">
        <v>6.1444919577194002</v>
      </c>
      <c r="Z163" s="1">
        <v>6.14449198407703</v>
      </c>
      <c r="AA163" s="1">
        <v>-2.6357624527406599E-8</v>
      </c>
      <c r="AB163" s="1">
        <v>6.6438869072487296E-6</v>
      </c>
      <c r="AC163" s="1">
        <v>711.93503977805801</v>
      </c>
      <c r="AD163" s="1">
        <v>3117.0646607314402</v>
      </c>
      <c r="AE163" s="1">
        <v>550.67499673512805</v>
      </c>
      <c r="AF163" s="6">
        <v>0</v>
      </c>
      <c r="AG163" s="1">
        <v>6.7139959722854397E-6</v>
      </c>
      <c r="AH163" s="1">
        <v>83.859443061068802</v>
      </c>
      <c r="AI163" s="1">
        <v>0.37573665736587902</v>
      </c>
      <c r="AJ163" s="1">
        <v>21.9716111049913</v>
      </c>
      <c r="AK163" s="1">
        <v>6.2809935031933799</v>
      </c>
      <c r="AL163" s="1">
        <v>1.30194062706561</v>
      </c>
      <c r="AM163" s="1">
        <v>617.97483348011201</v>
      </c>
      <c r="AN163" s="1">
        <v>-4.5091042011335998E-8</v>
      </c>
      <c r="AO163" s="1">
        <v>7.0109065036710097E-8</v>
      </c>
      <c r="AP163" s="1">
        <v>3.6744501946839199</v>
      </c>
      <c r="AQ163" s="1">
        <v>2.4774118623132601E-5</v>
      </c>
      <c r="AR163" s="1">
        <v>3.3920525186610698E-6</v>
      </c>
      <c r="AS163" s="1">
        <v>11.1005218196992</v>
      </c>
      <c r="AT163" s="1">
        <v>8.9849605899851497</v>
      </c>
      <c r="AU163" s="1">
        <v>3.3759790586451799</v>
      </c>
      <c r="AV163" s="1">
        <v>0.29847113603874098</v>
      </c>
      <c r="AW163" s="1">
        <v>4.5126354488763502E-3</v>
      </c>
      <c r="AX163" s="1">
        <v>0.29847112148441901</v>
      </c>
      <c r="AY163" s="1">
        <v>1.45543215257504E-8</v>
      </c>
      <c r="AZ163" s="1">
        <v>964852.16359160398</v>
      </c>
      <c r="BA163" s="1">
        <v>6.7422654575574402E-6</v>
      </c>
      <c r="BB163" s="4">
        <v>5959556.5030672401</v>
      </c>
      <c r="BC163" s="4">
        <v>-23622.2078702627</v>
      </c>
      <c r="BD163" s="7">
        <v>-0.39481033429739099</v>
      </c>
      <c r="BE163" s="4">
        <v>3753962.1</v>
      </c>
      <c r="BF163" s="1">
        <v>1.5875377386114899</v>
      </c>
      <c r="BG163" s="1">
        <v>1</v>
      </c>
      <c r="BH163" s="1">
        <v>-0.105</v>
      </c>
      <c r="BI163" s="1">
        <v>4.5999999999999999E-2</v>
      </c>
      <c r="BJ163" s="1">
        <v>5625</v>
      </c>
      <c r="BK163" s="1">
        <v>1.00000005153673</v>
      </c>
      <c r="BL163" s="1">
        <v>317.62014892284498</v>
      </c>
      <c r="BM163" s="1">
        <v>5.9595565030672404</v>
      </c>
      <c r="BN163" s="1">
        <v>317.62014892284498</v>
      </c>
      <c r="BO163" s="1">
        <v>1.00000005153673</v>
      </c>
      <c r="BP163" s="1">
        <v>77072.947087942899</v>
      </c>
      <c r="BQ163" s="1">
        <v>1</v>
      </c>
      <c r="BR163" s="1">
        <v>0.69596000000000002</v>
      </c>
    </row>
    <row r="164" spans="1:70">
      <c r="A164" s="2" t="s">
        <v>232</v>
      </c>
      <c r="B164" s="1">
        <v>17236893.2329209</v>
      </c>
      <c r="C164" s="1">
        <v>626.57723583796803</v>
      </c>
      <c r="D164" s="1">
        <v>122.583590976701</v>
      </c>
      <c r="E164" s="1">
        <v>560.26337686439001</v>
      </c>
      <c r="F164" s="1">
        <v>2538890.6454807199</v>
      </c>
      <c r="G164" s="1">
        <v>1699798.64659754</v>
      </c>
      <c r="H164" s="1">
        <v>2.4290890628326198E-5</v>
      </c>
      <c r="I164" s="1">
        <v>6.4066005508525405E-5</v>
      </c>
      <c r="J164" s="1">
        <v>0.452884810527584</v>
      </c>
      <c r="K164" s="1">
        <v>11219.515372648901</v>
      </c>
      <c r="L164" s="1">
        <v>3.02925386118211E-3</v>
      </c>
      <c r="M164" s="1">
        <v>163</v>
      </c>
      <c r="N164" s="1">
        <v>1939.4088999999999</v>
      </c>
      <c r="O164" s="3">
        <v>2.8502295699234199E-6</v>
      </c>
      <c r="P164" s="3">
        <v>5.98473400508856E-3</v>
      </c>
      <c r="Q164" s="3">
        <v>1.905E-3</v>
      </c>
      <c r="R164" s="1">
        <v>0.15240000000000001</v>
      </c>
      <c r="S164" s="4">
        <v>3909766.11328125</v>
      </c>
      <c r="T164" s="1">
        <v>544.38778847281696</v>
      </c>
      <c r="U164" s="5">
        <v>601.88638898035003</v>
      </c>
      <c r="V164" s="1">
        <v>0.03</v>
      </c>
      <c r="W164" s="3">
        <v>57668.242700231298</v>
      </c>
      <c r="X164" s="1">
        <v>3.23577851042662E-2</v>
      </c>
      <c r="Y164" s="1">
        <v>5.5591783430067503</v>
      </c>
      <c r="Z164" s="1">
        <v>5.5591783497804901</v>
      </c>
      <c r="AA164" s="1">
        <v>-6.7737451203697699E-9</v>
      </c>
      <c r="AB164" s="1">
        <v>1.33869481952576E-5</v>
      </c>
      <c r="AC164" s="1">
        <v>731.47450141114905</v>
      </c>
      <c r="AD164" s="1">
        <v>1833.7964244186401</v>
      </c>
      <c r="AE164" s="1">
        <v>601.88638898035003</v>
      </c>
      <c r="AF164" s="6">
        <v>0</v>
      </c>
      <c r="AG164" s="1">
        <v>1.35029083290296E-5</v>
      </c>
      <c r="AH164" s="1">
        <v>27.154095021494701</v>
      </c>
      <c r="AI164" s="1">
        <v>0.22015144959273</v>
      </c>
      <c r="AJ164" s="1">
        <v>25.996414711839599</v>
      </c>
      <c r="AK164" s="1">
        <v>5.7893871643731698</v>
      </c>
      <c r="AL164" s="1">
        <v>1.5871354414155801</v>
      </c>
      <c r="AM164" s="1">
        <v>626.57723576272303</v>
      </c>
      <c r="AN164" s="1">
        <v>7.5244543040753303E-8</v>
      </c>
      <c r="AO164" s="1">
        <v>1.1596013377199E-7</v>
      </c>
      <c r="AP164" s="1">
        <v>2.3806041170902099</v>
      </c>
      <c r="AQ164" s="1">
        <v>3.3391812188265203E-5</v>
      </c>
      <c r="AR164" s="1">
        <v>6.8094342314008098E-6</v>
      </c>
      <c r="AS164" s="1">
        <v>13.1098332239965</v>
      </c>
      <c r="AT164" s="1">
        <v>9.8168128820648093</v>
      </c>
      <c r="AU164" s="1">
        <v>2.1611855863671501</v>
      </c>
      <c r="AV164" s="1">
        <v>0.219418530723057</v>
      </c>
      <c r="AW164" s="1">
        <v>1.0619737236195401E-2</v>
      </c>
      <c r="AX164" s="1">
        <v>0.21941851526835299</v>
      </c>
      <c r="AY164" s="1">
        <v>1.54547040165376E-8</v>
      </c>
      <c r="AZ164" s="1">
        <v>839091.99888317997</v>
      </c>
      <c r="BA164" s="1">
        <v>1.40266128032576E-5</v>
      </c>
      <c r="BB164" s="4">
        <v>3886491.4216980301</v>
      </c>
      <c r="BC164" s="4">
        <v>-23274.6915832185</v>
      </c>
      <c r="BD164" s="7">
        <v>-0.59529626348122799</v>
      </c>
      <c r="BE164" s="4">
        <v>2839131</v>
      </c>
      <c r="BF164" s="1">
        <v>1.3689017596222299</v>
      </c>
      <c r="BG164" s="1">
        <v>1</v>
      </c>
      <c r="BH164" s="1">
        <v>-5.0999999999999997E-2</v>
      </c>
      <c r="BI164" s="1">
        <v>4.5999999999999999E-2</v>
      </c>
      <c r="BJ164" s="1">
        <v>5625</v>
      </c>
      <c r="BK164" s="1">
        <v>1.0335221339418601</v>
      </c>
      <c r="BL164" s="1">
        <v>82.189447365151096</v>
      </c>
      <c r="BM164" s="1">
        <v>3.8864914216980302</v>
      </c>
      <c r="BN164" s="1">
        <v>82.189447365151096</v>
      </c>
      <c r="BO164" s="1">
        <v>1.0335221339418601</v>
      </c>
      <c r="BP164" s="1">
        <v>1779.9494689768501</v>
      </c>
      <c r="BQ164" s="1">
        <v>1</v>
      </c>
      <c r="BR164" s="1">
        <v>0.15240000000000001</v>
      </c>
    </row>
    <row r="165" spans="1:70">
      <c r="A165" s="2" t="s">
        <v>233</v>
      </c>
      <c r="B165" s="1">
        <v>17236893.2329209</v>
      </c>
      <c r="C165" s="1">
        <v>626.57723583796803</v>
      </c>
      <c r="D165" s="1">
        <v>122.583590976701</v>
      </c>
      <c r="E165" s="1">
        <v>560.26337686439001</v>
      </c>
      <c r="F165" s="1">
        <v>2538890.6454807199</v>
      </c>
      <c r="G165" s="1">
        <v>1699798.64659754</v>
      </c>
      <c r="H165" s="1">
        <v>2.4290890628326198E-5</v>
      </c>
      <c r="I165" s="1">
        <v>6.4066005508525405E-5</v>
      </c>
      <c r="J165" s="1">
        <v>0.452884810527584</v>
      </c>
      <c r="K165" s="1">
        <v>11219.515372648901</v>
      </c>
      <c r="L165" s="1">
        <v>3.02925386118211E-3</v>
      </c>
      <c r="M165" s="1">
        <v>164</v>
      </c>
      <c r="N165" s="1">
        <v>1952.9712</v>
      </c>
      <c r="O165" s="3">
        <v>2.8502295699234199E-6</v>
      </c>
      <c r="P165" s="3">
        <v>5.98473400508856E-3</v>
      </c>
      <c r="Q165" s="3">
        <v>1.905E-3</v>
      </c>
      <c r="R165" s="1">
        <v>0.15240000000000001</v>
      </c>
      <c r="S165" s="4">
        <v>3981445.3125</v>
      </c>
      <c r="T165" s="1">
        <v>541.02055212223797</v>
      </c>
      <c r="U165" s="5">
        <v>599.16667962480597</v>
      </c>
      <c r="V165" s="1">
        <v>0.03</v>
      </c>
      <c r="W165" s="3">
        <v>58071.517124708502</v>
      </c>
      <c r="X165" s="1">
        <v>3.22567249257062E-2</v>
      </c>
      <c r="Y165" s="1">
        <v>5.5678799735499496</v>
      </c>
      <c r="Z165" s="1">
        <v>5.5678799790447497</v>
      </c>
      <c r="AA165" s="1">
        <v>-5.4948046113167898E-9</v>
      </c>
      <c r="AB165" s="1">
        <v>1.32430247045165E-5</v>
      </c>
      <c r="AC165" s="1">
        <v>734.08720582194803</v>
      </c>
      <c r="AD165" s="1">
        <v>1843.7342286354699</v>
      </c>
      <c r="AE165" s="1">
        <v>599.16667962480597</v>
      </c>
      <c r="AF165" s="6">
        <v>0</v>
      </c>
      <c r="AG165" s="1">
        <v>1.33615941937714E-5</v>
      </c>
      <c r="AH165" s="1">
        <v>27.4492022368485</v>
      </c>
      <c r="AI165" s="1">
        <v>0.22134450568934599</v>
      </c>
      <c r="AJ165" s="1">
        <v>25.8637570227753</v>
      </c>
      <c r="AK165" s="1">
        <v>5.9426191060807403</v>
      </c>
      <c r="AL165" s="1">
        <v>1.5871354414155801</v>
      </c>
      <c r="AM165" s="1">
        <v>626.57723579898004</v>
      </c>
      <c r="AN165" s="1">
        <v>3.8987650441413299E-8</v>
      </c>
      <c r="AO165" s="1">
        <v>1.18569489254968E-7</v>
      </c>
      <c r="AP165" s="1">
        <v>2.38751826945854</v>
      </c>
      <c r="AQ165" s="1">
        <v>3.3198689667214799E-5</v>
      </c>
      <c r="AR165" s="1">
        <v>6.7400818415132102E-6</v>
      </c>
      <c r="AS165" s="1">
        <v>13.0466347454093</v>
      </c>
      <c r="AT165" s="1">
        <v>9.7926511329925408</v>
      </c>
      <c r="AU165" s="1">
        <v>2.1675495244204401</v>
      </c>
      <c r="AV165" s="1">
        <v>0.21996874503809899</v>
      </c>
      <c r="AW165" s="1">
        <v>1.0505564115369501E-2</v>
      </c>
      <c r="AX165" s="1">
        <v>0.219968729091501</v>
      </c>
      <c r="AY165" s="1">
        <v>1.5946598652671902E-8</v>
      </c>
      <c r="AZ165" s="1">
        <v>839091.99888317997</v>
      </c>
      <c r="BA165" s="1">
        <v>1.39051039281655E-5</v>
      </c>
      <c r="BB165" s="4">
        <v>4008672.01688061</v>
      </c>
      <c r="BC165" s="4">
        <v>27226.7043806086</v>
      </c>
      <c r="BD165" s="7">
        <v>0.68383971758016304</v>
      </c>
      <c r="BE165" s="4">
        <v>3059952.3</v>
      </c>
      <c r="BF165" s="1">
        <v>1.3100439562017401</v>
      </c>
      <c r="BG165" s="1">
        <v>1</v>
      </c>
      <c r="BH165" s="1">
        <v>-3.1E-2</v>
      </c>
      <c r="BI165" s="1">
        <v>4.5999999999999999E-2</v>
      </c>
      <c r="BJ165" s="1">
        <v>5625</v>
      </c>
      <c r="BK165" s="1">
        <v>1.0318067764908301</v>
      </c>
      <c r="BL165" s="1">
        <v>85.556683715730102</v>
      </c>
      <c r="BM165" s="1">
        <v>4.0086720168806096</v>
      </c>
      <c r="BN165" s="1">
        <v>85.556683715730102</v>
      </c>
      <c r="BO165" s="1">
        <v>1.0318067764908301</v>
      </c>
      <c r="BP165" s="1">
        <v>2075.41143117506</v>
      </c>
      <c r="BQ165" s="1">
        <v>1</v>
      </c>
      <c r="BR165" s="1">
        <v>0.15240000000000001</v>
      </c>
    </row>
    <row r="166" spans="1:70">
      <c r="A166" s="2" t="s">
        <v>234</v>
      </c>
      <c r="B166" s="1">
        <v>17236893.2329209</v>
      </c>
      <c r="C166" s="1">
        <v>626.57723583796803</v>
      </c>
      <c r="D166" s="1">
        <v>122.583590976701</v>
      </c>
      <c r="E166" s="1">
        <v>560.26337686439001</v>
      </c>
      <c r="F166" s="1">
        <v>2538890.6454807199</v>
      </c>
      <c r="G166" s="1">
        <v>1699798.64659754</v>
      </c>
      <c r="H166" s="1">
        <v>2.4290890628326198E-5</v>
      </c>
      <c r="I166" s="1">
        <v>6.4066005508525405E-5</v>
      </c>
      <c r="J166" s="1">
        <v>0.452884810527584</v>
      </c>
      <c r="K166" s="1">
        <v>11219.515372648901</v>
      </c>
      <c r="L166" s="1">
        <v>3.02925386118211E-3</v>
      </c>
      <c r="M166" s="1">
        <v>165</v>
      </c>
      <c r="N166" s="1">
        <v>2007.2203999999999</v>
      </c>
      <c r="O166" s="3">
        <v>2.8502295699234199E-6</v>
      </c>
      <c r="P166" s="3">
        <v>5.98473400508856E-3</v>
      </c>
      <c r="Q166" s="3">
        <v>1.905E-3</v>
      </c>
      <c r="R166" s="1">
        <v>0.15240000000000001</v>
      </c>
      <c r="S166" s="4">
        <v>4332330.76171875</v>
      </c>
      <c r="T166" s="1">
        <v>523.75355252526197</v>
      </c>
      <c r="U166" s="5">
        <v>585.31409307026399</v>
      </c>
      <c r="V166" s="1">
        <v>0.03</v>
      </c>
      <c r="W166" s="3">
        <v>59684.614822616997</v>
      </c>
      <c r="X166" s="1">
        <v>3.1863876118458402E-2</v>
      </c>
      <c r="Y166" s="1">
        <v>5.6020979441400804</v>
      </c>
      <c r="Z166" s="1">
        <v>5.6020979701971099</v>
      </c>
      <c r="AA166" s="1">
        <v>-2.60570347521139E-8</v>
      </c>
      <c r="AB166" s="1">
        <v>1.2691425606134001E-5</v>
      </c>
      <c r="AC166" s="1">
        <v>746.97360001181301</v>
      </c>
      <c r="AD166" s="1">
        <v>1883.37459887351</v>
      </c>
      <c r="AE166" s="1">
        <v>585.31409457351799</v>
      </c>
      <c r="AF166" s="6">
        <v>1.5032534292913601E-6</v>
      </c>
      <c r="AG166" s="1">
        <v>1.28143994569737E-5</v>
      </c>
      <c r="AH166" s="1">
        <v>28.642208891502399</v>
      </c>
      <c r="AI166" s="1">
        <v>0.22610342268476</v>
      </c>
      <c r="AJ166" s="1">
        <v>25.3378629260711</v>
      </c>
      <c r="AK166" s="1">
        <v>6.6958921162242797</v>
      </c>
      <c r="AL166" s="1">
        <v>1.5871354414155801</v>
      </c>
      <c r="AM166" s="1">
        <v>626.57723576555395</v>
      </c>
      <c r="AN166" s="1">
        <v>7.2413854468322798E-8</v>
      </c>
      <c r="AO166" s="1">
        <v>1.22973850839699E-7</v>
      </c>
      <c r="AP166" s="1">
        <v>2.4139730137890001</v>
      </c>
      <c r="AQ166" s="1">
        <v>3.2475027556303298E-5</v>
      </c>
      <c r="AR166" s="1">
        <v>6.46868665390671E-6</v>
      </c>
      <c r="AS166" s="1">
        <v>12.7905093249763</v>
      </c>
      <c r="AT166" s="1">
        <v>9.6935171846134107</v>
      </c>
      <c r="AU166" s="1">
        <v>2.1917374132946299</v>
      </c>
      <c r="AV166" s="1">
        <v>0.22223560049437599</v>
      </c>
      <c r="AW166" s="1">
        <v>1.00679858563739E-2</v>
      </c>
      <c r="AX166" s="1">
        <v>0.222235599402896</v>
      </c>
      <c r="AY166" s="1">
        <v>1.09147976767865E-9</v>
      </c>
      <c r="AZ166" s="1">
        <v>839091.99888317997</v>
      </c>
      <c r="BA166" s="1">
        <v>1.3452937282563101E-5</v>
      </c>
      <c r="BB166" s="4">
        <v>4297317.7755801501</v>
      </c>
      <c r="BC166" s="4">
        <v>-35012.986138602697</v>
      </c>
      <c r="BD166" s="7">
        <v>-0.808178970266623</v>
      </c>
      <c r="BE166" s="4">
        <v>3533140.8</v>
      </c>
      <c r="BF166" s="1">
        <v>1.2162882881939301</v>
      </c>
      <c r="BG166" s="1">
        <v>1</v>
      </c>
      <c r="BH166" s="1">
        <v>-5.6000000000000001E-2</v>
      </c>
      <c r="BI166" s="1">
        <v>4.5999999999999999E-2</v>
      </c>
      <c r="BJ166" s="1">
        <v>5625</v>
      </c>
      <c r="BK166" s="1">
        <v>1.0228051266465701</v>
      </c>
      <c r="BL166" s="1">
        <v>102.823683312706</v>
      </c>
      <c r="BM166" s="1">
        <v>4.2973177755801499</v>
      </c>
      <c r="BN166" s="1">
        <v>102.823683312706</v>
      </c>
      <c r="BO166" s="1">
        <v>1.0228051266465701</v>
      </c>
      <c r="BP166" s="1">
        <v>3946.8151849751798</v>
      </c>
      <c r="BQ166" s="1">
        <v>1</v>
      </c>
      <c r="BR166" s="1">
        <v>0.15240000000000001</v>
      </c>
    </row>
    <row r="167" spans="1:70">
      <c r="A167" s="2" t="s">
        <v>235</v>
      </c>
      <c r="B167" s="1">
        <v>17236893.2329209</v>
      </c>
      <c r="C167" s="1">
        <v>626.57723583796803</v>
      </c>
      <c r="D167" s="1">
        <v>122.583590976701</v>
      </c>
      <c r="E167" s="1">
        <v>560.26337686439001</v>
      </c>
      <c r="F167" s="1">
        <v>2538890.6454807199</v>
      </c>
      <c r="G167" s="1">
        <v>1699798.64659754</v>
      </c>
      <c r="H167" s="1">
        <v>2.4290890628326198E-5</v>
      </c>
      <c r="I167" s="1">
        <v>6.4066005508525405E-5</v>
      </c>
      <c r="J167" s="1">
        <v>0.452884810527584</v>
      </c>
      <c r="K167" s="1">
        <v>11219.515372648901</v>
      </c>
      <c r="L167" s="1">
        <v>3.02925386118211E-3</v>
      </c>
      <c r="M167" s="1">
        <v>166</v>
      </c>
      <c r="N167" s="1">
        <v>2007.2203999999999</v>
      </c>
      <c r="O167" s="3">
        <v>2.8502295699234199E-6</v>
      </c>
      <c r="P167" s="3">
        <v>5.98473400508856E-3</v>
      </c>
      <c r="Q167" s="3">
        <v>1.905E-3</v>
      </c>
      <c r="R167" s="1">
        <v>0.15240000000000001</v>
      </c>
      <c r="S167" s="4">
        <v>4312646.484375</v>
      </c>
      <c r="T167" s="1">
        <v>524.88712944744998</v>
      </c>
      <c r="U167" s="5">
        <v>586.16796495140898</v>
      </c>
      <c r="V167" s="1">
        <v>0.03</v>
      </c>
      <c r="W167" s="3">
        <v>59684.614822616997</v>
      </c>
      <c r="X167" s="1">
        <v>3.1863876118458402E-2</v>
      </c>
      <c r="Y167" s="1">
        <v>5.6020979441400804</v>
      </c>
      <c r="Z167" s="1">
        <v>5.6020979701971099</v>
      </c>
      <c r="AA167" s="1">
        <v>-2.60570347521139E-8</v>
      </c>
      <c r="AB167" s="1">
        <v>1.2691425606134001E-5</v>
      </c>
      <c r="AC167" s="1">
        <v>746.05510673686297</v>
      </c>
      <c r="AD167" s="1">
        <v>1883.37459887351</v>
      </c>
      <c r="AE167" s="1">
        <v>586.16796644611497</v>
      </c>
      <c r="AF167" s="6">
        <v>1.4947054296499099E-6</v>
      </c>
      <c r="AG167" s="1">
        <v>1.2813856015811201E-5</v>
      </c>
      <c r="AH167" s="1">
        <v>28.642208891502399</v>
      </c>
      <c r="AI167" s="1">
        <v>0.22610342268476</v>
      </c>
      <c r="AJ167" s="1">
        <v>25.336788381943499</v>
      </c>
      <c r="AK167" s="1">
        <v>6.6448942793259302</v>
      </c>
      <c r="AL167" s="1">
        <v>1.5871354414155801</v>
      </c>
      <c r="AM167" s="1">
        <v>626.57723576599005</v>
      </c>
      <c r="AN167" s="1">
        <v>7.1978092819335897E-8</v>
      </c>
      <c r="AO167" s="1">
        <v>1.2243040967714899E-7</v>
      </c>
      <c r="AP167" s="1">
        <v>2.4138860410560099</v>
      </c>
      <c r="AQ167" s="1">
        <v>3.2477367760219502E-5</v>
      </c>
      <c r="AR167" s="1">
        <v>6.4681432127441604E-6</v>
      </c>
      <c r="AS167" s="1">
        <v>12.789434780848699</v>
      </c>
      <c r="AT167" s="1">
        <v>9.6930971117142004</v>
      </c>
      <c r="AU167" s="1">
        <v>2.1916424333743398</v>
      </c>
      <c r="AV167" s="1">
        <v>0.22224360768166801</v>
      </c>
      <c r="AW167" s="1">
        <v>1.00679858563739E-2</v>
      </c>
      <c r="AX167" s="1">
        <v>0.222243606590112</v>
      </c>
      <c r="AY167" s="1">
        <v>1.0915554571333499E-9</v>
      </c>
      <c r="AZ167" s="1">
        <v>839091.99888317997</v>
      </c>
      <c r="BA167" s="1">
        <v>1.3454391469951801E-5</v>
      </c>
      <c r="BB167" s="4">
        <v>4277864.82606884</v>
      </c>
      <c r="BC167" s="4">
        <v>-34781.658306162797</v>
      </c>
      <c r="BD167" s="7">
        <v>-0.80650381226884804</v>
      </c>
      <c r="BE167" s="4">
        <v>3501594.9</v>
      </c>
      <c r="BF167" s="1">
        <v>1.2216903863062001</v>
      </c>
      <c r="BG167" s="1">
        <v>1</v>
      </c>
      <c r="BH167" s="1">
        <v>-5.6000000000000001E-2</v>
      </c>
      <c r="BI167" s="1">
        <v>4.5999999999999999E-2</v>
      </c>
      <c r="BJ167" s="1">
        <v>5625</v>
      </c>
      <c r="BK167" s="1">
        <v>1.02338460683765</v>
      </c>
      <c r="BL167" s="1">
        <v>101.690106390518</v>
      </c>
      <c r="BM167" s="1">
        <v>4.2778648260688401</v>
      </c>
      <c r="BN167" s="1">
        <v>101.690106390518</v>
      </c>
      <c r="BO167" s="1">
        <v>1.02338460683765</v>
      </c>
      <c r="BP167" s="1">
        <v>3805.6692264734402</v>
      </c>
      <c r="BQ167" s="1">
        <v>1</v>
      </c>
      <c r="BR167" s="1">
        <v>0.15240000000000001</v>
      </c>
    </row>
    <row r="168" spans="1:70">
      <c r="A168" s="2" t="s">
        <v>236</v>
      </c>
      <c r="B168" s="1">
        <v>17236893.2329209</v>
      </c>
      <c r="C168" s="1">
        <v>626.57723583796803</v>
      </c>
      <c r="D168" s="1">
        <v>122.583590976701</v>
      </c>
      <c r="E168" s="1">
        <v>560.26337686439001</v>
      </c>
      <c r="F168" s="1">
        <v>2538890.6454807199</v>
      </c>
      <c r="G168" s="1">
        <v>1699798.64659754</v>
      </c>
      <c r="H168" s="1">
        <v>2.4290890628326198E-5</v>
      </c>
      <c r="I168" s="1">
        <v>6.4066005508525405E-5</v>
      </c>
      <c r="J168" s="1">
        <v>0.452884810527584</v>
      </c>
      <c r="K168" s="1">
        <v>11219.515372648901</v>
      </c>
      <c r="L168" s="1">
        <v>3.02925386118211E-3</v>
      </c>
      <c r="M168" s="1">
        <v>167</v>
      </c>
      <c r="N168" s="1">
        <v>2183.5302999999999</v>
      </c>
      <c r="O168" s="3">
        <v>2.8502295699234199E-6</v>
      </c>
      <c r="P168" s="3">
        <v>5.98473400508856E-3</v>
      </c>
      <c r="Q168" s="3">
        <v>1.905E-3</v>
      </c>
      <c r="R168" s="1">
        <v>0.15240000000000001</v>
      </c>
      <c r="S168" s="4">
        <v>5556956.15234375</v>
      </c>
      <c r="T168" s="1">
        <v>476.97673003740402</v>
      </c>
      <c r="U168" s="5">
        <v>549.56285757986802</v>
      </c>
      <c r="V168" s="1">
        <v>0.03</v>
      </c>
      <c r="W168" s="3">
        <v>64927.182340819898</v>
      </c>
      <c r="X168" s="1">
        <v>3.0700163138612201E-2</v>
      </c>
      <c r="Y168" s="1">
        <v>5.7072862912243698</v>
      </c>
      <c r="Z168" s="1">
        <v>5.7072863391106603</v>
      </c>
      <c r="AA168" s="1">
        <v>-4.7886292264820401E-8</v>
      </c>
      <c r="AB168" s="1">
        <v>1.11311493220718E-5</v>
      </c>
      <c r="AC168" s="1">
        <v>782.22590333863604</v>
      </c>
      <c r="AD168" s="1">
        <v>2011.0455553597301</v>
      </c>
      <c r="AE168" s="1">
        <v>549.56285941203305</v>
      </c>
      <c r="AF168" s="6">
        <v>1.83216559435095E-6</v>
      </c>
      <c r="AG168" s="1">
        <v>1.12737112859598E-5</v>
      </c>
      <c r="AH168" s="1">
        <v>32.657046709548197</v>
      </c>
      <c r="AI168" s="1">
        <v>0.24143061264274199</v>
      </c>
      <c r="AJ168" s="1">
        <v>23.802569001614899</v>
      </c>
      <c r="AK168" s="1">
        <v>8.8223015044012492</v>
      </c>
      <c r="AL168" s="1">
        <v>1.5871354414155801</v>
      </c>
      <c r="AM168" s="1">
        <v>626.57723582123197</v>
      </c>
      <c r="AN168" s="1">
        <v>1.67361804415123E-8</v>
      </c>
      <c r="AO168" s="1">
        <v>1.4256196388797701E-7</v>
      </c>
      <c r="AP168" s="1">
        <v>2.4978310763518001</v>
      </c>
      <c r="AQ168" s="1">
        <v>3.0331104178172201E-5</v>
      </c>
      <c r="AR168" s="1">
        <v>5.70813662492386E-6</v>
      </c>
      <c r="AS168" s="1">
        <v>12.0517824555793</v>
      </c>
      <c r="AT168" s="1">
        <v>9.3960628531108696</v>
      </c>
      <c r="AU168" s="1">
        <v>2.2684972110562698</v>
      </c>
      <c r="AV168" s="1">
        <v>0.22933386529553201</v>
      </c>
      <c r="AW168" s="1">
        <v>8.8302336882974206E-3</v>
      </c>
      <c r="AX168" s="1">
        <v>0.22933385681429899</v>
      </c>
      <c r="AY168" s="1">
        <v>8.4812321887728392E-9</v>
      </c>
      <c r="AZ168" s="1">
        <v>839091.99888317997</v>
      </c>
      <c r="BA168" s="1">
        <v>1.2142976546865701E-5</v>
      </c>
      <c r="BB168" s="4">
        <v>5519253.3217728296</v>
      </c>
      <c r="BC168" s="4">
        <v>-37702.830570922197</v>
      </c>
      <c r="BD168" s="7">
        <v>-0.67847990045810203</v>
      </c>
      <c r="BE168" s="4">
        <v>4763430.9000000004</v>
      </c>
      <c r="BF168" s="1">
        <v>1.1586718559878399</v>
      </c>
      <c r="BG168" s="1">
        <v>1</v>
      </c>
      <c r="BH168" s="1">
        <v>-0.15</v>
      </c>
      <c r="BI168" s="1">
        <v>4.5999999999999999E-2</v>
      </c>
      <c r="BJ168" s="1">
        <v>5625</v>
      </c>
      <c r="BK168" s="1">
        <v>1.0054364516337999</v>
      </c>
      <c r="BL168" s="1">
        <v>149.60050580056401</v>
      </c>
      <c r="BM168" s="1">
        <v>5.5192533217728297</v>
      </c>
      <c r="BN168" s="1">
        <v>149.60050580056401</v>
      </c>
      <c r="BO168" s="1">
        <v>1.0054364516337999</v>
      </c>
      <c r="BP168" s="1">
        <v>12012.2708717395</v>
      </c>
      <c r="BQ168" s="1">
        <v>1</v>
      </c>
      <c r="BR168" s="1">
        <v>0.15240000000000001</v>
      </c>
    </row>
    <row r="169" spans="1:70">
      <c r="A169" s="2" t="s">
        <v>237</v>
      </c>
      <c r="B169" s="1">
        <v>17236893.2329209</v>
      </c>
      <c r="C169" s="1">
        <v>626.57723583796803</v>
      </c>
      <c r="D169" s="1">
        <v>122.583590976701</v>
      </c>
      <c r="E169" s="1">
        <v>560.26337686439001</v>
      </c>
      <c r="F169" s="1">
        <v>2538890.6454807199</v>
      </c>
      <c r="G169" s="1">
        <v>1699798.64659754</v>
      </c>
      <c r="H169" s="1">
        <v>2.4290890628326198E-5</v>
      </c>
      <c r="I169" s="1">
        <v>6.4066005508525405E-5</v>
      </c>
      <c r="J169" s="1">
        <v>0.452884810527584</v>
      </c>
      <c r="K169" s="1">
        <v>11219.515372648901</v>
      </c>
      <c r="L169" s="1">
        <v>3.02925386118211E-3</v>
      </c>
      <c r="M169" s="1">
        <v>168</v>
      </c>
      <c r="N169" s="1">
        <v>2183.5302999999999</v>
      </c>
      <c r="O169" s="3">
        <v>2.8502295699234199E-6</v>
      </c>
      <c r="P169" s="3">
        <v>5.98473400508856E-3</v>
      </c>
      <c r="Q169" s="3">
        <v>1.905E-3</v>
      </c>
      <c r="R169" s="1">
        <v>0.15240000000000001</v>
      </c>
      <c r="S169" s="4">
        <v>5510171.77734375</v>
      </c>
      <c r="T169" s="1">
        <v>478.76143589818798</v>
      </c>
      <c r="U169" s="5">
        <v>550.73645611540996</v>
      </c>
      <c r="V169" s="1">
        <v>0.03</v>
      </c>
      <c r="W169" s="3">
        <v>64927.182340819898</v>
      </c>
      <c r="X169" s="1">
        <v>3.0700163138612201E-2</v>
      </c>
      <c r="Y169" s="1">
        <v>5.7072862912243698</v>
      </c>
      <c r="Z169" s="1">
        <v>5.7072863391106603</v>
      </c>
      <c r="AA169" s="1">
        <v>-4.7886292264820401E-8</v>
      </c>
      <c r="AB169" s="1">
        <v>1.11311493220718E-5</v>
      </c>
      <c r="AC169" s="1">
        <v>780.53961200313097</v>
      </c>
      <c r="AD169" s="1">
        <v>2011.0455553597301</v>
      </c>
      <c r="AE169" s="1">
        <v>550.73645611540996</v>
      </c>
      <c r="AF169" s="6">
        <v>0</v>
      </c>
      <c r="AG169" s="1">
        <v>1.1273597516775501E-5</v>
      </c>
      <c r="AH169" s="1">
        <v>32.657046709548197</v>
      </c>
      <c r="AI169" s="1">
        <v>0.24143061264274199</v>
      </c>
      <c r="AJ169" s="1">
        <v>23.8023287968776</v>
      </c>
      <c r="AK169" s="1">
        <v>8.7267481100358406</v>
      </c>
      <c r="AL169" s="1">
        <v>1.5871354414155801</v>
      </c>
      <c r="AM169" s="1">
        <v>626.57723582142603</v>
      </c>
      <c r="AN169" s="1">
        <v>1.6542003322683701E-8</v>
      </c>
      <c r="AO169" s="1">
        <v>1.4244819470372E-7</v>
      </c>
      <c r="AP169" s="1">
        <v>2.4978090395705901</v>
      </c>
      <c r="AQ169" s="1">
        <v>3.03316393694895E-5</v>
      </c>
      <c r="AR169" s="1">
        <v>5.7080228557396104E-6</v>
      </c>
      <c r="AS169" s="1">
        <v>12.0515422508419</v>
      </c>
      <c r="AT169" s="1">
        <v>9.3959631968434003</v>
      </c>
      <c r="AU169" s="1">
        <v>2.26847315098256</v>
      </c>
      <c r="AV169" s="1">
        <v>0.229335888588031</v>
      </c>
      <c r="AW169" s="1">
        <v>8.8302336882974206E-3</v>
      </c>
      <c r="AX169" s="1">
        <v>0.229335880099485</v>
      </c>
      <c r="AY169" s="1">
        <v>8.4885463658146404E-9</v>
      </c>
      <c r="AZ169" s="1">
        <v>839091.99888317997</v>
      </c>
      <c r="BA169" s="1">
        <v>1.2143297941905101E-5</v>
      </c>
      <c r="BB169" s="4">
        <v>5514702.8134638099</v>
      </c>
      <c r="BC169" s="4">
        <v>4531.0361200626903</v>
      </c>
      <c r="BD169" s="7">
        <v>8.2230396857916804E-2</v>
      </c>
      <c r="BE169" s="4">
        <v>4763430.9000000004</v>
      </c>
      <c r="BF169" s="1">
        <v>1.1577165554062701</v>
      </c>
      <c r="BG169" s="1">
        <v>1</v>
      </c>
      <c r="BH169" s="1">
        <v>-0.14000000000000001</v>
      </c>
      <c r="BI169" s="1">
        <v>4.5999999999999999E-2</v>
      </c>
      <c r="BJ169" s="1">
        <v>5625</v>
      </c>
      <c r="BK169" s="1">
        <v>1.00582470670355</v>
      </c>
      <c r="BL169" s="1">
        <v>147.81579993977999</v>
      </c>
      <c r="BM169" s="1">
        <v>5.5147028134638099</v>
      </c>
      <c r="BN169" s="1">
        <v>147.81579993977999</v>
      </c>
      <c r="BO169" s="1">
        <v>1.00582470670355</v>
      </c>
      <c r="BP169" s="1">
        <v>11624.246716654699</v>
      </c>
      <c r="BQ169" s="1">
        <v>1</v>
      </c>
      <c r="BR169" s="1">
        <v>0.15240000000000001</v>
      </c>
    </row>
    <row r="170" spans="1:70">
      <c r="A170" s="2" t="s">
        <v>238</v>
      </c>
      <c r="B170" s="1">
        <v>17236893.2329209</v>
      </c>
      <c r="C170" s="1">
        <v>626.57723583796803</v>
      </c>
      <c r="D170" s="1">
        <v>122.583590976701</v>
      </c>
      <c r="E170" s="1">
        <v>560.26337686439001</v>
      </c>
      <c r="F170" s="1">
        <v>2538890.6454807199</v>
      </c>
      <c r="G170" s="1">
        <v>1699798.64659754</v>
      </c>
      <c r="H170" s="1">
        <v>2.4290890628326198E-5</v>
      </c>
      <c r="I170" s="1">
        <v>6.4066005508525405E-5</v>
      </c>
      <c r="J170" s="1">
        <v>0.452884810527584</v>
      </c>
      <c r="K170" s="1">
        <v>11219.515372648901</v>
      </c>
      <c r="L170" s="1">
        <v>3.02925386118211E-3</v>
      </c>
      <c r="M170" s="1">
        <v>169</v>
      </c>
      <c r="N170" s="1">
        <v>2183.5302999999999</v>
      </c>
      <c r="O170" s="3">
        <v>2.8502295699234199E-6</v>
      </c>
      <c r="P170" s="3">
        <v>5.98473400508856E-3</v>
      </c>
      <c r="Q170" s="3">
        <v>1.905E-3</v>
      </c>
      <c r="R170" s="1">
        <v>0.15240000000000001</v>
      </c>
      <c r="S170" s="4">
        <v>4905874.90234375</v>
      </c>
      <c r="T170" s="1">
        <v>504.24977393984398</v>
      </c>
      <c r="U170" s="5">
        <v>568.33134154744596</v>
      </c>
      <c r="V170" s="1">
        <v>0.03</v>
      </c>
      <c r="W170" s="3">
        <v>64927.182340819898</v>
      </c>
      <c r="X170" s="1">
        <v>3.0700163138612201E-2</v>
      </c>
      <c r="Y170" s="1">
        <v>5.7072862912243698</v>
      </c>
      <c r="Z170" s="1">
        <v>5.7072863391106603</v>
      </c>
      <c r="AA170" s="1">
        <v>-4.7886292264820401E-8</v>
      </c>
      <c r="AB170" s="1">
        <v>1.11311493220718E-5</v>
      </c>
      <c r="AC170" s="1">
        <v>757.98418276833604</v>
      </c>
      <c r="AD170" s="1">
        <v>2011.0455553597301</v>
      </c>
      <c r="AE170" s="1">
        <v>568.33134154744596</v>
      </c>
      <c r="AF170" s="6">
        <v>0</v>
      </c>
      <c r="AG170" s="1">
        <v>1.1257948088174801E-5</v>
      </c>
      <c r="AH170" s="1">
        <v>32.657046709548197</v>
      </c>
      <c r="AI170" s="1">
        <v>0.24143061264274199</v>
      </c>
      <c r="AJ170" s="1">
        <v>23.769287627500798</v>
      </c>
      <c r="AK170" s="1">
        <v>7.4514637102890102</v>
      </c>
      <c r="AL170" s="1">
        <v>1.5871354414155801</v>
      </c>
      <c r="AM170" s="1">
        <v>626.57723582533004</v>
      </c>
      <c r="AN170" s="1">
        <v>1.2638452062674299E-8</v>
      </c>
      <c r="AO170" s="1">
        <v>1.26798766103033E-7</v>
      </c>
      <c r="AP170" s="1">
        <v>2.49477390743154</v>
      </c>
      <c r="AQ170" s="1">
        <v>3.0405486970226199E-5</v>
      </c>
      <c r="AR170" s="1">
        <v>5.6923734271389204E-6</v>
      </c>
      <c r="AS170" s="1">
        <v>12.0185010814652</v>
      </c>
      <c r="AT170" s="1">
        <v>9.3822360964497395</v>
      </c>
      <c r="AU170" s="1">
        <v>2.26515900872471</v>
      </c>
      <c r="AV170" s="1">
        <v>0.22961489870683</v>
      </c>
      <c r="AW170" s="1">
        <v>8.8302336882974206E-3</v>
      </c>
      <c r="AX170" s="1">
        <v>0.229614889230635</v>
      </c>
      <c r="AY170" s="1">
        <v>9.4761947178057004E-9</v>
      </c>
      <c r="AZ170" s="1">
        <v>839091.99888317997</v>
      </c>
      <c r="BA170" s="1">
        <v>1.21876723496478E-5</v>
      </c>
      <c r="BB170" s="4">
        <v>4890982.08000449</v>
      </c>
      <c r="BC170" s="4">
        <v>-14892.822339259999</v>
      </c>
      <c r="BD170" s="7">
        <v>-0.30357118018123702</v>
      </c>
      <c r="BE170" s="4">
        <v>4321788.3</v>
      </c>
      <c r="BF170" s="1">
        <v>1.13170329976702</v>
      </c>
      <c r="BG170" s="1">
        <v>1</v>
      </c>
      <c r="BH170" s="1">
        <v>-8.1000000000000003E-2</v>
      </c>
      <c r="BI170" s="1">
        <v>4.5999999999999999E-2</v>
      </c>
      <c r="BJ170" s="1">
        <v>5625</v>
      </c>
      <c r="BK170" s="1">
        <v>1.0137866015975401</v>
      </c>
      <c r="BL170" s="1">
        <v>122.327461898124</v>
      </c>
      <c r="BM170" s="1">
        <v>4.8909820800044903</v>
      </c>
      <c r="BN170" s="1">
        <v>122.327461898124</v>
      </c>
      <c r="BO170" s="1">
        <v>1.0137866015975401</v>
      </c>
      <c r="BP170" s="1">
        <v>6777.8109825870697</v>
      </c>
      <c r="BQ170" s="1">
        <v>1</v>
      </c>
      <c r="BR170" s="1">
        <v>0.15240000000000001</v>
      </c>
    </row>
    <row r="171" spans="1:70">
      <c r="A171" s="2" t="s">
        <v>239</v>
      </c>
      <c r="B171" s="1">
        <v>17236893.2329209</v>
      </c>
      <c r="C171" s="1">
        <v>626.57723583796803</v>
      </c>
      <c r="D171" s="1">
        <v>122.583590976701</v>
      </c>
      <c r="E171" s="1">
        <v>560.26337686439001</v>
      </c>
      <c r="F171" s="1">
        <v>2538890.6454807199</v>
      </c>
      <c r="G171" s="1">
        <v>1699798.64659754</v>
      </c>
      <c r="H171" s="1">
        <v>2.4290890628326198E-5</v>
      </c>
      <c r="I171" s="1">
        <v>6.4066005508525405E-5</v>
      </c>
      <c r="J171" s="1">
        <v>0.452884810527584</v>
      </c>
      <c r="K171" s="1">
        <v>11219.515372648901</v>
      </c>
      <c r="L171" s="1">
        <v>3.02925386118211E-3</v>
      </c>
      <c r="M171" s="1">
        <v>170</v>
      </c>
      <c r="N171" s="1">
        <v>2197.0925999999999</v>
      </c>
      <c r="O171" s="3">
        <v>2.8502295699234199E-6</v>
      </c>
      <c r="P171" s="3">
        <v>5.98473400508856E-3</v>
      </c>
      <c r="Q171" s="3">
        <v>1.905E-3</v>
      </c>
      <c r="R171" s="1">
        <v>0.15240000000000001</v>
      </c>
      <c r="S171" s="4">
        <v>4550026.26953125</v>
      </c>
      <c r="T171" s="1">
        <v>523.21058206421105</v>
      </c>
      <c r="U171" s="5">
        <v>582.27710731770196</v>
      </c>
      <c r="V171" s="1">
        <v>0.03</v>
      </c>
      <c r="W171" s="3">
        <v>65330.456765297</v>
      </c>
      <c r="X171" s="1">
        <v>3.06170850033569E-2</v>
      </c>
      <c r="Y171" s="1">
        <v>5.71502428279324</v>
      </c>
      <c r="Z171" s="1">
        <v>5.7150243315446003</v>
      </c>
      <c r="AA171" s="1">
        <v>-4.8751357617504703E-8</v>
      </c>
      <c r="AB171" s="1">
        <v>1.10239840215693E-5</v>
      </c>
      <c r="AC171" s="1">
        <v>742.592173211106</v>
      </c>
      <c r="AD171" s="1">
        <v>2020.79670666674</v>
      </c>
      <c r="AE171" s="1">
        <v>582.27710731770196</v>
      </c>
      <c r="AF171" s="6">
        <v>0</v>
      </c>
      <c r="AG171" s="1">
        <v>1.11421369329449E-5</v>
      </c>
      <c r="AH171" s="1">
        <v>32.974509272747099</v>
      </c>
      <c r="AI171" s="1">
        <v>0.24260126063117199</v>
      </c>
      <c r="AJ171" s="1">
        <v>23.638838445485401</v>
      </c>
      <c r="AK171" s="1">
        <v>6.5898084113481596</v>
      </c>
      <c r="AL171" s="1">
        <v>1.5871354414155801</v>
      </c>
      <c r="AM171" s="1">
        <v>626.57723580225104</v>
      </c>
      <c r="AN171" s="1">
        <v>3.57168801201624E-8</v>
      </c>
      <c r="AO171" s="1">
        <v>1.18152911375557E-7</v>
      </c>
      <c r="AP171" s="1">
        <v>2.4990130844020899</v>
      </c>
      <c r="AQ171" s="1">
        <v>3.03024183495054E-5</v>
      </c>
      <c r="AR171" s="1">
        <v>5.6301449221602101E-6</v>
      </c>
      <c r="AS171" s="1">
        <v>11.944754138328401</v>
      </c>
      <c r="AT171" s="1">
        <v>9.3514609887771503</v>
      </c>
      <c r="AU171" s="1">
        <v>2.2686762246205601</v>
      </c>
      <c r="AV171" s="1">
        <v>0.23033685978153201</v>
      </c>
      <c r="AW171" s="1">
        <v>8.7452204862162094E-3</v>
      </c>
      <c r="AX171" s="1">
        <v>0.23033685152251501</v>
      </c>
      <c r="AY171" s="1">
        <v>8.2590171923691003E-9</v>
      </c>
      <c r="AZ171" s="1">
        <v>839091.99888317997</v>
      </c>
      <c r="BA171" s="1">
        <v>1.21257541781761E-5</v>
      </c>
      <c r="BB171" s="4">
        <v>4580759.4082100997</v>
      </c>
      <c r="BC171" s="4">
        <v>30733.138678850599</v>
      </c>
      <c r="BD171" s="7">
        <v>0.67544969761277396</v>
      </c>
      <c r="BE171" s="4">
        <v>3817053.9</v>
      </c>
      <c r="BF171" s="1">
        <v>1.20007721353112</v>
      </c>
      <c r="BG171" s="1">
        <v>1</v>
      </c>
      <c r="BH171" s="1">
        <v>-6.8000000000000005E-2</v>
      </c>
      <c r="BI171" s="1">
        <v>4.5999999999999999E-2</v>
      </c>
      <c r="BJ171" s="1">
        <v>5625</v>
      </c>
      <c r="BK171" s="1">
        <v>1.02252902442614</v>
      </c>
      <c r="BL171" s="1">
        <v>103.36665377375699</v>
      </c>
      <c r="BM171" s="1">
        <v>4.5807594082101</v>
      </c>
      <c r="BN171" s="1">
        <v>103.36665377375699</v>
      </c>
      <c r="BO171" s="1">
        <v>1.02252902442614</v>
      </c>
      <c r="BP171" s="1">
        <v>4015.3328104831899</v>
      </c>
      <c r="BQ171" s="1">
        <v>1</v>
      </c>
      <c r="BR171" s="1">
        <v>0.15240000000000001</v>
      </c>
    </row>
    <row r="172" spans="1:70">
      <c r="A172" s="2" t="s">
        <v>240</v>
      </c>
      <c r="B172" s="1">
        <v>17236893.2329209</v>
      </c>
      <c r="C172" s="1">
        <v>626.57723583796803</v>
      </c>
      <c r="D172" s="1">
        <v>122.583590976701</v>
      </c>
      <c r="E172" s="1">
        <v>560.26337686439001</v>
      </c>
      <c r="F172" s="1">
        <v>2538890.6454807199</v>
      </c>
      <c r="G172" s="1">
        <v>1699798.64659754</v>
      </c>
      <c r="H172" s="1">
        <v>2.4290890628326198E-5</v>
      </c>
      <c r="I172" s="1">
        <v>6.4066005508525405E-5</v>
      </c>
      <c r="J172" s="1">
        <v>0.452884810527584</v>
      </c>
      <c r="K172" s="1">
        <v>11219.515372648901</v>
      </c>
      <c r="L172" s="1">
        <v>3.02925386118211E-3</v>
      </c>
      <c r="M172" s="1">
        <v>171</v>
      </c>
      <c r="N172" s="1">
        <v>2210.6549</v>
      </c>
      <c r="O172" s="3">
        <v>2.8502295699234199E-6</v>
      </c>
      <c r="P172" s="3">
        <v>5.98473400508856E-3</v>
      </c>
      <c r="Q172" s="3">
        <v>1.905E-3</v>
      </c>
      <c r="R172" s="1">
        <v>0.15240000000000001</v>
      </c>
      <c r="S172" s="4">
        <v>4855579.98046875</v>
      </c>
      <c r="T172" s="1">
        <v>508.15729880951102</v>
      </c>
      <c r="U172" s="5">
        <v>570.80368758220595</v>
      </c>
      <c r="V172" s="1">
        <v>0.03</v>
      </c>
      <c r="W172" s="3">
        <v>65733.731189774204</v>
      </c>
      <c r="X172" s="1">
        <v>3.0534849970872299E-2</v>
      </c>
      <c r="Y172" s="1">
        <v>5.7227148266235099</v>
      </c>
      <c r="Z172" s="1">
        <v>5.7227148750663401</v>
      </c>
      <c r="AA172" s="1">
        <v>-4.8442837297102401E-8</v>
      </c>
      <c r="AB172" s="1">
        <v>1.0918461443926301E-5</v>
      </c>
      <c r="AC172" s="1">
        <v>754.05953210533198</v>
      </c>
      <c r="AD172" s="1">
        <v>2030.5383233820601</v>
      </c>
      <c r="AE172" s="1">
        <v>570.80368914655003</v>
      </c>
      <c r="AF172" s="6">
        <v>1.5643440747226099E-6</v>
      </c>
      <c r="AG172" s="1">
        <v>1.10432458176414E-5</v>
      </c>
      <c r="AH172" s="1">
        <v>33.2931947608852</v>
      </c>
      <c r="AI172" s="1">
        <v>0.24377076397009001</v>
      </c>
      <c r="AJ172" s="1">
        <v>23.541977792388</v>
      </c>
      <c r="AK172" s="1">
        <v>7.2503442617490599</v>
      </c>
      <c r="AL172" s="1">
        <v>1.5871354414155801</v>
      </c>
      <c r="AM172" s="1">
        <v>626.57723582966798</v>
      </c>
      <c r="AN172" s="1">
        <v>8.2997075878665799E-9</v>
      </c>
      <c r="AO172" s="1">
        <v>1.2478437371515499E-7</v>
      </c>
      <c r="AP172" s="1">
        <v>2.5062277046867698</v>
      </c>
      <c r="AQ172" s="1">
        <v>3.0128207703871501E-5</v>
      </c>
      <c r="AR172" s="1">
        <v>5.5840150956782901E-6</v>
      </c>
      <c r="AS172" s="1">
        <v>11.903996483064301</v>
      </c>
      <c r="AT172" s="1">
        <v>9.3343709132459107</v>
      </c>
      <c r="AU172" s="1">
        <v>2.27544672870214</v>
      </c>
      <c r="AV172" s="1">
        <v>0.230780975984621</v>
      </c>
      <c r="AW172" s="1">
        <v>8.6615104403782693E-3</v>
      </c>
      <c r="AX172" s="1">
        <v>0.23078097020959901</v>
      </c>
      <c r="AY172" s="1">
        <v>5.7750227100417098E-9</v>
      </c>
      <c r="AZ172" s="1">
        <v>839091.99888317997</v>
      </c>
      <c r="BA172" s="1">
        <v>1.20213369469702E-5</v>
      </c>
      <c r="BB172" s="4">
        <v>4879881.1848129798</v>
      </c>
      <c r="BC172" s="4">
        <v>24301.204344229802</v>
      </c>
      <c r="BD172" s="7">
        <v>0.50047995176641602</v>
      </c>
      <c r="BE172" s="4">
        <v>4353334.2</v>
      </c>
      <c r="BF172" s="1">
        <v>1.1209525758010901</v>
      </c>
      <c r="BG172" s="1">
        <v>1</v>
      </c>
      <c r="BH172" s="1">
        <v>-6.3E-2</v>
      </c>
      <c r="BI172" s="1">
        <v>4.5999999999999999E-2</v>
      </c>
      <c r="BJ172" s="1">
        <v>5625</v>
      </c>
      <c r="BK172" s="1">
        <v>1.01541535040181</v>
      </c>
      <c r="BL172" s="1">
        <v>118.419937028457</v>
      </c>
      <c r="BM172" s="1">
        <v>4.8798811848129802</v>
      </c>
      <c r="BN172" s="1">
        <v>118.419937028457</v>
      </c>
      <c r="BO172" s="1">
        <v>1.01541535040181</v>
      </c>
      <c r="BP172" s="1">
        <v>6149.6865235471596</v>
      </c>
      <c r="BQ172" s="1">
        <v>1</v>
      </c>
      <c r="BR172" s="1">
        <v>0.15240000000000001</v>
      </c>
    </row>
    <row r="173" spans="1:70">
      <c r="A173" s="2" t="s">
        <v>241</v>
      </c>
      <c r="B173" s="1">
        <v>17236893.2329209</v>
      </c>
      <c r="C173" s="1">
        <v>626.57723583796803</v>
      </c>
      <c r="D173" s="1">
        <v>122.583590976701</v>
      </c>
      <c r="E173" s="1">
        <v>560.26337686439001</v>
      </c>
      <c r="F173" s="1">
        <v>2538890.6454807199</v>
      </c>
      <c r="G173" s="1">
        <v>1699798.64659754</v>
      </c>
      <c r="H173" s="1">
        <v>2.4290890628326198E-5</v>
      </c>
      <c r="I173" s="1">
        <v>6.4066005508525405E-5</v>
      </c>
      <c r="J173" s="1">
        <v>0.452884810527584</v>
      </c>
      <c r="K173" s="1">
        <v>11219.515372648901</v>
      </c>
      <c r="L173" s="1">
        <v>3.02925386118211E-3</v>
      </c>
      <c r="M173" s="1">
        <v>172</v>
      </c>
      <c r="N173" s="1">
        <v>2210.6549</v>
      </c>
      <c r="O173" s="3">
        <v>2.8502295699234199E-6</v>
      </c>
      <c r="P173" s="3">
        <v>5.98473400508856E-3</v>
      </c>
      <c r="Q173" s="3">
        <v>1.905E-3</v>
      </c>
      <c r="R173" s="1">
        <v>0.15240000000000001</v>
      </c>
      <c r="S173" s="4">
        <v>4564452.63671875</v>
      </c>
      <c r="T173" s="1">
        <v>523.21058206421105</v>
      </c>
      <c r="U173" s="5">
        <v>582.10086408296797</v>
      </c>
      <c r="V173" s="1">
        <v>0.03</v>
      </c>
      <c r="W173" s="3">
        <v>65733.731189774204</v>
      </c>
      <c r="X173" s="1">
        <v>3.0534849970872299E-2</v>
      </c>
      <c r="Y173" s="1">
        <v>5.7227148266235099</v>
      </c>
      <c r="Z173" s="1">
        <v>5.7227148750663401</v>
      </c>
      <c r="AA173" s="1">
        <v>-4.8442837297102401E-8</v>
      </c>
      <c r="AB173" s="1">
        <v>1.0918461443926301E-5</v>
      </c>
      <c r="AC173" s="1">
        <v>742.259450029145</v>
      </c>
      <c r="AD173" s="1">
        <v>2030.5383233820601</v>
      </c>
      <c r="AE173" s="1">
        <v>582.10086553761198</v>
      </c>
      <c r="AF173" s="6">
        <v>1.45464412071306E-6</v>
      </c>
      <c r="AG173" s="1">
        <v>1.1035236207898E-5</v>
      </c>
      <c r="AH173" s="1">
        <v>33.2931947608852</v>
      </c>
      <c r="AI173" s="1">
        <v>0.24377076397009001</v>
      </c>
      <c r="AJ173" s="1">
        <v>23.524902916231198</v>
      </c>
      <c r="AK173" s="1">
        <v>6.5807077370559002</v>
      </c>
      <c r="AL173" s="1">
        <v>1.5871354414155801</v>
      </c>
      <c r="AM173" s="1">
        <v>626.57723583202403</v>
      </c>
      <c r="AN173" s="1">
        <v>5.9443436839501398E-9</v>
      </c>
      <c r="AO173" s="1">
        <v>1.1677476397172201E-7</v>
      </c>
      <c r="AP173" s="1">
        <v>2.5046257551412099</v>
      </c>
      <c r="AQ173" s="1">
        <v>3.01667598134937E-5</v>
      </c>
      <c r="AR173" s="1">
        <v>5.57600548593486E-6</v>
      </c>
      <c r="AS173" s="1">
        <v>11.8869216069074</v>
      </c>
      <c r="AT173" s="1">
        <v>9.3271938555871792</v>
      </c>
      <c r="AU173" s="1">
        <v>2.2736971718736201</v>
      </c>
      <c r="AV173" s="1">
        <v>0.230928583267588</v>
      </c>
      <c r="AW173" s="1">
        <v>8.6615104403782693E-3</v>
      </c>
      <c r="AX173" s="1">
        <v>0.230928576880812</v>
      </c>
      <c r="AY173" s="1">
        <v>6.3867758026692201E-9</v>
      </c>
      <c r="AZ173" s="1">
        <v>839091.99888317997</v>
      </c>
      <c r="BA173" s="1">
        <v>1.20444181137924E-5</v>
      </c>
      <c r="BB173" s="4">
        <v>4557902.0646857303</v>
      </c>
      <c r="BC173" s="4">
        <v>-6550.5720330169397</v>
      </c>
      <c r="BD173" s="7">
        <v>-0.14351276164683699</v>
      </c>
      <c r="BE173" s="4">
        <v>3785508</v>
      </c>
      <c r="BF173" s="1">
        <v>1.2040397391012601</v>
      </c>
      <c r="BG173" s="1">
        <v>1</v>
      </c>
      <c r="BH173" s="1">
        <v>-7.8E-2</v>
      </c>
      <c r="BI173" s="1">
        <v>4.5999999999999999E-2</v>
      </c>
      <c r="BJ173" s="1">
        <v>5625</v>
      </c>
      <c r="BK173" s="1">
        <v>1.02252902442614</v>
      </c>
      <c r="BL173" s="1">
        <v>103.36665377375699</v>
      </c>
      <c r="BM173" s="1">
        <v>4.55790206468573</v>
      </c>
      <c r="BN173" s="1">
        <v>103.36665377375699</v>
      </c>
      <c r="BO173" s="1">
        <v>1.02252902442614</v>
      </c>
      <c r="BP173" s="1">
        <v>4015.3328104831899</v>
      </c>
      <c r="BQ173" s="1">
        <v>1</v>
      </c>
      <c r="BR173" s="1">
        <v>0.15240000000000001</v>
      </c>
    </row>
    <row r="174" spans="1:70">
      <c r="A174" s="2" t="s">
        <v>242</v>
      </c>
      <c r="B174" s="1">
        <v>17236893.2329209</v>
      </c>
      <c r="C174" s="1">
        <v>626.57723583796803</v>
      </c>
      <c r="D174" s="1">
        <v>122.583590976701</v>
      </c>
      <c r="E174" s="1">
        <v>560.26337686439001</v>
      </c>
      <c r="F174" s="1">
        <v>2538890.6454807199</v>
      </c>
      <c r="G174" s="1">
        <v>1699798.64659754</v>
      </c>
      <c r="H174" s="1">
        <v>2.4290890628326198E-5</v>
      </c>
      <c r="I174" s="1">
        <v>6.4066005508525405E-5</v>
      </c>
      <c r="J174" s="1">
        <v>0.452884810527584</v>
      </c>
      <c r="K174" s="1">
        <v>11219.515372648901</v>
      </c>
      <c r="L174" s="1">
        <v>3.02925386118211E-3</v>
      </c>
      <c r="M174" s="1">
        <v>173</v>
      </c>
      <c r="N174" s="1">
        <v>2766.7091999999998</v>
      </c>
      <c r="O174" s="3">
        <v>2.8502295699234199E-6</v>
      </c>
      <c r="P174" s="3">
        <v>5.98473400508856E-3</v>
      </c>
      <c r="Q174" s="3">
        <v>1.905E-3</v>
      </c>
      <c r="R174" s="1">
        <v>0.15240000000000001</v>
      </c>
      <c r="S174" s="4">
        <v>5212428.61328125</v>
      </c>
      <c r="T174" s="1">
        <v>519.29568547134102</v>
      </c>
      <c r="U174" s="5">
        <v>573.03009566495803</v>
      </c>
      <c r="V174" s="1">
        <v>0.03</v>
      </c>
      <c r="W174" s="3">
        <v>82267.982593337001</v>
      </c>
      <c r="X174" s="1">
        <v>2.77491536244742E-2</v>
      </c>
      <c r="Y174" s="1">
        <v>6.00309379981202</v>
      </c>
      <c r="Z174" s="1">
        <v>6.00309380657938</v>
      </c>
      <c r="AA174" s="1">
        <v>-6.76735467664002E-9</v>
      </c>
      <c r="AB174" s="1">
        <v>7.6704769287397103E-6</v>
      </c>
      <c r="AC174" s="1">
        <v>733.24730748020295</v>
      </c>
      <c r="AD174" s="1">
        <v>2422.5945115211698</v>
      </c>
      <c r="AE174" s="1">
        <v>573.03009702484098</v>
      </c>
      <c r="AF174" s="6">
        <v>1.3598829582406301E-6</v>
      </c>
      <c r="AG174" s="1">
        <v>7.77408085954013E-6</v>
      </c>
      <c r="AH174" s="1">
        <v>47.390855447313001</v>
      </c>
      <c r="AI174" s="1">
        <v>0.29083800490878298</v>
      </c>
      <c r="AJ174" s="1">
        <v>19.7726463227755</v>
      </c>
      <c r="AK174" s="1">
        <v>6.4148716848379204</v>
      </c>
      <c r="AL174" s="1">
        <v>1.5871354414155801</v>
      </c>
      <c r="AM174" s="1">
        <v>626.57723581701998</v>
      </c>
      <c r="AN174" s="1">
        <v>2.0947936718584999E-8</v>
      </c>
      <c r="AO174" s="1">
        <v>1.0360393080042E-7</v>
      </c>
      <c r="AP174" s="1">
        <v>2.71786624838033</v>
      </c>
      <c r="AQ174" s="1">
        <v>2.5618764937617E-5</v>
      </c>
      <c r="AR174" s="1">
        <v>3.9388423951702698E-6</v>
      </c>
      <c r="AS174" s="1">
        <v>10.018076607124801</v>
      </c>
      <c r="AT174" s="1">
        <v>8.4719556092708199</v>
      </c>
      <c r="AU174" s="1">
        <v>2.4639666670760998</v>
      </c>
      <c r="AV174" s="1">
        <v>0.25389958130423002</v>
      </c>
      <c r="AW174" s="1">
        <v>6.0849155663701901E-3</v>
      </c>
      <c r="AX174" s="1">
        <v>0.253899578153094</v>
      </c>
      <c r="AY174" s="1">
        <v>3.15113646287557E-9</v>
      </c>
      <c r="AZ174" s="1">
        <v>839091.99888317997</v>
      </c>
      <c r="BA174" s="1">
        <v>9.4260580162412701E-6</v>
      </c>
      <c r="BB174" s="4">
        <v>5167112.7606508499</v>
      </c>
      <c r="BC174" s="4">
        <v>-45315.852630401998</v>
      </c>
      <c r="BD174" s="7">
        <v>-0.86938078182859602</v>
      </c>
      <c r="BE174" s="4">
        <v>4952706.3</v>
      </c>
      <c r="BF174" s="1">
        <v>1.0432907682514601</v>
      </c>
      <c r="BG174" s="1">
        <v>1</v>
      </c>
      <c r="BH174" s="1">
        <v>-7.0000000000000007E-2</v>
      </c>
      <c r="BI174" s="1">
        <v>4.5999999999999999E-2</v>
      </c>
      <c r="BJ174" s="1">
        <v>5625</v>
      </c>
      <c r="BK174" s="1">
        <v>1.02057086396692</v>
      </c>
      <c r="BL174" s="1">
        <v>107.281550366627</v>
      </c>
      <c r="BM174" s="1">
        <v>5.1671127606508502</v>
      </c>
      <c r="BN174" s="1">
        <v>107.281550366627</v>
      </c>
      <c r="BO174" s="1">
        <v>1.02057086396692</v>
      </c>
      <c r="BP174" s="1">
        <v>4526.8070197369698</v>
      </c>
      <c r="BQ174" s="1">
        <v>1</v>
      </c>
      <c r="BR174" s="1">
        <v>0.15240000000000001</v>
      </c>
    </row>
    <row r="175" spans="1:70">
      <c r="A175" s="2" t="s">
        <v>243</v>
      </c>
      <c r="B175" s="1">
        <v>17236893.2329209</v>
      </c>
      <c r="C175" s="1">
        <v>626.57723583796803</v>
      </c>
      <c r="D175" s="1">
        <v>122.583590976701</v>
      </c>
      <c r="E175" s="1">
        <v>560.26337686439001</v>
      </c>
      <c r="F175" s="1">
        <v>2538890.6454807199</v>
      </c>
      <c r="G175" s="1">
        <v>1699798.64659754</v>
      </c>
      <c r="H175" s="1">
        <v>2.4290890628326198E-5</v>
      </c>
      <c r="I175" s="1">
        <v>6.4066005508525405E-5</v>
      </c>
      <c r="J175" s="1">
        <v>0.452884810527584</v>
      </c>
      <c r="K175" s="1">
        <v>11219.515372648901</v>
      </c>
      <c r="L175" s="1">
        <v>3.02925386118211E-3</v>
      </c>
      <c r="M175" s="1">
        <v>174</v>
      </c>
      <c r="N175" s="1">
        <v>2820.9584</v>
      </c>
      <c r="O175" s="3">
        <v>2.8502295699234199E-6</v>
      </c>
      <c r="P175" s="3">
        <v>5.98473400508856E-3</v>
      </c>
      <c r="Q175" s="3">
        <v>1.905E-3</v>
      </c>
      <c r="R175" s="1">
        <v>0.15240000000000001</v>
      </c>
      <c r="S175" s="4">
        <v>4621458.10546875</v>
      </c>
      <c r="T175" s="1">
        <v>551.03814075669595</v>
      </c>
      <c r="U175" s="5">
        <v>597.76409926617498</v>
      </c>
      <c r="V175" s="1">
        <v>0.03</v>
      </c>
      <c r="W175" s="3">
        <v>83881.080291245598</v>
      </c>
      <c r="X175" s="1">
        <v>2.7526308797267501E-2</v>
      </c>
      <c r="Y175" s="1">
        <v>6.0273444501828601</v>
      </c>
      <c r="Z175" s="1">
        <v>6.02734448036861</v>
      </c>
      <c r="AA175" s="1">
        <v>-3.0185753452372001E-8</v>
      </c>
      <c r="AB175" s="1">
        <v>7.4380277893052797E-6</v>
      </c>
      <c r="AC175" s="1">
        <v>710.43627509271801</v>
      </c>
      <c r="AD175" s="1">
        <v>2460.15808360652</v>
      </c>
      <c r="AE175" s="1">
        <v>597.76410041112194</v>
      </c>
      <c r="AF175" s="6">
        <v>1.14494662284415E-6</v>
      </c>
      <c r="AG175" s="1">
        <v>7.5285639347693804E-6</v>
      </c>
      <c r="AH175" s="1">
        <v>48.871888306806902</v>
      </c>
      <c r="AI175" s="1">
        <v>0.29534759754204998</v>
      </c>
      <c r="AJ175" s="1">
        <v>19.445099655718</v>
      </c>
      <c r="AK175" s="1">
        <v>5.0711978747372397</v>
      </c>
      <c r="AL175" s="1">
        <v>1.5871354414155801</v>
      </c>
      <c r="AM175" s="1">
        <v>626.577235843739</v>
      </c>
      <c r="AN175" s="1">
        <v>-5.7711986301001203E-9</v>
      </c>
      <c r="AO175" s="1">
        <v>9.0536145464103296E-8</v>
      </c>
      <c r="AP175" s="1">
        <v>2.7320995024991799</v>
      </c>
      <c r="AQ175" s="1">
        <v>2.5352531168378799E-5</v>
      </c>
      <c r="AR175" s="1">
        <v>3.8095500401167401E-6</v>
      </c>
      <c r="AS175" s="1">
        <v>9.8394701586317499</v>
      </c>
      <c r="AT175" s="1">
        <v>8.3820093197346299</v>
      </c>
      <c r="AU175" s="1">
        <v>2.4756063151587</v>
      </c>
      <c r="AV175" s="1">
        <v>0.25649318734047599</v>
      </c>
      <c r="AW175" s="1">
        <v>5.9005158999512301E-3</v>
      </c>
      <c r="AX175" s="1">
        <v>0.25649318664311699</v>
      </c>
      <c r="AY175" s="1">
        <v>6.9735911489843302E-10</v>
      </c>
      <c r="AZ175" s="1">
        <v>839091.99888317997</v>
      </c>
      <c r="BA175" s="1">
        <v>9.2795050638484002E-6</v>
      </c>
      <c r="BB175" s="4">
        <v>4586685.9182813298</v>
      </c>
      <c r="BC175" s="4">
        <v>-34772.1871874239</v>
      </c>
      <c r="BD175" s="7">
        <v>-0.75240727912856498</v>
      </c>
      <c r="BE175" s="4">
        <v>4132512.9</v>
      </c>
      <c r="BF175" s="1">
        <v>1.1099023836758799</v>
      </c>
      <c r="BG175" s="1">
        <v>1</v>
      </c>
      <c r="BH175" s="1">
        <v>-1.0999999999999999E-2</v>
      </c>
      <c r="BI175" s="1">
        <v>4.5999999999999999E-2</v>
      </c>
      <c r="BJ175" s="1">
        <v>5625</v>
      </c>
      <c r="BK175" s="1">
        <v>1.0367487133264599</v>
      </c>
      <c r="BL175" s="1">
        <v>75.539095081272094</v>
      </c>
      <c r="BM175" s="1">
        <v>4.5866859182813302</v>
      </c>
      <c r="BN175" s="1">
        <v>75.539095081272094</v>
      </c>
      <c r="BO175" s="1">
        <v>1.0367487133264599</v>
      </c>
      <c r="BP175" s="1">
        <v>1263.0272791957</v>
      </c>
      <c r="BQ175" s="1">
        <v>1</v>
      </c>
      <c r="BR175" s="1">
        <v>0.15240000000000001</v>
      </c>
    </row>
    <row r="176" spans="1:70">
      <c r="A176" s="2" t="s">
        <v>244</v>
      </c>
      <c r="B176" s="1">
        <v>17236893.2329209</v>
      </c>
      <c r="C176" s="1">
        <v>626.57723583796803</v>
      </c>
      <c r="D176" s="1">
        <v>122.583590976701</v>
      </c>
      <c r="E176" s="1">
        <v>560.26337686439001</v>
      </c>
      <c r="F176" s="1">
        <v>2538890.6454807199</v>
      </c>
      <c r="G176" s="1">
        <v>1699798.64659754</v>
      </c>
      <c r="H176" s="1">
        <v>2.4290890628326198E-5</v>
      </c>
      <c r="I176" s="1">
        <v>6.4066005508525405E-5</v>
      </c>
      <c r="J176" s="1">
        <v>0.452884810527584</v>
      </c>
      <c r="K176" s="1">
        <v>11219.515372648901</v>
      </c>
      <c r="L176" s="1">
        <v>3.02925386118211E-3</v>
      </c>
      <c r="M176" s="1">
        <v>175</v>
      </c>
      <c r="N176" s="1">
        <v>2848.0830000000001</v>
      </c>
      <c r="O176" s="3">
        <v>2.8502295699234199E-6</v>
      </c>
      <c r="P176" s="3">
        <v>5.98473400508856E-3</v>
      </c>
      <c r="Q176" s="3">
        <v>1.905E-3</v>
      </c>
      <c r="R176" s="1">
        <v>0.15240000000000001</v>
      </c>
      <c r="S176" s="4">
        <v>6442211.9140625</v>
      </c>
      <c r="T176" s="1">
        <v>474.87307781161599</v>
      </c>
      <c r="U176" s="5">
        <v>539.38771295293895</v>
      </c>
      <c r="V176" s="1">
        <v>0.03</v>
      </c>
      <c r="W176" s="3">
        <v>84687.629140199904</v>
      </c>
      <c r="X176" s="1">
        <v>2.74174892535737E-2</v>
      </c>
      <c r="Y176" s="1">
        <v>6.0392938184881597</v>
      </c>
      <c r="Z176" s="1">
        <v>6.0392938316842102</v>
      </c>
      <c r="AA176" s="1">
        <v>-1.31960531390973E-8</v>
      </c>
      <c r="AB176" s="1">
        <v>7.3259874902453803E-6</v>
      </c>
      <c r="AC176" s="1">
        <v>764.98388724176402</v>
      </c>
      <c r="AD176" s="1">
        <v>2478.8989676378101</v>
      </c>
      <c r="AE176" s="1">
        <v>539.38771295293895</v>
      </c>
      <c r="AF176" s="6">
        <v>0</v>
      </c>
      <c r="AG176" s="1">
        <v>7.4510234510848599E-6</v>
      </c>
      <c r="AH176" s="1">
        <v>49.619312594496101</v>
      </c>
      <c r="AI176" s="1">
        <v>0.29759748347878701</v>
      </c>
      <c r="AJ176" s="1">
        <v>19.3914271293852</v>
      </c>
      <c r="AK176" s="1">
        <v>8.3775878914544997</v>
      </c>
      <c r="AL176" s="1">
        <v>1.5871354414155801</v>
      </c>
      <c r="AM176" s="1">
        <v>626.57723587478699</v>
      </c>
      <c r="AN176" s="1">
        <v>-3.6818505577684799E-8</v>
      </c>
      <c r="AO176" s="1">
        <v>1.2503596083948199E-7</v>
      </c>
      <c r="AP176" s="1">
        <v>2.75374326888323</v>
      </c>
      <c r="AQ176" s="1">
        <v>2.4955567626417699E-5</v>
      </c>
      <c r="AR176" s="1">
        <v>3.7880297059621702E-6</v>
      </c>
      <c r="AS176" s="1">
        <v>9.8584177716440706</v>
      </c>
      <c r="AT176" s="1">
        <v>8.3916284316532792</v>
      </c>
      <c r="AU176" s="1">
        <v>2.4973275035490601</v>
      </c>
      <c r="AV176" s="1">
        <v>0.25641576533417598</v>
      </c>
      <c r="AW176" s="1">
        <v>5.8116354084063104E-3</v>
      </c>
      <c r="AX176" s="1">
        <v>0.25641575657716198</v>
      </c>
      <c r="AY176" s="1">
        <v>8.7570138918024992E-9</v>
      </c>
      <c r="AZ176" s="1">
        <v>839091.99888317997</v>
      </c>
      <c r="BA176" s="1">
        <v>9.0624162057555399E-6</v>
      </c>
      <c r="BB176" s="4">
        <v>6486235.9999197396</v>
      </c>
      <c r="BC176" s="4">
        <v>44024.0858572414</v>
      </c>
      <c r="BD176" s="7">
        <v>0.68336910434664</v>
      </c>
      <c r="BE176" s="4">
        <v>6056812.7999999998</v>
      </c>
      <c r="BF176" s="1">
        <v>1.0708992029470901</v>
      </c>
      <c r="BG176" s="1">
        <v>1</v>
      </c>
      <c r="BH176" s="1">
        <v>-0.182</v>
      </c>
      <c r="BI176" s="1">
        <v>4.5999999999999999E-2</v>
      </c>
      <c r="BJ176" s="1">
        <v>5625</v>
      </c>
      <c r="BK176" s="1">
        <v>1.0050046249620901</v>
      </c>
      <c r="BL176" s="1">
        <v>151.70415802635199</v>
      </c>
      <c r="BM176" s="1">
        <v>6.4862359999197396</v>
      </c>
      <c r="BN176" s="1">
        <v>151.70415802635199</v>
      </c>
      <c r="BO176" s="1">
        <v>1.0050046249620901</v>
      </c>
      <c r="BP176" s="1">
        <v>12477.818920376199</v>
      </c>
      <c r="BQ176" s="1">
        <v>1</v>
      </c>
      <c r="BR176" s="1">
        <v>0.15240000000000001</v>
      </c>
    </row>
    <row r="177" spans="1:70">
      <c r="A177" s="2" t="s">
        <v>245</v>
      </c>
      <c r="B177" s="1">
        <v>17236893.2329209</v>
      </c>
      <c r="C177" s="1">
        <v>626.57723583796803</v>
      </c>
      <c r="D177" s="1">
        <v>122.583590976701</v>
      </c>
      <c r="E177" s="1">
        <v>560.26337686439001</v>
      </c>
      <c r="F177" s="1">
        <v>2538890.6454807199</v>
      </c>
      <c r="G177" s="1">
        <v>1699798.64659754</v>
      </c>
      <c r="H177" s="1">
        <v>2.4290890628326198E-5</v>
      </c>
      <c r="I177" s="1">
        <v>6.4066005508525405E-5</v>
      </c>
      <c r="J177" s="1">
        <v>0.452884810527584</v>
      </c>
      <c r="K177" s="1">
        <v>11219.515372648901</v>
      </c>
      <c r="L177" s="1">
        <v>3.02925386118211E-3</v>
      </c>
      <c r="M177" s="1">
        <v>176</v>
      </c>
      <c r="N177" s="1">
        <v>2848.0830000000001</v>
      </c>
      <c r="O177" s="3">
        <v>2.8502295699234199E-6</v>
      </c>
      <c r="P177" s="3">
        <v>5.98473400508856E-3</v>
      </c>
      <c r="Q177" s="3">
        <v>1.905E-3</v>
      </c>
      <c r="R177" s="1">
        <v>0.15240000000000001</v>
      </c>
      <c r="S177" s="4">
        <v>4634179.19921875</v>
      </c>
      <c r="T177" s="1">
        <v>551.548441132118</v>
      </c>
      <c r="U177" s="5">
        <v>597.95678413686903</v>
      </c>
      <c r="V177" s="1">
        <v>0.03</v>
      </c>
      <c r="W177" s="3">
        <v>84687.629140199904</v>
      </c>
      <c r="X177" s="1">
        <v>2.74174892535737E-2</v>
      </c>
      <c r="Y177" s="1">
        <v>6.0392938184881597</v>
      </c>
      <c r="Z177" s="1">
        <v>6.0392938316842102</v>
      </c>
      <c r="AA177" s="1">
        <v>-1.31960531390973E-8</v>
      </c>
      <c r="AB177" s="1">
        <v>7.3259874902453803E-6</v>
      </c>
      <c r="AC177" s="1">
        <v>709.68800460609498</v>
      </c>
      <c r="AD177" s="1">
        <v>2478.8989676378101</v>
      </c>
      <c r="AE177" s="1">
        <v>597.95678527431699</v>
      </c>
      <c r="AF177" s="6">
        <v>1.1374478390280299E-6</v>
      </c>
      <c r="AG177" s="1">
        <v>7.4166712282291604E-6</v>
      </c>
      <c r="AH177" s="1">
        <v>49.619312594496101</v>
      </c>
      <c r="AI177" s="1">
        <v>0.29759748347878701</v>
      </c>
      <c r="AJ177" s="1">
        <v>19.302024830410801</v>
      </c>
      <c r="AK177" s="1">
        <v>5.0383859883986597</v>
      </c>
      <c r="AL177" s="1">
        <v>1.5871354414155801</v>
      </c>
      <c r="AM177" s="1">
        <v>626.57723588671195</v>
      </c>
      <c r="AN177" s="1">
        <v>-4.8743913794169202E-8</v>
      </c>
      <c r="AO177" s="1">
        <v>9.0683737983785204E-8</v>
      </c>
      <c r="AP177" s="1">
        <v>2.7413471896824899</v>
      </c>
      <c r="AQ177" s="1">
        <v>2.5181770728666301E-5</v>
      </c>
      <c r="AR177" s="1">
        <v>3.7536774831064698E-6</v>
      </c>
      <c r="AS177" s="1">
        <v>9.7690154726697394</v>
      </c>
      <c r="AT177" s="1">
        <v>8.3460784526177605</v>
      </c>
      <c r="AU177" s="1">
        <v>2.4837719444155799</v>
      </c>
      <c r="AV177" s="1">
        <v>0.257575245266913</v>
      </c>
      <c r="AW177" s="1">
        <v>5.8116354084063104E-3</v>
      </c>
      <c r="AX177" s="1">
        <v>0.25757524124178699</v>
      </c>
      <c r="AY177" s="1">
        <v>4.0251255661871702E-9</v>
      </c>
      <c r="AZ177" s="1">
        <v>839091.99888317997</v>
      </c>
      <c r="BA177" s="1">
        <v>9.1859107899364098E-6</v>
      </c>
      <c r="BB177" s="4">
        <v>4640972.6014938196</v>
      </c>
      <c r="BC177" s="4">
        <v>6793.40227506869</v>
      </c>
      <c r="BD177" s="7">
        <v>0.146593430746354</v>
      </c>
      <c r="BE177" s="4">
        <v>4195604.7</v>
      </c>
      <c r="BF177" s="1">
        <v>1.10615106363424</v>
      </c>
      <c r="BG177" s="1">
        <v>1</v>
      </c>
      <c r="BH177" s="1">
        <v>-5.0000000000000001E-3</v>
      </c>
      <c r="BI177" s="1">
        <v>4.5999999999999999E-2</v>
      </c>
      <c r="BJ177" s="1">
        <v>5625</v>
      </c>
      <c r="BK177" s="1">
        <v>1.03698473045994</v>
      </c>
      <c r="BL177" s="1">
        <v>75.028794705850004</v>
      </c>
      <c r="BM177" s="1">
        <v>4.6409726014938197</v>
      </c>
      <c r="BN177" s="1">
        <v>75.028794705850004</v>
      </c>
      <c r="BO177" s="1">
        <v>1.03698473045994</v>
      </c>
      <c r="BP177" s="1">
        <v>1227.01645854459</v>
      </c>
      <c r="BQ177" s="1">
        <v>1</v>
      </c>
      <c r="BR177" s="1">
        <v>0.15240000000000001</v>
      </c>
    </row>
    <row r="178" spans="1:70">
      <c r="A178" s="2" t="s">
        <v>246</v>
      </c>
      <c r="B178" s="1">
        <v>17236893.2329209</v>
      </c>
      <c r="C178" s="1">
        <v>626.57723583796803</v>
      </c>
      <c r="D178" s="1">
        <v>122.583590976701</v>
      </c>
      <c r="E178" s="1">
        <v>560.26337686439001</v>
      </c>
      <c r="F178" s="1">
        <v>2538890.6454807199</v>
      </c>
      <c r="G178" s="1">
        <v>1699798.64659754</v>
      </c>
      <c r="H178" s="1">
        <v>2.4290890628326198E-5</v>
      </c>
      <c r="I178" s="1">
        <v>6.4066005508525405E-5</v>
      </c>
      <c r="J178" s="1">
        <v>0.452884810527584</v>
      </c>
      <c r="K178" s="1">
        <v>11219.515372648901</v>
      </c>
      <c r="L178" s="1">
        <v>3.02925386118211E-3</v>
      </c>
      <c r="M178" s="1">
        <v>177</v>
      </c>
      <c r="N178" s="1">
        <v>2875.2076000000002</v>
      </c>
      <c r="O178" s="3">
        <v>2.8502295699234199E-6</v>
      </c>
      <c r="P178" s="3">
        <v>5.98473400508856E-3</v>
      </c>
      <c r="Q178" s="3">
        <v>1.905E-3</v>
      </c>
      <c r="R178" s="1">
        <v>0.15240000000000001</v>
      </c>
      <c r="S178" s="4">
        <v>5529603.41796875</v>
      </c>
      <c r="T178" s="1">
        <v>509.82521111723401</v>
      </c>
      <c r="U178" s="5">
        <v>564.67824556081098</v>
      </c>
      <c r="V178" s="1">
        <v>0.03</v>
      </c>
      <c r="W178" s="3">
        <v>85494.177989154094</v>
      </c>
      <c r="X178" s="1">
        <v>2.73103466117205E-2</v>
      </c>
      <c r="Y178" s="1">
        <v>6.0511287561987697</v>
      </c>
      <c r="Z178" s="1">
        <v>6.0511287704394796</v>
      </c>
      <c r="AA178" s="1">
        <v>-1.4240713497315501E-8</v>
      </c>
      <c r="AB178" s="1">
        <v>7.21661455980452E-6</v>
      </c>
      <c r="AC178" s="1">
        <v>737.69222484820898</v>
      </c>
      <c r="AD178" s="1">
        <v>2497.6130670733201</v>
      </c>
      <c r="AE178" s="1">
        <v>564.67824695995898</v>
      </c>
      <c r="AF178" s="6">
        <v>1.3991473224450599E-6</v>
      </c>
      <c r="AG178" s="1">
        <v>7.3229933324977199E-6</v>
      </c>
      <c r="AH178" s="1">
        <v>50.371328595897701</v>
      </c>
      <c r="AI178" s="1">
        <v>0.29984415386361801</v>
      </c>
      <c r="AJ178" s="1">
        <v>19.202103766233201</v>
      </c>
      <c r="AK178" s="1">
        <v>6.7478170013889498</v>
      </c>
      <c r="AL178" s="1">
        <v>1.5871354414155801</v>
      </c>
      <c r="AM178" s="1">
        <v>626.57723581270102</v>
      </c>
      <c r="AN178" s="1">
        <v>2.5267013370466901E-8</v>
      </c>
      <c r="AO178" s="1">
        <v>1.06378772693203E-7</v>
      </c>
      <c r="AP178" s="1">
        <v>2.7562595199914202</v>
      </c>
      <c r="AQ178" s="1">
        <v>2.4910023430743599E-5</v>
      </c>
      <c r="AR178" s="1">
        <v>3.7146860525954599E-6</v>
      </c>
      <c r="AS178" s="1">
        <v>9.7405232808791808</v>
      </c>
      <c r="AT178" s="1">
        <v>8.3314742057378606</v>
      </c>
      <c r="AU178" s="1">
        <v>2.4981438336560302</v>
      </c>
      <c r="AV178" s="1">
        <v>0.258115686335394</v>
      </c>
      <c r="AW178" s="1">
        <v>5.7248709147298396E-3</v>
      </c>
      <c r="AX178" s="1">
        <v>0.25811567639647998</v>
      </c>
      <c r="AY178" s="1">
        <v>9.9389143581873896E-9</v>
      </c>
      <c r="AZ178" s="1">
        <v>839091.99888317997</v>
      </c>
      <c r="BA178" s="1">
        <v>9.0376190086850608E-6</v>
      </c>
      <c r="BB178" s="4">
        <v>5533536.268371</v>
      </c>
      <c r="BC178" s="4">
        <v>3932.8504022490201</v>
      </c>
      <c r="BD178" s="7">
        <v>7.1123552721141098E-2</v>
      </c>
      <c r="BE178" s="4">
        <v>5078889.9000000004</v>
      </c>
      <c r="BF178" s="1">
        <v>1.0895168781609099</v>
      </c>
      <c r="BG178" s="1">
        <v>1</v>
      </c>
      <c r="BH178" s="1">
        <v>-0.13100000000000001</v>
      </c>
      <c r="BI178" s="1">
        <v>4.5999999999999999E-2</v>
      </c>
      <c r="BJ178" s="1">
        <v>5625</v>
      </c>
      <c r="BK178" s="1">
        <v>1.0161412003672099</v>
      </c>
      <c r="BL178" s="1">
        <v>116.752024720734</v>
      </c>
      <c r="BM178" s="1">
        <v>5.5335362683709999</v>
      </c>
      <c r="BN178" s="1">
        <v>116.752024720734</v>
      </c>
      <c r="BO178" s="1">
        <v>1.0161412003672099</v>
      </c>
      <c r="BP178" s="1">
        <v>5890.87329873217</v>
      </c>
      <c r="BQ178" s="1">
        <v>1</v>
      </c>
      <c r="BR178" s="1">
        <v>0.15240000000000001</v>
      </c>
    </row>
    <row r="179" spans="1:70">
      <c r="A179" s="2" t="s">
        <v>247</v>
      </c>
      <c r="B179" s="1">
        <v>17236893.2329209</v>
      </c>
      <c r="C179" s="1">
        <v>626.57723583796803</v>
      </c>
      <c r="D179" s="1">
        <v>122.583590976701</v>
      </c>
      <c r="E179" s="1">
        <v>560.26337686439001</v>
      </c>
      <c r="F179" s="1">
        <v>2538890.6454807199</v>
      </c>
      <c r="G179" s="1">
        <v>1699798.64659754</v>
      </c>
      <c r="H179" s="1">
        <v>2.4290890628326198E-5</v>
      </c>
      <c r="I179" s="1">
        <v>6.4066005508525405E-5</v>
      </c>
      <c r="J179" s="1">
        <v>0.452884810527584</v>
      </c>
      <c r="K179" s="1">
        <v>11219.515372648901</v>
      </c>
      <c r="L179" s="1">
        <v>3.02925386118211E-3</v>
      </c>
      <c r="M179" s="1">
        <v>178</v>
      </c>
      <c r="N179" s="1">
        <v>2888.7698999999998</v>
      </c>
      <c r="O179" s="3">
        <v>2.8502295699234199E-6</v>
      </c>
      <c r="P179" s="3">
        <v>5.98473400508856E-3</v>
      </c>
      <c r="Q179" s="3">
        <v>1.905E-3</v>
      </c>
      <c r="R179" s="1">
        <v>0.15240000000000001</v>
      </c>
      <c r="S179" s="4">
        <v>6474169.921875</v>
      </c>
      <c r="T179" s="1">
        <v>475.39939134230099</v>
      </c>
      <c r="U179" s="5">
        <v>539.32090108283501</v>
      </c>
      <c r="V179" s="1">
        <v>0.03</v>
      </c>
      <c r="W179" s="3">
        <v>85897.452413631298</v>
      </c>
      <c r="X179" s="1">
        <v>2.7257390800543999E-2</v>
      </c>
      <c r="Y179" s="1">
        <v>6.0570039873577297</v>
      </c>
      <c r="Z179" s="1">
        <v>6.0570039906741799</v>
      </c>
      <c r="AA179" s="1">
        <v>-3.31644756101923E-9</v>
      </c>
      <c r="AB179" s="1">
        <v>7.1629011260640303E-6</v>
      </c>
      <c r="AC179" s="1">
        <v>763.55942311358103</v>
      </c>
      <c r="AD179" s="1">
        <v>2506.9601743329799</v>
      </c>
      <c r="AE179" s="1">
        <v>539.32090108283398</v>
      </c>
      <c r="AF179" s="6">
        <v>0</v>
      </c>
      <c r="AG179" s="1">
        <v>7.2870045184418102E-6</v>
      </c>
      <c r="AH179" s="1">
        <v>50.749055018940403</v>
      </c>
      <c r="AI179" s="1">
        <v>0.30096629544122799</v>
      </c>
      <c r="AJ179" s="1">
        <v>19.179244218286701</v>
      </c>
      <c r="AK179" s="1">
        <v>8.3220173215736608</v>
      </c>
      <c r="AL179" s="1">
        <v>1.5871354414155801</v>
      </c>
      <c r="AM179" s="1">
        <v>626.57723579071796</v>
      </c>
      <c r="AN179" s="1">
        <v>4.7250182433344903E-8</v>
      </c>
      <c r="AO179" s="1">
        <v>1.2410339237778001E-7</v>
      </c>
      <c r="AP179" s="1">
        <v>2.7674446638922601</v>
      </c>
      <c r="AQ179" s="1">
        <v>2.47090733279427E-5</v>
      </c>
      <c r="AR179" s="1">
        <v>3.70555395540979E-6</v>
      </c>
      <c r="AS179" s="1">
        <v>9.7529408819468593</v>
      </c>
      <c r="AT179" s="1">
        <v>8.3378443422326303</v>
      </c>
      <c r="AU179" s="1">
        <v>2.5094101236473501</v>
      </c>
      <c r="AV179" s="1">
        <v>0.25803454024490302</v>
      </c>
      <c r="AW179" s="1">
        <v>5.6822605644052003E-3</v>
      </c>
      <c r="AX179" s="1">
        <v>0.258034525816562</v>
      </c>
      <c r="AY179" s="1">
        <v>1.4428340910921399E-8</v>
      </c>
      <c r="AZ179" s="1">
        <v>839091.99888317997</v>
      </c>
      <c r="BA179" s="1">
        <v>8.9284796369481005E-6</v>
      </c>
      <c r="BB179" s="4">
        <v>6534433.6892452501</v>
      </c>
      <c r="BC179" s="4">
        <v>60263.767370254704</v>
      </c>
      <c r="BD179" s="7">
        <v>0.93083388445883697</v>
      </c>
      <c r="BE179" s="4">
        <v>5993721</v>
      </c>
      <c r="BF179" s="1">
        <v>1.0902131896438401</v>
      </c>
      <c r="BG179" s="1">
        <v>1</v>
      </c>
      <c r="BH179" s="1">
        <v>-0.19900000000000001</v>
      </c>
      <c r="BI179" s="1">
        <v>4.5999999999999999E-2</v>
      </c>
      <c r="BJ179" s="1">
        <v>5625</v>
      </c>
      <c r="BK179" s="1">
        <v>1.0051100891190301</v>
      </c>
      <c r="BL179" s="1">
        <v>151.17784449566699</v>
      </c>
      <c r="BM179" s="1">
        <v>6.5344336892452501</v>
      </c>
      <c r="BN179" s="1">
        <v>151.17784449566699</v>
      </c>
      <c r="BO179" s="1">
        <v>1.0051100891190301</v>
      </c>
      <c r="BP179" s="1">
        <v>12360.5131067027</v>
      </c>
      <c r="BQ179" s="1">
        <v>1</v>
      </c>
      <c r="BR179" s="1">
        <v>0.15240000000000001</v>
      </c>
    </row>
    <row r="180" spans="1:70">
      <c r="A180" s="2" t="s">
        <v>248</v>
      </c>
      <c r="B180" s="1">
        <v>17236893.2329209</v>
      </c>
      <c r="C180" s="1">
        <v>626.57723583796803</v>
      </c>
      <c r="D180" s="1">
        <v>122.583590976701</v>
      </c>
      <c r="E180" s="1">
        <v>560.26337686439001</v>
      </c>
      <c r="F180" s="1">
        <v>2538890.6454807199</v>
      </c>
      <c r="G180" s="1">
        <v>1699798.64659754</v>
      </c>
      <c r="H180" s="1">
        <v>2.4290890628326198E-5</v>
      </c>
      <c r="I180" s="1">
        <v>6.4066005508525405E-5</v>
      </c>
      <c r="J180" s="1">
        <v>0.452884810527584</v>
      </c>
      <c r="K180" s="1">
        <v>11219.515372648901</v>
      </c>
      <c r="L180" s="1">
        <v>3.02925386118211E-3</v>
      </c>
      <c r="M180" s="1">
        <v>179</v>
      </c>
      <c r="N180" s="1">
        <v>2888.7698999999998</v>
      </c>
      <c r="O180" s="3">
        <v>2.8502295699234199E-6</v>
      </c>
      <c r="P180" s="3">
        <v>5.98473400508856E-3</v>
      </c>
      <c r="Q180" s="3">
        <v>1.905E-3</v>
      </c>
      <c r="R180" s="1">
        <v>0.15240000000000001</v>
      </c>
      <c r="S180" s="4">
        <v>5543269.78515625</v>
      </c>
      <c r="T180" s="1">
        <v>509.82521111723401</v>
      </c>
      <c r="U180" s="5">
        <v>564.55565190610503</v>
      </c>
      <c r="V180" s="1">
        <v>0.03</v>
      </c>
      <c r="W180" s="3">
        <v>85897.452413631298</v>
      </c>
      <c r="X180" s="1">
        <v>2.7257390800543999E-2</v>
      </c>
      <c r="Y180" s="1">
        <v>6.0570039873577297</v>
      </c>
      <c r="Z180" s="1">
        <v>6.0570039906741799</v>
      </c>
      <c r="AA180" s="1">
        <v>-3.31644756101923E-9</v>
      </c>
      <c r="AB180" s="1">
        <v>7.1629011260640303E-6</v>
      </c>
      <c r="AC180" s="1">
        <v>737.42972364780496</v>
      </c>
      <c r="AD180" s="1">
        <v>2506.9601743329799</v>
      </c>
      <c r="AE180" s="1">
        <v>564.55565190610503</v>
      </c>
      <c r="AF180" s="6">
        <v>0</v>
      </c>
      <c r="AG180" s="1">
        <v>7.2688412724564902E-6</v>
      </c>
      <c r="AH180" s="1">
        <v>50.749055018940403</v>
      </c>
      <c r="AI180" s="1">
        <v>0.30096629544122799</v>
      </c>
      <c r="AJ180" s="1">
        <v>19.131438932909401</v>
      </c>
      <c r="AK180" s="1">
        <v>6.7402272580062004</v>
      </c>
      <c r="AL180" s="1">
        <v>1.5871354414155801</v>
      </c>
      <c r="AM180" s="1">
        <v>626.57723579175604</v>
      </c>
      <c r="AN180" s="1">
        <v>4.6211880544433397E-8</v>
      </c>
      <c r="AO180" s="1">
        <v>1.05940146392461E-7</v>
      </c>
      <c r="AP180" s="1">
        <v>2.7606824491662501</v>
      </c>
      <c r="AQ180" s="1">
        <v>2.4830269953326099E-5</v>
      </c>
      <c r="AR180" s="1">
        <v>3.6873907094244699E-6</v>
      </c>
      <c r="AS180" s="1">
        <v>9.7051355965696295</v>
      </c>
      <c r="AT180" s="1">
        <v>8.3132759417459692</v>
      </c>
      <c r="AU180" s="1">
        <v>2.5020158631679701</v>
      </c>
      <c r="AV180" s="1">
        <v>0.25866658599827902</v>
      </c>
      <c r="AW180" s="1">
        <v>5.6822605644052003E-3</v>
      </c>
      <c r="AX180" s="1">
        <v>0.25866657419678102</v>
      </c>
      <c r="AY180" s="1">
        <v>1.1801497612484701E-8</v>
      </c>
      <c r="AZ180" s="1">
        <v>839091.99888317997</v>
      </c>
      <c r="BA180" s="1">
        <v>8.9942506646590503E-6</v>
      </c>
      <c r="BB180" s="4">
        <v>5537291.6218353696</v>
      </c>
      <c r="BC180" s="4">
        <v>-5978.1633208831799</v>
      </c>
      <c r="BD180" s="7">
        <v>-0.107845433337765</v>
      </c>
      <c r="BE180" s="4">
        <v>5078889.9000000004</v>
      </c>
      <c r="BF180" s="1">
        <v>1.0902562825461899</v>
      </c>
      <c r="BG180" s="1">
        <v>1</v>
      </c>
      <c r="BH180" s="1">
        <v>-0.13500000000000001</v>
      </c>
      <c r="BI180" s="1">
        <v>4.5999999999999999E-2</v>
      </c>
      <c r="BJ180" s="1">
        <v>5625</v>
      </c>
      <c r="BK180" s="1">
        <v>1.0161412003672099</v>
      </c>
      <c r="BL180" s="1">
        <v>116.752024720734</v>
      </c>
      <c r="BM180" s="1">
        <v>5.5372916218353696</v>
      </c>
      <c r="BN180" s="1">
        <v>116.752024720734</v>
      </c>
      <c r="BO180" s="1">
        <v>1.0161412003672099</v>
      </c>
      <c r="BP180" s="1">
        <v>5890.87329873217</v>
      </c>
      <c r="BQ180" s="1">
        <v>1</v>
      </c>
      <c r="BR180" s="1">
        <v>0.15240000000000001</v>
      </c>
    </row>
    <row r="181" spans="1:70">
      <c r="A181" s="2" t="s">
        <v>249</v>
      </c>
      <c r="B181" s="1">
        <v>17236893.2329209</v>
      </c>
      <c r="C181" s="1">
        <v>626.57723583796803</v>
      </c>
      <c r="D181" s="1">
        <v>122.583590976701</v>
      </c>
      <c r="E181" s="1">
        <v>560.26337686439001</v>
      </c>
      <c r="F181" s="1">
        <v>2538890.6454807199</v>
      </c>
      <c r="G181" s="1">
        <v>1699798.64659754</v>
      </c>
      <c r="H181" s="1">
        <v>2.4290890628326198E-5</v>
      </c>
      <c r="I181" s="1">
        <v>6.4066005508525405E-5</v>
      </c>
      <c r="J181" s="1">
        <v>0.452884810527584</v>
      </c>
      <c r="K181" s="1">
        <v>11219.515372648901</v>
      </c>
      <c r="L181" s="1">
        <v>3.02925386118211E-3</v>
      </c>
      <c r="M181" s="1">
        <v>180</v>
      </c>
      <c r="N181" s="1">
        <v>3444.8242</v>
      </c>
      <c r="O181" s="3">
        <v>2.8502295699234199E-6</v>
      </c>
      <c r="P181" s="3">
        <v>5.98473400508856E-3</v>
      </c>
      <c r="Q181" s="3">
        <v>1.905E-3</v>
      </c>
      <c r="R181" s="1">
        <v>0.15240000000000001</v>
      </c>
      <c r="S181" s="4">
        <v>5062207.03125</v>
      </c>
      <c r="T181" s="1">
        <v>554.36509768241604</v>
      </c>
      <c r="U181" s="5">
        <v>596.27809500699698</v>
      </c>
      <c r="V181" s="1">
        <v>0.03</v>
      </c>
      <c r="W181" s="3">
        <v>102431.70381719399</v>
      </c>
      <c r="X181" s="1">
        <v>2.5384208624571501E-2</v>
      </c>
      <c r="Y181" s="1">
        <v>6.2765094318285302</v>
      </c>
      <c r="Z181" s="1">
        <v>6.2765094327444402</v>
      </c>
      <c r="AA181" s="1">
        <v>-9.1590290907106495E-10</v>
      </c>
      <c r="AB181" s="1">
        <v>5.4088057229598899E-6</v>
      </c>
      <c r="AC181" s="1">
        <v>700.45503690084502</v>
      </c>
      <c r="AD181" s="1">
        <v>2884.9694708627599</v>
      </c>
      <c r="AE181" s="1">
        <v>596.27809500699698</v>
      </c>
      <c r="AF181" s="6">
        <v>0</v>
      </c>
      <c r="AG181" s="1">
        <v>5.4903951384150503E-6</v>
      </c>
      <c r="AH181" s="1">
        <v>67.207158467309</v>
      </c>
      <c r="AI181" s="1">
        <v>0.34634717495567102</v>
      </c>
      <c r="AJ181" s="1">
        <v>16.6295247845677</v>
      </c>
      <c r="AK181" s="1">
        <v>4.7162665282208902</v>
      </c>
      <c r="AL181" s="1">
        <v>1.5871354414155801</v>
      </c>
      <c r="AM181" s="1">
        <v>626.577235867426</v>
      </c>
      <c r="AN181" s="1">
        <v>-2.9458419703587401E-8</v>
      </c>
      <c r="AO181" s="1">
        <v>8.1589415455162895E-8</v>
      </c>
      <c r="AP181" s="1">
        <v>2.9186202787625701</v>
      </c>
      <c r="AQ181" s="1">
        <v>2.2215656844290002E-5</v>
      </c>
      <c r="AR181" s="1">
        <v>2.78599227693511E-6</v>
      </c>
      <c r="AS181" s="1">
        <v>8.4383230078920803</v>
      </c>
      <c r="AT181" s="1">
        <v>7.6139179655893399</v>
      </c>
      <c r="AU181" s="1">
        <v>2.6370589777261002</v>
      </c>
      <c r="AV181" s="1">
        <v>0.28156130103646898</v>
      </c>
      <c r="AW181" s="1">
        <v>4.2907535535105703E-3</v>
      </c>
      <c r="AX181" s="1">
        <v>0.28156129684595099</v>
      </c>
      <c r="AY181" s="1">
        <v>4.1905185432788999E-9</v>
      </c>
      <c r="AZ181" s="1">
        <v>839091.99888317997</v>
      </c>
      <c r="BA181" s="1">
        <v>7.61169824178326E-6</v>
      </c>
      <c r="BB181" s="4">
        <v>5039112.7216318399</v>
      </c>
      <c r="BC181" s="4">
        <v>-23094.3096181611</v>
      </c>
      <c r="BD181" s="7">
        <v>-0.456210294750794</v>
      </c>
      <c r="BE181" s="4">
        <v>4921160.4000000004</v>
      </c>
      <c r="BF181" s="1">
        <v>1.02396839607826</v>
      </c>
      <c r="BG181" s="1">
        <v>1</v>
      </c>
      <c r="BH181" s="1">
        <v>-5.0000000000000001E-3</v>
      </c>
      <c r="BI181" s="1">
        <v>4.5999999999999999E-2</v>
      </c>
      <c r="BJ181" s="1">
        <v>5625</v>
      </c>
      <c r="BK181" s="1">
        <v>1.03825121371158</v>
      </c>
      <c r="BL181" s="1">
        <v>72.212138155551997</v>
      </c>
      <c r="BM181" s="1">
        <v>5.0391127216318399</v>
      </c>
      <c r="BN181" s="1">
        <v>72.212138155551997</v>
      </c>
      <c r="BO181" s="1">
        <v>1.03825121371158</v>
      </c>
      <c r="BP181" s="1">
        <v>1037.62184455237</v>
      </c>
      <c r="BQ181" s="1">
        <v>1</v>
      </c>
      <c r="BR181" s="1">
        <v>0.15240000000000001</v>
      </c>
    </row>
    <row r="182" spans="1:70">
      <c r="A182" s="2" t="s">
        <v>250</v>
      </c>
      <c r="B182" s="1">
        <v>17236893.2329209</v>
      </c>
      <c r="C182" s="1">
        <v>626.57723583796803</v>
      </c>
      <c r="D182" s="1">
        <v>122.583590976701</v>
      </c>
      <c r="E182" s="1">
        <v>560.26337686439001</v>
      </c>
      <c r="F182" s="1">
        <v>2538890.6454807199</v>
      </c>
      <c r="G182" s="1">
        <v>1699798.64659754</v>
      </c>
      <c r="H182" s="1">
        <v>2.4290890628326198E-5</v>
      </c>
      <c r="I182" s="1">
        <v>6.4066005508525405E-5</v>
      </c>
      <c r="J182" s="1">
        <v>0.452884810527584</v>
      </c>
      <c r="K182" s="1">
        <v>11219.515372648901</v>
      </c>
      <c r="L182" s="1">
        <v>3.02925386118211E-3</v>
      </c>
      <c r="M182" s="1">
        <v>181</v>
      </c>
      <c r="N182" s="1">
        <v>3580.4472000000001</v>
      </c>
      <c r="O182" s="3">
        <v>2.8502295699234199E-6</v>
      </c>
      <c r="P182" s="3">
        <v>5.98473400508856E-3</v>
      </c>
      <c r="Q182" s="3">
        <v>1.905E-3</v>
      </c>
      <c r="R182" s="1">
        <v>0.15240000000000001</v>
      </c>
      <c r="S182" s="4">
        <v>5443450.48828125</v>
      </c>
      <c r="T182" s="1">
        <v>542.68385368854695</v>
      </c>
      <c r="U182" s="5">
        <v>586.046211001144</v>
      </c>
      <c r="V182" s="1">
        <v>0.03</v>
      </c>
      <c r="W182" s="3">
        <v>106464.448061966</v>
      </c>
      <c r="X182" s="1">
        <v>2.4999929916971499E-2</v>
      </c>
      <c r="Y182" s="1">
        <v>6.3245641852352197</v>
      </c>
      <c r="Z182" s="1">
        <v>6.3245642254802004</v>
      </c>
      <c r="AA182" s="1">
        <v>-4.0244978016801302E-8</v>
      </c>
      <c r="AB182" s="1">
        <v>5.0837688903806498E-6</v>
      </c>
      <c r="AC182" s="1">
        <v>706.39515820776398</v>
      </c>
      <c r="AD182" s="1">
        <v>2975.76761714448</v>
      </c>
      <c r="AE182" s="1">
        <v>586.046211001144</v>
      </c>
      <c r="AF182" s="6">
        <v>0</v>
      </c>
      <c r="AG182" s="1">
        <v>5.1684792745068803E-6</v>
      </c>
      <c r="AH182" s="1">
        <v>71.504128370130402</v>
      </c>
      <c r="AI182" s="1">
        <v>0.35724769982205101</v>
      </c>
      <c r="AJ182" s="1">
        <v>16.147184519643002</v>
      </c>
      <c r="AK182" s="1">
        <v>5.1500185018735696</v>
      </c>
      <c r="AL182" s="1">
        <v>1.5871354414155801</v>
      </c>
      <c r="AM182" s="1">
        <v>626.57723579754895</v>
      </c>
      <c r="AN182" s="1">
        <v>4.04186266678153E-8</v>
      </c>
      <c r="AO182" s="1">
        <v>8.4710384126232194E-8</v>
      </c>
      <c r="AP182" s="1">
        <v>2.9568374948447298</v>
      </c>
      <c r="AQ182" s="1">
        <v>2.1645092008712302E-5</v>
      </c>
      <c r="AR182" s="1">
        <v>2.6265948293165601E-6</v>
      </c>
      <c r="AS182" s="1">
        <v>8.2059168886502203</v>
      </c>
      <c r="AT182" s="1">
        <v>7.4742773292453197</v>
      </c>
      <c r="AU182" s="1">
        <v>2.6701683837049899</v>
      </c>
      <c r="AV182" s="1">
        <v>0.28666911113973798</v>
      </c>
      <c r="AW182" s="1">
        <v>4.0329049607073604E-3</v>
      </c>
      <c r="AX182" s="1">
        <v>0.28666910292929199</v>
      </c>
      <c r="AY182" s="1">
        <v>8.2104457121978702E-9</v>
      </c>
      <c r="AZ182" s="1">
        <v>839091.99888317997</v>
      </c>
      <c r="BA182" s="1">
        <v>7.3203522501492502E-6</v>
      </c>
      <c r="BB182" s="4">
        <v>5440095.0281283204</v>
      </c>
      <c r="BC182" s="4">
        <v>-3355.4601529296501</v>
      </c>
      <c r="BD182" s="7">
        <v>-6.1642154367957197E-2</v>
      </c>
      <c r="BE182" s="4">
        <v>5394348.9000000004</v>
      </c>
      <c r="BF182" s="1">
        <v>1.00848037992654</v>
      </c>
      <c r="BG182" s="1">
        <v>1</v>
      </c>
      <c r="BH182" s="1">
        <v>-4.4999999999999998E-2</v>
      </c>
      <c r="BI182" s="1">
        <v>4.5999999999999999E-2</v>
      </c>
      <c r="BJ182" s="1">
        <v>5625</v>
      </c>
      <c r="BK182" s="1">
        <v>1.0326592974042199</v>
      </c>
      <c r="BL182" s="1">
        <v>83.8933821494211</v>
      </c>
      <c r="BM182" s="1">
        <v>5.4400950281283196</v>
      </c>
      <c r="BN182" s="1">
        <v>83.8933821494211</v>
      </c>
      <c r="BO182" s="1">
        <v>1.0326592974042199</v>
      </c>
      <c r="BP182" s="1">
        <v>1926.62899651512</v>
      </c>
      <c r="BQ182" s="1">
        <v>1</v>
      </c>
      <c r="BR182" s="1">
        <v>0.15240000000000001</v>
      </c>
    </row>
    <row r="183" spans="1:70">
      <c r="A183" s="2" t="s">
        <v>251</v>
      </c>
      <c r="B183" s="1">
        <v>17236893.2329209</v>
      </c>
      <c r="C183" s="1">
        <v>626.57723583796803</v>
      </c>
      <c r="D183" s="1">
        <v>122.583590976701</v>
      </c>
      <c r="E183" s="1">
        <v>560.26337686439001</v>
      </c>
      <c r="F183" s="1">
        <v>2538890.6454807199</v>
      </c>
      <c r="G183" s="1">
        <v>1699798.64659754</v>
      </c>
      <c r="H183" s="1">
        <v>2.4290890628326198E-5</v>
      </c>
      <c r="I183" s="1">
        <v>6.4066005508525405E-5</v>
      </c>
      <c r="J183" s="1">
        <v>0.452884810527584</v>
      </c>
      <c r="K183" s="1">
        <v>11219.515372648901</v>
      </c>
      <c r="L183" s="1">
        <v>3.02925386118211E-3</v>
      </c>
      <c r="M183" s="1">
        <v>182</v>
      </c>
      <c r="N183" s="1">
        <v>3607.5718000000002</v>
      </c>
      <c r="O183" s="3">
        <v>2.8502295699234199E-6</v>
      </c>
      <c r="P183" s="3">
        <v>5.98473400508856E-3</v>
      </c>
      <c r="Q183" s="3">
        <v>1.905E-3</v>
      </c>
      <c r="R183" s="1">
        <v>0.15240000000000001</v>
      </c>
      <c r="S183" s="4">
        <v>5400671.38671875</v>
      </c>
      <c r="T183" s="1">
        <v>545.51979880609497</v>
      </c>
      <c r="U183" s="5">
        <v>588.21790859724297</v>
      </c>
      <c r="V183" s="1">
        <v>0.03</v>
      </c>
      <c r="W183" s="3">
        <v>107270.99691092</v>
      </c>
      <c r="X183" s="1">
        <v>2.49258812093941E-2</v>
      </c>
      <c r="Y183" s="1">
        <v>6.33395158653222</v>
      </c>
      <c r="Z183" s="1">
        <v>6.3339516227232</v>
      </c>
      <c r="AA183" s="1">
        <v>-3.6190980878814103E-8</v>
      </c>
      <c r="AB183" s="1">
        <v>5.0224850177624702E-6</v>
      </c>
      <c r="AC183" s="1">
        <v>704.36365343775799</v>
      </c>
      <c r="AD183" s="1">
        <v>2993.8675842437601</v>
      </c>
      <c r="AE183" s="1">
        <v>588.21790967645495</v>
      </c>
      <c r="AF183" s="6">
        <v>1.0792124385261599E-6</v>
      </c>
      <c r="AG183" s="1">
        <v>5.1061160009012004E-6</v>
      </c>
      <c r="AH183" s="1">
        <v>72.376614774611696</v>
      </c>
      <c r="AI183" s="1">
        <v>0.35942064221708903</v>
      </c>
      <c r="AJ183" s="1">
        <v>16.049380762715501</v>
      </c>
      <c r="AK183" s="1">
        <v>5.0300803754034602</v>
      </c>
      <c r="AL183" s="1">
        <v>1.5871354414155801</v>
      </c>
      <c r="AM183" s="1">
        <v>626.57723577822003</v>
      </c>
      <c r="AN183" s="1">
        <v>5.9748231251433E-8</v>
      </c>
      <c r="AO183" s="1">
        <v>8.36309831387311E-8</v>
      </c>
      <c r="AP183" s="1">
        <v>2.9632592751398299</v>
      </c>
      <c r="AQ183" s="1">
        <v>2.15513780292013E-5</v>
      </c>
      <c r="AR183" s="1">
        <v>2.59487349201997E-6</v>
      </c>
      <c r="AS183" s="1">
        <v>8.1561234991831899</v>
      </c>
      <c r="AT183" s="1">
        <v>7.4438449736200099</v>
      </c>
      <c r="AU183" s="1">
        <v>2.6754715409829499</v>
      </c>
      <c r="AV183" s="1">
        <v>0.28778773415687597</v>
      </c>
      <c r="AW183" s="1">
        <v>3.9842890540399897E-3</v>
      </c>
      <c r="AX183" s="1">
        <v>0.287787725193908</v>
      </c>
      <c r="AY183" s="1">
        <v>8.9629679789204902E-9</v>
      </c>
      <c r="AZ183" s="1">
        <v>839091.99888317997</v>
      </c>
      <c r="BA183" s="1">
        <v>7.2728627595991796E-6</v>
      </c>
      <c r="BB183" s="4">
        <v>5405845.43733194</v>
      </c>
      <c r="BC183" s="4">
        <v>5174.0506131853899</v>
      </c>
      <c r="BD183" s="7">
        <v>9.5803840720791497E-2</v>
      </c>
      <c r="BE183" s="4">
        <v>4984252.2</v>
      </c>
      <c r="BF183" s="1">
        <v>1.08458505316644</v>
      </c>
      <c r="BG183" s="1">
        <v>1</v>
      </c>
      <c r="BH183" s="1">
        <v>-7.5999999999999998E-2</v>
      </c>
      <c r="BI183" s="1">
        <v>4.5999999999999999E-2</v>
      </c>
      <c r="BJ183" s="1">
        <v>5625</v>
      </c>
      <c r="BK183" s="1">
        <v>1.03408846513629</v>
      </c>
      <c r="BL183" s="1">
        <v>81.057437031873107</v>
      </c>
      <c r="BM183" s="1">
        <v>5.4058454373319398</v>
      </c>
      <c r="BN183" s="1">
        <v>81.057437031873107</v>
      </c>
      <c r="BO183" s="1">
        <v>1.03408846513629</v>
      </c>
      <c r="BP183" s="1">
        <v>1685.71313562622</v>
      </c>
      <c r="BQ183" s="1">
        <v>1</v>
      </c>
      <c r="BR183" s="1">
        <v>0.15240000000000001</v>
      </c>
    </row>
    <row r="184" spans="1:70">
      <c r="A184" s="2" t="s">
        <v>252</v>
      </c>
      <c r="B184" s="1">
        <v>17236893.2329209</v>
      </c>
      <c r="C184" s="1">
        <v>626.57723583796803</v>
      </c>
      <c r="D184" s="1">
        <v>122.583590976701</v>
      </c>
      <c r="E184" s="1">
        <v>560.26337686439001</v>
      </c>
      <c r="F184" s="1">
        <v>2538890.6454807199</v>
      </c>
      <c r="G184" s="1">
        <v>1699798.64659754</v>
      </c>
      <c r="H184" s="1">
        <v>2.4290890628326198E-5</v>
      </c>
      <c r="I184" s="1">
        <v>6.4066005508525405E-5</v>
      </c>
      <c r="J184" s="1">
        <v>0.452884810527584</v>
      </c>
      <c r="K184" s="1">
        <v>11219.515372648901</v>
      </c>
      <c r="L184" s="1">
        <v>3.02925386118211E-3</v>
      </c>
      <c r="M184" s="1">
        <v>183</v>
      </c>
      <c r="N184" s="1">
        <v>3621.1341000000002</v>
      </c>
      <c r="O184" s="3">
        <v>2.8502295699234199E-6</v>
      </c>
      <c r="P184" s="3">
        <v>5.98473400508856E-3</v>
      </c>
      <c r="Q184" s="3">
        <v>1.905E-3</v>
      </c>
      <c r="R184" s="1">
        <v>0.15240000000000001</v>
      </c>
      <c r="S184" s="4">
        <v>5237976.07421875</v>
      </c>
      <c r="T184" s="1">
        <v>552.84412708824402</v>
      </c>
      <c r="U184" s="5">
        <v>594.10085515285596</v>
      </c>
      <c r="V184" s="1">
        <v>0.03</v>
      </c>
      <c r="W184" s="3">
        <v>107674.271335397</v>
      </c>
      <c r="X184" s="1">
        <v>2.4889192575288498E-2</v>
      </c>
      <c r="Y184" s="1">
        <v>6.3386182396680697</v>
      </c>
      <c r="Z184" s="1">
        <v>6.3386182738389296</v>
      </c>
      <c r="AA184" s="1">
        <v>-3.4170855478521402E-8</v>
      </c>
      <c r="AB184" s="1">
        <v>4.9922820455158096E-6</v>
      </c>
      <c r="AC184" s="1">
        <v>699.62063065492305</v>
      </c>
      <c r="AD184" s="1">
        <v>3002.91027719972</v>
      </c>
      <c r="AE184" s="1">
        <v>594.10085618649498</v>
      </c>
      <c r="AF184" s="6">
        <v>1.03363890957553E-6</v>
      </c>
      <c r="AG184" s="1">
        <v>5.0736802645005404E-6</v>
      </c>
      <c r="AH184" s="1">
        <v>72.814488449899798</v>
      </c>
      <c r="AI184" s="1">
        <v>0.36050623816218302</v>
      </c>
      <c r="AJ184" s="1">
        <v>15.995597490282501</v>
      </c>
      <c r="AK184" s="1">
        <v>4.7291740229498496</v>
      </c>
      <c r="AL184" s="1">
        <v>1.5871354414155801</v>
      </c>
      <c r="AM184" s="1">
        <v>626.57723577797003</v>
      </c>
      <c r="AN184" s="1">
        <v>5.9998342294420595E-8</v>
      </c>
      <c r="AO184" s="1">
        <v>8.1398218984730695E-8</v>
      </c>
      <c r="AP184" s="1">
        <v>2.9653595857809201</v>
      </c>
      <c r="AQ184" s="1">
        <v>2.15208599370437E-5</v>
      </c>
      <c r="AR184" s="1">
        <v>2.5775392417426402E-6</v>
      </c>
      <c r="AS184" s="1">
        <v>8.1261092692016206</v>
      </c>
      <c r="AT184" s="1">
        <v>7.42541122168626</v>
      </c>
      <c r="AU184" s="1">
        <v>2.6769070663373702</v>
      </c>
      <c r="AV184" s="1">
        <v>0.28845251944355299</v>
      </c>
      <c r="AW184" s="1">
        <v>3.9603293266746997E-3</v>
      </c>
      <c r="AX184" s="1">
        <v>0.28845251019802898</v>
      </c>
      <c r="AY184" s="1">
        <v>9.2455235689570292E-9</v>
      </c>
      <c r="AZ184" s="1">
        <v>839091.99888317997</v>
      </c>
      <c r="BA184" s="1">
        <v>7.2574199905595E-6</v>
      </c>
      <c r="BB184" s="4">
        <v>5272716.9764534403</v>
      </c>
      <c r="BC184" s="4">
        <v>34740.902234692097</v>
      </c>
      <c r="BD184" s="7">
        <v>0.66325049489413301</v>
      </c>
      <c r="BE184" s="4">
        <v>5110435.8</v>
      </c>
      <c r="BF184" s="1">
        <v>1.0317548606037601</v>
      </c>
      <c r="BG184" s="1">
        <v>1</v>
      </c>
      <c r="BH184" s="1">
        <v>-2.1000000000000001E-2</v>
      </c>
      <c r="BI184" s="1">
        <v>4.5999999999999999E-2</v>
      </c>
      <c r="BJ184" s="1">
        <v>5625</v>
      </c>
      <c r="BK184" s="1">
        <v>1.0375751918257801</v>
      </c>
      <c r="BL184" s="1">
        <v>73.733108749723996</v>
      </c>
      <c r="BM184" s="1">
        <v>5.2727169764534398</v>
      </c>
      <c r="BN184" s="1">
        <v>73.733108749723996</v>
      </c>
      <c r="BO184" s="1">
        <v>1.0375751918257801</v>
      </c>
      <c r="BP184" s="1">
        <v>1137.9226259207101</v>
      </c>
      <c r="BQ184" s="1">
        <v>1</v>
      </c>
      <c r="BR184" s="1">
        <v>0.15240000000000001</v>
      </c>
    </row>
    <row r="185" spans="1:70">
      <c r="A185" s="2" t="s">
        <v>253</v>
      </c>
      <c r="B185" s="1">
        <v>17236893.2329209</v>
      </c>
      <c r="C185" s="1">
        <v>626.57723583796803</v>
      </c>
      <c r="D185" s="1">
        <v>122.583590976701</v>
      </c>
      <c r="E185" s="1">
        <v>560.26337686439001</v>
      </c>
      <c r="F185" s="1">
        <v>2538890.6454807199</v>
      </c>
      <c r="G185" s="1">
        <v>1699798.64659754</v>
      </c>
      <c r="H185" s="1">
        <v>2.4290890628326198E-5</v>
      </c>
      <c r="I185" s="1">
        <v>6.4066005508525405E-5</v>
      </c>
      <c r="J185" s="1">
        <v>0.452884810527584</v>
      </c>
      <c r="K185" s="1">
        <v>11219.515372648901</v>
      </c>
      <c r="L185" s="1">
        <v>3.02925386118211E-3</v>
      </c>
      <c r="M185" s="1">
        <v>184</v>
      </c>
      <c r="N185" s="1">
        <v>2088.5942</v>
      </c>
      <c r="O185" s="3">
        <v>2.8502295699234199E-6</v>
      </c>
      <c r="P185" s="3">
        <v>5.98473400508856E-3</v>
      </c>
      <c r="Q185" s="3">
        <v>1.905E-3</v>
      </c>
      <c r="R185" s="1">
        <v>0.69596000000000002</v>
      </c>
      <c r="S185" s="4">
        <v>4209182.8773437496</v>
      </c>
      <c r="T185" s="1">
        <v>296.59800912860601</v>
      </c>
      <c r="U185" s="5">
        <v>559.09173068124301</v>
      </c>
      <c r="V185" s="1">
        <v>0.03</v>
      </c>
      <c r="W185" s="3">
        <v>62104.2613694799</v>
      </c>
      <c r="X185" s="1">
        <v>3.1306557834014398E-2</v>
      </c>
      <c r="Y185" s="1">
        <v>5.6517421567611903</v>
      </c>
      <c r="Z185" s="1">
        <v>5.6517422024560604</v>
      </c>
      <c r="AA185" s="1">
        <v>-4.5694870998147501E-8</v>
      </c>
      <c r="AB185" s="1">
        <v>1.1930418629880701E-5</v>
      </c>
      <c r="AC185" s="1">
        <v>760.85987965993399</v>
      </c>
      <c r="AD185" s="1">
        <v>1942.51361513397</v>
      </c>
      <c r="AE185" s="1">
        <v>559.09173068124301</v>
      </c>
      <c r="AF185" s="6">
        <v>0</v>
      </c>
      <c r="AG185" s="1">
        <v>1.20456530700517E-5</v>
      </c>
      <c r="AH185" s="1">
        <v>30.469212742578101</v>
      </c>
      <c r="AI185" s="1">
        <v>0.233203196674861</v>
      </c>
      <c r="AJ185" s="1">
        <v>24.565716631764499</v>
      </c>
      <c r="AK185" s="1">
        <v>7.5382518061136201</v>
      </c>
      <c r="AL185" s="1">
        <v>1.5871354414155801</v>
      </c>
      <c r="AM185" s="1">
        <v>626.57723582087306</v>
      </c>
      <c r="AN185" s="1">
        <v>1.7094976101361701E-8</v>
      </c>
      <c r="AO185" s="1">
        <v>1.15234440170949E-7</v>
      </c>
      <c r="AP185" s="1">
        <v>2.4502581904435701</v>
      </c>
      <c r="AQ185" s="1">
        <v>3.1520322373299099E-5</v>
      </c>
      <c r="AR185" s="1">
        <v>6.0804437551113101E-6</v>
      </c>
      <c r="AS185" s="1">
        <v>12.4003619741313</v>
      </c>
      <c r="AT185" s="1">
        <v>9.5386283182356397</v>
      </c>
      <c r="AU185" s="1">
        <v>2.2244386157059099</v>
      </c>
      <c r="AV185" s="1">
        <v>0.22581957473766601</v>
      </c>
      <c r="AW185" s="1">
        <v>9.4642863421273392E-3</v>
      </c>
      <c r="AX185" s="1">
        <v>0.22581955780468099</v>
      </c>
      <c r="AY185" s="1">
        <v>1.6932985374973299E-8</v>
      </c>
      <c r="AZ185" s="1">
        <v>839091.99888317997</v>
      </c>
      <c r="BA185" s="1">
        <v>1.28640820368375E-5</v>
      </c>
      <c r="BB185" s="4">
        <v>4211194.59087741</v>
      </c>
      <c r="BC185" s="4">
        <v>2011.7135336576</v>
      </c>
      <c r="BD185" s="7">
        <v>4.7793445718070503E-2</v>
      </c>
      <c r="BE185" s="4">
        <v>2113575.2999999998</v>
      </c>
      <c r="BF185" s="1">
        <v>1.9924507023134701</v>
      </c>
      <c r="BG185" s="1">
        <v>1</v>
      </c>
      <c r="BH185" s="1">
        <v>-0.127</v>
      </c>
      <c r="BI185" s="1">
        <v>4.5999999999999999E-2</v>
      </c>
      <c r="BJ185" s="1">
        <v>5625</v>
      </c>
      <c r="BK185" s="1">
        <v>1.00000001480822</v>
      </c>
      <c r="BL185" s="1">
        <v>329.97922670936202</v>
      </c>
      <c r="BM185" s="1">
        <v>4.21119459087741</v>
      </c>
      <c r="BN185" s="1">
        <v>329.97922670936202</v>
      </c>
      <c r="BO185" s="1">
        <v>1.00000001480822</v>
      </c>
      <c r="BP185" s="1">
        <v>84087.951922959604</v>
      </c>
      <c r="BQ185" s="1">
        <v>1</v>
      </c>
      <c r="BR185" s="1">
        <v>0.69596000000000002</v>
      </c>
    </row>
    <row r="186" spans="1:70">
      <c r="A186" s="2" t="s">
        <v>254</v>
      </c>
      <c r="B186" s="1">
        <v>17236893.2329209</v>
      </c>
      <c r="C186" s="1">
        <v>626.57723583796803</v>
      </c>
      <c r="D186" s="1">
        <v>122.583590976701</v>
      </c>
      <c r="E186" s="1">
        <v>560.26337686439001</v>
      </c>
      <c r="F186" s="1">
        <v>2538890.6454807199</v>
      </c>
      <c r="G186" s="1">
        <v>1699798.64659754</v>
      </c>
      <c r="H186" s="1">
        <v>2.4290890628326198E-5</v>
      </c>
      <c r="I186" s="1">
        <v>6.4066005508525405E-5</v>
      </c>
      <c r="J186" s="1">
        <v>0.452884810527584</v>
      </c>
      <c r="K186" s="1">
        <v>11219.515372648901</v>
      </c>
      <c r="L186" s="1">
        <v>3.02925386118211E-3</v>
      </c>
      <c r="M186" s="1">
        <v>185</v>
      </c>
      <c r="N186" s="1">
        <v>2088.5942</v>
      </c>
      <c r="O186" s="3">
        <v>2.8502295699234199E-6</v>
      </c>
      <c r="P186" s="3">
        <v>5.98473400508856E-3</v>
      </c>
      <c r="Q186" s="3">
        <v>1.905E-3</v>
      </c>
      <c r="R186" s="1">
        <v>0.69596000000000002</v>
      </c>
      <c r="S186" s="4">
        <v>4174835.99609375</v>
      </c>
      <c r="T186" s="1">
        <v>299.35406737670502</v>
      </c>
      <c r="U186" s="5">
        <v>559.70584334375906</v>
      </c>
      <c r="V186" s="1">
        <v>0.03</v>
      </c>
      <c r="W186" s="3">
        <v>62104.2613694799</v>
      </c>
      <c r="X186" s="1">
        <v>3.1306557834014398E-2</v>
      </c>
      <c r="Y186" s="1">
        <v>5.6517421567611903</v>
      </c>
      <c r="Z186" s="1">
        <v>5.6517422024560604</v>
      </c>
      <c r="AA186" s="1">
        <v>-4.5694870998147501E-8</v>
      </c>
      <c r="AB186" s="1">
        <v>1.1930418629880701E-5</v>
      </c>
      <c r="AC186" s="1">
        <v>759.63411972541599</v>
      </c>
      <c r="AD186" s="1">
        <v>1942.51361513397</v>
      </c>
      <c r="AE186" s="1">
        <v>559.70584334375906</v>
      </c>
      <c r="AF186" s="6">
        <v>0</v>
      </c>
      <c r="AG186" s="1">
        <v>1.20452733963607E-5</v>
      </c>
      <c r="AH186" s="1">
        <v>30.469212742578101</v>
      </c>
      <c r="AI186" s="1">
        <v>0.233203196674861</v>
      </c>
      <c r="AJ186" s="1">
        <v>24.5649423311724</v>
      </c>
      <c r="AK186" s="1">
        <v>7.4695125395633504</v>
      </c>
      <c r="AL186" s="1">
        <v>1.5871354414155801</v>
      </c>
      <c r="AM186" s="1">
        <v>626.57723582118604</v>
      </c>
      <c r="AN186" s="1">
        <v>1.67818825502764E-8</v>
      </c>
      <c r="AO186" s="1">
        <v>1.14854766480001E-7</v>
      </c>
      <c r="AP186" s="1">
        <v>2.45019152429485</v>
      </c>
      <c r="AQ186" s="1">
        <v>3.1522037640914298E-5</v>
      </c>
      <c r="AR186" s="1">
        <v>6.0800640814203597E-6</v>
      </c>
      <c r="AS186" s="1">
        <v>12.3995876735392</v>
      </c>
      <c r="AT186" s="1">
        <v>9.5383160996209497</v>
      </c>
      <c r="AU186" s="1">
        <v>2.2243658053269</v>
      </c>
      <c r="AV186" s="1">
        <v>0.225825718967953</v>
      </c>
      <c r="AW186" s="1">
        <v>9.4642863421273392E-3</v>
      </c>
      <c r="AX186" s="1">
        <v>0.22582570202650001</v>
      </c>
      <c r="AY186" s="1">
        <v>1.6941452934959902E-8</v>
      </c>
      <c r="AZ186" s="1">
        <v>839091.99888317997</v>
      </c>
      <c r="BA186" s="1">
        <v>1.2865132104310101E-5</v>
      </c>
      <c r="BB186" s="4">
        <v>4196976.9838299397</v>
      </c>
      <c r="BC186" s="4">
        <v>22140.9877361869</v>
      </c>
      <c r="BD186" s="7">
        <v>0.53034389271587001</v>
      </c>
      <c r="BE186" s="4">
        <v>2082029.4</v>
      </c>
      <c r="BF186" s="1">
        <v>2.0158106239181501</v>
      </c>
      <c r="BG186" s="1">
        <v>1</v>
      </c>
      <c r="BH186" s="1">
        <v>-0.14000000000000001</v>
      </c>
      <c r="BI186" s="1">
        <v>4.5999999999999999E-2</v>
      </c>
      <c r="BJ186" s="1">
        <v>5625</v>
      </c>
      <c r="BK186" s="1">
        <v>1.0000000196483301</v>
      </c>
      <c r="BL186" s="1">
        <v>327.22316846126301</v>
      </c>
      <c r="BM186" s="1">
        <v>4.1969769838299404</v>
      </c>
      <c r="BN186" s="1">
        <v>327.22316846126301</v>
      </c>
      <c r="BO186" s="1">
        <v>1.0000000196483301</v>
      </c>
      <c r="BP186" s="1">
        <v>82497.148500927098</v>
      </c>
      <c r="BQ186" s="1">
        <v>1</v>
      </c>
      <c r="BR186" s="1">
        <v>0.69596000000000002</v>
      </c>
    </row>
    <row r="187" spans="1:70">
      <c r="A187" s="2" t="s">
        <v>255</v>
      </c>
      <c r="B187" s="1">
        <v>17236893.2329209</v>
      </c>
      <c r="C187" s="1">
        <v>626.57723583796803</v>
      </c>
      <c r="D187" s="1">
        <v>122.583590976701</v>
      </c>
      <c r="E187" s="1">
        <v>560.26337686439001</v>
      </c>
      <c r="F187" s="1">
        <v>2538890.6454807199</v>
      </c>
      <c r="G187" s="1">
        <v>1699798.64659754</v>
      </c>
      <c r="H187" s="1">
        <v>2.4290890628326198E-5</v>
      </c>
      <c r="I187" s="1">
        <v>6.4066005508525405E-5</v>
      </c>
      <c r="J187" s="1">
        <v>0.452884810527584</v>
      </c>
      <c r="K187" s="1">
        <v>11219.515372648901</v>
      </c>
      <c r="L187" s="1">
        <v>3.02925386118211E-3</v>
      </c>
      <c r="M187" s="1">
        <v>186</v>
      </c>
      <c r="N187" s="1">
        <v>2197.0925999999999</v>
      </c>
      <c r="O187" s="3">
        <v>2.8502295699234199E-6</v>
      </c>
      <c r="P187" s="3">
        <v>5.98473400508856E-3</v>
      </c>
      <c r="Q187" s="3">
        <v>1.905E-3</v>
      </c>
      <c r="R187" s="1">
        <v>0.69596000000000002</v>
      </c>
      <c r="S187" s="4">
        <v>4356434.22265625</v>
      </c>
      <c r="T187" s="1">
        <v>298.84787197440301</v>
      </c>
      <c r="U187" s="5">
        <v>557.10837495113606</v>
      </c>
      <c r="V187" s="1">
        <v>0.03</v>
      </c>
      <c r="W187" s="3">
        <v>65330.456765297</v>
      </c>
      <c r="X187" s="1">
        <v>3.06170850033569E-2</v>
      </c>
      <c r="Y187" s="1">
        <v>5.71502428279324</v>
      </c>
      <c r="Z187" s="1">
        <v>5.7150243315446003</v>
      </c>
      <c r="AA187" s="1">
        <v>-4.8751357617504703E-8</v>
      </c>
      <c r="AB187" s="1">
        <v>1.10239840215693E-5</v>
      </c>
      <c r="AC187" s="1">
        <v>758.58445237329204</v>
      </c>
      <c r="AD187" s="1">
        <v>2020.79670666674</v>
      </c>
      <c r="AE187" s="1">
        <v>557.10837653698002</v>
      </c>
      <c r="AF187" s="6">
        <v>1.5858445294725201E-6</v>
      </c>
      <c r="AG187" s="1">
        <v>1.1137456768428801E-5</v>
      </c>
      <c r="AH187" s="1">
        <v>32.974509272747099</v>
      </c>
      <c r="AI187" s="1">
        <v>0.24260126063117199</v>
      </c>
      <c r="AJ187" s="1">
        <v>23.628909142555401</v>
      </c>
      <c r="AK187" s="1">
        <v>7.4991626941410798</v>
      </c>
      <c r="AL187" s="1">
        <v>1.5871354414155801</v>
      </c>
      <c r="AM187" s="1">
        <v>626.57723579927597</v>
      </c>
      <c r="AN187" s="1">
        <v>3.8692519410687997E-8</v>
      </c>
      <c r="AO187" s="1">
        <v>1.13472746859471E-7</v>
      </c>
      <c r="AP187" s="1">
        <v>2.4980894910550999</v>
      </c>
      <c r="AQ187" s="1">
        <v>3.03248293045824E-5</v>
      </c>
      <c r="AR187" s="1">
        <v>5.6254647576441301E-6</v>
      </c>
      <c r="AS187" s="1">
        <v>11.9348248353985</v>
      </c>
      <c r="AT187" s="1">
        <v>9.3473029156749803</v>
      </c>
      <c r="AU187" s="1">
        <v>2.26766747084418</v>
      </c>
      <c r="AV187" s="1">
        <v>0.230422020210925</v>
      </c>
      <c r="AW187" s="1">
        <v>8.7452204862162094E-3</v>
      </c>
      <c r="AX187" s="1">
        <v>0.230422011635631</v>
      </c>
      <c r="AY187" s="1">
        <v>8.5752941414440897E-9</v>
      </c>
      <c r="AZ187" s="1">
        <v>839091.99888317997</v>
      </c>
      <c r="BA187" s="1">
        <v>1.2139208548439301E-5</v>
      </c>
      <c r="BB187" s="4">
        <v>4394434.6454541897</v>
      </c>
      <c r="BC187" s="4">
        <v>38000.422797937899</v>
      </c>
      <c r="BD187" s="7">
        <v>0.87228271691355597</v>
      </c>
      <c r="BE187" s="4">
        <v>2429034.2999999998</v>
      </c>
      <c r="BF187" s="1">
        <v>1.8091282800964099</v>
      </c>
      <c r="BG187" s="1">
        <v>1</v>
      </c>
      <c r="BH187" s="1">
        <v>-4.7E-2</v>
      </c>
      <c r="BI187" s="1">
        <v>4.5999999999999999E-2</v>
      </c>
      <c r="BJ187" s="1">
        <v>5625</v>
      </c>
      <c r="BK187" s="1">
        <v>1.0000000186575699</v>
      </c>
      <c r="BL187" s="1">
        <v>327.72936386356503</v>
      </c>
      <c r="BM187" s="1">
        <v>4.39443464545419</v>
      </c>
      <c r="BN187" s="1">
        <v>327.72936386356503</v>
      </c>
      <c r="BO187" s="1">
        <v>1.0000000186575699</v>
      </c>
      <c r="BP187" s="1">
        <v>82788.186829331797</v>
      </c>
      <c r="BQ187" s="1">
        <v>1</v>
      </c>
      <c r="BR187" s="1">
        <v>0.69596000000000002</v>
      </c>
    </row>
    <row r="188" spans="1:70">
      <c r="A188" s="2" t="s">
        <v>256</v>
      </c>
      <c r="B188" s="1">
        <v>17236893.2329209</v>
      </c>
      <c r="C188" s="1">
        <v>626.57723583796803</v>
      </c>
      <c r="D188" s="1">
        <v>122.583590976701</v>
      </c>
      <c r="E188" s="1">
        <v>560.26337686439001</v>
      </c>
      <c r="F188" s="1">
        <v>2538890.6454807199</v>
      </c>
      <c r="G188" s="1">
        <v>1699798.64659754</v>
      </c>
      <c r="H188" s="1">
        <v>2.4290890628326198E-5</v>
      </c>
      <c r="I188" s="1">
        <v>6.4066005508525405E-5</v>
      </c>
      <c r="J188" s="1">
        <v>0.452884810527584</v>
      </c>
      <c r="K188" s="1">
        <v>11219.515372648901</v>
      </c>
      <c r="L188" s="1">
        <v>3.02925386118211E-3</v>
      </c>
      <c r="M188" s="1">
        <v>187</v>
      </c>
      <c r="N188" s="1">
        <v>2414.0893999999998</v>
      </c>
      <c r="O188" s="3">
        <v>2.8502295699234199E-6</v>
      </c>
      <c r="P188" s="3">
        <v>5.98473400508856E-3</v>
      </c>
      <c r="Q188" s="3">
        <v>1.905E-3</v>
      </c>
      <c r="R188" s="1">
        <v>0.69596000000000002</v>
      </c>
      <c r="S188" s="4">
        <v>4716479.4921875</v>
      </c>
      <c r="T188" s="1">
        <v>297.72296123936098</v>
      </c>
      <c r="U188" s="5">
        <v>552.19483876594302</v>
      </c>
      <c r="V188" s="1">
        <v>0.03</v>
      </c>
      <c r="W188" s="3">
        <v>71782.847556931301</v>
      </c>
      <c r="X188" s="1">
        <v>2.93937295782228E-2</v>
      </c>
      <c r="Y188" s="1">
        <v>5.8327404707964403</v>
      </c>
      <c r="Z188" s="1">
        <v>5.8327404814836799</v>
      </c>
      <c r="AA188" s="1">
        <v>-1.06872386496093E-8</v>
      </c>
      <c r="AB188" s="1">
        <v>9.5112532420647704E-6</v>
      </c>
      <c r="AC188" s="1">
        <v>756.56313944595695</v>
      </c>
      <c r="AD188" s="1">
        <v>2175.5698943971502</v>
      </c>
      <c r="AE188" s="1">
        <v>552.19483876594302</v>
      </c>
      <c r="AF188" s="6">
        <v>0</v>
      </c>
      <c r="AG188" s="1">
        <v>9.6199797495388793E-6</v>
      </c>
      <c r="AH188" s="1">
        <v>38.2189869295226</v>
      </c>
      <c r="AI188" s="1">
        <v>0.26118213535816798</v>
      </c>
      <c r="AJ188" s="1">
        <v>21.9726386643643</v>
      </c>
      <c r="AK188" s="1">
        <v>7.5540476227608604</v>
      </c>
      <c r="AL188" s="1">
        <v>1.5871354414155801</v>
      </c>
      <c r="AM188" s="1">
        <v>626.57723583961103</v>
      </c>
      <c r="AN188" s="1">
        <v>-1.6430021787527899E-9</v>
      </c>
      <c r="AO188" s="1">
        <v>1.08726507474111E-7</v>
      </c>
      <c r="AP188" s="1">
        <v>2.5873913115067899</v>
      </c>
      <c r="AQ188" s="1">
        <v>2.8267676910378301E-5</v>
      </c>
      <c r="AR188" s="1">
        <v>4.8643531285064899E-6</v>
      </c>
      <c r="AS188" s="1">
        <v>11.1104884221473</v>
      </c>
      <c r="AT188" s="1">
        <v>8.9894478253735794</v>
      </c>
      <c r="AU188" s="1">
        <v>2.3478831787219101</v>
      </c>
      <c r="AV188" s="1">
        <v>0.23950813278487099</v>
      </c>
      <c r="AW188" s="1">
        <v>7.5451857095720299E-3</v>
      </c>
      <c r="AX188" s="1">
        <v>0.23950812766771901</v>
      </c>
      <c r="AY188" s="1">
        <v>5.1171517856385398E-9</v>
      </c>
      <c r="AZ188" s="1">
        <v>839091.99888317997</v>
      </c>
      <c r="BA188" s="1">
        <v>1.09251649662209E-5</v>
      </c>
      <c r="BB188" s="4">
        <v>4678528.1713303104</v>
      </c>
      <c r="BC188" s="4">
        <v>-37951.320857191502</v>
      </c>
      <c r="BD188" s="7">
        <v>-0.80465357519427405</v>
      </c>
      <c r="BE188" s="4">
        <v>2492126.1</v>
      </c>
      <c r="BF188" s="1">
        <v>1.8773240131509801</v>
      </c>
      <c r="BG188" s="1">
        <v>1</v>
      </c>
      <c r="BH188" s="1">
        <v>-8.5999999999999993E-2</v>
      </c>
      <c r="BI188" s="1">
        <v>4.5999999999999999E-2</v>
      </c>
      <c r="BJ188" s="1">
        <v>5625</v>
      </c>
      <c r="BK188" s="1">
        <v>1.00000001662561</v>
      </c>
      <c r="BL188" s="1">
        <v>328.85427459860699</v>
      </c>
      <c r="BM188" s="1">
        <v>4.67852817133031</v>
      </c>
      <c r="BN188" s="1">
        <v>328.85427459860699</v>
      </c>
      <c r="BO188" s="1">
        <v>1.00000001662561</v>
      </c>
      <c r="BP188" s="1">
        <v>83436.791953887499</v>
      </c>
      <c r="BQ188" s="1">
        <v>1</v>
      </c>
      <c r="BR188" s="1">
        <v>0.69596000000000002</v>
      </c>
    </row>
    <row r="189" spans="1:70">
      <c r="A189" s="2" t="s">
        <v>257</v>
      </c>
      <c r="B189" s="1">
        <v>17236893.2329209</v>
      </c>
      <c r="C189" s="1">
        <v>626.57723583796803</v>
      </c>
      <c r="D189" s="1">
        <v>122.583590976701</v>
      </c>
      <c r="E189" s="1">
        <v>560.26337686439001</v>
      </c>
      <c r="F189" s="1">
        <v>2538890.6454807199</v>
      </c>
      <c r="G189" s="1">
        <v>1699798.64659754</v>
      </c>
      <c r="H189" s="1">
        <v>2.4290890628326198E-5</v>
      </c>
      <c r="I189" s="1">
        <v>6.4066005508525405E-5</v>
      </c>
      <c r="J189" s="1">
        <v>0.452884810527584</v>
      </c>
      <c r="K189" s="1">
        <v>11219.515372648901</v>
      </c>
      <c r="L189" s="1">
        <v>3.02925386118211E-3</v>
      </c>
      <c r="M189" s="1">
        <v>188</v>
      </c>
      <c r="N189" s="1">
        <v>2983.7060000000001</v>
      </c>
      <c r="O189" s="3">
        <v>2.8502295699234199E-6</v>
      </c>
      <c r="P189" s="3">
        <v>5.98473400508856E-3</v>
      </c>
      <c r="Q189" s="3">
        <v>1.905E-3</v>
      </c>
      <c r="R189" s="1">
        <v>0.69596000000000002</v>
      </c>
      <c r="S189" s="4">
        <v>5580558.33984375</v>
      </c>
      <c r="T189" s="1">
        <v>298.28542199983798</v>
      </c>
      <c r="U189" s="5">
        <v>541.89637898541901</v>
      </c>
      <c r="V189" s="1">
        <v>0.03</v>
      </c>
      <c r="W189" s="3">
        <v>88720.373384971303</v>
      </c>
      <c r="X189" s="1">
        <v>2.68977240407712E-2</v>
      </c>
      <c r="Y189" s="1">
        <v>6.0973655573623198</v>
      </c>
      <c r="Z189" s="1">
        <v>6.0973655637760196</v>
      </c>
      <c r="AA189" s="1">
        <v>-6.4136980171269897E-9</v>
      </c>
      <c r="AB189" s="1">
        <v>6.8041134902182196E-6</v>
      </c>
      <c r="AC189" s="1">
        <v>750.16718579262897</v>
      </c>
      <c r="AD189" s="1">
        <v>2572.2083193029998</v>
      </c>
      <c r="AE189" s="1">
        <v>541.89637898541901</v>
      </c>
      <c r="AF189" s="6">
        <v>0</v>
      </c>
      <c r="AG189" s="1">
        <v>6.9077988830791201E-6</v>
      </c>
      <c r="AH189" s="1">
        <v>53.425102897599501</v>
      </c>
      <c r="AI189" s="1">
        <v>0.30879948428766202</v>
      </c>
      <c r="AJ189" s="1">
        <v>18.654380845278801</v>
      </c>
      <c r="AK189" s="1">
        <v>7.5792120787916701</v>
      </c>
      <c r="AL189" s="1">
        <v>1.5871354414155801</v>
      </c>
      <c r="AM189" s="1">
        <v>626.577235800327</v>
      </c>
      <c r="AN189" s="1">
        <v>3.7641143535438499E-8</v>
      </c>
      <c r="AO189" s="1">
        <v>1.0368539286089901E-7</v>
      </c>
      <c r="AP189" s="1">
        <v>2.7912967090185901</v>
      </c>
      <c r="AQ189" s="1">
        <v>2.4288592167690699E-5</v>
      </c>
      <c r="AR189" s="1">
        <v>3.5057421379700099E-6</v>
      </c>
      <c r="AS189" s="1">
        <v>9.4671906484173594</v>
      </c>
      <c r="AT189" s="1">
        <v>8.1891610257610896</v>
      </c>
      <c r="AU189" s="1">
        <v>2.5288087015036398</v>
      </c>
      <c r="AV189" s="1">
        <v>0.262488007514947</v>
      </c>
      <c r="AW189" s="1">
        <v>5.3976377840146703E-3</v>
      </c>
      <c r="AX189" s="1">
        <v>0.26248800720770599</v>
      </c>
      <c r="AY189" s="1">
        <v>3.0724156552253098E-10</v>
      </c>
      <c r="AZ189" s="1">
        <v>839091.99888317997</v>
      </c>
      <c r="BA189" s="1">
        <v>8.7015443715514207E-6</v>
      </c>
      <c r="BB189" s="4">
        <v>5601741.3589238403</v>
      </c>
      <c r="BC189" s="4">
        <v>21183.019080095</v>
      </c>
      <c r="BD189" s="7">
        <v>0.37958601613128401</v>
      </c>
      <c r="BE189" s="4">
        <v>3028406.4</v>
      </c>
      <c r="BF189" s="1">
        <v>1.8497323737408</v>
      </c>
      <c r="BG189" s="1">
        <v>1</v>
      </c>
      <c r="BH189" s="1">
        <v>-0.114</v>
      </c>
      <c r="BI189" s="1">
        <v>4.5999999999999999E-2</v>
      </c>
      <c r="BJ189" s="1">
        <v>5625</v>
      </c>
      <c r="BK189" s="1">
        <v>1.0000000176133099</v>
      </c>
      <c r="BL189" s="1">
        <v>328.29181383813</v>
      </c>
      <c r="BM189" s="1">
        <v>5.6017413589238396</v>
      </c>
      <c r="BN189" s="1">
        <v>328.29181383813</v>
      </c>
      <c r="BO189" s="1">
        <v>1.0000000176133099</v>
      </c>
      <c r="BP189" s="1">
        <v>83112.169926079005</v>
      </c>
      <c r="BQ189" s="1">
        <v>1</v>
      </c>
      <c r="BR189" s="1">
        <v>0.69596000000000002</v>
      </c>
    </row>
    <row r="190" spans="1:70">
      <c r="A190" s="2" t="s">
        <v>258</v>
      </c>
      <c r="B190" s="1">
        <v>17236893.2329209</v>
      </c>
      <c r="C190" s="1">
        <v>626.57723583796803</v>
      </c>
      <c r="D190" s="1">
        <v>122.583590976701</v>
      </c>
      <c r="E190" s="1">
        <v>560.26337686439001</v>
      </c>
      <c r="F190" s="1">
        <v>2538890.6454807199</v>
      </c>
      <c r="G190" s="1">
        <v>1699798.64659754</v>
      </c>
      <c r="H190" s="1">
        <v>2.4290890628326198E-5</v>
      </c>
      <c r="I190" s="1">
        <v>6.4066005508525405E-5</v>
      </c>
      <c r="J190" s="1">
        <v>0.452884810527584</v>
      </c>
      <c r="K190" s="1">
        <v>11219.515372648901</v>
      </c>
      <c r="L190" s="1">
        <v>3.02925386118211E-3</v>
      </c>
      <c r="M190" s="1">
        <v>189</v>
      </c>
      <c r="N190" s="1">
        <v>3051.5174999999999</v>
      </c>
      <c r="O190" s="3">
        <v>2.8502295699234199E-6</v>
      </c>
      <c r="P190" s="3">
        <v>5.98473400508856E-3</v>
      </c>
      <c r="Q190" s="3">
        <v>1.905E-3</v>
      </c>
      <c r="R190" s="1">
        <v>0.69596000000000002</v>
      </c>
      <c r="S190" s="4">
        <v>5690958.73046875</v>
      </c>
      <c r="T190" s="1">
        <v>297.72296123936098</v>
      </c>
      <c r="U190" s="5">
        <v>540.63260892440405</v>
      </c>
      <c r="V190" s="1">
        <v>0.03</v>
      </c>
      <c r="W190" s="3">
        <v>90736.745507357002</v>
      </c>
      <c r="X190" s="1">
        <v>2.6652018899410601E-2</v>
      </c>
      <c r="Y190" s="1">
        <v>6.1254069043171304</v>
      </c>
      <c r="Z190" s="1">
        <v>6.1254069065536001</v>
      </c>
      <c r="AA190" s="1">
        <v>-2.2364643470495999E-9</v>
      </c>
      <c r="AB190" s="1">
        <v>6.5650387724955899E-6</v>
      </c>
      <c r="AC190" s="1">
        <v>749.70006180055896</v>
      </c>
      <c r="AD190" s="1">
        <v>2618.6247319272102</v>
      </c>
      <c r="AE190" s="1">
        <v>540.63261042140505</v>
      </c>
      <c r="AF190" s="6">
        <v>1.49700053952984E-6</v>
      </c>
      <c r="AG190" s="1">
        <v>6.6681108808975502E-6</v>
      </c>
      <c r="AH190" s="1">
        <v>55.370649883255901</v>
      </c>
      <c r="AI190" s="1">
        <v>0.31437188064968102</v>
      </c>
      <c r="AJ190" s="1">
        <v>18.332052564778198</v>
      </c>
      <c r="AK190" s="1">
        <v>7.5956723949669103</v>
      </c>
      <c r="AL190" s="1">
        <v>1.5871354414155801</v>
      </c>
      <c r="AM190" s="1">
        <v>626.57723599291899</v>
      </c>
      <c r="AN190" s="1">
        <v>-1.5495118077524199E-7</v>
      </c>
      <c r="AO190" s="1">
        <v>1.03072108401963E-7</v>
      </c>
      <c r="AP190" s="1">
        <v>2.8129089681307602</v>
      </c>
      <c r="AQ190" s="1">
        <v>2.3916795734782299E-5</v>
      </c>
      <c r="AR190" s="1">
        <v>3.3855914946497599E-6</v>
      </c>
      <c r="AS190" s="1">
        <v>9.3077098373672005</v>
      </c>
      <c r="AT190" s="1">
        <v>8.1042153574346596</v>
      </c>
      <c r="AU190" s="1">
        <v>2.54773742310676</v>
      </c>
      <c r="AV190" s="1">
        <v>0.26517154502399898</v>
      </c>
      <c r="AW190" s="1">
        <v>5.2079821100701499E-3</v>
      </c>
      <c r="AX190" s="1">
        <v>0.26517154462220499</v>
      </c>
      <c r="AY190" s="1">
        <v>4.0179426452624501E-10</v>
      </c>
      <c r="AZ190" s="1">
        <v>839091.99888317997</v>
      </c>
      <c r="BA190" s="1">
        <v>8.5025132365643294E-6</v>
      </c>
      <c r="BB190" s="4">
        <v>5698960.6418665396</v>
      </c>
      <c r="BC190" s="4">
        <v>8001.9113977914703</v>
      </c>
      <c r="BD190" s="7">
        <v>0.140607440271006</v>
      </c>
      <c r="BE190" s="4">
        <v>3028406.4</v>
      </c>
      <c r="BF190" s="1">
        <v>1.8818348296538201</v>
      </c>
      <c r="BG190" s="1">
        <v>1</v>
      </c>
      <c r="BH190" s="1">
        <v>-0.156</v>
      </c>
      <c r="BI190" s="1">
        <v>4.5999999999999999E-2</v>
      </c>
      <c r="BJ190" s="1">
        <v>5625</v>
      </c>
      <c r="BK190" s="1">
        <v>1.00000001662561</v>
      </c>
      <c r="BL190" s="1">
        <v>328.85427459860699</v>
      </c>
      <c r="BM190" s="1">
        <v>5.6989606418665399</v>
      </c>
      <c r="BN190" s="1">
        <v>328.85427459860699</v>
      </c>
      <c r="BO190" s="1">
        <v>1.00000001662561</v>
      </c>
      <c r="BP190" s="1">
        <v>83436.791953887499</v>
      </c>
      <c r="BQ190" s="1">
        <v>1</v>
      </c>
      <c r="BR190" s="1">
        <v>0.69596000000000002</v>
      </c>
    </row>
    <row r="191" spans="1:70">
      <c r="A191" s="2" t="s">
        <v>259</v>
      </c>
      <c r="B191" s="1">
        <v>17236893.2329209</v>
      </c>
      <c r="C191" s="1">
        <v>626.57723583796803</v>
      </c>
      <c r="D191" s="1">
        <v>122.583590976701</v>
      </c>
      <c r="E191" s="1">
        <v>560.26337686439001</v>
      </c>
      <c r="F191" s="1">
        <v>2538890.6454807199</v>
      </c>
      <c r="G191" s="1">
        <v>1699798.64659754</v>
      </c>
      <c r="H191" s="1">
        <v>2.4290890628326198E-5</v>
      </c>
      <c r="I191" s="1">
        <v>6.4066005508525405E-5</v>
      </c>
      <c r="J191" s="1">
        <v>0.452884810527584</v>
      </c>
      <c r="K191" s="1">
        <v>11219.515372648901</v>
      </c>
      <c r="L191" s="1">
        <v>3.02925386118211E-3</v>
      </c>
      <c r="M191" s="1">
        <v>190</v>
      </c>
      <c r="N191" s="1">
        <v>3607.5718000000002</v>
      </c>
      <c r="O191" s="3">
        <v>2.8502295699234199E-6</v>
      </c>
      <c r="P191" s="3">
        <v>5.98473400508856E-3</v>
      </c>
      <c r="Q191" s="3">
        <v>1.905E-3</v>
      </c>
      <c r="R191" s="1">
        <v>0.69596000000000002</v>
      </c>
      <c r="S191" s="4">
        <v>6458440.91796875</v>
      </c>
      <c r="T191" s="1">
        <v>299.91649569119198</v>
      </c>
      <c r="U191" s="5">
        <v>533.09467146412499</v>
      </c>
      <c r="V191" s="1">
        <v>0.03</v>
      </c>
      <c r="W191" s="3">
        <v>107270.99691092</v>
      </c>
      <c r="X191" s="1">
        <v>2.49258812093941E-2</v>
      </c>
      <c r="Y191" s="1">
        <v>6.33395158653222</v>
      </c>
      <c r="Z191" s="1">
        <v>6.3339516227232</v>
      </c>
      <c r="AA191" s="1">
        <v>-3.6190980878814103E-8</v>
      </c>
      <c r="AB191" s="1">
        <v>5.0224850177624702E-6</v>
      </c>
      <c r="AC191" s="1">
        <v>743.45447219940297</v>
      </c>
      <c r="AD191" s="1">
        <v>2993.8675842437601</v>
      </c>
      <c r="AE191" s="1">
        <v>533.09467146412499</v>
      </c>
      <c r="AF191" s="6">
        <v>0</v>
      </c>
      <c r="AG191" s="1">
        <v>5.1214766945864902E-6</v>
      </c>
      <c r="AH191" s="1">
        <v>72.376614774611696</v>
      </c>
      <c r="AI191" s="1">
        <v>0.35942064221708903</v>
      </c>
      <c r="AJ191" s="1">
        <v>16.097662004600899</v>
      </c>
      <c r="AK191" s="1">
        <v>7.5496133980388596</v>
      </c>
      <c r="AL191" s="1">
        <v>1.5871354414155801</v>
      </c>
      <c r="AM191" s="1">
        <v>626.57723575488501</v>
      </c>
      <c r="AN191" s="1">
        <v>8.3083250501658794E-8</v>
      </c>
      <c r="AO191" s="1">
        <v>9.8991676824019995E-8</v>
      </c>
      <c r="AP191" s="1">
        <v>2.97292995260409</v>
      </c>
      <c r="AQ191" s="1">
        <v>2.14113966310024E-5</v>
      </c>
      <c r="AR191" s="1">
        <v>2.6102341857052602E-6</v>
      </c>
      <c r="AS191" s="1">
        <v>8.2044047410686396</v>
      </c>
      <c r="AT191" s="1">
        <v>7.4733558679723497</v>
      </c>
      <c r="AU191" s="1">
        <v>2.6860783655834699</v>
      </c>
      <c r="AV191" s="1">
        <v>0.28685158702061597</v>
      </c>
      <c r="AW191" s="1">
        <v>3.9842890540399897E-3</v>
      </c>
      <c r="AX191" s="1">
        <v>0.28685157724797899</v>
      </c>
      <c r="AY191" s="1">
        <v>9.7726369219230897E-9</v>
      </c>
      <c r="AZ191" s="1">
        <v>839091.99888317997</v>
      </c>
      <c r="BA191" s="1">
        <v>7.2021194486091E-6</v>
      </c>
      <c r="BB191" s="4">
        <v>6461601.5695773698</v>
      </c>
      <c r="BC191" s="4">
        <v>3160.6516086198399</v>
      </c>
      <c r="BD191" s="7">
        <v>4.8938306454522698E-2</v>
      </c>
      <c r="BE191" s="4">
        <v>3722416.2</v>
      </c>
      <c r="BF191" s="1">
        <v>1.73586219874537</v>
      </c>
      <c r="BG191" s="1">
        <v>1</v>
      </c>
      <c r="BH191" s="1">
        <v>-7.5999999999999998E-2</v>
      </c>
      <c r="BI191" s="1">
        <v>4.5999999999999999E-2</v>
      </c>
      <c r="BJ191" s="1">
        <v>5625</v>
      </c>
      <c r="BK191" s="1">
        <v>1.0000000208087401</v>
      </c>
      <c r="BL191" s="1">
        <v>326.66074014677599</v>
      </c>
      <c r="BM191" s="1">
        <v>6.4616015695773701</v>
      </c>
      <c r="BN191" s="1">
        <v>326.66074014677599</v>
      </c>
      <c r="BO191" s="1">
        <v>1.0000000208087401</v>
      </c>
      <c r="BP191" s="1">
        <v>82174.379941497493</v>
      </c>
      <c r="BQ191" s="1">
        <v>1</v>
      </c>
      <c r="BR191" s="1">
        <v>0.69596000000000002</v>
      </c>
    </row>
    <row r="192" spans="1:70">
      <c r="A192" s="2" t="s">
        <v>260</v>
      </c>
      <c r="B192" s="1">
        <v>17236893.2329209</v>
      </c>
      <c r="C192" s="1">
        <v>626.57723583796803</v>
      </c>
      <c r="D192" s="1">
        <v>122.583590976701</v>
      </c>
      <c r="E192" s="1">
        <v>560.26337686439001</v>
      </c>
      <c r="F192" s="1">
        <v>2538890.6454807199</v>
      </c>
      <c r="G192" s="1">
        <v>1699798.64659754</v>
      </c>
      <c r="H192" s="1">
        <v>2.4290890628326198E-5</v>
      </c>
      <c r="I192" s="1">
        <v>6.4066005508525405E-5</v>
      </c>
      <c r="J192" s="1">
        <v>0.452884810527584</v>
      </c>
      <c r="K192" s="1">
        <v>11219.515372648901</v>
      </c>
      <c r="L192" s="1">
        <v>3.02925386118211E-3</v>
      </c>
      <c r="M192" s="1">
        <v>191</v>
      </c>
      <c r="N192" s="1">
        <v>3648.2586999999999</v>
      </c>
      <c r="O192" s="3">
        <v>2.8502295699234199E-6</v>
      </c>
      <c r="P192" s="3">
        <v>5.98473400508856E-3</v>
      </c>
      <c r="Q192" s="3">
        <v>1.905E-3</v>
      </c>
      <c r="R192" s="1">
        <v>0.69596000000000002</v>
      </c>
      <c r="S192" s="4">
        <v>6580462.40234375</v>
      </c>
      <c r="T192" s="1">
        <v>296.59800912860601</v>
      </c>
      <c r="U192" s="5">
        <v>531.53206594622395</v>
      </c>
      <c r="V192" s="1">
        <v>0.03</v>
      </c>
      <c r="W192" s="3">
        <v>108480.820184351</v>
      </c>
      <c r="X192" s="1">
        <v>2.4816475679600599E-2</v>
      </c>
      <c r="Y192" s="1">
        <v>6.3478981126908902</v>
      </c>
      <c r="Z192" s="1">
        <v>6.3478981428997603</v>
      </c>
      <c r="AA192" s="1">
        <v>-3.0208874512993602E-8</v>
      </c>
      <c r="AB192" s="1">
        <v>4.9327349369830401E-6</v>
      </c>
      <c r="AC192" s="1">
        <v>744.36518426716998</v>
      </c>
      <c r="AD192" s="1">
        <v>3020.9812058765401</v>
      </c>
      <c r="AE192" s="1">
        <v>531.53206594622395</v>
      </c>
      <c r="AF192" s="6">
        <v>0</v>
      </c>
      <c r="AG192" s="1">
        <v>5.0325428617803003E-6</v>
      </c>
      <c r="AH192" s="1">
        <v>73.693492147012293</v>
      </c>
      <c r="AI192" s="1">
        <v>0.36267569442827202</v>
      </c>
      <c r="AJ192" s="1">
        <v>15.9613831004792</v>
      </c>
      <c r="AK192" s="1">
        <v>7.6321306002263496</v>
      </c>
      <c r="AL192" s="1">
        <v>1.5871354414155801</v>
      </c>
      <c r="AM192" s="1">
        <v>626.57723576590104</v>
      </c>
      <c r="AN192" s="1">
        <v>7.2066541179083301E-8</v>
      </c>
      <c r="AO192" s="1">
        <v>9.9807924797256902E-8</v>
      </c>
      <c r="AP192" s="1">
        <v>2.9842363221624701</v>
      </c>
      <c r="AQ192" s="1">
        <v>2.1249461352944501E-5</v>
      </c>
      <c r="AR192" s="1">
        <v>2.5661753932887799E-6</v>
      </c>
      <c r="AS192" s="1">
        <v>8.1389686447330494</v>
      </c>
      <c r="AT192" s="1">
        <v>7.4333173493290499</v>
      </c>
      <c r="AU192" s="1">
        <v>2.69588353157364</v>
      </c>
      <c r="AV192" s="1">
        <v>0.28835279058883001</v>
      </c>
      <c r="AW192" s="1">
        <v>3.9130911782506101E-3</v>
      </c>
      <c r="AX192" s="1">
        <v>0.28835277960452999</v>
      </c>
      <c r="AY192" s="1">
        <v>1.09843000251075E-8</v>
      </c>
      <c r="AZ192" s="1">
        <v>839091.99888317997</v>
      </c>
      <c r="BA192" s="1">
        <v>7.12056923747463E-6</v>
      </c>
      <c r="BB192" s="4">
        <v>6589494.9066015501</v>
      </c>
      <c r="BC192" s="4">
        <v>9032.5042578028497</v>
      </c>
      <c r="BD192" s="7">
        <v>0.13726245521265701</v>
      </c>
      <c r="BE192" s="4">
        <v>3753962.1</v>
      </c>
      <c r="BF192" s="1">
        <v>1.75534401548741</v>
      </c>
      <c r="BG192" s="1">
        <v>1</v>
      </c>
      <c r="BH192" s="1">
        <v>-9.7000000000000003E-2</v>
      </c>
      <c r="BI192" s="1">
        <v>4.5999999999999999E-2</v>
      </c>
      <c r="BJ192" s="1">
        <v>5625</v>
      </c>
      <c r="BK192" s="1">
        <v>1.00000001480822</v>
      </c>
      <c r="BL192" s="1">
        <v>329.97922670936202</v>
      </c>
      <c r="BM192" s="1">
        <v>6.5894949066015496</v>
      </c>
      <c r="BN192" s="1">
        <v>329.97922670936202</v>
      </c>
      <c r="BO192" s="1">
        <v>1.00000001480822</v>
      </c>
      <c r="BP192" s="1">
        <v>84087.951922959604</v>
      </c>
      <c r="BQ192" s="1">
        <v>1</v>
      </c>
      <c r="BR192" s="1">
        <v>0.69596000000000002</v>
      </c>
    </row>
    <row r="193" spans="1:70">
      <c r="A193" s="2" t="s">
        <v>261</v>
      </c>
      <c r="B193" s="1">
        <v>17236893.2329209</v>
      </c>
      <c r="C193" s="1">
        <v>626.57723583796803</v>
      </c>
      <c r="D193" s="1">
        <v>122.583590976701</v>
      </c>
      <c r="E193" s="1">
        <v>560.26337686439001</v>
      </c>
      <c r="F193" s="1">
        <v>2538890.6454807199</v>
      </c>
      <c r="G193" s="1">
        <v>1699798.64659754</v>
      </c>
      <c r="H193" s="1">
        <v>2.4290890628326198E-5</v>
      </c>
      <c r="I193" s="1">
        <v>6.4066005508525405E-5</v>
      </c>
      <c r="J193" s="1">
        <v>0.452884810527584</v>
      </c>
      <c r="K193" s="1">
        <v>11219.515372648901</v>
      </c>
      <c r="L193" s="1">
        <v>3.02925386118211E-3</v>
      </c>
      <c r="M193" s="1">
        <v>192</v>
      </c>
      <c r="N193" s="1">
        <v>3661.8209999999999</v>
      </c>
      <c r="O193" s="3">
        <v>2.8502295699234199E-6</v>
      </c>
      <c r="P193" s="3">
        <v>5.98473400508856E-3</v>
      </c>
      <c r="Q193" s="3">
        <v>1.905E-3</v>
      </c>
      <c r="R193" s="1">
        <v>0.69596000000000002</v>
      </c>
      <c r="S193" s="4">
        <v>6556070.21484375</v>
      </c>
      <c r="T193" s="1">
        <v>298.84787197440301</v>
      </c>
      <c r="U193" s="5">
        <v>532.04418410014102</v>
      </c>
      <c r="V193" s="1">
        <v>0.03</v>
      </c>
      <c r="W193" s="3">
        <v>108884.094608828</v>
      </c>
      <c r="X193" s="1">
        <v>2.4780443082083201E-2</v>
      </c>
      <c r="Y193" s="1">
        <v>6.3525115929537899</v>
      </c>
      <c r="Z193" s="1">
        <v>6.35251162124099</v>
      </c>
      <c r="AA193" s="1">
        <v>-2.8287202802346201E-8</v>
      </c>
      <c r="AB193" s="1">
        <v>4.9033833539040099E-6</v>
      </c>
      <c r="AC193" s="1">
        <v>743.37490699852106</v>
      </c>
      <c r="AD193" s="1">
        <v>3030.0094905242099</v>
      </c>
      <c r="AE193" s="1">
        <v>532.04418410014102</v>
      </c>
      <c r="AF193" s="6">
        <v>0</v>
      </c>
      <c r="AG193" s="1">
        <v>5.0026818067826202E-6</v>
      </c>
      <c r="AH193" s="1">
        <v>74.134620343814404</v>
      </c>
      <c r="AI193" s="1">
        <v>0.36375956062304399</v>
      </c>
      <c r="AJ193" s="1">
        <v>15.9140927586605</v>
      </c>
      <c r="AK193" s="1">
        <v>7.5762043393476102</v>
      </c>
      <c r="AL193" s="1">
        <v>1.5871354414155801</v>
      </c>
      <c r="AM193" s="1">
        <v>626.57723567076698</v>
      </c>
      <c r="AN193" s="1">
        <v>1.6720127860026E-7</v>
      </c>
      <c r="AO193" s="1">
        <v>9.9298452878604306E-8</v>
      </c>
      <c r="AP193" s="1">
        <v>2.9874741172130901</v>
      </c>
      <c r="AQ193" s="1">
        <v>2.1203426398358499E-5</v>
      </c>
      <c r="AR193" s="1">
        <v>2.5509901298306101E-6</v>
      </c>
      <c r="AS193" s="1">
        <v>8.1149861455331607</v>
      </c>
      <c r="AT193" s="1">
        <v>7.4185624684934801</v>
      </c>
      <c r="AU193" s="1">
        <v>2.6985730239937902</v>
      </c>
      <c r="AV193" s="1">
        <v>0.28890109321929403</v>
      </c>
      <c r="AW193" s="1">
        <v>3.88980684972261E-3</v>
      </c>
      <c r="AX193" s="1">
        <v>0.28890108188186397</v>
      </c>
      <c r="AY193" s="1">
        <v>1.13374305499292E-8</v>
      </c>
      <c r="AZ193" s="1">
        <v>839091.99888317997</v>
      </c>
      <c r="BA193" s="1">
        <v>7.0974427112822801E-6</v>
      </c>
      <c r="BB193" s="4">
        <v>6577220.4856719803</v>
      </c>
      <c r="BC193" s="4">
        <v>21150.270828231201</v>
      </c>
      <c r="BD193" s="7">
        <v>0.32260592298637097</v>
      </c>
      <c r="BE193" s="4">
        <v>3659324.4</v>
      </c>
      <c r="BF193" s="1">
        <v>1.7973865573852901</v>
      </c>
      <c r="BG193" s="1">
        <v>1</v>
      </c>
      <c r="BH193" s="1">
        <v>-0.13800000000000001</v>
      </c>
      <c r="BI193" s="1">
        <v>4.5999999999999999E-2</v>
      </c>
      <c r="BJ193" s="1">
        <v>5625</v>
      </c>
      <c r="BK193" s="1">
        <v>1.0000000186575699</v>
      </c>
      <c r="BL193" s="1">
        <v>327.72936386356503</v>
      </c>
      <c r="BM193" s="1">
        <v>6.5772204856719796</v>
      </c>
      <c r="BN193" s="1">
        <v>327.72936386356503</v>
      </c>
      <c r="BO193" s="1">
        <v>1.0000000186575699</v>
      </c>
      <c r="BP193" s="1">
        <v>82788.186829331797</v>
      </c>
      <c r="BQ193" s="1">
        <v>1</v>
      </c>
      <c r="BR193" s="1">
        <v>0.69596000000000002</v>
      </c>
    </row>
    <row r="194" spans="1:70">
      <c r="A194" s="2" t="s">
        <v>262</v>
      </c>
      <c r="B194" s="1">
        <v>18271106.826896202</v>
      </c>
      <c r="C194" s="1">
        <v>631.29983468618298</v>
      </c>
      <c r="D194" s="1">
        <v>138.52318499804201</v>
      </c>
      <c r="E194" s="1">
        <v>536.33561616438203</v>
      </c>
      <c r="F194" s="1">
        <v>2495937.2378505501</v>
      </c>
      <c r="G194" s="1">
        <v>1744945.8746917399</v>
      </c>
      <c r="H194" s="1">
        <v>2.53000428176681E-5</v>
      </c>
      <c r="I194" s="1">
        <v>6.1314866074765306E-5</v>
      </c>
      <c r="J194" s="1">
        <v>0.443124715589372</v>
      </c>
      <c r="K194" s="1">
        <v>14125.954358631299</v>
      </c>
      <c r="L194" s="1">
        <v>2.2091942860543502E-3</v>
      </c>
      <c r="M194" s="1">
        <v>193</v>
      </c>
      <c r="N194" s="1">
        <v>2739.5846000000001</v>
      </c>
      <c r="O194" s="3">
        <v>7.0553949389535604E-6</v>
      </c>
      <c r="P194" s="3">
        <v>9.4159815013393298E-3</v>
      </c>
      <c r="Q194" s="3">
        <v>2.9972000000000002E-3</v>
      </c>
      <c r="R194" s="1">
        <v>0.150114</v>
      </c>
      <c r="S194" s="4">
        <v>2928883.69140625</v>
      </c>
      <c r="T194" s="1">
        <v>612.68304621214202</v>
      </c>
      <c r="U194" s="5">
        <v>627.84534587882399</v>
      </c>
      <c r="V194" s="1">
        <v>0.03</v>
      </c>
      <c r="W194" s="3">
        <v>133916.674515894</v>
      </c>
      <c r="X194" s="1">
        <v>2.3587060909025698E-2</v>
      </c>
      <c r="Y194" s="1">
        <v>6.5112307388258204</v>
      </c>
      <c r="Z194" s="1">
        <v>6.5112307565456202</v>
      </c>
      <c r="AA194" s="1">
        <v>-1.7719809619620699E-8</v>
      </c>
      <c r="AB194" s="1">
        <v>6.4253756212537998E-6</v>
      </c>
      <c r="AC194" s="1">
        <v>675.49427271791899</v>
      </c>
      <c r="AD194" s="1">
        <v>3635.77150244014</v>
      </c>
      <c r="AE194" s="1">
        <v>627.84534666578304</v>
      </c>
      <c r="AF194" s="6">
        <v>7.8695882166357499E-7</v>
      </c>
      <c r="AG194" s="1">
        <v>6.50238492499943E-6</v>
      </c>
      <c r="AH194" s="1">
        <v>41.258804146735898</v>
      </c>
      <c r="AI194" s="1">
        <v>0.27735755430529702</v>
      </c>
      <c r="AJ194" s="1">
        <v>15.775514352201601</v>
      </c>
      <c r="AK194" s="1">
        <v>2.4514116699517299</v>
      </c>
      <c r="AL194" s="1">
        <v>1.9545987150045101</v>
      </c>
      <c r="AM194" s="1">
        <v>631.29983467023806</v>
      </c>
      <c r="AN194" s="1">
        <v>1.5945261111483001E-8</v>
      </c>
      <c r="AO194" s="1">
        <v>7.7009303745626797E-8</v>
      </c>
      <c r="AP194" s="1">
        <v>2.28312512080069</v>
      </c>
      <c r="AQ194" s="1">
        <v>2.4188456943586901E-5</v>
      </c>
      <c r="AR194" s="1">
        <v>3.2896971143725301E-6</v>
      </c>
      <c r="AS194" s="1">
        <v>7.98117377558735</v>
      </c>
      <c r="AT194" s="1">
        <v>7.3354274515884699</v>
      </c>
      <c r="AU194" s="1">
        <v>2.0345362177565098</v>
      </c>
      <c r="AV194" s="1">
        <v>0.248588903044175</v>
      </c>
      <c r="AW194" s="1">
        <v>5.6903963802360201E-3</v>
      </c>
      <c r="AX194" s="1">
        <v>0.248588889488007</v>
      </c>
      <c r="AY194" s="1">
        <v>1.35561683545227E-8</v>
      </c>
      <c r="AZ194" s="1">
        <v>750991.36315881298</v>
      </c>
      <c r="BA194" s="1">
        <v>1.0594450879286E-5</v>
      </c>
      <c r="BB194" s="4">
        <v>2927765.74651143</v>
      </c>
      <c r="BC194" s="4">
        <v>-1117.94489481859</v>
      </c>
      <c r="BD194" s="7">
        <v>-3.81696582250362E-2</v>
      </c>
      <c r="BE194" s="4">
        <v>1722406.14</v>
      </c>
      <c r="BF194" s="1">
        <v>1.69981148958946</v>
      </c>
      <c r="BG194" s="1">
        <v>1</v>
      </c>
      <c r="BH194" s="1">
        <v>-5.7000000000000002E-2</v>
      </c>
      <c r="BI194" s="1">
        <v>4.5999999999999999E-2</v>
      </c>
      <c r="BJ194" s="1">
        <v>5625</v>
      </c>
      <c r="BK194" s="1">
        <v>1.0424087189582001</v>
      </c>
      <c r="BL194" s="1">
        <v>18.616788474041002</v>
      </c>
      <c r="BM194" s="1">
        <v>2.92776574651143</v>
      </c>
      <c r="BN194" s="1">
        <v>18.616788474041002</v>
      </c>
      <c r="BO194" s="1">
        <v>1.0424087189582001</v>
      </c>
      <c r="BP194" s="1">
        <v>457.241735163908</v>
      </c>
      <c r="BQ194" s="1">
        <v>1</v>
      </c>
      <c r="BR194" s="1">
        <v>0.150114</v>
      </c>
    </row>
    <row r="195" spans="1:70">
      <c r="A195" s="2" t="s">
        <v>263</v>
      </c>
      <c r="B195" s="1">
        <v>18271106.826896202</v>
      </c>
      <c r="C195" s="1">
        <v>631.29983468618298</v>
      </c>
      <c r="D195" s="1">
        <v>138.52318499804201</v>
      </c>
      <c r="E195" s="1">
        <v>536.33561616438203</v>
      </c>
      <c r="F195" s="1">
        <v>2495937.2378505501</v>
      </c>
      <c r="G195" s="1">
        <v>1744945.8746917399</v>
      </c>
      <c r="H195" s="1">
        <v>2.53000428176681E-5</v>
      </c>
      <c r="I195" s="1">
        <v>6.1314866074765306E-5</v>
      </c>
      <c r="J195" s="1">
        <v>0.443124715589372</v>
      </c>
      <c r="K195" s="1">
        <v>14125.954358631299</v>
      </c>
      <c r="L195" s="1">
        <v>2.2091942860543502E-3</v>
      </c>
      <c r="M195" s="1">
        <v>194</v>
      </c>
      <c r="N195" s="1">
        <v>2753.1469000000002</v>
      </c>
      <c r="O195" s="3">
        <v>7.0553949389535604E-6</v>
      </c>
      <c r="P195" s="3">
        <v>9.4159815013393298E-3</v>
      </c>
      <c r="Q195" s="3">
        <v>2.9972000000000002E-3</v>
      </c>
      <c r="R195" s="1">
        <v>0.150114</v>
      </c>
      <c r="S195" s="4">
        <v>2936099.51171875</v>
      </c>
      <c r="T195" s="1">
        <v>612.68304621214202</v>
      </c>
      <c r="U195" s="5">
        <v>627.80782572576095</v>
      </c>
      <c r="V195" s="1">
        <v>0.03</v>
      </c>
      <c r="W195" s="3">
        <v>134579.628350132</v>
      </c>
      <c r="X195" s="1">
        <v>2.3542434183711498E-2</v>
      </c>
      <c r="Y195" s="1">
        <v>6.51739911825611</v>
      </c>
      <c r="Z195" s="1">
        <v>6.5173991374830198</v>
      </c>
      <c r="AA195" s="1">
        <v>-1.9226911618375201E-8</v>
      </c>
      <c r="AB195" s="1">
        <v>6.3742875031969701E-6</v>
      </c>
      <c r="AC195" s="1">
        <v>675.37002279869603</v>
      </c>
      <c r="AD195" s="1">
        <v>3650.3122675647301</v>
      </c>
      <c r="AE195" s="1">
        <v>627.80782572576095</v>
      </c>
      <c r="AF195" s="6">
        <v>0</v>
      </c>
      <c r="AG195" s="1">
        <v>6.45120247387111E-6</v>
      </c>
      <c r="AH195" s="1">
        <v>41.589481835195201</v>
      </c>
      <c r="AI195" s="1">
        <v>0.27846680747205299</v>
      </c>
      <c r="AJ195" s="1">
        <v>15.713935360280001</v>
      </c>
      <c r="AK195" s="1">
        <v>2.4476620681140999</v>
      </c>
      <c r="AL195" s="1">
        <v>1.9545987150045101</v>
      </c>
      <c r="AM195" s="1">
        <v>631.29983473374205</v>
      </c>
      <c r="AN195" s="1">
        <v>-4.75590695714345E-8</v>
      </c>
      <c r="AO195" s="1">
        <v>7.6914970674134803E-8</v>
      </c>
      <c r="AP195" s="1">
        <v>2.2865463500747101</v>
      </c>
      <c r="AQ195" s="1">
        <v>2.4116127470150599E-5</v>
      </c>
      <c r="AR195" s="1">
        <v>3.2640587222726199E-6</v>
      </c>
      <c r="AS195" s="1">
        <v>7.9506429974398802</v>
      </c>
      <c r="AT195" s="1">
        <v>7.3162640278836601</v>
      </c>
      <c r="AU195" s="1">
        <v>2.0373366864673899</v>
      </c>
      <c r="AV195" s="1">
        <v>0.249209663607318</v>
      </c>
      <c r="AW195" s="1">
        <v>5.6451520771477999E-3</v>
      </c>
      <c r="AX195" s="1">
        <v>0.249209649380879</v>
      </c>
      <c r="AY195" s="1">
        <v>1.42264398872438E-8</v>
      </c>
      <c r="AZ195" s="1">
        <v>750991.36315881298</v>
      </c>
      <c r="BA195" s="1">
        <v>1.05469663754521E-5</v>
      </c>
      <c r="BB195" s="4">
        <v>2937344.58686127</v>
      </c>
      <c r="BC195" s="4">
        <v>1245.0751425186199</v>
      </c>
      <c r="BD195" s="7">
        <v>4.2405754217430099E-2</v>
      </c>
      <c r="BE195" s="4">
        <v>1747642.86</v>
      </c>
      <c r="BF195" s="1">
        <v>1.6807464809264701</v>
      </c>
      <c r="BG195" s="1">
        <v>1</v>
      </c>
      <c r="BH195" s="1">
        <v>-5.5E-2</v>
      </c>
      <c r="BI195" s="1">
        <v>4.5999999999999999E-2</v>
      </c>
      <c r="BJ195" s="1">
        <v>5625</v>
      </c>
      <c r="BK195" s="1">
        <v>1.0424087189582001</v>
      </c>
      <c r="BL195" s="1">
        <v>18.616788474041002</v>
      </c>
      <c r="BM195" s="1">
        <v>2.9373445868612702</v>
      </c>
      <c r="BN195" s="1">
        <v>18.616788474041002</v>
      </c>
      <c r="BO195" s="1">
        <v>1.0424087189582001</v>
      </c>
      <c r="BP195" s="1">
        <v>457.241735163908</v>
      </c>
      <c r="BQ195" s="1">
        <v>1</v>
      </c>
      <c r="BR195" s="1">
        <v>0.150114</v>
      </c>
    </row>
    <row r="196" spans="1:70">
      <c r="A196" s="2" t="s">
        <v>264</v>
      </c>
      <c r="B196" s="1">
        <v>18960582.556212999</v>
      </c>
      <c r="C196" s="1">
        <v>634.44823391832597</v>
      </c>
      <c r="D196" s="1">
        <v>149.14958101226799</v>
      </c>
      <c r="E196" s="1">
        <v>520.38377569771103</v>
      </c>
      <c r="F196" s="1">
        <v>2467301.6327637699</v>
      </c>
      <c r="G196" s="1">
        <v>1775044.0267545299</v>
      </c>
      <c r="H196" s="1">
        <v>2.5972810943896E-5</v>
      </c>
      <c r="I196" s="1">
        <v>5.9480773118925399E-5</v>
      </c>
      <c r="J196" s="1">
        <v>0.43661798563056398</v>
      </c>
      <c r="K196" s="1">
        <v>16063.580349286</v>
      </c>
      <c r="L196" s="1">
        <v>1.6624879026359001E-3</v>
      </c>
      <c r="M196" s="1">
        <v>195</v>
      </c>
      <c r="N196" s="1">
        <v>1844.4728</v>
      </c>
      <c r="O196" s="3">
        <v>2.8502295699234199E-6</v>
      </c>
      <c r="P196" s="3">
        <v>5.98473400508856E-3</v>
      </c>
      <c r="Q196" s="3">
        <v>1.905E-3</v>
      </c>
      <c r="R196" s="1">
        <v>0.15240000000000001</v>
      </c>
      <c r="S196" s="4">
        <v>3577259.66796875</v>
      </c>
      <c r="T196" s="1">
        <v>558.46565244536998</v>
      </c>
      <c r="U196" s="5">
        <v>597.10109037325901</v>
      </c>
      <c r="V196" s="1">
        <v>0.03</v>
      </c>
      <c r="W196" s="3">
        <v>59073.218113266499</v>
      </c>
      <c r="X196" s="1">
        <v>2.8903890083005299E-2</v>
      </c>
      <c r="Y196" s="1">
        <v>5.8819570842325399</v>
      </c>
      <c r="Z196" s="1">
        <v>5.8819570995297799</v>
      </c>
      <c r="AA196" s="1">
        <v>-1.5297239919220799E-8</v>
      </c>
      <c r="AB196" s="1">
        <v>8.4460309260993805E-6</v>
      </c>
      <c r="AC196" s="1">
        <v>748.28847622759997</v>
      </c>
      <c r="AD196" s="1">
        <v>1775.39008344588</v>
      </c>
      <c r="AE196" s="1">
        <v>597.10109037325901</v>
      </c>
      <c r="AF196" s="6">
        <v>0</v>
      </c>
      <c r="AG196" s="1">
        <v>8.6004070236843192E-6</v>
      </c>
      <c r="AH196" s="1">
        <v>23.620390460545199</v>
      </c>
      <c r="AI196" s="1">
        <v>0.21305006072789601</v>
      </c>
      <c r="AJ196" s="1">
        <v>16.0305273946955</v>
      </c>
      <c r="AK196" s="1">
        <v>5.7626309429351501</v>
      </c>
      <c r="AL196" s="1">
        <v>2.1883527698787102</v>
      </c>
      <c r="AM196" s="1">
        <v>634.44823394711705</v>
      </c>
      <c r="AN196" s="1">
        <v>-2.87909642793238E-8</v>
      </c>
      <c r="AO196" s="1">
        <v>1.5437609758493399E-7</v>
      </c>
      <c r="AP196" s="1">
        <v>1.8021190175742501</v>
      </c>
      <c r="AQ196" s="1">
        <v>2.7745838616511899E-5</v>
      </c>
      <c r="AR196" s="1">
        <v>4.3773915606346298E-6</v>
      </c>
      <c r="AS196" s="1">
        <v>8.1591365544466097</v>
      </c>
      <c r="AT196" s="1">
        <v>7.44569174485612</v>
      </c>
      <c r="AU196" s="1">
        <v>1.5863050784027899</v>
      </c>
      <c r="AV196" s="1">
        <v>0.215813939171459</v>
      </c>
      <c r="AW196" s="1">
        <v>8.3295048522171993E-3</v>
      </c>
      <c r="AX196" s="1">
        <v>0.215813934900912</v>
      </c>
      <c r="AY196" s="1">
        <v>4.27054622220702E-9</v>
      </c>
      <c r="AZ196" s="1">
        <v>692257.60600924003</v>
      </c>
      <c r="BA196" s="1">
        <v>1.5396229852709301E-5</v>
      </c>
      <c r="BB196" s="4">
        <v>3612078.30152677</v>
      </c>
      <c r="BC196" s="4">
        <v>34818.633558017696</v>
      </c>
      <c r="BD196" s="7">
        <v>0.97333257268932005</v>
      </c>
      <c r="BE196" s="4">
        <v>2555217.9</v>
      </c>
      <c r="BF196" s="1">
        <v>1.4136087186641799</v>
      </c>
      <c r="BG196" s="1">
        <v>1</v>
      </c>
      <c r="BH196" s="1">
        <v>-0.10299999999999999</v>
      </c>
      <c r="BI196" s="1">
        <v>4.5999999999999999E-2</v>
      </c>
      <c r="BJ196" s="1">
        <v>5625</v>
      </c>
      <c r="BK196" s="1">
        <v>1.03654207365804</v>
      </c>
      <c r="BL196" s="1">
        <v>75.982581472955999</v>
      </c>
      <c r="BM196" s="1">
        <v>3.6120783015267701</v>
      </c>
      <c r="BN196" s="1">
        <v>75.982581472955999</v>
      </c>
      <c r="BO196" s="1">
        <v>1.03654207365804</v>
      </c>
      <c r="BP196" s="1">
        <v>1294.7461694579199</v>
      </c>
      <c r="BQ196" s="1">
        <v>1</v>
      </c>
      <c r="BR196" s="1">
        <v>0.15240000000000001</v>
      </c>
    </row>
    <row r="197" spans="1:70">
      <c r="A197" s="2" t="s">
        <v>265</v>
      </c>
      <c r="B197" s="1">
        <v>18960582.556212999</v>
      </c>
      <c r="C197" s="1">
        <v>634.44823391832597</v>
      </c>
      <c r="D197" s="1">
        <v>149.14958101226799</v>
      </c>
      <c r="E197" s="1">
        <v>520.38377569771103</v>
      </c>
      <c r="F197" s="1">
        <v>2467301.6327637699</v>
      </c>
      <c r="G197" s="1">
        <v>1775044.0267545299</v>
      </c>
      <c r="H197" s="1">
        <v>2.5972810943896E-5</v>
      </c>
      <c r="I197" s="1">
        <v>5.9480773118925399E-5</v>
      </c>
      <c r="J197" s="1">
        <v>0.43661798563056398</v>
      </c>
      <c r="K197" s="1">
        <v>16063.580349286</v>
      </c>
      <c r="L197" s="1">
        <v>1.6624879026359001E-3</v>
      </c>
      <c r="M197" s="1">
        <v>196</v>
      </c>
      <c r="N197" s="1">
        <v>1858.0351000000001</v>
      </c>
      <c r="O197" s="3">
        <v>2.8502295699234199E-6</v>
      </c>
      <c r="P197" s="3">
        <v>5.98473400508856E-3</v>
      </c>
      <c r="Q197" s="3">
        <v>1.905E-3</v>
      </c>
      <c r="R197" s="1">
        <v>0.15240000000000001</v>
      </c>
      <c r="S197" s="4">
        <v>3617333.49609375</v>
      </c>
      <c r="T197" s="1">
        <v>556.26295808654595</v>
      </c>
      <c r="U197" s="5">
        <v>595.046035250969</v>
      </c>
      <c r="V197" s="1">
        <v>0.03</v>
      </c>
      <c r="W197" s="3">
        <v>59507.580011158199</v>
      </c>
      <c r="X197" s="1">
        <v>2.8815898793205799E-2</v>
      </c>
      <c r="Y197" s="1">
        <v>5.8909307153231403</v>
      </c>
      <c r="Z197" s="1">
        <v>5.8909307249756404</v>
      </c>
      <c r="AA197" s="1">
        <v>-9.6524965798039408E-9</v>
      </c>
      <c r="AB197" s="1">
        <v>8.3485965985073606E-6</v>
      </c>
      <c r="AC197" s="1">
        <v>749.90846464410004</v>
      </c>
      <c r="AD197" s="1">
        <v>1785.7200920917101</v>
      </c>
      <c r="AE197" s="1">
        <v>595.046035250969</v>
      </c>
      <c r="AF197" s="6">
        <v>0</v>
      </c>
      <c r="AG197" s="1">
        <v>8.5009863387485694E-6</v>
      </c>
      <c r="AH197" s="1">
        <v>23.896057973621101</v>
      </c>
      <c r="AI197" s="1">
        <v>0.214289680679498</v>
      </c>
      <c r="AJ197" s="1">
        <v>15.9374090369559</v>
      </c>
      <c r="AK197" s="1">
        <v>5.8550352198668598</v>
      </c>
      <c r="AL197" s="1">
        <v>2.1883527698787102</v>
      </c>
      <c r="AM197" s="1">
        <v>634.44823396902598</v>
      </c>
      <c r="AN197" s="1">
        <v>-5.0700350584520499E-8</v>
      </c>
      <c r="AO197" s="1">
        <v>1.5238974024121401E-7</v>
      </c>
      <c r="AP197" s="1">
        <v>1.8058849062461</v>
      </c>
      <c r="AQ197" s="1">
        <v>2.76302401167289E-5</v>
      </c>
      <c r="AR197" s="1">
        <v>4.3266880394948899E-6</v>
      </c>
      <c r="AS197" s="1">
        <v>8.1115525084923199</v>
      </c>
      <c r="AT197" s="1">
        <v>7.4164464059336899</v>
      </c>
      <c r="AU197" s="1">
        <v>1.5892679321041401</v>
      </c>
      <c r="AV197" s="1">
        <v>0.21661697414195999</v>
      </c>
      <c r="AW197" s="1">
        <v>8.2334147820349608E-3</v>
      </c>
      <c r="AX197" s="1">
        <v>0.21661697174769001</v>
      </c>
      <c r="AY197" s="1">
        <v>2.3942701155022E-9</v>
      </c>
      <c r="AZ197" s="1">
        <v>692257.60600924003</v>
      </c>
      <c r="BA197" s="1">
        <v>1.5300111331105799E-5</v>
      </c>
      <c r="BB197" s="4">
        <v>3588001.5484951199</v>
      </c>
      <c r="BC197" s="4">
        <v>-29331.947598626401</v>
      </c>
      <c r="BD197" s="7">
        <v>-0.81087208658812004</v>
      </c>
      <c r="BE197" s="4">
        <v>2744493.3</v>
      </c>
      <c r="BF197" s="1">
        <v>1.3073457124107799</v>
      </c>
      <c r="BG197" s="1">
        <v>1</v>
      </c>
      <c r="BH197" s="1">
        <v>-7.6999999999999999E-2</v>
      </c>
      <c r="BI197" s="1">
        <v>4.5999999999999999E-2</v>
      </c>
      <c r="BJ197" s="1">
        <v>5625</v>
      </c>
      <c r="BK197" s="1">
        <v>1.0354960314619099</v>
      </c>
      <c r="BL197" s="1">
        <v>78.185275831780004</v>
      </c>
      <c r="BM197" s="1">
        <v>3.5880015484951202</v>
      </c>
      <c r="BN197" s="1">
        <v>78.185275831780004</v>
      </c>
      <c r="BO197" s="1">
        <v>1.0354960314619099</v>
      </c>
      <c r="BP197" s="1">
        <v>1458.11529034912</v>
      </c>
      <c r="BQ197" s="1">
        <v>1</v>
      </c>
      <c r="BR197" s="1">
        <v>0.15240000000000001</v>
      </c>
    </row>
    <row r="198" spans="1:70">
      <c r="A198" s="2" t="s">
        <v>266</v>
      </c>
      <c r="B198" s="1">
        <v>18960582.556212999</v>
      </c>
      <c r="C198" s="1">
        <v>634.44823391832597</v>
      </c>
      <c r="D198" s="1">
        <v>149.14958101226799</v>
      </c>
      <c r="E198" s="1">
        <v>520.38377569771103</v>
      </c>
      <c r="F198" s="1">
        <v>2467301.6327637699</v>
      </c>
      <c r="G198" s="1">
        <v>1775044.0267545299</v>
      </c>
      <c r="H198" s="1">
        <v>2.5972810943896E-5</v>
      </c>
      <c r="I198" s="1">
        <v>5.9480773118925399E-5</v>
      </c>
      <c r="J198" s="1">
        <v>0.43661798563056398</v>
      </c>
      <c r="K198" s="1">
        <v>16063.580349286</v>
      </c>
      <c r="L198" s="1">
        <v>1.6624879026359001E-3</v>
      </c>
      <c r="M198" s="1">
        <v>197</v>
      </c>
      <c r="N198" s="1">
        <v>1871.5974000000001</v>
      </c>
      <c r="O198" s="3">
        <v>2.8502295699234199E-6</v>
      </c>
      <c r="P198" s="3">
        <v>5.98473400508856E-3</v>
      </c>
      <c r="Q198" s="3">
        <v>1.905E-3</v>
      </c>
      <c r="R198" s="1">
        <v>0.15240000000000001</v>
      </c>
      <c r="S198" s="4">
        <v>3855565.91796875</v>
      </c>
      <c r="T198" s="1">
        <v>538.50245457174299</v>
      </c>
      <c r="U198" s="5">
        <v>579.54018437911304</v>
      </c>
      <c r="V198" s="1">
        <v>0.03</v>
      </c>
      <c r="W198" s="3">
        <v>59941.941909049798</v>
      </c>
      <c r="X198" s="1">
        <v>2.8728955433497301E-2</v>
      </c>
      <c r="Y198" s="1">
        <v>5.8998379376894601</v>
      </c>
      <c r="Z198" s="1">
        <v>5.8998379765319902</v>
      </c>
      <c r="AA198" s="1">
        <v>-3.8842527416704797E-8</v>
      </c>
      <c r="AB198" s="1">
        <v>8.2529416135113194E-6</v>
      </c>
      <c r="AC198" s="1">
        <v>765.09198756713897</v>
      </c>
      <c r="AD198" s="1">
        <v>1796.0388933148599</v>
      </c>
      <c r="AE198" s="1">
        <v>579.54018437911304</v>
      </c>
      <c r="AF198" s="6">
        <v>0</v>
      </c>
      <c r="AG198" s="1">
        <v>8.41429136138368E-6</v>
      </c>
      <c r="AH198" s="1">
        <v>24.173023106052099</v>
      </c>
      <c r="AI198" s="1">
        <v>0.215527955719856</v>
      </c>
      <c r="AJ198" s="1">
        <v>15.866031018087501</v>
      </c>
      <c r="AK198" s="1">
        <v>6.6341029200639001</v>
      </c>
      <c r="AL198" s="1">
        <v>2.1883527698787102</v>
      </c>
      <c r="AM198" s="1">
        <v>634.44823396920299</v>
      </c>
      <c r="AN198" s="1">
        <v>-5.0876565182988998E-8</v>
      </c>
      <c r="AO198" s="1">
        <v>1.6134974787236099E-7</v>
      </c>
      <c r="AP198" s="1">
        <v>1.8120623412792001</v>
      </c>
      <c r="AQ198" s="1">
        <v>2.7442174758165E-5</v>
      </c>
      <c r="AR198" s="1">
        <v>4.2878205546280204E-6</v>
      </c>
      <c r="AS198" s="1">
        <v>8.0851364657919405</v>
      </c>
      <c r="AT198" s="1">
        <v>7.40013685886227</v>
      </c>
      <c r="AU198" s="1">
        <v>1.5949363692377401</v>
      </c>
      <c r="AV198" s="1">
        <v>0.21712597204146</v>
      </c>
      <c r="AW198" s="1">
        <v>8.1390795056625696E-3</v>
      </c>
      <c r="AX198" s="1">
        <v>0.21712596691302799</v>
      </c>
      <c r="AY198" s="1">
        <v>5.1284328450584796E-9</v>
      </c>
      <c r="AZ198" s="1">
        <v>692257.60600924003</v>
      </c>
      <c r="BA198" s="1">
        <v>1.5144167026170101E-5</v>
      </c>
      <c r="BB198" s="4">
        <v>3838083.1941841501</v>
      </c>
      <c r="BC198" s="4">
        <v>-17482.723784604601</v>
      </c>
      <c r="BD198" s="7">
        <v>-0.45344118494063002</v>
      </c>
      <c r="BE198" s="4">
        <v>3186135.9</v>
      </c>
      <c r="BF198" s="1">
        <v>1.2046200522030901</v>
      </c>
      <c r="BG198" s="1">
        <v>1</v>
      </c>
      <c r="BH198" s="1">
        <v>-0.1</v>
      </c>
      <c r="BI198" s="1">
        <v>4.5999999999999999E-2</v>
      </c>
      <c r="BJ198" s="1">
        <v>5625</v>
      </c>
      <c r="BK198" s="1">
        <v>1.02636953472714</v>
      </c>
      <c r="BL198" s="1">
        <v>95.945779346582995</v>
      </c>
      <c r="BM198" s="1">
        <v>3.8380831941841498</v>
      </c>
      <c r="BN198" s="1">
        <v>95.945779346582995</v>
      </c>
      <c r="BO198" s="1">
        <v>1.02636953472714</v>
      </c>
      <c r="BP198" s="1">
        <v>3129.9302266965501</v>
      </c>
      <c r="BQ198" s="1">
        <v>1</v>
      </c>
      <c r="BR198" s="1">
        <v>0.15240000000000001</v>
      </c>
    </row>
    <row r="199" spans="1:70">
      <c r="A199" s="2" t="s">
        <v>267</v>
      </c>
      <c r="B199" s="1">
        <v>18960582.556212999</v>
      </c>
      <c r="C199" s="1">
        <v>634.44823391832597</v>
      </c>
      <c r="D199" s="1">
        <v>149.14958101226799</v>
      </c>
      <c r="E199" s="1">
        <v>520.38377569771103</v>
      </c>
      <c r="F199" s="1">
        <v>2467301.6327637699</v>
      </c>
      <c r="G199" s="1">
        <v>1775044.0267545299</v>
      </c>
      <c r="H199" s="1">
        <v>2.5972810943896E-5</v>
      </c>
      <c r="I199" s="1">
        <v>5.9480773118925399E-5</v>
      </c>
      <c r="J199" s="1">
        <v>0.43661798563056398</v>
      </c>
      <c r="K199" s="1">
        <v>16063.580349286</v>
      </c>
      <c r="L199" s="1">
        <v>1.6624879026359001E-3</v>
      </c>
      <c r="M199" s="1">
        <v>198</v>
      </c>
      <c r="N199" s="1">
        <v>1885.1596999999999</v>
      </c>
      <c r="O199" s="3">
        <v>2.8502295699234199E-6</v>
      </c>
      <c r="P199" s="3">
        <v>5.98473400508856E-3</v>
      </c>
      <c r="Q199" s="3">
        <v>1.905E-3</v>
      </c>
      <c r="R199" s="1">
        <v>0.15240000000000001</v>
      </c>
      <c r="S199" s="4">
        <v>3882918.65234375</v>
      </c>
      <c r="T199" s="1">
        <v>537.34621978095004</v>
      </c>
      <c r="U199" s="5">
        <v>578.37775564003095</v>
      </c>
      <c r="V199" s="1">
        <v>0.03</v>
      </c>
      <c r="W199" s="3">
        <v>60376.303806941498</v>
      </c>
      <c r="X199" s="1">
        <v>2.8643038996504201E-2</v>
      </c>
      <c r="Y199" s="1">
        <v>5.9086797632693697</v>
      </c>
      <c r="Z199" s="1">
        <v>5.9086797749799098</v>
      </c>
      <c r="AA199" s="1">
        <v>-1.1710546310439401E-8</v>
      </c>
      <c r="AB199" s="1">
        <v>8.1590216640322296E-6</v>
      </c>
      <c r="AC199" s="1">
        <v>765.54963318072305</v>
      </c>
      <c r="AD199" s="1">
        <v>1806.34657636468</v>
      </c>
      <c r="AE199" s="1">
        <v>578.37775733817898</v>
      </c>
      <c r="AF199" s="6">
        <v>1.69814825312642E-6</v>
      </c>
      <c r="AG199" s="1">
        <v>8.3202008522769896E-6</v>
      </c>
      <c r="AH199" s="1">
        <v>24.451283074264399</v>
      </c>
      <c r="AI199" s="1">
        <v>0.21676489655905701</v>
      </c>
      <c r="AJ199" s="1">
        <v>15.778652308847301</v>
      </c>
      <c r="AK199" s="1">
        <v>6.6686297361264701</v>
      </c>
      <c r="AL199" s="1">
        <v>2.1883527698787102</v>
      </c>
      <c r="AM199" s="1">
        <v>634.44823389963096</v>
      </c>
      <c r="AN199" s="1">
        <v>1.8694890968618E-8</v>
      </c>
      <c r="AO199" s="1">
        <v>1.6117918824475701E-7</v>
      </c>
      <c r="AP199" s="1">
        <v>1.8161891564510999</v>
      </c>
      <c r="AQ199" s="1">
        <v>2.73176061044981E-5</v>
      </c>
      <c r="AR199" s="1">
        <v>4.2406900202608698E-6</v>
      </c>
      <c r="AS199" s="1">
        <v>8.0421584246951099</v>
      </c>
      <c r="AT199" s="1">
        <v>7.3734875397234996</v>
      </c>
      <c r="AU199" s="1">
        <v>1.59831326382766</v>
      </c>
      <c r="AV199" s="1">
        <v>0.21787589262344001</v>
      </c>
      <c r="AW199" s="1">
        <v>8.0464553273057807E-3</v>
      </c>
      <c r="AX199" s="1">
        <v>0.2178758854557</v>
      </c>
      <c r="AY199" s="1">
        <v>7.1677393465030498E-9</v>
      </c>
      <c r="AZ199" s="1">
        <v>692257.60600924003</v>
      </c>
      <c r="BA199" s="1">
        <v>1.5041167935325501E-5</v>
      </c>
      <c r="BB199" s="4">
        <v>3860280.7219580798</v>
      </c>
      <c r="BC199" s="4">
        <v>-22637.930385673899</v>
      </c>
      <c r="BD199" s="7">
        <v>-0.58301325401214699</v>
      </c>
      <c r="BE199" s="4">
        <v>3091498.2</v>
      </c>
      <c r="BF199" s="1">
        <v>1.24867636085251</v>
      </c>
      <c r="BG199" s="1">
        <v>1</v>
      </c>
      <c r="BH199" s="1">
        <v>-0.13600000000000001</v>
      </c>
      <c r="BI199" s="1">
        <v>4.5999999999999999E-2</v>
      </c>
      <c r="BJ199" s="1">
        <v>5625</v>
      </c>
      <c r="BK199" s="1">
        <v>1.02576384261269</v>
      </c>
      <c r="BL199" s="1">
        <v>97.102014137375903</v>
      </c>
      <c r="BM199" s="1">
        <v>3.8602807219580799</v>
      </c>
      <c r="BN199" s="1">
        <v>97.102014137375903</v>
      </c>
      <c r="BO199" s="1">
        <v>1.02576384261269</v>
      </c>
      <c r="BP199" s="1">
        <v>3260.6400185450798</v>
      </c>
      <c r="BQ199" s="1">
        <v>1</v>
      </c>
      <c r="BR199" s="1">
        <v>0.15240000000000001</v>
      </c>
    </row>
    <row r="200" spans="1:70">
      <c r="A200" s="2" t="s">
        <v>268</v>
      </c>
      <c r="B200" s="1">
        <v>18960582.556212999</v>
      </c>
      <c r="C200" s="1">
        <v>634.44823391832597</v>
      </c>
      <c r="D200" s="1">
        <v>149.14958101226799</v>
      </c>
      <c r="E200" s="1">
        <v>520.38377569771103</v>
      </c>
      <c r="F200" s="1">
        <v>2467301.6327637699</v>
      </c>
      <c r="G200" s="1">
        <v>1775044.0267545299</v>
      </c>
      <c r="H200" s="1">
        <v>2.5972810943896E-5</v>
      </c>
      <c r="I200" s="1">
        <v>5.9480773118925399E-5</v>
      </c>
      <c r="J200" s="1">
        <v>0.43661798563056398</v>
      </c>
      <c r="K200" s="1">
        <v>16063.580349286</v>
      </c>
      <c r="L200" s="1">
        <v>1.6624879026359001E-3</v>
      </c>
      <c r="M200" s="1">
        <v>199</v>
      </c>
      <c r="N200" s="1">
        <v>2034.345</v>
      </c>
      <c r="O200" s="3">
        <v>2.8502295699234199E-6</v>
      </c>
      <c r="P200" s="3">
        <v>5.98473400508856E-3</v>
      </c>
      <c r="Q200" s="3">
        <v>1.905E-3</v>
      </c>
      <c r="R200" s="1">
        <v>0.15240000000000001</v>
      </c>
      <c r="S200" s="4">
        <v>4802185.05859375</v>
      </c>
      <c r="T200" s="1">
        <v>491.16937847279701</v>
      </c>
      <c r="U200" s="5">
        <v>538.19363248464799</v>
      </c>
      <c r="V200" s="1">
        <v>0.03</v>
      </c>
      <c r="W200" s="3">
        <v>65154.2846837498</v>
      </c>
      <c r="X200" s="1">
        <v>2.77604663894368E-2</v>
      </c>
      <c r="Y200" s="1">
        <v>6.00187050427395</v>
      </c>
      <c r="Z200" s="1">
        <v>6.0018705113914601</v>
      </c>
      <c r="AA200" s="1">
        <v>-7.11750747228734E-9</v>
      </c>
      <c r="AB200" s="1">
        <v>7.2289880152804102E-6</v>
      </c>
      <c r="AC200" s="1">
        <v>800.36328450685096</v>
      </c>
      <c r="AD200" s="1">
        <v>1919.0282633735201</v>
      </c>
      <c r="AE200" s="1">
        <v>538.19363450211699</v>
      </c>
      <c r="AF200" s="6">
        <v>2.0174695691821398E-6</v>
      </c>
      <c r="AG200" s="1">
        <v>7.41216224712248E-6</v>
      </c>
      <c r="AH200" s="1">
        <v>27.5970229712118</v>
      </c>
      <c r="AI200" s="1">
        <v>0.23028690531870999</v>
      </c>
      <c r="AJ200" s="1">
        <v>14.933489600985</v>
      </c>
      <c r="AK200" s="1">
        <v>8.5855139154326992</v>
      </c>
      <c r="AL200" s="1">
        <v>2.1883527698787102</v>
      </c>
      <c r="AM200" s="1">
        <v>634.44823390068302</v>
      </c>
      <c r="AN200" s="1">
        <v>1.7642491911829E-8</v>
      </c>
      <c r="AO200" s="1">
        <v>1.83174231842069E-7</v>
      </c>
      <c r="AP200" s="1">
        <v>1.86594159112459</v>
      </c>
      <c r="AQ200" s="1">
        <v>2.5880264183412E-5</v>
      </c>
      <c r="AR200" s="1">
        <v>3.79766823948228E-6</v>
      </c>
      <c r="AS200" s="1">
        <v>7.65126791231752</v>
      </c>
      <c r="AT200" s="1">
        <v>7.1243568713864196</v>
      </c>
      <c r="AU200" s="1">
        <v>1.6406460962976701</v>
      </c>
      <c r="AV200" s="1">
        <v>0.22529549482692099</v>
      </c>
      <c r="AW200" s="1">
        <v>7.1292529327389798E-3</v>
      </c>
      <c r="AX200" s="1">
        <v>0.225295485420445</v>
      </c>
      <c r="AY200" s="1">
        <v>9.4064760425283095E-9</v>
      </c>
      <c r="AZ200" s="1">
        <v>692257.60600924003</v>
      </c>
      <c r="BA200" s="1">
        <v>1.3869814739385401E-5</v>
      </c>
      <c r="BB200" s="4">
        <v>4757570.1732619302</v>
      </c>
      <c r="BC200" s="4">
        <v>-44614.8853318244</v>
      </c>
      <c r="BD200" s="7">
        <v>-0.92905385334919299</v>
      </c>
      <c r="BE200" s="4">
        <v>4164058.8</v>
      </c>
      <c r="BF200" s="1">
        <v>1.1425319386128601</v>
      </c>
      <c r="BG200" s="1">
        <v>1</v>
      </c>
      <c r="BH200" s="1">
        <v>-0.25700000000000001</v>
      </c>
      <c r="BI200" s="1">
        <v>4.5999999999999999E-2</v>
      </c>
      <c r="BJ200" s="1">
        <v>5625</v>
      </c>
      <c r="BK200" s="1">
        <v>1.0069058634208301</v>
      </c>
      <c r="BL200" s="1">
        <v>143.27885544552899</v>
      </c>
      <c r="BM200" s="1">
        <v>4.7575701732619304</v>
      </c>
      <c r="BN200" s="1">
        <v>143.27885544552899</v>
      </c>
      <c r="BO200" s="1">
        <v>1.0069058634208301</v>
      </c>
      <c r="BP200" s="1">
        <v>10666.5219821385</v>
      </c>
      <c r="BQ200" s="1">
        <v>1</v>
      </c>
      <c r="BR200" s="1">
        <v>0.15240000000000001</v>
      </c>
    </row>
    <row r="201" spans="1:70">
      <c r="A201" s="2" t="s">
        <v>269</v>
      </c>
      <c r="B201" s="1">
        <v>18960582.556212999</v>
      </c>
      <c r="C201" s="1">
        <v>634.44823391832597</v>
      </c>
      <c r="D201" s="1">
        <v>149.14958101226799</v>
      </c>
      <c r="E201" s="1">
        <v>520.38377569771103</v>
      </c>
      <c r="F201" s="1">
        <v>2467301.6327637699</v>
      </c>
      <c r="G201" s="1">
        <v>1775044.0267545299</v>
      </c>
      <c r="H201" s="1">
        <v>2.5972810943896E-5</v>
      </c>
      <c r="I201" s="1">
        <v>5.9480773118925399E-5</v>
      </c>
      <c r="J201" s="1">
        <v>0.43661798563056398</v>
      </c>
      <c r="K201" s="1">
        <v>16063.580349286</v>
      </c>
      <c r="L201" s="1">
        <v>1.6624879026359001E-3</v>
      </c>
      <c r="M201" s="1">
        <v>200</v>
      </c>
      <c r="N201" s="1">
        <v>2034.345</v>
      </c>
      <c r="O201" s="3">
        <v>2.8502295699234199E-6</v>
      </c>
      <c r="P201" s="3">
        <v>5.98473400508856E-3</v>
      </c>
      <c r="Q201" s="3">
        <v>1.905E-3</v>
      </c>
      <c r="R201" s="1">
        <v>0.15240000000000001</v>
      </c>
      <c r="S201" s="4">
        <v>4321009.66796875</v>
      </c>
      <c r="T201" s="1">
        <v>516.78076663997103</v>
      </c>
      <c r="U201" s="5">
        <v>559.09322518435897</v>
      </c>
      <c r="V201" s="1">
        <v>0.03</v>
      </c>
      <c r="W201" s="3">
        <v>65154.2846837498</v>
      </c>
      <c r="X201" s="1">
        <v>2.77604663894368E-2</v>
      </c>
      <c r="Y201" s="1">
        <v>6.00187050427395</v>
      </c>
      <c r="Z201" s="1">
        <v>6.0018705113914601</v>
      </c>
      <c r="AA201" s="1">
        <v>-7.11750747228734E-9</v>
      </c>
      <c r="AB201" s="1">
        <v>7.2289880152804102E-6</v>
      </c>
      <c r="AC201" s="1">
        <v>776.97529112776999</v>
      </c>
      <c r="AD201" s="1">
        <v>1919.0282633735201</v>
      </c>
      <c r="AE201" s="1">
        <v>559.09322698196797</v>
      </c>
      <c r="AF201" s="6">
        <v>1.79760979790444E-6</v>
      </c>
      <c r="AG201" s="1">
        <v>7.3968203348466199E-6</v>
      </c>
      <c r="AH201" s="1">
        <v>27.5970229712118</v>
      </c>
      <c r="AI201" s="1">
        <v>0.23028690531870999</v>
      </c>
      <c r="AJ201" s="1">
        <v>14.902579823272101</v>
      </c>
      <c r="AK201" s="1">
        <v>7.3801051030467901</v>
      </c>
      <c r="AL201" s="1">
        <v>2.1883527698787102</v>
      </c>
      <c r="AM201" s="1">
        <v>634.44823389791998</v>
      </c>
      <c r="AN201" s="1">
        <v>2.0405650502652901E-8</v>
      </c>
      <c r="AO201" s="1">
        <v>1.6783231956620299E-7</v>
      </c>
      <c r="AP201" s="1">
        <v>1.86178372219116</v>
      </c>
      <c r="AQ201" s="1">
        <v>2.5995988585451501E-5</v>
      </c>
      <c r="AR201" s="1">
        <v>3.7823263272064102E-6</v>
      </c>
      <c r="AS201" s="1">
        <v>7.6203581346045697</v>
      </c>
      <c r="AT201" s="1">
        <v>7.1041168394303096</v>
      </c>
      <c r="AU201" s="1">
        <v>1.63598508197494</v>
      </c>
      <c r="AV201" s="1">
        <v>0.22579864021622501</v>
      </c>
      <c r="AW201" s="1">
        <v>7.1292529327389798E-3</v>
      </c>
      <c r="AX201" s="1">
        <v>0.22579863145642401</v>
      </c>
      <c r="AY201" s="1">
        <v>8.7598015785506095E-9</v>
      </c>
      <c r="AZ201" s="1">
        <v>692257.60600924003</v>
      </c>
      <c r="BA201" s="1">
        <v>1.39629476160939E-5</v>
      </c>
      <c r="BB201" s="4">
        <v>4330020.6964092003</v>
      </c>
      <c r="BC201" s="4">
        <v>9011.0284404549693</v>
      </c>
      <c r="BD201" s="7">
        <v>0.20853988148309199</v>
      </c>
      <c r="BE201" s="4">
        <v>3722416.2</v>
      </c>
      <c r="BF201" s="1">
        <v>1.1632285224874099</v>
      </c>
      <c r="BG201" s="1">
        <v>1</v>
      </c>
      <c r="BH201" s="1">
        <v>-0.189</v>
      </c>
      <c r="BI201" s="1">
        <v>4.5999999999999999E-2</v>
      </c>
      <c r="BJ201" s="1">
        <v>5625</v>
      </c>
      <c r="BK201" s="1">
        <v>1.0157406097164601</v>
      </c>
      <c r="BL201" s="1">
        <v>117.66746727835501</v>
      </c>
      <c r="BM201" s="1">
        <v>4.3300206964092096</v>
      </c>
      <c r="BN201" s="1">
        <v>117.66746727835501</v>
      </c>
      <c r="BO201" s="1">
        <v>1.0157406097164601</v>
      </c>
      <c r="BP201" s="1">
        <v>6032.2354734343298</v>
      </c>
      <c r="BQ201" s="1">
        <v>1</v>
      </c>
      <c r="BR201" s="1">
        <v>0.15240000000000001</v>
      </c>
    </row>
    <row r="202" spans="1:70">
      <c r="A202" s="2" t="s">
        <v>270</v>
      </c>
      <c r="B202" s="1">
        <v>18960582.556212999</v>
      </c>
      <c r="C202" s="1">
        <v>634.44823391832597</v>
      </c>
      <c r="D202" s="1">
        <v>149.14958101226799</v>
      </c>
      <c r="E202" s="1">
        <v>520.38377569771103</v>
      </c>
      <c r="F202" s="1">
        <v>2467301.6327637699</v>
      </c>
      <c r="G202" s="1">
        <v>1775044.0267545299</v>
      </c>
      <c r="H202" s="1">
        <v>2.5972810943896E-5</v>
      </c>
      <c r="I202" s="1">
        <v>5.9480773118925399E-5</v>
      </c>
      <c r="J202" s="1">
        <v>0.43661798563056398</v>
      </c>
      <c r="K202" s="1">
        <v>16063.580349286</v>
      </c>
      <c r="L202" s="1">
        <v>1.6624879026359001E-3</v>
      </c>
      <c r="M202" s="1">
        <v>201</v>
      </c>
      <c r="N202" s="1">
        <v>2047.9073000000001</v>
      </c>
      <c r="O202" s="3">
        <v>2.8502295699234199E-6</v>
      </c>
      <c r="P202" s="3">
        <v>5.98473400508856E-3</v>
      </c>
      <c r="Q202" s="3">
        <v>1.905E-3</v>
      </c>
      <c r="R202" s="1">
        <v>0.15240000000000001</v>
      </c>
      <c r="S202" s="4">
        <v>4816711.42578125</v>
      </c>
      <c r="T202" s="1">
        <v>491.16937847279701</v>
      </c>
      <c r="U202" s="5">
        <v>538.02351755010397</v>
      </c>
      <c r="V202" s="1">
        <v>0.03</v>
      </c>
      <c r="W202" s="3">
        <v>65588.6465816415</v>
      </c>
      <c r="X202" s="1">
        <v>2.7685474811265799E-2</v>
      </c>
      <c r="Y202" s="1">
        <v>6.0099936332252604</v>
      </c>
      <c r="Z202" s="1">
        <v>6.0099936385649304</v>
      </c>
      <c r="AA202" s="1">
        <v>-5.3396638222125098E-9</v>
      </c>
      <c r="AB202" s="1">
        <v>7.1528795247520302E-6</v>
      </c>
      <c r="AC202" s="1">
        <v>799.74363238639705</v>
      </c>
      <c r="AD202" s="1">
        <v>1929.2107278755</v>
      </c>
      <c r="AE202" s="1">
        <v>538.02351956133498</v>
      </c>
      <c r="AF202" s="6">
        <v>2.0112302081543E-6</v>
      </c>
      <c r="AG202" s="1">
        <v>7.3356250624186598E-6</v>
      </c>
      <c r="AH202" s="1">
        <v>27.890662442441201</v>
      </c>
      <c r="AI202" s="1">
        <v>0.23150881970289799</v>
      </c>
      <c r="AJ202" s="1">
        <v>14.857707680934899</v>
      </c>
      <c r="AK202" s="1">
        <v>8.5672401352494205</v>
      </c>
      <c r="AL202" s="1">
        <v>2.1883527698787102</v>
      </c>
      <c r="AM202" s="1">
        <v>634.44823385733298</v>
      </c>
      <c r="AN202" s="1">
        <v>6.09934431849979E-8</v>
      </c>
      <c r="AO202" s="1">
        <v>1.8274553766663301E-7</v>
      </c>
      <c r="AP202" s="1">
        <v>1.8697207497791799</v>
      </c>
      <c r="AQ202" s="1">
        <v>2.5775749346154802E-5</v>
      </c>
      <c r="AR202" s="1">
        <v>3.7591853000426502E-6</v>
      </c>
      <c r="AS202" s="1">
        <v>7.61392189912248</v>
      </c>
      <c r="AT202" s="1">
        <v>7.0998920018595202</v>
      </c>
      <c r="AU202" s="1">
        <v>1.64368761736854</v>
      </c>
      <c r="AV202" s="1">
        <v>0.22603313241064099</v>
      </c>
      <c r="AW202" s="1">
        <v>7.0541944766786199E-3</v>
      </c>
      <c r="AX202" s="1">
        <v>0.226033122052754</v>
      </c>
      <c r="AY202" s="1">
        <v>1.0357887519907301E-8</v>
      </c>
      <c r="AZ202" s="1">
        <v>692257.60600924003</v>
      </c>
      <c r="BA202" s="1">
        <v>1.37858818485054E-5</v>
      </c>
      <c r="BB202" s="4">
        <v>4775333.5627309103</v>
      </c>
      <c r="BC202" s="4">
        <v>-41377.863050335996</v>
      </c>
      <c r="BD202" s="7">
        <v>-0.85904799753754602</v>
      </c>
      <c r="BE202" s="4">
        <v>4164058.8</v>
      </c>
      <c r="BF202" s="1">
        <v>1.14679782205067</v>
      </c>
      <c r="BG202" s="1">
        <v>1</v>
      </c>
      <c r="BH202" s="1">
        <v>-0.26300000000000001</v>
      </c>
      <c r="BI202" s="1">
        <v>4.5999999999999999E-2</v>
      </c>
      <c r="BJ202" s="1">
        <v>5625</v>
      </c>
      <c r="BK202" s="1">
        <v>1.0069058634208301</v>
      </c>
      <c r="BL202" s="1">
        <v>143.27885544552899</v>
      </c>
      <c r="BM202" s="1">
        <v>4.7753335627309097</v>
      </c>
      <c r="BN202" s="1">
        <v>143.27885544552899</v>
      </c>
      <c r="BO202" s="1">
        <v>1.0069058634208301</v>
      </c>
      <c r="BP202" s="1">
        <v>10666.5219821385</v>
      </c>
      <c r="BQ202" s="1">
        <v>1</v>
      </c>
      <c r="BR202" s="1">
        <v>0.15240000000000001</v>
      </c>
    </row>
    <row r="203" spans="1:70">
      <c r="A203" s="2" t="s">
        <v>271</v>
      </c>
      <c r="B203" s="1">
        <v>18960582.556212999</v>
      </c>
      <c r="C203" s="1">
        <v>634.44823391832597</v>
      </c>
      <c r="D203" s="1">
        <v>149.14958101226799</v>
      </c>
      <c r="E203" s="1">
        <v>520.38377569771103</v>
      </c>
      <c r="F203" s="1">
        <v>2467301.6327637699</v>
      </c>
      <c r="G203" s="1">
        <v>1775044.0267545299</v>
      </c>
      <c r="H203" s="1">
        <v>2.5972810943896E-5</v>
      </c>
      <c r="I203" s="1">
        <v>5.9480773118925399E-5</v>
      </c>
      <c r="J203" s="1">
        <v>0.43661798563056398</v>
      </c>
      <c r="K203" s="1">
        <v>16063.580349286</v>
      </c>
      <c r="L203" s="1">
        <v>1.6624879026359001E-3</v>
      </c>
      <c r="M203" s="1">
        <v>202</v>
      </c>
      <c r="N203" s="1">
        <v>2047.9073000000001</v>
      </c>
      <c r="O203" s="3">
        <v>2.8502295699234199E-6</v>
      </c>
      <c r="P203" s="3">
        <v>5.98473400508856E-3</v>
      </c>
      <c r="Q203" s="3">
        <v>1.905E-3</v>
      </c>
      <c r="R203" s="1">
        <v>0.15240000000000001</v>
      </c>
      <c r="S203" s="4">
        <v>4315904.39453125</v>
      </c>
      <c r="T203" s="1">
        <v>517.88193873595401</v>
      </c>
      <c r="U203" s="5">
        <v>559.86452122228798</v>
      </c>
      <c r="V203" s="1">
        <v>0.03</v>
      </c>
      <c r="W203" s="3">
        <v>65588.6465816415</v>
      </c>
      <c r="X203" s="1">
        <v>2.7685474811265799E-2</v>
      </c>
      <c r="Y203" s="1">
        <v>6.0099936332252604</v>
      </c>
      <c r="Z203" s="1">
        <v>6.0099936385649304</v>
      </c>
      <c r="AA203" s="1">
        <v>-5.3396638222125098E-9</v>
      </c>
      <c r="AB203" s="1">
        <v>7.1528795247520302E-6</v>
      </c>
      <c r="AC203" s="1">
        <v>775.50864310147699</v>
      </c>
      <c r="AD203" s="1">
        <v>1929.2107278755</v>
      </c>
      <c r="AE203" s="1">
        <v>559.86452122228798</v>
      </c>
      <c r="AF203" s="6">
        <v>0</v>
      </c>
      <c r="AG203" s="1">
        <v>7.3189814161135601E-6</v>
      </c>
      <c r="AH203" s="1">
        <v>27.890662442441201</v>
      </c>
      <c r="AI203" s="1">
        <v>0.23150881970289799</v>
      </c>
      <c r="AJ203" s="1">
        <v>14.823997338674801</v>
      </c>
      <c r="AK203" s="1">
        <v>7.3164147847674696</v>
      </c>
      <c r="AL203" s="1">
        <v>2.1883527698787102</v>
      </c>
      <c r="AM203" s="1">
        <v>634.44823385372501</v>
      </c>
      <c r="AN203" s="1">
        <v>6.4600726545904803E-8</v>
      </c>
      <c r="AO203" s="1">
        <v>1.6610189136153501E-7</v>
      </c>
      <c r="AP203" s="1">
        <v>1.86513957375978</v>
      </c>
      <c r="AQ203" s="1">
        <v>2.59025261998793E-5</v>
      </c>
      <c r="AR203" s="1">
        <v>3.7425416537375501E-6</v>
      </c>
      <c r="AS203" s="1">
        <v>7.5802115568623698</v>
      </c>
      <c r="AT203" s="1">
        <v>7.0777055457055402</v>
      </c>
      <c r="AU203" s="1">
        <v>1.63855125709094</v>
      </c>
      <c r="AV203" s="1">
        <v>0.226588316668833</v>
      </c>
      <c r="AW203" s="1">
        <v>7.0541944766786199E-3</v>
      </c>
      <c r="AX203" s="1">
        <v>0.22658830705494201</v>
      </c>
      <c r="AY203" s="1">
        <v>9.6138914051913105E-9</v>
      </c>
      <c r="AZ203" s="1">
        <v>692257.60600924003</v>
      </c>
      <c r="BA203" s="1">
        <v>1.38877146591579E-5</v>
      </c>
      <c r="BB203" s="4">
        <v>4308591.0690499004</v>
      </c>
      <c r="BC203" s="4">
        <v>-7313.3254813486701</v>
      </c>
      <c r="BD203" s="7">
        <v>-0.16945059048609801</v>
      </c>
      <c r="BE203" s="4">
        <v>3722416.2</v>
      </c>
      <c r="BF203" s="1">
        <v>1.1574716091795201</v>
      </c>
      <c r="BG203" s="1">
        <v>1</v>
      </c>
      <c r="BH203" s="1">
        <v>-0.187</v>
      </c>
      <c r="BI203" s="1">
        <v>4.5999999999999999E-2</v>
      </c>
      <c r="BJ203" s="1">
        <v>5625</v>
      </c>
      <c r="BK203" s="1">
        <v>1.01622312001427</v>
      </c>
      <c r="BL203" s="1">
        <v>116.566295182372</v>
      </c>
      <c r="BM203" s="1">
        <v>4.3085910690498999</v>
      </c>
      <c r="BN203" s="1">
        <v>116.566295182372</v>
      </c>
      <c r="BO203" s="1">
        <v>1.01622312001427</v>
      </c>
      <c r="BP203" s="1">
        <v>5862.3975579541202</v>
      </c>
      <c r="BQ203" s="1">
        <v>1</v>
      </c>
      <c r="BR203" s="1">
        <v>0.15240000000000001</v>
      </c>
    </row>
    <row r="204" spans="1:70">
      <c r="A204" s="2" t="s">
        <v>272</v>
      </c>
      <c r="B204" s="1">
        <v>18960582.556212999</v>
      </c>
      <c r="C204" s="1">
        <v>634.44823391832597</v>
      </c>
      <c r="D204" s="1">
        <v>149.14958101226799</v>
      </c>
      <c r="E204" s="1">
        <v>520.38377569771103</v>
      </c>
      <c r="F204" s="1">
        <v>2467301.6327637699</v>
      </c>
      <c r="G204" s="1">
        <v>1775044.0267545299</v>
      </c>
      <c r="H204" s="1">
        <v>2.5972810943896E-5</v>
      </c>
      <c r="I204" s="1">
        <v>5.9480773118925399E-5</v>
      </c>
      <c r="J204" s="1">
        <v>0.43661798563056398</v>
      </c>
      <c r="K204" s="1">
        <v>16063.580349286</v>
      </c>
      <c r="L204" s="1">
        <v>1.6624879026359001E-3</v>
      </c>
      <c r="M204" s="1">
        <v>203</v>
      </c>
      <c r="N204" s="1">
        <v>2061.4695999999999</v>
      </c>
      <c r="O204" s="3">
        <v>2.8502295699234199E-6</v>
      </c>
      <c r="P204" s="3">
        <v>5.98473400508856E-3</v>
      </c>
      <c r="Q204" s="3">
        <v>1.905E-3</v>
      </c>
      <c r="R204" s="1">
        <v>0.15240000000000001</v>
      </c>
      <c r="S204" s="4">
        <v>4086287.79296875</v>
      </c>
      <c r="T204" s="1">
        <v>534.05487488333199</v>
      </c>
      <c r="U204" s="5">
        <v>573.54237533697403</v>
      </c>
      <c r="V204" s="1">
        <v>0.03</v>
      </c>
      <c r="W204" s="3">
        <v>66023.008479533193</v>
      </c>
      <c r="X204" s="1">
        <v>2.7611290226907802E-2</v>
      </c>
      <c r="Y204" s="1">
        <v>6.0180618873112204</v>
      </c>
      <c r="Z204" s="1">
        <v>6.0180619341428496</v>
      </c>
      <c r="AA204" s="1">
        <v>-4.6831631905774897E-8</v>
      </c>
      <c r="AB204" s="1">
        <v>7.0780382335173803E-6</v>
      </c>
      <c r="AC204" s="1">
        <v>761.83807756814599</v>
      </c>
      <c r="AD204" s="1">
        <v>1939.3833880575601</v>
      </c>
      <c r="AE204" s="1">
        <v>573.54237533697301</v>
      </c>
      <c r="AF204" s="6">
        <v>0</v>
      </c>
      <c r="AG204" s="1">
        <v>7.2337946176495899E-6</v>
      </c>
      <c r="AH204" s="1">
        <v>28.185570879174001</v>
      </c>
      <c r="AI204" s="1">
        <v>0.23272955755074301</v>
      </c>
      <c r="AJ204" s="1">
        <v>14.7287150804093</v>
      </c>
      <c r="AK204" s="1">
        <v>6.6209247906200499</v>
      </c>
      <c r="AL204" s="1">
        <v>2.1883527698787102</v>
      </c>
      <c r="AM204" s="1">
        <v>634.448233936679</v>
      </c>
      <c r="AN204" s="1">
        <v>-1.83530346475891E-8</v>
      </c>
      <c r="AO204" s="1">
        <v>1.5575638413221001E-7</v>
      </c>
      <c r="AP204" s="1">
        <v>1.86603730275959</v>
      </c>
      <c r="AQ204" s="1">
        <v>2.5877609382385E-5</v>
      </c>
      <c r="AR204" s="1">
        <v>3.6947755008909002E-6</v>
      </c>
      <c r="AS204" s="1">
        <v>7.5229251748345103</v>
      </c>
      <c r="AT204" s="1">
        <v>7.0397752417076402</v>
      </c>
      <c r="AU204" s="1">
        <v>1.6383637772593</v>
      </c>
      <c r="AV204" s="1">
        <v>0.22767352550029499</v>
      </c>
      <c r="AW204" s="1">
        <v>6.98038573693569E-3</v>
      </c>
      <c r="AX204" s="1">
        <v>0.22767351539410299</v>
      </c>
      <c r="AY204" s="1">
        <v>1.01061915780409E-8</v>
      </c>
      <c r="AZ204" s="1">
        <v>692257.60600924003</v>
      </c>
      <c r="BA204" s="1">
        <v>1.38676806428874E-5</v>
      </c>
      <c r="BB204" s="4">
        <v>4046071.0865659602</v>
      </c>
      <c r="BC204" s="4">
        <v>-40216.706402790704</v>
      </c>
      <c r="BD204" s="7">
        <v>-0.98418683265508999</v>
      </c>
      <c r="BE204" s="4">
        <v>3438503.1</v>
      </c>
      <c r="BF204" s="1">
        <v>1.1766954889661001</v>
      </c>
      <c r="BG204" s="1">
        <v>1</v>
      </c>
      <c r="BH204" s="1">
        <v>-0.14599999999999999</v>
      </c>
      <c r="BI204" s="1">
        <v>4.5999999999999999E-2</v>
      </c>
      <c r="BJ204" s="1">
        <v>5625</v>
      </c>
      <c r="BK204" s="1">
        <v>1.02405209803871</v>
      </c>
      <c r="BL204" s="1">
        <v>100.39335903499401</v>
      </c>
      <c r="BM204" s="1">
        <v>4.0460710865659602</v>
      </c>
      <c r="BN204" s="1">
        <v>100.39335903499401</v>
      </c>
      <c r="BO204" s="1">
        <v>1.02405209803871</v>
      </c>
      <c r="BP204" s="1">
        <v>3647.35781552969</v>
      </c>
      <c r="BQ204" s="1">
        <v>1</v>
      </c>
      <c r="BR204" s="1">
        <v>0.15240000000000001</v>
      </c>
    </row>
    <row r="205" spans="1:70">
      <c r="A205" s="2" t="s">
        <v>273</v>
      </c>
      <c r="B205" s="1">
        <v>18960582.556212999</v>
      </c>
      <c r="C205" s="1">
        <v>634.44823391832597</v>
      </c>
      <c r="D205" s="1">
        <v>149.14958101226799</v>
      </c>
      <c r="E205" s="1">
        <v>520.38377569771103</v>
      </c>
      <c r="F205" s="1">
        <v>2467301.6327637699</v>
      </c>
      <c r="G205" s="1">
        <v>1775044.0267545299</v>
      </c>
      <c r="H205" s="1">
        <v>2.5972810943896E-5</v>
      </c>
      <c r="I205" s="1">
        <v>5.9480773118925399E-5</v>
      </c>
      <c r="J205" s="1">
        <v>0.43661798563056398</v>
      </c>
      <c r="K205" s="1">
        <v>16063.580349286</v>
      </c>
      <c r="L205" s="1">
        <v>1.6624879026359001E-3</v>
      </c>
      <c r="M205" s="1">
        <v>204</v>
      </c>
      <c r="N205" s="1">
        <v>2075.0319</v>
      </c>
      <c r="O205" s="3">
        <v>2.8502295699234199E-6</v>
      </c>
      <c r="P205" s="3">
        <v>5.98473400508856E-3</v>
      </c>
      <c r="Q205" s="3">
        <v>1.905E-3</v>
      </c>
      <c r="R205" s="1">
        <v>0.15240000000000001</v>
      </c>
      <c r="S205" s="4">
        <v>4045361.328125</v>
      </c>
      <c r="T205" s="1">
        <v>537.92469521286102</v>
      </c>
      <c r="U205" s="5">
        <v>576.76120285538502</v>
      </c>
      <c r="V205" s="1">
        <v>0.03</v>
      </c>
      <c r="W205" s="3">
        <v>66457.370377424799</v>
      </c>
      <c r="X205" s="1">
        <v>2.7537897758732399E-2</v>
      </c>
      <c r="Y205" s="1">
        <v>6.0260760524703603</v>
      </c>
      <c r="Z205" s="1">
        <v>6.0260760849766299</v>
      </c>
      <c r="AA205" s="1">
        <v>-3.25062741168836E-8</v>
      </c>
      <c r="AB205" s="1">
        <v>7.0044354320592796E-6</v>
      </c>
      <c r="AC205" s="1">
        <v>758.30964396818104</v>
      </c>
      <c r="AD205" s="1">
        <v>1949.5463069387699</v>
      </c>
      <c r="AE205" s="1">
        <v>576.76120285538502</v>
      </c>
      <c r="AF205" s="6">
        <v>0</v>
      </c>
      <c r="AG205" s="1">
        <v>7.1589062482810904E-6</v>
      </c>
      <c r="AH205" s="1">
        <v>28.481745638371301</v>
      </c>
      <c r="AI205" s="1">
        <v>0.23394912642465099</v>
      </c>
      <c r="AJ205" s="1">
        <v>14.6526186226323</v>
      </c>
      <c r="AK205" s="1">
        <v>6.4481868521859296</v>
      </c>
      <c r="AL205" s="1">
        <v>2.1883527698787102</v>
      </c>
      <c r="AM205" s="1">
        <v>634.44823395139304</v>
      </c>
      <c r="AN205" s="1">
        <v>-3.30675220538978E-8</v>
      </c>
      <c r="AO205" s="1">
        <v>1.5447081622181101E-7</v>
      </c>
      <c r="AP205" s="1">
        <v>1.86939755880115</v>
      </c>
      <c r="AQ205" s="1">
        <v>2.5784662602417699E-5</v>
      </c>
      <c r="AR205" s="1">
        <v>3.6566885322514502E-6</v>
      </c>
      <c r="AS205" s="1">
        <v>7.48439225582801</v>
      </c>
      <c r="AT205" s="1">
        <v>7.0140990981447304</v>
      </c>
      <c r="AU205" s="1">
        <v>1.6409423566668899</v>
      </c>
      <c r="AV205" s="1">
        <v>0.22845520213426099</v>
      </c>
      <c r="AW205" s="1">
        <v>6.9077984000852502E-3</v>
      </c>
      <c r="AX205" s="1">
        <v>0.22845519977401499</v>
      </c>
      <c r="AY205" s="1">
        <v>2.3602461929339602E-9</v>
      </c>
      <c r="AZ205" s="1">
        <v>692257.60600924003</v>
      </c>
      <c r="BA205" s="1">
        <v>1.3793033205282199E-5</v>
      </c>
      <c r="BB205" s="4">
        <v>4034392.4613605998</v>
      </c>
      <c r="BC205" s="4">
        <v>-10968.8667643969</v>
      </c>
      <c r="BD205" s="7">
        <v>-0.27114677465611903</v>
      </c>
      <c r="BE205" s="4">
        <v>3375411.3</v>
      </c>
      <c r="BF205" s="1">
        <v>1.19522988542481</v>
      </c>
      <c r="BG205" s="1">
        <v>1</v>
      </c>
      <c r="BH205" s="1">
        <v>-0.13800000000000001</v>
      </c>
      <c r="BI205" s="1">
        <v>4.5999999999999999E-2</v>
      </c>
      <c r="BJ205" s="1">
        <v>5625</v>
      </c>
      <c r="BK205" s="1">
        <v>1.0260666656645301</v>
      </c>
      <c r="BL205" s="1">
        <v>96.523538705464901</v>
      </c>
      <c r="BM205" s="1">
        <v>4.0343924613605999</v>
      </c>
      <c r="BN205" s="1">
        <v>96.523538705464901</v>
      </c>
      <c r="BO205" s="1">
        <v>1.0260666656645301</v>
      </c>
      <c r="BP205" s="1">
        <v>3194.9104277881902</v>
      </c>
      <c r="BQ205" s="1">
        <v>1</v>
      </c>
      <c r="BR205" s="1">
        <v>0.15240000000000001</v>
      </c>
    </row>
    <row r="206" spans="1:70">
      <c r="A206" s="2" t="s">
        <v>274</v>
      </c>
      <c r="B206" s="1">
        <v>18960582.556212999</v>
      </c>
      <c r="C206" s="1">
        <v>634.44823391832597</v>
      </c>
      <c r="D206" s="1">
        <v>149.14958101226799</v>
      </c>
      <c r="E206" s="1">
        <v>520.38377569771103</v>
      </c>
      <c r="F206" s="1">
        <v>2467301.6327637699</v>
      </c>
      <c r="G206" s="1">
        <v>1775044.0267545299</v>
      </c>
      <c r="H206" s="1">
        <v>2.5972810943896E-5</v>
      </c>
      <c r="I206" s="1">
        <v>5.9480773118925399E-5</v>
      </c>
      <c r="J206" s="1">
        <v>0.43661798563056398</v>
      </c>
      <c r="K206" s="1">
        <v>16063.580349286</v>
      </c>
      <c r="L206" s="1">
        <v>1.6624879026359001E-3</v>
      </c>
      <c r="M206" s="1">
        <v>205</v>
      </c>
      <c r="N206" s="1">
        <v>2685.3353999999999</v>
      </c>
      <c r="O206" s="3">
        <v>2.8502295699234199E-6</v>
      </c>
      <c r="P206" s="3">
        <v>5.98473400508856E-3</v>
      </c>
      <c r="Q206" s="3">
        <v>1.905E-3</v>
      </c>
      <c r="R206" s="1">
        <v>0.15240000000000001</v>
      </c>
      <c r="S206" s="4">
        <v>4197888.18359375</v>
      </c>
      <c r="T206" s="1">
        <v>561.28950888079305</v>
      </c>
      <c r="U206" s="5">
        <v>592.43103972782399</v>
      </c>
      <c r="V206" s="1">
        <v>0.03</v>
      </c>
      <c r="W206" s="3">
        <v>86003.655782549802</v>
      </c>
      <c r="X206" s="1">
        <v>2.48783807458107E-2</v>
      </c>
      <c r="Y206" s="1">
        <v>6.3399954316979397</v>
      </c>
      <c r="Z206" s="1">
        <v>6.3399954657620103</v>
      </c>
      <c r="AA206" s="1">
        <v>-3.4064068010763997E-8</v>
      </c>
      <c r="AB206" s="1">
        <v>4.6295021533103401E-6</v>
      </c>
      <c r="AC206" s="1">
        <v>724.70817306569097</v>
      </c>
      <c r="AD206" s="1">
        <v>2398.0209791092798</v>
      </c>
      <c r="AE206" s="1">
        <v>592.43103972782399</v>
      </c>
      <c r="AF206" s="6">
        <v>0</v>
      </c>
      <c r="AG206" s="1">
        <v>4.7606909448245198E-6</v>
      </c>
      <c r="AH206" s="1">
        <v>43.092872993623303</v>
      </c>
      <c r="AI206" s="1">
        <v>0.28776690823595802</v>
      </c>
      <c r="AJ206" s="1">
        <v>11.985550404981399</v>
      </c>
      <c r="AK206" s="1">
        <v>5.02996733937223</v>
      </c>
      <c r="AL206" s="1">
        <v>2.1883527698787102</v>
      </c>
      <c r="AM206" s="1">
        <v>634.44823398433505</v>
      </c>
      <c r="AN206" s="1">
        <v>-6.6008851717924699E-8</v>
      </c>
      <c r="AO206" s="1">
        <v>1.3118879151418501E-7</v>
      </c>
      <c r="AP206" s="1">
        <v>2.00034887888265</v>
      </c>
      <c r="AQ206" s="1">
        <v>2.25192177886083E-5</v>
      </c>
      <c r="AR206" s="1">
        <v>2.4459398681693502E-6</v>
      </c>
      <c r="AS206" s="1">
        <v>6.1579161338686497</v>
      </c>
      <c r="AT206" s="1">
        <v>6.0386921517804204</v>
      </c>
      <c r="AU206" s="1">
        <v>1.7377357703066001</v>
      </c>
      <c r="AV206" s="1">
        <v>0.26261310857604903</v>
      </c>
      <c r="AW206" s="1">
        <v>4.5656310031009098E-3</v>
      </c>
      <c r="AX206" s="1">
        <v>0.262613104814024</v>
      </c>
      <c r="AY206" s="1">
        <v>3.7620252468784096E-9</v>
      </c>
      <c r="AZ206" s="1">
        <v>692257.60600924003</v>
      </c>
      <c r="BA206" s="1">
        <v>1.1257645116979301E-5</v>
      </c>
      <c r="BB206" s="4">
        <v>4197982.8641311498</v>
      </c>
      <c r="BC206" s="4">
        <v>94.680537402629895</v>
      </c>
      <c r="BD206" s="7">
        <v>2.2554325713739099E-3</v>
      </c>
      <c r="BE206" s="4">
        <v>3596232.6</v>
      </c>
      <c r="BF206" s="1">
        <v>1.1673279598575299</v>
      </c>
      <c r="BG206" s="1">
        <v>1</v>
      </c>
      <c r="BH206" s="1">
        <v>-0.104</v>
      </c>
      <c r="BI206" s="1">
        <v>4.5999999999999999E-2</v>
      </c>
      <c r="BJ206" s="1">
        <v>5625</v>
      </c>
      <c r="BK206" s="1">
        <v>1.0378327278381201</v>
      </c>
      <c r="BL206" s="1">
        <v>73.158725037532903</v>
      </c>
      <c r="BM206" s="1">
        <v>4.1979828641311503</v>
      </c>
      <c r="BN206" s="1">
        <v>73.158725037532903</v>
      </c>
      <c r="BO206" s="1">
        <v>1.0378327278381201</v>
      </c>
      <c r="BP206" s="1">
        <v>1099.5010461147101</v>
      </c>
      <c r="BQ206" s="1">
        <v>1</v>
      </c>
      <c r="BR206" s="1">
        <v>0.15240000000000001</v>
      </c>
    </row>
    <row r="207" spans="1:70">
      <c r="A207" s="2" t="s">
        <v>275</v>
      </c>
      <c r="B207" s="1">
        <v>18960582.556212999</v>
      </c>
      <c r="C207" s="1">
        <v>634.44823391832597</v>
      </c>
      <c r="D207" s="1">
        <v>149.14958101226799</v>
      </c>
      <c r="E207" s="1">
        <v>520.38377569771103</v>
      </c>
      <c r="F207" s="1">
        <v>2467301.6327637699</v>
      </c>
      <c r="G207" s="1">
        <v>1775044.0267545299</v>
      </c>
      <c r="H207" s="1">
        <v>2.5972810943896E-5</v>
      </c>
      <c r="I207" s="1">
        <v>5.9480773118925399E-5</v>
      </c>
      <c r="J207" s="1">
        <v>0.43661798563056398</v>
      </c>
      <c r="K207" s="1">
        <v>16063.580349286</v>
      </c>
      <c r="L207" s="1">
        <v>1.6624879026359001E-3</v>
      </c>
      <c r="M207" s="1">
        <v>206</v>
      </c>
      <c r="N207" s="1">
        <v>2698.8977</v>
      </c>
      <c r="O207" s="3">
        <v>2.8502295699234199E-6</v>
      </c>
      <c r="P207" s="3">
        <v>5.98473400508856E-3</v>
      </c>
      <c r="Q207" s="3">
        <v>1.905E-3</v>
      </c>
      <c r="R207" s="1">
        <v>0.15240000000000001</v>
      </c>
      <c r="S207" s="4">
        <v>4765616.50390625</v>
      </c>
      <c r="T207" s="1">
        <v>525.63284033909497</v>
      </c>
      <c r="U207" s="5">
        <v>560.80834170491903</v>
      </c>
      <c r="V207" s="1">
        <v>0.03</v>
      </c>
      <c r="W207" s="3">
        <v>86438.017680441495</v>
      </c>
      <c r="X207" s="1">
        <v>2.4830525859102299E-2</v>
      </c>
      <c r="Y207" s="1">
        <v>6.3461019016727098</v>
      </c>
      <c r="Z207" s="1">
        <v>6.3461019330903401</v>
      </c>
      <c r="AA207" s="1">
        <v>-3.1417631163321897E-8</v>
      </c>
      <c r="AB207" s="1">
        <v>4.5919242072455102E-6</v>
      </c>
      <c r="AC207" s="1">
        <v>749.35777845335599</v>
      </c>
      <c r="AD207" s="1">
        <v>2407.8130717556101</v>
      </c>
      <c r="AE207" s="1">
        <v>560.80834170491903</v>
      </c>
      <c r="AF207" s="6">
        <v>0</v>
      </c>
      <c r="AG207" s="1">
        <v>4.73941868228778E-6</v>
      </c>
      <c r="AH207" s="1">
        <v>43.445522903344802</v>
      </c>
      <c r="AI207" s="1">
        <v>0.28894197728270299</v>
      </c>
      <c r="AJ207" s="1">
        <v>11.980718378724699</v>
      </c>
      <c r="AK207" s="1">
        <v>6.4045604287223004</v>
      </c>
      <c r="AL207" s="1">
        <v>2.1883527698787102</v>
      </c>
      <c r="AM207" s="1">
        <v>634.44823405113198</v>
      </c>
      <c r="AN207" s="1">
        <v>-1.32805666908098E-7</v>
      </c>
      <c r="AO207" s="1">
        <v>1.47494475042275E-7</v>
      </c>
      <c r="AP207" s="1">
        <v>2.0114780047610501</v>
      </c>
      <c r="AQ207" s="1">
        <v>2.22707180340888E-5</v>
      </c>
      <c r="AR207" s="1">
        <v>2.4434565786650299E-6</v>
      </c>
      <c r="AS207" s="1">
        <v>6.1767839269048901</v>
      </c>
      <c r="AT207" s="1">
        <v>6.0539886791861397</v>
      </c>
      <c r="AU207" s="1">
        <v>1.7492514594111499</v>
      </c>
      <c r="AV207" s="1">
        <v>0.26222654534990097</v>
      </c>
      <c r="AW207" s="1">
        <v>4.5285715029851703E-3</v>
      </c>
      <c r="AX207" s="1">
        <v>0.26222653908771398</v>
      </c>
      <c r="AY207" s="1">
        <v>6.26218721322402E-9</v>
      </c>
      <c r="AZ207" s="1">
        <v>692257.60600924003</v>
      </c>
      <c r="BA207" s="1">
        <v>1.10718178281718E-5</v>
      </c>
      <c r="BB207" s="4">
        <v>4798972.9838898797</v>
      </c>
      <c r="BC207" s="4">
        <v>33356.479983625897</v>
      </c>
      <c r="BD207" s="7">
        <v>0.69994049996017305</v>
      </c>
      <c r="BE207" s="4">
        <v>4511063.7</v>
      </c>
      <c r="BF207" s="1">
        <v>1.063822925819</v>
      </c>
      <c r="BG207" s="1">
        <v>1</v>
      </c>
      <c r="BH207" s="1">
        <v>-0.20200000000000001</v>
      </c>
      <c r="BI207" s="1">
        <v>4.5999999999999999E-2</v>
      </c>
      <c r="BJ207" s="1">
        <v>5625</v>
      </c>
      <c r="BK207" s="1">
        <v>1.0198214433421799</v>
      </c>
      <c r="BL207" s="1">
        <v>108.815393579231</v>
      </c>
      <c r="BM207" s="1">
        <v>4.7989729838898798</v>
      </c>
      <c r="BN207" s="1">
        <v>108.815393579231</v>
      </c>
      <c r="BO207" s="1">
        <v>1.0198214433421799</v>
      </c>
      <c r="BP207" s="1">
        <v>4735.5583934644701</v>
      </c>
      <c r="BQ207" s="1">
        <v>1</v>
      </c>
      <c r="BR207" s="1">
        <v>0.15240000000000001</v>
      </c>
    </row>
    <row r="208" spans="1:70">
      <c r="A208" s="2" t="s">
        <v>276</v>
      </c>
      <c r="B208" s="1">
        <v>18960582.556212999</v>
      </c>
      <c r="C208" s="1">
        <v>634.44823391832597</v>
      </c>
      <c r="D208" s="1">
        <v>149.14958101226799</v>
      </c>
      <c r="E208" s="1">
        <v>520.38377569771103</v>
      </c>
      <c r="F208" s="1">
        <v>2467301.6327637699</v>
      </c>
      <c r="G208" s="1">
        <v>1775044.0267545299</v>
      </c>
      <c r="H208" s="1">
        <v>2.5972810943896E-5</v>
      </c>
      <c r="I208" s="1">
        <v>5.9480773118925399E-5</v>
      </c>
      <c r="J208" s="1">
        <v>0.43661798563056398</v>
      </c>
      <c r="K208" s="1">
        <v>16063.580349286</v>
      </c>
      <c r="L208" s="1">
        <v>1.6624879026359001E-3</v>
      </c>
      <c r="M208" s="1">
        <v>207</v>
      </c>
      <c r="N208" s="1">
        <v>2726.0223000000001</v>
      </c>
      <c r="O208" s="3">
        <v>2.8502295699234199E-6</v>
      </c>
      <c r="P208" s="3">
        <v>5.98473400508856E-3</v>
      </c>
      <c r="Q208" s="3">
        <v>1.905E-3</v>
      </c>
      <c r="R208" s="1">
        <v>0.15240000000000001</v>
      </c>
      <c r="S208" s="4">
        <v>5742041.015625</v>
      </c>
      <c r="T208" s="1">
        <v>481.73347125662798</v>
      </c>
      <c r="U208" s="5">
        <v>523.69434419362403</v>
      </c>
      <c r="V208" s="1">
        <v>0.03</v>
      </c>
      <c r="W208" s="3">
        <v>87306.741476224794</v>
      </c>
      <c r="X208" s="1">
        <v>2.4735969360293E-2</v>
      </c>
      <c r="Y208" s="1">
        <v>6.3582197371331297</v>
      </c>
      <c r="Z208" s="1">
        <v>6.35821976348383</v>
      </c>
      <c r="AA208" s="1">
        <v>-2.63506914066625E-8</v>
      </c>
      <c r="AB208" s="1">
        <v>4.5182029201920501E-6</v>
      </c>
      <c r="AC208" s="1">
        <v>782.642114464722</v>
      </c>
      <c r="AD208" s="1">
        <v>2427.37713909897</v>
      </c>
      <c r="AE208" s="1">
        <v>523.69434419362403</v>
      </c>
      <c r="AF208" s="6">
        <v>0</v>
      </c>
      <c r="AG208" s="1">
        <v>4.6903186997320702E-6</v>
      </c>
      <c r="AH208" s="1">
        <v>44.1544020576722</v>
      </c>
      <c r="AI208" s="1">
        <v>0.29128970118544001</v>
      </c>
      <c r="AJ208" s="1">
        <v>11.9529368890478</v>
      </c>
      <c r="AK208" s="1">
        <v>8.2666029836745292</v>
      </c>
      <c r="AL208" s="1">
        <v>2.1883527698787102</v>
      </c>
      <c r="AM208" s="1">
        <v>634.44823388292298</v>
      </c>
      <c r="AN208" s="1">
        <v>3.5403445508563898E-8</v>
      </c>
      <c r="AO208" s="1">
        <v>1.72115779540028E-7</v>
      </c>
      <c r="AP208" s="1">
        <v>2.0298956509902002</v>
      </c>
      <c r="AQ208" s="1">
        <v>2.1868418132789899E-5</v>
      </c>
      <c r="AR208" s="1">
        <v>2.4312172396360498E-6</v>
      </c>
      <c r="AS208" s="1">
        <v>6.1957807324680898</v>
      </c>
      <c r="AT208" s="1">
        <v>6.0693426668307398</v>
      </c>
      <c r="AU208" s="1">
        <v>1.7679370118131701</v>
      </c>
      <c r="AV208" s="1">
        <v>0.26195863917703299</v>
      </c>
      <c r="AW208" s="1">
        <v>4.4558673152316E-3</v>
      </c>
      <c r="AX208" s="1">
        <v>0.26195862825280503</v>
      </c>
      <c r="AY208" s="1">
        <v>1.09242282997357E-8</v>
      </c>
      <c r="AZ208" s="1">
        <v>692257.60600924003</v>
      </c>
      <c r="BA208" s="1">
        <v>1.07731735481685E-5</v>
      </c>
      <c r="BB208" s="4">
        <v>5755307.2830022397</v>
      </c>
      <c r="BC208" s="4">
        <v>13266.2673772424</v>
      </c>
      <c r="BD208" s="7">
        <v>0.23103748895458701</v>
      </c>
      <c r="BE208" s="4">
        <v>5236619.4000000004</v>
      </c>
      <c r="BF208" s="1">
        <v>1.0990501396764201</v>
      </c>
      <c r="BG208" s="1">
        <v>1</v>
      </c>
      <c r="BH208" s="1">
        <v>-0.376</v>
      </c>
      <c r="BI208" s="1">
        <v>4.5999999999999999E-2</v>
      </c>
      <c r="BJ208" s="1">
        <v>5625</v>
      </c>
      <c r="BK208" s="1">
        <v>1.0048068533957799</v>
      </c>
      <c r="BL208" s="1">
        <v>152.71476266169799</v>
      </c>
      <c r="BM208" s="1">
        <v>5.7553072830022396</v>
      </c>
      <c r="BN208" s="1">
        <v>152.71476266169799</v>
      </c>
      <c r="BO208" s="1">
        <v>1.0048068533957799</v>
      </c>
      <c r="BP208" s="1">
        <v>12704.6177218829</v>
      </c>
      <c r="BQ208" s="1">
        <v>1</v>
      </c>
      <c r="BR208" s="1">
        <v>0.15240000000000001</v>
      </c>
    </row>
    <row r="209" spans="1:70">
      <c r="A209" s="2" t="s">
        <v>277</v>
      </c>
      <c r="B209" s="1">
        <v>18960582.556212999</v>
      </c>
      <c r="C209" s="1">
        <v>634.44823391832597</v>
      </c>
      <c r="D209" s="1">
        <v>149.14958101226799</v>
      </c>
      <c r="E209" s="1">
        <v>520.38377569771103</v>
      </c>
      <c r="F209" s="1">
        <v>2467301.6327637699</v>
      </c>
      <c r="G209" s="1">
        <v>1775044.0267545299</v>
      </c>
      <c r="H209" s="1">
        <v>2.5972810943896E-5</v>
      </c>
      <c r="I209" s="1">
        <v>5.9480773118925399E-5</v>
      </c>
      <c r="J209" s="1">
        <v>0.43661798563056398</v>
      </c>
      <c r="K209" s="1">
        <v>16063.580349286</v>
      </c>
      <c r="L209" s="1">
        <v>1.6624879026359001E-3</v>
      </c>
      <c r="M209" s="1">
        <v>208</v>
      </c>
      <c r="N209" s="1">
        <v>2726.0223000000001</v>
      </c>
      <c r="O209" s="3">
        <v>2.8502295699234199E-6</v>
      </c>
      <c r="P209" s="3">
        <v>5.98473400508856E-3</v>
      </c>
      <c r="Q209" s="3">
        <v>1.905E-3</v>
      </c>
      <c r="R209" s="1">
        <v>0.15240000000000001</v>
      </c>
      <c r="S209" s="4">
        <v>5726562.01171875</v>
      </c>
      <c r="T209" s="1">
        <v>482.30962211684403</v>
      </c>
      <c r="U209" s="5">
        <v>524.15737978448999</v>
      </c>
      <c r="V209" s="1">
        <v>0.03</v>
      </c>
      <c r="W209" s="3">
        <v>87306.741476224794</v>
      </c>
      <c r="X209" s="1">
        <v>2.4735969360293E-2</v>
      </c>
      <c r="Y209" s="1">
        <v>6.3582197371331297</v>
      </c>
      <c r="Z209" s="1">
        <v>6.35821976348383</v>
      </c>
      <c r="AA209" s="1">
        <v>-2.63506914066625E-8</v>
      </c>
      <c r="AB209" s="1">
        <v>4.5182029201920501E-6</v>
      </c>
      <c r="AC209" s="1">
        <v>782.11788869394195</v>
      </c>
      <c r="AD209" s="1">
        <v>2427.37713909897</v>
      </c>
      <c r="AE209" s="1">
        <v>524.15738161462696</v>
      </c>
      <c r="AF209" s="6">
        <v>1.8301367390449701E-6</v>
      </c>
      <c r="AG209" s="1">
        <v>4.68897239728106E-6</v>
      </c>
      <c r="AH209" s="1">
        <v>44.1544020576722</v>
      </c>
      <c r="AI209" s="1">
        <v>0.29128970118544001</v>
      </c>
      <c r="AJ209" s="1">
        <v>11.949505934935599</v>
      </c>
      <c r="AK209" s="1">
        <v>8.2382139876399396</v>
      </c>
      <c r="AL209" s="1">
        <v>2.1883527698787102</v>
      </c>
      <c r="AM209" s="1">
        <v>634.44823388210705</v>
      </c>
      <c r="AN209" s="1">
        <v>3.62186938218656E-8</v>
      </c>
      <c r="AO209" s="1">
        <v>1.7076947708901199E-7</v>
      </c>
      <c r="AP209" s="1">
        <v>2.0291811487290801</v>
      </c>
      <c r="AQ209" s="1">
        <v>2.1883821178600901E-5</v>
      </c>
      <c r="AR209" s="1">
        <v>2.4298709371850298E-6</v>
      </c>
      <c r="AS209" s="1">
        <v>6.1923497783558501</v>
      </c>
      <c r="AT209" s="1">
        <v>6.0665731172227799</v>
      </c>
      <c r="AU209" s="1">
        <v>1.7671302705354499</v>
      </c>
      <c r="AV209" s="1">
        <v>0.26205087819363798</v>
      </c>
      <c r="AW209" s="1">
        <v>4.4558673152316E-3</v>
      </c>
      <c r="AX209" s="1">
        <v>0.26205086744609801</v>
      </c>
      <c r="AY209" s="1">
        <v>1.07475398580803E-8</v>
      </c>
      <c r="AZ209" s="1">
        <v>692257.60600924003</v>
      </c>
      <c r="BA209" s="1">
        <v>1.07845576982159E-5</v>
      </c>
      <c r="BB209" s="4">
        <v>5704261.0751226302</v>
      </c>
      <c r="BC209" s="4">
        <v>-22300.9365961244</v>
      </c>
      <c r="BD209" s="7">
        <v>-0.38942975821248699</v>
      </c>
      <c r="BE209" s="4">
        <v>5110435.8</v>
      </c>
      <c r="BF209" s="1">
        <v>1.11619855886315</v>
      </c>
      <c r="BG209" s="1">
        <v>1</v>
      </c>
      <c r="BH209" s="1">
        <v>-0.39300000000000002</v>
      </c>
      <c r="BI209" s="1">
        <v>4.5999999999999999E-2</v>
      </c>
      <c r="BJ209" s="1">
        <v>5625</v>
      </c>
      <c r="BK209" s="1">
        <v>1.00491884480104</v>
      </c>
      <c r="BL209" s="1">
        <v>152.138611801482</v>
      </c>
      <c r="BM209" s="1">
        <v>5.7042610751226297</v>
      </c>
      <c r="BN209" s="1">
        <v>152.138611801482</v>
      </c>
      <c r="BO209" s="1">
        <v>1.00491884480104</v>
      </c>
      <c r="BP209" s="1">
        <v>12575.068256763499</v>
      </c>
      <c r="BQ209" s="1">
        <v>1</v>
      </c>
      <c r="BR209" s="1">
        <v>0.15240000000000001</v>
      </c>
    </row>
    <row r="210" spans="1:70">
      <c r="A210" s="2" t="s">
        <v>278</v>
      </c>
      <c r="B210" s="1">
        <v>18960582.556212999</v>
      </c>
      <c r="C210" s="1">
        <v>634.44823391832597</v>
      </c>
      <c r="D210" s="1">
        <v>149.14958101226799</v>
      </c>
      <c r="E210" s="1">
        <v>520.38377569771103</v>
      </c>
      <c r="F210" s="1">
        <v>2467301.6327637699</v>
      </c>
      <c r="G210" s="1">
        <v>1775044.0267545299</v>
      </c>
      <c r="H210" s="1">
        <v>2.5972810943896E-5</v>
      </c>
      <c r="I210" s="1">
        <v>5.9480773118925399E-5</v>
      </c>
      <c r="J210" s="1">
        <v>0.43661798563056398</v>
      </c>
      <c r="K210" s="1">
        <v>16063.580349286</v>
      </c>
      <c r="L210" s="1">
        <v>1.6624879026359001E-3</v>
      </c>
      <c r="M210" s="1">
        <v>209</v>
      </c>
      <c r="N210" s="1">
        <v>2726.0223000000001</v>
      </c>
      <c r="O210" s="3">
        <v>2.8502295699234199E-6</v>
      </c>
      <c r="P210" s="3">
        <v>5.98473400508856E-3</v>
      </c>
      <c r="Q210" s="3">
        <v>1.905E-3</v>
      </c>
      <c r="R210" s="1">
        <v>0.15240000000000001</v>
      </c>
      <c r="S210" s="4">
        <v>4254541.015625</v>
      </c>
      <c r="T210" s="1">
        <v>559.60722906880403</v>
      </c>
      <c r="U210" s="5">
        <v>590.69796047878299</v>
      </c>
      <c r="V210" s="1">
        <v>0.03</v>
      </c>
      <c r="W210" s="3">
        <v>87306.741476224794</v>
      </c>
      <c r="X210" s="1">
        <v>2.4735969360293E-2</v>
      </c>
      <c r="Y210" s="1">
        <v>6.3582197371331297</v>
      </c>
      <c r="Z210" s="1">
        <v>6.35821976348383</v>
      </c>
      <c r="AA210" s="1">
        <v>-2.63506914066625E-8</v>
      </c>
      <c r="AB210" s="1">
        <v>4.5182029201920501E-6</v>
      </c>
      <c r="AC210" s="1">
        <v>725.20123857111196</v>
      </c>
      <c r="AD210" s="1">
        <v>2427.37713909897</v>
      </c>
      <c r="AE210" s="1">
        <v>590.69796047878299</v>
      </c>
      <c r="AF210" s="6">
        <v>0</v>
      </c>
      <c r="AG210" s="1">
        <v>4.6498432246460803E-6</v>
      </c>
      <c r="AH210" s="1">
        <v>44.1544020576722</v>
      </c>
      <c r="AI210" s="1">
        <v>0.29128970118544001</v>
      </c>
      <c r="AJ210" s="1">
        <v>11.849788077585499</v>
      </c>
      <c r="AK210" s="1">
        <v>5.0783204303473903</v>
      </c>
      <c r="AL210" s="1">
        <v>2.1883527698787102</v>
      </c>
      <c r="AM210" s="1">
        <v>634.44823387410895</v>
      </c>
      <c r="AN210" s="1">
        <v>4.4217244976607597E-8</v>
      </c>
      <c r="AO210" s="1">
        <v>1.3164030445403901E-7</v>
      </c>
      <c r="AP210" s="1">
        <v>2.0082656638617502</v>
      </c>
      <c r="AQ210" s="1">
        <v>2.2342021703566801E-5</v>
      </c>
      <c r="AR210" s="1">
        <v>2.3907417645500599E-6</v>
      </c>
      <c r="AS210" s="1">
        <v>6.0926319210057303</v>
      </c>
      <c r="AT210" s="1">
        <v>5.9854007964987197</v>
      </c>
      <c r="AU210" s="1">
        <v>1.74348560948721</v>
      </c>
      <c r="AV210" s="1">
        <v>0.26478005437454</v>
      </c>
      <c r="AW210" s="1">
        <v>4.4558673152316E-3</v>
      </c>
      <c r="AX210" s="1">
        <v>0.26478004867504101</v>
      </c>
      <c r="AY210" s="1">
        <v>5.6994994279690997E-9</v>
      </c>
      <c r="AZ210" s="1">
        <v>692257.60600924003</v>
      </c>
      <c r="BA210" s="1">
        <v>1.11250329603329E-5</v>
      </c>
      <c r="BB210" s="4">
        <v>4262643.9232648201</v>
      </c>
      <c r="BC210" s="4">
        <v>8102.9076398201296</v>
      </c>
      <c r="BD210" s="7">
        <v>0.190453156052834</v>
      </c>
      <c r="BE210" s="4">
        <v>3785508</v>
      </c>
      <c r="BF210" s="1">
        <v>1.1260427724006401</v>
      </c>
      <c r="BG210" s="1">
        <v>1</v>
      </c>
      <c r="BH210" s="1">
        <v>-9.2999999999999999E-2</v>
      </c>
      <c r="BI210" s="1">
        <v>4.5999999999999999E-2</v>
      </c>
      <c r="BJ210" s="1">
        <v>5625</v>
      </c>
      <c r="BK210" s="1">
        <v>1.0370711015047001</v>
      </c>
      <c r="BL210" s="1">
        <v>74.841004849521894</v>
      </c>
      <c r="BM210" s="1">
        <v>4.2626439232648199</v>
      </c>
      <c r="BN210" s="1">
        <v>74.841004849521894</v>
      </c>
      <c r="BO210" s="1">
        <v>1.0370711015047001</v>
      </c>
      <c r="BP210" s="1">
        <v>1213.89561892441</v>
      </c>
      <c r="BQ210" s="1">
        <v>1</v>
      </c>
      <c r="BR210" s="1">
        <v>0.15240000000000001</v>
      </c>
    </row>
    <row r="211" spans="1:70">
      <c r="A211" s="2" t="s">
        <v>279</v>
      </c>
      <c r="B211" s="1">
        <v>18960582.556212999</v>
      </c>
      <c r="C211" s="1">
        <v>634.44823391832597</v>
      </c>
      <c r="D211" s="1">
        <v>149.14958101226799</v>
      </c>
      <c r="E211" s="1">
        <v>520.38377569771103</v>
      </c>
      <c r="F211" s="1">
        <v>2467301.6327637699</v>
      </c>
      <c r="G211" s="1">
        <v>1775044.0267545299</v>
      </c>
      <c r="H211" s="1">
        <v>2.5972810943896E-5</v>
      </c>
      <c r="I211" s="1">
        <v>5.9480773118925399E-5</v>
      </c>
      <c r="J211" s="1">
        <v>0.43661798563056398</v>
      </c>
      <c r="K211" s="1">
        <v>16063.580349286</v>
      </c>
      <c r="L211" s="1">
        <v>1.6624879026359001E-3</v>
      </c>
      <c r="M211" s="1">
        <v>210</v>
      </c>
      <c r="N211" s="1">
        <v>2739.5846000000001</v>
      </c>
      <c r="O211" s="3">
        <v>2.8502295699234199E-6</v>
      </c>
      <c r="P211" s="3">
        <v>5.98473400508856E-3</v>
      </c>
      <c r="Q211" s="3">
        <v>1.905E-3</v>
      </c>
      <c r="R211" s="1">
        <v>0.15240000000000001</v>
      </c>
      <c r="S211" s="4">
        <v>4970690.91796875</v>
      </c>
      <c r="T211" s="1">
        <v>516.17931085542295</v>
      </c>
      <c r="U211" s="5">
        <v>552.32359862259602</v>
      </c>
      <c r="V211" s="1">
        <v>0.03</v>
      </c>
      <c r="W211" s="3">
        <v>87741.103374116501</v>
      </c>
      <c r="X211" s="1">
        <v>2.4689257625448699E-2</v>
      </c>
      <c r="Y211" s="1">
        <v>6.3642317268426796</v>
      </c>
      <c r="Z211" s="1">
        <v>6.3642317508062201</v>
      </c>
      <c r="AA211" s="1">
        <v>-2.3963539597105001E-8</v>
      </c>
      <c r="AB211" s="1">
        <v>4.4820429169196396E-6</v>
      </c>
      <c r="AC211" s="1">
        <v>754.92457190287303</v>
      </c>
      <c r="AD211" s="1">
        <v>2437.1492054158398</v>
      </c>
      <c r="AE211" s="1">
        <v>552.32359862259602</v>
      </c>
      <c r="AF211" s="6">
        <v>0</v>
      </c>
      <c r="AG211" s="1">
        <v>4.6327584548578201E-6</v>
      </c>
      <c r="AH211" s="1">
        <v>44.510628749939897</v>
      </c>
      <c r="AI211" s="1">
        <v>0.29246236703598</v>
      </c>
      <c r="AJ211" s="1">
        <v>11.8537780442417</v>
      </c>
      <c r="AK211" s="1">
        <v>6.7407432510522298</v>
      </c>
      <c r="AL211" s="1">
        <v>2.1883527698787102</v>
      </c>
      <c r="AM211" s="1">
        <v>634.448233843666</v>
      </c>
      <c r="AN211" s="1">
        <v>7.4660420068539706E-8</v>
      </c>
      <c r="AO211" s="1">
        <v>1.5071553793817801E-7</v>
      </c>
      <c r="AP211" s="1">
        <v>2.0211407240824202</v>
      </c>
      <c r="AQ211" s="1">
        <v>2.2058282266061999E-5</v>
      </c>
      <c r="AR211" s="1">
        <v>2.3917369963979999E-6</v>
      </c>
      <c r="AS211" s="1">
        <v>6.1197059531076601</v>
      </c>
      <c r="AT211" s="1">
        <v>6.0075702424605701</v>
      </c>
      <c r="AU211" s="1">
        <v>1.7569882132449399</v>
      </c>
      <c r="AV211" s="1">
        <v>0.26415251083748598</v>
      </c>
      <c r="AW211" s="1">
        <v>4.42020619519202E-3</v>
      </c>
      <c r="AX211" s="1">
        <v>0.26415250194312101</v>
      </c>
      <c r="AY211" s="1">
        <v>8.8943656328943599E-9</v>
      </c>
      <c r="AZ211" s="1">
        <v>692257.60600924003</v>
      </c>
      <c r="BA211" s="1">
        <v>1.09137785425981E-5</v>
      </c>
      <c r="BB211" s="4">
        <v>4974785.67330781</v>
      </c>
      <c r="BC211" s="4">
        <v>4094.7553390562498</v>
      </c>
      <c r="BD211" s="7">
        <v>8.2377991442878898E-2</v>
      </c>
      <c r="BE211" s="4">
        <v>4574155.5</v>
      </c>
      <c r="BF211" s="1">
        <v>1.0875856042296299</v>
      </c>
      <c r="BG211" s="1">
        <v>1</v>
      </c>
      <c r="BH211" s="1">
        <v>-0.26700000000000002</v>
      </c>
      <c r="BI211" s="1">
        <v>4.5999999999999999E-2</v>
      </c>
      <c r="BJ211" s="1">
        <v>5625</v>
      </c>
      <c r="BK211" s="1">
        <v>1.01548033342054</v>
      </c>
      <c r="BL211" s="1">
        <v>118.268923062903</v>
      </c>
      <c r="BM211" s="1">
        <v>4.9747856733078102</v>
      </c>
      <c r="BN211" s="1">
        <v>118.268923062903</v>
      </c>
      <c r="BO211" s="1">
        <v>1.01548033342054</v>
      </c>
      <c r="BP211" s="1">
        <v>6126.0243174266298</v>
      </c>
      <c r="BQ211" s="1">
        <v>1</v>
      </c>
      <c r="BR211" s="1">
        <v>0.15240000000000001</v>
      </c>
    </row>
    <row r="212" spans="1:70">
      <c r="A212" s="2" t="s">
        <v>280</v>
      </c>
      <c r="B212" s="1">
        <v>18960582.556212999</v>
      </c>
      <c r="C212" s="1">
        <v>634.44823391832597</v>
      </c>
      <c r="D212" s="1">
        <v>149.14958101226799</v>
      </c>
      <c r="E212" s="1">
        <v>520.38377569771103</v>
      </c>
      <c r="F212" s="1">
        <v>2467301.6327637699</v>
      </c>
      <c r="G212" s="1">
        <v>1775044.0267545299</v>
      </c>
      <c r="H212" s="1">
        <v>2.5972810943896E-5</v>
      </c>
      <c r="I212" s="1">
        <v>5.9480773118925399E-5</v>
      </c>
      <c r="J212" s="1">
        <v>0.43661798563056398</v>
      </c>
      <c r="K212" s="1">
        <v>16063.580349286</v>
      </c>
      <c r="L212" s="1">
        <v>1.6624879026359001E-3</v>
      </c>
      <c r="M212" s="1">
        <v>211</v>
      </c>
      <c r="N212" s="1">
        <v>2766.7091999999998</v>
      </c>
      <c r="O212" s="3">
        <v>2.8502295699234199E-6</v>
      </c>
      <c r="P212" s="3">
        <v>5.98473400508856E-3</v>
      </c>
      <c r="Q212" s="3">
        <v>1.905E-3</v>
      </c>
      <c r="R212" s="1">
        <v>0.15240000000000001</v>
      </c>
      <c r="S212" s="4">
        <v>4993933.10546875</v>
      </c>
      <c r="T212" s="1">
        <v>516.17931085542295</v>
      </c>
      <c r="U212" s="5">
        <v>552.13659108680599</v>
      </c>
      <c r="V212" s="1">
        <v>0.03</v>
      </c>
      <c r="W212" s="3">
        <v>88609.8271698998</v>
      </c>
      <c r="X212" s="1">
        <v>2.4596942564935501E-2</v>
      </c>
      <c r="Y212" s="1">
        <v>6.3761633767970602</v>
      </c>
      <c r="Z212" s="1">
        <v>6.3761633963344897</v>
      </c>
      <c r="AA212" s="1">
        <v>-1.95374338929355E-8</v>
      </c>
      <c r="AB212" s="1">
        <v>4.4110839093320403E-6</v>
      </c>
      <c r="AC212" s="1">
        <v>754.21995850784106</v>
      </c>
      <c r="AD212" s="1">
        <v>2456.67362836139</v>
      </c>
      <c r="AE212" s="1">
        <v>552.13659265288004</v>
      </c>
      <c r="AF212" s="6">
        <v>1.56607325152436E-6</v>
      </c>
      <c r="AG212" s="1">
        <v>4.5612322902433903E-6</v>
      </c>
      <c r="AH212" s="1">
        <v>45.226650051759599</v>
      </c>
      <c r="AI212" s="1">
        <v>0.294805333538392</v>
      </c>
      <c r="AJ212" s="1">
        <v>11.764261501597201</v>
      </c>
      <c r="AK212" s="1">
        <v>6.7198247764419001</v>
      </c>
      <c r="AL212" s="1">
        <v>2.1883527698787102</v>
      </c>
      <c r="AM212" s="1">
        <v>634.44823378099898</v>
      </c>
      <c r="AN212" s="1">
        <v>1.3732710613112399E-7</v>
      </c>
      <c r="AO212" s="1">
        <v>1.5014838091135301E-7</v>
      </c>
      <c r="AP212" s="1">
        <v>2.0260625727162802</v>
      </c>
      <c r="AQ212" s="1">
        <v>2.1951241488450398E-5</v>
      </c>
      <c r="AR212" s="1">
        <v>2.3556903355773702E-6</v>
      </c>
      <c r="AS212" s="1">
        <v>6.0757609700773996</v>
      </c>
      <c r="AT212" s="1">
        <v>5.9715362197304698</v>
      </c>
      <c r="AU212" s="1">
        <v>1.7604407269942299</v>
      </c>
      <c r="AV212" s="1">
        <v>0.265621845722054</v>
      </c>
      <c r="AW212" s="1">
        <v>4.3502261769821603E-3</v>
      </c>
      <c r="AX212" s="1">
        <v>0.265621835307294</v>
      </c>
      <c r="AY212" s="1">
        <v>1.04147601098781E-8</v>
      </c>
      <c r="AZ212" s="1">
        <v>692257.60600924003</v>
      </c>
      <c r="BA212" s="1">
        <v>1.0834434130541699E-5</v>
      </c>
      <c r="BB212" s="4">
        <v>4992360.1037208196</v>
      </c>
      <c r="BC212" s="4">
        <v>-1573.0017479267001</v>
      </c>
      <c r="BD212" s="7">
        <v>-3.1498254275856001E-2</v>
      </c>
      <c r="BE212" s="4">
        <v>4479517.8</v>
      </c>
      <c r="BF212" s="1">
        <v>1.11448605109256</v>
      </c>
      <c r="BG212" s="1">
        <v>1</v>
      </c>
      <c r="BH212" s="1">
        <v>-0.28999999999999998</v>
      </c>
      <c r="BI212" s="1">
        <v>4.5999999999999999E-2</v>
      </c>
      <c r="BJ212" s="1">
        <v>5625</v>
      </c>
      <c r="BK212" s="1">
        <v>1.01548033342054</v>
      </c>
      <c r="BL212" s="1">
        <v>118.268923062903</v>
      </c>
      <c r="BM212" s="1">
        <v>4.9923601037208201</v>
      </c>
      <c r="BN212" s="1">
        <v>118.268923062903</v>
      </c>
      <c r="BO212" s="1">
        <v>1.01548033342054</v>
      </c>
      <c r="BP212" s="1">
        <v>6126.0243174266298</v>
      </c>
      <c r="BQ212" s="1">
        <v>1</v>
      </c>
      <c r="BR212" s="1">
        <v>0.15240000000000001</v>
      </c>
    </row>
    <row r="213" spans="1:70">
      <c r="A213" s="2" t="s">
        <v>281</v>
      </c>
      <c r="B213" s="1">
        <v>18960582.556212999</v>
      </c>
      <c r="C213" s="1">
        <v>634.44823391832597</v>
      </c>
      <c r="D213" s="1">
        <v>149.14958101226799</v>
      </c>
      <c r="E213" s="1">
        <v>520.38377569771103</v>
      </c>
      <c r="F213" s="1">
        <v>2467301.6327637699</v>
      </c>
      <c r="G213" s="1">
        <v>1775044.0267545299</v>
      </c>
      <c r="H213" s="1">
        <v>2.5972810943896E-5</v>
      </c>
      <c r="I213" s="1">
        <v>5.9480773118925399E-5</v>
      </c>
      <c r="J213" s="1">
        <v>0.43661798563056398</v>
      </c>
      <c r="K213" s="1">
        <v>16063.580349286</v>
      </c>
      <c r="L213" s="1">
        <v>1.6624879026359001E-3</v>
      </c>
      <c r="M213" s="1">
        <v>212</v>
      </c>
      <c r="N213" s="1">
        <v>3377.0127000000002</v>
      </c>
      <c r="O213" s="3">
        <v>2.8502295699234199E-6</v>
      </c>
      <c r="P213" s="3">
        <v>5.98473400508856E-3</v>
      </c>
      <c r="Q213" s="3">
        <v>1.905E-3</v>
      </c>
      <c r="R213" s="1">
        <v>0.15240000000000001</v>
      </c>
      <c r="S213" s="4">
        <v>4731005.859375</v>
      </c>
      <c r="T213" s="1">
        <v>558.46565244536998</v>
      </c>
      <c r="U213" s="5">
        <v>586.37363355857497</v>
      </c>
      <c r="V213" s="1">
        <v>0.03</v>
      </c>
      <c r="W213" s="3">
        <v>108156.11257502501</v>
      </c>
      <c r="X213" s="1">
        <v>2.2842853749086001E-2</v>
      </c>
      <c r="Y213" s="1">
        <v>6.6164467317851301</v>
      </c>
      <c r="Z213" s="1">
        <v>6.6164467598196204</v>
      </c>
      <c r="AA213" s="1">
        <v>-2.8034487620232101E-8</v>
      </c>
      <c r="AB213" s="1">
        <v>3.1881425212607502E-6</v>
      </c>
      <c r="AC213" s="1">
        <v>715.03770121848095</v>
      </c>
      <c r="AD213" s="1">
        <v>2889.6900303443399</v>
      </c>
      <c r="AE213" s="1">
        <v>586.37363355857599</v>
      </c>
      <c r="AF213" s="6">
        <v>0</v>
      </c>
      <c r="AG213" s="1">
        <v>3.3139356947343799E-6</v>
      </c>
      <c r="AH213" s="1">
        <v>62.575166256186201</v>
      </c>
      <c r="AI213" s="1">
        <v>0.34676809462331698</v>
      </c>
      <c r="AJ213" s="1">
        <v>10.05380255987</v>
      </c>
      <c r="AK213" s="1">
        <v>4.8038323844938802</v>
      </c>
      <c r="AL213" s="1">
        <v>2.1883527698787102</v>
      </c>
      <c r="AM213" s="1">
        <v>634.44823423390699</v>
      </c>
      <c r="AN213" s="1">
        <v>-3.1558079172100401E-7</v>
      </c>
      <c r="AO213" s="1">
        <v>1.2579317347363E-7</v>
      </c>
      <c r="AP213" s="1">
        <v>2.1071788156791902</v>
      </c>
      <c r="AQ213" s="1">
        <v>2.0293736281311501E-5</v>
      </c>
      <c r="AR213" s="1">
        <v>1.7198644341040099E-6</v>
      </c>
      <c r="AS213" s="1">
        <v>5.2177166496316598</v>
      </c>
      <c r="AT213" s="1">
        <v>5.2102994137739804</v>
      </c>
      <c r="AU213" s="1">
        <v>1.8067656001313901</v>
      </c>
      <c r="AV213" s="1">
        <v>0.30041321554780898</v>
      </c>
      <c r="AW213" s="1">
        <v>3.1441571588781202E-3</v>
      </c>
      <c r="AX213" s="1">
        <v>0.30041321375761998</v>
      </c>
      <c r="AY213" s="1">
        <v>1.7901889415305999E-9</v>
      </c>
      <c r="AZ213" s="1">
        <v>692257.60600924003</v>
      </c>
      <c r="BA213" s="1">
        <v>9.6307613432276903E-6</v>
      </c>
      <c r="BB213" s="4">
        <v>4705306.6987573998</v>
      </c>
      <c r="BC213" s="4">
        <v>-25699.160617603</v>
      </c>
      <c r="BD213" s="7">
        <v>-0.54320711877110295</v>
      </c>
      <c r="BE213" s="4">
        <v>4258696.5</v>
      </c>
      <c r="BF213" s="1">
        <v>1.1048701636186999</v>
      </c>
      <c r="BG213" s="1">
        <v>1</v>
      </c>
      <c r="BH213" s="1">
        <v>-0.161</v>
      </c>
      <c r="BI213" s="1">
        <v>4.5999999999999999E-2</v>
      </c>
      <c r="BJ213" s="1">
        <v>5625</v>
      </c>
      <c r="BK213" s="1">
        <v>1.03654207365804</v>
      </c>
      <c r="BL213" s="1">
        <v>75.982581472955999</v>
      </c>
      <c r="BM213" s="1">
        <v>4.7053066987573997</v>
      </c>
      <c r="BN213" s="1">
        <v>75.982581472955999</v>
      </c>
      <c r="BO213" s="1">
        <v>1.03654207365804</v>
      </c>
      <c r="BP213" s="1">
        <v>1294.7461694579199</v>
      </c>
      <c r="BQ213" s="1">
        <v>1</v>
      </c>
      <c r="BR213" s="1">
        <v>0.15240000000000001</v>
      </c>
    </row>
    <row r="214" spans="1:70">
      <c r="A214" s="2" t="s">
        <v>282</v>
      </c>
      <c r="B214" s="1">
        <v>18960582.556212999</v>
      </c>
      <c r="C214" s="1">
        <v>634.44823391832597</v>
      </c>
      <c r="D214" s="1">
        <v>149.14958101226799</v>
      </c>
      <c r="E214" s="1">
        <v>520.38377569771103</v>
      </c>
      <c r="F214" s="1">
        <v>2467301.6327637699</v>
      </c>
      <c r="G214" s="1">
        <v>1775044.0267545299</v>
      </c>
      <c r="H214" s="1">
        <v>2.5972810943896E-5</v>
      </c>
      <c r="I214" s="1">
        <v>5.9480773118925399E-5</v>
      </c>
      <c r="J214" s="1">
        <v>0.43661798563056398</v>
      </c>
      <c r="K214" s="1">
        <v>16063.580349286</v>
      </c>
      <c r="L214" s="1">
        <v>1.6624879026359001E-3</v>
      </c>
      <c r="M214" s="1">
        <v>213</v>
      </c>
      <c r="N214" s="1">
        <v>3458.3865000000001</v>
      </c>
      <c r="O214" s="3">
        <v>2.8502295699234199E-6</v>
      </c>
      <c r="P214" s="3">
        <v>5.98473400508856E-3</v>
      </c>
      <c r="Q214" s="3">
        <v>1.905E-3</v>
      </c>
      <c r="R214" s="1">
        <v>0.15240000000000001</v>
      </c>
      <c r="S214" s="4">
        <v>4873364.2578125</v>
      </c>
      <c r="T214" s="1">
        <v>553.48995463629501</v>
      </c>
      <c r="U214" s="5">
        <v>581.56128368087195</v>
      </c>
      <c r="V214" s="1">
        <v>0.03</v>
      </c>
      <c r="W214" s="3">
        <v>110762.283962375</v>
      </c>
      <c r="X214" s="1">
        <v>2.2647019765432101E-2</v>
      </c>
      <c r="Y214" s="1">
        <v>6.6449921225727904</v>
      </c>
      <c r="Z214" s="1">
        <v>6.6449921260745999</v>
      </c>
      <c r="AA214" s="1">
        <v>-3.5018077326753899E-9</v>
      </c>
      <c r="AB214" s="1">
        <v>3.0661638644763198E-6</v>
      </c>
      <c r="AC214" s="1">
        <v>716.97177521950596</v>
      </c>
      <c r="AD214" s="1">
        <v>2946.6085378586199</v>
      </c>
      <c r="AE214" s="1">
        <v>581.56128489052105</v>
      </c>
      <c r="AF214" s="6">
        <v>1.20964921279665E-6</v>
      </c>
      <c r="AG214" s="1">
        <v>3.19409369485065E-6</v>
      </c>
      <c r="AH214" s="1">
        <v>65.064542253478393</v>
      </c>
      <c r="AI214" s="1">
        <v>0.353598419742021</v>
      </c>
      <c r="AJ214" s="1">
        <v>9.8810958025903801</v>
      </c>
      <c r="AK214" s="1">
        <v>4.9542854726448704</v>
      </c>
      <c r="AL214" s="1">
        <v>2.1883527698787102</v>
      </c>
      <c r="AM214" s="1">
        <v>634.44823401175904</v>
      </c>
      <c r="AN214" s="1">
        <v>-9.3433072834159195E-8</v>
      </c>
      <c r="AO214" s="1">
        <v>1.27929830374337E-7</v>
      </c>
      <c r="AP214" s="1">
        <v>2.1197887148715702</v>
      </c>
      <c r="AQ214" s="1">
        <v>2.0053013392052701E-5</v>
      </c>
      <c r="AR214" s="1">
        <v>1.6610117626125001E-6</v>
      </c>
      <c r="AS214" s="1">
        <v>5.1384267099187202</v>
      </c>
      <c r="AT214" s="1">
        <v>5.1337347252413199</v>
      </c>
      <c r="AU214" s="1">
        <v>1.81528048622007</v>
      </c>
      <c r="AV214" s="1">
        <v>0.30450822865150001</v>
      </c>
      <c r="AW214" s="1">
        <v>3.0238613865274399E-3</v>
      </c>
      <c r="AX214" s="1">
        <v>0.30450822681623202</v>
      </c>
      <c r="AY214" s="1">
        <v>1.8352672714883099E-9</v>
      </c>
      <c r="AZ214" s="1">
        <v>692257.60600924003</v>
      </c>
      <c r="BA214" s="1">
        <v>9.4599113823792893E-6</v>
      </c>
      <c r="BB214" s="4">
        <v>4871651.8034949396</v>
      </c>
      <c r="BC214" s="4">
        <v>-1712.4543175604199</v>
      </c>
      <c r="BD214" s="7">
        <v>-3.5139058501838398E-2</v>
      </c>
      <c r="BE214" s="4">
        <v>4668793.2</v>
      </c>
      <c r="BF214" s="1">
        <v>1.0434499012496301</v>
      </c>
      <c r="BG214" s="1">
        <v>1</v>
      </c>
      <c r="BH214" s="1">
        <v>-0.156</v>
      </c>
      <c r="BI214" s="1">
        <v>4.5999999999999999E-2</v>
      </c>
      <c r="BJ214" s="1">
        <v>5625</v>
      </c>
      <c r="BK214" s="1">
        <v>1.03413778508881</v>
      </c>
      <c r="BL214" s="1">
        <v>80.958279282031</v>
      </c>
      <c r="BM214" s="1">
        <v>4.8716518034949399</v>
      </c>
      <c r="BN214" s="1">
        <v>80.958279282031</v>
      </c>
      <c r="BO214" s="1">
        <v>1.03413778508881</v>
      </c>
      <c r="BP214" s="1">
        <v>1677.58064174485</v>
      </c>
      <c r="BQ214" s="1">
        <v>1</v>
      </c>
      <c r="BR214" s="1">
        <v>0.15240000000000001</v>
      </c>
    </row>
    <row r="215" spans="1:70">
      <c r="A215" s="2" t="s">
        <v>283</v>
      </c>
      <c r="B215" s="1">
        <v>18960582.556212999</v>
      </c>
      <c r="C215" s="1">
        <v>634.44823391832597</v>
      </c>
      <c r="D215" s="1">
        <v>149.14958101226799</v>
      </c>
      <c r="E215" s="1">
        <v>520.38377569771103</v>
      </c>
      <c r="F215" s="1">
        <v>2467301.6327637699</v>
      </c>
      <c r="G215" s="1">
        <v>1775044.0267545299</v>
      </c>
      <c r="H215" s="1">
        <v>2.5972810943896E-5</v>
      </c>
      <c r="I215" s="1">
        <v>5.9480773118925399E-5</v>
      </c>
      <c r="J215" s="1">
        <v>0.43661798563056398</v>
      </c>
      <c r="K215" s="1">
        <v>16063.580349286</v>
      </c>
      <c r="L215" s="1">
        <v>1.6624879026359001E-3</v>
      </c>
      <c r="M215" s="1">
        <v>214</v>
      </c>
      <c r="N215" s="1">
        <v>3485.5111000000002</v>
      </c>
      <c r="O215" s="3">
        <v>2.8502295699234199E-6</v>
      </c>
      <c r="P215" s="3">
        <v>5.98473400508856E-3</v>
      </c>
      <c r="Q215" s="3">
        <v>1.905E-3</v>
      </c>
      <c r="R215" s="1">
        <v>0.15240000000000001</v>
      </c>
      <c r="S215" s="4">
        <v>4912585.44921875</v>
      </c>
      <c r="T215" s="1">
        <v>552.32824485842298</v>
      </c>
      <c r="U215" s="5">
        <v>580.40528195330899</v>
      </c>
      <c r="V215" s="1">
        <v>0.03</v>
      </c>
      <c r="W215" s="3">
        <v>111631.007758158</v>
      </c>
      <c r="X215" s="1">
        <v>2.25833669063405E-2</v>
      </c>
      <c r="Y215" s="1">
        <v>6.6543502294361199</v>
      </c>
      <c r="Z215" s="1">
        <v>6.6543502370940999</v>
      </c>
      <c r="AA215" s="1">
        <v>-7.6579791397079994E-9</v>
      </c>
      <c r="AB215" s="1">
        <v>3.0271353797416399E-6</v>
      </c>
      <c r="AC215" s="1">
        <v>717.29518062681598</v>
      </c>
      <c r="AD215" s="1">
        <v>2965.54283494523</v>
      </c>
      <c r="AE215" s="1">
        <v>580.40528195330899</v>
      </c>
      <c r="AF215" s="6">
        <v>0</v>
      </c>
      <c r="AG215" s="1">
        <v>3.15630907419011E-6</v>
      </c>
      <c r="AH215" s="1">
        <v>65.903411407168306</v>
      </c>
      <c r="AI215" s="1">
        <v>0.35587057006084599</v>
      </c>
      <c r="AJ215" s="1">
        <v>9.8269498790940606</v>
      </c>
      <c r="AK215" s="1">
        <v>4.9850507012520202</v>
      </c>
      <c r="AL215" s="1">
        <v>2.1883527698787102</v>
      </c>
      <c r="AM215" s="1">
        <v>634.44823413601</v>
      </c>
      <c r="AN215" s="1">
        <v>-2.1768380520370601E-7</v>
      </c>
      <c r="AO215" s="1">
        <v>1.2917369444847E-7</v>
      </c>
      <c r="AP215" s="1">
        <v>2.1244537411920899</v>
      </c>
      <c r="AQ215" s="1">
        <v>1.9965042424288701E-5</v>
      </c>
      <c r="AR215" s="1">
        <v>1.6427413843192901E-6</v>
      </c>
      <c r="AS215" s="1">
        <v>5.1145616188305301</v>
      </c>
      <c r="AT215" s="1">
        <v>5.1104584535611801</v>
      </c>
      <c r="AU215" s="1">
        <v>1.81866176314109</v>
      </c>
      <c r="AV215" s="1">
        <v>0.305791978050999</v>
      </c>
      <c r="AW215" s="1">
        <v>2.9853713601687201E-3</v>
      </c>
      <c r="AX215" s="1">
        <v>0.305791976252898</v>
      </c>
      <c r="AY215" s="1">
        <v>1.7981006128486899E-9</v>
      </c>
      <c r="AZ215" s="1">
        <v>692257.60600924003</v>
      </c>
      <c r="BA215" s="1">
        <v>9.3977298903603401E-6</v>
      </c>
      <c r="BB215" s="4">
        <v>4951566.3909877799</v>
      </c>
      <c r="BC215" s="4">
        <v>38980.941769030898</v>
      </c>
      <c r="BD215" s="7">
        <v>0.79349137377814005</v>
      </c>
      <c r="BE215" s="4">
        <v>4542609.5999999996</v>
      </c>
      <c r="BF215" s="1">
        <v>1.09002684073661</v>
      </c>
      <c r="BG215" s="1">
        <v>1</v>
      </c>
      <c r="BH215" s="1">
        <v>-0.186</v>
      </c>
      <c r="BI215" s="1">
        <v>4.5999999999999999E-2</v>
      </c>
      <c r="BJ215" s="1">
        <v>5625</v>
      </c>
      <c r="BK215" s="1">
        <v>1.0335570508341301</v>
      </c>
      <c r="BL215" s="1">
        <v>82.119989059903006</v>
      </c>
      <c r="BM215" s="1">
        <v>4.9515663909877796</v>
      </c>
      <c r="BN215" s="1">
        <v>82.119989059903006</v>
      </c>
      <c r="BO215" s="1">
        <v>1.0335570508341301</v>
      </c>
      <c r="BP215" s="1">
        <v>1774.09347840635</v>
      </c>
      <c r="BQ215" s="1">
        <v>1</v>
      </c>
      <c r="BR215" s="1">
        <v>0.15240000000000001</v>
      </c>
    </row>
    <row r="216" spans="1:70">
      <c r="A216" s="2" t="s">
        <v>284</v>
      </c>
      <c r="B216" s="1">
        <v>18960582.556212999</v>
      </c>
      <c r="C216" s="1">
        <v>634.44823391832597</v>
      </c>
      <c r="D216" s="1">
        <v>149.14958101226799</v>
      </c>
      <c r="E216" s="1">
        <v>520.38377569771103</v>
      </c>
      <c r="F216" s="1">
        <v>2467301.6327637699</v>
      </c>
      <c r="G216" s="1">
        <v>1775044.0267545299</v>
      </c>
      <c r="H216" s="1">
        <v>2.5972810943896E-5</v>
      </c>
      <c r="I216" s="1">
        <v>5.9480773118925399E-5</v>
      </c>
      <c r="J216" s="1">
        <v>0.43661798563056398</v>
      </c>
      <c r="K216" s="1">
        <v>16063.580349286</v>
      </c>
      <c r="L216" s="1">
        <v>1.6624879026359001E-3</v>
      </c>
      <c r="M216" s="1">
        <v>215</v>
      </c>
      <c r="N216" s="1">
        <v>3499.0734000000002</v>
      </c>
      <c r="O216" s="3">
        <v>2.8502295699234199E-6</v>
      </c>
      <c r="P216" s="3">
        <v>5.98473400508856E-3</v>
      </c>
      <c r="Q216" s="3">
        <v>1.905E-3</v>
      </c>
      <c r="R216" s="1">
        <v>0.15240000000000001</v>
      </c>
      <c r="S216" s="4">
        <v>4948901.3671875</v>
      </c>
      <c r="T216" s="1">
        <v>550.74250143598601</v>
      </c>
      <c r="U216" s="5">
        <v>578.91746570197495</v>
      </c>
      <c r="V216" s="1">
        <v>0.03</v>
      </c>
      <c r="W216" s="3">
        <v>112065.36965605</v>
      </c>
      <c r="X216" s="1">
        <v>2.2551835812529699E-2</v>
      </c>
      <c r="Y216" s="1">
        <v>6.65900053050576</v>
      </c>
      <c r="Z216" s="1">
        <v>6.6590005392263896</v>
      </c>
      <c r="AA216" s="1">
        <v>-8.7206322163524402E-9</v>
      </c>
      <c r="AB216" s="1">
        <v>3.0079143673425098E-6</v>
      </c>
      <c r="AC216" s="1">
        <v>718.03069640098295</v>
      </c>
      <c r="AD216" s="1">
        <v>2975.0028723136102</v>
      </c>
      <c r="AE216" s="1">
        <v>578.91746570197495</v>
      </c>
      <c r="AF216" s="6">
        <v>0</v>
      </c>
      <c r="AG216" s="1">
        <v>3.1368741028243899E-6</v>
      </c>
      <c r="AH216" s="1">
        <v>66.324543837517894</v>
      </c>
      <c r="AI216" s="1">
        <v>0.35700579186624798</v>
      </c>
      <c r="AJ216" s="1">
        <v>9.7975952398831794</v>
      </c>
      <c r="AK216" s="1">
        <v>5.0355742754407</v>
      </c>
      <c r="AL216" s="1">
        <v>2.1883527698787102</v>
      </c>
      <c r="AM216" s="1">
        <v>634.44823423742605</v>
      </c>
      <c r="AN216" s="1">
        <v>-3.19099626722164E-7</v>
      </c>
      <c r="AO216" s="1">
        <v>1.2895973548188499E-7</v>
      </c>
      <c r="AP216" s="1">
        <v>2.1259871388374001</v>
      </c>
      <c r="AQ216" s="1">
        <v>1.9936252684246001E-5</v>
      </c>
      <c r="AR216" s="1">
        <v>1.6329169191531401E-6</v>
      </c>
      <c r="AS216" s="1">
        <v>5.1001916270132002</v>
      </c>
      <c r="AT216" s="1">
        <v>5.0963905647427703</v>
      </c>
      <c r="AU216" s="1">
        <v>1.81944094922567</v>
      </c>
      <c r="AV216" s="1">
        <v>0.30654618961173502</v>
      </c>
      <c r="AW216" s="1">
        <v>2.9664155313961298E-3</v>
      </c>
      <c r="AX216" s="1">
        <v>0.30654618782444198</v>
      </c>
      <c r="AY216" s="1">
        <v>1.78729303579317E-9</v>
      </c>
      <c r="AZ216" s="1">
        <v>692257.60600924003</v>
      </c>
      <c r="BA216" s="1">
        <v>9.3774098253238594E-6</v>
      </c>
      <c r="BB216" s="4">
        <v>4954076.6420345902</v>
      </c>
      <c r="BC216" s="4">
        <v>5175.2748470911802</v>
      </c>
      <c r="BD216" s="7">
        <v>0.104574216843451</v>
      </c>
      <c r="BE216" s="4">
        <v>4542609.5999999996</v>
      </c>
      <c r="BF216" s="1">
        <v>1.0905794418332999</v>
      </c>
      <c r="BG216" s="1">
        <v>1</v>
      </c>
      <c r="BH216" s="1">
        <v>-0.19900000000000001</v>
      </c>
      <c r="BI216" s="1">
        <v>4.5999999999999999E-2</v>
      </c>
      <c r="BJ216" s="1">
        <v>5625</v>
      </c>
      <c r="BK216" s="1">
        <v>1.03275487729941</v>
      </c>
      <c r="BL216" s="1">
        <v>83.705732482339997</v>
      </c>
      <c r="BM216" s="1">
        <v>4.9540766420345896</v>
      </c>
      <c r="BN216" s="1">
        <v>83.705732482339997</v>
      </c>
      <c r="BO216" s="1">
        <v>1.03275487729941</v>
      </c>
      <c r="BP216" s="1">
        <v>1910.1910518178699</v>
      </c>
      <c r="BQ216" s="1">
        <v>1</v>
      </c>
      <c r="BR216" s="1">
        <v>0.15240000000000001</v>
      </c>
    </row>
    <row r="217" spans="1:70">
      <c r="A217" s="2" t="s">
        <v>285</v>
      </c>
      <c r="B217" s="1">
        <v>18960582.556212999</v>
      </c>
      <c r="C217" s="1">
        <v>634.44823391832597</v>
      </c>
      <c r="D217" s="1">
        <v>149.14958101226799</v>
      </c>
      <c r="E217" s="1">
        <v>520.38377569771103</v>
      </c>
      <c r="F217" s="1">
        <v>2467301.6327637699</v>
      </c>
      <c r="G217" s="1">
        <v>1775044.0267545299</v>
      </c>
      <c r="H217" s="1">
        <v>2.5972810943896E-5</v>
      </c>
      <c r="I217" s="1">
        <v>5.9480773118925399E-5</v>
      </c>
      <c r="J217" s="1">
        <v>0.43661798563056398</v>
      </c>
      <c r="K217" s="1">
        <v>16063.580349286</v>
      </c>
      <c r="L217" s="1">
        <v>1.6624879026359001E-3</v>
      </c>
      <c r="M217" s="1">
        <v>216</v>
      </c>
      <c r="N217" s="1">
        <v>1939.4088999999999</v>
      </c>
      <c r="O217" s="3">
        <v>2.8502295699234199E-6</v>
      </c>
      <c r="P217" s="3">
        <v>5.98473400508856E-3</v>
      </c>
      <c r="Q217" s="3">
        <v>1.905E-3</v>
      </c>
      <c r="R217" s="1">
        <v>0.69596000000000002</v>
      </c>
      <c r="S217" s="4">
        <v>4757805.95703125</v>
      </c>
      <c r="T217" s="1">
        <v>299.02073658241198</v>
      </c>
      <c r="U217" s="5">
        <v>522.19508849638601</v>
      </c>
      <c r="V217" s="1">
        <v>0.03</v>
      </c>
      <c r="W217" s="3">
        <v>62113.751398508197</v>
      </c>
      <c r="X217" s="1">
        <v>2.83092601952524E-2</v>
      </c>
      <c r="Y217" s="1">
        <v>5.9434106746186597</v>
      </c>
      <c r="Z217" s="1">
        <v>5.9434106924163803</v>
      </c>
      <c r="AA217" s="1">
        <v>-1.7797724183310499E-8</v>
      </c>
      <c r="AB217" s="1">
        <v>7.7998488366138193E-6</v>
      </c>
      <c r="AC217" s="1">
        <v>824.76653417045497</v>
      </c>
      <c r="AD217" s="1">
        <v>1847.46844965574</v>
      </c>
      <c r="AE217" s="1">
        <v>522.19508849638601</v>
      </c>
      <c r="AF217" s="6">
        <v>0</v>
      </c>
      <c r="AG217" s="1">
        <v>7.9907660087481395E-6</v>
      </c>
      <c r="AH217" s="1">
        <v>25.577232648385198</v>
      </c>
      <c r="AI217" s="1">
        <v>0.22169959664756</v>
      </c>
      <c r="AJ217" s="1">
        <v>15.4988851335892</v>
      </c>
      <c r="AK217" s="1">
        <v>9.7343649639911796</v>
      </c>
      <c r="AL217" s="1">
        <v>2.1883527698787102</v>
      </c>
      <c r="AM217" s="1">
        <v>634.44823391337502</v>
      </c>
      <c r="AN217" s="1">
        <v>4.9511754696140997E-9</v>
      </c>
      <c r="AO217" s="1">
        <v>1.9091717213432201E-7</v>
      </c>
      <c r="AP217" s="1">
        <v>1.8397545141304701</v>
      </c>
      <c r="AQ217" s="1">
        <v>2.6622267381288199E-5</v>
      </c>
      <c r="AR217" s="1">
        <v>4.0908415904412298E-6</v>
      </c>
      <c r="AS217" s="1">
        <v>7.9345939851755398</v>
      </c>
      <c r="AT217" s="1">
        <v>7.3061609253977204</v>
      </c>
      <c r="AU217" s="1">
        <v>1.6197729302028401</v>
      </c>
      <c r="AV217" s="1">
        <v>0.219981583927637</v>
      </c>
      <c r="AW217" s="1">
        <v>7.6922378451602397E-3</v>
      </c>
      <c r="AX217" s="1">
        <v>0.21998157970625301</v>
      </c>
      <c r="AY217" s="1">
        <v>4.2213841311422601E-9</v>
      </c>
      <c r="AZ217" s="1">
        <v>692257.60600924003</v>
      </c>
      <c r="BA217" s="1">
        <v>1.4470554183622E-5</v>
      </c>
      <c r="BB217" s="4">
        <v>4752819.4125141297</v>
      </c>
      <c r="BC217" s="4">
        <v>-4986.5445171184801</v>
      </c>
      <c r="BD217" s="7">
        <v>-0.104807647940101</v>
      </c>
      <c r="BE217" s="4">
        <v>2082029.4</v>
      </c>
      <c r="BF217" s="1">
        <v>2.2827820839197202</v>
      </c>
      <c r="BG217" s="1">
        <v>1</v>
      </c>
      <c r="BH217" s="1">
        <v>-0.113</v>
      </c>
      <c r="BI217" s="1">
        <v>4.5999999999999999E-2</v>
      </c>
      <c r="BJ217" s="1">
        <v>5625</v>
      </c>
      <c r="BK217" s="1">
        <v>1.00000000839947</v>
      </c>
      <c r="BL217" s="1">
        <v>335.42749733591398</v>
      </c>
      <c r="BM217" s="1">
        <v>4.7528194125141301</v>
      </c>
      <c r="BN217" s="1">
        <v>335.42749733591398</v>
      </c>
      <c r="BO217" s="1">
        <v>1.00000000839947</v>
      </c>
      <c r="BP217" s="1">
        <v>87277.406182161503</v>
      </c>
      <c r="BQ217" s="1">
        <v>1</v>
      </c>
      <c r="BR217" s="1">
        <v>0.69596000000000002</v>
      </c>
    </row>
    <row r="218" spans="1:70">
      <c r="A218" s="2" t="s">
        <v>286</v>
      </c>
      <c r="B218" s="1">
        <v>18960582.556212999</v>
      </c>
      <c r="C218" s="1">
        <v>634.44823391832597</v>
      </c>
      <c r="D218" s="1">
        <v>149.14958101226799</v>
      </c>
      <c r="E218" s="1">
        <v>520.38377569771103</v>
      </c>
      <c r="F218" s="1">
        <v>2467301.6327637699</v>
      </c>
      <c r="G218" s="1">
        <v>1775044.0267545299</v>
      </c>
      <c r="H218" s="1">
        <v>2.5972810943896E-5</v>
      </c>
      <c r="I218" s="1">
        <v>5.9480773118925399E-5</v>
      </c>
      <c r="J218" s="1">
        <v>0.43661798563056398</v>
      </c>
      <c r="K218" s="1">
        <v>16063.580349286</v>
      </c>
      <c r="L218" s="1">
        <v>1.6624879026359001E-3</v>
      </c>
      <c r="M218" s="1">
        <v>217</v>
      </c>
      <c r="N218" s="1">
        <v>1980.0958000000001</v>
      </c>
      <c r="O218" s="3">
        <v>2.8502295699234199E-6</v>
      </c>
      <c r="P218" s="3">
        <v>5.98473400508856E-3</v>
      </c>
      <c r="Q218" s="3">
        <v>1.905E-3</v>
      </c>
      <c r="R218" s="1">
        <v>0.69596000000000002</v>
      </c>
      <c r="S218" s="4">
        <v>4869246.34765625</v>
      </c>
      <c r="T218" s="1">
        <v>296.26172292177802</v>
      </c>
      <c r="U218" s="5">
        <v>519.97022270798595</v>
      </c>
      <c r="V218" s="1">
        <v>0.03</v>
      </c>
      <c r="W218" s="3">
        <v>63416.837092183203</v>
      </c>
      <c r="X218" s="1">
        <v>2.8068795115359198E-2</v>
      </c>
      <c r="Y218" s="1">
        <v>5.9688149502597696</v>
      </c>
      <c r="Z218" s="1">
        <v>5.96881496562143</v>
      </c>
      <c r="AA218" s="1">
        <v>-1.5361651506395901E-8</v>
      </c>
      <c r="AB218" s="1">
        <v>7.5467037009651301E-6</v>
      </c>
      <c r="AC218" s="1">
        <v>825.31096821103699</v>
      </c>
      <c r="AD218" s="1">
        <v>1878.19843314684</v>
      </c>
      <c r="AE218" s="1">
        <v>519.97022270798595</v>
      </c>
      <c r="AF218" s="6">
        <v>0</v>
      </c>
      <c r="AG218" s="1">
        <v>7.7373690447171698E-6</v>
      </c>
      <c r="AH218" s="1">
        <v>26.435190279273101</v>
      </c>
      <c r="AI218" s="1">
        <v>0.22538725093265999</v>
      </c>
      <c r="AJ218" s="1">
        <v>15.2570230094138</v>
      </c>
      <c r="AK218" s="1">
        <v>9.8101323771631694</v>
      </c>
      <c r="AL218" s="1">
        <v>2.1883527698787102</v>
      </c>
      <c r="AM218" s="1">
        <v>634.44823380953005</v>
      </c>
      <c r="AN218" s="1">
        <v>1.08795688902319E-7</v>
      </c>
      <c r="AO218" s="1">
        <v>1.90665343752041E-7</v>
      </c>
      <c r="AP218" s="1">
        <v>1.8519802753051</v>
      </c>
      <c r="AQ218" s="1">
        <v>2.6271936251885101E-5</v>
      </c>
      <c r="AR218" s="1">
        <v>3.9640171942346103E-6</v>
      </c>
      <c r="AS218" s="1">
        <v>7.8164943655417902</v>
      </c>
      <c r="AT218" s="1">
        <v>7.2311808159670097</v>
      </c>
      <c r="AU218" s="1">
        <v>1.6298159651077999</v>
      </c>
      <c r="AV218" s="1">
        <v>0.22216431019730601</v>
      </c>
      <c r="AW218" s="1">
        <v>7.4425852386104403E-3</v>
      </c>
      <c r="AX218" s="1">
        <v>0.222164303908058</v>
      </c>
      <c r="AY218" s="1">
        <v>6.28924856638235E-9</v>
      </c>
      <c r="AZ218" s="1">
        <v>692257.60600924003</v>
      </c>
      <c r="BA218" s="1">
        <v>1.41858618054433E-5</v>
      </c>
      <c r="BB218" s="4">
        <v>4841807.5132353101</v>
      </c>
      <c r="BC218" s="4">
        <v>-27438.834420937099</v>
      </c>
      <c r="BD218" s="7">
        <v>-0.56351296405745499</v>
      </c>
      <c r="BE218" s="4">
        <v>2082029.4</v>
      </c>
      <c r="BF218" s="1">
        <v>2.3255231233695901</v>
      </c>
      <c r="BG218" s="1">
        <v>1</v>
      </c>
      <c r="BH218" s="1">
        <v>-0.17599999999999999</v>
      </c>
      <c r="BI218" s="1">
        <v>4.5999999999999999E-2</v>
      </c>
      <c r="BJ218" s="1">
        <v>5625</v>
      </c>
      <c r="BK218" s="1">
        <v>1.0000000062777199</v>
      </c>
      <c r="BL218" s="1">
        <v>338.18651099654801</v>
      </c>
      <c r="BM218" s="1">
        <v>4.8418075132353096</v>
      </c>
      <c r="BN218" s="1">
        <v>338.18651099654801</v>
      </c>
      <c r="BO218" s="1">
        <v>1.0000000062777199</v>
      </c>
      <c r="BP218" s="1">
        <v>88915.195340294405</v>
      </c>
      <c r="BQ218" s="1">
        <v>1</v>
      </c>
      <c r="BR218" s="1">
        <v>0.69596000000000002</v>
      </c>
    </row>
    <row r="219" spans="1:70">
      <c r="A219" s="2" t="s">
        <v>287</v>
      </c>
      <c r="B219" s="1">
        <v>18960582.556212999</v>
      </c>
      <c r="C219" s="1">
        <v>634.44823391832597</v>
      </c>
      <c r="D219" s="1">
        <v>149.14958101226799</v>
      </c>
      <c r="E219" s="1">
        <v>520.38377569771103</v>
      </c>
      <c r="F219" s="1">
        <v>2467301.6327637699</v>
      </c>
      <c r="G219" s="1">
        <v>1775044.0267545299</v>
      </c>
      <c r="H219" s="1">
        <v>2.5972810943896E-5</v>
      </c>
      <c r="I219" s="1">
        <v>5.9480773118925399E-5</v>
      </c>
      <c r="J219" s="1">
        <v>0.43661798563056398</v>
      </c>
      <c r="K219" s="1">
        <v>16063.580349286</v>
      </c>
      <c r="L219" s="1">
        <v>1.6624879026359001E-3</v>
      </c>
      <c r="M219" s="1">
        <v>218</v>
      </c>
      <c r="N219" s="1">
        <v>2183.5302999999999</v>
      </c>
      <c r="O219" s="3">
        <v>2.8502295699234199E-6</v>
      </c>
      <c r="P219" s="3">
        <v>5.98473400508856E-3</v>
      </c>
      <c r="Q219" s="3">
        <v>1.905E-3</v>
      </c>
      <c r="R219" s="1">
        <v>0.69596000000000002</v>
      </c>
      <c r="S219" s="4">
        <v>5206018.06640625</v>
      </c>
      <c r="T219" s="1">
        <v>297.89465084985301</v>
      </c>
      <c r="U219" s="5">
        <v>514.79157281219204</v>
      </c>
      <c r="V219" s="1">
        <v>0.03</v>
      </c>
      <c r="W219" s="3">
        <v>69932.265560558197</v>
      </c>
      <c r="X219" s="1">
        <v>2.6977699453061801E-2</v>
      </c>
      <c r="Y219" s="1">
        <v>6.0883210266442198</v>
      </c>
      <c r="Z219" s="1">
        <v>6.0883210344052801</v>
      </c>
      <c r="AA219" s="1">
        <v>-7.7610655679904994E-9</v>
      </c>
      <c r="AB219" s="1">
        <v>6.4569900462768704E-6</v>
      </c>
      <c r="AC219" s="1">
        <v>818.92667097828996</v>
      </c>
      <c r="AD219" s="1">
        <v>2030.5096834251899</v>
      </c>
      <c r="AE219" s="1">
        <v>514.79157500145902</v>
      </c>
      <c r="AF219" s="6">
        <v>2.1892666381973001E-6</v>
      </c>
      <c r="AG219" s="1">
        <v>6.64490275395862E-6</v>
      </c>
      <c r="AH219" s="1">
        <v>30.896524059432299</v>
      </c>
      <c r="AI219" s="1">
        <v>0.24366487984582999</v>
      </c>
      <c r="AJ219" s="1">
        <v>14.165395682238</v>
      </c>
      <c r="AK219" s="1">
        <v>9.7092053180152593</v>
      </c>
      <c r="AL219" s="1">
        <v>2.1883527698787102</v>
      </c>
      <c r="AM219" s="1">
        <v>634.44823397229902</v>
      </c>
      <c r="AN219" s="1">
        <v>-5.39735083293635E-8</v>
      </c>
      <c r="AO219" s="1">
        <v>1.8791270768175601E-7</v>
      </c>
      <c r="AP219" s="1">
        <v>1.9088775339966599</v>
      </c>
      <c r="AQ219" s="1">
        <v>2.4729120000877399E-5</v>
      </c>
      <c r="AR219" s="1">
        <v>3.4164077308201899E-6</v>
      </c>
      <c r="AS219" s="1">
        <v>7.2829910550751498</v>
      </c>
      <c r="AT219" s="1">
        <v>6.8777081852133897</v>
      </c>
      <c r="AU219" s="1">
        <v>1.6758559385647001</v>
      </c>
      <c r="AV219" s="1">
        <v>0.233021595431957</v>
      </c>
      <c r="AW219" s="1">
        <v>6.3679058710266996E-3</v>
      </c>
      <c r="AX219" s="1">
        <v>0.23302159011141099</v>
      </c>
      <c r="AY219" s="1">
        <v>5.3205458649951997E-9</v>
      </c>
      <c r="AZ219" s="1">
        <v>692257.60600924003</v>
      </c>
      <c r="BA219" s="1">
        <v>1.2954796502372501E-5</v>
      </c>
      <c r="BB219" s="4">
        <v>5225369.8981934097</v>
      </c>
      <c r="BC219" s="4">
        <v>19351.8317871615</v>
      </c>
      <c r="BD219" s="7">
        <v>0.371720411652744</v>
      </c>
      <c r="BE219" s="4">
        <v>2397488.4</v>
      </c>
      <c r="BF219" s="1">
        <v>2.1795183235061399</v>
      </c>
      <c r="BG219" s="1">
        <v>1</v>
      </c>
      <c r="BH219" s="1">
        <v>-6.9000000000000006E-2</v>
      </c>
      <c r="BI219" s="1">
        <v>4.5999999999999999E-2</v>
      </c>
      <c r="BJ219" s="1">
        <v>5625</v>
      </c>
      <c r="BK219" s="1">
        <v>1.00000000746077</v>
      </c>
      <c r="BL219" s="1">
        <v>336.55358306847302</v>
      </c>
      <c r="BM219" s="1">
        <v>5.22536989819341</v>
      </c>
      <c r="BN219" s="1">
        <v>336.55358306847302</v>
      </c>
      <c r="BO219" s="1">
        <v>1.00000000746077</v>
      </c>
      <c r="BP219" s="1">
        <v>87944.027630749697</v>
      </c>
      <c r="BQ219" s="1">
        <v>1</v>
      </c>
      <c r="BR219" s="1">
        <v>0.69596000000000002</v>
      </c>
    </row>
    <row r="220" spans="1:70">
      <c r="A220" s="2" t="s">
        <v>288</v>
      </c>
      <c r="B220" s="1">
        <v>18960582.556212999</v>
      </c>
      <c r="C220" s="1">
        <v>634.44823391832597</v>
      </c>
      <c r="D220" s="1">
        <v>149.14958101226799</v>
      </c>
      <c r="E220" s="1">
        <v>520.38377569771103</v>
      </c>
      <c r="F220" s="1">
        <v>2467301.6327637699</v>
      </c>
      <c r="G220" s="1">
        <v>1775044.0267545299</v>
      </c>
      <c r="H220" s="1">
        <v>2.5972810943896E-5</v>
      </c>
      <c r="I220" s="1">
        <v>5.9480773118925399E-5</v>
      </c>
      <c r="J220" s="1">
        <v>0.43661798563056398</v>
      </c>
      <c r="K220" s="1">
        <v>16063.580349286</v>
      </c>
      <c r="L220" s="1">
        <v>1.6624879026359001E-3</v>
      </c>
      <c r="M220" s="1">
        <v>219</v>
      </c>
      <c r="N220" s="1">
        <v>2237.7795000000001</v>
      </c>
      <c r="O220" s="3">
        <v>2.8502295699234199E-6</v>
      </c>
      <c r="P220" s="3">
        <v>5.98473400508856E-3</v>
      </c>
      <c r="Q220" s="3">
        <v>1.905E-3</v>
      </c>
      <c r="R220" s="1">
        <v>0.69596000000000002</v>
      </c>
      <c r="S220" s="4">
        <v>5308802.63671875</v>
      </c>
      <c r="T220" s="1">
        <v>297.33158579482898</v>
      </c>
      <c r="U220" s="5">
        <v>513.14887331007901</v>
      </c>
      <c r="V220" s="1">
        <v>0.03</v>
      </c>
      <c r="W220" s="3">
        <v>71669.713152124794</v>
      </c>
      <c r="X220" s="1">
        <v>2.6714291734591802E-2</v>
      </c>
      <c r="Y220" s="1">
        <v>6.1182633683354597</v>
      </c>
      <c r="Z220" s="1">
        <v>6.11826337149511</v>
      </c>
      <c r="AA220" s="1">
        <v>-3.1596503191622101E-9</v>
      </c>
      <c r="AB220" s="1">
        <v>6.2083362143430397E-6</v>
      </c>
      <c r="AC220" s="1">
        <v>817.88575038792499</v>
      </c>
      <c r="AD220" s="1">
        <v>2070.7730741799401</v>
      </c>
      <c r="AE220" s="1">
        <v>513.14887331007901</v>
      </c>
      <c r="AF220" s="6">
        <v>0</v>
      </c>
      <c r="AG220" s="1">
        <v>6.3966371299477301E-6</v>
      </c>
      <c r="AH220" s="1">
        <v>32.133979447731797</v>
      </c>
      <c r="AI220" s="1">
        <v>0.248496560458105</v>
      </c>
      <c r="AJ220" s="1">
        <v>13.9065448125936</v>
      </c>
      <c r="AK220" s="1">
        <v>9.7128660529817008</v>
      </c>
      <c r="AL220" s="1">
        <v>2.1883527698787102</v>
      </c>
      <c r="AM220" s="1">
        <v>634.44823382026902</v>
      </c>
      <c r="AN220" s="1">
        <v>9.8057398645323701E-8</v>
      </c>
      <c r="AO220" s="1">
        <v>1.8830091560469401E-7</v>
      </c>
      <c r="AP220" s="1">
        <v>1.9234169597370501</v>
      </c>
      <c r="AQ220" s="1">
        <v>2.4356670060905201E-5</v>
      </c>
      <c r="AR220" s="1">
        <v>3.2924690227762099E-6</v>
      </c>
      <c r="AS220" s="1">
        <v>7.1579592650252204</v>
      </c>
      <c r="AT220" s="1">
        <v>6.7911246074786797</v>
      </c>
      <c r="AU220" s="1">
        <v>1.6875711066008501</v>
      </c>
      <c r="AV220" s="1">
        <v>0.23584585313620199</v>
      </c>
      <c r="AW220" s="1">
        <v>6.1226826037029799E-3</v>
      </c>
      <c r="AX220" s="1">
        <v>0.235845846039551</v>
      </c>
      <c r="AY220" s="1">
        <v>7.0966511833692197E-9</v>
      </c>
      <c r="AZ220" s="1">
        <v>692257.60600924003</v>
      </c>
      <c r="BA220" s="1">
        <v>1.2663229331322399E-5</v>
      </c>
      <c r="BB220" s="4">
        <v>5356726.1385847097</v>
      </c>
      <c r="BC220" s="4">
        <v>47923.501865956903</v>
      </c>
      <c r="BD220" s="7">
        <v>0.90271771518666499</v>
      </c>
      <c r="BE220" s="4">
        <v>2397488.4</v>
      </c>
      <c r="BF220" s="1">
        <v>2.2343074271327898</v>
      </c>
      <c r="BG220" s="1">
        <v>1</v>
      </c>
      <c r="BH220" s="1">
        <v>-0.128</v>
      </c>
      <c r="BI220" s="1">
        <v>4.5999999999999999E-2</v>
      </c>
      <c r="BJ220" s="1">
        <v>5625</v>
      </c>
      <c r="BK220" s="1">
        <v>1.0000000070303099</v>
      </c>
      <c r="BL220" s="1">
        <v>337.11664812349699</v>
      </c>
      <c r="BM220" s="1">
        <v>5.35672613858471</v>
      </c>
      <c r="BN220" s="1">
        <v>337.11664812349699</v>
      </c>
      <c r="BO220" s="1">
        <v>1.0000000070303099</v>
      </c>
      <c r="BP220" s="1">
        <v>88278.302592141903</v>
      </c>
      <c r="BQ220" s="1">
        <v>1</v>
      </c>
      <c r="BR220" s="1">
        <v>0.69596000000000002</v>
      </c>
    </row>
    <row r="221" spans="1:70">
      <c r="A221" s="2" t="s">
        <v>289</v>
      </c>
      <c r="B221" s="1">
        <v>18960582.556212999</v>
      </c>
      <c r="C221" s="1">
        <v>634.44823391832597</v>
      </c>
      <c r="D221" s="1">
        <v>149.14958101226799</v>
      </c>
      <c r="E221" s="1">
        <v>520.38377569771103</v>
      </c>
      <c r="F221" s="1">
        <v>2467301.6327637699</v>
      </c>
      <c r="G221" s="1">
        <v>1775044.0267545299</v>
      </c>
      <c r="H221" s="1">
        <v>2.5972810943896E-5</v>
      </c>
      <c r="I221" s="1">
        <v>5.9480773118925399E-5</v>
      </c>
      <c r="J221" s="1">
        <v>0.43661798563056398</v>
      </c>
      <c r="K221" s="1">
        <v>16063.580349286</v>
      </c>
      <c r="L221" s="1">
        <v>1.6624879026359001E-3</v>
      </c>
      <c r="M221" s="1">
        <v>220</v>
      </c>
      <c r="N221" s="1">
        <v>2793.8337999999999</v>
      </c>
      <c r="O221" s="3">
        <v>2.8502295699234199E-6</v>
      </c>
      <c r="P221" s="3">
        <v>5.98473400508856E-3</v>
      </c>
      <c r="Q221" s="3">
        <v>1.905E-3</v>
      </c>
      <c r="R221" s="1">
        <v>0.69596000000000002</v>
      </c>
      <c r="S221" s="4">
        <v>6217053.22265625</v>
      </c>
      <c r="T221" s="1">
        <v>298.45770121924102</v>
      </c>
      <c r="U221" s="5">
        <v>500.89519821428598</v>
      </c>
      <c r="V221" s="1">
        <v>0.03</v>
      </c>
      <c r="W221" s="3">
        <v>89478.550965683098</v>
      </c>
      <c r="X221" s="1">
        <v>2.45060735861381E-2</v>
      </c>
      <c r="Y221" s="1">
        <v>6.3879739049883204</v>
      </c>
      <c r="Z221" s="1">
        <v>6.3879739206029802</v>
      </c>
      <c r="AA221" s="1">
        <v>-1.5614659787388499E-8</v>
      </c>
      <c r="AB221" s="1">
        <v>4.3418879052211302E-6</v>
      </c>
      <c r="AC221" s="1">
        <v>804.34668302558498</v>
      </c>
      <c r="AD221" s="1">
        <v>2476.1720656518701</v>
      </c>
      <c r="AE221" s="1">
        <v>500.89519821428598</v>
      </c>
      <c r="AF221" s="6">
        <v>0</v>
      </c>
      <c r="AG221" s="1">
        <v>4.5237365262028603E-6</v>
      </c>
      <c r="AH221" s="1">
        <v>45.947420263063499</v>
      </c>
      <c r="AI221" s="1">
        <v>0.29714518171461501</v>
      </c>
      <c r="AJ221" s="1">
        <v>11.760157499792699</v>
      </c>
      <c r="AK221" s="1">
        <v>9.5334112903946906</v>
      </c>
      <c r="AL221" s="1">
        <v>2.1883527698787102</v>
      </c>
      <c r="AM221" s="1">
        <v>634.44823377511102</v>
      </c>
      <c r="AN221" s="1">
        <v>1.43214833769889E-7</v>
      </c>
      <c r="AO221" s="1">
        <v>1.8184862098172799E-7</v>
      </c>
      <c r="AP221" s="1">
        <v>2.04905578663758</v>
      </c>
      <c r="AQ221" s="1">
        <v>2.1461359547889901E-5</v>
      </c>
      <c r="AR221" s="1">
        <v>2.3527925735922901E-6</v>
      </c>
      <c r="AS221" s="1">
        <v>6.1164506530209</v>
      </c>
      <c r="AT221" s="1">
        <v>6.0049098481322298</v>
      </c>
      <c r="AU221" s="1">
        <v>1.78433002800313</v>
      </c>
      <c r="AV221" s="1">
        <v>0.26472575863444497</v>
      </c>
      <c r="AW221" s="1">
        <v>4.2819848388863302E-3</v>
      </c>
      <c r="AX221" s="1">
        <v>0.26472575808780702</v>
      </c>
      <c r="AY221" s="1">
        <v>5.4663817916633703E-10</v>
      </c>
      <c r="AZ221" s="1">
        <v>692257.60600924003</v>
      </c>
      <c r="BA221" s="1">
        <v>1.04737800150903E-5</v>
      </c>
      <c r="BB221" s="4">
        <v>6254578.5052590799</v>
      </c>
      <c r="BC221" s="4">
        <v>37525.282602828003</v>
      </c>
      <c r="BD221" s="7">
        <v>0.60358631748684399</v>
      </c>
      <c r="BE221" s="4">
        <v>2996860.5</v>
      </c>
      <c r="BF221" s="1">
        <v>2.0870435928729698</v>
      </c>
      <c r="BG221" s="1">
        <v>1</v>
      </c>
      <c r="BH221" s="1">
        <v>-0.11899999999999999</v>
      </c>
      <c r="BI221" s="1">
        <v>4.5999999999999999E-2</v>
      </c>
      <c r="BJ221" s="1">
        <v>5625</v>
      </c>
      <c r="BK221" s="1">
        <v>1.00000000791667</v>
      </c>
      <c r="BL221" s="1">
        <v>335.99053269908501</v>
      </c>
      <c r="BM221" s="1">
        <v>6.2545785052590803</v>
      </c>
      <c r="BN221" s="1">
        <v>335.99053269908501</v>
      </c>
      <c r="BO221" s="1">
        <v>1.00000000791667</v>
      </c>
      <c r="BP221" s="1">
        <v>87610.395447488103</v>
      </c>
      <c r="BQ221" s="1">
        <v>1</v>
      </c>
      <c r="BR221" s="1">
        <v>0.69596000000000002</v>
      </c>
    </row>
    <row r="222" spans="1:70">
      <c r="A222" s="2" t="s">
        <v>290</v>
      </c>
      <c r="B222" s="1">
        <v>18960582.556212999</v>
      </c>
      <c r="C222" s="1">
        <v>634.44823391832597</v>
      </c>
      <c r="D222" s="1">
        <v>149.14958101226799</v>
      </c>
      <c r="E222" s="1">
        <v>520.38377569771103</v>
      </c>
      <c r="F222" s="1">
        <v>2467301.6327637699</v>
      </c>
      <c r="G222" s="1">
        <v>1775044.0267545299</v>
      </c>
      <c r="H222" s="1">
        <v>2.5972810943896E-5</v>
      </c>
      <c r="I222" s="1">
        <v>5.9480773118925399E-5</v>
      </c>
      <c r="J222" s="1">
        <v>0.43661798563056398</v>
      </c>
      <c r="K222" s="1">
        <v>16063.580349286</v>
      </c>
      <c r="L222" s="1">
        <v>1.6624879026359001E-3</v>
      </c>
      <c r="M222" s="1">
        <v>221</v>
      </c>
      <c r="N222" s="1">
        <v>2861.6453000000001</v>
      </c>
      <c r="O222" s="3">
        <v>2.8502295699234199E-6</v>
      </c>
      <c r="P222" s="3">
        <v>5.98473400508856E-3</v>
      </c>
      <c r="Q222" s="3">
        <v>1.905E-3</v>
      </c>
      <c r="R222" s="1">
        <v>0.69596000000000002</v>
      </c>
      <c r="S222" s="4">
        <v>6336169.43359375</v>
      </c>
      <c r="T222" s="1">
        <v>297.89465084985301</v>
      </c>
      <c r="U222" s="5">
        <v>499.32176043104198</v>
      </c>
      <c r="V222" s="1">
        <v>0.03</v>
      </c>
      <c r="W222" s="3">
        <v>91650.360455141403</v>
      </c>
      <c r="X222" s="1">
        <v>2.4284988303401998E-2</v>
      </c>
      <c r="Y222" s="1">
        <v>6.4169853926356204</v>
      </c>
      <c r="Z222" s="1">
        <v>6.4169854006844904</v>
      </c>
      <c r="AA222" s="1">
        <v>-8.0488700149317099E-9</v>
      </c>
      <c r="AB222" s="1">
        <v>4.1762257979177299E-6</v>
      </c>
      <c r="AC222" s="1">
        <v>803.22430810619505</v>
      </c>
      <c r="AD222" s="1">
        <v>2524.8067203953901</v>
      </c>
      <c r="AE222" s="1">
        <v>499.32176246328498</v>
      </c>
      <c r="AF222" s="6">
        <v>2.0322430032138102E-6</v>
      </c>
      <c r="AG222" s="1">
        <v>4.3579954949598802E-6</v>
      </c>
      <c r="AH222" s="1">
        <v>47.770057935032703</v>
      </c>
      <c r="AI222" s="1">
        <v>0.30298142933320998</v>
      </c>
      <c r="AJ222" s="1">
        <v>11.551807152889801</v>
      </c>
      <c r="AK222" s="1">
        <v>9.5327603657751894</v>
      </c>
      <c r="AL222" s="1">
        <v>2.1883527698787102</v>
      </c>
      <c r="AM222" s="1">
        <v>634.44823371085499</v>
      </c>
      <c r="AN222" s="1">
        <v>2.07470748136984E-7</v>
      </c>
      <c r="AO222" s="1">
        <v>1.8176969704215001E-7</v>
      </c>
      <c r="AP222" s="1">
        <v>2.0626423369883198</v>
      </c>
      <c r="AQ222" s="1">
        <v>2.1179560319597302E-5</v>
      </c>
      <c r="AR222" s="1">
        <v>2.2698825960010101E-6</v>
      </c>
      <c r="AS222" s="1">
        <v>6.0168134728523901</v>
      </c>
      <c r="AT222" s="1">
        <v>5.9227889786658601</v>
      </c>
      <c r="AU222" s="1">
        <v>1.7944950703951701</v>
      </c>
      <c r="AV222" s="1">
        <v>0.26814726659315202</v>
      </c>
      <c r="AW222" s="1">
        <v>4.1186082968530501E-3</v>
      </c>
      <c r="AX222" s="1">
        <v>0.26814726585485299</v>
      </c>
      <c r="AY222" s="1">
        <v>7.3829964364335896E-10</v>
      </c>
      <c r="AZ222" s="1">
        <v>692257.60600924003</v>
      </c>
      <c r="BA222" s="1">
        <v>1.02681691051304E-5</v>
      </c>
      <c r="BB222" s="4">
        <v>6377051.9505705303</v>
      </c>
      <c r="BC222" s="4">
        <v>40882.516976779298</v>
      </c>
      <c r="BD222" s="7">
        <v>0.64522449099962897</v>
      </c>
      <c r="BE222" s="4">
        <v>2776039.2</v>
      </c>
      <c r="BF222" s="1">
        <v>2.29717647739648</v>
      </c>
      <c r="BG222" s="1">
        <v>1</v>
      </c>
      <c r="BH222" s="1">
        <v>-0.33800000000000002</v>
      </c>
      <c r="BI222" s="1">
        <v>4.5999999999999999E-2</v>
      </c>
      <c r="BJ222" s="1">
        <v>5625</v>
      </c>
      <c r="BK222" s="1">
        <v>1.00000000746077</v>
      </c>
      <c r="BL222" s="1">
        <v>336.55358306847302</v>
      </c>
      <c r="BM222" s="1">
        <v>6.3770519505705296</v>
      </c>
      <c r="BN222" s="1">
        <v>336.55358306847302</v>
      </c>
      <c r="BO222" s="1">
        <v>1.00000000746077</v>
      </c>
      <c r="BP222" s="1">
        <v>87944.027630749697</v>
      </c>
      <c r="BQ222" s="1">
        <v>1</v>
      </c>
      <c r="BR222" s="1">
        <v>0.69596000000000002</v>
      </c>
    </row>
    <row r="223" spans="1:70">
      <c r="A223" s="2" t="s">
        <v>291</v>
      </c>
      <c r="B223" s="1">
        <v>18960582.556212999</v>
      </c>
      <c r="C223" s="1">
        <v>634.44823391832597</v>
      </c>
      <c r="D223" s="1">
        <v>149.14958101226799</v>
      </c>
      <c r="E223" s="1">
        <v>520.38377569771103</v>
      </c>
      <c r="F223" s="1">
        <v>2467301.6327637699</v>
      </c>
      <c r="G223" s="1">
        <v>1775044.0267545299</v>
      </c>
      <c r="H223" s="1">
        <v>2.5972810943896E-5</v>
      </c>
      <c r="I223" s="1">
        <v>5.9480773118925399E-5</v>
      </c>
      <c r="J223" s="1">
        <v>0.43661798563056398</v>
      </c>
      <c r="K223" s="1">
        <v>16063.580349286</v>
      </c>
      <c r="L223" s="1">
        <v>1.6624879026359001E-3</v>
      </c>
      <c r="M223" s="1">
        <v>222</v>
      </c>
      <c r="N223" s="1">
        <v>3471.9488000000001</v>
      </c>
      <c r="O223" s="3">
        <v>2.8502295699234199E-6</v>
      </c>
      <c r="P223" s="3">
        <v>5.98473400508856E-3</v>
      </c>
      <c r="Q223" s="3">
        <v>1.905E-3</v>
      </c>
      <c r="R223" s="1">
        <v>0.69596000000000002</v>
      </c>
      <c r="S223" s="4">
        <v>7260546.38671875</v>
      </c>
      <c r="T223" s="1">
        <v>299.02073658241198</v>
      </c>
      <c r="U223" s="5">
        <v>489.261216608371</v>
      </c>
      <c r="V223" s="1">
        <v>0.03</v>
      </c>
      <c r="W223" s="3">
        <v>111196.645860266</v>
      </c>
      <c r="X223" s="1">
        <v>2.2615094215070301E-2</v>
      </c>
      <c r="Y223" s="1">
        <v>6.6496808099286699</v>
      </c>
      <c r="Z223" s="1">
        <v>6.6496808158942198</v>
      </c>
      <c r="AA223" s="1">
        <v>-5.9655480555420598E-9</v>
      </c>
      <c r="AB223" s="1">
        <v>3.0465509744099398E-6</v>
      </c>
      <c r="AC223" s="1">
        <v>790.92049267315599</v>
      </c>
      <c r="AD223" s="1">
        <v>2956.0780652656899</v>
      </c>
      <c r="AE223" s="1">
        <v>489.26121851757603</v>
      </c>
      <c r="AF223" s="6">
        <v>1.9092048546554001E-6</v>
      </c>
      <c r="AG223" s="1">
        <v>3.2244119592290202E-6</v>
      </c>
      <c r="AH223" s="1">
        <v>65.483410582009796</v>
      </c>
      <c r="AI223" s="1">
        <v>0.354734780369442</v>
      </c>
      <c r="AJ223" s="1">
        <v>10.006943271451201</v>
      </c>
      <c r="AK223" s="1">
        <v>9.3449473760680508</v>
      </c>
      <c r="AL223" s="1">
        <v>2.1883527698787102</v>
      </c>
      <c r="AM223" s="1">
        <v>634.44823399622805</v>
      </c>
      <c r="AN223" s="1">
        <v>-7.7901859185658395E-8</v>
      </c>
      <c r="AO223" s="1">
        <v>1.7786098481908099E-7</v>
      </c>
      <c r="AP223" s="1">
        <v>2.1678555348558701</v>
      </c>
      <c r="AQ223" s="1">
        <v>1.9173620190371401E-5</v>
      </c>
      <c r="AR223" s="1">
        <v>1.7011364720240501E-6</v>
      </c>
      <c r="AS223" s="1">
        <v>5.2794668881614299</v>
      </c>
      <c r="AT223" s="1">
        <v>5.2691256223464897</v>
      </c>
      <c r="AU223" s="1">
        <v>1.8691421203820799</v>
      </c>
      <c r="AV223" s="1">
        <v>0.29871341447379102</v>
      </c>
      <c r="AW223" s="1">
        <v>3.0045190866467798E-3</v>
      </c>
      <c r="AX223" s="1">
        <v>0.29871341336775997</v>
      </c>
      <c r="AY223" s="1">
        <v>1.10603098901763E-9</v>
      </c>
      <c r="AZ223" s="1">
        <v>692257.60600924003</v>
      </c>
      <c r="BA223" s="1">
        <v>8.8445101078408302E-6</v>
      </c>
      <c r="BB223" s="4">
        <v>7244332.8129011896</v>
      </c>
      <c r="BC223" s="4">
        <v>-16213.573817558599</v>
      </c>
      <c r="BD223" s="7">
        <v>-0.223310656718853</v>
      </c>
      <c r="BE223" s="4">
        <v>3533140.8</v>
      </c>
      <c r="BF223" s="1">
        <v>2.05039459873809</v>
      </c>
      <c r="BG223" s="1">
        <v>1</v>
      </c>
      <c r="BH223" s="1">
        <v>-0.23100000000000001</v>
      </c>
      <c r="BI223" s="1">
        <v>4.5999999999999999E-2</v>
      </c>
      <c r="BJ223" s="1">
        <v>5625</v>
      </c>
      <c r="BK223" s="1">
        <v>1.00000000839947</v>
      </c>
      <c r="BL223" s="1">
        <v>335.42749733591398</v>
      </c>
      <c r="BM223" s="1">
        <v>7.2443328129011899</v>
      </c>
      <c r="BN223" s="1">
        <v>335.42749733591398</v>
      </c>
      <c r="BO223" s="1">
        <v>1.00000000839947</v>
      </c>
      <c r="BP223" s="1">
        <v>87277.406182161503</v>
      </c>
      <c r="BQ223" s="1">
        <v>1</v>
      </c>
      <c r="BR223" s="1">
        <v>0.69596000000000002</v>
      </c>
    </row>
    <row r="224" spans="1:70">
      <c r="A224" s="2" t="s">
        <v>292</v>
      </c>
      <c r="B224" s="1">
        <v>18960582.556212999</v>
      </c>
      <c r="C224" s="1">
        <v>634.44823391832597</v>
      </c>
      <c r="D224" s="1">
        <v>149.14958101226799</v>
      </c>
      <c r="E224" s="1">
        <v>520.38377569771103</v>
      </c>
      <c r="F224" s="1">
        <v>2467301.6327637699</v>
      </c>
      <c r="G224" s="1">
        <v>1775044.0267545299</v>
      </c>
      <c r="H224" s="1">
        <v>2.5972810943896E-5</v>
      </c>
      <c r="I224" s="1">
        <v>5.9480773118925399E-5</v>
      </c>
      <c r="J224" s="1">
        <v>0.43661798563056398</v>
      </c>
      <c r="K224" s="1">
        <v>16063.580349286</v>
      </c>
      <c r="L224" s="1">
        <v>1.6624879026359001E-3</v>
      </c>
      <c r="M224" s="1">
        <v>223</v>
      </c>
      <c r="N224" s="1">
        <v>3648.2586999999999</v>
      </c>
      <c r="O224" s="3">
        <v>2.8502295699234199E-6</v>
      </c>
      <c r="P224" s="3">
        <v>5.98473400508856E-3</v>
      </c>
      <c r="Q224" s="3">
        <v>1.905E-3</v>
      </c>
      <c r="R224" s="1">
        <v>0.69596000000000002</v>
      </c>
      <c r="S224" s="4">
        <v>7583984.375</v>
      </c>
      <c r="T224" s="1">
        <v>296.26172292177802</v>
      </c>
      <c r="U224" s="5">
        <v>485.37357309828798</v>
      </c>
      <c r="V224" s="1">
        <v>0.03</v>
      </c>
      <c r="W224" s="3">
        <v>116843.35053285801</v>
      </c>
      <c r="X224" s="1">
        <v>2.2217391970833899E-2</v>
      </c>
      <c r="Y224" s="1">
        <v>6.7089331033772401</v>
      </c>
      <c r="Z224" s="1">
        <v>6.7089331074216201</v>
      </c>
      <c r="AA224" s="1">
        <v>-4.0443861593075797E-9</v>
      </c>
      <c r="AB224" s="1">
        <v>2.8085951652339198E-6</v>
      </c>
      <c r="AC224" s="1">
        <v>789.22604441563794</v>
      </c>
      <c r="AD224" s="1">
        <v>3078.7579867486702</v>
      </c>
      <c r="AE224" s="1">
        <v>485.37357499054798</v>
      </c>
      <c r="AF224" s="6">
        <v>1.8922602862403401E-6</v>
      </c>
      <c r="AG224" s="1">
        <v>2.9866243458517302E-6</v>
      </c>
      <c r="AH224" s="1">
        <v>71.031436209031696</v>
      </c>
      <c r="AI224" s="1">
        <v>0.36945659557261701</v>
      </c>
      <c r="AJ224" s="1">
        <v>9.6536415309280894</v>
      </c>
      <c r="AK224" s="1">
        <v>9.3829056901855008</v>
      </c>
      <c r="AL224" s="1">
        <v>2.1883527698787102</v>
      </c>
      <c r="AM224" s="1">
        <v>634.448233926184</v>
      </c>
      <c r="AN224" s="1">
        <v>-7.8578068496426601E-9</v>
      </c>
      <c r="AO224" s="1">
        <v>1.78029180617805E-7</v>
      </c>
      <c r="AP224" s="1">
        <v>2.1953056349041602</v>
      </c>
      <c r="AQ224" s="1">
        <v>1.86971241202553E-5</v>
      </c>
      <c r="AR224" s="1">
        <v>1.5823267632347701E-6</v>
      </c>
      <c r="AS224" s="1">
        <v>5.1145419002154302</v>
      </c>
      <c r="AT224" s="1">
        <v>5.1104391765883097</v>
      </c>
      <c r="AU224" s="1">
        <v>1.88808546006325</v>
      </c>
      <c r="AV224" s="1">
        <v>0.30722017484091402</v>
      </c>
      <c r="AW224" s="1">
        <v>2.7698462462928501E-3</v>
      </c>
      <c r="AX224" s="1">
        <v>0.30722016816675402</v>
      </c>
      <c r="AY224" s="1">
        <v>6.6741600579511798E-9</v>
      </c>
      <c r="AZ224" s="1">
        <v>692257.60600924003</v>
      </c>
      <c r="BA224" s="1">
        <v>8.5168660905257095E-6</v>
      </c>
      <c r="BB224" s="4">
        <v>7530136.6604045797</v>
      </c>
      <c r="BC224" s="4">
        <v>-53847.714595417499</v>
      </c>
      <c r="BD224" s="7">
        <v>-0.71001879662255396</v>
      </c>
      <c r="BE224" s="4">
        <v>3533140.8</v>
      </c>
      <c r="BF224" s="1">
        <v>2.13128688797361</v>
      </c>
      <c r="BG224" s="1">
        <v>1</v>
      </c>
      <c r="BH224" s="1">
        <v>-0.35099999999999998</v>
      </c>
      <c r="BI224" s="1">
        <v>4.5999999999999999E-2</v>
      </c>
      <c r="BJ224" s="1">
        <v>5625</v>
      </c>
      <c r="BK224" s="1">
        <v>1.0000000062777199</v>
      </c>
      <c r="BL224" s="1">
        <v>338.18651099654801</v>
      </c>
      <c r="BM224" s="1">
        <v>7.5301366604045796</v>
      </c>
      <c r="BN224" s="1">
        <v>338.18651099654801</v>
      </c>
      <c r="BO224" s="1">
        <v>1.0000000062777199</v>
      </c>
      <c r="BP224" s="1">
        <v>88915.195340294405</v>
      </c>
      <c r="BQ224" s="1">
        <v>1</v>
      </c>
      <c r="BR224" s="1">
        <v>0.69596000000000002</v>
      </c>
    </row>
    <row r="225" spans="1:70">
      <c r="A225" s="2" t="s">
        <v>293</v>
      </c>
      <c r="B225" s="1">
        <v>18960582.556212999</v>
      </c>
      <c r="C225" s="1">
        <v>634.44823391832597</v>
      </c>
      <c r="D225" s="1">
        <v>149.14958101226799</v>
      </c>
      <c r="E225" s="1">
        <v>520.38377569771103</v>
      </c>
      <c r="F225" s="1">
        <v>2467301.6327637699</v>
      </c>
      <c r="G225" s="1">
        <v>1775044.0267545299</v>
      </c>
      <c r="H225" s="1">
        <v>2.5972810943896E-5</v>
      </c>
      <c r="I225" s="1">
        <v>5.9480773118925399E-5</v>
      </c>
      <c r="J225" s="1">
        <v>0.43661798563056398</v>
      </c>
      <c r="K225" s="1">
        <v>16063.580349286</v>
      </c>
      <c r="L225" s="1">
        <v>1.6624879026359001E-3</v>
      </c>
      <c r="M225" s="1">
        <v>224</v>
      </c>
      <c r="N225" s="1">
        <v>3783.8816999999999</v>
      </c>
      <c r="O225" s="3">
        <v>2.8502295699234199E-6</v>
      </c>
      <c r="P225" s="3">
        <v>5.98473400508856E-3</v>
      </c>
      <c r="Q225" s="3">
        <v>1.905E-3</v>
      </c>
      <c r="R225" s="1">
        <v>0.69596000000000002</v>
      </c>
      <c r="S225" s="4">
        <v>7711816.40625</v>
      </c>
      <c r="T225" s="1">
        <v>299.58375662661598</v>
      </c>
      <c r="U225" s="5">
        <v>484.99073347646299</v>
      </c>
      <c r="V225" s="1">
        <v>0.03</v>
      </c>
      <c r="W225" s="3">
        <v>121186.96951177499</v>
      </c>
      <c r="X225" s="1">
        <v>2.19317029871001E-2</v>
      </c>
      <c r="Y225" s="1">
        <v>6.75248801637452</v>
      </c>
      <c r="Z225" s="1">
        <v>6.7524880375115002</v>
      </c>
      <c r="AA225" s="1">
        <v>-2.1136981942504499E-8</v>
      </c>
      <c r="AB225" s="1">
        <v>2.6448802811588901E-6</v>
      </c>
      <c r="AC225" s="1">
        <v>785.38104588285</v>
      </c>
      <c r="AD225" s="1">
        <v>3172.61310665873</v>
      </c>
      <c r="AE225" s="1">
        <v>484.99073533027303</v>
      </c>
      <c r="AF225" s="6">
        <v>1.85381043138477E-6</v>
      </c>
      <c r="AG225" s="1">
        <v>2.8221505540959399E-6</v>
      </c>
      <c r="AH225" s="1">
        <v>75.428196027419105</v>
      </c>
      <c r="AI225" s="1">
        <v>0.38071938180923598</v>
      </c>
      <c r="AJ225" s="1">
        <v>9.4000964166813308</v>
      </c>
      <c r="AK225" s="1">
        <v>9.2542364852633305</v>
      </c>
      <c r="AL225" s="1">
        <v>2.1883527698787102</v>
      </c>
      <c r="AM225" s="1">
        <v>634.44823376318902</v>
      </c>
      <c r="AN225" s="1">
        <v>1.55136604007566E-7</v>
      </c>
      <c r="AO225" s="1">
        <v>1.77270272937049E-7</v>
      </c>
      <c r="AP225" s="1">
        <v>2.2154987876894601</v>
      </c>
      <c r="AQ225" s="1">
        <v>1.8357847674168699E-5</v>
      </c>
      <c r="AR225" s="1">
        <v>1.49971041351649E-6</v>
      </c>
      <c r="AS225" s="1">
        <v>4.9952765502519796</v>
      </c>
      <c r="AT225" s="1">
        <v>4.9952765502519796</v>
      </c>
      <c r="AU225" s="1">
        <v>1.90179860017811</v>
      </c>
      <c r="AV225" s="1">
        <v>0.31370018751135698</v>
      </c>
      <c r="AW225" s="1">
        <v>2.6083900625285599E-3</v>
      </c>
      <c r="AX225" s="1">
        <v>0.31370017469267297</v>
      </c>
      <c r="AY225" s="1">
        <v>1.28186841696909E-8</v>
      </c>
      <c r="AZ225" s="1">
        <v>692257.60600924003</v>
      </c>
      <c r="BA225" s="1">
        <v>8.2861014306011008E-6</v>
      </c>
      <c r="BB225" s="4">
        <v>7706854.3627184303</v>
      </c>
      <c r="BC225" s="4">
        <v>-4962.0435315724499</v>
      </c>
      <c r="BD225" s="7">
        <v>-6.43433825466979E-2</v>
      </c>
      <c r="BE225" s="4">
        <v>3564686.7</v>
      </c>
      <c r="BF225" s="1">
        <v>2.1620004817585898</v>
      </c>
      <c r="BG225" s="1">
        <v>1</v>
      </c>
      <c r="BH225" s="1">
        <v>-0.38700000000000001</v>
      </c>
      <c r="BI225" s="1">
        <v>4.5999999999999999E-2</v>
      </c>
      <c r="BJ225" s="1">
        <v>5625</v>
      </c>
      <c r="BK225" s="1">
        <v>1.0000000089107</v>
      </c>
      <c r="BL225" s="1">
        <v>334.86447729170999</v>
      </c>
      <c r="BM225" s="1">
        <v>7.7068543627184303</v>
      </c>
      <c r="BN225" s="1">
        <v>334.86447729170999</v>
      </c>
      <c r="BO225" s="1">
        <v>1.0000000089107</v>
      </c>
      <c r="BP225" s="1">
        <v>86945.059968513306</v>
      </c>
      <c r="BQ225" s="1">
        <v>1</v>
      </c>
      <c r="BR225" s="1">
        <v>0.69596000000000002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C0C3-D1E4-42B5-A869-231A39291387}">
  <dimension ref="A1:CA139"/>
  <sheetViews>
    <sheetView workbookViewId="0">
      <pane ySplit="1" topLeftCell="A2" activePane="bottomLeft" state="frozen"/>
      <selection pane="bottomLeft"/>
    </sheetView>
  </sheetViews>
  <sheetFormatPr defaultRowHeight="18.75"/>
  <sheetData>
    <row r="1" spans="1:7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294</v>
      </c>
      <c r="BT1" s="9" t="s">
        <v>295</v>
      </c>
      <c r="BU1" s="9" t="s">
        <v>296</v>
      </c>
      <c r="BV1" s="9" t="s">
        <v>297</v>
      </c>
      <c r="BW1" s="9" t="s">
        <v>298</v>
      </c>
      <c r="BX1" s="9" t="s">
        <v>299</v>
      </c>
      <c r="BY1" s="9" t="s">
        <v>300</v>
      </c>
      <c r="BZ1" s="9" t="s">
        <v>301</v>
      </c>
      <c r="CA1" s="9" t="s">
        <v>302</v>
      </c>
    </row>
    <row r="2" spans="1:79">
      <c r="A2" t="s">
        <v>156</v>
      </c>
      <c r="B2">
        <v>10962664.096137701</v>
      </c>
      <c r="C2">
        <v>590.91885773675403</v>
      </c>
      <c r="D2">
        <v>62.329534958311001</v>
      </c>
      <c r="E2">
        <v>672.42409881111701</v>
      </c>
      <c r="F2">
        <v>2706878.8036725</v>
      </c>
      <c r="G2">
        <v>1448743.0254953799</v>
      </c>
      <c r="H2">
        <v>2.0627960844486401E-5</v>
      </c>
      <c r="I2">
        <v>7.9154719957673402E-5</v>
      </c>
      <c r="J2">
        <v>0.52383293111878604</v>
      </c>
      <c r="K2">
        <v>6433.0576498432902</v>
      </c>
      <c r="L2">
        <v>1.0258316120707199E-2</v>
      </c>
      <c r="M2">
        <v>87</v>
      </c>
      <c r="N2">
        <v>1017.17242424647</v>
      </c>
      <c r="O2">
        <v>6.8620353649299505E-5</v>
      </c>
      <c r="P2">
        <v>2.93650948516345E-2</v>
      </c>
      <c r="Q2">
        <v>9.3472E-3</v>
      </c>
      <c r="R2">
        <v>1.524</v>
      </c>
      <c r="S2">
        <v>725513.61298125004</v>
      </c>
      <c r="T2">
        <v>506.55651294115302</v>
      </c>
      <c r="U2">
        <v>578.86628082813002</v>
      </c>
      <c r="V2">
        <v>0.03</v>
      </c>
      <c r="W2">
        <v>120115.567195496</v>
      </c>
      <c r="X2">
        <v>4.1253861327832902E-2</v>
      </c>
      <c r="Y2">
        <v>4.9234292085143698</v>
      </c>
      <c r="Z2">
        <v>4.9234292704113702</v>
      </c>
      <c r="AA2">
        <v>-6.18969977494999E-8</v>
      </c>
      <c r="AB2">
        <v>1.5514465597390599E-4</v>
      </c>
      <c r="AC2">
        <v>626.31003637928802</v>
      </c>
      <c r="AD2">
        <v>4312.7730943669103</v>
      </c>
      <c r="AE2">
        <v>578.86628109123001</v>
      </c>
      <c r="AF2">
        <v>2.63100218944601E-7</v>
      </c>
      <c r="AG2">
        <v>1.5526360365178599E-4</v>
      </c>
      <c r="AH2">
        <v>7.9345171559883498</v>
      </c>
      <c r="AI2">
        <v>0.10862720794115199</v>
      </c>
      <c r="AJ2">
        <v>143.27642339178999</v>
      </c>
      <c r="AK2">
        <v>2.0096721484842002</v>
      </c>
      <c r="AL2">
        <v>0.972078780265621</v>
      </c>
      <c r="AM2">
        <v>590.91885767358303</v>
      </c>
      <c r="AN2">
        <v>6.3171455622068606E-8</v>
      </c>
      <c r="AO2">
        <v>1.1894767788049301E-7</v>
      </c>
      <c r="AP2">
        <v>2.0088175811370999</v>
      </c>
      <c r="AQ2">
        <v>2.8001386205052099E-4</v>
      </c>
      <c r="AR2">
        <v>7.7691275664833203E-5</v>
      </c>
      <c r="AS2">
        <v>71.693093836514805</v>
      </c>
      <c r="AT2">
        <v>16.180986056736799</v>
      </c>
      <c r="AU2">
        <v>1.7576953370780299</v>
      </c>
      <c r="AV2">
        <v>0.25112224405907702</v>
      </c>
      <c r="AW2">
        <v>7.8962181485626004E-2</v>
      </c>
      <c r="AX2">
        <v>0.25112223923710703</v>
      </c>
      <c r="AY2">
        <v>4.82196960138737E-9</v>
      </c>
      <c r="AZ2">
        <v>1258135.77817712</v>
      </c>
      <c r="BA2">
        <v>1.3939237921843401E-4</v>
      </c>
      <c r="BB2">
        <v>721917.749092852</v>
      </c>
      <c r="BC2">
        <v>-3595.8638883983899</v>
      </c>
      <c r="BD2">
        <v>-0.49563010590834</v>
      </c>
      <c r="BE2">
        <v>1462152.81033672</v>
      </c>
      <c r="BF2">
        <v>0.49373618406314201</v>
      </c>
      <c r="BG2">
        <v>1</v>
      </c>
      <c r="BH2">
        <v>0.39500000000000002</v>
      </c>
      <c r="BI2">
        <v>4.5999999999999999E-2</v>
      </c>
      <c r="BJ2">
        <v>5625</v>
      </c>
      <c r="BK2">
        <v>1</v>
      </c>
      <c r="BL2">
        <v>84.362344795601103</v>
      </c>
      <c r="BM2">
        <v>0.721917749092852</v>
      </c>
      <c r="BN2">
        <v>84.362344795601103</v>
      </c>
      <c r="BO2">
        <v>1</v>
      </c>
      <c r="BP2">
        <v>1968.0176357637999</v>
      </c>
      <c r="BQ2">
        <v>1</v>
      </c>
      <c r="BR2">
        <v>1.524</v>
      </c>
      <c r="BS2">
        <v>1</v>
      </c>
      <c r="BT2">
        <v>88</v>
      </c>
      <c r="BU2" t="s">
        <v>303</v>
      </c>
      <c r="BV2" t="str">
        <f>"Table "&amp;TRIM(RIGHT(SUBSTITUTE($A2,"_",REPT(" ",50)),50))</f>
        <v>Table 8</v>
      </c>
      <c r="BW2">
        <f>$BR2/$Q2</f>
        <v>163.04347826086956</v>
      </c>
      <c r="BX2" t="str">
        <f>IF($BW2&lt;40,"outside_low",IF($BW2&lt;=100,"short_anchor",IF($BW2&lt;250,"middle",IF($BW2&lt;=400,"long","outside_high"))))</f>
        <v>middle</v>
      </c>
      <c r="BY2" t="str">
        <f>IF($N2&gt;1000,"PASS","FAIL")</f>
        <v>PASS</v>
      </c>
      <c r="BZ2" t="str">
        <f>IF(AND($BW2&gt;=40,$BW2&lt;=400),"PASS","FAIL")</f>
        <v>PASS</v>
      </c>
    </row>
    <row r="3" spans="1:79">
      <c r="A3" t="s">
        <v>157</v>
      </c>
      <c r="B3">
        <v>10997137.8826035</v>
      </c>
      <c r="C3">
        <v>591.14538588286302</v>
      </c>
      <c r="D3">
        <v>62.591709712512603</v>
      </c>
      <c r="E3">
        <v>671.85012637514706</v>
      </c>
      <c r="F3">
        <v>2706154.0000695102</v>
      </c>
      <c r="G3">
        <v>1450155.2183028101</v>
      </c>
      <c r="H3">
        <v>2.0644130954317801E-5</v>
      </c>
      <c r="I3">
        <v>7.9067733661598901E-5</v>
      </c>
      <c r="J3">
        <v>0.52342986170916905</v>
      </c>
      <c r="K3">
        <v>6446.0268474749801</v>
      </c>
      <c r="L3">
        <v>1.0209472461236E-2</v>
      </c>
      <c r="M3">
        <v>88</v>
      </c>
      <c r="N3">
        <v>1017.17242424647</v>
      </c>
      <c r="O3">
        <v>6.8620353649299505E-5</v>
      </c>
      <c r="P3">
        <v>2.93650948516345E-2</v>
      </c>
      <c r="Q3">
        <v>9.3472E-3</v>
      </c>
      <c r="R3">
        <v>1.524</v>
      </c>
      <c r="S3">
        <v>1188180.2075597499</v>
      </c>
      <c r="T3">
        <v>451.88649460669899</v>
      </c>
      <c r="U3">
        <v>570.07059368549994</v>
      </c>
      <c r="V3">
        <v>0.03</v>
      </c>
      <c r="W3">
        <v>120247.712228715</v>
      </c>
      <c r="X3">
        <v>4.1194604914599801E-2</v>
      </c>
      <c r="Y3">
        <v>4.9269689914128501</v>
      </c>
      <c r="Z3">
        <v>4.9269690481970603</v>
      </c>
      <c r="AA3">
        <v>-5.6784205781923401E-8</v>
      </c>
      <c r="AB3">
        <v>1.5449607142591001E-4</v>
      </c>
      <c r="AC3">
        <v>652.95846178296495</v>
      </c>
      <c r="AD3">
        <v>4314.4158653772101</v>
      </c>
      <c r="AE3">
        <v>570.07059368549994</v>
      </c>
      <c r="AF3">
        <v>0</v>
      </c>
      <c r="AG3">
        <v>1.5469044254814101E-4</v>
      </c>
      <c r="AH3">
        <v>7.9298889870856897</v>
      </c>
      <c r="AI3">
        <v>0.108641899987035</v>
      </c>
      <c r="AJ3">
        <v>142.801887100291</v>
      </c>
      <c r="AK3">
        <v>3.50865612123788</v>
      </c>
      <c r="AL3">
        <v>0.97371734254408104</v>
      </c>
      <c r="AM3">
        <v>591.14538579878604</v>
      </c>
      <c r="AN3">
        <v>8.40765324028325E-8</v>
      </c>
      <c r="AO3">
        <v>1.94371122231218E-7</v>
      </c>
      <c r="AP3">
        <v>2.0076138653053799</v>
      </c>
      <c r="AQ3">
        <v>2.77965558303188E-4</v>
      </c>
      <c r="AR3">
        <v>7.7442406835186004E-5</v>
      </c>
      <c r="AS3">
        <v>71.4906600271147</v>
      </c>
      <c r="AT3">
        <v>16.1739170304396</v>
      </c>
      <c r="AU3">
        <v>1.75716507641963</v>
      </c>
      <c r="AV3">
        <v>0.250448788885753</v>
      </c>
      <c r="AW3">
        <v>7.8765917651280604E-2</v>
      </c>
      <c r="AX3">
        <v>0.25044878434705098</v>
      </c>
      <c r="AY3">
        <v>4.5387023583920397E-9</v>
      </c>
      <c r="AZ3">
        <v>1255998.7817667101</v>
      </c>
      <c r="BA3">
        <v>1.3845568767324E-4</v>
      </c>
      <c r="BB3">
        <v>1184629.55217652</v>
      </c>
      <c r="BC3">
        <v>-3550.6553832301902</v>
      </c>
      <c r="BD3">
        <v>-0.298831386067474</v>
      </c>
      <c r="BE3">
        <v>1810104.16951718</v>
      </c>
      <c r="BF3">
        <v>0.65445380002218501</v>
      </c>
      <c r="BG3">
        <v>1</v>
      </c>
      <c r="BH3">
        <v>0.378</v>
      </c>
      <c r="BI3">
        <v>4.5999999999999999E-2</v>
      </c>
      <c r="BJ3">
        <v>5625</v>
      </c>
      <c r="BK3">
        <v>1</v>
      </c>
      <c r="BL3">
        <v>139.25889127616401</v>
      </c>
      <c r="BM3">
        <v>1.18462955217652</v>
      </c>
      <c r="BN3">
        <v>139.25889127616401</v>
      </c>
      <c r="BO3">
        <v>1</v>
      </c>
      <c r="BP3">
        <v>9852.3274973732605</v>
      </c>
      <c r="BQ3">
        <v>1</v>
      </c>
      <c r="BR3">
        <v>1.524</v>
      </c>
      <c r="BS3">
        <v>2</v>
      </c>
      <c r="BT3">
        <v>89</v>
      </c>
      <c r="BU3" t="s">
        <v>303</v>
      </c>
      <c r="BV3" t="str">
        <f>"Table "&amp;TRIM(RIGHT(SUBSTITUTE($A3,"_",REPT(" ",50)),50))</f>
        <v>Table 8</v>
      </c>
      <c r="BW3">
        <f>$BR3/$Q3</f>
        <v>163.04347826086956</v>
      </c>
      <c r="BX3" t="str">
        <f>IF($BW3&lt;40,"outside_low",IF($BW3&lt;=100,"short_anchor",IF($BW3&lt;250,"middle",IF($BW3&lt;=400,"long","outside_high"))))</f>
        <v>middle</v>
      </c>
      <c r="BY3" t="str">
        <f>IF($N3&gt;1000,"PASS","FAIL")</f>
        <v>PASS</v>
      </c>
      <c r="BZ3" t="str">
        <f>IF(AND($BW3&gt;=40,$BW3&lt;=400),"PASS","FAIL")</f>
        <v>PASS</v>
      </c>
    </row>
    <row r="4" spans="1:79">
      <c r="A4" t="s">
        <v>158</v>
      </c>
      <c r="B4">
        <v>10997137.8826035</v>
      </c>
      <c r="C4">
        <v>591.14538588286302</v>
      </c>
      <c r="D4">
        <v>62.591709712512603</v>
      </c>
      <c r="E4">
        <v>671.85012637514706</v>
      </c>
      <c r="F4">
        <v>2706154.0000695102</v>
      </c>
      <c r="G4">
        <v>1450155.2183028101</v>
      </c>
      <c r="H4">
        <v>2.0644130954317801E-5</v>
      </c>
      <c r="I4">
        <v>7.9067733661598901E-5</v>
      </c>
      <c r="J4">
        <v>0.52342986170916905</v>
      </c>
      <c r="K4">
        <v>6446.0268474749801</v>
      </c>
      <c r="L4">
        <v>1.0209472461236E-2</v>
      </c>
      <c r="M4">
        <v>89</v>
      </c>
      <c r="N4">
        <v>1017.17242424647</v>
      </c>
      <c r="O4">
        <v>6.8620353649299505E-5</v>
      </c>
      <c r="P4">
        <v>2.93650948516345E-2</v>
      </c>
      <c r="Q4">
        <v>9.3472E-3</v>
      </c>
      <c r="R4">
        <v>1.524</v>
      </c>
      <c r="S4">
        <v>1188180.2075597499</v>
      </c>
      <c r="T4">
        <v>451.88649460669899</v>
      </c>
      <c r="U4">
        <v>570.07059368549994</v>
      </c>
      <c r="V4">
        <v>0.03</v>
      </c>
      <c r="W4">
        <v>120247.712228715</v>
      </c>
      <c r="X4">
        <v>4.1194604914599801E-2</v>
      </c>
      <c r="Y4">
        <v>4.9269689914128501</v>
      </c>
      <c r="Z4">
        <v>4.9269690481970603</v>
      </c>
      <c r="AA4">
        <v>-5.6784205781923401E-8</v>
      </c>
      <c r="AB4">
        <v>1.5449607142591001E-4</v>
      </c>
      <c r="AC4">
        <v>652.95846178296495</v>
      </c>
      <c r="AD4">
        <v>4314.4158653772101</v>
      </c>
      <c r="AE4">
        <v>570.07059368549994</v>
      </c>
      <c r="AF4">
        <v>0</v>
      </c>
      <c r="AG4">
        <v>1.5469044254814101E-4</v>
      </c>
      <c r="AH4">
        <v>7.9298889870856897</v>
      </c>
      <c r="AI4">
        <v>0.108641899987035</v>
      </c>
      <c r="AJ4">
        <v>142.801887100291</v>
      </c>
      <c r="AK4">
        <v>3.50865612123788</v>
      </c>
      <c r="AL4">
        <v>0.97371734254408104</v>
      </c>
      <c r="AM4">
        <v>591.14538579878604</v>
      </c>
      <c r="AN4">
        <v>8.40765324028325E-8</v>
      </c>
      <c r="AO4">
        <v>1.94371122231218E-7</v>
      </c>
      <c r="AP4">
        <v>2.0076138653053799</v>
      </c>
      <c r="AQ4">
        <v>2.77965558303188E-4</v>
      </c>
      <c r="AR4">
        <v>7.7442406835186004E-5</v>
      </c>
      <c r="AS4">
        <v>71.4906600271147</v>
      </c>
      <c r="AT4">
        <v>16.1739170304396</v>
      </c>
      <c r="AU4">
        <v>1.75716507641963</v>
      </c>
      <c r="AV4">
        <v>0.250448788885753</v>
      </c>
      <c r="AW4">
        <v>7.8765917651280604E-2</v>
      </c>
      <c r="AX4">
        <v>0.25044878434705098</v>
      </c>
      <c r="AY4">
        <v>4.5387023583920397E-9</v>
      </c>
      <c r="AZ4">
        <v>1255998.7817667101</v>
      </c>
      <c r="BA4">
        <v>1.3845568767324E-4</v>
      </c>
      <c r="BB4">
        <v>1184629.55217652</v>
      </c>
      <c r="BC4">
        <v>-3550.6553832301902</v>
      </c>
      <c r="BD4">
        <v>-0.298831386067474</v>
      </c>
      <c r="BE4">
        <v>1810104.16951718</v>
      </c>
      <c r="BF4">
        <v>0.65445380002218501</v>
      </c>
      <c r="BG4">
        <v>1</v>
      </c>
      <c r="BH4">
        <v>0.378</v>
      </c>
      <c r="BI4">
        <v>4.5999999999999999E-2</v>
      </c>
      <c r="BJ4">
        <v>5625</v>
      </c>
      <c r="BK4">
        <v>1</v>
      </c>
      <c r="BL4">
        <v>139.25889127616401</v>
      </c>
      <c r="BM4">
        <v>1.18462955217652</v>
      </c>
      <c r="BN4">
        <v>139.25889127616401</v>
      </c>
      <c r="BO4">
        <v>1</v>
      </c>
      <c r="BP4">
        <v>9852.3274973732605</v>
      </c>
      <c r="BQ4">
        <v>1</v>
      </c>
      <c r="BR4">
        <v>1.524</v>
      </c>
      <c r="BS4">
        <v>3</v>
      </c>
      <c r="BT4">
        <v>90</v>
      </c>
      <c r="BU4" t="s">
        <v>303</v>
      </c>
      <c r="BV4" t="str">
        <f>"Table "&amp;TRIM(RIGHT(SUBSTITUTE($A4,"_",REPT(" ",50)),50))</f>
        <v>Table 8</v>
      </c>
      <c r="BW4">
        <f>$BR4/$Q4</f>
        <v>163.04347826086956</v>
      </c>
      <c r="BX4" t="str">
        <f>IF($BW4&lt;40,"outside_low",IF($BW4&lt;=100,"short_anchor",IF($BW4&lt;250,"middle",IF($BW4&lt;=400,"long","outside_high"))))</f>
        <v>middle</v>
      </c>
      <c r="BY4" t="str">
        <f>IF($N4&gt;1000,"PASS","FAIL")</f>
        <v>PASS</v>
      </c>
      <c r="BZ4" t="str">
        <f>IF(AND($BW4&gt;=40,$BW4&lt;=400),"PASS","FAIL")</f>
        <v>PASS</v>
      </c>
    </row>
    <row r="5" spans="1:79">
      <c r="A5" t="s">
        <v>159</v>
      </c>
      <c r="B5">
        <v>11066085.455535199</v>
      </c>
      <c r="C5">
        <v>591.59844217507998</v>
      </c>
      <c r="D5">
        <v>63.116059220916597</v>
      </c>
      <c r="E5">
        <v>670.70218150320602</v>
      </c>
      <c r="F5">
        <v>2704704.39286354</v>
      </c>
      <c r="G5">
        <v>1452979.60391767</v>
      </c>
      <c r="H5">
        <v>2.06764711739806E-5</v>
      </c>
      <c r="I5">
        <v>7.8893761069449804E-5</v>
      </c>
      <c r="J5">
        <v>0.52262372288993397</v>
      </c>
      <c r="K5">
        <v>6471.9652427383999</v>
      </c>
      <c r="L5">
        <v>1.01117851422936E-2</v>
      </c>
      <c r="M5">
        <v>90</v>
      </c>
      <c r="N5">
        <v>1017.17242424647</v>
      </c>
      <c r="O5">
        <v>6.8620353649299505E-5</v>
      </c>
      <c r="P5">
        <v>2.93650948516345E-2</v>
      </c>
      <c r="Q5">
        <v>9.3472E-3</v>
      </c>
      <c r="R5">
        <v>1.524</v>
      </c>
      <c r="S5">
        <v>726588.21618125006</v>
      </c>
      <c r="T5">
        <v>507.48014958658098</v>
      </c>
      <c r="U5">
        <v>579.46167056604497</v>
      </c>
      <c r="V5">
        <v>0.03</v>
      </c>
      <c r="W5">
        <v>120512.876494087</v>
      </c>
      <c r="X5">
        <v>4.1075713965040901E-2</v>
      </c>
      <c r="Y5">
        <v>4.9340942329244299</v>
      </c>
      <c r="Z5">
        <v>4.9340942800857697</v>
      </c>
      <c r="AA5">
        <v>-4.7161330840594902E-8</v>
      </c>
      <c r="AB5">
        <v>1.5319849834416501E-4</v>
      </c>
      <c r="AC5">
        <v>627.08447248755294</v>
      </c>
      <c r="AD5">
        <v>4317.6856869005596</v>
      </c>
      <c r="AE5">
        <v>579.46167083688999</v>
      </c>
      <c r="AF5">
        <v>2.7084468001703499E-7</v>
      </c>
      <c r="AG5">
        <v>1.53317308433426E-4</v>
      </c>
      <c r="AH5">
        <v>7.9205359725475999</v>
      </c>
      <c r="AI5">
        <v>0.108670690327047</v>
      </c>
      <c r="AJ5">
        <v>141.64155002078101</v>
      </c>
      <c r="AK5">
        <v>2.0131418366618798</v>
      </c>
      <c r="AL5">
        <v>0.976989097790955</v>
      </c>
      <c r="AM5">
        <v>591.59844215540397</v>
      </c>
      <c r="AN5">
        <v>1.96760083781555E-8</v>
      </c>
      <c r="AO5">
        <v>1.1881008926123E-7</v>
      </c>
      <c r="AP5">
        <v>2.0044818350882498</v>
      </c>
      <c r="AQ5">
        <v>2.7410841002442198E-4</v>
      </c>
      <c r="AR5">
        <v>7.6718059261343696E-5</v>
      </c>
      <c r="AS5">
        <v>70.8756561108124</v>
      </c>
      <c r="AT5">
        <v>16.152317548251201</v>
      </c>
      <c r="AU5">
        <v>1.75528349835014</v>
      </c>
      <c r="AV5">
        <v>0.24919833673811301</v>
      </c>
      <c r="AW5">
        <v>7.8372967922635497E-2</v>
      </c>
      <c r="AX5">
        <v>0.249198332872582</v>
      </c>
      <c r="AY5">
        <v>3.8655313117086398E-9</v>
      </c>
      <c r="AZ5">
        <v>1251724.78894587</v>
      </c>
      <c r="BA5">
        <v>1.3674776454751601E-4</v>
      </c>
      <c r="BB5">
        <v>729409.90843988897</v>
      </c>
      <c r="BC5">
        <v>2821.6922586390301</v>
      </c>
      <c r="BD5">
        <v>0.38834819995692699</v>
      </c>
      <c r="BE5">
        <v>1463730.1057092501</v>
      </c>
      <c r="BF5">
        <v>0.49832267956697801</v>
      </c>
      <c r="BG5">
        <v>1</v>
      </c>
      <c r="BH5">
        <v>0.39800000000000002</v>
      </c>
      <c r="BI5">
        <v>4.5999999999999999E-2</v>
      </c>
      <c r="BJ5">
        <v>5625</v>
      </c>
      <c r="BK5">
        <v>1</v>
      </c>
      <c r="BL5">
        <v>84.118292588498903</v>
      </c>
      <c r="BM5">
        <v>0.72940990843988895</v>
      </c>
      <c r="BN5">
        <v>84.118292588498903</v>
      </c>
      <c r="BO5">
        <v>1</v>
      </c>
      <c r="BP5">
        <v>1946.4237409243999</v>
      </c>
      <c r="BQ5">
        <v>1</v>
      </c>
      <c r="BR5">
        <v>1.524</v>
      </c>
      <c r="BS5">
        <v>4</v>
      </c>
      <c r="BT5">
        <v>91</v>
      </c>
      <c r="BU5" t="s">
        <v>303</v>
      </c>
      <c r="BV5" t="str">
        <f>"Table "&amp;TRIM(RIGHT(SUBSTITUTE($A5,"_",REPT(" ",50)),50))</f>
        <v>Table 8</v>
      </c>
      <c r="BW5">
        <f>$BR5/$Q5</f>
        <v>163.04347826086956</v>
      </c>
      <c r="BX5" t="str">
        <f>IF($BW5&lt;40,"outside_low",IF($BW5&lt;=100,"short_anchor",IF($BW5&lt;250,"middle",IF($BW5&lt;=400,"long","outside_high"))))</f>
        <v>middle</v>
      </c>
      <c r="BY5" t="str">
        <f>IF($N5&gt;1000,"PASS","FAIL")</f>
        <v>PASS</v>
      </c>
      <c r="BZ5" t="str">
        <f>IF(AND($BW5&gt;=40,$BW5&lt;=400),"PASS","FAIL")</f>
        <v>PASS</v>
      </c>
    </row>
    <row r="6" spans="1:79">
      <c r="A6" t="s">
        <v>160</v>
      </c>
      <c r="B6">
        <v>11100559.2420011</v>
      </c>
      <c r="C6">
        <v>591.82497032118897</v>
      </c>
      <c r="D6">
        <v>63.378233975119002</v>
      </c>
      <c r="E6">
        <v>670.12820906723402</v>
      </c>
      <c r="F6">
        <v>2703979.5892605502</v>
      </c>
      <c r="G6">
        <v>1454391.7967250999</v>
      </c>
      <c r="H6">
        <v>2.0692641283812099E-5</v>
      </c>
      <c r="I6">
        <v>7.8806774773375099E-5</v>
      </c>
      <c r="J6">
        <v>0.52222065348031699</v>
      </c>
      <c r="K6">
        <v>6484.9344403701298</v>
      </c>
      <c r="L6">
        <v>1.00629414828223E-2</v>
      </c>
      <c r="M6">
        <v>91</v>
      </c>
      <c r="N6">
        <v>1017.17242424647</v>
      </c>
      <c r="O6">
        <v>6.8620353649299505E-5</v>
      </c>
      <c r="P6">
        <v>2.93650948516345E-2</v>
      </c>
      <c r="Q6">
        <v>9.3472E-3</v>
      </c>
      <c r="R6">
        <v>1.524</v>
      </c>
      <c r="S6">
        <v>251440.26521874999</v>
      </c>
      <c r="T6">
        <v>563.20065007780795</v>
      </c>
      <c r="U6">
        <v>588.06047589334605</v>
      </c>
      <c r="V6">
        <v>0.03</v>
      </c>
      <c r="W6">
        <v>120645.89765610899</v>
      </c>
      <c r="X6">
        <v>4.1016077268350097E-2</v>
      </c>
      <c r="Y6">
        <v>4.9376799756223502</v>
      </c>
      <c r="Z6">
        <v>4.9376800182882796</v>
      </c>
      <c r="AA6">
        <v>-4.2665931232477299E-8</v>
      </c>
      <c r="AB6">
        <v>1.5254950471217199E-4</v>
      </c>
      <c r="AC6">
        <v>602.81274499643905</v>
      </c>
      <c r="AD6">
        <v>4319.3125504361997</v>
      </c>
      <c r="AE6">
        <v>588.06047589334605</v>
      </c>
      <c r="AF6">
        <v>0</v>
      </c>
      <c r="AG6">
        <v>1.52590530515719E-4</v>
      </c>
      <c r="AH6">
        <v>7.91581054436769</v>
      </c>
      <c r="AI6">
        <v>0.10868478377249099</v>
      </c>
      <c r="AJ6">
        <v>141.02323552171001</v>
      </c>
      <c r="AK6">
        <v>0.62319530768709197</v>
      </c>
      <c r="AL6">
        <v>0.9786222824709</v>
      </c>
      <c r="AM6">
        <v>591.82497029275601</v>
      </c>
      <c r="AN6">
        <v>2.8433078114176199E-8</v>
      </c>
      <c r="AO6">
        <v>4.1025803547065301E-8</v>
      </c>
      <c r="AP6">
        <v>2.0027780608325001</v>
      </c>
      <c r="AQ6">
        <v>2.7223569252637502E-4</v>
      </c>
      <c r="AR6">
        <v>7.6315778159632993E-5</v>
      </c>
      <c r="AS6">
        <v>70.530575659279194</v>
      </c>
      <c r="AT6">
        <v>16.140115782733702</v>
      </c>
      <c r="AU6">
        <v>1.7541849939093801</v>
      </c>
      <c r="AV6">
        <v>0.248593066923116</v>
      </c>
      <c r="AW6">
        <v>7.8176278185764697E-2</v>
      </c>
      <c r="AX6">
        <v>0.24859306340225401</v>
      </c>
      <c r="AY6">
        <v>3.5208623794247298E-9</v>
      </c>
      <c r="AZ6">
        <v>1249587.7925354501</v>
      </c>
      <c r="BA6">
        <v>1.35929036696764E-4</v>
      </c>
      <c r="BB6">
        <v>252737.410062738</v>
      </c>
      <c r="BC6">
        <v>1297.1448439883</v>
      </c>
      <c r="BD6">
        <v>0.51588588759234499</v>
      </c>
      <c r="BE6">
        <v>1117356.04190133</v>
      </c>
      <c r="BF6">
        <v>0.226192368936111</v>
      </c>
      <c r="BG6">
        <v>1</v>
      </c>
      <c r="BH6">
        <v>0.44</v>
      </c>
      <c r="BI6">
        <v>4.5999999999999999E-2</v>
      </c>
      <c r="BJ6">
        <v>5625</v>
      </c>
      <c r="BK6">
        <v>1</v>
      </c>
      <c r="BL6">
        <v>28.6243202433809</v>
      </c>
      <c r="BM6">
        <v>0.25273741006273798</v>
      </c>
      <c r="BN6">
        <v>28.6243202433809</v>
      </c>
      <c r="BO6">
        <v>1</v>
      </c>
      <c r="BP6">
        <v>129.406089925153</v>
      </c>
      <c r="BQ6">
        <v>1</v>
      </c>
      <c r="BR6">
        <v>1.524</v>
      </c>
      <c r="BS6">
        <v>5</v>
      </c>
      <c r="BT6">
        <v>92</v>
      </c>
      <c r="BU6" t="s">
        <v>303</v>
      </c>
      <c r="BV6" t="str">
        <f>"Table "&amp;TRIM(RIGHT(SUBSTITUTE($A6,"_",REPT(" ",50)),50))</f>
        <v>Table 8</v>
      </c>
      <c r="BW6">
        <f>$BR6/$Q6</f>
        <v>163.04347826086956</v>
      </c>
      <c r="BX6" t="str">
        <f>IF($BW6&lt;40,"outside_low",IF($BW6&lt;=100,"short_anchor",IF($BW6&lt;250,"middle",IF($BW6&lt;=400,"long","outside_high"))))</f>
        <v>middle</v>
      </c>
      <c r="BY6" t="str">
        <f>IF($N6&gt;1000,"PASS","FAIL")</f>
        <v>PASS</v>
      </c>
      <c r="BZ6" t="str">
        <f>IF(AND($BW6&gt;=40,$BW6&lt;=400),"PASS","FAIL")</f>
        <v>PASS</v>
      </c>
    </row>
    <row r="7" spans="1:79">
      <c r="A7" t="s">
        <v>161</v>
      </c>
      <c r="B7">
        <v>11100559.2420011</v>
      </c>
      <c r="C7">
        <v>591.82497032118897</v>
      </c>
      <c r="D7">
        <v>63.378233975119002</v>
      </c>
      <c r="E7">
        <v>670.12820906723402</v>
      </c>
      <c r="F7">
        <v>2703979.5892605502</v>
      </c>
      <c r="G7">
        <v>1454391.7967250999</v>
      </c>
      <c r="H7">
        <v>2.0692641283812099E-5</v>
      </c>
      <c r="I7">
        <v>7.8806774773375099E-5</v>
      </c>
      <c r="J7">
        <v>0.52222065348031699</v>
      </c>
      <c r="K7">
        <v>6484.9344403701298</v>
      </c>
      <c r="L7">
        <v>1.00629414828223E-2</v>
      </c>
      <c r="M7">
        <v>92</v>
      </c>
      <c r="N7">
        <v>1017.17242424647</v>
      </c>
      <c r="O7">
        <v>6.8620353649299505E-5</v>
      </c>
      <c r="P7">
        <v>2.93650948516345E-2</v>
      </c>
      <c r="Q7">
        <v>9.3472E-3</v>
      </c>
      <c r="R7">
        <v>1.524</v>
      </c>
      <c r="S7">
        <v>251440.26521874999</v>
      </c>
      <c r="T7">
        <v>563.20065007780795</v>
      </c>
      <c r="U7">
        <v>588.06047589334605</v>
      </c>
      <c r="V7">
        <v>0.03</v>
      </c>
      <c r="W7">
        <v>120645.89765610899</v>
      </c>
      <c r="X7">
        <v>4.1016077268350097E-2</v>
      </c>
      <c r="Y7">
        <v>4.9376799756223502</v>
      </c>
      <c r="Z7">
        <v>4.9376800182882796</v>
      </c>
      <c r="AA7">
        <v>-4.2665931232477299E-8</v>
      </c>
      <c r="AB7">
        <v>1.5254950471217199E-4</v>
      </c>
      <c r="AC7">
        <v>602.81274499643905</v>
      </c>
      <c r="AD7">
        <v>4319.3125504361997</v>
      </c>
      <c r="AE7">
        <v>588.06047589334605</v>
      </c>
      <c r="AF7">
        <v>0</v>
      </c>
      <c r="AG7">
        <v>1.52590530515719E-4</v>
      </c>
      <c r="AH7">
        <v>7.91581054436769</v>
      </c>
      <c r="AI7">
        <v>0.10868478377249099</v>
      </c>
      <c r="AJ7">
        <v>141.02323552171001</v>
      </c>
      <c r="AK7">
        <v>0.62319530768709197</v>
      </c>
      <c r="AL7">
        <v>0.9786222824709</v>
      </c>
      <c r="AM7">
        <v>591.82497029275601</v>
      </c>
      <c r="AN7">
        <v>2.8433078114176199E-8</v>
      </c>
      <c r="AO7">
        <v>4.1025803547065301E-8</v>
      </c>
      <c r="AP7">
        <v>2.0027780608325001</v>
      </c>
      <c r="AQ7">
        <v>2.7223569252637502E-4</v>
      </c>
      <c r="AR7">
        <v>7.6315778159632993E-5</v>
      </c>
      <c r="AS7">
        <v>70.530575659279194</v>
      </c>
      <c r="AT7">
        <v>16.140115782733702</v>
      </c>
      <c r="AU7">
        <v>1.7541849939093801</v>
      </c>
      <c r="AV7">
        <v>0.248593066923116</v>
      </c>
      <c r="AW7">
        <v>7.8176278185764697E-2</v>
      </c>
      <c r="AX7">
        <v>0.24859306340225401</v>
      </c>
      <c r="AY7">
        <v>3.5208623794247298E-9</v>
      </c>
      <c r="AZ7">
        <v>1249587.7925354501</v>
      </c>
      <c r="BA7">
        <v>1.35929036696764E-4</v>
      </c>
      <c r="BB7">
        <v>252737.410062738</v>
      </c>
      <c r="BC7">
        <v>1297.1448439883</v>
      </c>
      <c r="BD7">
        <v>0.51588588759234499</v>
      </c>
      <c r="BE7">
        <v>1123980.68246596</v>
      </c>
      <c r="BF7">
        <v>0.22485921155534799</v>
      </c>
      <c r="BG7">
        <v>1</v>
      </c>
      <c r="BH7">
        <v>0.44400000000000001</v>
      </c>
      <c r="BI7">
        <v>4.5999999999999999E-2</v>
      </c>
      <c r="BJ7">
        <v>5625</v>
      </c>
      <c r="BK7">
        <v>1</v>
      </c>
      <c r="BL7">
        <v>28.6243202433809</v>
      </c>
      <c r="BM7">
        <v>0.25273741006273798</v>
      </c>
      <c r="BN7">
        <v>28.6243202433809</v>
      </c>
      <c r="BO7">
        <v>1</v>
      </c>
      <c r="BP7">
        <v>129.406089925153</v>
      </c>
      <c r="BQ7">
        <v>1</v>
      </c>
      <c r="BR7">
        <v>1.524</v>
      </c>
      <c r="BS7">
        <v>6</v>
      </c>
      <c r="BT7">
        <v>93</v>
      </c>
      <c r="BU7" t="s">
        <v>303</v>
      </c>
      <c r="BV7" t="str">
        <f>"Table "&amp;TRIM(RIGHT(SUBSTITUTE($A7,"_",REPT(" ",50)),50))</f>
        <v>Table 8</v>
      </c>
      <c r="BW7">
        <f>$BR7/$Q7</f>
        <v>163.04347826086956</v>
      </c>
      <c r="BX7" t="str">
        <f>IF($BW7&lt;40,"outside_low",IF($BW7&lt;=100,"short_anchor",IF($BW7&lt;250,"middle",IF($BW7&lt;=400,"long","outside_high"))))</f>
        <v>middle</v>
      </c>
      <c r="BY7" t="str">
        <f>IF($N7&gt;1000,"PASS","FAIL")</f>
        <v>PASS</v>
      </c>
      <c r="BZ7" t="str">
        <f>IF(AND($BW7&gt;=40,$BW7&lt;=400),"PASS","FAIL")</f>
        <v>PASS</v>
      </c>
    </row>
    <row r="8" spans="1:79">
      <c r="A8" t="s">
        <v>162</v>
      </c>
      <c r="B8">
        <v>10997137.8826035</v>
      </c>
      <c r="C8">
        <v>591.14538588286302</v>
      </c>
      <c r="D8">
        <v>62.591709712512603</v>
      </c>
      <c r="E8">
        <v>671.85012637514706</v>
      </c>
      <c r="F8">
        <v>2706154.0000695102</v>
      </c>
      <c r="G8">
        <v>1450155.2183028101</v>
      </c>
      <c r="H8">
        <v>2.0644130954317801E-5</v>
      </c>
      <c r="I8">
        <v>7.9067733661598901E-5</v>
      </c>
      <c r="J8">
        <v>0.52342986170916905</v>
      </c>
      <c r="K8">
        <v>6446.0268474749801</v>
      </c>
      <c r="L8">
        <v>1.0209472461236E-2</v>
      </c>
      <c r="M8">
        <v>93</v>
      </c>
      <c r="N8">
        <v>2034.3448484929399</v>
      </c>
      <c r="O8">
        <v>6.8620353649299505E-5</v>
      </c>
      <c r="P8">
        <v>2.93650948516345E-2</v>
      </c>
      <c r="Q8">
        <v>9.3472E-3</v>
      </c>
      <c r="R8">
        <v>1.524</v>
      </c>
      <c r="S8">
        <v>1299408.29296875</v>
      </c>
      <c r="T8">
        <v>508.01717724928898</v>
      </c>
      <c r="U8">
        <v>572.64095967848402</v>
      </c>
      <c r="V8">
        <v>0.03</v>
      </c>
      <c r="W8">
        <v>240495.42445742901</v>
      </c>
      <c r="X8">
        <v>2.9492300038704899E-2</v>
      </c>
      <c r="Y8">
        <v>5.8229850920735604</v>
      </c>
      <c r="Z8">
        <v>5.8229851049200798</v>
      </c>
      <c r="AA8">
        <v>-1.28465176274517E-8</v>
      </c>
      <c r="AB8">
        <v>5.3949714119411298E-5</v>
      </c>
      <c r="AC8">
        <v>626.04803472220203</v>
      </c>
      <c r="AD8">
        <v>7301.0639212210599</v>
      </c>
      <c r="AE8">
        <v>572.64095993896399</v>
      </c>
      <c r="AF8">
        <v>2.6048030576930598E-7</v>
      </c>
      <c r="AG8">
        <v>5.4012325329542003E-5</v>
      </c>
      <c r="AH8">
        <v>22.708863528667301</v>
      </c>
      <c r="AI8">
        <v>0.18384909593292001</v>
      </c>
      <c r="AJ8">
        <v>84.377661709340401</v>
      </c>
      <c r="AK8">
        <v>2.1410147180321699</v>
      </c>
      <c r="AL8">
        <v>0.97371734254408104</v>
      </c>
      <c r="AM8">
        <v>591.14538578752297</v>
      </c>
      <c r="AN8">
        <v>9.5339601102750695E-8</v>
      </c>
      <c r="AO8">
        <v>6.2611210130637704E-8</v>
      </c>
      <c r="AP8">
        <v>3.0139892426275501</v>
      </c>
      <c r="AQ8">
        <v>1.2332978216019201E-4</v>
      </c>
      <c r="AR8">
        <v>2.70374682698363E-5</v>
      </c>
      <c r="AS8">
        <v>42.237736243166097</v>
      </c>
      <c r="AT8">
        <v>14.8582851130845</v>
      </c>
      <c r="AU8">
        <v>2.7316822851541498</v>
      </c>
      <c r="AV8">
        <v>0.28230695747340201</v>
      </c>
      <c r="AW8">
        <v>2.7504898347383101E-2</v>
      </c>
      <c r="AX8">
        <v>0.28230694540041901</v>
      </c>
      <c r="AY8">
        <v>1.20729831132316E-8</v>
      </c>
      <c r="AZ8">
        <v>1255998.7817667101</v>
      </c>
      <c r="BA8">
        <v>4.0919118229059998E-5</v>
      </c>
      <c r="BB8">
        <v>1291181.9691208301</v>
      </c>
      <c r="BC8">
        <v>-8226.3238479215706</v>
      </c>
      <c r="BD8">
        <v>-0.63308229541362504</v>
      </c>
      <c r="BE8">
        <v>1988969.46476225</v>
      </c>
      <c r="BF8">
        <v>0.64917133822120698</v>
      </c>
      <c r="BG8">
        <v>1</v>
      </c>
      <c r="BH8">
        <v>0.151</v>
      </c>
      <c r="BI8">
        <v>4.5999999999999999E-2</v>
      </c>
      <c r="BJ8">
        <v>5625</v>
      </c>
      <c r="BK8">
        <v>1</v>
      </c>
      <c r="BL8">
        <v>83.128208633573607</v>
      </c>
      <c r="BM8">
        <v>1.2911819691208299</v>
      </c>
      <c r="BN8">
        <v>83.128208633573607</v>
      </c>
      <c r="BO8">
        <v>1</v>
      </c>
      <c r="BP8">
        <v>1860.0423799410501</v>
      </c>
      <c r="BQ8">
        <v>1</v>
      </c>
      <c r="BR8">
        <v>1.524</v>
      </c>
      <c r="BS8">
        <v>7</v>
      </c>
      <c r="BT8">
        <v>94</v>
      </c>
      <c r="BU8" t="s">
        <v>303</v>
      </c>
      <c r="BV8" t="str">
        <f>"Table "&amp;TRIM(RIGHT(SUBSTITUTE($A8,"_",REPT(" ",50)),50))</f>
        <v>Table 8</v>
      </c>
      <c r="BW8">
        <f>$BR8/$Q8</f>
        <v>163.04347826086956</v>
      </c>
      <c r="BX8" t="str">
        <f>IF($BW8&lt;40,"outside_low",IF($BW8&lt;=100,"short_anchor",IF($BW8&lt;250,"middle",IF($BW8&lt;=400,"long","outside_high"))))</f>
        <v>middle</v>
      </c>
      <c r="BY8" t="str">
        <f>IF($N8&gt;1000,"PASS","FAIL")</f>
        <v>PASS</v>
      </c>
      <c r="BZ8" t="str">
        <f>IF(AND($BW8&gt;=40,$BW8&lt;=400),"PASS","FAIL")</f>
        <v>PASS</v>
      </c>
    </row>
    <row r="9" spans="1:79">
      <c r="A9" t="s">
        <v>163</v>
      </c>
      <c r="B9">
        <v>11031611.6690694</v>
      </c>
      <c r="C9">
        <v>591.37191402897201</v>
      </c>
      <c r="D9">
        <v>62.853884466715002</v>
      </c>
      <c r="E9">
        <v>671.27615393917495</v>
      </c>
      <c r="F9">
        <v>2705429.1964665302</v>
      </c>
      <c r="G9">
        <v>1451567.41111024</v>
      </c>
      <c r="H9">
        <v>2.0660301064149199E-5</v>
      </c>
      <c r="I9">
        <v>7.8980747365524196E-5</v>
      </c>
      <c r="J9">
        <v>0.52302679229955096</v>
      </c>
      <c r="K9">
        <v>6458.99604510671</v>
      </c>
      <c r="L9">
        <v>1.01606288017648E-2</v>
      </c>
      <c r="M9">
        <v>94</v>
      </c>
      <c r="N9">
        <v>2034.3448484929399</v>
      </c>
      <c r="O9">
        <v>6.8620353649299505E-5</v>
      </c>
      <c r="P9">
        <v>2.93650948516345E-2</v>
      </c>
      <c r="Q9">
        <v>9.3472E-3</v>
      </c>
      <c r="R9">
        <v>1.524</v>
      </c>
      <c r="S9">
        <v>451398.55546875001</v>
      </c>
      <c r="T9">
        <v>563.22085425488206</v>
      </c>
      <c r="U9">
        <v>585.625289234104</v>
      </c>
      <c r="V9">
        <v>0.03</v>
      </c>
      <c r="W9">
        <v>240760.29668128499</v>
      </c>
      <c r="X9">
        <v>2.9455365014964E-2</v>
      </c>
      <c r="Y9">
        <v>5.8266347618927004</v>
      </c>
      <c r="Z9">
        <v>5.8266347737278803</v>
      </c>
      <c r="AA9">
        <v>-1.18351852762544E-8</v>
      </c>
      <c r="AB9">
        <v>5.37130090298092E-5</v>
      </c>
      <c r="AC9">
        <v>602.19725747098698</v>
      </c>
      <c r="AD9">
        <v>7304.5267714927304</v>
      </c>
      <c r="AE9">
        <v>585.625289234104</v>
      </c>
      <c r="AF9">
        <v>0</v>
      </c>
      <c r="AG9">
        <v>5.3734838739493302E-5</v>
      </c>
      <c r="AH9">
        <v>22.699816640976199</v>
      </c>
      <c r="AI9">
        <v>0.18389103818348901</v>
      </c>
      <c r="AJ9">
        <v>83.983988388923706</v>
      </c>
      <c r="AK9">
        <v>0.66391238979575995</v>
      </c>
      <c r="AL9">
        <v>0.97535411643181102</v>
      </c>
      <c r="AM9">
        <v>591.371914003798</v>
      </c>
      <c r="AN9">
        <v>2.5174017537210599E-8</v>
      </c>
      <c r="AO9">
        <v>2.18297096841286E-8</v>
      </c>
      <c r="AP9">
        <v>3.0114546114637499</v>
      </c>
      <c r="AQ9">
        <v>1.2248628476811501E-4</v>
      </c>
      <c r="AR9">
        <v>2.6878334224588698E-5</v>
      </c>
      <c r="AS9">
        <v>42.009053388530802</v>
      </c>
      <c r="AT9">
        <v>14.844712879810301</v>
      </c>
      <c r="AU9">
        <v>2.7298096630041302</v>
      </c>
      <c r="AV9">
        <v>0.28164494845962601</v>
      </c>
      <c r="AW9">
        <v>2.7431118692853401E-2</v>
      </c>
      <c r="AX9">
        <v>0.28164493660667</v>
      </c>
      <c r="AY9">
        <v>1.18529564496761E-8</v>
      </c>
      <c r="AZ9">
        <v>1253861.7853562899</v>
      </c>
      <c r="BA9">
        <v>4.0673462021258601E-5</v>
      </c>
      <c r="BB9">
        <v>451739.12483486498</v>
      </c>
      <c r="BC9">
        <v>340.56936611537799</v>
      </c>
      <c r="BD9">
        <v>7.5447597691516197E-2</v>
      </c>
      <c r="BE9">
        <v>1385496.2552316899</v>
      </c>
      <c r="BF9">
        <v>0.32604860758669002</v>
      </c>
      <c r="BG9">
        <v>1</v>
      </c>
      <c r="BH9">
        <v>0.224</v>
      </c>
      <c r="BI9">
        <v>4.5999999999999999E-2</v>
      </c>
      <c r="BJ9">
        <v>5625</v>
      </c>
      <c r="BK9">
        <v>1</v>
      </c>
      <c r="BL9">
        <v>28.1510597740895</v>
      </c>
      <c r="BM9">
        <v>0.451739124834865</v>
      </c>
      <c r="BN9">
        <v>28.1510597740895</v>
      </c>
      <c r="BO9">
        <v>1</v>
      </c>
      <c r="BP9">
        <v>140.39738447720001</v>
      </c>
      <c r="BQ9">
        <v>1</v>
      </c>
      <c r="BR9">
        <v>1.524</v>
      </c>
      <c r="BS9">
        <v>8</v>
      </c>
      <c r="BT9">
        <v>95</v>
      </c>
      <c r="BU9" t="s">
        <v>303</v>
      </c>
      <c r="BV9" t="str">
        <f>"Table "&amp;TRIM(RIGHT(SUBSTITUTE($A9,"_",REPT(" ",50)),50))</f>
        <v>Table 8</v>
      </c>
      <c r="BW9">
        <f>$BR9/$Q9</f>
        <v>163.04347826086956</v>
      </c>
      <c r="BX9" t="str">
        <f>IF($BW9&lt;40,"outside_low",IF($BW9&lt;=100,"short_anchor",IF($BW9&lt;250,"middle",IF($BW9&lt;=400,"long","outside_high"))))</f>
        <v>middle</v>
      </c>
      <c r="BY9" t="str">
        <f>IF($N9&gt;1000,"PASS","FAIL")</f>
        <v>PASS</v>
      </c>
      <c r="BZ9" t="str">
        <f>IF(AND($BW9&gt;=40,$BW9&lt;=400),"PASS","FAIL")</f>
        <v>PASS</v>
      </c>
    </row>
    <row r="10" spans="1:79">
      <c r="A10" t="s">
        <v>164</v>
      </c>
      <c r="B10">
        <v>11031611.6690694</v>
      </c>
      <c r="C10">
        <v>591.37191402897201</v>
      </c>
      <c r="D10">
        <v>62.853884466715002</v>
      </c>
      <c r="E10">
        <v>671.27615393917495</v>
      </c>
      <c r="F10">
        <v>2705429.1964665302</v>
      </c>
      <c r="G10">
        <v>1451567.41111024</v>
      </c>
      <c r="H10">
        <v>2.0660301064149199E-5</v>
      </c>
      <c r="I10">
        <v>7.8980747365524196E-5</v>
      </c>
      <c r="J10">
        <v>0.52302679229955096</v>
      </c>
      <c r="K10">
        <v>6458.99604510671</v>
      </c>
      <c r="L10">
        <v>1.01606288017648E-2</v>
      </c>
      <c r="M10">
        <v>95</v>
      </c>
      <c r="N10">
        <v>2034.3448484929399</v>
      </c>
      <c r="O10">
        <v>6.8620353649299505E-5</v>
      </c>
      <c r="P10">
        <v>2.93650948516345E-2</v>
      </c>
      <c r="Q10">
        <v>9.3472E-3</v>
      </c>
      <c r="R10">
        <v>1.524</v>
      </c>
      <c r="S10">
        <v>2153254.4355937499</v>
      </c>
      <c r="T10">
        <v>451.67797883511702</v>
      </c>
      <c r="U10">
        <v>558.55126943722303</v>
      </c>
      <c r="V10">
        <v>0.03</v>
      </c>
      <c r="W10">
        <v>240760.29668128499</v>
      </c>
      <c r="X10">
        <v>2.9455365014964E-2</v>
      </c>
      <c r="Y10">
        <v>5.8266347618927004</v>
      </c>
      <c r="Z10">
        <v>5.8266347737278803</v>
      </c>
      <c r="AA10">
        <v>-1.18351852762544E-8</v>
      </c>
      <c r="AB10">
        <v>5.37130090298092E-5</v>
      </c>
      <c r="AC10">
        <v>653.24085099632498</v>
      </c>
      <c r="AD10">
        <v>7304.5267714927304</v>
      </c>
      <c r="AE10">
        <v>558.55126943722303</v>
      </c>
      <c r="AF10">
        <v>0</v>
      </c>
      <c r="AG10">
        <v>5.3817922994773903E-5</v>
      </c>
      <c r="AH10">
        <v>22.699816640976199</v>
      </c>
      <c r="AI10">
        <v>0.18389103818348901</v>
      </c>
      <c r="AJ10">
        <v>84.113843568439805</v>
      </c>
      <c r="AK10">
        <v>3.7934894324591899</v>
      </c>
      <c r="AL10">
        <v>0.97535411643181102</v>
      </c>
      <c r="AM10">
        <v>591.37191387782002</v>
      </c>
      <c r="AN10">
        <v>1.5115131191123499E-7</v>
      </c>
      <c r="AO10">
        <v>1.04913964964723E-7</v>
      </c>
      <c r="AP10">
        <v>3.0127521912218702</v>
      </c>
      <c r="AQ10">
        <v>1.2238079882888E-4</v>
      </c>
      <c r="AR10">
        <v>2.6961418479869299E-5</v>
      </c>
      <c r="AS10">
        <v>42.138908568047</v>
      </c>
      <c r="AT10">
        <v>14.8524287697484</v>
      </c>
      <c r="AU10">
        <v>2.7312285460153598</v>
      </c>
      <c r="AV10">
        <v>0.28152364520651102</v>
      </c>
      <c r="AW10">
        <v>2.7431118692853401E-2</v>
      </c>
      <c r="AX10">
        <v>0.28152363331136998</v>
      </c>
      <c r="AY10">
        <v>1.1895141316386999E-8</v>
      </c>
      <c r="AZ10">
        <v>1253861.7853562899</v>
      </c>
      <c r="BA10">
        <v>4.0620930983124299E-5</v>
      </c>
      <c r="BB10">
        <v>2173873.7275675898</v>
      </c>
      <c r="BC10">
        <v>20619.291973835301</v>
      </c>
      <c r="BD10">
        <v>0.95758734467204998</v>
      </c>
      <c r="BE10">
        <v>2603483.7419005302</v>
      </c>
      <c r="BF10">
        <v>0.83498648083766003</v>
      </c>
      <c r="BG10">
        <v>1</v>
      </c>
      <c r="BH10">
        <v>0.11600000000000001</v>
      </c>
      <c r="BI10">
        <v>4.5999999999999999E-2</v>
      </c>
      <c r="BJ10">
        <v>5625</v>
      </c>
      <c r="BK10">
        <v>1</v>
      </c>
      <c r="BL10">
        <v>139.693935193855</v>
      </c>
      <c r="BM10">
        <v>2.1738737275675901</v>
      </c>
      <c r="BN10">
        <v>139.693935193855</v>
      </c>
      <c r="BO10">
        <v>1</v>
      </c>
      <c r="BP10">
        <v>9938.8807144364691</v>
      </c>
      <c r="BQ10">
        <v>1</v>
      </c>
      <c r="BR10">
        <v>1.524</v>
      </c>
      <c r="BS10">
        <v>9</v>
      </c>
      <c r="BT10">
        <v>96</v>
      </c>
      <c r="BU10" t="s">
        <v>303</v>
      </c>
      <c r="BV10" t="str">
        <f>"Table "&amp;TRIM(RIGHT(SUBSTITUTE($A10,"_",REPT(" ",50)),50))</f>
        <v>Table 8</v>
      </c>
      <c r="BW10">
        <f>$BR10/$Q10</f>
        <v>163.04347826086956</v>
      </c>
      <c r="BX10" t="str">
        <f>IF($BW10&lt;40,"outside_low",IF($BW10&lt;=100,"short_anchor",IF($BW10&lt;250,"middle",IF($BW10&lt;=400,"long","outside_high"))))</f>
        <v>middle</v>
      </c>
      <c r="BY10" t="str">
        <f>IF($N10&gt;1000,"PASS","FAIL")</f>
        <v>PASS</v>
      </c>
      <c r="BZ10" t="str">
        <f>IF(AND($BW10&gt;=40,$BW10&lt;=400),"PASS","FAIL")</f>
        <v>PASS</v>
      </c>
    </row>
    <row r="11" spans="1:79">
      <c r="A11" t="s">
        <v>165</v>
      </c>
      <c r="B11">
        <v>11066085.455535199</v>
      </c>
      <c r="C11">
        <v>591.59844217507998</v>
      </c>
      <c r="D11">
        <v>63.116059220916597</v>
      </c>
      <c r="E11">
        <v>670.70218150320602</v>
      </c>
      <c r="F11">
        <v>2704704.39286354</v>
      </c>
      <c r="G11">
        <v>1452979.60391767</v>
      </c>
      <c r="H11">
        <v>2.06764711739806E-5</v>
      </c>
      <c r="I11">
        <v>7.8893761069449804E-5</v>
      </c>
      <c r="J11">
        <v>0.52262372288993397</v>
      </c>
      <c r="K11">
        <v>6471.9652427383999</v>
      </c>
      <c r="L11">
        <v>1.01117851422936E-2</v>
      </c>
      <c r="M11">
        <v>96</v>
      </c>
      <c r="N11">
        <v>2034.3448484929399</v>
      </c>
      <c r="O11">
        <v>6.8620353649299505E-5</v>
      </c>
      <c r="P11">
        <v>2.93650948516345E-2</v>
      </c>
      <c r="Q11">
        <v>9.3472E-3</v>
      </c>
      <c r="R11">
        <v>1.524</v>
      </c>
      <c r="S11">
        <v>451329.86321874999</v>
      </c>
      <c r="T11">
        <v>563.49230128878798</v>
      </c>
      <c r="U11">
        <v>585.848437332863</v>
      </c>
      <c r="V11">
        <v>0.03</v>
      </c>
      <c r="W11">
        <v>241025.752988174</v>
      </c>
      <c r="X11">
        <v>2.94183448568998E-2</v>
      </c>
      <c r="Y11">
        <v>5.8302997390222604</v>
      </c>
      <c r="Z11">
        <v>5.8302997498897398</v>
      </c>
      <c r="AA11">
        <v>-1.0867479360854301E-8</v>
      </c>
      <c r="AB11">
        <v>5.3476306437943699E-5</v>
      </c>
      <c r="AC11">
        <v>602.41986682774404</v>
      </c>
      <c r="AD11">
        <v>7307.9838090413796</v>
      </c>
      <c r="AE11">
        <v>585.84843735706102</v>
      </c>
      <c r="AF11">
        <v>2.4198470782721399E-8</v>
      </c>
      <c r="AG11">
        <v>5.3498126759829902E-5</v>
      </c>
      <c r="AH11">
        <v>22.690688603995799</v>
      </c>
      <c r="AI11">
        <v>0.18393271373060499</v>
      </c>
      <c r="AJ11">
        <v>83.6535955526533</v>
      </c>
      <c r="AK11">
        <v>0.66345757994855004</v>
      </c>
      <c r="AL11">
        <v>0.976989097790955</v>
      </c>
      <c r="AM11">
        <v>591.59844215339103</v>
      </c>
      <c r="AN11">
        <v>2.1688720153179E-8</v>
      </c>
      <c r="AO11">
        <v>2.1820321886230101E-8</v>
      </c>
      <c r="AP11">
        <v>3.0095433583736502</v>
      </c>
      <c r="AQ11">
        <v>1.21597711445486E-4</v>
      </c>
      <c r="AR11">
        <v>2.67599735408581E-5</v>
      </c>
      <c r="AS11">
        <v>41.843857704332102</v>
      </c>
      <c r="AT11">
        <v>14.8348625421319</v>
      </c>
      <c r="AU11">
        <v>2.7286165251948198</v>
      </c>
      <c r="AV11">
        <v>0.28092683317883299</v>
      </c>
      <c r="AW11">
        <v>2.73572971953456E-2</v>
      </c>
      <c r="AX11">
        <v>0.28092682152989901</v>
      </c>
      <c r="AY11">
        <v>1.16489334844871E-8</v>
      </c>
      <c r="AZ11">
        <v>1251724.78894587</v>
      </c>
      <c r="BA11">
        <v>4.04040404027264E-5</v>
      </c>
      <c r="BB11">
        <v>453393.12253326899</v>
      </c>
      <c r="BC11">
        <v>2063.2593145193</v>
      </c>
      <c r="BD11">
        <v>0.45715107345318201</v>
      </c>
      <c r="BE11">
        <v>1385496.2552316899</v>
      </c>
      <c r="BF11">
        <v>0.32724240200667298</v>
      </c>
      <c r="BG11">
        <v>1</v>
      </c>
      <c r="BH11">
        <v>0.224</v>
      </c>
      <c r="BI11">
        <v>4.5999999999999999E-2</v>
      </c>
      <c r="BJ11">
        <v>5625</v>
      </c>
      <c r="BK11">
        <v>1</v>
      </c>
      <c r="BL11">
        <v>28.1061408862919</v>
      </c>
      <c r="BM11">
        <v>0.45339312253326902</v>
      </c>
      <c r="BN11">
        <v>28.1061408862919</v>
      </c>
      <c r="BO11">
        <v>1</v>
      </c>
      <c r="BP11">
        <v>141.463884616738</v>
      </c>
      <c r="BQ11">
        <v>1</v>
      </c>
      <c r="BR11">
        <v>1.524</v>
      </c>
      <c r="BS11">
        <v>10</v>
      </c>
      <c r="BT11">
        <v>97</v>
      </c>
      <c r="BU11" t="s">
        <v>303</v>
      </c>
      <c r="BV11" t="str">
        <f>"Table "&amp;TRIM(RIGHT(SUBSTITUTE($A11,"_",REPT(" ",50)),50))</f>
        <v>Table 8</v>
      </c>
      <c r="BW11">
        <f>$BR11/$Q11</f>
        <v>163.04347826086956</v>
      </c>
      <c r="BX11" t="str">
        <f>IF($BW11&lt;40,"outside_low",IF($BW11&lt;=100,"short_anchor",IF($BW11&lt;250,"middle",IF($BW11&lt;=400,"long","outside_high"))))</f>
        <v>middle</v>
      </c>
      <c r="BY11" t="str">
        <f>IF($N11&gt;1000,"PASS","FAIL")</f>
        <v>PASS</v>
      </c>
      <c r="BZ11" t="str">
        <f>IF(AND($BW11&gt;=40,$BW11&lt;=400),"PASS","FAIL")</f>
        <v>PASS</v>
      </c>
    </row>
    <row r="12" spans="1:79">
      <c r="A12" t="s">
        <v>166</v>
      </c>
      <c r="B12">
        <v>11066085.455535199</v>
      </c>
      <c r="C12">
        <v>591.59844217507998</v>
      </c>
      <c r="D12">
        <v>63.116059220916597</v>
      </c>
      <c r="E12">
        <v>670.70218150320602</v>
      </c>
      <c r="F12">
        <v>2704704.39286354</v>
      </c>
      <c r="G12">
        <v>1452979.60391767</v>
      </c>
      <c r="H12">
        <v>2.06764711739806E-5</v>
      </c>
      <c r="I12">
        <v>7.8893761069449804E-5</v>
      </c>
      <c r="J12">
        <v>0.52262372288993397</v>
      </c>
      <c r="K12">
        <v>6471.9652427383999</v>
      </c>
      <c r="L12">
        <v>1.01117851422936E-2</v>
      </c>
      <c r="M12">
        <v>97</v>
      </c>
      <c r="N12">
        <v>2034.3448484929399</v>
      </c>
      <c r="O12">
        <v>6.8620353649299505E-5</v>
      </c>
      <c r="P12">
        <v>2.93650948516345E-2</v>
      </c>
      <c r="Q12">
        <v>9.3472E-3</v>
      </c>
      <c r="R12">
        <v>1.524</v>
      </c>
      <c r="S12">
        <v>2154258.5570312501</v>
      </c>
      <c r="T12">
        <v>452.00279575601002</v>
      </c>
      <c r="U12">
        <v>558.71166060185396</v>
      </c>
      <c r="V12">
        <v>0.03</v>
      </c>
      <c r="W12">
        <v>241025.752988174</v>
      </c>
      <c r="X12">
        <v>2.94183448568998E-2</v>
      </c>
      <c r="Y12">
        <v>5.8302997390222604</v>
      </c>
      <c r="Z12">
        <v>5.8302997498897398</v>
      </c>
      <c r="AA12">
        <v>-1.0867479360854301E-8</v>
      </c>
      <c r="AB12">
        <v>5.3476306437943699E-5</v>
      </c>
      <c r="AC12">
        <v>653.53298473016002</v>
      </c>
      <c r="AD12">
        <v>7307.9838090413796</v>
      </c>
      <c r="AE12">
        <v>558.71166060185396</v>
      </c>
      <c r="AF12">
        <v>0</v>
      </c>
      <c r="AG12">
        <v>5.3580538550913797E-5</v>
      </c>
      <c r="AH12">
        <v>22.690688603995799</v>
      </c>
      <c r="AI12">
        <v>0.18393271373060499</v>
      </c>
      <c r="AJ12">
        <v>83.782460674810906</v>
      </c>
      <c r="AK12">
        <v>3.79628844602572</v>
      </c>
      <c r="AL12">
        <v>0.976989097790955</v>
      </c>
      <c r="AM12">
        <v>591.59844204424098</v>
      </c>
      <c r="AN12">
        <v>1.3083854355500101E-7</v>
      </c>
      <c r="AO12">
        <v>1.04232112970179E-7</v>
      </c>
      <c r="AP12">
        <v>3.01083664075774</v>
      </c>
      <c r="AQ12">
        <v>1.21493271104178E-4</v>
      </c>
      <c r="AR12">
        <v>2.6842385331942002E-5</v>
      </c>
      <c r="AS12">
        <v>41.972722826489701</v>
      </c>
      <c r="AT12">
        <v>14.8425498769575</v>
      </c>
      <c r="AU12">
        <v>2.7300304775506401</v>
      </c>
      <c r="AV12">
        <v>0.280806163207104</v>
      </c>
      <c r="AW12">
        <v>2.73572971953456E-2</v>
      </c>
      <c r="AX12">
        <v>0.28080615151260702</v>
      </c>
      <c r="AY12">
        <v>1.16944974259958E-8</v>
      </c>
      <c r="AZ12">
        <v>1251724.78894587</v>
      </c>
      <c r="BA12">
        <v>4.0351997002933202E-5</v>
      </c>
      <c r="BB12">
        <v>2168578.1671704999</v>
      </c>
      <c r="BC12">
        <v>14319.610139254501</v>
      </c>
      <c r="BD12">
        <v>0.66471176788491504</v>
      </c>
      <c r="BE12">
        <v>2603483.7419005302</v>
      </c>
      <c r="BF12">
        <v>0.83295245223519399</v>
      </c>
      <c r="BG12">
        <v>1</v>
      </c>
      <c r="BH12">
        <v>0.11600000000000001</v>
      </c>
      <c r="BI12">
        <v>4.5999999999999999E-2</v>
      </c>
      <c r="BJ12">
        <v>5625</v>
      </c>
      <c r="BK12">
        <v>1</v>
      </c>
      <c r="BL12">
        <v>139.59564641906999</v>
      </c>
      <c r="BM12">
        <v>2.1685781671704998</v>
      </c>
      <c r="BN12">
        <v>139.59564641906999</v>
      </c>
      <c r="BO12">
        <v>1</v>
      </c>
      <c r="BP12">
        <v>9919.2927856323804</v>
      </c>
      <c r="BQ12">
        <v>1</v>
      </c>
      <c r="BR12">
        <v>1.524</v>
      </c>
      <c r="BS12">
        <v>11</v>
      </c>
      <c r="BT12">
        <v>98</v>
      </c>
      <c r="BU12" t="s">
        <v>303</v>
      </c>
      <c r="BV12" t="str">
        <f>"Table "&amp;TRIM(RIGHT(SUBSTITUTE($A12,"_",REPT(" ",50)),50))</f>
        <v>Table 8</v>
      </c>
      <c r="BW12">
        <f>$BR12/$Q12</f>
        <v>163.04347826086956</v>
      </c>
      <c r="BX12" t="str">
        <f>IF($BW12&lt;40,"outside_low",IF($BW12&lt;=100,"short_anchor",IF($BW12&lt;250,"middle",IF($BW12&lt;=400,"long","outside_high"))))</f>
        <v>middle</v>
      </c>
      <c r="BY12" t="str">
        <f>IF($N12&gt;1000,"PASS","FAIL")</f>
        <v>PASS</v>
      </c>
      <c r="BZ12" t="str">
        <f>IF(AND($BW12&gt;=40,$BW12&lt;=400),"PASS","FAIL")</f>
        <v>PASS</v>
      </c>
    </row>
    <row r="13" spans="1:79">
      <c r="A13" t="s">
        <v>167</v>
      </c>
      <c r="B13">
        <v>11100559.2420011</v>
      </c>
      <c r="C13">
        <v>591.82497032118897</v>
      </c>
      <c r="D13">
        <v>63.378233975119002</v>
      </c>
      <c r="E13">
        <v>670.12820906723402</v>
      </c>
      <c r="F13">
        <v>2703979.5892605502</v>
      </c>
      <c r="G13">
        <v>1454391.7967250999</v>
      </c>
      <c r="H13">
        <v>2.0692641283812099E-5</v>
      </c>
      <c r="I13">
        <v>7.8806774773375099E-5</v>
      </c>
      <c r="J13">
        <v>0.52222065348031699</v>
      </c>
      <c r="K13">
        <v>6484.9344403701298</v>
      </c>
      <c r="L13">
        <v>1.00629414828223E-2</v>
      </c>
      <c r="M13">
        <v>98</v>
      </c>
      <c r="N13">
        <v>2034.3448484929399</v>
      </c>
      <c r="O13">
        <v>6.8620353649299505E-5</v>
      </c>
      <c r="P13">
        <v>2.93650948516345E-2</v>
      </c>
      <c r="Q13">
        <v>9.3472E-3</v>
      </c>
      <c r="R13">
        <v>1.524</v>
      </c>
      <c r="S13">
        <v>1326521.77734375</v>
      </c>
      <c r="T13">
        <v>507.23595773091199</v>
      </c>
      <c r="U13">
        <v>572.81236868600297</v>
      </c>
      <c r="V13">
        <v>0.03</v>
      </c>
      <c r="W13">
        <v>241291.795312217</v>
      </c>
      <c r="X13">
        <v>2.93812388502834E-2</v>
      </c>
      <c r="Y13">
        <v>5.8339801638063502</v>
      </c>
      <c r="Z13">
        <v>5.8339801737503301</v>
      </c>
      <c r="AA13">
        <v>-9.9439816381163804E-9</v>
      </c>
      <c r="AB13">
        <v>5.3239605589866302E-5</v>
      </c>
      <c r="AC13">
        <v>627.58430642792405</v>
      </c>
      <c r="AD13">
        <v>7311.4349003299303</v>
      </c>
      <c r="AE13">
        <v>572.812368961846</v>
      </c>
      <c r="AF13">
        <v>2.7584303552430398E-7</v>
      </c>
      <c r="AG13">
        <v>5.33025977823904E-5</v>
      </c>
      <c r="AH13">
        <v>22.681478657845702</v>
      </c>
      <c r="AI13">
        <v>0.18397411901316399</v>
      </c>
      <c r="AJ13">
        <v>83.387211936070301</v>
      </c>
      <c r="AK13">
        <v>2.1914344414628202</v>
      </c>
      <c r="AL13">
        <v>0.9786222824709</v>
      </c>
      <c r="AM13">
        <v>591.82497025833698</v>
      </c>
      <c r="AN13">
        <v>6.2851427173882297E-8</v>
      </c>
      <c r="AO13">
        <v>6.2992192524084399E-8</v>
      </c>
      <c r="AP13">
        <v>3.0082709524647</v>
      </c>
      <c r="AQ13">
        <v>1.20663749015276E-4</v>
      </c>
      <c r="AR13">
        <v>2.6682794987457202E-5</v>
      </c>
      <c r="AS13">
        <v>41.7428788320873</v>
      </c>
      <c r="AT13">
        <v>14.8288221746314</v>
      </c>
      <c r="AU13">
        <v>2.7281194955806898</v>
      </c>
      <c r="AV13">
        <v>0.28015145688401499</v>
      </c>
      <c r="AW13">
        <v>2.7283433171066199E-2</v>
      </c>
      <c r="AX13">
        <v>0.28015144541717302</v>
      </c>
      <c r="AY13">
        <v>1.14668425865716E-8</v>
      </c>
      <c r="AZ13">
        <v>1249587.7925354501</v>
      </c>
      <c r="BA13">
        <v>4.0110665203350398E-5</v>
      </c>
      <c r="BB13">
        <v>1315078.0655078101</v>
      </c>
      <c r="BC13">
        <v>-11443.711835935001</v>
      </c>
      <c r="BD13">
        <v>-0.86268556094496196</v>
      </c>
      <c r="BE13">
        <v>1988969.46476225</v>
      </c>
      <c r="BF13">
        <v>0.66118564855142803</v>
      </c>
      <c r="BG13">
        <v>1</v>
      </c>
      <c r="BH13">
        <v>0.156</v>
      </c>
      <c r="BI13">
        <v>4.5999999999999999E-2</v>
      </c>
      <c r="BJ13">
        <v>5625</v>
      </c>
      <c r="BK13">
        <v>1</v>
      </c>
      <c r="BL13">
        <v>84.589012590276894</v>
      </c>
      <c r="BM13">
        <v>1.31507806550781</v>
      </c>
      <c r="BN13">
        <v>84.589012590276894</v>
      </c>
      <c r="BO13">
        <v>1</v>
      </c>
      <c r="BP13">
        <v>1988.18004377587</v>
      </c>
      <c r="BQ13">
        <v>1</v>
      </c>
      <c r="BR13">
        <v>1.524</v>
      </c>
      <c r="BS13">
        <v>12</v>
      </c>
      <c r="BT13">
        <v>99</v>
      </c>
      <c r="BU13" t="s">
        <v>303</v>
      </c>
      <c r="BV13" t="str">
        <f>"Table "&amp;TRIM(RIGHT(SUBSTITUTE($A13,"_",REPT(" ",50)),50))</f>
        <v>Table 8</v>
      </c>
      <c r="BW13">
        <f>$BR13/$Q13</f>
        <v>163.04347826086956</v>
      </c>
      <c r="BX13" t="str">
        <f>IF($BW13&lt;40,"outside_low",IF($BW13&lt;=100,"short_anchor",IF($BW13&lt;250,"middle",IF($BW13&lt;=400,"long","outside_high"))))</f>
        <v>middle</v>
      </c>
      <c r="BY13" t="str">
        <f>IF($N13&gt;1000,"PASS","FAIL")</f>
        <v>PASS</v>
      </c>
      <c r="BZ13" t="str">
        <f>IF(AND($BW13&gt;=40,$BW13&lt;=400),"PASS","FAIL")</f>
        <v>PASS</v>
      </c>
    </row>
    <row r="14" spans="1:79">
      <c r="A14" t="s">
        <v>168</v>
      </c>
      <c r="B14">
        <v>10962664.096137701</v>
      </c>
      <c r="C14">
        <v>590.91885773675403</v>
      </c>
      <c r="D14">
        <v>62.329534958311001</v>
      </c>
      <c r="E14">
        <v>672.42409881111701</v>
      </c>
      <c r="F14">
        <v>2706878.8036725</v>
      </c>
      <c r="G14">
        <v>1448743.0254953799</v>
      </c>
      <c r="H14">
        <v>2.0627960844486401E-5</v>
      </c>
      <c r="I14">
        <v>7.9154719957673402E-5</v>
      </c>
      <c r="J14">
        <v>0.52383293111878604</v>
      </c>
      <c r="K14">
        <v>6433.0576498432902</v>
      </c>
      <c r="L14">
        <v>1.0258316120707199E-2</v>
      </c>
      <c r="M14">
        <v>99</v>
      </c>
      <c r="N14">
        <v>4068.6896969858799</v>
      </c>
      <c r="O14">
        <v>6.8620353649299505E-5</v>
      </c>
      <c r="P14">
        <v>2.93650948516345E-2</v>
      </c>
      <c r="Q14">
        <v>9.3472E-3</v>
      </c>
      <c r="R14">
        <v>1.524</v>
      </c>
      <c r="S14">
        <v>2321258.04296875</v>
      </c>
      <c r="T14">
        <v>507.70933491723503</v>
      </c>
      <c r="U14">
        <v>565.547543356608</v>
      </c>
      <c r="V14">
        <v>0.03</v>
      </c>
      <c r="W14">
        <v>480462.26878198498</v>
      </c>
      <c r="X14">
        <v>2.2025520592233502E-2</v>
      </c>
      <c r="Y14">
        <v>6.7380915735687399</v>
      </c>
      <c r="Z14">
        <v>6.7380916019165999</v>
      </c>
      <c r="AA14">
        <v>-2.8347860059341201E-8</v>
      </c>
      <c r="AB14">
        <v>1.8161648258494202E-5</v>
      </c>
      <c r="AC14">
        <v>624.24978069358497</v>
      </c>
      <c r="AD14">
        <v>12605.1317591428</v>
      </c>
      <c r="AE14">
        <v>565.54754359910601</v>
      </c>
      <c r="AF14">
        <v>2.4249777652585202E-7</v>
      </c>
      <c r="AG14">
        <v>1.81971544594288E-5</v>
      </c>
      <c r="AH14">
        <v>67.780077940289701</v>
      </c>
      <c r="AI14">
        <v>0.31748952211616899</v>
      </c>
      <c r="AJ14">
        <v>49.079409791718099</v>
      </c>
      <c r="AK14">
        <v>2.2321682627030199</v>
      </c>
      <c r="AL14">
        <v>0.972078780265621</v>
      </c>
      <c r="AM14">
        <v>590.91885773530896</v>
      </c>
      <c r="AN14">
        <v>1.4447323337663E-9</v>
      </c>
      <c r="AO14">
        <v>3.55062009346428E-8</v>
      </c>
      <c r="AP14">
        <v>4.4466260218320999</v>
      </c>
      <c r="AQ14">
        <v>5.7147774523518597E-5</v>
      </c>
      <c r="AR14">
        <v>9.1163303301817402E-6</v>
      </c>
      <c r="AS14">
        <v>24.587586650935201</v>
      </c>
      <c r="AT14">
        <v>12.961208539477299</v>
      </c>
      <c r="AU14">
        <v>4.1150479052466498</v>
      </c>
      <c r="AV14">
        <v>0.331578116585454</v>
      </c>
      <c r="AW14">
        <v>9.2435240960315607E-3</v>
      </c>
      <c r="AX14">
        <v>0.33157810941410798</v>
      </c>
      <c r="AY14">
        <v>7.1713453508870398E-9</v>
      </c>
      <c r="AZ14">
        <v>1258135.77817712</v>
      </c>
      <c r="BA14">
        <v>1.2851940829503899E-5</v>
      </c>
      <c r="BB14">
        <v>2337255.93600797</v>
      </c>
      <c r="BC14">
        <v>15997.8930392209</v>
      </c>
      <c r="BD14">
        <v>0.68919063469396102</v>
      </c>
      <c r="BE14">
        <v>3141972.3820827999</v>
      </c>
      <c r="BF14">
        <v>0.743881756993234</v>
      </c>
      <c r="BG14">
        <v>1</v>
      </c>
      <c r="BH14">
        <v>5.3999999999999999E-2</v>
      </c>
      <c r="BI14">
        <v>4.5999999999999999E-2</v>
      </c>
      <c r="BJ14">
        <v>5625</v>
      </c>
      <c r="BK14">
        <v>1</v>
      </c>
      <c r="BL14">
        <v>83.209522819519094</v>
      </c>
      <c r="BM14">
        <v>2.3372559360079701</v>
      </c>
      <c r="BN14">
        <v>83.209522819519094</v>
      </c>
      <c r="BO14">
        <v>1</v>
      </c>
      <c r="BP14">
        <v>1867.0628622905399</v>
      </c>
      <c r="BQ14">
        <v>1</v>
      </c>
      <c r="BR14">
        <v>1.524</v>
      </c>
      <c r="BS14">
        <v>13</v>
      </c>
      <c r="BT14">
        <v>100</v>
      </c>
      <c r="BU14" t="s">
        <v>303</v>
      </c>
      <c r="BV14" t="str">
        <f>"Table "&amp;TRIM(RIGHT(SUBSTITUTE($A14,"_",REPT(" ",50)),50))</f>
        <v>Table 8</v>
      </c>
      <c r="BW14">
        <f>$BR14/$Q14</f>
        <v>163.04347826086956</v>
      </c>
      <c r="BX14" t="str">
        <f>IF($BW14&lt;40,"outside_low",IF($BW14&lt;=100,"short_anchor",IF($BW14&lt;250,"middle",IF($BW14&lt;=400,"long","outside_high"))))</f>
        <v>middle</v>
      </c>
      <c r="BY14" t="str">
        <f>IF($N14&gt;1000,"PASS","FAIL")</f>
        <v>PASS</v>
      </c>
      <c r="BZ14" t="str">
        <f>IF(AND($BW14&gt;=40,$BW14&lt;=400),"PASS","FAIL")</f>
        <v>PASS</v>
      </c>
    </row>
    <row r="15" spans="1:79">
      <c r="A15" t="s">
        <v>169</v>
      </c>
      <c r="B15">
        <v>11066085.455535199</v>
      </c>
      <c r="C15">
        <v>591.59844217507998</v>
      </c>
      <c r="D15">
        <v>63.116059220916597</v>
      </c>
      <c r="E15">
        <v>670.70218150320602</v>
      </c>
      <c r="F15">
        <v>2704704.39286354</v>
      </c>
      <c r="G15">
        <v>1452979.60391767</v>
      </c>
      <c r="H15">
        <v>2.06764711739806E-5</v>
      </c>
      <c r="I15">
        <v>7.8893761069449804E-5</v>
      </c>
      <c r="J15">
        <v>0.52262372288993397</v>
      </c>
      <c r="K15">
        <v>6471.9652427383999</v>
      </c>
      <c r="L15">
        <v>1.01117851422936E-2</v>
      </c>
      <c r="M15">
        <v>100</v>
      </c>
      <c r="N15">
        <v>4068.6896969858799</v>
      </c>
      <c r="O15">
        <v>6.8620353649299505E-5</v>
      </c>
      <c r="P15">
        <v>2.93650948516345E-2</v>
      </c>
      <c r="Q15">
        <v>9.3472E-3</v>
      </c>
      <c r="R15">
        <v>1.524</v>
      </c>
      <c r="S15">
        <v>814219.75390625</v>
      </c>
      <c r="T15">
        <v>563.49230128878798</v>
      </c>
      <c r="U15">
        <v>583.65804819758296</v>
      </c>
      <c r="V15">
        <v>0.03</v>
      </c>
      <c r="W15">
        <v>482051.50597634801</v>
      </c>
      <c r="X15">
        <v>2.19536601587824E-2</v>
      </c>
      <c r="Y15">
        <v>6.7491103875770904</v>
      </c>
      <c r="Z15">
        <v>6.7491104089474598</v>
      </c>
      <c r="AA15">
        <v>-2.1370364144956999E-8</v>
      </c>
      <c r="AB15">
        <v>1.7914830751301099E-5</v>
      </c>
      <c r="AC15">
        <v>602.00428867084202</v>
      </c>
      <c r="AD15">
        <v>12626.1784584409</v>
      </c>
      <c r="AE15">
        <v>583.65804819758296</v>
      </c>
      <c r="AF15">
        <v>0</v>
      </c>
      <c r="AG15">
        <v>1.7927129864331101E-5</v>
      </c>
      <c r="AH15">
        <v>67.732385190806497</v>
      </c>
      <c r="AI15">
        <v>0.31778494980171201</v>
      </c>
      <c r="AJ15">
        <v>48.431860003999098</v>
      </c>
      <c r="AK15">
        <v>0.69630713858187598</v>
      </c>
      <c r="AL15">
        <v>0.976989097790955</v>
      </c>
      <c r="AM15">
        <v>591.59844217037596</v>
      </c>
      <c r="AN15">
        <v>4.7043613449204697E-9</v>
      </c>
      <c r="AO15">
        <v>1.2299113029984499E-8</v>
      </c>
      <c r="AP15">
        <v>4.4258123043440101</v>
      </c>
      <c r="AQ15">
        <v>5.6226445162387198E-5</v>
      </c>
      <c r="AR15">
        <v>8.9697144886805392E-6</v>
      </c>
      <c r="AS15">
        <v>24.232543618483302</v>
      </c>
      <c r="AT15">
        <v>12.888482536911599</v>
      </c>
      <c r="AU15">
        <v>4.0957657760127004</v>
      </c>
      <c r="AV15">
        <v>0.33004652833131098</v>
      </c>
      <c r="AW15">
        <v>9.1648317117113895E-3</v>
      </c>
      <c r="AX15">
        <v>0.33004652544413998</v>
      </c>
      <c r="AY15">
        <v>2.8871704471633601E-9</v>
      </c>
      <c r="AZ15">
        <v>1251724.78894587</v>
      </c>
      <c r="BA15">
        <v>1.27042091475954E-5</v>
      </c>
      <c r="BB15">
        <v>812764.50671567605</v>
      </c>
      <c r="BC15">
        <v>-1455.2471905744201</v>
      </c>
      <c r="BD15">
        <v>-0.17872904502658099</v>
      </c>
      <c r="BE15">
        <v>1832501.76380712</v>
      </c>
      <c r="BF15">
        <v>0.44352727117004997</v>
      </c>
      <c r="BG15">
        <v>1</v>
      </c>
      <c r="BH15">
        <v>0.104</v>
      </c>
      <c r="BI15">
        <v>4.5999999999999999E-2</v>
      </c>
      <c r="BJ15">
        <v>5625</v>
      </c>
      <c r="BK15">
        <v>1</v>
      </c>
      <c r="BL15">
        <v>28.1061408862919</v>
      </c>
      <c r="BM15">
        <v>0.81276450671567602</v>
      </c>
      <c r="BN15">
        <v>28.1061408862919</v>
      </c>
      <c r="BO15">
        <v>1</v>
      </c>
      <c r="BP15">
        <v>141.463884616738</v>
      </c>
      <c r="BQ15">
        <v>1</v>
      </c>
      <c r="BR15">
        <v>1.524</v>
      </c>
      <c r="BS15">
        <v>14</v>
      </c>
      <c r="BT15">
        <v>101</v>
      </c>
      <c r="BU15" t="s">
        <v>303</v>
      </c>
      <c r="BV15" t="str">
        <f>"Table "&amp;TRIM(RIGHT(SUBSTITUTE($A15,"_",REPT(" ",50)),50))</f>
        <v>Table 8</v>
      </c>
      <c r="BW15">
        <f>$BR15/$Q15</f>
        <v>163.04347826086956</v>
      </c>
      <c r="BX15" t="str">
        <f>IF($BW15&lt;40,"outside_low",IF($BW15&lt;=100,"short_anchor",IF($BW15&lt;250,"middle",IF($BW15&lt;=400,"long","outside_high"))))</f>
        <v>middle</v>
      </c>
      <c r="BY15" t="str">
        <f>IF($N15&gt;1000,"PASS","FAIL")</f>
        <v>PASS</v>
      </c>
      <c r="BZ15" t="str">
        <f>IF(AND($BW15&gt;=40,$BW15&lt;=400),"PASS","FAIL")</f>
        <v>PASS</v>
      </c>
    </row>
    <row r="16" spans="1:79">
      <c r="A16" t="s">
        <v>170</v>
      </c>
      <c r="B16">
        <v>11066085.455535199</v>
      </c>
      <c r="C16">
        <v>591.59844217507998</v>
      </c>
      <c r="D16">
        <v>63.116059220916597</v>
      </c>
      <c r="E16">
        <v>670.70218150320602</v>
      </c>
      <c r="F16">
        <v>2704704.39286354</v>
      </c>
      <c r="G16">
        <v>1452979.60391767</v>
      </c>
      <c r="H16">
        <v>2.06764711739806E-5</v>
      </c>
      <c r="I16">
        <v>7.8893761069449804E-5</v>
      </c>
      <c r="J16">
        <v>0.52262372288993397</v>
      </c>
      <c r="K16">
        <v>6471.9652427383999</v>
      </c>
      <c r="L16">
        <v>1.01117851422936E-2</v>
      </c>
      <c r="M16">
        <v>101</v>
      </c>
      <c r="N16">
        <v>4068.6896969858799</v>
      </c>
      <c r="O16">
        <v>6.8620353649299505E-5</v>
      </c>
      <c r="P16">
        <v>2.93650948516345E-2</v>
      </c>
      <c r="Q16">
        <v>9.3472E-3</v>
      </c>
      <c r="R16">
        <v>1.524</v>
      </c>
      <c r="S16">
        <v>2338283.68359375</v>
      </c>
      <c r="T16">
        <v>508.03105271669699</v>
      </c>
      <c r="U16">
        <v>565.94322782433596</v>
      </c>
      <c r="V16">
        <v>0.03</v>
      </c>
      <c r="W16">
        <v>482051.50597634801</v>
      </c>
      <c r="X16">
        <v>2.19536601587824E-2</v>
      </c>
      <c r="Y16">
        <v>6.7491103875770904</v>
      </c>
      <c r="Z16">
        <v>6.7491104089474598</v>
      </c>
      <c r="AA16">
        <v>-2.1370364144956999E-8</v>
      </c>
      <c r="AB16">
        <v>1.7914830751301099E-5</v>
      </c>
      <c r="AC16">
        <v>625.23613909343101</v>
      </c>
      <c r="AD16">
        <v>12626.1784584409</v>
      </c>
      <c r="AE16">
        <v>565.94322782433596</v>
      </c>
      <c r="AF16">
        <v>0</v>
      </c>
      <c r="AG16">
        <v>1.79501309759705E-5</v>
      </c>
      <c r="AH16">
        <v>67.732385190806497</v>
      </c>
      <c r="AI16">
        <v>0.31778494980171201</v>
      </c>
      <c r="AJ16">
        <v>48.493999712211497</v>
      </c>
      <c r="AK16">
        <v>2.2503835292113301</v>
      </c>
      <c r="AL16">
        <v>0.976989097790955</v>
      </c>
      <c r="AM16">
        <v>591.59844215929297</v>
      </c>
      <c r="AN16">
        <v>1.57873500938877E-8</v>
      </c>
      <c r="AO16">
        <v>3.53002246693494E-8</v>
      </c>
      <c r="AP16">
        <v>4.4295994078993699</v>
      </c>
      <c r="AQ16">
        <v>5.6130344216991898E-5</v>
      </c>
      <c r="AR16">
        <v>8.9927156003199093E-6</v>
      </c>
      <c r="AS16">
        <v>24.294683326695701</v>
      </c>
      <c r="AT16">
        <v>12.901287666338501</v>
      </c>
      <c r="AU16">
        <v>4.0998350534248296</v>
      </c>
      <c r="AV16">
        <v>0.329764354474545</v>
      </c>
      <c r="AW16">
        <v>9.1648317117113895E-3</v>
      </c>
      <c r="AX16">
        <v>0.32976435086020001</v>
      </c>
      <c r="AY16">
        <v>3.61434465689925E-9</v>
      </c>
      <c r="AZ16">
        <v>1251724.78894587</v>
      </c>
      <c r="BA16">
        <v>1.2671652456177799E-5</v>
      </c>
      <c r="BB16">
        <v>2338744.5492774402</v>
      </c>
      <c r="BC16">
        <v>460.86568369204201</v>
      </c>
      <c r="BD16">
        <v>1.9709571038178299E-2</v>
      </c>
      <c r="BE16">
        <v>3154590.7450630502</v>
      </c>
      <c r="BF16">
        <v>0.74137811788663499</v>
      </c>
      <c r="BG16">
        <v>1</v>
      </c>
      <c r="BH16">
        <v>5.3999999999999999E-2</v>
      </c>
      <c r="BI16">
        <v>4.5999999999999999E-2</v>
      </c>
      <c r="BJ16">
        <v>5625</v>
      </c>
      <c r="BK16">
        <v>1</v>
      </c>
      <c r="BL16">
        <v>83.567389458382905</v>
      </c>
      <c r="BM16">
        <v>2.3387445492774401</v>
      </c>
      <c r="BN16">
        <v>83.567389458382905</v>
      </c>
      <c r="BO16">
        <v>1</v>
      </c>
      <c r="BP16">
        <v>1898.11742421841</v>
      </c>
      <c r="BQ16">
        <v>1</v>
      </c>
      <c r="BR16">
        <v>1.524</v>
      </c>
      <c r="BS16">
        <v>15</v>
      </c>
      <c r="BT16">
        <v>102</v>
      </c>
      <c r="BU16" t="s">
        <v>303</v>
      </c>
      <c r="BV16" t="str">
        <f>"Table "&amp;TRIM(RIGHT(SUBSTITUTE($A16,"_",REPT(" ",50)),50))</f>
        <v>Table 8</v>
      </c>
      <c r="BW16">
        <f>$BR16/$Q16</f>
        <v>163.04347826086956</v>
      </c>
      <c r="BX16" t="str">
        <f>IF($BW16&lt;40,"outside_low",IF($BW16&lt;=100,"short_anchor",IF($BW16&lt;250,"middle",IF($BW16&lt;=400,"long","outside_high"))))</f>
        <v>middle</v>
      </c>
      <c r="BY16" t="str">
        <f>IF($N16&gt;1000,"PASS","FAIL")</f>
        <v>PASS</v>
      </c>
      <c r="BZ16" t="str">
        <f>IF(AND($BW16&gt;=40,$BW16&lt;=400),"PASS","FAIL")</f>
        <v>PASS</v>
      </c>
    </row>
    <row r="17" spans="1:78">
      <c r="A17" t="s">
        <v>171</v>
      </c>
      <c r="B17">
        <v>11100559.2420011</v>
      </c>
      <c r="C17">
        <v>591.82497032118897</v>
      </c>
      <c r="D17">
        <v>63.378233975119002</v>
      </c>
      <c r="E17">
        <v>670.12820906723402</v>
      </c>
      <c r="F17">
        <v>2703979.5892605502</v>
      </c>
      <c r="G17">
        <v>1454391.7967250999</v>
      </c>
      <c r="H17">
        <v>2.0692641283812099E-5</v>
      </c>
      <c r="I17">
        <v>7.8806774773375099E-5</v>
      </c>
      <c r="J17">
        <v>0.52222065348031699</v>
      </c>
      <c r="K17">
        <v>6484.9344403701298</v>
      </c>
      <c r="L17">
        <v>1.00629414828223E-2</v>
      </c>
      <c r="M17">
        <v>102</v>
      </c>
      <c r="N17">
        <v>4068.6896969858799</v>
      </c>
      <c r="O17">
        <v>6.8620353649299505E-5</v>
      </c>
      <c r="P17">
        <v>2.93650948516345E-2</v>
      </c>
      <c r="Q17">
        <v>9.3472E-3</v>
      </c>
      <c r="R17">
        <v>1.524</v>
      </c>
      <c r="S17">
        <v>829931.21953124995</v>
      </c>
      <c r="T17">
        <v>563.20065007780795</v>
      </c>
      <c r="U17">
        <v>583.71441458811296</v>
      </c>
      <c r="V17">
        <v>0.03</v>
      </c>
      <c r="W17">
        <v>482583.590624434</v>
      </c>
      <c r="X17">
        <v>2.19295914946466E-2</v>
      </c>
      <c r="Y17">
        <v>6.7528130904714203</v>
      </c>
      <c r="Z17">
        <v>6.7528131097325703</v>
      </c>
      <c r="AA17">
        <v>-1.9261148231919401E-8</v>
      </c>
      <c r="AB17">
        <v>1.7832588998666498E-5</v>
      </c>
      <c r="AC17">
        <v>602.44673908530501</v>
      </c>
      <c r="AD17">
        <v>12633.1843058634</v>
      </c>
      <c r="AE17">
        <v>583.71441461257996</v>
      </c>
      <c r="AF17">
        <v>2.4467226467095299E-8</v>
      </c>
      <c r="AG17">
        <v>1.7845233036161598E-5</v>
      </c>
      <c r="AH17">
        <v>67.716077459586799</v>
      </c>
      <c r="AI17">
        <v>0.31788273911831899</v>
      </c>
      <c r="AJ17">
        <v>48.237358337665199</v>
      </c>
      <c r="AK17">
        <v>0.71051600455188102</v>
      </c>
      <c r="AL17">
        <v>0.9786222824709</v>
      </c>
      <c r="AM17">
        <v>591.82497031702997</v>
      </c>
      <c r="AN17">
        <v>4.1585508370189903E-9</v>
      </c>
      <c r="AO17">
        <v>1.2644037495100101E-8</v>
      </c>
      <c r="AP17">
        <v>4.42011370409951</v>
      </c>
      <c r="AQ17">
        <v>5.5891251248146498E-5</v>
      </c>
      <c r="AR17">
        <v>8.9289385368283595E-6</v>
      </c>
      <c r="AS17">
        <v>24.1357681854414</v>
      </c>
      <c r="AT17">
        <v>12.8684744864814</v>
      </c>
      <c r="AU17">
        <v>4.0906659180369003</v>
      </c>
      <c r="AV17">
        <v>0.329447786062607</v>
      </c>
      <c r="AW17">
        <v>9.1385772832399698E-3</v>
      </c>
      <c r="AX17">
        <v>0.329447784262068</v>
      </c>
      <c r="AY17">
        <v>1.80053860709961E-9</v>
      </c>
      <c r="AZ17">
        <v>1249587.7925354501</v>
      </c>
      <c r="BA17">
        <v>1.2644754182750799E-5</v>
      </c>
      <c r="BB17">
        <v>837336.56768416299</v>
      </c>
      <c r="BC17">
        <v>7405.3481529128003</v>
      </c>
      <c r="BD17">
        <v>0.89228456270091705</v>
      </c>
      <c r="BE17">
        <v>1868148.63922634</v>
      </c>
      <c r="BF17">
        <v>0.44821731531540798</v>
      </c>
      <c r="BG17">
        <v>1</v>
      </c>
      <c r="BH17">
        <v>0.106</v>
      </c>
      <c r="BI17">
        <v>4.5999999999999999E-2</v>
      </c>
      <c r="BJ17">
        <v>5625</v>
      </c>
      <c r="BK17">
        <v>1</v>
      </c>
      <c r="BL17">
        <v>28.6243202433809</v>
      </c>
      <c r="BM17">
        <v>0.83733656768416298</v>
      </c>
      <c r="BN17">
        <v>28.6243202433809</v>
      </c>
      <c r="BO17">
        <v>1</v>
      </c>
      <c r="BP17">
        <v>129.406089925153</v>
      </c>
      <c r="BQ17">
        <v>1</v>
      </c>
      <c r="BR17">
        <v>1.524</v>
      </c>
      <c r="BS17">
        <v>16</v>
      </c>
      <c r="BT17">
        <v>103</v>
      </c>
      <c r="BU17" t="s">
        <v>303</v>
      </c>
      <c r="BV17" t="str">
        <f>"Table "&amp;TRIM(RIGHT(SUBSTITUTE($A17,"_",REPT(" ",50)),50))</f>
        <v>Table 8</v>
      </c>
      <c r="BW17">
        <f>$BR17/$Q17</f>
        <v>163.04347826086956</v>
      </c>
      <c r="BX17" t="str">
        <f>IF($BW17&lt;40,"outside_low",IF($BW17&lt;=100,"short_anchor",IF($BW17&lt;250,"middle",IF($BW17&lt;=400,"long","outside_high"))))</f>
        <v>middle</v>
      </c>
      <c r="BY17" t="str">
        <f>IF($N17&gt;1000,"PASS","FAIL")</f>
        <v>PASS</v>
      </c>
      <c r="BZ17" t="str">
        <f>IF(AND($BW17&gt;=40,$BW17&lt;=400),"PASS","FAIL")</f>
        <v>PASS</v>
      </c>
    </row>
    <row r="18" spans="1:78">
      <c r="A18" t="s">
        <v>172</v>
      </c>
      <c r="B18">
        <v>12065825.263044599</v>
      </c>
      <c r="C18">
        <v>598.16775841223</v>
      </c>
      <c r="D18">
        <v>70.719127092772794</v>
      </c>
      <c r="E18">
        <v>654.056980860061</v>
      </c>
      <c r="F18">
        <v>2683685.08837691</v>
      </c>
      <c r="G18">
        <v>1493933.1953330799</v>
      </c>
      <c r="H18">
        <v>2.11454043590923E-5</v>
      </c>
      <c r="I18">
        <v>7.6371158483287804E-5</v>
      </c>
      <c r="J18">
        <v>0.51093471001103696</v>
      </c>
      <c r="K18">
        <v>6848.0719740579098</v>
      </c>
      <c r="L18">
        <v>8.69531901762856E-3</v>
      </c>
      <c r="M18">
        <v>103</v>
      </c>
      <c r="N18">
        <v>2305.590828292</v>
      </c>
      <c r="O18">
        <v>2.8502295699234199E-6</v>
      </c>
      <c r="P18">
        <v>5.98473400508856E-3</v>
      </c>
      <c r="Q18">
        <v>1.905E-3</v>
      </c>
      <c r="R18">
        <v>0.15240000000000001</v>
      </c>
      <c r="S18">
        <v>3116361.46484375</v>
      </c>
      <c r="T18">
        <v>509.74524427840402</v>
      </c>
      <c r="U18">
        <v>572.905990408874</v>
      </c>
      <c r="V18">
        <v>0.03</v>
      </c>
      <c r="W18">
        <v>57510.591892584504</v>
      </c>
      <c r="X18">
        <v>3.9249802747889001E-2</v>
      </c>
      <c r="Y18">
        <v>5.0475573345957896</v>
      </c>
      <c r="Z18">
        <v>5.04755734622014</v>
      </c>
      <c r="AA18">
        <v>-1.1624356588413301E-8</v>
      </c>
      <c r="AB18">
        <v>2.6167991399821499E-5</v>
      </c>
      <c r="AC18">
        <v>659.72297118324298</v>
      </c>
      <c r="AD18">
        <v>2014.1489646177099</v>
      </c>
      <c r="AE18">
        <v>572.905990408874</v>
      </c>
      <c r="AF18">
        <v>0</v>
      </c>
      <c r="AG18">
        <v>2.62392935741995E-5</v>
      </c>
      <c r="AH18">
        <v>39.874603525074001</v>
      </c>
      <c r="AI18">
        <v>0.246910976061682</v>
      </c>
      <c r="AJ18">
        <v>55.485402608686897</v>
      </c>
      <c r="AK18">
        <v>3.9178380092004699</v>
      </c>
      <c r="AL18">
        <v>1.0236047381170099</v>
      </c>
      <c r="AM18">
        <v>598.16775841085405</v>
      </c>
      <c r="AN18">
        <v>1.37617917062016E-9</v>
      </c>
      <c r="AO18">
        <v>7.1302174378045305E-8</v>
      </c>
      <c r="AP18">
        <v>3.6355816830110501</v>
      </c>
      <c r="AQ18">
        <v>6.4769264744604904E-5</v>
      </c>
      <c r="AR18">
        <v>1.31552978742888E-5</v>
      </c>
      <c r="AS18">
        <v>27.818088811271799</v>
      </c>
      <c r="AT18">
        <v>13.5784324288138</v>
      </c>
      <c r="AU18">
        <v>3.3526640043860301</v>
      </c>
      <c r="AV18">
        <v>0.28291767862502798</v>
      </c>
      <c r="AW18">
        <v>1.4145212846796E-2</v>
      </c>
      <c r="AX18">
        <v>0.28291766355242598</v>
      </c>
      <c r="AY18">
        <v>1.5072602110865999E-8</v>
      </c>
      <c r="AZ18">
        <v>1189751.8930438301</v>
      </c>
      <c r="BA18">
        <v>1.7815378773435198E-5</v>
      </c>
      <c r="BB18">
        <v>3114438.09877531</v>
      </c>
      <c r="BC18">
        <v>-1923.3660684428201</v>
      </c>
      <c r="BD18">
        <v>-6.1718324082127997E-2</v>
      </c>
      <c r="BE18">
        <v>3217681.8</v>
      </c>
      <c r="BF18">
        <v>0.96791363856280199</v>
      </c>
      <c r="BG18">
        <v>1</v>
      </c>
      <c r="BH18">
        <v>-2.1000000000000001E-2</v>
      </c>
      <c r="BI18">
        <v>4.5999999999999999E-2</v>
      </c>
      <c r="BJ18">
        <v>5625</v>
      </c>
      <c r="BK18">
        <v>1</v>
      </c>
      <c r="BL18">
        <v>88.422514133825999</v>
      </c>
      <c r="BM18">
        <v>3.11443809877531</v>
      </c>
      <c r="BN18">
        <v>88.422514133825999</v>
      </c>
      <c r="BO18">
        <v>1</v>
      </c>
      <c r="BP18">
        <v>2344.73987504058</v>
      </c>
      <c r="BQ18">
        <v>1</v>
      </c>
      <c r="BR18">
        <v>0.15240000000000001</v>
      </c>
      <c r="BS18">
        <v>17</v>
      </c>
      <c r="BT18">
        <v>104</v>
      </c>
      <c r="BU18" t="s">
        <v>303</v>
      </c>
      <c r="BV18" t="str">
        <f>"Table "&amp;TRIM(RIGHT(SUBSTITUTE($A18,"_",REPT(" ",50)),50))</f>
        <v>Table 9</v>
      </c>
      <c r="BW18">
        <f>$BR18/$Q18</f>
        <v>80</v>
      </c>
      <c r="BX18" t="str">
        <f>IF($BW18&lt;40,"outside_low",IF($BW18&lt;=100,"short_anchor",IF($BW18&lt;250,"middle",IF($BW18&lt;=400,"long","outside_high"))))</f>
        <v>short_anchor</v>
      </c>
      <c r="BY18" t="str">
        <f>IF($N18&gt;1000,"PASS","FAIL")</f>
        <v>PASS</v>
      </c>
      <c r="BZ18" t="str">
        <f>IF(AND($BW18&gt;=40,$BW18&lt;=400),"PASS","FAIL")</f>
        <v>PASS</v>
      </c>
    </row>
    <row r="19" spans="1:78">
      <c r="A19" t="s">
        <v>173</v>
      </c>
      <c r="B19">
        <v>12065825.263044599</v>
      </c>
      <c r="C19">
        <v>598.16775841223</v>
      </c>
      <c r="D19">
        <v>70.719127092772794</v>
      </c>
      <c r="E19">
        <v>654.056980860061</v>
      </c>
      <c r="F19">
        <v>2683685.08837691</v>
      </c>
      <c r="G19">
        <v>1493933.1953330799</v>
      </c>
      <c r="H19">
        <v>2.11454043590923E-5</v>
      </c>
      <c r="I19">
        <v>7.6371158483287804E-5</v>
      </c>
      <c r="J19">
        <v>0.51093471001103696</v>
      </c>
      <c r="K19">
        <v>6848.0719740579098</v>
      </c>
      <c r="L19">
        <v>8.69531901762856E-3</v>
      </c>
      <c r="M19">
        <v>104</v>
      </c>
      <c r="N19">
        <v>2359.8400242518101</v>
      </c>
      <c r="O19">
        <v>2.8502295699234199E-6</v>
      </c>
      <c r="P19">
        <v>5.98473400508856E-3</v>
      </c>
      <c r="Q19">
        <v>1.905E-3</v>
      </c>
      <c r="R19">
        <v>0.15240000000000001</v>
      </c>
      <c r="S19">
        <v>3323367.87890625</v>
      </c>
      <c r="T19">
        <v>505.32839124330701</v>
      </c>
      <c r="U19">
        <v>571.13621323246002</v>
      </c>
      <c r="V19">
        <v>0.03</v>
      </c>
      <c r="W19">
        <v>58863.782290057097</v>
      </c>
      <c r="X19">
        <v>3.8799010040635601E-2</v>
      </c>
      <c r="Y19">
        <v>5.0767955918201002</v>
      </c>
      <c r="Z19">
        <v>5.0767956483501004</v>
      </c>
      <c r="AA19">
        <v>-5.6530007341848399E-8</v>
      </c>
      <c r="AB19">
        <v>2.5268913480376799E-5</v>
      </c>
      <c r="AC19">
        <v>662.974878688339</v>
      </c>
      <c r="AD19">
        <v>2049.6678894582801</v>
      </c>
      <c r="AE19">
        <v>571.13621386220802</v>
      </c>
      <c r="AF19">
        <v>6.2974868342280398E-7</v>
      </c>
      <c r="AG19">
        <v>2.5342561666786901E-5</v>
      </c>
      <c r="AH19">
        <v>41.293357663586598</v>
      </c>
      <c r="AI19">
        <v>0.251265178533847</v>
      </c>
      <c r="AJ19">
        <v>54.534209853049198</v>
      </c>
      <c r="AK19">
        <v>4.1361944496332299</v>
      </c>
      <c r="AL19">
        <v>1.0236047381170099</v>
      </c>
      <c r="AM19">
        <v>598.16775830021095</v>
      </c>
      <c r="AN19">
        <v>1.12018938125402E-7</v>
      </c>
      <c r="AO19">
        <v>7.3648186410037306E-8</v>
      </c>
      <c r="AP19">
        <v>3.6751098206559099</v>
      </c>
      <c r="AQ19">
        <v>6.3383488425854895E-5</v>
      </c>
      <c r="AR19">
        <v>1.27081049265985E-5</v>
      </c>
      <c r="AS19">
        <v>27.346346040856101</v>
      </c>
      <c r="AT19">
        <v>13.492914599870099</v>
      </c>
      <c r="AU19">
        <v>3.39029959587831</v>
      </c>
      <c r="AV19">
        <v>0.28481022477759899</v>
      </c>
      <c r="AW19">
        <v>1.3659212666572501E-2</v>
      </c>
      <c r="AX19">
        <v>0.28481021272900597</v>
      </c>
      <c r="AY19">
        <v>1.20485920684921E-8</v>
      </c>
      <c r="AZ19">
        <v>1189751.8930438301</v>
      </c>
      <c r="BA19">
        <v>1.7246692349058198E-5</v>
      </c>
      <c r="BB19">
        <v>3322983.8472857899</v>
      </c>
      <c r="BC19">
        <v>-384.03162046475302</v>
      </c>
      <c r="BD19">
        <v>-1.15554953426083E-2</v>
      </c>
      <c r="BE19">
        <v>3438503.1</v>
      </c>
      <c r="BF19">
        <v>0.96640420283052397</v>
      </c>
      <c r="BG19">
        <v>1</v>
      </c>
      <c r="BH19">
        <v>-2.1000000000000001E-2</v>
      </c>
      <c r="BI19">
        <v>4.5999999999999999E-2</v>
      </c>
      <c r="BJ19">
        <v>5625</v>
      </c>
      <c r="BK19">
        <v>1</v>
      </c>
      <c r="BL19">
        <v>92.839367168923005</v>
      </c>
      <c r="BM19">
        <v>3.32298384728578</v>
      </c>
      <c r="BN19">
        <v>92.839367168923005</v>
      </c>
      <c r="BO19">
        <v>1</v>
      </c>
      <c r="BP19">
        <v>2791.99872281226</v>
      </c>
      <c r="BQ19">
        <v>1</v>
      </c>
      <c r="BR19">
        <v>0.15240000000000001</v>
      </c>
      <c r="BS19">
        <v>18</v>
      </c>
      <c r="BT19">
        <v>105</v>
      </c>
      <c r="BU19" t="s">
        <v>303</v>
      </c>
      <c r="BV19" t="str">
        <f>"Table "&amp;TRIM(RIGHT(SUBSTITUTE($A19,"_",REPT(" ",50)),50))</f>
        <v>Table 9</v>
      </c>
      <c r="BW19">
        <f>$BR19/$Q19</f>
        <v>80</v>
      </c>
      <c r="BX19" t="str">
        <f>IF($BW19&lt;40,"outside_low",IF($BW19&lt;=100,"short_anchor",IF($BW19&lt;250,"middle",IF($BW19&lt;=400,"long","outside_high"))))</f>
        <v>short_anchor</v>
      </c>
      <c r="BY19" t="str">
        <f>IF($N19&gt;1000,"PASS","FAIL")</f>
        <v>PASS</v>
      </c>
      <c r="BZ19" t="str">
        <f>IF(AND($BW19&gt;=40,$BW19&lt;=400),"PASS","FAIL")</f>
        <v>PASS</v>
      </c>
    </row>
    <row r="20" spans="1:78">
      <c r="A20" t="s">
        <v>174</v>
      </c>
      <c r="B20">
        <v>12065825.263044599</v>
      </c>
      <c r="C20">
        <v>598.16775841223</v>
      </c>
      <c r="D20">
        <v>70.719127092772794</v>
      </c>
      <c r="E20">
        <v>654.056980860061</v>
      </c>
      <c r="F20">
        <v>2683685.08837691</v>
      </c>
      <c r="G20">
        <v>1493933.1953330799</v>
      </c>
      <c r="H20">
        <v>2.11454043590923E-5</v>
      </c>
      <c r="I20">
        <v>7.6371158483287804E-5</v>
      </c>
      <c r="J20">
        <v>0.51093471001103696</v>
      </c>
      <c r="K20">
        <v>6848.0719740579098</v>
      </c>
      <c r="L20">
        <v>8.69531901762856E-3</v>
      </c>
      <c r="M20">
        <v>105</v>
      </c>
      <c r="N20">
        <v>2373.4023232417599</v>
      </c>
      <c r="O20">
        <v>2.8502295699234199E-6</v>
      </c>
      <c r="P20">
        <v>5.98473400508856E-3</v>
      </c>
      <c r="Q20">
        <v>1.905E-3</v>
      </c>
      <c r="R20">
        <v>0.15240000000000001</v>
      </c>
      <c r="S20">
        <v>3872772.55859375</v>
      </c>
      <c r="T20">
        <v>489.74374548652298</v>
      </c>
      <c r="U20">
        <v>565.99241875713005</v>
      </c>
      <c r="V20">
        <v>0.03</v>
      </c>
      <c r="W20">
        <v>59202.079889425098</v>
      </c>
      <c r="X20">
        <v>3.8689057939631698E-2</v>
      </c>
      <c r="Y20">
        <v>5.0840044557431696</v>
      </c>
      <c r="Z20">
        <v>5.0840044978888601</v>
      </c>
      <c r="AA20">
        <v>-4.2145681611316403E-8</v>
      </c>
      <c r="AB20">
        <v>2.5051945446299999E-5</v>
      </c>
      <c r="AC20">
        <v>675.01812988454299</v>
      </c>
      <c r="AD20">
        <v>2058.5245604412498</v>
      </c>
      <c r="AE20">
        <v>565.99241875713005</v>
      </c>
      <c r="AF20">
        <v>0</v>
      </c>
      <c r="AG20">
        <v>2.5136620968882202E-5</v>
      </c>
      <c r="AH20">
        <v>41.650988117952103</v>
      </c>
      <c r="AI20">
        <v>0.25235090223923201</v>
      </c>
      <c r="AJ20">
        <v>54.324778615166899</v>
      </c>
      <c r="AK20">
        <v>4.9078457773538098</v>
      </c>
      <c r="AL20">
        <v>1.0236047381170099</v>
      </c>
      <c r="AM20">
        <v>598.16775831803398</v>
      </c>
      <c r="AN20">
        <v>9.4196025202109E-8</v>
      </c>
      <c r="AO20">
        <v>8.4675522582185395E-8</v>
      </c>
      <c r="AP20">
        <v>3.6858810005906202</v>
      </c>
      <c r="AQ20">
        <v>6.3013580978410496E-5</v>
      </c>
      <c r="AR20">
        <v>1.26106482457322E-5</v>
      </c>
      <c r="AS20">
        <v>27.253888857664101</v>
      </c>
      <c r="AT20">
        <v>13.4759811065005</v>
      </c>
      <c r="AU20">
        <v>3.4006759907842299</v>
      </c>
      <c r="AV20">
        <v>0.28520500980639302</v>
      </c>
      <c r="AW20">
        <v>1.3541929724367401E-2</v>
      </c>
      <c r="AX20">
        <v>0.28520499360575702</v>
      </c>
      <c r="AY20">
        <v>1.6200636721031E-8</v>
      </c>
      <c r="AZ20">
        <v>1189751.8930438301</v>
      </c>
      <c r="BA20">
        <v>1.7095934721797401E-5</v>
      </c>
      <c r="BB20">
        <v>3854224.64911727</v>
      </c>
      <c r="BC20">
        <v>-18547.9094764777</v>
      </c>
      <c r="BD20">
        <v>-0.47893102927822401</v>
      </c>
      <c r="BE20">
        <v>3974783.4</v>
      </c>
      <c r="BF20">
        <v>0.96966910174709697</v>
      </c>
      <c r="BG20">
        <v>1</v>
      </c>
      <c r="BH20">
        <v>-2.3E-2</v>
      </c>
      <c r="BI20">
        <v>4.5999999999999999E-2</v>
      </c>
      <c r="BJ20">
        <v>5625</v>
      </c>
      <c r="BK20">
        <v>1</v>
      </c>
      <c r="BL20">
        <v>108.424012925707</v>
      </c>
      <c r="BM20">
        <v>3.85422464911727</v>
      </c>
      <c r="BN20">
        <v>108.424012925707</v>
      </c>
      <c r="BO20">
        <v>1</v>
      </c>
      <c r="BP20">
        <v>4681.8455448573204</v>
      </c>
      <c r="BQ20">
        <v>1</v>
      </c>
      <c r="BR20">
        <v>0.15240000000000001</v>
      </c>
      <c r="BS20">
        <v>19</v>
      </c>
      <c r="BT20">
        <v>106</v>
      </c>
      <c r="BU20" t="s">
        <v>303</v>
      </c>
      <c r="BV20" t="str">
        <f>"Table "&amp;TRIM(RIGHT(SUBSTITUTE($A20,"_",REPT(" ",50)),50))</f>
        <v>Table 9</v>
      </c>
      <c r="BW20">
        <f>$BR20/$Q20</f>
        <v>80</v>
      </c>
      <c r="BX20" t="str">
        <f>IF($BW20&lt;40,"outside_low",IF($BW20&lt;=100,"short_anchor",IF($BW20&lt;250,"middle",IF($BW20&lt;=400,"long","outside_high"))))</f>
        <v>short_anchor</v>
      </c>
      <c r="BY20" t="str">
        <f>IF($N20&gt;1000,"PASS","FAIL")</f>
        <v>PASS</v>
      </c>
      <c r="BZ20" t="str">
        <f>IF(AND($BW20&gt;=40,$BW20&lt;=400),"PASS","FAIL")</f>
        <v>PASS</v>
      </c>
    </row>
    <row r="21" spans="1:78">
      <c r="A21" t="s">
        <v>175</v>
      </c>
      <c r="B21">
        <v>12065825.263044599</v>
      </c>
      <c r="C21">
        <v>598.16775841223</v>
      </c>
      <c r="D21">
        <v>70.719127092772794</v>
      </c>
      <c r="E21">
        <v>654.056980860061</v>
      </c>
      <c r="F21">
        <v>2683685.08837691</v>
      </c>
      <c r="G21">
        <v>1493933.1953330799</v>
      </c>
      <c r="H21">
        <v>2.11454043590923E-5</v>
      </c>
      <c r="I21">
        <v>7.6371158483287804E-5</v>
      </c>
      <c r="J21">
        <v>0.51093471001103696</v>
      </c>
      <c r="K21">
        <v>6848.0719740579098</v>
      </c>
      <c r="L21">
        <v>8.69531901762856E-3</v>
      </c>
      <c r="M21">
        <v>106</v>
      </c>
      <c r="N21">
        <v>2427.65151920157</v>
      </c>
      <c r="O21">
        <v>2.8502295699234199E-6</v>
      </c>
      <c r="P21">
        <v>5.98473400508856E-3</v>
      </c>
      <c r="Q21">
        <v>1.905E-3</v>
      </c>
      <c r="R21">
        <v>0.15240000000000001</v>
      </c>
      <c r="S21">
        <v>3996234.31640625</v>
      </c>
      <c r="T21">
        <v>488.095222083176</v>
      </c>
      <c r="U21">
        <v>565.016459415393</v>
      </c>
      <c r="V21">
        <v>0.03</v>
      </c>
      <c r="W21">
        <v>60555.270286897699</v>
      </c>
      <c r="X21">
        <v>3.82597250109772E-2</v>
      </c>
      <c r="Y21">
        <v>5.1124500501846102</v>
      </c>
      <c r="Z21">
        <v>5.1124500834252897</v>
      </c>
      <c r="AA21">
        <v>-3.3240684871316301E-8</v>
      </c>
      <c r="AB21">
        <v>2.42135130078799E-5</v>
      </c>
      <c r="AC21">
        <v>676.12142444051005</v>
      </c>
      <c r="AD21">
        <v>2093.8611544431301</v>
      </c>
      <c r="AE21">
        <v>565.01646017660698</v>
      </c>
      <c r="AF21">
        <v>7.6121420988783896E-7</v>
      </c>
      <c r="AG21">
        <v>2.4298526274741E-5</v>
      </c>
      <c r="AH21">
        <v>43.093221614552803</v>
      </c>
      <c r="AI21">
        <v>0.25668275309484001</v>
      </c>
      <c r="AJ21">
        <v>53.414950421938002</v>
      </c>
      <c r="AK21">
        <v>4.9917653237325199</v>
      </c>
      <c r="AL21">
        <v>1.0236047381170099</v>
      </c>
      <c r="AM21">
        <v>598.16775827399897</v>
      </c>
      <c r="AN21">
        <v>1.382314849252E-7</v>
      </c>
      <c r="AO21">
        <v>8.5013266861042495E-8</v>
      </c>
      <c r="AP21">
        <v>3.72462494034481</v>
      </c>
      <c r="AQ21">
        <v>6.1709451513758797E-5</v>
      </c>
      <c r="AR21">
        <v>1.2191769770800999E-5</v>
      </c>
      <c r="AS21">
        <v>26.800916668760401</v>
      </c>
      <c r="AT21">
        <v>13.3921804549505</v>
      </c>
      <c r="AU21">
        <v>3.4375417491195801</v>
      </c>
      <c r="AV21">
        <v>0.28708319122522502</v>
      </c>
      <c r="AW21">
        <v>1.30887117024756E-2</v>
      </c>
      <c r="AX21">
        <v>0.28708315801375001</v>
      </c>
      <c r="AY21">
        <v>3.3211474848027203E-8</v>
      </c>
      <c r="AZ21">
        <v>1189751.8930438301</v>
      </c>
      <c r="BA21">
        <v>1.6567963889552399E-5</v>
      </c>
      <c r="BB21">
        <v>3992910.31786429</v>
      </c>
      <c r="BC21">
        <v>-3323.99854195956</v>
      </c>
      <c r="BD21">
        <v>-8.3178269310013306E-2</v>
      </c>
      <c r="BE21">
        <v>4069421.1</v>
      </c>
      <c r="BF21">
        <v>0.98119860779811896</v>
      </c>
      <c r="BG21">
        <v>1</v>
      </c>
      <c r="BH21">
        <v>-2.9000000000000001E-2</v>
      </c>
      <c r="BI21">
        <v>4.5999999999999999E-2</v>
      </c>
      <c r="BJ21">
        <v>5625</v>
      </c>
      <c r="BK21">
        <v>1</v>
      </c>
      <c r="BL21">
        <v>110.072536329054</v>
      </c>
      <c r="BM21">
        <v>3.9929103178642902</v>
      </c>
      <c r="BN21">
        <v>110.072536329054</v>
      </c>
      <c r="BO21">
        <v>1</v>
      </c>
      <c r="BP21">
        <v>4910.1603475865904</v>
      </c>
      <c r="BQ21">
        <v>1</v>
      </c>
      <c r="BR21">
        <v>0.15240000000000001</v>
      </c>
      <c r="BS21">
        <v>20</v>
      </c>
      <c r="BT21">
        <v>107</v>
      </c>
      <c r="BU21" t="s">
        <v>303</v>
      </c>
      <c r="BV21" t="str">
        <f>"Table "&amp;TRIM(RIGHT(SUBSTITUTE($A21,"_",REPT(" ",50)),50))</f>
        <v>Table 9</v>
      </c>
      <c r="BW21">
        <f>$BR21/$Q21</f>
        <v>80</v>
      </c>
      <c r="BX21" t="str">
        <f>IF($BW21&lt;40,"outside_low",IF($BW21&lt;=100,"short_anchor",IF($BW21&lt;250,"middle",IF($BW21&lt;=400,"long","outside_high"))))</f>
        <v>short_anchor</v>
      </c>
      <c r="BY21" t="str">
        <f>IF($N21&gt;1000,"PASS","FAIL")</f>
        <v>PASS</v>
      </c>
      <c r="BZ21" t="str">
        <f>IF(AND($BW21&gt;=40,$BW21&lt;=400),"PASS","FAIL")</f>
        <v>PASS</v>
      </c>
    </row>
    <row r="22" spans="1:78">
      <c r="A22" t="s">
        <v>176</v>
      </c>
      <c r="B22">
        <v>12065825.263044599</v>
      </c>
      <c r="C22">
        <v>598.16775841223</v>
      </c>
      <c r="D22">
        <v>70.719127092772794</v>
      </c>
      <c r="E22">
        <v>654.056980860061</v>
      </c>
      <c r="F22">
        <v>2683685.08837691</v>
      </c>
      <c r="G22">
        <v>1493933.1953330799</v>
      </c>
      <c r="H22">
        <v>2.11454043590923E-5</v>
      </c>
      <c r="I22">
        <v>7.6371158483287804E-5</v>
      </c>
      <c r="J22">
        <v>0.51093471001103696</v>
      </c>
      <c r="K22">
        <v>6848.0719740579098</v>
      </c>
      <c r="L22">
        <v>8.69531901762856E-3</v>
      </c>
      <c r="M22">
        <v>107</v>
      </c>
      <c r="N22">
        <v>2509.0253131412901</v>
      </c>
      <c r="O22">
        <v>2.8502295699234199E-6</v>
      </c>
      <c r="P22">
        <v>5.98473400508856E-3</v>
      </c>
      <c r="Q22">
        <v>1.905E-3</v>
      </c>
      <c r="R22">
        <v>0.15240000000000001</v>
      </c>
      <c r="S22">
        <v>5177421.33203125</v>
      </c>
      <c r="T22">
        <v>457.53598356801803</v>
      </c>
      <c r="U22">
        <v>553.96109025150304</v>
      </c>
      <c r="V22">
        <v>0.03</v>
      </c>
      <c r="W22">
        <v>62585.055883106601</v>
      </c>
      <c r="X22">
        <v>3.7645423118246299E-2</v>
      </c>
      <c r="Y22">
        <v>5.1539939996903597</v>
      </c>
      <c r="Z22">
        <v>5.1539940048134598</v>
      </c>
      <c r="AA22">
        <v>-5.1230975017801897E-9</v>
      </c>
      <c r="AB22">
        <v>2.3038280944948399E-5</v>
      </c>
      <c r="AC22">
        <v>699.84347499628996</v>
      </c>
      <c r="AD22">
        <v>2146.6030722262399</v>
      </c>
      <c r="AE22">
        <v>553.96109025150395</v>
      </c>
      <c r="AF22">
        <v>0</v>
      </c>
      <c r="AG22">
        <v>2.3142600953323599E-5</v>
      </c>
      <c r="AH22">
        <v>45.291499162146501</v>
      </c>
      <c r="AI22">
        <v>0.26314829195415801</v>
      </c>
      <c r="AJ22">
        <v>52.155357801270704</v>
      </c>
      <c r="AK22">
        <v>6.5357761019731102</v>
      </c>
      <c r="AL22">
        <v>1.0236047381170099</v>
      </c>
      <c r="AM22">
        <v>598.16775834802002</v>
      </c>
      <c r="AN22">
        <v>6.4209530137304696E-8</v>
      </c>
      <c r="AO22">
        <v>1.04320008375231E-7</v>
      </c>
      <c r="AP22">
        <v>3.78376731985268</v>
      </c>
      <c r="AQ22">
        <v>5.9795422178840497E-5</v>
      </c>
      <c r="AR22">
        <v>1.16234604808494E-5</v>
      </c>
      <c r="AS22">
        <v>26.195229373324601</v>
      </c>
      <c r="AT22">
        <v>13.277886545999801</v>
      </c>
      <c r="AU22">
        <v>3.4940531653409299</v>
      </c>
      <c r="AV22">
        <v>0.28971415451174298</v>
      </c>
      <c r="AW22">
        <v>1.2453435290902801E-2</v>
      </c>
      <c r="AX22">
        <v>0.28971414970586501</v>
      </c>
      <c r="AY22">
        <v>4.8058774182457903E-9</v>
      </c>
      <c r="AZ22">
        <v>1189751.8930438301</v>
      </c>
      <c r="BA22">
        <v>1.58031446239059E-5</v>
      </c>
      <c r="BB22">
        <v>5136840.5882146498</v>
      </c>
      <c r="BC22">
        <v>-40580.743816600203</v>
      </c>
      <c r="BD22">
        <v>-0.78380222922053</v>
      </c>
      <c r="BE22">
        <v>5110435.8</v>
      </c>
      <c r="BF22">
        <v>1.0051668368898501</v>
      </c>
      <c r="BG22">
        <v>1</v>
      </c>
      <c r="BH22">
        <v>-4.5999999999999999E-2</v>
      </c>
      <c r="BI22">
        <v>4.5999999999999999E-2</v>
      </c>
      <c r="BJ22">
        <v>5625</v>
      </c>
      <c r="BK22">
        <v>1</v>
      </c>
      <c r="BL22">
        <v>140.631774844212</v>
      </c>
      <c r="BM22">
        <v>5.1368405882146497</v>
      </c>
      <c r="BN22">
        <v>140.631774844212</v>
      </c>
      <c r="BO22">
        <v>1</v>
      </c>
      <c r="BP22">
        <v>10126.7541082962</v>
      </c>
      <c r="BQ22">
        <v>1</v>
      </c>
      <c r="BR22">
        <v>0.15240000000000001</v>
      </c>
      <c r="BS22">
        <v>21</v>
      </c>
      <c r="BT22">
        <v>108</v>
      </c>
      <c r="BU22" t="s">
        <v>303</v>
      </c>
      <c r="BV22" t="str">
        <f>"Table "&amp;TRIM(RIGHT(SUBSTITUTE($A22,"_",REPT(" ",50)),50))</f>
        <v>Table 9</v>
      </c>
      <c r="BW22">
        <f>$BR22/$Q22</f>
        <v>80</v>
      </c>
      <c r="BX22" t="str">
        <f>IF($BW22&lt;40,"outside_low",IF($BW22&lt;=100,"short_anchor",IF($BW22&lt;250,"middle",IF($BW22&lt;=400,"long","outside_high"))))</f>
        <v>short_anchor</v>
      </c>
      <c r="BY22" t="str">
        <f>IF($N22&gt;1000,"PASS","FAIL")</f>
        <v>PASS</v>
      </c>
      <c r="BZ22" t="str">
        <f>IF(AND($BW22&gt;=40,$BW22&lt;=400),"PASS","FAIL")</f>
        <v>PASS</v>
      </c>
    </row>
    <row r="23" spans="1:78">
      <c r="A23" t="s">
        <v>177</v>
      </c>
      <c r="B23">
        <v>12065825.263044599</v>
      </c>
      <c r="C23">
        <v>598.16775841223</v>
      </c>
      <c r="D23">
        <v>70.719127092772794</v>
      </c>
      <c r="E23">
        <v>654.056980860061</v>
      </c>
      <c r="F23">
        <v>2683685.08837691</v>
      </c>
      <c r="G23">
        <v>1493933.1953330799</v>
      </c>
      <c r="H23">
        <v>2.11454043590923E-5</v>
      </c>
      <c r="I23">
        <v>7.6371158483287804E-5</v>
      </c>
      <c r="J23">
        <v>0.51093471001103696</v>
      </c>
      <c r="K23">
        <v>6848.0719740579098</v>
      </c>
      <c r="L23">
        <v>8.69531901762856E-3</v>
      </c>
      <c r="M23">
        <v>108</v>
      </c>
      <c r="N23">
        <v>2509.0253131412901</v>
      </c>
      <c r="O23">
        <v>2.8502295699234199E-6</v>
      </c>
      <c r="P23">
        <v>5.98473400508856E-3</v>
      </c>
      <c r="Q23">
        <v>1.905E-3</v>
      </c>
      <c r="R23">
        <v>0.15240000000000001</v>
      </c>
      <c r="S23">
        <v>5156818.41796875</v>
      </c>
      <c r="T23">
        <v>458.12079612380802</v>
      </c>
      <c r="U23">
        <v>554.16219090535196</v>
      </c>
      <c r="V23">
        <v>0.03</v>
      </c>
      <c r="W23">
        <v>62585.055883106601</v>
      </c>
      <c r="X23">
        <v>3.7645423118246299E-2</v>
      </c>
      <c r="Y23">
        <v>5.1539939996903597</v>
      </c>
      <c r="Z23">
        <v>5.1539940048134598</v>
      </c>
      <c r="AA23">
        <v>-5.1230975017801897E-9</v>
      </c>
      <c r="AB23">
        <v>2.3038280944948399E-5</v>
      </c>
      <c r="AC23">
        <v>699.37960283900497</v>
      </c>
      <c r="AD23">
        <v>2146.6030722262399</v>
      </c>
      <c r="AE23">
        <v>554.16219090535196</v>
      </c>
      <c r="AF23">
        <v>0</v>
      </c>
      <c r="AG23">
        <v>2.31420236618074E-5</v>
      </c>
      <c r="AH23">
        <v>45.291499162146501</v>
      </c>
      <c r="AI23">
        <v>0.26314829195415801</v>
      </c>
      <c r="AJ23">
        <v>52.154056787368098</v>
      </c>
      <c r="AK23">
        <v>6.5059842020458403</v>
      </c>
      <c r="AL23">
        <v>1.0236047381170099</v>
      </c>
      <c r="AM23">
        <v>598.16775834836699</v>
      </c>
      <c r="AN23">
        <v>6.3863467403280096E-8</v>
      </c>
      <c r="AO23">
        <v>1.03742716859005E-7</v>
      </c>
      <c r="AP23">
        <v>3.7837066183736101</v>
      </c>
      <c r="AQ23">
        <v>5.9797340773514398E-5</v>
      </c>
      <c r="AR23">
        <v>1.1622883189333201E-5</v>
      </c>
      <c r="AS23">
        <v>26.1939283594219</v>
      </c>
      <c r="AT23">
        <v>13.277638209519599</v>
      </c>
      <c r="AU23">
        <v>3.4939878160203501</v>
      </c>
      <c r="AV23">
        <v>0.28971880235325698</v>
      </c>
      <c r="AW23">
        <v>1.2453435290902801E-2</v>
      </c>
      <c r="AX23">
        <v>0.289718797549677</v>
      </c>
      <c r="AY23">
        <v>4.8035798672074698E-9</v>
      </c>
      <c r="AZ23">
        <v>1189751.8930438301</v>
      </c>
      <c r="BA23">
        <v>1.58039052190621E-5</v>
      </c>
      <c r="BB23">
        <v>5108168.2183710197</v>
      </c>
      <c r="BC23">
        <v>-48650.199597733103</v>
      </c>
      <c r="BD23">
        <v>-0.94341502171597102</v>
      </c>
      <c r="BE23">
        <v>5110435.8</v>
      </c>
      <c r="BF23">
        <v>0.99955628409831798</v>
      </c>
      <c r="BG23">
        <v>1</v>
      </c>
      <c r="BH23">
        <v>-4.2999999999999997E-2</v>
      </c>
      <c r="BI23">
        <v>4.5999999999999999E-2</v>
      </c>
      <c r="BJ23">
        <v>5625</v>
      </c>
      <c r="BK23">
        <v>1</v>
      </c>
      <c r="BL23">
        <v>140.04696228842201</v>
      </c>
      <c r="BM23">
        <v>5.10816821837102</v>
      </c>
      <c r="BN23">
        <v>140.04696228842201</v>
      </c>
      <c r="BO23">
        <v>1</v>
      </c>
      <c r="BP23">
        <v>10009.3946631409</v>
      </c>
      <c r="BQ23">
        <v>1</v>
      </c>
      <c r="BR23">
        <v>0.15240000000000001</v>
      </c>
      <c r="BS23">
        <v>22</v>
      </c>
      <c r="BT23">
        <v>109</v>
      </c>
      <c r="BU23" t="s">
        <v>303</v>
      </c>
      <c r="BV23" t="str">
        <f>"Table "&amp;TRIM(RIGHT(SUBSTITUTE($A23,"_",REPT(" ",50)),50))</f>
        <v>Table 9</v>
      </c>
      <c r="BW23">
        <f>$BR23/$Q23</f>
        <v>80</v>
      </c>
      <c r="BX23" t="str">
        <f>IF($BW23&lt;40,"outside_low",IF($BW23&lt;=100,"short_anchor",IF($BW23&lt;250,"middle",IF($BW23&lt;=400,"long","outside_high"))))</f>
        <v>short_anchor</v>
      </c>
      <c r="BY23" t="str">
        <f>IF($N23&gt;1000,"PASS","FAIL")</f>
        <v>PASS</v>
      </c>
      <c r="BZ23" t="str">
        <f>IF(AND($BW23&gt;=40,$BW23&lt;=400),"PASS","FAIL")</f>
        <v>PASS</v>
      </c>
    </row>
    <row r="24" spans="1:78">
      <c r="A24" t="s">
        <v>178</v>
      </c>
      <c r="B24">
        <v>12065825.263044599</v>
      </c>
      <c r="C24">
        <v>598.16775841223</v>
      </c>
      <c r="D24">
        <v>70.719127092772794</v>
      </c>
      <c r="E24">
        <v>654.056980860061</v>
      </c>
      <c r="F24">
        <v>2683685.08837691</v>
      </c>
      <c r="G24">
        <v>1493933.1953330799</v>
      </c>
      <c r="H24">
        <v>2.11454043590923E-5</v>
      </c>
      <c r="I24">
        <v>7.6371158483287804E-5</v>
      </c>
      <c r="J24">
        <v>0.51093471001103696</v>
      </c>
      <c r="K24">
        <v>6848.0719740579098</v>
      </c>
      <c r="L24">
        <v>8.69531901762856E-3</v>
      </c>
      <c r="M24">
        <v>109</v>
      </c>
      <c r="N24">
        <v>2563.2745091011002</v>
      </c>
      <c r="O24">
        <v>2.8502295699234199E-6</v>
      </c>
      <c r="P24">
        <v>5.98473400508856E-3</v>
      </c>
      <c r="Q24">
        <v>1.905E-3</v>
      </c>
      <c r="R24">
        <v>0.15240000000000001</v>
      </c>
      <c r="S24">
        <v>4541772.94921875</v>
      </c>
      <c r="T24">
        <v>477.56256686264697</v>
      </c>
      <c r="U24">
        <v>560.35906386805698</v>
      </c>
      <c r="V24">
        <v>0.03</v>
      </c>
      <c r="W24">
        <v>63938.2462805791</v>
      </c>
      <c r="X24">
        <v>3.72543332247815E-2</v>
      </c>
      <c r="Y24">
        <v>5.1809762634966701</v>
      </c>
      <c r="Z24">
        <v>5.1809763082277902</v>
      </c>
      <c r="AA24">
        <v>-4.4731123693963997E-8</v>
      </c>
      <c r="AB24">
        <v>2.2305158130225799E-5</v>
      </c>
      <c r="AC24">
        <v>683.84871322237098</v>
      </c>
      <c r="AD24">
        <v>2181.5949940127598</v>
      </c>
      <c r="AE24">
        <v>560.35906470654402</v>
      </c>
      <c r="AF24">
        <v>8.3848703980038398E-7</v>
      </c>
      <c r="AG24">
        <v>2.2394769029829302E-5</v>
      </c>
      <c r="AH24">
        <v>46.780133815839598</v>
      </c>
      <c r="AI24">
        <v>0.26743789004961099</v>
      </c>
      <c r="AJ24">
        <v>51.292720217897703</v>
      </c>
      <c r="AK24">
        <v>5.52242437259192</v>
      </c>
      <c r="AL24">
        <v>1.0236047381170099</v>
      </c>
      <c r="AM24">
        <v>598.16775834528403</v>
      </c>
      <c r="AN24">
        <v>6.6946427068614906E-8</v>
      </c>
      <c r="AO24">
        <v>8.9610899603444706E-8</v>
      </c>
      <c r="AP24">
        <v>3.81970098796186</v>
      </c>
      <c r="AQ24">
        <v>5.8675668507990003E-5</v>
      </c>
      <c r="AR24">
        <v>1.12421899647164E-5</v>
      </c>
      <c r="AS24">
        <v>25.748981993454802</v>
      </c>
      <c r="AT24">
        <v>13.1919754604674</v>
      </c>
      <c r="AU24">
        <v>3.52803408273365</v>
      </c>
      <c r="AV24">
        <v>0.29166690522820099</v>
      </c>
      <c r="AW24">
        <v>1.2057142809044101E-2</v>
      </c>
      <c r="AX24">
        <v>0.29166689847382099</v>
      </c>
      <c r="AY24">
        <v>6.7543798332181398E-9</v>
      </c>
      <c r="AZ24">
        <v>1189751.8930438301</v>
      </c>
      <c r="BA24">
        <v>1.5361325059975099E-5</v>
      </c>
      <c r="BB24">
        <v>4539459.5201459099</v>
      </c>
      <c r="BC24">
        <v>-2313.4290728382798</v>
      </c>
      <c r="BD24">
        <v>-5.0936695838928299E-2</v>
      </c>
      <c r="BE24">
        <v>4605701.4000000004</v>
      </c>
      <c r="BF24">
        <v>0.98561741760894706</v>
      </c>
      <c r="BG24">
        <v>1</v>
      </c>
      <c r="BH24">
        <v>-3.5999999999999997E-2</v>
      </c>
      <c r="BI24">
        <v>4.5999999999999999E-2</v>
      </c>
      <c r="BJ24">
        <v>5625</v>
      </c>
      <c r="BK24">
        <v>1</v>
      </c>
      <c r="BL24">
        <v>120.605191549583</v>
      </c>
      <c r="BM24">
        <v>4.5394595201459103</v>
      </c>
      <c r="BN24">
        <v>120.605191549583</v>
      </c>
      <c r="BO24">
        <v>1</v>
      </c>
      <c r="BP24">
        <v>6497.1969047449702</v>
      </c>
      <c r="BQ24">
        <v>1</v>
      </c>
      <c r="BR24">
        <v>0.15240000000000001</v>
      </c>
      <c r="BS24">
        <v>23</v>
      </c>
      <c r="BT24">
        <v>110</v>
      </c>
      <c r="BU24" t="s">
        <v>303</v>
      </c>
      <c r="BV24" t="str">
        <f>"Table "&amp;TRIM(RIGHT(SUBSTITUTE($A24,"_",REPT(" ",50)),50))</f>
        <v>Table 9</v>
      </c>
      <c r="BW24">
        <f>$BR24/$Q24</f>
        <v>80</v>
      </c>
      <c r="BX24" t="str">
        <f>IF($BW24&lt;40,"outside_low",IF($BW24&lt;=100,"short_anchor",IF($BW24&lt;250,"middle",IF($BW24&lt;=400,"long","outside_high"))))</f>
        <v>short_anchor</v>
      </c>
      <c r="BY24" t="str">
        <f>IF($N24&gt;1000,"PASS","FAIL")</f>
        <v>PASS</v>
      </c>
      <c r="BZ24" t="str">
        <f>IF(AND($BW24&gt;=40,$BW24&lt;=400),"PASS","FAIL")</f>
        <v>PASS</v>
      </c>
    </row>
    <row r="25" spans="1:78">
      <c r="A25" t="s">
        <v>179</v>
      </c>
      <c r="B25">
        <v>12065825.263044599</v>
      </c>
      <c r="C25">
        <v>598.16775841223</v>
      </c>
      <c r="D25">
        <v>70.719127092772794</v>
      </c>
      <c r="E25">
        <v>654.056980860061</v>
      </c>
      <c r="F25">
        <v>2683685.08837691</v>
      </c>
      <c r="G25">
        <v>1493933.1953330799</v>
      </c>
      <c r="H25">
        <v>2.11454043590923E-5</v>
      </c>
      <c r="I25">
        <v>7.6371158483287804E-5</v>
      </c>
      <c r="J25">
        <v>0.51093471001103696</v>
      </c>
      <c r="K25">
        <v>6848.0719740579098</v>
      </c>
      <c r="L25">
        <v>8.69531901762856E-3</v>
      </c>
      <c r="M25">
        <v>110</v>
      </c>
      <c r="N25">
        <v>2576.83680809105</v>
      </c>
      <c r="O25">
        <v>2.8502295699234199E-6</v>
      </c>
      <c r="P25">
        <v>5.98473400508856E-3</v>
      </c>
      <c r="Q25">
        <v>1.905E-3</v>
      </c>
      <c r="R25">
        <v>0.15240000000000001</v>
      </c>
      <c r="S25">
        <v>4077429.4766562502</v>
      </c>
      <c r="T25">
        <v>490.87515158354</v>
      </c>
      <c r="U25">
        <v>564.81545100795302</v>
      </c>
      <c r="V25">
        <v>0.03</v>
      </c>
      <c r="W25">
        <v>64276.543879947203</v>
      </c>
      <c r="X25">
        <v>3.71587429954593E-2</v>
      </c>
      <c r="Y25">
        <v>5.1876359695613896</v>
      </c>
      <c r="Z25">
        <v>5.1876360006330202</v>
      </c>
      <c r="AA25">
        <v>-3.1071621720002401E-8</v>
      </c>
      <c r="AB25">
        <v>2.2127762093614899E-5</v>
      </c>
      <c r="AC25">
        <v>673.46298451091104</v>
      </c>
      <c r="AD25">
        <v>2190.3223508466499</v>
      </c>
      <c r="AE25">
        <v>564.81545100795302</v>
      </c>
      <c r="AF25">
        <v>0</v>
      </c>
      <c r="AG25">
        <v>2.2206947011831699E-5</v>
      </c>
      <c r="AH25">
        <v>47.155165429789001</v>
      </c>
      <c r="AI25">
        <v>0.268507761361092</v>
      </c>
      <c r="AJ25">
        <v>51.066007752317297</v>
      </c>
      <c r="AK25">
        <v>4.8564958755838497</v>
      </c>
      <c r="AL25">
        <v>1.0236047381170099</v>
      </c>
      <c r="AM25">
        <v>598.16775837556804</v>
      </c>
      <c r="AN25">
        <v>3.6662186175817597E-8</v>
      </c>
      <c r="AO25">
        <v>7.9184918216793594E-8</v>
      </c>
      <c r="AP25">
        <v>3.8278298271159099</v>
      </c>
      <c r="AQ25">
        <v>5.8426723989637297E-5</v>
      </c>
      <c r="AR25">
        <v>1.1143065965024301E-5</v>
      </c>
      <c r="AS25">
        <v>25.624048756064301</v>
      </c>
      <c r="AT25">
        <v>13.167656575274901</v>
      </c>
      <c r="AU25">
        <v>3.5356179893987298</v>
      </c>
      <c r="AV25">
        <v>0.29221183771718201</v>
      </c>
      <c r="AW25">
        <v>1.19612506689979E-2</v>
      </c>
      <c r="AX25">
        <v>0.29221183046017002</v>
      </c>
      <c r="AY25">
        <v>7.2570114362235902E-9</v>
      </c>
      <c r="AZ25">
        <v>1189751.8930438301</v>
      </c>
      <c r="BA25">
        <v>1.5263668090924301E-5</v>
      </c>
      <c r="BB25">
        <v>4036970.2469377401</v>
      </c>
      <c r="BC25">
        <v>-40459.229718508701</v>
      </c>
      <c r="BD25">
        <v>-0.99227294917404196</v>
      </c>
      <c r="BE25">
        <v>3974783.4</v>
      </c>
      <c r="BF25">
        <v>1.01564534231922</v>
      </c>
      <c r="BG25">
        <v>1</v>
      </c>
      <c r="BH25">
        <v>-5.3999999999999999E-2</v>
      </c>
      <c r="BI25">
        <v>4.5999999999999999E-2</v>
      </c>
      <c r="BJ25">
        <v>5625</v>
      </c>
      <c r="BK25">
        <v>1</v>
      </c>
      <c r="BL25">
        <v>107.29260682869</v>
      </c>
      <c r="BM25">
        <v>4.0369702469377398</v>
      </c>
      <c r="BN25">
        <v>107.29260682869</v>
      </c>
      <c r="BO25">
        <v>1</v>
      </c>
      <c r="BP25">
        <v>4528.2949338006601</v>
      </c>
      <c r="BQ25">
        <v>1</v>
      </c>
      <c r="BR25">
        <v>0.15240000000000001</v>
      </c>
      <c r="BS25">
        <v>24</v>
      </c>
      <c r="BT25">
        <v>111</v>
      </c>
      <c r="BU25" t="s">
        <v>303</v>
      </c>
      <c r="BV25" t="str">
        <f>"Table "&amp;TRIM(RIGHT(SUBSTITUTE($A25,"_",REPT(" ",50)),50))</f>
        <v>Table 9</v>
      </c>
      <c r="BW25">
        <f>$BR25/$Q25</f>
        <v>80</v>
      </c>
      <c r="BX25" t="str">
        <f>IF($BW25&lt;40,"outside_low",IF($BW25&lt;=100,"short_anchor",IF($BW25&lt;250,"middle",IF($BW25&lt;=400,"long","outside_high"))))</f>
        <v>short_anchor</v>
      </c>
      <c r="BY25" t="str">
        <f>IF($N25&gt;1000,"PASS","FAIL")</f>
        <v>PASS</v>
      </c>
      <c r="BZ25" t="str">
        <f>IF(AND($BW25&gt;=40,$BW25&lt;=400),"PASS","FAIL")</f>
        <v>PASS</v>
      </c>
    </row>
    <row r="26" spans="1:78">
      <c r="A26" t="s">
        <v>180</v>
      </c>
      <c r="B26">
        <v>12065825.263044599</v>
      </c>
      <c r="C26">
        <v>598.16775841223</v>
      </c>
      <c r="D26">
        <v>70.719127092772794</v>
      </c>
      <c r="E26">
        <v>654.056980860061</v>
      </c>
      <c r="F26">
        <v>2683685.08837691</v>
      </c>
      <c r="G26">
        <v>1493933.1953330799</v>
      </c>
      <c r="H26">
        <v>2.11454043590923E-5</v>
      </c>
      <c r="I26">
        <v>7.6371158483287804E-5</v>
      </c>
      <c r="J26">
        <v>0.51093471001103696</v>
      </c>
      <c r="K26">
        <v>6848.0719740579098</v>
      </c>
      <c r="L26">
        <v>8.69531901762856E-3</v>
      </c>
      <c r="M26">
        <v>111</v>
      </c>
      <c r="N26">
        <v>2590.3991070810098</v>
      </c>
      <c r="O26">
        <v>2.8502295699234199E-6</v>
      </c>
      <c r="P26">
        <v>5.98473400508856E-3</v>
      </c>
      <c r="Q26">
        <v>1.905E-3</v>
      </c>
      <c r="R26">
        <v>0.15240000000000001</v>
      </c>
      <c r="S26">
        <v>4577493.00390625</v>
      </c>
      <c r="T26">
        <v>477.56256686264697</v>
      </c>
      <c r="U26">
        <v>560.13644264998595</v>
      </c>
      <c r="V26">
        <v>0.03</v>
      </c>
      <c r="W26">
        <v>64614.841479315503</v>
      </c>
      <c r="X26">
        <v>3.7064000565584697E-2</v>
      </c>
      <c r="Y26">
        <v>5.1942620156714003</v>
      </c>
      <c r="Z26">
        <v>5.1942620358384497</v>
      </c>
      <c r="AA26">
        <v>-2.0167054692876701E-8</v>
      </c>
      <c r="AB26">
        <v>2.19526362518863E-5</v>
      </c>
      <c r="AC26">
        <v>683.74516302586301</v>
      </c>
      <c r="AD26">
        <v>2199.0415788359201</v>
      </c>
      <c r="AE26">
        <v>560.13644348743799</v>
      </c>
      <c r="AF26">
        <v>8.3745158008241603E-7</v>
      </c>
      <c r="AG26">
        <v>2.2042438728113199E-5</v>
      </c>
      <c r="AH26">
        <v>47.531342939541801</v>
      </c>
      <c r="AI26">
        <v>0.26957663617182098</v>
      </c>
      <c r="AJ26">
        <v>50.889490038912299</v>
      </c>
      <c r="AK26">
        <v>5.5227737062762401</v>
      </c>
      <c r="AL26">
        <v>1.0236047381170099</v>
      </c>
      <c r="AM26">
        <v>598.16775827583103</v>
      </c>
      <c r="AN26">
        <v>1.3639896678796501E-7</v>
      </c>
      <c r="AO26">
        <v>8.9802476226831696E-8</v>
      </c>
      <c r="AP26">
        <v>3.83828387513182</v>
      </c>
      <c r="AQ26">
        <v>5.81088923709499E-5</v>
      </c>
      <c r="AR26">
        <v>1.106612060217E-5</v>
      </c>
      <c r="AS26">
        <v>25.5484087355219</v>
      </c>
      <c r="AT26">
        <v>13.152875171500501</v>
      </c>
      <c r="AU26">
        <v>3.5457078447209698</v>
      </c>
      <c r="AV26">
        <v>0.29257603041084201</v>
      </c>
      <c r="AW26">
        <v>1.1866585691912899E-2</v>
      </c>
      <c r="AX26">
        <v>0.29257602252564502</v>
      </c>
      <c r="AY26">
        <v>7.8851968843274295E-9</v>
      </c>
      <c r="AZ26">
        <v>1189751.8930438301</v>
      </c>
      <c r="BA26">
        <v>1.5139289917412501E-5</v>
      </c>
      <c r="BB26">
        <v>4615883.0428418703</v>
      </c>
      <c r="BC26">
        <v>38390.038935623103</v>
      </c>
      <c r="BD26">
        <v>0.83866952724695798</v>
      </c>
      <c r="BE26">
        <v>4542609.5999999996</v>
      </c>
      <c r="BF26">
        <v>1.0161302531570999</v>
      </c>
      <c r="BG26">
        <v>1</v>
      </c>
      <c r="BH26">
        <v>-4.7E-2</v>
      </c>
      <c r="BI26">
        <v>4.5999999999999999E-2</v>
      </c>
      <c r="BJ26">
        <v>5625</v>
      </c>
      <c r="BK26">
        <v>1</v>
      </c>
      <c r="BL26">
        <v>120.605191549583</v>
      </c>
      <c r="BM26">
        <v>4.6158830428418698</v>
      </c>
      <c r="BN26">
        <v>120.605191549583</v>
      </c>
      <c r="BO26">
        <v>1</v>
      </c>
      <c r="BP26">
        <v>6497.1969047449702</v>
      </c>
      <c r="BQ26">
        <v>1</v>
      </c>
      <c r="BR26">
        <v>0.15240000000000001</v>
      </c>
      <c r="BS26">
        <v>25</v>
      </c>
      <c r="BT26">
        <v>112</v>
      </c>
      <c r="BU26" t="s">
        <v>303</v>
      </c>
      <c r="BV26" t="str">
        <f>"Table "&amp;TRIM(RIGHT(SUBSTITUTE($A26,"_",REPT(" ",50)),50))</f>
        <v>Table 9</v>
      </c>
      <c r="BW26">
        <f>$BR26/$Q26</f>
        <v>80</v>
      </c>
      <c r="BX26" t="str">
        <f>IF($BW26&lt;40,"outside_low",IF($BW26&lt;=100,"short_anchor",IF($BW26&lt;250,"middle",IF($BW26&lt;=400,"long","outside_high"))))</f>
        <v>short_anchor</v>
      </c>
      <c r="BY26" t="str">
        <f>IF($N26&gt;1000,"PASS","FAIL")</f>
        <v>PASS</v>
      </c>
      <c r="BZ26" t="str">
        <f>IF(AND($BW26&gt;=40,$BW26&lt;=400),"PASS","FAIL")</f>
        <v>PASS</v>
      </c>
    </row>
    <row r="27" spans="1:78">
      <c r="A27" t="s">
        <v>181</v>
      </c>
      <c r="B27">
        <v>12065825.263044599</v>
      </c>
      <c r="C27">
        <v>598.16775841223</v>
      </c>
      <c r="D27">
        <v>70.719127092772794</v>
      </c>
      <c r="E27">
        <v>654.056980860061</v>
      </c>
      <c r="F27">
        <v>2683685.08837691</v>
      </c>
      <c r="G27">
        <v>1493933.1953330799</v>
      </c>
      <c r="H27">
        <v>2.11454043590923E-5</v>
      </c>
      <c r="I27">
        <v>7.6371158483287804E-5</v>
      </c>
      <c r="J27">
        <v>0.51093471001103696</v>
      </c>
      <c r="K27">
        <v>6848.0719740579098</v>
      </c>
      <c r="L27">
        <v>8.69531901762856E-3</v>
      </c>
      <c r="M27">
        <v>112</v>
      </c>
      <c r="N27">
        <v>2590.3991070810098</v>
      </c>
      <c r="O27">
        <v>2.8502295699234199E-6</v>
      </c>
      <c r="P27">
        <v>5.98473400508856E-3</v>
      </c>
      <c r="Q27">
        <v>1.905E-3</v>
      </c>
      <c r="R27">
        <v>0.15240000000000001</v>
      </c>
      <c r="S27">
        <v>4093466.7398437499</v>
      </c>
      <c r="T27">
        <v>490.87515158354</v>
      </c>
      <c r="U27">
        <v>564.71762689197101</v>
      </c>
      <c r="V27">
        <v>0.03</v>
      </c>
      <c r="W27">
        <v>64614.841479315503</v>
      </c>
      <c r="X27">
        <v>3.7064000565584697E-2</v>
      </c>
      <c r="Y27">
        <v>5.1942620156714003</v>
      </c>
      <c r="Z27">
        <v>5.1942620358384497</v>
      </c>
      <c r="AA27">
        <v>-2.0167054692876701E-8</v>
      </c>
      <c r="AB27">
        <v>2.19526362518863E-5</v>
      </c>
      <c r="AC27">
        <v>673.41935335890105</v>
      </c>
      <c r="AD27">
        <v>2199.0415788359201</v>
      </c>
      <c r="AE27">
        <v>564.71762689197101</v>
      </c>
      <c r="AF27">
        <v>0</v>
      </c>
      <c r="AG27">
        <v>2.2032772056932801E-5</v>
      </c>
      <c r="AH27">
        <v>47.531342939541801</v>
      </c>
      <c r="AI27">
        <v>0.26957663617182098</v>
      </c>
      <c r="AJ27">
        <v>50.867172546151501</v>
      </c>
      <c r="AK27">
        <v>4.85673695998263</v>
      </c>
      <c r="AL27">
        <v>1.0236047381170099</v>
      </c>
      <c r="AM27">
        <v>598.16775829606502</v>
      </c>
      <c r="AN27">
        <v>1.1616521078394699E-7</v>
      </c>
      <c r="AO27">
        <v>8.0135805046410303E-8</v>
      </c>
      <c r="AP27">
        <v>3.8371893860664401</v>
      </c>
      <c r="AQ27">
        <v>5.8142046125541198E-5</v>
      </c>
      <c r="AR27">
        <v>1.1056453930989601E-5</v>
      </c>
      <c r="AS27">
        <v>25.526091242761101</v>
      </c>
      <c r="AT27">
        <v>13.1485055752851</v>
      </c>
      <c r="AU27">
        <v>3.5445299036717799</v>
      </c>
      <c r="AV27">
        <v>0.292659482394662</v>
      </c>
      <c r="AW27">
        <v>1.1866585691912899E-2</v>
      </c>
      <c r="AX27">
        <v>0.29265947455921099</v>
      </c>
      <c r="AY27">
        <v>7.8354506771738402E-9</v>
      </c>
      <c r="AZ27">
        <v>1189751.8930438301</v>
      </c>
      <c r="BA27">
        <v>1.5152248241034399E-5</v>
      </c>
      <c r="BB27">
        <v>4115489.6821276401</v>
      </c>
      <c r="BC27">
        <v>22022.9422838883</v>
      </c>
      <c r="BD27">
        <v>0.53800222851521096</v>
      </c>
      <c r="BE27">
        <v>3974783.4</v>
      </c>
      <c r="BF27">
        <v>1.0353997357761999</v>
      </c>
      <c r="BG27">
        <v>1</v>
      </c>
      <c r="BH27">
        <v>-5.6000000000000001E-2</v>
      </c>
      <c r="BI27">
        <v>4.5999999999999999E-2</v>
      </c>
      <c r="BJ27">
        <v>5625</v>
      </c>
      <c r="BK27">
        <v>1</v>
      </c>
      <c r="BL27">
        <v>107.29260682869</v>
      </c>
      <c r="BM27">
        <v>4.1154896821276399</v>
      </c>
      <c r="BN27">
        <v>107.29260682869</v>
      </c>
      <c r="BO27">
        <v>1</v>
      </c>
      <c r="BP27">
        <v>4528.2949338006601</v>
      </c>
      <c r="BQ27">
        <v>1</v>
      </c>
      <c r="BR27">
        <v>0.15240000000000001</v>
      </c>
      <c r="BS27">
        <v>26</v>
      </c>
      <c r="BT27">
        <v>113</v>
      </c>
      <c r="BU27" t="s">
        <v>303</v>
      </c>
      <c r="BV27" t="str">
        <f>"Table "&amp;TRIM(RIGHT(SUBSTITUTE($A27,"_",REPT(" ",50)),50))</f>
        <v>Table 9</v>
      </c>
      <c r="BW27">
        <f>$BR27/$Q27</f>
        <v>80</v>
      </c>
      <c r="BX27" t="str">
        <f>IF($BW27&lt;40,"outside_low",IF($BW27&lt;=100,"short_anchor",IF($BW27&lt;250,"middle",IF($BW27&lt;=400,"long","outside_high"))))</f>
        <v>short_anchor</v>
      </c>
      <c r="BY27" t="str">
        <f>IF($N27&gt;1000,"PASS","FAIL")</f>
        <v>PASS</v>
      </c>
      <c r="BZ27" t="str">
        <f>IF(AND($BW27&gt;=40,$BW27&lt;=400),"PASS","FAIL")</f>
        <v>PASS</v>
      </c>
    </row>
    <row r="28" spans="1:78">
      <c r="A28" t="s">
        <v>182</v>
      </c>
      <c r="B28">
        <v>12065825.263044599</v>
      </c>
      <c r="C28">
        <v>598.16775841223</v>
      </c>
      <c r="D28">
        <v>70.719127092772794</v>
      </c>
      <c r="E28">
        <v>654.056980860061</v>
      </c>
      <c r="F28">
        <v>2683685.08837691</v>
      </c>
      <c r="G28">
        <v>1493933.1953330799</v>
      </c>
      <c r="H28">
        <v>2.11454043590923E-5</v>
      </c>
      <c r="I28">
        <v>7.6371158483287804E-5</v>
      </c>
      <c r="J28">
        <v>0.51093471001103696</v>
      </c>
      <c r="K28">
        <v>6848.0719740579098</v>
      </c>
      <c r="L28">
        <v>8.69531901762856E-3</v>
      </c>
      <c r="M28">
        <v>113</v>
      </c>
      <c r="N28">
        <v>3200.7025616288902</v>
      </c>
      <c r="O28">
        <v>2.8502295699234199E-6</v>
      </c>
      <c r="P28">
        <v>5.98473400508856E-3</v>
      </c>
      <c r="Q28">
        <v>1.905E-3</v>
      </c>
      <c r="R28">
        <v>0.15240000000000001</v>
      </c>
      <c r="S28">
        <v>6357331.34765625</v>
      </c>
      <c r="T28">
        <v>453.64790590713602</v>
      </c>
      <c r="U28">
        <v>546.46141491773199</v>
      </c>
      <c r="V28">
        <v>0.03</v>
      </c>
      <c r="W28">
        <v>79838.233450882006</v>
      </c>
      <c r="X28">
        <v>3.3515797014276497E-2</v>
      </c>
      <c r="Y28">
        <v>5.4622959187728899</v>
      </c>
      <c r="Z28">
        <v>5.4622959290082296</v>
      </c>
      <c r="AA28">
        <v>-1.02353396869148E-8</v>
      </c>
      <c r="AB28">
        <v>1.5901282462099201E-5</v>
      </c>
      <c r="AC28">
        <v>699.640973229015</v>
      </c>
      <c r="AD28">
        <v>2583.81077803982</v>
      </c>
      <c r="AE28">
        <v>546.46141591414198</v>
      </c>
      <c r="AF28">
        <v>9.9640965345315593E-7</v>
      </c>
      <c r="AG28">
        <v>1.59936572901927E-5</v>
      </c>
      <c r="AH28">
        <v>65.6197564317511</v>
      </c>
      <c r="AI28">
        <v>0.316744814992169</v>
      </c>
      <c r="AJ28">
        <v>43.3853901172441</v>
      </c>
      <c r="AK28">
        <v>6.7216238866612201</v>
      </c>
      <c r="AL28">
        <v>1.0236047381170099</v>
      </c>
      <c r="AM28">
        <v>598.16775839742604</v>
      </c>
      <c r="AN28">
        <v>1.48037315739202E-8</v>
      </c>
      <c r="AO28">
        <v>9.2374828093437796E-8</v>
      </c>
      <c r="AP28">
        <v>4.2281964881233698</v>
      </c>
      <c r="AQ28">
        <v>4.7885768101605797E-5</v>
      </c>
      <c r="AR28">
        <v>8.0430160591430603E-6</v>
      </c>
      <c r="AS28">
        <v>21.8179859124002</v>
      </c>
      <c r="AT28">
        <v>12.3636733574416</v>
      </c>
      <c r="AU28">
        <v>3.9161294302264502</v>
      </c>
      <c r="AV28">
        <v>0.31206705789692002</v>
      </c>
      <c r="AW28">
        <v>8.5955020974575694E-3</v>
      </c>
      <c r="AX28">
        <v>0.31206705782268601</v>
      </c>
      <c r="AY28">
        <v>7.4233785785082799E-11</v>
      </c>
      <c r="AZ28">
        <v>1189751.8930438301</v>
      </c>
      <c r="BA28">
        <v>1.1325341250368299E-5</v>
      </c>
      <c r="BB28">
        <v>6347085.3175980002</v>
      </c>
      <c r="BC28">
        <v>-10246.0300582498</v>
      </c>
      <c r="BD28">
        <v>-0.16116872785036199</v>
      </c>
      <c r="BE28">
        <v>6561547.2000000002</v>
      </c>
      <c r="BF28">
        <v>0.96731534867233804</v>
      </c>
      <c r="BG28">
        <v>1</v>
      </c>
      <c r="BH28">
        <v>-5.6000000000000001E-2</v>
      </c>
      <c r="BI28">
        <v>4.5999999999999999E-2</v>
      </c>
      <c r="BJ28">
        <v>5625</v>
      </c>
      <c r="BK28">
        <v>1</v>
      </c>
      <c r="BL28">
        <v>144.51985250509401</v>
      </c>
      <c r="BM28">
        <v>6.3470853175980002</v>
      </c>
      <c r="BN28">
        <v>144.51985250509401</v>
      </c>
      <c r="BO28">
        <v>1</v>
      </c>
      <c r="BP28">
        <v>10924.3995676866</v>
      </c>
      <c r="BQ28">
        <v>1</v>
      </c>
      <c r="BR28">
        <v>0.15240000000000001</v>
      </c>
      <c r="BS28">
        <v>27</v>
      </c>
      <c r="BT28">
        <v>114</v>
      </c>
      <c r="BU28" t="s">
        <v>303</v>
      </c>
      <c r="BV28" t="str">
        <f>"Table "&amp;TRIM(RIGHT(SUBSTITUTE($A28,"_",REPT(" ",50)),50))</f>
        <v>Table 9</v>
      </c>
      <c r="BW28">
        <f>$BR28/$Q28</f>
        <v>80</v>
      </c>
      <c r="BX28" t="str">
        <f>IF($BW28&lt;40,"outside_low",IF($BW28&lt;=100,"short_anchor",IF($BW28&lt;250,"middle",IF($BW28&lt;=400,"long","outside_high"))))</f>
        <v>short_anchor</v>
      </c>
      <c r="BY28" t="str">
        <f>IF($N28&gt;1000,"PASS","FAIL")</f>
        <v>PASS</v>
      </c>
      <c r="BZ28" t="str">
        <f>IF(AND($BW28&gt;=40,$BW28&lt;=400),"PASS","FAIL")</f>
        <v>PASS</v>
      </c>
    </row>
    <row r="29" spans="1:78">
      <c r="A29" t="s">
        <v>183</v>
      </c>
      <c r="B29">
        <v>12065825.263044599</v>
      </c>
      <c r="C29">
        <v>598.16775841223</v>
      </c>
      <c r="D29">
        <v>70.719127092772794</v>
      </c>
      <c r="E29">
        <v>654.056980860061</v>
      </c>
      <c r="F29">
        <v>2683685.08837691</v>
      </c>
      <c r="G29">
        <v>1493933.1953330799</v>
      </c>
      <c r="H29">
        <v>2.11454043590923E-5</v>
      </c>
      <c r="I29">
        <v>7.6371158483287804E-5</v>
      </c>
      <c r="J29">
        <v>0.51093471001103696</v>
      </c>
      <c r="K29">
        <v>6848.0719740579098</v>
      </c>
      <c r="L29">
        <v>8.69531901762856E-3</v>
      </c>
      <c r="M29">
        <v>114</v>
      </c>
      <c r="N29">
        <v>3200.7025616288902</v>
      </c>
      <c r="O29">
        <v>2.8502295699234199E-6</v>
      </c>
      <c r="P29">
        <v>5.98473400508856E-3</v>
      </c>
      <c r="Q29">
        <v>1.905E-3</v>
      </c>
      <c r="R29">
        <v>0.15240000000000001</v>
      </c>
      <c r="S29">
        <v>4883532.71484375</v>
      </c>
      <c r="T29">
        <v>488.66227888857202</v>
      </c>
      <c r="U29">
        <v>559.95914589862502</v>
      </c>
      <c r="V29">
        <v>0.03</v>
      </c>
      <c r="W29">
        <v>79838.233450882006</v>
      </c>
      <c r="X29">
        <v>3.3515797014276497E-2</v>
      </c>
      <c r="Y29">
        <v>5.4622959187728899</v>
      </c>
      <c r="Z29">
        <v>5.4622959290082296</v>
      </c>
      <c r="AA29">
        <v>-1.02353396869148E-8</v>
      </c>
      <c r="AB29">
        <v>1.5901282462099201E-5</v>
      </c>
      <c r="AC29">
        <v>673.10301178076304</v>
      </c>
      <c r="AD29">
        <v>2583.81077803982</v>
      </c>
      <c r="AE29">
        <v>559.95914589862502</v>
      </c>
      <c r="AF29">
        <v>0</v>
      </c>
      <c r="AG29">
        <v>1.5972448838284999E-5</v>
      </c>
      <c r="AH29">
        <v>65.6197564317511</v>
      </c>
      <c r="AI29">
        <v>0.316744814992169</v>
      </c>
      <c r="AJ29">
        <v>43.327858750708998</v>
      </c>
      <c r="AK29">
        <v>4.9648303264076104</v>
      </c>
      <c r="AL29">
        <v>1.0236047381170099</v>
      </c>
      <c r="AM29">
        <v>598.16775839063905</v>
      </c>
      <c r="AN29">
        <v>2.1591063159576201E-8</v>
      </c>
      <c r="AO29">
        <v>7.1166376185743596E-8</v>
      </c>
      <c r="AP29">
        <v>4.2243025472005096</v>
      </c>
      <c r="AQ29">
        <v>4.7974090512655502E-5</v>
      </c>
      <c r="AR29">
        <v>8.0218076072353593E-6</v>
      </c>
      <c r="AS29">
        <v>21.760454545865102</v>
      </c>
      <c r="AT29">
        <v>12.350471554129401</v>
      </c>
      <c r="AU29">
        <v>3.91194782747875</v>
      </c>
      <c r="AV29">
        <v>0.31235471972176199</v>
      </c>
      <c r="AW29">
        <v>8.5955020974575694E-3</v>
      </c>
      <c r="AX29">
        <v>0.31235471967302803</v>
      </c>
      <c r="AY29">
        <v>4.8733850288584803E-11</v>
      </c>
      <c r="AZ29">
        <v>1189751.8930438301</v>
      </c>
      <c r="BA29">
        <v>1.13566890573329E-5</v>
      </c>
      <c r="BB29">
        <v>4876352.6626540702</v>
      </c>
      <c r="BC29">
        <v>-7180.0521896770197</v>
      </c>
      <c r="BD29">
        <v>-0.14702578254166099</v>
      </c>
      <c r="BE29">
        <v>5205073.5</v>
      </c>
      <c r="BF29">
        <v>0.93684607194385905</v>
      </c>
      <c r="BG29">
        <v>1</v>
      </c>
      <c r="BH29">
        <v>-0.04</v>
      </c>
      <c r="BI29">
        <v>4.5999999999999999E-2</v>
      </c>
      <c r="BJ29">
        <v>5625</v>
      </c>
      <c r="BK29">
        <v>1</v>
      </c>
      <c r="BL29">
        <v>109.505479523658</v>
      </c>
      <c r="BM29">
        <v>4.8763526626540701</v>
      </c>
      <c r="BN29">
        <v>109.505479523658</v>
      </c>
      <c r="BO29">
        <v>1</v>
      </c>
      <c r="BP29">
        <v>4831.01168381364</v>
      </c>
      <c r="BQ29">
        <v>1</v>
      </c>
      <c r="BR29">
        <v>0.15240000000000001</v>
      </c>
      <c r="BS29">
        <v>28</v>
      </c>
      <c r="BT29">
        <v>115</v>
      </c>
      <c r="BU29" t="s">
        <v>303</v>
      </c>
      <c r="BV29" t="str">
        <f>"Table "&amp;TRIM(RIGHT(SUBSTITUTE($A29,"_",REPT(" ",50)),50))</f>
        <v>Table 9</v>
      </c>
      <c r="BW29">
        <f>$BR29/$Q29</f>
        <v>80</v>
      </c>
      <c r="BX29" t="str">
        <f>IF($BW29&lt;40,"outside_low",IF($BW29&lt;=100,"short_anchor",IF($BW29&lt;250,"middle",IF($BW29&lt;=400,"long","outside_high"))))</f>
        <v>short_anchor</v>
      </c>
      <c r="BY29" t="str">
        <f>IF($N29&gt;1000,"PASS","FAIL")</f>
        <v>PASS</v>
      </c>
      <c r="BZ29" t="str">
        <f>IF(AND($BW29&gt;=40,$BW29&lt;=400),"PASS","FAIL")</f>
        <v>PASS</v>
      </c>
    </row>
    <row r="30" spans="1:78">
      <c r="A30" t="s">
        <v>184</v>
      </c>
      <c r="B30">
        <v>12065825.263044599</v>
      </c>
      <c r="C30">
        <v>598.16775841223</v>
      </c>
      <c r="D30">
        <v>70.719127092772794</v>
      </c>
      <c r="E30">
        <v>654.056980860061</v>
      </c>
      <c r="F30">
        <v>2683685.08837691</v>
      </c>
      <c r="G30">
        <v>1493933.1953330799</v>
      </c>
      <c r="H30">
        <v>2.11454043590923E-5</v>
      </c>
      <c r="I30">
        <v>7.6371158483287804E-5</v>
      </c>
      <c r="J30">
        <v>0.51093471001103696</v>
      </c>
      <c r="K30">
        <v>6848.0719740579098</v>
      </c>
      <c r="L30">
        <v>8.69531901762856E-3</v>
      </c>
      <c r="M30">
        <v>115</v>
      </c>
      <c r="N30">
        <v>3200.7025616288902</v>
      </c>
      <c r="O30">
        <v>2.8502295699234199E-6</v>
      </c>
      <c r="P30">
        <v>5.98473400508856E-3</v>
      </c>
      <c r="Q30">
        <v>1.905E-3</v>
      </c>
      <c r="R30">
        <v>0.15240000000000001</v>
      </c>
      <c r="S30">
        <v>4953449.27734375</v>
      </c>
      <c r="T30">
        <v>487.01157338752699</v>
      </c>
      <c r="U30">
        <v>559.32918340258004</v>
      </c>
      <c r="V30">
        <v>0.03</v>
      </c>
      <c r="W30">
        <v>79838.233450882006</v>
      </c>
      <c r="X30">
        <v>3.3515797014276497E-2</v>
      </c>
      <c r="Y30">
        <v>5.4622959187728899</v>
      </c>
      <c r="Z30">
        <v>5.4622959290082296</v>
      </c>
      <c r="AA30">
        <v>-1.02353396869148E-8</v>
      </c>
      <c r="AB30">
        <v>1.5901282462099201E-5</v>
      </c>
      <c r="AC30">
        <v>674.33957684745496</v>
      </c>
      <c r="AD30">
        <v>2583.81077803982</v>
      </c>
      <c r="AE30">
        <v>559.329184145976</v>
      </c>
      <c r="AF30">
        <v>7.4339573075121703E-7</v>
      </c>
      <c r="AG30">
        <v>1.5972908620923099E-5</v>
      </c>
      <c r="AH30">
        <v>65.6197564317511</v>
      </c>
      <c r="AI30">
        <v>0.316744814992169</v>
      </c>
      <c r="AJ30">
        <v>43.3291059857074</v>
      </c>
      <c r="AK30">
        <v>5.0467348016123896</v>
      </c>
      <c r="AL30">
        <v>1.0236047381170099</v>
      </c>
      <c r="AM30">
        <v>598.16775839050194</v>
      </c>
      <c r="AN30">
        <v>2.1727942112193E-8</v>
      </c>
      <c r="AO30">
        <v>7.1626158823867099E-8</v>
      </c>
      <c r="AP30">
        <v>4.2243870686709597</v>
      </c>
      <c r="AQ30">
        <v>4.7972170802154098E-5</v>
      </c>
      <c r="AR30">
        <v>8.0222673898734896E-6</v>
      </c>
      <c r="AS30">
        <v>21.7617017808635</v>
      </c>
      <c r="AT30">
        <v>12.350758128854499</v>
      </c>
      <c r="AU30">
        <v>3.91203859853705</v>
      </c>
      <c r="AV30">
        <v>0.31234847013390798</v>
      </c>
      <c r="AW30">
        <v>8.5955020974575694E-3</v>
      </c>
      <c r="AX30">
        <v>0.31234847008467898</v>
      </c>
      <c r="AY30">
        <v>4.9229620380231199E-11</v>
      </c>
      <c r="AZ30">
        <v>1189751.8930438301</v>
      </c>
      <c r="BA30">
        <v>1.13560073976002E-5</v>
      </c>
      <c r="BB30">
        <v>4908151.7801970504</v>
      </c>
      <c r="BC30">
        <v>-45297.497146699599</v>
      </c>
      <c r="BD30">
        <v>-0.91446373245170298</v>
      </c>
      <c r="BE30">
        <v>5394348.9000000004</v>
      </c>
      <c r="BF30">
        <v>0.90986917442382198</v>
      </c>
      <c r="BG30">
        <v>1</v>
      </c>
      <c r="BH30">
        <v>-0.03</v>
      </c>
      <c r="BI30">
        <v>4.5999999999999999E-2</v>
      </c>
      <c r="BJ30">
        <v>5625</v>
      </c>
      <c r="BK30">
        <v>1</v>
      </c>
      <c r="BL30">
        <v>111.15618502470301</v>
      </c>
      <c r="BM30">
        <v>4.9081517801970502</v>
      </c>
      <c r="BN30">
        <v>111.15618502470301</v>
      </c>
      <c r="BO30">
        <v>1</v>
      </c>
      <c r="BP30">
        <v>5063.2026672697702</v>
      </c>
      <c r="BQ30">
        <v>1</v>
      </c>
      <c r="BR30">
        <v>0.15240000000000001</v>
      </c>
      <c r="BS30">
        <v>29</v>
      </c>
      <c r="BT30">
        <v>116</v>
      </c>
      <c r="BU30" t="s">
        <v>303</v>
      </c>
      <c r="BV30" t="str">
        <f>"Table "&amp;TRIM(RIGHT(SUBSTITUTE($A30,"_",REPT(" ",50)),50))</f>
        <v>Table 9</v>
      </c>
      <c r="BW30">
        <f>$BR30/$Q30</f>
        <v>80</v>
      </c>
      <c r="BX30" t="str">
        <f>IF($BW30&lt;40,"outside_low",IF($BW30&lt;=100,"short_anchor",IF($BW30&lt;250,"middle",IF($BW30&lt;=400,"long","outside_high"))))</f>
        <v>short_anchor</v>
      </c>
      <c r="BY30" t="str">
        <f>IF($N30&gt;1000,"PASS","FAIL")</f>
        <v>PASS</v>
      </c>
      <c r="BZ30" t="str">
        <f>IF(AND($BW30&gt;=40,$BW30&lt;=400),"PASS","FAIL")</f>
        <v>PASS</v>
      </c>
    </row>
    <row r="31" spans="1:78">
      <c r="A31" t="s">
        <v>185</v>
      </c>
      <c r="B31">
        <v>12065825.263044599</v>
      </c>
      <c r="C31">
        <v>598.16775841223</v>
      </c>
      <c r="D31">
        <v>70.719127092772794</v>
      </c>
      <c r="E31">
        <v>654.056980860061</v>
      </c>
      <c r="F31">
        <v>2683685.08837691</v>
      </c>
      <c r="G31">
        <v>1493933.1953330799</v>
      </c>
      <c r="H31">
        <v>2.11454043590923E-5</v>
      </c>
      <c r="I31">
        <v>7.6371158483287804E-5</v>
      </c>
      <c r="J31">
        <v>0.51093471001103696</v>
      </c>
      <c r="K31">
        <v>6848.0719740579098</v>
      </c>
      <c r="L31">
        <v>8.69531901762856E-3</v>
      </c>
      <c r="M31">
        <v>116</v>
      </c>
      <c r="N31">
        <v>3200.7025616288902</v>
      </c>
      <c r="O31">
        <v>2.8502295699234199E-6</v>
      </c>
      <c r="P31">
        <v>5.98473400508856E-3</v>
      </c>
      <c r="Q31">
        <v>1.905E-3</v>
      </c>
      <c r="R31">
        <v>0.15240000000000001</v>
      </c>
      <c r="S31">
        <v>3264593.3301562499</v>
      </c>
      <c r="T31">
        <v>526.45012634417299</v>
      </c>
      <c r="U31">
        <v>574.11137693733201</v>
      </c>
      <c r="V31">
        <v>0.03</v>
      </c>
      <c r="W31">
        <v>79838.233450882006</v>
      </c>
      <c r="X31">
        <v>3.3515797014276497E-2</v>
      </c>
      <c r="Y31">
        <v>5.4622959187728899</v>
      </c>
      <c r="Z31">
        <v>5.4622959290082296</v>
      </c>
      <c r="AA31">
        <v>-1.02353396869148E-8</v>
      </c>
      <c r="AB31">
        <v>1.5901282462099201E-5</v>
      </c>
      <c r="AC31">
        <v>645.313949436499</v>
      </c>
      <c r="AD31">
        <v>2583.81077803982</v>
      </c>
      <c r="AE31">
        <v>574.11137739047103</v>
      </c>
      <c r="AF31">
        <v>4.5313947794056699E-7</v>
      </c>
      <c r="AG31">
        <v>1.5949323744599101E-5</v>
      </c>
      <c r="AH31">
        <v>65.6197564317511</v>
      </c>
      <c r="AI31">
        <v>0.316744814992169</v>
      </c>
      <c r="AJ31">
        <v>43.265128182405803</v>
      </c>
      <c r="AK31">
        <v>3.1244176275591302</v>
      </c>
      <c r="AL31">
        <v>1.0236047381170099</v>
      </c>
      <c r="AM31">
        <v>598.16775839232503</v>
      </c>
      <c r="AN31">
        <v>1.99054284166778E-8</v>
      </c>
      <c r="AO31">
        <v>4.8041282499859398E-8</v>
      </c>
      <c r="AP31">
        <v>4.2200455202264102</v>
      </c>
      <c r="AQ31">
        <v>4.8070928333356502E-5</v>
      </c>
      <c r="AR31">
        <v>7.9986825135494802E-6</v>
      </c>
      <c r="AS31">
        <v>21.697723977561999</v>
      </c>
      <c r="AT31">
        <v>12.3360368460944</v>
      </c>
      <c r="AU31">
        <v>3.9073757085527498</v>
      </c>
      <c r="AV31">
        <v>0.31266981167366198</v>
      </c>
      <c r="AW31">
        <v>8.5955020974575694E-3</v>
      </c>
      <c r="AX31">
        <v>0.31266981164555901</v>
      </c>
      <c r="AY31">
        <v>2.8103408489244001E-11</v>
      </c>
      <c r="AZ31">
        <v>1189751.8930438301</v>
      </c>
      <c r="BA31">
        <v>1.13910923716239E-5</v>
      </c>
      <c r="BB31">
        <v>3281868.7526511699</v>
      </c>
      <c r="BC31">
        <v>17275.4224949237</v>
      </c>
      <c r="BD31">
        <v>0.52917532898643904</v>
      </c>
      <c r="BE31">
        <v>3974783.4</v>
      </c>
      <c r="BF31">
        <v>0.82567235051126897</v>
      </c>
      <c r="BG31">
        <v>1</v>
      </c>
      <c r="BH31">
        <v>4.0000000000000001E-3</v>
      </c>
      <c r="BI31">
        <v>4.5999999999999999E-2</v>
      </c>
      <c r="BJ31">
        <v>5625</v>
      </c>
      <c r="BK31">
        <v>1</v>
      </c>
      <c r="BL31">
        <v>71.717632068057</v>
      </c>
      <c r="BM31">
        <v>3.2818687526511701</v>
      </c>
      <c r="BN31">
        <v>71.717632068057</v>
      </c>
      <c r="BO31">
        <v>1</v>
      </c>
      <c r="BP31">
        <v>1006.00818400464</v>
      </c>
      <c r="BQ31">
        <v>1</v>
      </c>
      <c r="BR31">
        <v>0.15240000000000001</v>
      </c>
      <c r="BS31">
        <v>30</v>
      </c>
      <c r="BT31">
        <v>117</v>
      </c>
      <c r="BU31" t="s">
        <v>303</v>
      </c>
      <c r="BV31" t="str">
        <f>"Table "&amp;TRIM(RIGHT(SUBSTITUTE($A31,"_",REPT(" ",50)),50))</f>
        <v>Table 9</v>
      </c>
      <c r="BW31">
        <f>$BR31/$Q31</f>
        <v>80</v>
      </c>
      <c r="BX31" t="str">
        <f>IF($BW31&lt;40,"outside_low",IF($BW31&lt;=100,"short_anchor",IF($BW31&lt;250,"middle",IF($BW31&lt;=400,"long","outside_high"))))</f>
        <v>short_anchor</v>
      </c>
      <c r="BY31" t="str">
        <f>IF($N31&gt;1000,"PASS","FAIL")</f>
        <v>PASS</v>
      </c>
      <c r="BZ31" t="str">
        <f>IF(AND($BW31&gt;=40,$BW31&lt;=400),"PASS","FAIL")</f>
        <v>PASS</v>
      </c>
    </row>
    <row r="32" spans="1:78">
      <c r="A32" t="s">
        <v>186</v>
      </c>
      <c r="B32">
        <v>12065825.263044599</v>
      </c>
      <c r="C32">
        <v>598.16775841223</v>
      </c>
      <c r="D32">
        <v>70.719127092772794</v>
      </c>
      <c r="E32">
        <v>654.056980860061</v>
      </c>
      <c r="F32">
        <v>2683685.08837691</v>
      </c>
      <c r="G32">
        <v>1493933.1953330799</v>
      </c>
      <c r="H32">
        <v>2.11454043590923E-5</v>
      </c>
      <c r="I32">
        <v>7.6371158483287804E-5</v>
      </c>
      <c r="J32">
        <v>0.51093471001103696</v>
      </c>
      <c r="K32">
        <v>6848.0719740579098</v>
      </c>
      <c r="L32">
        <v>8.69531901762856E-3</v>
      </c>
      <c r="M32">
        <v>117</v>
      </c>
      <c r="N32">
        <v>3214.26486061884</v>
      </c>
      <c r="O32">
        <v>2.8502295699234199E-6</v>
      </c>
      <c r="P32">
        <v>5.98473400508856E-3</v>
      </c>
      <c r="Q32">
        <v>1.905E-3</v>
      </c>
      <c r="R32">
        <v>0.15240000000000001</v>
      </c>
      <c r="S32">
        <v>4947044.5704687499</v>
      </c>
      <c r="T32">
        <v>487.52777357266399</v>
      </c>
      <c r="U32">
        <v>559.44713536386598</v>
      </c>
      <c r="V32">
        <v>0.03</v>
      </c>
      <c r="W32">
        <v>80176.531050250007</v>
      </c>
      <c r="X32">
        <v>3.34499327767354E-2</v>
      </c>
      <c r="Y32">
        <v>5.4676710122319498</v>
      </c>
      <c r="Z32">
        <v>5.4676710211262503</v>
      </c>
      <c r="AA32">
        <v>-8.8942986309348304E-9</v>
      </c>
      <c r="AB32">
        <v>1.5798424110076499E-5</v>
      </c>
      <c r="AC32">
        <v>673.90977288117301</v>
      </c>
      <c r="AD32">
        <v>2592.2083036275699</v>
      </c>
      <c r="AE32">
        <v>559.44713536386598</v>
      </c>
      <c r="AF32">
        <v>0</v>
      </c>
      <c r="AG32">
        <v>1.5870784299300701E-5</v>
      </c>
      <c r="AH32">
        <v>66.046985119857993</v>
      </c>
      <c r="AI32">
        <v>0.31777425287178901</v>
      </c>
      <c r="AJ32">
        <v>43.191998788167297</v>
      </c>
      <c r="AK32">
        <v>5.0208940650482798</v>
      </c>
      <c r="AL32">
        <v>1.0236047381170099</v>
      </c>
      <c r="AM32">
        <v>598.16775836189902</v>
      </c>
      <c r="AN32">
        <v>5.0330868361925201E-8</v>
      </c>
      <c r="AO32">
        <v>7.2360189224236599E-8</v>
      </c>
      <c r="AP32">
        <v>4.2325922073177296</v>
      </c>
      <c r="AQ32">
        <v>4.7786357113151997E-5</v>
      </c>
      <c r="AR32">
        <v>7.9715722442624808E-6</v>
      </c>
      <c r="AS32">
        <v>21.694462744928298</v>
      </c>
      <c r="AT32">
        <v>12.3352852746973</v>
      </c>
      <c r="AU32">
        <v>3.9198360621272998</v>
      </c>
      <c r="AV32">
        <v>0.31275614519042699</v>
      </c>
      <c r="AW32">
        <v>8.5399016021729997E-3</v>
      </c>
      <c r="AX32">
        <v>0.31275614507799498</v>
      </c>
      <c r="AY32">
        <v>1.12431230991916E-10</v>
      </c>
      <c r="AZ32">
        <v>1189751.8930438301</v>
      </c>
      <c r="BA32">
        <v>1.12900924002398E-5</v>
      </c>
      <c r="BB32">
        <v>4987399.8444548296</v>
      </c>
      <c r="BC32">
        <v>40355.273986075998</v>
      </c>
      <c r="BD32">
        <v>0.81574510621908902</v>
      </c>
      <c r="BE32">
        <v>5425894.7999999998</v>
      </c>
      <c r="BF32">
        <v>0.919184766437939</v>
      </c>
      <c r="BG32">
        <v>1</v>
      </c>
      <c r="BH32">
        <v>-2.8000000000000001E-2</v>
      </c>
      <c r="BI32">
        <v>4.5999999999999999E-2</v>
      </c>
      <c r="BJ32">
        <v>5625</v>
      </c>
      <c r="BK32">
        <v>1</v>
      </c>
      <c r="BL32">
        <v>110.639984839566</v>
      </c>
      <c r="BM32">
        <v>4.9873998444548304</v>
      </c>
      <c r="BN32">
        <v>110.639984839566</v>
      </c>
      <c r="BO32">
        <v>1</v>
      </c>
      <c r="BP32">
        <v>4990.0074581341196</v>
      </c>
      <c r="BQ32">
        <v>1</v>
      </c>
      <c r="BR32">
        <v>0.15240000000000001</v>
      </c>
      <c r="BS32">
        <v>31</v>
      </c>
      <c r="BT32">
        <v>118</v>
      </c>
      <c r="BU32" t="s">
        <v>303</v>
      </c>
      <c r="BV32" t="str">
        <f>"Table "&amp;TRIM(RIGHT(SUBSTITUTE($A32,"_",REPT(" ",50)),50))</f>
        <v>Table 9</v>
      </c>
      <c r="BW32">
        <f>$BR32/$Q32</f>
        <v>80</v>
      </c>
      <c r="BX32" t="str">
        <f>IF($BW32&lt;40,"outside_low",IF($BW32&lt;=100,"short_anchor",IF($BW32&lt;250,"middle",IF($BW32&lt;=400,"long","outside_high"))))</f>
        <v>short_anchor</v>
      </c>
      <c r="BY32" t="str">
        <f>IF($N32&gt;1000,"PASS","FAIL")</f>
        <v>PASS</v>
      </c>
      <c r="BZ32" t="str">
        <f>IF(AND($BW32&gt;=40,$BW32&lt;=400),"PASS","FAIL")</f>
        <v>PASS</v>
      </c>
    </row>
    <row r="33" spans="1:78">
      <c r="A33" t="s">
        <v>187</v>
      </c>
      <c r="B33">
        <v>12065825.263044599</v>
      </c>
      <c r="C33">
        <v>598.16775841223</v>
      </c>
      <c r="D33">
        <v>70.719127092772794</v>
      </c>
      <c r="E33">
        <v>654.056980860061</v>
      </c>
      <c r="F33">
        <v>2683685.08837691</v>
      </c>
      <c r="G33">
        <v>1493933.1953330799</v>
      </c>
      <c r="H33">
        <v>2.11454043590923E-5</v>
      </c>
      <c r="I33">
        <v>7.6371158483287804E-5</v>
      </c>
      <c r="J33">
        <v>0.51093471001103696</v>
      </c>
      <c r="K33">
        <v>6848.0719740579098</v>
      </c>
      <c r="L33">
        <v>8.69531901762856E-3</v>
      </c>
      <c r="M33">
        <v>118</v>
      </c>
      <c r="N33">
        <v>3254.9517575886998</v>
      </c>
      <c r="O33">
        <v>2.8502295699234199E-6</v>
      </c>
      <c r="P33">
        <v>5.98473400508856E-3</v>
      </c>
      <c r="Q33">
        <v>1.905E-3</v>
      </c>
      <c r="R33">
        <v>0.15240000000000001</v>
      </c>
      <c r="S33">
        <v>6246432.3570312504</v>
      </c>
      <c r="T33">
        <v>458.12079612380802</v>
      </c>
      <c r="U33">
        <v>547.79533400455205</v>
      </c>
      <c r="V33">
        <v>0.03</v>
      </c>
      <c r="W33">
        <v>81191.423848354505</v>
      </c>
      <c r="X33">
        <v>3.3255093087555303E-2</v>
      </c>
      <c r="Y33">
        <v>5.4836650054080103</v>
      </c>
      <c r="Z33">
        <v>5.4836650106196796</v>
      </c>
      <c r="AA33">
        <v>-5.2116648774358501E-9</v>
      </c>
      <c r="AB33">
        <v>1.54961944859755E-5</v>
      </c>
      <c r="AC33">
        <v>695.98221146749404</v>
      </c>
      <c r="AD33">
        <v>2617.3647697636402</v>
      </c>
      <c r="AE33">
        <v>547.79533400455205</v>
      </c>
      <c r="AF33">
        <v>0</v>
      </c>
      <c r="AG33">
        <v>1.55844713769516E-5</v>
      </c>
      <c r="AH33">
        <v>67.335130767735805</v>
      </c>
      <c r="AI33">
        <v>0.320858139772427</v>
      </c>
      <c r="AJ33">
        <v>42.824405603593497</v>
      </c>
      <c r="AK33">
        <v>6.49326059173542</v>
      </c>
      <c r="AL33">
        <v>1.0236047381170099</v>
      </c>
      <c r="AM33">
        <v>598.16775834414204</v>
      </c>
      <c r="AN33">
        <v>6.8088070293015295E-8</v>
      </c>
      <c r="AO33">
        <v>8.8276890976055906E-8</v>
      </c>
      <c r="AP33">
        <v>4.2597095136069996</v>
      </c>
      <c r="AQ33">
        <v>4.7179877901942403E-5</v>
      </c>
      <c r="AR33">
        <v>7.8363741339638008E-6</v>
      </c>
      <c r="AS33">
        <v>21.533490373673398</v>
      </c>
      <c r="AT33">
        <v>12.298047074944501</v>
      </c>
      <c r="AU33">
        <v>3.9459285073004402</v>
      </c>
      <c r="AV33">
        <v>0.31378100630656602</v>
      </c>
      <c r="AW33">
        <v>8.3765301650536497E-3</v>
      </c>
      <c r="AX33">
        <v>0.31378100572039602</v>
      </c>
      <c r="AY33">
        <v>5.86170501026828E-10</v>
      </c>
      <c r="AZ33">
        <v>1189751.8930438301</v>
      </c>
      <c r="BA33">
        <v>1.10758439633579E-5</v>
      </c>
      <c r="BB33">
        <v>6202148.9270475795</v>
      </c>
      <c r="BC33">
        <v>-44283.429983667098</v>
      </c>
      <c r="BD33">
        <v>-0.70893955865574698</v>
      </c>
      <c r="BE33">
        <v>6624639</v>
      </c>
      <c r="BF33">
        <v>0.936224438350163</v>
      </c>
      <c r="BG33">
        <v>1</v>
      </c>
      <c r="BH33">
        <v>-4.3999999999999997E-2</v>
      </c>
      <c r="BI33">
        <v>4.5999999999999999E-2</v>
      </c>
      <c r="BJ33">
        <v>5625</v>
      </c>
      <c r="BK33">
        <v>1</v>
      </c>
      <c r="BL33">
        <v>140.04696228842201</v>
      </c>
      <c r="BM33">
        <v>6.2021489270475803</v>
      </c>
      <c r="BN33">
        <v>140.04696228842201</v>
      </c>
      <c r="BO33">
        <v>1</v>
      </c>
      <c r="BP33">
        <v>10009.3946631409</v>
      </c>
      <c r="BQ33">
        <v>1</v>
      </c>
      <c r="BR33">
        <v>0.15240000000000001</v>
      </c>
      <c r="BS33">
        <v>32</v>
      </c>
      <c r="BT33">
        <v>119</v>
      </c>
      <c r="BU33" t="s">
        <v>303</v>
      </c>
      <c r="BV33" t="str">
        <f>"Table "&amp;TRIM(RIGHT(SUBSTITUTE($A33,"_",REPT(" ",50)),50))</f>
        <v>Table 9</v>
      </c>
      <c r="BW33">
        <f>$BR33/$Q33</f>
        <v>80</v>
      </c>
      <c r="BX33" t="str">
        <f>IF($BW33&lt;40,"outside_low",IF($BW33&lt;=100,"short_anchor",IF($BW33&lt;250,"middle",IF($BW33&lt;=400,"long","outside_high"))))</f>
        <v>short_anchor</v>
      </c>
      <c r="BY33" t="str">
        <f>IF($N33&gt;1000,"PASS","FAIL")</f>
        <v>PASS</v>
      </c>
      <c r="BZ33" t="str">
        <f>IF(AND($BW33&gt;=40,$BW33&lt;=400),"PASS","FAIL")</f>
        <v>PASS</v>
      </c>
    </row>
    <row r="34" spans="1:78">
      <c r="A34" t="s">
        <v>188</v>
      </c>
      <c r="B34">
        <v>12065825.263044599</v>
      </c>
      <c r="C34">
        <v>598.16775841223</v>
      </c>
      <c r="D34">
        <v>70.719127092772794</v>
      </c>
      <c r="E34">
        <v>654.056980860061</v>
      </c>
      <c r="F34">
        <v>2683685.08837691</v>
      </c>
      <c r="G34">
        <v>1493933.1953330799</v>
      </c>
      <c r="H34">
        <v>2.11454043590923E-5</v>
      </c>
      <c r="I34">
        <v>7.6371158483287804E-5</v>
      </c>
      <c r="J34">
        <v>0.51093471001103696</v>
      </c>
      <c r="K34">
        <v>6848.0719740579098</v>
      </c>
      <c r="L34">
        <v>8.69531901762856E-3</v>
      </c>
      <c r="M34">
        <v>119</v>
      </c>
      <c r="N34">
        <v>3295.6386545585601</v>
      </c>
      <c r="O34">
        <v>2.8502295699234199E-6</v>
      </c>
      <c r="P34">
        <v>5.98473400508856E-3</v>
      </c>
      <c r="Q34">
        <v>1.905E-3</v>
      </c>
      <c r="R34">
        <v>0.15240000000000001</v>
      </c>
      <c r="S34">
        <v>3506963.10546875</v>
      </c>
      <c r="T34">
        <v>522.60407503228396</v>
      </c>
      <c r="U34">
        <v>572.32890091332695</v>
      </c>
      <c r="V34">
        <v>0.03</v>
      </c>
      <c r="W34">
        <v>82206.316646459003</v>
      </c>
      <c r="X34">
        <v>3.3064274849559601E-2</v>
      </c>
      <c r="Y34">
        <v>5.4994657138155496</v>
      </c>
      <c r="Z34">
        <v>5.4994657451812596</v>
      </c>
      <c r="AA34">
        <v>-3.1365715358333499E-8</v>
      </c>
      <c r="AB34">
        <v>1.52031702906789E-5</v>
      </c>
      <c r="AC34">
        <v>647.89564415913605</v>
      </c>
      <c r="AD34">
        <v>2642.4677860546999</v>
      </c>
      <c r="AE34">
        <v>572.328901392283</v>
      </c>
      <c r="AF34">
        <v>4.7895639454509396E-7</v>
      </c>
      <c r="AG34">
        <v>1.5252302040983E-5</v>
      </c>
      <c r="AH34">
        <v>68.632940509464703</v>
      </c>
      <c r="AI34">
        <v>0.32393547435065501</v>
      </c>
      <c r="AJ34">
        <v>42.313613445117099</v>
      </c>
      <c r="AK34">
        <v>3.3076953844922099</v>
      </c>
      <c r="AL34">
        <v>1.0236047381170099</v>
      </c>
      <c r="AM34">
        <v>598.16775839966101</v>
      </c>
      <c r="AN34">
        <v>1.25686483443133E-8</v>
      </c>
      <c r="AO34">
        <v>4.9131750304099498E-8</v>
      </c>
      <c r="AP34">
        <v>4.27598387537354</v>
      </c>
      <c r="AQ34">
        <v>4.6821428824333801E-5</v>
      </c>
      <c r="AR34">
        <v>7.6507168956435598E-6</v>
      </c>
      <c r="AS34">
        <v>21.2249584640027</v>
      </c>
      <c r="AT34">
        <v>12.225888876290201</v>
      </c>
      <c r="AU34">
        <v>3.9603991124994802</v>
      </c>
      <c r="AV34">
        <v>0.31558476287406001</v>
      </c>
      <c r="AW34">
        <v>8.2181347594452708E-3</v>
      </c>
      <c r="AX34">
        <v>0.315584761784584</v>
      </c>
      <c r="AY34">
        <v>1.0894765090085899E-9</v>
      </c>
      <c r="AZ34">
        <v>1189751.8930438301</v>
      </c>
      <c r="BA34">
        <v>1.09498609417099E-5</v>
      </c>
      <c r="BB34">
        <v>3491609.1423074701</v>
      </c>
      <c r="BC34">
        <v>-15353.9631612832</v>
      </c>
      <c r="BD34">
        <v>-0.43781364957447799</v>
      </c>
      <c r="BE34">
        <v>4037875.2</v>
      </c>
      <c r="BF34">
        <v>0.86471447713576399</v>
      </c>
      <c r="BG34">
        <v>1</v>
      </c>
      <c r="BH34">
        <v>-1.6E-2</v>
      </c>
      <c r="BI34">
        <v>4.5999999999999999E-2</v>
      </c>
      <c r="BJ34">
        <v>5625</v>
      </c>
      <c r="BK34">
        <v>1</v>
      </c>
      <c r="BL34">
        <v>75.563683379945999</v>
      </c>
      <c r="BM34">
        <v>3.4916091423074702</v>
      </c>
      <c r="BN34">
        <v>75.563683379945999</v>
      </c>
      <c r="BO34">
        <v>1</v>
      </c>
      <c r="BP34">
        <v>1264.77557554905</v>
      </c>
      <c r="BQ34">
        <v>1</v>
      </c>
      <c r="BR34">
        <v>0.15240000000000001</v>
      </c>
      <c r="BS34">
        <v>33</v>
      </c>
      <c r="BT34">
        <v>120</v>
      </c>
      <c r="BU34" t="s">
        <v>303</v>
      </c>
      <c r="BV34" t="str">
        <f>"Table "&amp;TRIM(RIGHT(SUBSTITUTE($A34,"_",REPT(" ",50)),50))</f>
        <v>Table 9</v>
      </c>
      <c r="BW34">
        <f>$BR34/$Q34</f>
        <v>80</v>
      </c>
      <c r="BX34" t="str">
        <f>IF($BW34&lt;40,"outside_low",IF($BW34&lt;=100,"short_anchor",IF($BW34&lt;250,"middle",IF($BW34&lt;=400,"long","outside_high"))))</f>
        <v>short_anchor</v>
      </c>
      <c r="BY34" t="str">
        <f>IF($N34&gt;1000,"PASS","FAIL")</f>
        <v>PASS</v>
      </c>
      <c r="BZ34" t="str">
        <f>IF(AND($BW34&gt;=40,$BW34&lt;=400),"PASS","FAIL")</f>
        <v>PASS</v>
      </c>
    </row>
    <row r="35" spans="1:78">
      <c r="A35" t="s">
        <v>189</v>
      </c>
      <c r="B35">
        <v>12065825.263044599</v>
      </c>
      <c r="C35">
        <v>598.16775841223</v>
      </c>
      <c r="D35">
        <v>70.719127092772794</v>
      </c>
      <c r="E35">
        <v>654.056980860061</v>
      </c>
      <c r="F35">
        <v>2683685.08837691</v>
      </c>
      <c r="G35">
        <v>1493933.1953330799</v>
      </c>
      <c r="H35">
        <v>2.11454043590923E-5</v>
      </c>
      <c r="I35">
        <v>7.6371158483287804E-5</v>
      </c>
      <c r="J35">
        <v>0.51093471001103696</v>
      </c>
      <c r="K35">
        <v>6848.0719740579098</v>
      </c>
      <c r="L35">
        <v>8.69531901762856E-3</v>
      </c>
      <c r="M35">
        <v>120</v>
      </c>
      <c r="N35">
        <v>3811.0060161767701</v>
      </c>
      <c r="O35">
        <v>2.8502295699234199E-6</v>
      </c>
      <c r="P35">
        <v>5.98473400508856E-3</v>
      </c>
      <c r="Q35">
        <v>1.905E-3</v>
      </c>
      <c r="R35">
        <v>0.15240000000000001</v>
      </c>
      <c r="S35">
        <v>3272268.95703125</v>
      </c>
      <c r="T35">
        <v>535.47689091834604</v>
      </c>
      <c r="U35">
        <v>575.59967125462299</v>
      </c>
      <c r="V35">
        <v>0.03</v>
      </c>
      <c r="W35">
        <v>95061.6254224484</v>
      </c>
      <c r="X35">
        <v>3.0945300439482602E-2</v>
      </c>
      <c r="Y35">
        <v>5.6846358323022699</v>
      </c>
      <c r="Z35">
        <v>5.6846358673975699</v>
      </c>
      <c r="AA35">
        <v>-3.5095298223097897E-8</v>
      </c>
      <c r="AB35">
        <v>1.21478205091792E-5</v>
      </c>
      <c r="AC35">
        <v>637.921188663007</v>
      </c>
      <c r="AD35">
        <v>2956.15770076538</v>
      </c>
      <c r="AE35">
        <v>575.59967125462299</v>
      </c>
      <c r="AF35">
        <v>0</v>
      </c>
      <c r="AG35">
        <v>1.21857474496073E-5</v>
      </c>
      <c r="AH35">
        <v>85.895102033074707</v>
      </c>
      <c r="AI35">
        <v>0.362390168805998</v>
      </c>
      <c r="AJ35">
        <v>37.819413294214002</v>
      </c>
      <c r="AK35">
        <v>2.6945482175486002</v>
      </c>
      <c r="AL35">
        <v>1.0236047381170099</v>
      </c>
      <c r="AM35">
        <v>598.16775840418302</v>
      </c>
      <c r="AN35">
        <v>8.0466406870982593E-9</v>
      </c>
      <c r="AO35">
        <v>3.7926940428088698E-8</v>
      </c>
      <c r="AP35">
        <v>4.55808586086291</v>
      </c>
      <c r="AQ35">
        <v>4.1205176319700799E-5</v>
      </c>
      <c r="AR35">
        <v>6.1118371950176996E-6</v>
      </c>
      <c r="AS35">
        <v>18.968561249213501</v>
      </c>
      <c r="AT35">
        <v>11.663914687961</v>
      </c>
      <c r="AU35">
        <v>4.2268880127089403</v>
      </c>
      <c r="AV35">
        <v>0.33119784815397102</v>
      </c>
      <c r="AW35">
        <v>6.5665531641907202E-3</v>
      </c>
      <c r="AX35">
        <v>0.33119782706648698</v>
      </c>
      <c r="AY35">
        <v>2.1087484036730301E-8</v>
      </c>
      <c r="AZ35">
        <v>1189751.8930438301</v>
      </c>
      <c r="BA35">
        <v>9.0400175813932604E-6</v>
      </c>
      <c r="BB35">
        <v>3264754.4627970001</v>
      </c>
      <c r="BC35">
        <v>-7514.4942342536497</v>
      </c>
      <c r="BD35">
        <v>-0.22964170527935901</v>
      </c>
      <c r="BE35">
        <v>4053648.15</v>
      </c>
      <c r="BF35">
        <v>0.80538673855968401</v>
      </c>
      <c r="BG35">
        <v>1</v>
      </c>
      <c r="BH35">
        <v>-7.0000000000000001E-3</v>
      </c>
      <c r="BI35">
        <v>4.5999999999999999E-2</v>
      </c>
      <c r="BJ35">
        <v>5625</v>
      </c>
      <c r="BK35">
        <v>1</v>
      </c>
      <c r="BL35">
        <v>62.690867493883999</v>
      </c>
      <c r="BM35">
        <v>3.2647544627970002</v>
      </c>
      <c r="BN35">
        <v>62.690867493883999</v>
      </c>
      <c r="BO35">
        <v>1</v>
      </c>
      <c r="BP35">
        <v>514.87546762500006</v>
      </c>
      <c r="BQ35">
        <v>1</v>
      </c>
      <c r="BR35">
        <v>0.15240000000000001</v>
      </c>
      <c r="BS35">
        <v>34</v>
      </c>
      <c r="BT35">
        <v>121</v>
      </c>
      <c r="BU35" t="s">
        <v>303</v>
      </c>
      <c r="BV35" t="str">
        <f>"Table "&amp;TRIM(RIGHT(SUBSTITUTE($A35,"_",REPT(" ",50)),50))</f>
        <v>Table 9</v>
      </c>
      <c r="BW35">
        <f>$BR35/$Q35</f>
        <v>80</v>
      </c>
      <c r="BX35" t="str">
        <f>IF($BW35&lt;40,"outside_low",IF($BW35&lt;=100,"short_anchor",IF($BW35&lt;250,"middle",IF($BW35&lt;=400,"long","outside_high"))))</f>
        <v>short_anchor</v>
      </c>
      <c r="BY35" t="str">
        <f>IF($N35&gt;1000,"PASS","FAIL")</f>
        <v>PASS</v>
      </c>
      <c r="BZ35" t="str">
        <f>IF(AND($BW35&gt;=40,$BW35&lt;=400),"PASS","FAIL")</f>
        <v>PASS</v>
      </c>
    </row>
    <row r="36" spans="1:78">
      <c r="A36" t="s">
        <v>190</v>
      </c>
      <c r="B36">
        <v>12065825.263044599</v>
      </c>
      <c r="C36">
        <v>598.16775841223</v>
      </c>
      <c r="D36">
        <v>70.719127092772794</v>
      </c>
      <c r="E36">
        <v>654.056980860061</v>
      </c>
      <c r="F36">
        <v>2683685.08837691</v>
      </c>
      <c r="G36">
        <v>1493933.1953330799</v>
      </c>
      <c r="H36">
        <v>2.11454043590923E-5</v>
      </c>
      <c r="I36">
        <v>7.6371158483287804E-5</v>
      </c>
      <c r="J36">
        <v>0.51093471001103696</v>
      </c>
      <c r="K36">
        <v>6848.0719740579098</v>
      </c>
      <c r="L36">
        <v>8.69531901762856E-3</v>
      </c>
      <c r="M36">
        <v>121</v>
      </c>
      <c r="N36">
        <v>4041.5650990059698</v>
      </c>
      <c r="O36">
        <v>2.8502295699234199E-6</v>
      </c>
      <c r="P36">
        <v>5.98473400508856E-3</v>
      </c>
      <c r="Q36">
        <v>1.905E-3</v>
      </c>
      <c r="R36">
        <v>0.15240000000000001</v>
      </c>
      <c r="S36">
        <v>3737501.98046875</v>
      </c>
      <c r="T36">
        <v>529.302558596925</v>
      </c>
      <c r="U36">
        <v>572.51546879104603</v>
      </c>
      <c r="V36">
        <v>0.03</v>
      </c>
      <c r="W36">
        <v>100812.68461170699</v>
      </c>
      <c r="X36">
        <v>3.0144337567857799E-2</v>
      </c>
      <c r="Y36">
        <v>5.7596637200681799</v>
      </c>
      <c r="Z36">
        <v>5.7596637569575702</v>
      </c>
      <c r="AA36">
        <v>-3.6889382215576903E-8</v>
      </c>
      <c r="AB36">
        <v>1.1088363050012001E-5</v>
      </c>
      <c r="AC36">
        <v>641.82040900582103</v>
      </c>
      <c r="AD36">
        <v>3094.1621066426901</v>
      </c>
      <c r="AE36">
        <v>572.51546920925</v>
      </c>
      <c r="AF36">
        <v>4.1820396745606601E-7</v>
      </c>
      <c r="AG36">
        <v>1.11282763896135E-5</v>
      </c>
      <c r="AH36">
        <v>94.102103025414607</v>
      </c>
      <c r="AI36">
        <v>0.37930788599304199</v>
      </c>
      <c r="AJ36">
        <v>36.149806946969598</v>
      </c>
      <c r="AK36">
        <v>2.9816559755845899</v>
      </c>
      <c r="AL36">
        <v>1.0236047381170099</v>
      </c>
      <c r="AM36">
        <v>598.16775840860498</v>
      </c>
      <c r="AN36">
        <v>3.62479113391601E-9</v>
      </c>
      <c r="AO36">
        <v>3.9913339601514102E-8</v>
      </c>
      <c r="AP36">
        <v>4.6773042065595298</v>
      </c>
      <c r="AQ36">
        <v>3.9131414485436101E-5</v>
      </c>
      <c r="AR36">
        <v>5.5840948646075001E-6</v>
      </c>
      <c r="AS36">
        <v>18.139731999964901</v>
      </c>
      <c r="AT36">
        <v>11.440523352978801</v>
      </c>
      <c r="AU36">
        <v>4.3394807276724201</v>
      </c>
      <c r="AV36">
        <v>0.33782347888710401</v>
      </c>
      <c r="AW36">
        <v>5.9938591796555203E-3</v>
      </c>
      <c r="AX36">
        <v>0.33782347766433901</v>
      </c>
      <c r="AY36">
        <v>1.22276533343069E-9</v>
      </c>
      <c r="AZ36">
        <v>1189751.8930438301</v>
      </c>
      <c r="BA36">
        <v>8.3662325043039796E-6</v>
      </c>
      <c r="BB36">
        <v>3712445.8463802999</v>
      </c>
      <c r="BC36">
        <v>-25056.1340884487</v>
      </c>
      <c r="BD36">
        <v>-0.67039788124222499</v>
      </c>
      <c r="BE36">
        <v>4653020.25</v>
      </c>
      <c r="BF36">
        <v>0.79785722969512096</v>
      </c>
      <c r="BG36">
        <v>1</v>
      </c>
      <c r="BH36">
        <v>-8.9999999999999993E-3</v>
      </c>
      <c r="BI36">
        <v>4.5999999999999999E-2</v>
      </c>
      <c r="BJ36">
        <v>5625</v>
      </c>
      <c r="BK36">
        <v>1</v>
      </c>
      <c r="BL36">
        <v>68.865199815305004</v>
      </c>
      <c r="BM36">
        <v>3.7124458463802998</v>
      </c>
      <c r="BN36">
        <v>68.865199815305004</v>
      </c>
      <c r="BO36">
        <v>1</v>
      </c>
      <c r="BP36">
        <v>833.19976037748404</v>
      </c>
      <c r="BQ36">
        <v>1</v>
      </c>
      <c r="BR36">
        <v>0.15240000000000001</v>
      </c>
      <c r="BS36">
        <v>35</v>
      </c>
      <c r="BT36">
        <v>122</v>
      </c>
      <c r="BU36" t="s">
        <v>303</v>
      </c>
      <c r="BV36" t="str">
        <f>"Table "&amp;TRIM(RIGHT(SUBSTITUTE($A36,"_",REPT(" ",50)),50))</f>
        <v>Table 9</v>
      </c>
      <c r="BW36">
        <f>$BR36/$Q36</f>
        <v>80</v>
      </c>
      <c r="BX36" t="str">
        <f>IF($BW36&lt;40,"outside_low",IF($BW36&lt;=100,"short_anchor",IF($BW36&lt;250,"middle",IF($BW36&lt;=400,"long","outside_high"))))</f>
        <v>short_anchor</v>
      </c>
      <c r="BY36" t="str">
        <f>IF($N36&gt;1000,"PASS","FAIL")</f>
        <v>PASS</v>
      </c>
      <c r="BZ36" t="str">
        <f>IF(AND($BW36&gt;=40,$BW36&lt;=400),"PASS","FAIL")</f>
        <v>PASS</v>
      </c>
    </row>
    <row r="37" spans="1:78">
      <c r="A37" t="s">
        <v>191</v>
      </c>
      <c r="B37">
        <v>12065825.263044599</v>
      </c>
      <c r="C37">
        <v>598.16775841223</v>
      </c>
      <c r="D37">
        <v>70.719127092772794</v>
      </c>
      <c r="E37">
        <v>654.056980860061</v>
      </c>
      <c r="F37">
        <v>2683685.08837691</v>
      </c>
      <c r="G37">
        <v>1493933.1953330799</v>
      </c>
      <c r="H37">
        <v>2.11454043590923E-5</v>
      </c>
      <c r="I37">
        <v>7.6371158483287804E-5</v>
      </c>
      <c r="J37">
        <v>0.51093471001103696</v>
      </c>
      <c r="K37">
        <v>6848.0719740579098</v>
      </c>
      <c r="L37">
        <v>8.69531901762856E-3</v>
      </c>
      <c r="M37">
        <v>122</v>
      </c>
      <c r="N37">
        <v>4041.5650990059698</v>
      </c>
      <c r="O37">
        <v>2.8502295699234199E-6</v>
      </c>
      <c r="P37">
        <v>5.98473400508856E-3</v>
      </c>
      <c r="Q37">
        <v>1.905E-3</v>
      </c>
      <c r="R37">
        <v>0.15240000000000001</v>
      </c>
      <c r="S37">
        <v>3911523.07328125</v>
      </c>
      <c r="T37">
        <v>525.91640840595801</v>
      </c>
      <c r="U37">
        <v>571.141346391605</v>
      </c>
      <c r="V37">
        <v>0.03</v>
      </c>
      <c r="W37">
        <v>100812.68461170699</v>
      </c>
      <c r="X37">
        <v>3.0144337567857799E-2</v>
      </c>
      <c r="Y37">
        <v>5.7596637200681799</v>
      </c>
      <c r="Z37">
        <v>5.7596637569575702</v>
      </c>
      <c r="AA37">
        <v>-3.6889382215576903E-8</v>
      </c>
      <c r="AB37">
        <v>1.1088363050012001E-5</v>
      </c>
      <c r="AC37">
        <v>644.16239430459495</v>
      </c>
      <c r="AD37">
        <v>3094.1621066426901</v>
      </c>
      <c r="AE37">
        <v>571.141346391605</v>
      </c>
      <c r="AF37">
        <v>0</v>
      </c>
      <c r="AG37">
        <v>1.1130181616455001E-5</v>
      </c>
      <c r="AH37">
        <v>94.102103025414607</v>
      </c>
      <c r="AI37">
        <v>0.37930788599304199</v>
      </c>
      <c r="AJ37">
        <v>36.155996008069401</v>
      </c>
      <c r="AK37">
        <v>3.14153139000328</v>
      </c>
      <c r="AL37">
        <v>1.0236047381170099</v>
      </c>
      <c r="AM37">
        <v>598.16775840832804</v>
      </c>
      <c r="AN37">
        <v>3.9016185837681397E-9</v>
      </c>
      <c r="AO37">
        <v>4.1818566443015099E-8</v>
      </c>
      <c r="AP37">
        <v>4.67790759794861</v>
      </c>
      <c r="AQ37">
        <v>3.9121320213477303E-5</v>
      </c>
      <c r="AR37">
        <v>5.5860000914490003E-6</v>
      </c>
      <c r="AS37">
        <v>18.145921061064701</v>
      </c>
      <c r="AT37">
        <v>11.4422290026331</v>
      </c>
      <c r="AU37">
        <v>4.3401276940370197</v>
      </c>
      <c r="AV37">
        <v>0.33777990391158902</v>
      </c>
      <c r="AW37">
        <v>5.9938591796555203E-3</v>
      </c>
      <c r="AX37">
        <v>0.33777990267419999</v>
      </c>
      <c r="AY37">
        <v>1.23738880253299E-9</v>
      </c>
      <c r="AZ37">
        <v>1189751.8930438301</v>
      </c>
      <c r="BA37">
        <v>8.3629955047921605E-6</v>
      </c>
      <c r="BB37">
        <v>3891161.5997952898</v>
      </c>
      <c r="BC37">
        <v>-20361.473485959199</v>
      </c>
      <c r="BD37">
        <v>-0.52055102589178004</v>
      </c>
      <c r="BE37">
        <v>5173527.5999999996</v>
      </c>
      <c r="BF37">
        <v>0.75212928211599595</v>
      </c>
      <c r="BG37">
        <v>1</v>
      </c>
      <c r="BH37">
        <v>-1.2E-2</v>
      </c>
      <c r="BI37">
        <v>4.5999999999999999E-2</v>
      </c>
      <c r="BJ37">
        <v>5625</v>
      </c>
      <c r="BK37">
        <v>1</v>
      </c>
      <c r="BL37">
        <v>72.251350006272006</v>
      </c>
      <c r="BM37">
        <v>3.8911615997952902</v>
      </c>
      <c r="BN37">
        <v>72.251350006272006</v>
      </c>
      <c r="BO37">
        <v>1</v>
      </c>
      <c r="BP37">
        <v>1040.14957722706</v>
      </c>
      <c r="BQ37">
        <v>1</v>
      </c>
      <c r="BR37">
        <v>0.15240000000000001</v>
      </c>
      <c r="BS37">
        <v>36</v>
      </c>
      <c r="BT37">
        <v>123</v>
      </c>
      <c r="BU37" t="s">
        <v>303</v>
      </c>
      <c r="BV37" t="str">
        <f>"Table "&amp;TRIM(RIGHT(SUBSTITUTE($A37,"_",REPT(" ",50)),50))</f>
        <v>Table 9</v>
      </c>
      <c r="BW37">
        <f>$BR37/$Q37</f>
        <v>80</v>
      </c>
      <c r="BX37" t="str">
        <f>IF($BW37&lt;40,"outside_low",IF($BW37&lt;=100,"short_anchor",IF($BW37&lt;250,"middle",IF($BW37&lt;=400,"long","outside_high"))))</f>
        <v>short_anchor</v>
      </c>
      <c r="BY37" t="str">
        <f>IF($N37&gt;1000,"PASS","FAIL")</f>
        <v>PASS</v>
      </c>
      <c r="BZ37" t="str">
        <f>IF(AND($BW37&gt;=40,$BW37&lt;=400),"PASS","FAIL")</f>
        <v>PASS</v>
      </c>
    </row>
    <row r="38" spans="1:78">
      <c r="A38" t="s">
        <v>192</v>
      </c>
      <c r="B38">
        <v>12065825.263044599</v>
      </c>
      <c r="C38">
        <v>598.16775841223</v>
      </c>
      <c r="D38">
        <v>70.719127092772794</v>
      </c>
      <c r="E38">
        <v>654.056980860061</v>
      </c>
      <c r="F38">
        <v>2683685.08837691</v>
      </c>
      <c r="G38">
        <v>1493933.1953330799</v>
      </c>
      <c r="H38">
        <v>2.11454043590923E-5</v>
      </c>
      <c r="I38">
        <v>7.6371158483287804E-5</v>
      </c>
      <c r="J38">
        <v>0.51093471001103696</v>
      </c>
      <c r="K38">
        <v>6848.0719740579098</v>
      </c>
      <c r="L38">
        <v>8.69531901762856E-3</v>
      </c>
      <c r="M38">
        <v>123</v>
      </c>
      <c r="N38">
        <v>4082.2519959758301</v>
      </c>
      <c r="O38">
        <v>2.8502295699234199E-6</v>
      </c>
      <c r="P38">
        <v>5.98473400508856E-3</v>
      </c>
      <c r="Q38">
        <v>1.905E-3</v>
      </c>
      <c r="R38">
        <v>0.15240000000000001</v>
      </c>
      <c r="S38">
        <v>3913093.38671875</v>
      </c>
      <c r="T38">
        <v>526.45012634417299</v>
      </c>
      <c r="U38">
        <v>571.24229241062903</v>
      </c>
      <c r="V38">
        <v>0.03</v>
      </c>
      <c r="W38">
        <v>101827.577409811</v>
      </c>
      <c r="X38">
        <v>3.00107704692281E-2</v>
      </c>
      <c r="Y38">
        <v>5.7724665819879704</v>
      </c>
      <c r="Z38">
        <v>5.77246661364559</v>
      </c>
      <c r="AA38">
        <v>-3.1657623189573802E-8</v>
      </c>
      <c r="AB38">
        <v>1.09168055121032E-5</v>
      </c>
      <c r="AC38">
        <v>643.72299703381702</v>
      </c>
      <c r="AD38">
        <v>3118.3797028357499</v>
      </c>
      <c r="AE38">
        <v>571.24229284785895</v>
      </c>
      <c r="AF38">
        <v>4.3722991449612902E-7</v>
      </c>
      <c r="AG38">
        <v>1.09583258750934E-5</v>
      </c>
      <c r="AH38">
        <v>95.580917051109196</v>
      </c>
      <c r="AI38">
        <v>0.38227667848006103</v>
      </c>
      <c r="AJ38">
        <v>35.876347491812197</v>
      </c>
      <c r="AK38">
        <v>3.11565047897879</v>
      </c>
      <c r="AL38">
        <v>1.0236047381170099</v>
      </c>
      <c r="AM38">
        <v>598.16775840903904</v>
      </c>
      <c r="AN38">
        <v>3.1905074138194302E-9</v>
      </c>
      <c r="AO38">
        <v>4.1520362990261501E-8</v>
      </c>
      <c r="AP38">
        <v>4.6982652238709699</v>
      </c>
      <c r="AQ38">
        <v>3.8783028642806501E-5</v>
      </c>
      <c r="AR38">
        <v>5.4999231190418504E-6</v>
      </c>
      <c r="AS38">
        <v>18.006140285120399</v>
      </c>
      <c r="AT38">
        <v>11.4035641333836</v>
      </c>
      <c r="AU38">
        <v>4.3593166197442503</v>
      </c>
      <c r="AV38">
        <v>0.33894860412671202</v>
      </c>
      <c r="AW38">
        <v>5.9011230635312804E-3</v>
      </c>
      <c r="AX38">
        <v>0.33894860232861201</v>
      </c>
      <c r="AY38">
        <v>1.7980996691591099E-9</v>
      </c>
      <c r="AZ38">
        <v>1189751.8930438301</v>
      </c>
      <c r="BA38">
        <v>8.2547550627319999E-6</v>
      </c>
      <c r="BB38">
        <v>3914073.17040559</v>
      </c>
      <c r="BC38">
        <v>979.78368683578401</v>
      </c>
      <c r="BD38">
        <v>2.5038597089484801E-2</v>
      </c>
      <c r="BE38">
        <v>4700339.0999999996</v>
      </c>
      <c r="BF38">
        <v>0.83272144565177997</v>
      </c>
      <c r="BG38">
        <v>1</v>
      </c>
      <c r="BH38">
        <v>-0.02</v>
      </c>
      <c r="BI38">
        <v>4.5999999999999999E-2</v>
      </c>
      <c r="BJ38">
        <v>5625</v>
      </c>
      <c r="BK38">
        <v>1</v>
      </c>
      <c r="BL38">
        <v>71.717632068057</v>
      </c>
      <c r="BM38">
        <v>3.9140731704055902</v>
      </c>
      <c r="BN38">
        <v>71.717632068057</v>
      </c>
      <c r="BO38">
        <v>1</v>
      </c>
      <c r="BP38">
        <v>1006.00818400464</v>
      </c>
      <c r="BQ38">
        <v>1</v>
      </c>
      <c r="BR38">
        <v>0.15240000000000001</v>
      </c>
      <c r="BS38">
        <v>37</v>
      </c>
      <c r="BT38">
        <v>124</v>
      </c>
      <c r="BU38" t="s">
        <v>303</v>
      </c>
      <c r="BV38" t="str">
        <f>"Table "&amp;TRIM(RIGHT(SUBSTITUTE($A38,"_",REPT(" ",50)),50))</f>
        <v>Table 9</v>
      </c>
      <c r="BW38">
        <f>$BR38/$Q38</f>
        <v>80</v>
      </c>
      <c r="BX38" t="str">
        <f>IF($BW38&lt;40,"outside_low",IF($BW38&lt;=100,"short_anchor",IF($BW38&lt;250,"middle",IF($BW38&lt;=400,"long","outside_high"))))</f>
        <v>short_anchor</v>
      </c>
      <c r="BY38" t="str">
        <f>IF($N38&gt;1000,"PASS","FAIL")</f>
        <v>PASS</v>
      </c>
      <c r="BZ38" t="str">
        <f>IF(AND($BW38&gt;=40,$BW38&lt;=400),"PASS","FAIL")</f>
        <v>PASS</v>
      </c>
    </row>
    <row r="39" spans="1:78">
      <c r="A39" t="s">
        <v>193</v>
      </c>
      <c r="B39">
        <v>12065825.263044599</v>
      </c>
      <c r="C39">
        <v>598.16775841223</v>
      </c>
      <c r="D39">
        <v>70.719127092772794</v>
      </c>
      <c r="E39">
        <v>654.056980860061</v>
      </c>
      <c r="F39">
        <v>2683685.08837691</v>
      </c>
      <c r="G39">
        <v>1493933.1953330799</v>
      </c>
      <c r="H39">
        <v>2.11454043590923E-5</v>
      </c>
      <c r="I39">
        <v>7.6371158483287804E-5</v>
      </c>
      <c r="J39">
        <v>0.51093471001103696</v>
      </c>
      <c r="K39">
        <v>6848.0719740579098</v>
      </c>
      <c r="L39">
        <v>8.69531901762856E-3</v>
      </c>
      <c r="M39">
        <v>124</v>
      </c>
      <c r="N39">
        <v>2325.9342767769299</v>
      </c>
      <c r="O39">
        <v>2.8502295699234199E-6</v>
      </c>
      <c r="P39">
        <v>5.98473400508856E-3</v>
      </c>
      <c r="Q39">
        <v>1.905E-3</v>
      </c>
      <c r="R39">
        <v>0.69596000000000002</v>
      </c>
      <c r="S39">
        <v>2963578.97265625</v>
      </c>
      <c r="T39">
        <v>298.737706474898</v>
      </c>
      <c r="U39">
        <v>570.63196722715497</v>
      </c>
      <c r="V39">
        <v>0.03</v>
      </c>
      <c r="W39">
        <v>58018.038291636803</v>
      </c>
      <c r="X39">
        <v>3.90786566983174E-2</v>
      </c>
      <c r="Y39">
        <v>5.0585982172817499</v>
      </c>
      <c r="Z39">
        <v>5.0585982262515303</v>
      </c>
      <c r="AA39">
        <v>-8.9697866911819801E-9</v>
      </c>
      <c r="AB39">
        <v>2.58248515761656E-5</v>
      </c>
      <c r="AC39">
        <v>664.84625901754396</v>
      </c>
      <c r="AD39">
        <v>2027.48600229818</v>
      </c>
      <c r="AE39">
        <v>570.63196722715395</v>
      </c>
      <c r="AF39">
        <v>0</v>
      </c>
      <c r="AG39">
        <v>2.58924229664803E-5</v>
      </c>
      <c r="AH39">
        <v>40.404425134371103</v>
      </c>
      <c r="AI39">
        <v>0.248545940033715</v>
      </c>
      <c r="AJ39">
        <v>55.114462078869202</v>
      </c>
      <c r="AK39">
        <v>4.2484572423270803</v>
      </c>
      <c r="AL39">
        <v>1.0236047381170099</v>
      </c>
      <c r="AM39">
        <v>598.16775835230897</v>
      </c>
      <c r="AN39">
        <v>5.9920580497418996E-8</v>
      </c>
      <c r="AO39">
        <v>6.7571390314750404E-8</v>
      </c>
      <c r="AP39">
        <v>3.6500564589817701</v>
      </c>
      <c r="AQ39">
        <v>6.4256581350664293E-5</v>
      </c>
      <c r="AR39">
        <v>1.29799971783975E-5</v>
      </c>
      <c r="AS39">
        <v>27.6291470751401</v>
      </c>
      <c r="AT39">
        <v>13.5443563446902</v>
      </c>
      <c r="AU39">
        <v>3.3663947798426399</v>
      </c>
      <c r="AV39">
        <v>0.28366167913912599</v>
      </c>
      <c r="AW39">
        <v>1.39597272370041E-2</v>
      </c>
      <c r="AX39">
        <v>0.28366167592740299</v>
      </c>
      <c r="AY39">
        <v>3.21172333173081E-9</v>
      </c>
      <c r="AZ39">
        <v>1189751.8930438301</v>
      </c>
      <c r="BA39">
        <v>1.7604270529171401E-5</v>
      </c>
      <c r="BB39">
        <v>2986873.3695495999</v>
      </c>
      <c r="BC39">
        <v>23294.3968933537</v>
      </c>
      <c r="BD39">
        <v>0.78602247850594498</v>
      </c>
      <c r="BE39">
        <v>2104111.5299999998</v>
      </c>
      <c r="BF39">
        <v>1.41954137267125</v>
      </c>
      <c r="BG39">
        <v>1</v>
      </c>
      <c r="BH39">
        <v>-4.4999999999999998E-2</v>
      </c>
      <c r="BI39">
        <v>4.5999999999999999E-2</v>
      </c>
      <c r="BJ39">
        <v>5625</v>
      </c>
      <c r="BK39">
        <v>1</v>
      </c>
      <c r="BL39">
        <v>299.430051937332</v>
      </c>
      <c r="BM39">
        <v>2.9868733695495999</v>
      </c>
      <c r="BN39">
        <v>299.430051937332</v>
      </c>
      <c r="BO39">
        <v>1</v>
      </c>
      <c r="BP39">
        <v>67303.951848206794</v>
      </c>
      <c r="BQ39">
        <v>1</v>
      </c>
      <c r="BR39">
        <v>0.69596000000000002</v>
      </c>
      <c r="BS39">
        <v>38</v>
      </c>
      <c r="BT39">
        <v>125</v>
      </c>
      <c r="BU39" t="s">
        <v>303</v>
      </c>
      <c r="BV39" t="str">
        <f>"Table "&amp;TRIM(RIGHT(SUBSTITUTE($A39,"_",REPT(" ",50)),50))</f>
        <v>Table 9</v>
      </c>
      <c r="BW39">
        <f>$BR39/$Q39</f>
        <v>365.33333333333337</v>
      </c>
      <c r="BX39" t="str">
        <f>IF($BW39&lt;40,"outside_low",IF($BW39&lt;=100,"short_anchor",IF($BW39&lt;250,"middle",IF($BW39&lt;=400,"long","outside_high"))))</f>
        <v>long</v>
      </c>
      <c r="BY39" t="str">
        <f>IF($N39&gt;1000,"PASS","FAIL")</f>
        <v>PASS</v>
      </c>
      <c r="BZ39" t="str">
        <f>IF(AND($BW39&gt;=40,$BW39&lt;=400),"PASS","FAIL")</f>
        <v>PASS</v>
      </c>
    </row>
    <row r="40" spans="1:78">
      <c r="A40" t="s">
        <v>194</v>
      </c>
      <c r="B40">
        <v>12065825.263044599</v>
      </c>
      <c r="C40">
        <v>598.16775841223</v>
      </c>
      <c r="D40">
        <v>70.719127092772794</v>
      </c>
      <c r="E40">
        <v>654.056980860061</v>
      </c>
      <c r="F40">
        <v>2683685.08837691</v>
      </c>
      <c r="G40">
        <v>1493933.1953330799</v>
      </c>
      <c r="H40">
        <v>2.11454043590923E-5</v>
      </c>
      <c r="I40">
        <v>7.6371158483287804E-5</v>
      </c>
      <c r="J40">
        <v>0.51093471001103696</v>
      </c>
      <c r="K40">
        <v>6848.0719740579098</v>
      </c>
      <c r="L40">
        <v>8.69531901762856E-3</v>
      </c>
      <c r="M40">
        <v>125</v>
      </c>
      <c r="N40">
        <v>2454.77611718148</v>
      </c>
      <c r="O40">
        <v>2.8502295699234199E-6</v>
      </c>
      <c r="P40">
        <v>5.98473400508856E-3</v>
      </c>
      <c r="Q40">
        <v>1.905E-3</v>
      </c>
      <c r="R40">
        <v>0.69596000000000002</v>
      </c>
      <c r="S40">
        <v>3126217.28515625</v>
      </c>
      <c r="T40">
        <v>297.61642558059998</v>
      </c>
      <c r="U40">
        <v>569.37812224507798</v>
      </c>
      <c r="V40">
        <v>0.03</v>
      </c>
      <c r="W40">
        <v>61231.865485634102</v>
      </c>
      <c r="X40">
        <v>3.8051118795571201E-2</v>
      </c>
      <c r="Y40">
        <v>5.1264447918666702</v>
      </c>
      <c r="Z40">
        <v>5.1264447975649503</v>
      </c>
      <c r="AA40">
        <v>-5.6982845109132499E-9</v>
      </c>
      <c r="AB40">
        <v>2.3811191581321001E-5</v>
      </c>
      <c r="AC40">
        <v>665.32160269393705</v>
      </c>
      <c r="AD40">
        <v>2111.4763285019499</v>
      </c>
      <c r="AE40">
        <v>569.37812224507798</v>
      </c>
      <c r="AF40">
        <v>0</v>
      </c>
      <c r="AG40">
        <v>2.3877158521292899E-5</v>
      </c>
      <c r="AH40">
        <v>43.821338321176803</v>
      </c>
      <c r="AI40">
        <v>0.25884216627468098</v>
      </c>
      <c r="AJ40">
        <v>52.930241479893603</v>
      </c>
      <c r="AK40">
        <v>4.30648299933471</v>
      </c>
      <c r="AL40">
        <v>1.0236047381170099</v>
      </c>
      <c r="AM40">
        <v>598.16775831666098</v>
      </c>
      <c r="AN40">
        <v>9.5568566393922096E-8</v>
      </c>
      <c r="AO40">
        <v>6.5966939971885102E-8</v>
      </c>
      <c r="AP40">
        <v>3.7418772723876899</v>
      </c>
      <c r="AQ40">
        <v>6.1141727043018999E-5</v>
      </c>
      <c r="AR40">
        <v>1.1971562730632401E-5</v>
      </c>
      <c r="AS40">
        <v>26.538237607250899</v>
      </c>
      <c r="AT40">
        <v>13.3429331077329</v>
      </c>
      <c r="AU40">
        <v>3.4537137100637398</v>
      </c>
      <c r="AV40">
        <v>0.28816356232394702</v>
      </c>
      <c r="AW40">
        <v>1.2871235239549901E-2</v>
      </c>
      <c r="AX40">
        <v>0.28816355933710502</v>
      </c>
      <c r="AY40">
        <v>2.98684232902247E-9</v>
      </c>
      <c r="AZ40">
        <v>1189751.8930438301</v>
      </c>
      <c r="BA40">
        <v>1.63398536596056E-5</v>
      </c>
      <c r="BB40">
        <v>3141594.7749638301</v>
      </c>
      <c r="BC40">
        <v>15377.489807575899</v>
      </c>
      <c r="BD40">
        <v>0.49188806806841501</v>
      </c>
      <c r="BE40">
        <v>2161840.5269999998</v>
      </c>
      <c r="BF40">
        <v>1.45320375658025</v>
      </c>
      <c r="BG40">
        <v>1</v>
      </c>
      <c r="BH40">
        <v>-7.9000000000000001E-2</v>
      </c>
      <c r="BI40">
        <v>4.5999999999999999E-2</v>
      </c>
      <c r="BJ40">
        <v>5625</v>
      </c>
      <c r="BK40">
        <v>1</v>
      </c>
      <c r="BL40">
        <v>300.55133283163002</v>
      </c>
      <c r="BM40">
        <v>3.14159477496383</v>
      </c>
      <c r="BN40">
        <v>300.55133283163002</v>
      </c>
      <c r="BO40">
        <v>1</v>
      </c>
      <c r="BP40">
        <v>67886.9970403388</v>
      </c>
      <c r="BQ40">
        <v>1</v>
      </c>
      <c r="BR40">
        <v>0.69596000000000002</v>
      </c>
      <c r="BS40">
        <v>39</v>
      </c>
      <c r="BT40">
        <v>126</v>
      </c>
      <c r="BU40" t="s">
        <v>303</v>
      </c>
      <c r="BV40" t="str">
        <f>"Table "&amp;TRIM(RIGHT(SUBSTITUTE($A40,"_",REPT(" ",50)),50))</f>
        <v>Table 9</v>
      </c>
      <c r="BW40">
        <f>$BR40/$Q40</f>
        <v>365.33333333333337</v>
      </c>
      <c r="BX40" t="str">
        <f>IF($BW40&lt;40,"outside_low",IF($BW40&lt;=100,"short_anchor",IF($BW40&lt;250,"middle",IF($BW40&lt;=400,"long","outside_high"))))</f>
        <v>long</v>
      </c>
      <c r="BY40" t="str">
        <f>IF($N40&gt;1000,"PASS","FAIL")</f>
        <v>PASS</v>
      </c>
      <c r="BZ40" t="str">
        <f>IF(AND($BW40&gt;=40,$BW40&lt;=400),"PASS","FAIL")</f>
        <v>PASS</v>
      </c>
    </row>
    <row r="41" spans="1:78">
      <c r="A41" t="s">
        <v>195</v>
      </c>
      <c r="B41">
        <v>12065825.263044599</v>
      </c>
      <c r="C41">
        <v>598.16775841223</v>
      </c>
      <c r="D41">
        <v>70.719127092772794</v>
      </c>
      <c r="E41">
        <v>654.056980860061</v>
      </c>
      <c r="F41">
        <v>2683685.08837691</v>
      </c>
      <c r="G41">
        <v>1493933.1953330799</v>
      </c>
      <c r="H41">
        <v>2.11454043590923E-5</v>
      </c>
      <c r="I41">
        <v>7.6371158483287804E-5</v>
      </c>
      <c r="J41">
        <v>0.51093471001103696</v>
      </c>
      <c r="K41">
        <v>6848.0719740579098</v>
      </c>
      <c r="L41">
        <v>8.69531901762856E-3</v>
      </c>
      <c r="M41">
        <v>126</v>
      </c>
      <c r="N41">
        <v>2739.5843959704898</v>
      </c>
      <c r="O41">
        <v>2.8502295699234199E-6</v>
      </c>
      <c r="P41">
        <v>5.98473400508856E-3</v>
      </c>
      <c r="Q41">
        <v>1.905E-3</v>
      </c>
      <c r="R41">
        <v>0.69596000000000002</v>
      </c>
      <c r="S41">
        <v>3426558.8026562501</v>
      </c>
      <c r="T41">
        <v>300.41963647945403</v>
      </c>
      <c r="U41">
        <v>567.32326607227901</v>
      </c>
      <c r="V41">
        <v>0.03</v>
      </c>
      <c r="W41">
        <v>68336.115072365006</v>
      </c>
      <c r="X41">
        <v>3.6074469187045398E-2</v>
      </c>
      <c r="Y41">
        <v>5.26502000021559</v>
      </c>
      <c r="Z41">
        <v>5.2650200301068102</v>
      </c>
      <c r="AA41">
        <v>-2.9891224606615203E-8</v>
      </c>
      <c r="AB41">
        <v>2.0165222639742601E-5</v>
      </c>
      <c r="AC41">
        <v>664.98934447875502</v>
      </c>
      <c r="AD41">
        <v>2294.4324221766901</v>
      </c>
      <c r="AE41">
        <v>567.323266722173</v>
      </c>
      <c r="AF41">
        <v>6.4989342263288595E-7</v>
      </c>
      <c r="AG41">
        <v>2.02267792479964E-5</v>
      </c>
      <c r="AH41">
        <v>51.744446404423599</v>
      </c>
      <c r="AI41">
        <v>0.28127043174025801</v>
      </c>
      <c r="AJ41">
        <v>48.7233365908804</v>
      </c>
      <c r="AK41">
        <v>4.3428369154161004</v>
      </c>
      <c r="AL41">
        <v>1.0236047381170099</v>
      </c>
      <c r="AM41">
        <v>598.16775839844297</v>
      </c>
      <c r="AN41">
        <v>1.3786689123662701E-8</v>
      </c>
      <c r="AO41">
        <v>6.1556608253819902E-8</v>
      </c>
      <c r="AP41">
        <v>3.9346848383956301</v>
      </c>
      <c r="AQ41">
        <v>5.5296402371884198E-5</v>
      </c>
      <c r="AR41">
        <v>1.01441679281251E-5</v>
      </c>
      <c r="AS41">
        <v>24.435808703722</v>
      </c>
      <c r="AT41">
        <v>12.9302481314784</v>
      </c>
      <c r="AU41">
        <v>3.6368964744495802</v>
      </c>
      <c r="AV41">
        <v>0.29778836394604802</v>
      </c>
      <c r="AW41">
        <v>1.09003920852761E-2</v>
      </c>
      <c r="AX41">
        <v>0.29778834850896102</v>
      </c>
      <c r="AY41">
        <v>1.5437086275937899E-8</v>
      </c>
      <c r="AZ41">
        <v>1189751.8930438301</v>
      </c>
      <c r="BA41">
        <v>1.40535785311922E-5</v>
      </c>
      <c r="BB41">
        <v>3408472.1304609501</v>
      </c>
      <c r="BC41">
        <v>-18086.672195298601</v>
      </c>
      <c r="BD41">
        <v>-0.52783778819957505</v>
      </c>
      <c r="BE41">
        <v>2460580.2000000002</v>
      </c>
      <c r="BF41">
        <v>1.3852310647955901</v>
      </c>
      <c r="BG41">
        <v>1</v>
      </c>
      <c r="BH41">
        <v>-4.7E-2</v>
      </c>
      <c r="BI41">
        <v>4.5999999999999999E-2</v>
      </c>
      <c r="BJ41">
        <v>5625</v>
      </c>
      <c r="BK41">
        <v>1</v>
      </c>
      <c r="BL41">
        <v>297.74812193277597</v>
      </c>
      <c r="BM41">
        <v>3.4084721304609502</v>
      </c>
      <c r="BN41">
        <v>297.74812193277597</v>
      </c>
      <c r="BO41">
        <v>1</v>
      </c>
      <c r="BP41">
        <v>66434.094359873197</v>
      </c>
      <c r="BQ41">
        <v>1</v>
      </c>
      <c r="BR41">
        <v>0.69596000000000002</v>
      </c>
      <c r="BS41">
        <v>40</v>
      </c>
      <c r="BT41">
        <v>127</v>
      </c>
      <c r="BU41" t="s">
        <v>303</v>
      </c>
      <c r="BV41" t="str">
        <f>"Table "&amp;TRIM(RIGHT(SUBSTITUTE($A41,"_",REPT(" ",50)),50))</f>
        <v>Table 9</v>
      </c>
      <c r="BW41">
        <f>$BR41/$Q41</f>
        <v>365.33333333333337</v>
      </c>
      <c r="BX41" t="str">
        <f>IF($BW41&lt;40,"outside_low",IF($BW41&lt;=100,"short_anchor",IF($BW41&lt;250,"middle",IF($BW41&lt;=400,"long","outside_high"))))</f>
        <v>long</v>
      </c>
      <c r="BY41" t="str">
        <f>IF($N41&gt;1000,"PASS","FAIL")</f>
        <v>PASS</v>
      </c>
      <c r="BZ41" t="str">
        <f>IF(AND($BW41&gt;=40,$BW41&lt;=400),"PASS","FAIL")</f>
        <v>PASS</v>
      </c>
    </row>
    <row r="42" spans="1:78">
      <c r="A42" t="s">
        <v>196</v>
      </c>
      <c r="B42">
        <v>12065825.263044599</v>
      </c>
      <c r="C42">
        <v>598.16775841223</v>
      </c>
      <c r="D42">
        <v>70.719127092772794</v>
      </c>
      <c r="E42">
        <v>654.056980860061</v>
      </c>
      <c r="F42">
        <v>2683685.08837691</v>
      </c>
      <c r="G42">
        <v>1493933.1953330799</v>
      </c>
      <c r="H42">
        <v>2.11454043590923E-5</v>
      </c>
      <c r="I42">
        <v>7.6371158483287804E-5</v>
      </c>
      <c r="J42">
        <v>0.51093471001103696</v>
      </c>
      <c r="K42">
        <v>6848.0719740579098</v>
      </c>
      <c r="L42">
        <v>8.69531901762856E-3</v>
      </c>
      <c r="M42">
        <v>127</v>
      </c>
      <c r="N42">
        <v>2834.5204889001602</v>
      </c>
      <c r="O42">
        <v>2.8502295699234199E-6</v>
      </c>
      <c r="P42">
        <v>5.98473400508856E-3</v>
      </c>
      <c r="Q42">
        <v>1.905E-3</v>
      </c>
      <c r="R42">
        <v>0.69596000000000002</v>
      </c>
      <c r="S42">
        <v>3568393.84765625</v>
      </c>
      <c r="T42">
        <v>297.61642558059998</v>
      </c>
      <c r="U42">
        <v>566.25857642779795</v>
      </c>
      <c r="V42">
        <v>0.03</v>
      </c>
      <c r="W42">
        <v>70704.198267942105</v>
      </c>
      <c r="X42">
        <v>3.5490800697075997E-2</v>
      </c>
      <c r="Y42">
        <v>5.3081367316897401</v>
      </c>
      <c r="Z42">
        <v>5.3081367455630799</v>
      </c>
      <c r="AA42">
        <v>-1.38733389221102E-8</v>
      </c>
      <c r="AB42">
        <v>1.91468502220541E-5</v>
      </c>
      <c r="AC42">
        <v>665.77099227354302</v>
      </c>
      <c r="AD42">
        <v>2354.65948696959</v>
      </c>
      <c r="AE42">
        <v>566.258577085507</v>
      </c>
      <c r="AF42">
        <v>6.5770984747359804E-7</v>
      </c>
      <c r="AG42">
        <v>1.9208608203278501E-5</v>
      </c>
      <c r="AH42">
        <v>54.496602313917499</v>
      </c>
      <c r="AI42">
        <v>0.28865356159538602</v>
      </c>
      <c r="AJ42">
        <v>47.4852824538915</v>
      </c>
      <c r="AK42">
        <v>4.4120884296742497</v>
      </c>
      <c r="AL42">
        <v>1.0236047381170099</v>
      </c>
      <c r="AM42">
        <v>598.16775836948898</v>
      </c>
      <c r="AN42">
        <v>4.27410213887924E-8</v>
      </c>
      <c r="AO42">
        <v>6.1757981224388305E-8</v>
      </c>
      <c r="AP42">
        <v>3.9963514837680498</v>
      </c>
      <c r="AQ42">
        <v>5.3603040474718E-5</v>
      </c>
      <c r="AR42">
        <v>9.6351830922514398E-6</v>
      </c>
      <c r="AS42">
        <v>23.818976668618198</v>
      </c>
      <c r="AT42">
        <v>12.802413009945599</v>
      </c>
      <c r="AU42">
        <v>3.6954621123359002</v>
      </c>
      <c r="AV42">
        <v>0.30088937143215699</v>
      </c>
      <c r="AW42">
        <v>1.03499067849176E-2</v>
      </c>
      <c r="AX42">
        <v>0.30088934975505499</v>
      </c>
      <c r="AY42">
        <v>2.1677101891270899E-8</v>
      </c>
      <c r="AZ42">
        <v>1189751.8930438301</v>
      </c>
      <c r="BA42">
        <v>1.3412994500718199E-5</v>
      </c>
      <c r="BB42">
        <v>3582938.34078873</v>
      </c>
      <c r="BC42">
        <v>14544.4931324841</v>
      </c>
      <c r="BD42">
        <v>0.40759214799221499</v>
      </c>
      <c r="BE42">
        <v>2523672</v>
      </c>
      <c r="BF42">
        <v>1.41973217628469</v>
      </c>
      <c r="BG42">
        <v>1</v>
      </c>
      <c r="BH42">
        <v>-5.6000000000000001E-2</v>
      </c>
      <c r="BI42">
        <v>4.5999999999999999E-2</v>
      </c>
      <c r="BJ42">
        <v>5625</v>
      </c>
      <c r="BK42">
        <v>1</v>
      </c>
      <c r="BL42">
        <v>300.55133283163002</v>
      </c>
      <c r="BM42">
        <v>3.5829383407887301</v>
      </c>
      <c r="BN42">
        <v>300.55133283163002</v>
      </c>
      <c r="BO42">
        <v>1</v>
      </c>
      <c r="BP42">
        <v>67886.9970403388</v>
      </c>
      <c r="BQ42">
        <v>1</v>
      </c>
      <c r="BR42">
        <v>0.69596000000000002</v>
      </c>
      <c r="BS42">
        <v>41</v>
      </c>
      <c r="BT42">
        <v>128</v>
      </c>
      <c r="BU42" t="s">
        <v>303</v>
      </c>
      <c r="BV42" t="str">
        <f>"Table "&amp;TRIM(RIGHT(SUBSTITUTE($A42,"_",REPT(" ",50)),50))</f>
        <v>Table 9</v>
      </c>
      <c r="BW42">
        <f>$BR42/$Q42</f>
        <v>365.33333333333337</v>
      </c>
      <c r="BX42" t="str">
        <f>IF($BW42&lt;40,"outside_low",IF($BW42&lt;=100,"short_anchor",IF($BW42&lt;250,"middle",IF($BW42&lt;=400,"long","outside_high"))))</f>
        <v>long</v>
      </c>
      <c r="BY42" t="str">
        <f>IF($N42&gt;1000,"PASS","FAIL")</f>
        <v>PASS</v>
      </c>
      <c r="BZ42" t="str">
        <f>IF(AND($BW42&gt;=40,$BW42&lt;=400),"PASS","FAIL")</f>
        <v>PASS</v>
      </c>
    </row>
    <row r="43" spans="1:78">
      <c r="A43" t="s">
        <v>197</v>
      </c>
      <c r="B43">
        <v>12065825.263044599</v>
      </c>
      <c r="C43">
        <v>598.16775841223</v>
      </c>
      <c r="D43">
        <v>70.719127092772794</v>
      </c>
      <c r="E43">
        <v>654.056980860061</v>
      </c>
      <c r="F43">
        <v>2683685.08837691</v>
      </c>
      <c r="G43">
        <v>1493933.1953330799</v>
      </c>
      <c r="H43">
        <v>2.11454043590923E-5</v>
      </c>
      <c r="I43">
        <v>7.6371158483287804E-5</v>
      </c>
      <c r="J43">
        <v>0.51093471001103696</v>
      </c>
      <c r="K43">
        <v>6848.0719740579098</v>
      </c>
      <c r="L43">
        <v>8.69531901762856E-3</v>
      </c>
      <c r="M43">
        <v>128</v>
      </c>
      <c r="N43">
        <v>3295.6386545585601</v>
      </c>
      <c r="O43">
        <v>2.8502295699234199E-6</v>
      </c>
      <c r="P43">
        <v>5.98473400508856E-3</v>
      </c>
      <c r="Q43">
        <v>1.905E-3</v>
      </c>
      <c r="R43">
        <v>0.69596000000000002</v>
      </c>
      <c r="S43">
        <v>4103513.5135937501</v>
      </c>
      <c r="T43">
        <v>297.11185267539003</v>
      </c>
      <c r="U43">
        <v>562.81533998867201</v>
      </c>
      <c r="V43">
        <v>0.03</v>
      </c>
      <c r="W43">
        <v>82206.316646459003</v>
      </c>
      <c r="X43">
        <v>3.3064274849559601E-2</v>
      </c>
      <c r="Y43">
        <v>5.4994657138155496</v>
      </c>
      <c r="Z43">
        <v>5.4994657451812596</v>
      </c>
      <c r="AA43">
        <v>-3.1365715358333499E-8</v>
      </c>
      <c r="AB43">
        <v>1.52031702906789E-5</v>
      </c>
      <c r="AC43">
        <v>666.22411188559499</v>
      </c>
      <c r="AD43">
        <v>2642.4677860546999</v>
      </c>
      <c r="AE43">
        <v>562.81534065091296</v>
      </c>
      <c r="AF43">
        <v>6.6224095007783003E-7</v>
      </c>
      <c r="AG43">
        <v>1.5261176473988101E-5</v>
      </c>
      <c r="AH43">
        <v>68.632940509464703</v>
      </c>
      <c r="AI43">
        <v>0.32393547435065501</v>
      </c>
      <c r="AJ43">
        <v>42.3382332911386</v>
      </c>
      <c r="AK43">
        <v>4.5263922038334297</v>
      </c>
      <c r="AL43">
        <v>1.0236047381170099</v>
      </c>
      <c r="AM43">
        <v>598.16775839434899</v>
      </c>
      <c r="AN43">
        <v>1.7881006897368901E-8</v>
      </c>
      <c r="AO43">
        <v>5.80061833091918E-8</v>
      </c>
      <c r="AP43">
        <v>4.2777325235297896</v>
      </c>
      <c r="AQ43">
        <v>4.6783157394084503E-5</v>
      </c>
      <c r="AR43">
        <v>7.6595913286486504E-6</v>
      </c>
      <c r="AS43">
        <v>21.249578310024201</v>
      </c>
      <c r="AT43">
        <v>12.231685254696799</v>
      </c>
      <c r="AU43">
        <v>3.9622767650881401</v>
      </c>
      <c r="AV43">
        <v>0.31545575844164903</v>
      </c>
      <c r="AW43">
        <v>8.2181347594452708E-3</v>
      </c>
      <c r="AX43">
        <v>0.31545575729241399</v>
      </c>
      <c r="AY43">
        <v>1.14923426330904E-9</v>
      </c>
      <c r="AZ43">
        <v>1189751.8930438301</v>
      </c>
      <c r="BA43">
        <v>1.09364382033595E-5</v>
      </c>
      <c r="BB43">
        <v>4127341.2426130902</v>
      </c>
      <c r="BC43">
        <v>23827.7290193429</v>
      </c>
      <c r="BD43">
        <v>0.58066651761736798</v>
      </c>
      <c r="BE43">
        <v>3006324.27</v>
      </c>
      <c r="BF43">
        <v>1.3728862464371101</v>
      </c>
      <c r="BG43">
        <v>1</v>
      </c>
      <c r="BH43">
        <v>-4.2000000000000003E-2</v>
      </c>
      <c r="BI43">
        <v>4.5999999999999999E-2</v>
      </c>
      <c r="BJ43">
        <v>5625</v>
      </c>
      <c r="BK43">
        <v>1</v>
      </c>
      <c r="BL43">
        <v>301.05590573683997</v>
      </c>
      <c r="BM43">
        <v>4.12734124261309</v>
      </c>
      <c r="BN43">
        <v>301.05590573683997</v>
      </c>
      <c r="BO43">
        <v>1</v>
      </c>
      <c r="BP43">
        <v>68150.185920081902</v>
      </c>
      <c r="BQ43">
        <v>1</v>
      </c>
      <c r="BR43">
        <v>0.69596000000000002</v>
      </c>
      <c r="BS43">
        <v>42</v>
      </c>
      <c r="BT43">
        <v>129</v>
      </c>
      <c r="BU43" t="s">
        <v>303</v>
      </c>
      <c r="BV43" t="str">
        <f>"Table "&amp;TRIM(RIGHT(SUBSTITUTE($A43,"_",REPT(" ",50)),50))</f>
        <v>Table 9</v>
      </c>
      <c r="BW43">
        <f>$BR43/$Q43</f>
        <v>365.33333333333337</v>
      </c>
      <c r="BX43" t="str">
        <f>IF($BW43&lt;40,"outside_low",IF($BW43&lt;=100,"short_anchor",IF($BW43&lt;250,"middle",IF($BW43&lt;=400,"long","outside_high"))))</f>
        <v>long</v>
      </c>
      <c r="BY43" t="str">
        <f>IF($N43&gt;1000,"PASS","FAIL")</f>
        <v>PASS</v>
      </c>
      <c r="BZ43" t="str">
        <f>IF(AND($BW43&gt;=40,$BW43&lt;=400),"PASS","FAIL")</f>
        <v>PASS</v>
      </c>
    </row>
    <row r="44" spans="1:78">
      <c r="A44" t="s">
        <v>198</v>
      </c>
      <c r="B44">
        <v>12065825.263044599</v>
      </c>
      <c r="C44">
        <v>598.16775841223</v>
      </c>
      <c r="D44">
        <v>70.719127092772794</v>
      </c>
      <c r="E44">
        <v>654.056980860061</v>
      </c>
      <c r="F44">
        <v>2683685.08837691</v>
      </c>
      <c r="G44">
        <v>1493933.1953330799</v>
      </c>
      <c r="H44">
        <v>2.11454043590923E-5</v>
      </c>
      <c r="I44">
        <v>7.6371158483287804E-5</v>
      </c>
      <c r="J44">
        <v>0.51093471001103696</v>
      </c>
      <c r="K44">
        <v>6848.0719740579098</v>
      </c>
      <c r="L44">
        <v>8.69531901762856E-3</v>
      </c>
      <c r="M44">
        <v>129</v>
      </c>
      <c r="N44">
        <v>3471.9485414279502</v>
      </c>
      <c r="O44">
        <v>2.8502295699234199E-6</v>
      </c>
      <c r="P44">
        <v>5.98473400508856E-3</v>
      </c>
      <c r="Q44">
        <v>1.905E-3</v>
      </c>
      <c r="R44">
        <v>0.69596000000000002</v>
      </c>
      <c r="S44">
        <v>4343195.60546875</v>
      </c>
      <c r="T44">
        <v>294.30874222031798</v>
      </c>
      <c r="U44">
        <v>561.25084919084804</v>
      </c>
      <c r="V44">
        <v>0.03</v>
      </c>
      <c r="W44">
        <v>86604.185438244895</v>
      </c>
      <c r="X44">
        <v>3.2280713915647401E-2</v>
      </c>
      <c r="Y44">
        <v>5.5658107404926103</v>
      </c>
      <c r="Z44">
        <v>5.5658107462575801</v>
      </c>
      <c r="AA44">
        <v>-5.76496983484276E-9</v>
      </c>
      <c r="AB44">
        <v>1.40308069136412E-5</v>
      </c>
      <c r="AC44">
        <v>666.99369060809397</v>
      </c>
      <c r="AD44">
        <v>2750.6507882578599</v>
      </c>
      <c r="AE44">
        <v>561.25084986078502</v>
      </c>
      <c r="AF44">
        <v>6.6993675318372002E-7</v>
      </c>
      <c r="AG44">
        <v>1.40877671975544E-5</v>
      </c>
      <c r="AH44">
        <v>74.367660287660598</v>
      </c>
      <c r="AI44">
        <v>0.33719743815596598</v>
      </c>
      <c r="AJ44">
        <v>40.682968972961802</v>
      </c>
      <c r="AK44">
        <v>4.6081337432180201</v>
      </c>
      <c r="AL44">
        <v>1.0236047381170099</v>
      </c>
      <c r="AM44">
        <v>598.16775840431603</v>
      </c>
      <c r="AN44">
        <v>7.9136270869639702E-9</v>
      </c>
      <c r="AO44">
        <v>5.6960283913167198E-8</v>
      </c>
      <c r="AP44">
        <v>4.3784762305645302</v>
      </c>
      <c r="AQ44">
        <v>4.4655071343375101E-5</v>
      </c>
      <c r="AR44">
        <v>7.0723637407337597E-6</v>
      </c>
      <c r="AS44">
        <v>20.4237300769508</v>
      </c>
      <c r="AT44">
        <v>12.033487319390201</v>
      </c>
      <c r="AU44">
        <v>4.0576610961806701</v>
      </c>
      <c r="AV44">
        <v>0.320815134383863</v>
      </c>
      <c r="AW44">
        <v>7.5844090275535899E-3</v>
      </c>
      <c r="AX44">
        <v>0.32081513100826797</v>
      </c>
      <c r="AY44">
        <v>3.3755951922565E-9</v>
      </c>
      <c r="AZ44">
        <v>1189751.8930438301</v>
      </c>
      <c r="BA44">
        <v>1.0198769844096601E-5</v>
      </c>
      <c r="BB44">
        <v>4346066.2670654096</v>
      </c>
      <c r="BC44">
        <v>2870.6615966577101</v>
      </c>
      <c r="BD44">
        <v>6.6095609256997395E-2</v>
      </c>
      <c r="BE44">
        <v>3091498.2</v>
      </c>
      <c r="BF44">
        <v>1.4058123233147599</v>
      </c>
      <c r="BG44">
        <v>1</v>
      </c>
      <c r="BH44">
        <v>-7.8E-2</v>
      </c>
      <c r="BI44">
        <v>4.5999999999999999E-2</v>
      </c>
      <c r="BJ44">
        <v>5625</v>
      </c>
      <c r="BK44">
        <v>1</v>
      </c>
      <c r="BL44">
        <v>303.85901619191202</v>
      </c>
      <c r="BM44">
        <v>4.3460662670654102</v>
      </c>
      <c r="BN44">
        <v>303.85901619191202</v>
      </c>
      <c r="BO44">
        <v>1</v>
      </c>
      <c r="BP44">
        <v>69621.580425763706</v>
      </c>
      <c r="BQ44">
        <v>1</v>
      </c>
      <c r="BR44">
        <v>0.69596000000000002</v>
      </c>
      <c r="BS44">
        <v>43</v>
      </c>
      <c r="BT44">
        <v>130</v>
      </c>
      <c r="BU44" t="s">
        <v>303</v>
      </c>
      <c r="BV44" t="str">
        <f>"Table "&amp;TRIM(RIGHT(SUBSTITUTE($A44,"_",REPT(" ",50)),50))</f>
        <v>Table 9</v>
      </c>
      <c r="BW44">
        <f>$BR44/$Q44</f>
        <v>365.33333333333337</v>
      </c>
      <c r="BX44" t="str">
        <f>IF($BW44&lt;40,"outside_low",IF($BW44&lt;=100,"short_anchor",IF($BW44&lt;250,"middle",IF($BW44&lt;=400,"long","outside_high"))))</f>
        <v>long</v>
      </c>
      <c r="BY44" t="str">
        <f>IF($N44&gt;1000,"PASS","FAIL")</f>
        <v>PASS</v>
      </c>
      <c r="BZ44" t="str">
        <f>IF(AND($BW44&gt;=40,$BW44&lt;=400),"PASS","FAIL")</f>
        <v>PASS</v>
      </c>
    </row>
    <row r="45" spans="1:78">
      <c r="A45" t="s">
        <v>199</v>
      </c>
      <c r="B45">
        <v>12065825.263044599</v>
      </c>
      <c r="C45">
        <v>598.16775841223</v>
      </c>
      <c r="D45">
        <v>70.719127092772794</v>
      </c>
      <c r="E45">
        <v>654.056980860061</v>
      </c>
      <c r="F45">
        <v>2683685.08837691</v>
      </c>
      <c r="G45">
        <v>1493933.1953330799</v>
      </c>
      <c r="H45">
        <v>2.11454043590923E-5</v>
      </c>
      <c r="I45">
        <v>7.6371158483287804E-5</v>
      </c>
      <c r="J45">
        <v>0.51093471001103696</v>
      </c>
      <c r="K45">
        <v>6848.0719740579098</v>
      </c>
      <c r="L45">
        <v>8.69531901762856E-3</v>
      </c>
      <c r="M45">
        <v>130</v>
      </c>
      <c r="N45">
        <v>4000.87820203611</v>
      </c>
      <c r="O45">
        <v>2.8502295699234199E-6</v>
      </c>
      <c r="P45">
        <v>5.98473400508856E-3</v>
      </c>
      <c r="Q45">
        <v>1.905E-3</v>
      </c>
      <c r="R45">
        <v>0.69596000000000002</v>
      </c>
      <c r="S45">
        <v>4853035.1804687502</v>
      </c>
      <c r="T45">
        <v>299.85899298833198</v>
      </c>
      <c r="U45">
        <v>558.70357782107999</v>
      </c>
      <c r="V45">
        <v>0.03</v>
      </c>
      <c r="W45">
        <v>99797.791813602395</v>
      </c>
      <c r="X45">
        <v>3.0280138556132801E-2</v>
      </c>
      <c r="Y45">
        <v>5.7467336773813704</v>
      </c>
      <c r="Z45">
        <v>5.7467337191382404</v>
      </c>
      <c r="AA45">
        <v>-4.1756874402665303E-8</v>
      </c>
      <c r="AB45">
        <v>1.1264289915259E-5</v>
      </c>
      <c r="AC45">
        <v>665.75739785602002</v>
      </c>
      <c r="AD45">
        <v>3069.90454493262</v>
      </c>
      <c r="AE45">
        <v>558.70357782107999</v>
      </c>
      <c r="AF45">
        <v>0</v>
      </c>
      <c r="AG45">
        <v>1.1316655590398E-5</v>
      </c>
      <c r="AH45">
        <v>92.632406477921904</v>
      </c>
      <c r="AI45">
        <v>0.376334194203642</v>
      </c>
      <c r="AJ45">
        <v>36.473545858687601</v>
      </c>
      <c r="AK45">
        <v>4.6096331231952501</v>
      </c>
      <c r="AL45">
        <v>1.0236047381170099</v>
      </c>
      <c r="AM45">
        <v>598.16775840942398</v>
      </c>
      <c r="AN45">
        <v>2.80556378129404E-9</v>
      </c>
      <c r="AO45">
        <v>5.2365675139005498E-8</v>
      </c>
      <c r="AP45">
        <v>4.6605653767108697</v>
      </c>
      <c r="AQ45">
        <v>3.9413007084651703E-5</v>
      </c>
      <c r="AR45">
        <v>5.6845106327685003E-6</v>
      </c>
      <c r="AS45">
        <v>18.3211601335998</v>
      </c>
      <c r="AT45">
        <v>11.490283416554201</v>
      </c>
      <c r="AU45">
        <v>4.3241865507403796</v>
      </c>
      <c r="AV45">
        <v>0.33637882597048702</v>
      </c>
      <c r="AW45">
        <v>6.0889571532205004E-3</v>
      </c>
      <c r="AX45">
        <v>0.33637882516474399</v>
      </c>
      <c r="AY45">
        <v>8.0574291683177504E-10</v>
      </c>
      <c r="AZ45">
        <v>1189751.8930438301</v>
      </c>
      <c r="BA45">
        <v>8.4567008289597102E-6</v>
      </c>
      <c r="BB45">
        <v>4818565.0919962097</v>
      </c>
      <c r="BC45">
        <v>-34470.088472536801</v>
      </c>
      <c r="BD45">
        <v>-0.71027897368770598</v>
      </c>
      <c r="BE45">
        <v>3615160.14</v>
      </c>
      <c r="BF45">
        <v>1.33287735685098</v>
      </c>
      <c r="BG45">
        <v>1</v>
      </c>
      <c r="BH45">
        <v>-4.2999999999999997E-2</v>
      </c>
      <c r="BI45">
        <v>4.5999999999999999E-2</v>
      </c>
      <c r="BJ45">
        <v>5625</v>
      </c>
      <c r="BK45">
        <v>1</v>
      </c>
      <c r="BL45">
        <v>298.30876542389802</v>
      </c>
      <c r="BM45">
        <v>4.8185650919962102</v>
      </c>
      <c r="BN45">
        <v>298.30876542389802</v>
      </c>
      <c r="BO45">
        <v>1</v>
      </c>
      <c r="BP45">
        <v>66723.418294818403</v>
      </c>
      <c r="BQ45">
        <v>1</v>
      </c>
      <c r="BR45">
        <v>0.69596000000000002</v>
      </c>
      <c r="BS45">
        <v>44</v>
      </c>
      <c r="BT45">
        <v>131</v>
      </c>
      <c r="BU45" t="s">
        <v>303</v>
      </c>
      <c r="BV45" t="str">
        <f>"Table "&amp;TRIM(RIGHT(SUBSTITUTE($A45,"_",REPT(" ",50)),50))</f>
        <v>Table 9</v>
      </c>
      <c r="BW45">
        <f>$BR45/$Q45</f>
        <v>365.33333333333337</v>
      </c>
      <c r="BX45" t="str">
        <f>IF($BW45&lt;40,"outside_low",IF($BW45&lt;=100,"short_anchor",IF($BW45&lt;250,"middle",IF($BW45&lt;=400,"long","outside_high"))))</f>
        <v>long</v>
      </c>
      <c r="BY45" t="str">
        <f>IF($N45&gt;1000,"PASS","FAIL")</f>
        <v>PASS</v>
      </c>
      <c r="BZ45" t="str">
        <f>IF(AND($BW45&gt;=40,$BW45&lt;=400),"PASS","FAIL")</f>
        <v>PASS</v>
      </c>
    </row>
    <row r="46" spans="1:78">
      <c r="A46" t="s">
        <v>200</v>
      </c>
      <c r="B46">
        <v>12065825.263044599</v>
      </c>
      <c r="C46">
        <v>598.16775841223</v>
      </c>
      <c r="D46">
        <v>70.719127092772794</v>
      </c>
      <c r="E46">
        <v>654.056980860061</v>
      </c>
      <c r="F46">
        <v>2683685.08837691</v>
      </c>
      <c r="G46">
        <v>1493933.1953330799</v>
      </c>
      <c r="H46">
        <v>2.11454043590923E-5</v>
      </c>
      <c r="I46">
        <v>7.6371158483287804E-5</v>
      </c>
      <c r="J46">
        <v>0.51093471001103696</v>
      </c>
      <c r="K46">
        <v>6848.0719740579098</v>
      </c>
      <c r="L46">
        <v>8.69531901762856E-3</v>
      </c>
      <c r="M46">
        <v>131</v>
      </c>
      <c r="N46">
        <v>4028.00280001602</v>
      </c>
      <c r="O46">
        <v>2.8502295699234199E-6</v>
      </c>
      <c r="P46">
        <v>5.98473400508856E-3</v>
      </c>
      <c r="Q46">
        <v>1.905E-3</v>
      </c>
      <c r="R46">
        <v>0.69596000000000002</v>
      </c>
      <c r="S46">
        <v>4927346.81640625</v>
      </c>
      <c r="T46">
        <v>297.11185267539003</v>
      </c>
      <c r="U46">
        <v>558.15021876330798</v>
      </c>
      <c r="V46">
        <v>0.03</v>
      </c>
      <c r="W46">
        <v>100474.38701233899</v>
      </c>
      <c r="X46">
        <v>3.0189353342588401E-2</v>
      </c>
      <c r="Y46">
        <v>5.7553679598019398</v>
      </c>
      <c r="Z46">
        <v>5.7553679983791897</v>
      </c>
      <c r="AA46">
        <v>-3.8577247174487197E-8</v>
      </c>
      <c r="AB46">
        <v>1.1146512323351701E-5</v>
      </c>
      <c r="AC46">
        <v>666.43737555555003</v>
      </c>
      <c r="AD46">
        <v>3086.0807201296302</v>
      </c>
      <c r="AE46">
        <v>558.15021942768101</v>
      </c>
      <c r="AF46">
        <v>6.6437371515348797E-7</v>
      </c>
      <c r="AG46">
        <v>1.1199773376919701E-5</v>
      </c>
      <c r="AH46">
        <v>93.6111899261481</v>
      </c>
      <c r="AI46">
        <v>0.37831720304608801</v>
      </c>
      <c r="AJ46">
        <v>36.287039042869303</v>
      </c>
      <c r="AK46">
        <v>4.6600811273939602</v>
      </c>
      <c r="AL46">
        <v>1.0236047381170099</v>
      </c>
      <c r="AM46">
        <v>598.167758401073</v>
      </c>
      <c r="AN46">
        <v>1.1156998880324E-8</v>
      </c>
      <c r="AO46">
        <v>5.32610535679949E-8</v>
      </c>
      <c r="AP46">
        <v>4.67464848359805</v>
      </c>
      <c r="AQ46">
        <v>3.9175889151730999E-5</v>
      </c>
      <c r="AR46">
        <v>5.6265172152438503E-6</v>
      </c>
      <c r="AS46">
        <v>18.229801889177399</v>
      </c>
      <c r="AT46">
        <v>11.4652886066731</v>
      </c>
      <c r="AU46">
        <v>4.3375159177927403</v>
      </c>
      <c r="AV46">
        <v>0.33713256580531298</v>
      </c>
      <c r="AW46">
        <v>6.0252920028978398E-3</v>
      </c>
      <c r="AX46">
        <v>0.33713256465786001</v>
      </c>
      <c r="AY46">
        <v>1.1474536876221499E-9</v>
      </c>
      <c r="AZ46">
        <v>1189751.8930438301</v>
      </c>
      <c r="BA46">
        <v>8.3804994726742605E-6</v>
      </c>
      <c r="BB46">
        <v>4945518.6022961503</v>
      </c>
      <c r="BC46">
        <v>18171.785889903102</v>
      </c>
      <c r="BD46">
        <v>0.36879453724259298</v>
      </c>
      <c r="BE46">
        <v>3671942.76</v>
      </c>
      <c r="BF46">
        <v>1.34683978633048</v>
      </c>
      <c r="BG46">
        <v>1</v>
      </c>
      <c r="BH46">
        <v>-4.2000000000000003E-2</v>
      </c>
      <c r="BI46">
        <v>4.5999999999999999E-2</v>
      </c>
      <c r="BJ46">
        <v>5625</v>
      </c>
      <c r="BK46">
        <v>1</v>
      </c>
      <c r="BL46">
        <v>301.05590573683997</v>
      </c>
      <c r="BM46">
        <v>4.9455186022961497</v>
      </c>
      <c r="BN46">
        <v>301.05590573683997</v>
      </c>
      <c r="BO46">
        <v>1</v>
      </c>
      <c r="BP46">
        <v>68150.185920081902</v>
      </c>
      <c r="BQ46">
        <v>1</v>
      </c>
      <c r="BR46">
        <v>0.69596000000000002</v>
      </c>
      <c r="BS46">
        <v>45</v>
      </c>
      <c r="BT46">
        <v>132</v>
      </c>
      <c r="BU46" t="s">
        <v>303</v>
      </c>
      <c r="BV46" t="str">
        <f>"Table "&amp;TRIM(RIGHT(SUBSTITUTE($A46,"_",REPT(" ",50)),50))</f>
        <v>Table 9</v>
      </c>
      <c r="BW46">
        <f>$BR46/$Q46</f>
        <v>365.33333333333337</v>
      </c>
      <c r="BX46" t="str">
        <f>IF($BW46&lt;40,"outside_low",IF($BW46&lt;=100,"short_anchor",IF($BW46&lt;250,"middle",IF($BW46&lt;=400,"long","outside_high"))))</f>
        <v>long</v>
      </c>
      <c r="BY46" t="str">
        <f>IF($N46&gt;1000,"PASS","FAIL")</f>
        <v>PASS</v>
      </c>
      <c r="BZ46" t="str">
        <f>IF(AND($BW46&gt;=40,$BW46&lt;=400),"PASS","FAIL")</f>
        <v>PASS</v>
      </c>
    </row>
    <row r="47" spans="1:78">
      <c r="A47" t="s">
        <v>201</v>
      </c>
      <c r="B47">
        <v>12065825.263044599</v>
      </c>
      <c r="C47">
        <v>598.16775841223</v>
      </c>
      <c r="D47">
        <v>70.719127092772794</v>
      </c>
      <c r="E47">
        <v>654.056980860061</v>
      </c>
      <c r="F47">
        <v>2683685.08837691</v>
      </c>
      <c r="G47">
        <v>1493933.1953330799</v>
      </c>
      <c r="H47">
        <v>2.11454043590923E-5</v>
      </c>
      <c r="I47">
        <v>7.6371158483287804E-5</v>
      </c>
      <c r="J47">
        <v>0.51093471001103696</v>
      </c>
      <c r="K47">
        <v>6848.0719740579098</v>
      </c>
      <c r="L47">
        <v>8.69531901762856E-3</v>
      </c>
      <c r="M47">
        <v>132</v>
      </c>
      <c r="N47">
        <v>4109.3765939557297</v>
      </c>
      <c r="O47">
        <v>2.8502295699234199E-6</v>
      </c>
      <c r="P47">
        <v>5.98473400508856E-3</v>
      </c>
      <c r="Q47">
        <v>1.905E-3</v>
      </c>
      <c r="R47">
        <v>0.69596000000000002</v>
      </c>
      <c r="S47">
        <v>5009458.43265625</v>
      </c>
      <c r="T47">
        <v>297.61642558059998</v>
      </c>
      <c r="U47">
        <v>557.74964085065903</v>
      </c>
      <c r="V47">
        <v>0.03</v>
      </c>
      <c r="W47">
        <v>102504.172608547</v>
      </c>
      <c r="X47">
        <v>2.9922937230895001E-2</v>
      </c>
      <c r="Y47">
        <v>5.7809323771818404</v>
      </c>
      <c r="Z47">
        <v>5.7809324053557001</v>
      </c>
      <c r="AA47">
        <v>-2.81738561369593E-8</v>
      </c>
      <c r="AB47">
        <v>1.0804787528474199E-5</v>
      </c>
      <c r="AC47">
        <v>666.32049253885202</v>
      </c>
      <c r="AD47">
        <v>3134.5028285365602</v>
      </c>
      <c r="AE47">
        <v>557.74964151386405</v>
      </c>
      <c r="AF47">
        <v>6.6320490077487204E-7</v>
      </c>
      <c r="AG47">
        <v>1.0857536782913499E-5</v>
      </c>
      <c r="AH47">
        <v>96.571846449143194</v>
      </c>
      <c r="AI47">
        <v>0.38425318407815101</v>
      </c>
      <c r="AJ47">
        <v>35.730162474521897</v>
      </c>
      <c r="AK47">
        <v>4.6644128762254002</v>
      </c>
      <c r="AL47">
        <v>1.0236047381170099</v>
      </c>
      <c r="AM47">
        <v>598.16775840445098</v>
      </c>
      <c r="AN47">
        <v>7.77947661845246E-9</v>
      </c>
      <c r="AO47">
        <v>5.2749254439303103E-8</v>
      </c>
      <c r="AP47">
        <v>4.7155119710003897</v>
      </c>
      <c r="AQ47">
        <v>3.8499853499744599E-5</v>
      </c>
      <c r="AR47">
        <v>5.4551430186764003E-6</v>
      </c>
      <c r="AS47">
        <v>17.951875298805898</v>
      </c>
      <c r="AT47">
        <v>11.388472914742</v>
      </c>
      <c r="AU47">
        <v>4.3760569792773802</v>
      </c>
      <c r="AV47">
        <v>0.33945499172300297</v>
      </c>
      <c r="AW47">
        <v>5.8405712925951401E-3</v>
      </c>
      <c r="AX47">
        <v>0.339454989417666</v>
      </c>
      <c r="AY47">
        <v>2.3053373654491301E-9</v>
      </c>
      <c r="AZ47">
        <v>1189751.8930438301</v>
      </c>
      <c r="BA47">
        <v>8.16451187835219E-6</v>
      </c>
      <c r="BB47">
        <v>5027569.5852272203</v>
      </c>
      <c r="BC47">
        <v>18111.152570971299</v>
      </c>
      <c r="BD47">
        <v>0.36153913271155602</v>
      </c>
      <c r="BE47">
        <v>3653015.22</v>
      </c>
      <c r="BF47">
        <v>1.37627939727752</v>
      </c>
      <c r="BG47">
        <v>1</v>
      </c>
      <c r="BH47">
        <v>-6.8000000000000005E-2</v>
      </c>
      <c r="BI47">
        <v>4.5999999999999999E-2</v>
      </c>
      <c r="BJ47">
        <v>5625</v>
      </c>
      <c r="BK47">
        <v>1</v>
      </c>
      <c r="BL47">
        <v>300.55133283163002</v>
      </c>
      <c r="BM47">
        <v>5.0275695852272202</v>
      </c>
      <c r="BN47">
        <v>300.55133283163002</v>
      </c>
      <c r="BO47">
        <v>1</v>
      </c>
      <c r="BP47">
        <v>67886.9970403388</v>
      </c>
      <c r="BQ47">
        <v>1</v>
      </c>
      <c r="BR47">
        <v>0.69596000000000002</v>
      </c>
      <c r="BS47">
        <v>46</v>
      </c>
      <c r="BT47">
        <v>133</v>
      </c>
      <c r="BU47" t="s">
        <v>303</v>
      </c>
      <c r="BV47" t="str">
        <f>"Table "&amp;TRIM(RIGHT(SUBSTITUTE($A47,"_",REPT(" ",50)),50))</f>
        <v>Table 9</v>
      </c>
      <c r="BW47">
        <f>$BR47/$Q47</f>
        <v>365.33333333333337</v>
      </c>
      <c r="BX47" t="str">
        <f>IF($BW47&lt;40,"outside_low",IF($BW47&lt;=100,"short_anchor",IF($BW47&lt;250,"middle",IF($BW47&lt;=400,"long","outside_high"))))</f>
        <v>long</v>
      </c>
      <c r="BY47" t="str">
        <f>IF($N47&gt;1000,"PASS","FAIL")</f>
        <v>PASS</v>
      </c>
      <c r="BZ47" t="str">
        <f>IF(AND($BW47&gt;=40,$BW47&lt;=400),"PASS","FAIL")</f>
        <v>PASS</v>
      </c>
    </row>
    <row r="48" spans="1:78">
      <c r="A48" t="s">
        <v>202</v>
      </c>
      <c r="B48">
        <v>15513203.909628799</v>
      </c>
      <c r="C48">
        <v>617.97483343502097</v>
      </c>
      <c r="D48">
        <v>102.22394330033001</v>
      </c>
      <c r="E48">
        <v>593.997803214295</v>
      </c>
      <c r="F48">
        <v>2595333.5493798102</v>
      </c>
      <c r="G48">
        <v>1630481.38578821</v>
      </c>
      <c r="H48">
        <v>2.3048203873610299E-5</v>
      </c>
      <c r="I48">
        <v>6.8200503236293095E-5</v>
      </c>
      <c r="J48">
        <v>0.471717723289031</v>
      </c>
      <c r="K48">
        <v>9005.0430614720299</v>
      </c>
      <c r="L48">
        <v>4.6429387983550402E-3</v>
      </c>
      <c r="M48">
        <v>133</v>
      </c>
      <c r="N48">
        <v>2034.345</v>
      </c>
      <c r="O48">
        <v>2.8502295699234199E-6</v>
      </c>
      <c r="P48">
        <v>5.98473400508856E-3</v>
      </c>
      <c r="Q48">
        <v>1.905E-3</v>
      </c>
      <c r="R48">
        <v>0.15240000000000001</v>
      </c>
      <c r="S48">
        <v>3055865.72265625</v>
      </c>
      <c r="T48">
        <v>532.51320671869905</v>
      </c>
      <c r="U48">
        <v>585.89262610251501</v>
      </c>
      <c r="V48">
        <v>0.03</v>
      </c>
      <c r="W48">
        <v>56824.026819463099</v>
      </c>
      <c r="X48">
        <v>3.5196888733325903E-2</v>
      </c>
      <c r="Y48">
        <v>5.3302534800051404</v>
      </c>
      <c r="Z48">
        <v>5.3302535319536997</v>
      </c>
      <c r="AA48">
        <v>-5.1948557455716602E-8</v>
      </c>
      <c r="AB48">
        <v>1.8175884064821801E-5</v>
      </c>
      <c r="AC48">
        <v>692.46511502385499</v>
      </c>
      <c r="AD48">
        <v>1884.5564685194799</v>
      </c>
      <c r="AE48">
        <v>585.89262610251501</v>
      </c>
      <c r="AF48">
        <v>0</v>
      </c>
      <c r="AG48">
        <v>1.8254897812804101E-5</v>
      </c>
      <c r="AH48">
        <v>30.6534006167511</v>
      </c>
      <c r="AI48">
        <v>0.227167872716697</v>
      </c>
      <c r="AJ48">
        <v>36.1179902942594</v>
      </c>
      <c r="AK48">
        <v>4.3677358962694504</v>
      </c>
      <c r="AL48">
        <v>1.30194062706561</v>
      </c>
      <c r="AM48">
        <v>617.97483342764701</v>
      </c>
      <c r="AN48">
        <v>7.3737282946240198E-9</v>
      </c>
      <c r="AO48">
        <v>7.9013747982299494E-8</v>
      </c>
      <c r="AP48">
        <v>2.8328243907932098</v>
      </c>
      <c r="AQ48">
        <v>4.16815285263611E-5</v>
      </c>
      <c r="AR48">
        <v>9.1669557803932001E-6</v>
      </c>
      <c r="AS48">
        <v>18.137160958080901</v>
      </c>
      <c r="AT48">
        <v>11.4398146258309</v>
      </c>
      <c r="AU48">
        <v>2.5987583528233502</v>
      </c>
      <c r="AV48">
        <v>0.23406603796985401</v>
      </c>
      <c r="AW48">
        <v>1.23453544424565E-2</v>
      </c>
      <c r="AX48">
        <v>0.23406602139217</v>
      </c>
      <c r="AY48">
        <v>1.6577683836782601E-8</v>
      </c>
      <c r="AZ48">
        <v>964852.16359160398</v>
      </c>
      <c r="BA48">
        <v>1.4713770702422499E-5</v>
      </c>
      <c r="BB48">
        <v>3077685.8864233401</v>
      </c>
      <c r="BC48">
        <v>21820.163767091901</v>
      </c>
      <c r="BD48">
        <v>0.71404196870683101</v>
      </c>
      <c r="BE48">
        <v>3059952.3</v>
      </c>
      <c r="BF48">
        <v>1.0057953800205801</v>
      </c>
      <c r="BG48">
        <v>1</v>
      </c>
      <c r="BH48">
        <v>-1.9E-2</v>
      </c>
      <c r="BI48">
        <v>4.5999999999999999E-2</v>
      </c>
      <c r="BJ48">
        <v>5625</v>
      </c>
      <c r="BK48">
        <v>1</v>
      </c>
      <c r="BL48">
        <v>85.461626716321504</v>
      </c>
      <c r="BM48">
        <v>3.0776858864233398</v>
      </c>
      <c r="BN48">
        <v>85.461626716321504</v>
      </c>
      <c r="BO48">
        <v>1</v>
      </c>
      <c r="BP48">
        <v>2066.7595036941502</v>
      </c>
      <c r="BQ48">
        <v>1</v>
      </c>
      <c r="BR48">
        <v>0.15240000000000001</v>
      </c>
      <c r="BS48">
        <v>47</v>
      </c>
      <c r="BT48">
        <v>134</v>
      </c>
      <c r="BU48" t="s">
        <v>303</v>
      </c>
      <c r="BV48" t="str">
        <f>"Table "&amp;TRIM(RIGHT(SUBSTITUTE($A48,"_",REPT(" ",50)),50))</f>
        <v>Table 11</v>
      </c>
      <c r="BW48">
        <f>$BR48/$Q48</f>
        <v>80</v>
      </c>
      <c r="BX48" t="str">
        <f>IF($BW48&lt;40,"outside_low",IF($BW48&lt;=100,"short_anchor",IF($BW48&lt;250,"middle",IF($BW48&lt;=400,"long","outside_high"))))</f>
        <v>short_anchor</v>
      </c>
      <c r="BY48" t="str">
        <f>IF($N48&gt;1000,"PASS","FAIL")</f>
        <v>PASS</v>
      </c>
      <c r="BZ48" t="str">
        <f>IF(AND($BW48&gt;=40,$BW48&lt;=400),"PASS","FAIL")</f>
        <v>PASS</v>
      </c>
    </row>
    <row r="49" spans="1:78">
      <c r="A49" t="s">
        <v>203</v>
      </c>
      <c r="B49">
        <v>15513203.909628799</v>
      </c>
      <c r="C49">
        <v>617.97483343502097</v>
      </c>
      <c r="D49">
        <v>102.22394330033001</v>
      </c>
      <c r="E49">
        <v>593.997803214295</v>
      </c>
      <c r="F49">
        <v>2595333.5493798102</v>
      </c>
      <c r="G49">
        <v>1630481.38578821</v>
      </c>
      <c r="H49">
        <v>2.3048203873610299E-5</v>
      </c>
      <c r="I49">
        <v>6.8200503236293095E-5</v>
      </c>
      <c r="J49">
        <v>0.471717723289031</v>
      </c>
      <c r="K49">
        <v>9005.0430614720299</v>
      </c>
      <c r="L49">
        <v>4.6429387983550402E-3</v>
      </c>
      <c r="M49">
        <v>134</v>
      </c>
      <c r="N49">
        <v>2061.4695999999999</v>
      </c>
      <c r="O49">
        <v>2.8502295699234199E-6</v>
      </c>
      <c r="P49">
        <v>5.98473400508856E-3</v>
      </c>
      <c r="Q49">
        <v>1.905E-3</v>
      </c>
      <c r="R49">
        <v>0.15240000000000001</v>
      </c>
      <c r="S49">
        <v>3232979.8983437498</v>
      </c>
      <c r="T49">
        <v>528.04902786314199</v>
      </c>
      <c r="U49">
        <v>583.779183250193</v>
      </c>
      <c r="V49">
        <v>0.03</v>
      </c>
      <c r="W49">
        <v>57581.680510389298</v>
      </c>
      <c r="X49">
        <v>3.4978260181261399E-2</v>
      </c>
      <c r="Y49">
        <v>5.3468856722663496</v>
      </c>
      <c r="Z49">
        <v>5.3468857046363096</v>
      </c>
      <c r="AA49">
        <v>-3.2369960045741697E-8</v>
      </c>
      <c r="AB49">
        <v>1.7811354909090299E-5</v>
      </c>
      <c r="AC49">
        <v>696.71605467574102</v>
      </c>
      <c r="AD49">
        <v>1903.74356479158</v>
      </c>
      <c r="AE49">
        <v>583.77918421735399</v>
      </c>
      <c r="AF49">
        <v>9.67160531217814E-7</v>
      </c>
      <c r="AG49">
        <v>1.7893043304985801E-5</v>
      </c>
      <c r="AH49">
        <v>31.2807564975449</v>
      </c>
      <c r="AI49">
        <v>0.22948072028404401</v>
      </c>
      <c r="AJ49">
        <v>35.762484038219199</v>
      </c>
      <c r="AK49">
        <v>4.6236939782341997</v>
      </c>
      <c r="AL49">
        <v>1.30194062706561</v>
      </c>
      <c r="AM49">
        <v>617.97483340397503</v>
      </c>
      <c r="AN49">
        <v>3.1045942705532097E-8</v>
      </c>
      <c r="AO49">
        <v>8.1688395895471294E-8</v>
      </c>
      <c r="AP49">
        <v>2.84922589732698</v>
      </c>
      <c r="AQ49">
        <v>4.1203032115004102E-5</v>
      </c>
      <c r="AR49">
        <v>8.9873658504406292E-6</v>
      </c>
      <c r="AS49">
        <v>17.962876537747</v>
      </c>
      <c r="AT49">
        <v>11.3915360681045</v>
      </c>
      <c r="AU49">
        <v>2.61413790205029</v>
      </c>
      <c r="AV49">
        <v>0.23508799527669999</v>
      </c>
      <c r="AW49">
        <v>1.2097760343811E-2</v>
      </c>
      <c r="AX49">
        <v>0.235087986499978</v>
      </c>
      <c r="AY49">
        <v>8.7767216827572303E-9</v>
      </c>
      <c r="AZ49">
        <v>964852.16359160398</v>
      </c>
      <c r="BA49">
        <v>1.44611321108863E-5</v>
      </c>
      <c r="BB49">
        <v>3237454.6097345399</v>
      </c>
      <c r="BC49">
        <v>4474.7113907863404</v>
      </c>
      <c r="BD49">
        <v>0.138408265175998</v>
      </c>
      <c r="BE49">
        <v>3217681.8</v>
      </c>
      <c r="BF49">
        <v>1.00614504819418</v>
      </c>
      <c r="BG49">
        <v>1</v>
      </c>
      <c r="BH49">
        <v>-2.1999999999999999E-2</v>
      </c>
      <c r="BI49">
        <v>4.5999999999999999E-2</v>
      </c>
      <c r="BJ49">
        <v>5625</v>
      </c>
      <c r="BK49">
        <v>1</v>
      </c>
      <c r="BL49">
        <v>89.925805571878499</v>
      </c>
      <c r="BM49">
        <v>3.2374546097345398</v>
      </c>
      <c r="BN49">
        <v>89.925805571878499</v>
      </c>
      <c r="BO49">
        <v>1</v>
      </c>
      <c r="BP49">
        <v>2492.5860620010199</v>
      </c>
      <c r="BQ49">
        <v>1</v>
      </c>
      <c r="BR49">
        <v>0.15240000000000001</v>
      </c>
      <c r="BS49">
        <v>48</v>
      </c>
      <c r="BT49">
        <v>135</v>
      </c>
      <c r="BU49" t="s">
        <v>303</v>
      </c>
      <c r="BV49" t="str">
        <f>"Table "&amp;TRIM(RIGHT(SUBSTITUTE($A49,"_",REPT(" ",50)),50))</f>
        <v>Table 11</v>
      </c>
      <c r="BW49">
        <f>$BR49/$Q49</f>
        <v>80</v>
      </c>
      <c r="BX49" t="str">
        <f>IF($BW49&lt;40,"outside_low",IF($BW49&lt;=100,"short_anchor",IF($BW49&lt;250,"middle",IF($BW49&lt;=400,"long","outside_high"))))</f>
        <v>short_anchor</v>
      </c>
      <c r="BY49" t="str">
        <f>IF($N49&gt;1000,"PASS","FAIL")</f>
        <v>PASS</v>
      </c>
      <c r="BZ49" t="str">
        <f>IF(AND($BW49&gt;=40,$BW49&lt;=400),"PASS","FAIL")</f>
        <v>PASS</v>
      </c>
    </row>
    <row r="50" spans="1:78">
      <c r="A50" t="s">
        <v>204</v>
      </c>
      <c r="B50">
        <v>15513203.909628799</v>
      </c>
      <c r="C50">
        <v>617.97483343502097</v>
      </c>
      <c r="D50">
        <v>102.22394330033001</v>
      </c>
      <c r="E50">
        <v>593.997803214295</v>
      </c>
      <c r="F50">
        <v>2595333.5493798102</v>
      </c>
      <c r="G50">
        <v>1630481.38578821</v>
      </c>
      <c r="H50">
        <v>2.3048203873610299E-5</v>
      </c>
      <c r="I50">
        <v>6.8200503236293095E-5</v>
      </c>
      <c r="J50">
        <v>0.471717723289031</v>
      </c>
      <c r="K50">
        <v>9005.0430614720299</v>
      </c>
      <c r="L50">
        <v>4.6429387983550402E-3</v>
      </c>
      <c r="M50">
        <v>135</v>
      </c>
      <c r="N50">
        <v>2115.7188000000001</v>
      </c>
      <c r="O50">
        <v>2.8502295699234199E-6</v>
      </c>
      <c r="P50">
        <v>5.98473400508856E-3</v>
      </c>
      <c r="Q50">
        <v>1.905E-3</v>
      </c>
      <c r="R50">
        <v>0.15240000000000001</v>
      </c>
      <c r="S50">
        <v>3742000.25390625</v>
      </c>
      <c r="T50">
        <v>514.67337606307899</v>
      </c>
      <c r="U50">
        <v>577.52406634710496</v>
      </c>
      <c r="V50">
        <v>0.03</v>
      </c>
      <c r="W50">
        <v>59096.987892241603</v>
      </c>
      <c r="X50">
        <v>3.4555174610075401E-2</v>
      </c>
      <c r="Y50">
        <v>5.3795191032892404</v>
      </c>
      <c r="Z50">
        <v>5.3795191594520197</v>
      </c>
      <c r="AA50">
        <v>-5.6162785533331303E-8</v>
      </c>
      <c r="AB50">
        <v>1.7116700383670199E-5</v>
      </c>
      <c r="AC50">
        <v>709.63670370418299</v>
      </c>
      <c r="AD50">
        <v>1941.98961300986</v>
      </c>
      <c r="AE50">
        <v>577.52406634710496</v>
      </c>
      <c r="AF50">
        <v>0</v>
      </c>
      <c r="AG50">
        <v>1.72074456155576E-5</v>
      </c>
      <c r="AH50">
        <v>32.550237096756298</v>
      </c>
      <c r="AI50">
        <v>0.23409096866805401</v>
      </c>
      <c r="AJ50">
        <v>35.083129293275697</v>
      </c>
      <c r="AK50">
        <v>5.39759290733251</v>
      </c>
      <c r="AL50">
        <v>1.30194062706561</v>
      </c>
      <c r="AM50">
        <v>617.974833416921</v>
      </c>
      <c r="AN50">
        <v>1.8099171938956699E-8</v>
      </c>
      <c r="AO50">
        <v>9.0745231887461896E-8</v>
      </c>
      <c r="AP50">
        <v>2.8821073289421899</v>
      </c>
      <c r="AQ50">
        <v>4.0268239538943302E-5</v>
      </c>
      <c r="AR50">
        <v>8.6490954237225495E-6</v>
      </c>
      <c r="AS50">
        <v>17.6340718895542</v>
      </c>
      <c r="AT50">
        <v>11.299164667073599</v>
      </c>
      <c r="AU50">
        <v>2.6450324020551199</v>
      </c>
      <c r="AV50">
        <v>0.23707492688706699</v>
      </c>
      <c r="AW50">
        <v>1.1625939754463899E-2</v>
      </c>
      <c r="AX50">
        <v>0.237074926185532</v>
      </c>
      <c r="AY50">
        <v>7.0153574616149704E-10</v>
      </c>
      <c r="AZ50">
        <v>964852.16359160398</v>
      </c>
      <c r="BA50">
        <v>1.39718042886775E-5</v>
      </c>
      <c r="BB50">
        <v>3722347.6780571002</v>
      </c>
      <c r="BC50">
        <v>-19652.575849152599</v>
      </c>
      <c r="BD50">
        <v>-0.52518905707281704</v>
      </c>
      <c r="BE50">
        <v>3722416.2</v>
      </c>
      <c r="BF50">
        <v>0.99998159207911697</v>
      </c>
      <c r="BG50">
        <v>1</v>
      </c>
      <c r="BH50">
        <v>-2.1999999999999999E-2</v>
      </c>
      <c r="BI50">
        <v>4.5999999999999999E-2</v>
      </c>
      <c r="BJ50">
        <v>5625</v>
      </c>
      <c r="BK50">
        <v>1</v>
      </c>
      <c r="BL50">
        <v>103.30145737194201</v>
      </c>
      <c r="BM50">
        <v>3.7223476780570999</v>
      </c>
      <c r="BN50">
        <v>103.30145737194201</v>
      </c>
      <c r="BO50">
        <v>1</v>
      </c>
      <c r="BP50">
        <v>4007.0745054117301</v>
      </c>
      <c r="BQ50">
        <v>1</v>
      </c>
      <c r="BR50">
        <v>0.15240000000000001</v>
      </c>
      <c r="BS50">
        <v>49</v>
      </c>
      <c r="BT50">
        <v>136</v>
      </c>
      <c r="BU50" t="s">
        <v>303</v>
      </c>
      <c r="BV50" t="str">
        <f>"Table "&amp;TRIM(RIGHT(SUBSTITUTE($A50,"_",REPT(" ",50)),50))</f>
        <v>Table 11</v>
      </c>
      <c r="BW50">
        <f>$BR50/$Q50</f>
        <v>80</v>
      </c>
      <c r="BX50" t="str">
        <f>IF($BW50&lt;40,"outside_low",IF($BW50&lt;=100,"short_anchor",IF($BW50&lt;250,"middle",IF($BW50&lt;=400,"long","outside_high"))))</f>
        <v>short_anchor</v>
      </c>
      <c r="BY50" t="str">
        <f>IF($N50&gt;1000,"PASS","FAIL")</f>
        <v>PASS</v>
      </c>
      <c r="BZ50" t="str">
        <f>IF(AND($BW50&gt;=40,$BW50&lt;=400),"PASS","FAIL")</f>
        <v>PASS</v>
      </c>
    </row>
    <row r="51" spans="1:78">
      <c r="A51" t="s">
        <v>205</v>
      </c>
      <c r="B51">
        <v>15513203.909628799</v>
      </c>
      <c r="C51">
        <v>617.97483343502097</v>
      </c>
      <c r="D51">
        <v>102.22394330033001</v>
      </c>
      <c r="E51">
        <v>593.997803214295</v>
      </c>
      <c r="F51">
        <v>2595333.5493798102</v>
      </c>
      <c r="G51">
        <v>1630481.38578821</v>
      </c>
      <c r="H51">
        <v>2.3048203873610299E-5</v>
      </c>
      <c r="I51">
        <v>6.8200503236293095E-5</v>
      </c>
      <c r="J51">
        <v>0.471717723289031</v>
      </c>
      <c r="K51">
        <v>9005.0430614720299</v>
      </c>
      <c r="L51">
        <v>4.6429387983550402E-3</v>
      </c>
      <c r="M51">
        <v>136</v>
      </c>
      <c r="N51">
        <v>2156.4056999999998</v>
      </c>
      <c r="O51">
        <v>2.8502295699234199E-6</v>
      </c>
      <c r="P51">
        <v>5.98473400508856E-3</v>
      </c>
      <c r="Q51">
        <v>1.905E-3</v>
      </c>
      <c r="R51">
        <v>0.15240000000000001</v>
      </c>
      <c r="S51">
        <v>3829275.9610312502</v>
      </c>
      <c r="T51">
        <v>513.57370580890699</v>
      </c>
      <c r="U51">
        <v>576.67675985950996</v>
      </c>
      <c r="V51">
        <v>0.03</v>
      </c>
      <c r="W51">
        <v>60233.468428630898</v>
      </c>
      <c r="X51">
        <v>3.4249617312816803E-2</v>
      </c>
      <c r="Y51">
        <v>5.4034624570516501</v>
      </c>
      <c r="Z51">
        <v>5.4034625052941996</v>
      </c>
      <c r="AA51">
        <v>-4.8242550398924797E-8</v>
      </c>
      <c r="AB51">
        <v>1.6623878854372201E-5</v>
      </c>
      <c r="AC51">
        <v>710.45461029609305</v>
      </c>
      <c r="AD51">
        <v>1970.5649071683599</v>
      </c>
      <c r="AE51">
        <v>576.67676096405603</v>
      </c>
      <c r="AF51">
        <v>1.10454607238353E-6</v>
      </c>
      <c r="AG51">
        <v>1.6714858757936299E-5</v>
      </c>
      <c r="AH51">
        <v>33.5152018781747</v>
      </c>
      <c r="AI51">
        <v>0.237535486725578</v>
      </c>
      <c r="AJ51">
        <v>34.5802772668399</v>
      </c>
      <c r="AK51">
        <v>5.4573547130679199</v>
      </c>
      <c r="AL51">
        <v>1.30194062706561</v>
      </c>
      <c r="AM51">
        <v>617.97483340140604</v>
      </c>
      <c r="AN51">
        <v>3.3614242056501098E-8</v>
      </c>
      <c r="AO51">
        <v>9.0979903564094406E-8</v>
      </c>
      <c r="AP51">
        <v>2.9056228638069901</v>
      </c>
      <c r="AQ51">
        <v>3.9619086202504297E-5</v>
      </c>
      <c r="AR51">
        <v>8.4029193307502205E-6</v>
      </c>
      <c r="AS51">
        <v>17.384249817263001</v>
      </c>
      <c r="AT51">
        <v>11.227823066895599</v>
      </c>
      <c r="AU51">
        <v>2.66700641706371</v>
      </c>
      <c r="AV51">
        <v>0.23861644674327301</v>
      </c>
      <c r="AW51">
        <v>1.1291207400628601E-2</v>
      </c>
      <c r="AX51">
        <v>0.238616445069046</v>
      </c>
      <c r="AY51">
        <v>1.6742279229653401E-9</v>
      </c>
      <c r="AZ51">
        <v>964852.16359160398</v>
      </c>
      <c r="BA51">
        <v>1.3635316095563401E-5</v>
      </c>
      <c r="BB51">
        <v>3824070.3723692098</v>
      </c>
      <c r="BC51">
        <v>-5205.58866203669</v>
      </c>
      <c r="BD51">
        <v>-0.135941852063198</v>
      </c>
      <c r="BE51">
        <v>3785508</v>
      </c>
      <c r="BF51">
        <v>1.01018684212772</v>
      </c>
      <c r="BG51">
        <v>1</v>
      </c>
      <c r="BH51">
        <v>-2.8000000000000001E-2</v>
      </c>
      <c r="BI51">
        <v>4.5999999999999999E-2</v>
      </c>
      <c r="BJ51">
        <v>5625</v>
      </c>
      <c r="BK51">
        <v>1</v>
      </c>
      <c r="BL51">
        <v>104.401127626114</v>
      </c>
      <c r="BM51">
        <v>3.82407037236921</v>
      </c>
      <c r="BN51">
        <v>104.401127626114</v>
      </c>
      <c r="BO51">
        <v>1</v>
      </c>
      <c r="BP51">
        <v>4147.5052395149596</v>
      </c>
      <c r="BQ51">
        <v>1</v>
      </c>
      <c r="BR51">
        <v>0.15240000000000001</v>
      </c>
      <c r="BS51">
        <v>50</v>
      </c>
      <c r="BT51">
        <v>137</v>
      </c>
      <c r="BU51" t="s">
        <v>303</v>
      </c>
      <c r="BV51" t="str">
        <f>"Table "&amp;TRIM(RIGHT(SUBSTITUTE($A51,"_",REPT(" ",50)),50))</f>
        <v>Table 11</v>
      </c>
      <c r="BW51">
        <f>$BR51/$Q51</f>
        <v>80</v>
      </c>
      <c r="BX51" t="str">
        <f>IF($BW51&lt;40,"outside_low",IF($BW51&lt;=100,"short_anchor",IF($BW51&lt;250,"middle",IF($BW51&lt;=400,"long","outside_high"))))</f>
        <v>short_anchor</v>
      </c>
      <c r="BY51" t="str">
        <f>IF($N51&gt;1000,"PASS","FAIL")</f>
        <v>PASS</v>
      </c>
      <c r="BZ51" t="str">
        <f>IF(AND($BW51&gt;=40,$BW51&lt;=400),"PASS","FAIL")</f>
        <v>PASS</v>
      </c>
    </row>
    <row r="52" spans="1:78">
      <c r="A52" t="s">
        <v>206</v>
      </c>
      <c r="B52">
        <v>15513203.909628799</v>
      </c>
      <c r="C52">
        <v>617.97483343502097</v>
      </c>
      <c r="D52">
        <v>102.22394330033001</v>
      </c>
      <c r="E52">
        <v>593.997803214295</v>
      </c>
      <c r="F52">
        <v>2595333.5493798102</v>
      </c>
      <c r="G52">
        <v>1630481.38578821</v>
      </c>
      <c r="H52">
        <v>2.3048203873610299E-5</v>
      </c>
      <c r="I52">
        <v>6.8200503236293095E-5</v>
      </c>
      <c r="J52">
        <v>0.471717723289031</v>
      </c>
      <c r="K52">
        <v>9005.0430614720299</v>
      </c>
      <c r="L52">
        <v>4.6429387983550402E-3</v>
      </c>
      <c r="M52">
        <v>137</v>
      </c>
      <c r="N52">
        <v>2251.3418000000001</v>
      </c>
      <c r="O52">
        <v>2.8502295699234199E-6</v>
      </c>
      <c r="P52">
        <v>5.98473400508856E-3</v>
      </c>
      <c r="Q52">
        <v>1.905E-3</v>
      </c>
      <c r="R52">
        <v>0.15240000000000001</v>
      </c>
      <c r="S52">
        <v>5268560.4820312504</v>
      </c>
      <c r="T52">
        <v>475.20630857768703</v>
      </c>
      <c r="U52">
        <v>558.36635432724995</v>
      </c>
      <c r="V52">
        <v>0.03</v>
      </c>
      <c r="W52">
        <v>62885.256346872498</v>
      </c>
      <c r="X52">
        <v>3.3572814002577597E-2</v>
      </c>
      <c r="Y52">
        <v>5.4576556165522199</v>
      </c>
      <c r="Z52">
        <v>5.4576556280146997</v>
      </c>
      <c r="AA52">
        <v>-1.1462480742352501E-8</v>
      </c>
      <c r="AB52">
        <v>1.55588830625686E-5</v>
      </c>
      <c r="AC52">
        <v>748.06774593542502</v>
      </c>
      <c r="AD52">
        <v>2036.8906689837499</v>
      </c>
      <c r="AE52">
        <v>558.36635580792699</v>
      </c>
      <c r="AF52">
        <v>1.48067738336977E-6</v>
      </c>
      <c r="AG52">
        <v>1.5676458196457901E-5</v>
      </c>
      <c r="AH52">
        <v>35.809296436130303</v>
      </c>
      <c r="AI52">
        <v>0.24553051498268</v>
      </c>
      <c r="AJ52">
        <v>33.523602543914798</v>
      </c>
      <c r="AK52">
        <v>7.7122654177971102</v>
      </c>
      <c r="AL52">
        <v>1.30194062706561</v>
      </c>
      <c r="AM52">
        <v>617.97483337116603</v>
      </c>
      <c r="AN52">
        <v>6.3854258769424606E-8</v>
      </c>
      <c r="AO52">
        <v>1.17575133889273E-7</v>
      </c>
      <c r="AP52">
        <v>2.9630510890262398</v>
      </c>
      <c r="AQ52">
        <v>3.8098218097777502E-5</v>
      </c>
      <c r="AR52">
        <v>7.8970166651735703E-6</v>
      </c>
      <c r="AS52">
        <v>16.887516596431698</v>
      </c>
      <c r="AT52">
        <v>11.082873430250601</v>
      </c>
      <c r="AU52">
        <v>2.7211836208172802</v>
      </c>
      <c r="AV52">
        <v>0.24186746820895799</v>
      </c>
      <c r="AW52">
        <v>1.05678450330732E-2</v>
      </c>
      <c r="AX52">
        <v>0.241867463500752</v>
      </c>
      <c r="AY52">
        <v>4.7082055754099603E-9</v>
      </c>
      <c r="AZ52">
        <v>964852.16359160398</v>
      </c>
      <c r="BA52">
        <v>1.28577661852931E-5</v>
      </c>
      <c r="BB52">
        <v>5240775.6896856101</v>
      </c>
      <c r="BC52">
        <v>-27784.792345637499</v>
      </c>
      <c r="BD52">
        <v>-0.52736971399302002</v>
      </c>
      <c r="BE52">
        <v>4889614.5</v>
      </c>
      <c r="BF52">
        <v>1.0718177659375001</v>
      </c>
      <c r="BG52">
        <v>1</v>
      </c>
      <c r="BH52">
        <v>-7.0999999999999994E-2</v>
      </c>
      <c r="BI52">
        <v>4.5999999999999999E-2</v>
      </c>
      <c r="BJ52">
        <v>5625</v>
      </c>
      <c r="BK52">
        <v>1</v>
      </c>
      <c r="BL52">
        <v>142.76852485733301</v>
      </c>
      <c r="BM52">
        <v>5.2407756896856101</v>
      </c>
      <c r="BN52">
        <v>142.76852485733301</v>
      </c>
      <c r="BO52">
        <v>1</v>
      </c>
      <c r="BP52">
        <v>10561.3697013524</v>
      </c>
      <c r="BQ52">
        <v>1</v>
      </c>
      <c r="BR52">
        <v>0.15240000000000001</v>
      </c>
      <c r="BS52">
        <v>51</v>
      </c>
      <c r="BT52">
        <v>138</v>
      </c>
      <c r="BU52" t="s">
        <v>303</v>
      </c>
      <c r="BV52" t="str">
        <f>"Table "&amp;TRIM(RIGHT(SUBSTITUTE($A52,"_",REPT(" ",50)),50))</f>
        <v>Table 11</v>
      </c>
      <c r="BW52">
        <f>$BR52/$Q52</f>
        <v>80</v>
      </c>
      <c r="BX52" t="str">
        <f>IF($BW52&lt;40,"outside_low",IF($BW52&lt;=100,"short_anchor",IF($BW52&lt;250,"middle",IF($BW52&lt;=400,"long","outside_high"))))</f>
        <v>short_anchor</v>
      </c>
      <c r="BY52" t="str">
        <f>IF($N52&gt;1000,"PASS","FAIL")</f>
        <v>PASS</v>
      </c>
      <c r="BZ52" t="str">
        <f>IF(AND($BW52&gt;=40,$BW52&lt;=400),"PASS","FAIL")</f>
        <v>PASS</v>
      </c>
    </row>
    <row r="53" spans="1:78">
      <c r="A53" t="s">
        <v>207</v>
      </c>
      <c r="B53">
        <v>15513203.909628799</v>
      </c>
      <c r="C53">
        <v>617.97483343502097</v>
      </c>
      <c r="D53">
        <v>102.22394330033001</v>
      </c>
      <c r="E53">
        <v>593.997803214295</v>
      </c>
      <c r="F53">
        <v>2595333.5493798102</v>
      </c>
      <c r="G53">
        <v>1630481.38578821</v>
      </c>
      <c r="H53">
        <v>2.3048203873610299E-5</v>
      </c>
      <c r="I53">
        <v>6.8200503236293095E-5</v>
      </c>
      <c r="J53">
        <v>0.471717723289031</v>
      </c>
      <c r="K53">
        <v>9005.0430614720299</v>
      </c>
      <c r="L53">
        <v>4.6429387983550402E-3</v>
      </c>
      <c r="M53">
        <v>138</v>
      </c>
      <c r="N53">
        <v>2264.9041000000002</v>
      </c>
      <c r="O53">
        <v>2.8502295699234199E-6</v>
      </c>
      <c r="P53">
        <v>5.98473400508856E-3</v>
      </c>
      <c r="Q53">
        <v>1.905E-3</v>
      </c>
      <c r="R53">
        <v>0.15240000000000001</v>
      </c>
      <c r="S53">
        <v>5384189.74609375</v>
      </c>
      <c r="T53">
        <v>472.471300672398</v>
      </c>
      <c r="U53">
        <v>556.94756939946501</v>
      </c>
      <c r="V53">
        <v>0.03</v>
      </c>
      <c r="W53">
        <v>63264.083192335602</v>
      </c>
      <c r="X53">
        <v>3.3480012199594698E-2</v>
      </c>
      <c r="Y53">
        <v>5.4652143024798701</v>
      </c>
      <c r="Z53">
        <v>5.4652143120479897</v>
      </c>
      <c r="AA53">
        <v>-9.5681231826460994E-9</v>
      </c>
      <c r="AB53">
        <v>1.5415719072528501E-5</v>
      </c>
      <c r="AC53">
        <v>750.68728547593798</v>
      </c>
      <c r="AD53">
        <v>2046.3269944671599</v>
      </c>
      <c r="AE53">
        <v>556.94756939946501</v>
      </c>
      <c r="AF53">
        <v>0</v>
      </c>
      <c r="AG53">
        <v>1.5535727609215401E-5</v>
      </c>
      <c r="AH53">
        <v>36.141853207190103</v>
      </c>
      <c r="AI53">
        <v>0.24666798686114999</v>
      </c>
      <c r="AJ53">
        <v>33.376565653990902</v>
      </c>
      <c r="AK53">
        <v>7.8726877878269503</v>
      </c>
      <c r="AL53">
        <v>1.30194062706561</v>
      </c>
      <c r="AM53">
        <v>617.97483332881097</v>
      </c>
      <c r="AN53">
        <v>1.0620919965731399E-7</v>
      </c>
      <c r="AO53">
        <v>1.2000853668695101E-7</v>
      </c>
      <c r="AP53">
        <v>2.9709828042048398</v>
      </c>
      <c r="AQ53">
        <v>3.78950659021151E-5</v>
      </c>
      <c r="AR53">
        <v>7.8278680729511895E-6</v>
      </c>
      <c r="AS53">
        <v>16.817194484837501</v>
      </c>
      <c r="AT53">
        <v>11.0620092212485</v>
      </c>
      <c r="AU53">
        <v>2.7286435452448599</v>
      </c>
      <c r="AV53">
        <v>0.24233925895998301</v>
      </c>
      <c r="AW53">
        <v>1.0470605735433699E-2</v>
      </c>
      <c r="AX53">
        <v>0.242339253811234</v>
      </c>
      <c r="AY53">
        <v>5.14874853863034E-9</v>
      </c>
      <c r="AZ53">
        <v>964852.16359160398</v>
      </c>
      <c r="BA53">
        <v>1.27550606649362E-5</v>
      </c>
      <c r="BB53">
        <v>5392314.6447791299</v>
      </c>
      <c r="BC53">
        <v>8124.8986853789502</v>
      </c>
      <c r="BD53">
        <v>0.150902904030706</v>
      </c>
      <c r="BE53">
        <v>5015798.0999999996</v>
      </c>
      <c r="BF53">
        <v>1.07506612851485</v>
      </c>
      <c r="BG53">
        <v>1</v>
      </c>
      <c r="BH53">
        <v>-6.9000000000000006E-2</v>
      </c>
      <c r="BI53">
        <v>4.5999999999999999E-2</v>
      </c>
      <c r="BJ53">
        <v>5625</v>
      </c>
      <c r="BK53">
        <v>1</v>
      </c>
      <c r="BL53">
        <v>145.503532762623</v>
      </c>
      <c r="BM53">
        <v>5.3923146447791304</v>
      </c>
      <c r="BN53">
        <v>145.503532762623</v>
      </c>
      <c r="BO53">
        <v>1</v>
      </c>
      <c r="BP53">
        <v>11130.995425393799</v>
      </c>
      <c r="BQ53">
        <v>1</v>
      </c>
      <c r="BR53">
        <v>0.15240000000000001</v>
      </c>
      <c r="BS53">
        <v>52</v>
      </c>
      <c r="BT53">
        <v>139</v>
      </c>
      <c r="BU53" t="s">
        <v>303</v>
      </c>
      <c r="BV53" t="str">
        <f>"Table "&amp;TRIM(RIGHT(SUBSTITUTE($A53,"_",REPT(" ",50)),50))</f>
        <v>Table 11</v>
      </c>
      <c r="BW53">
        <f>$BR53/$Q53</f>
        <v>80</v>
      </c>
      <c r="BX53" t="str">
        <f>IF($BW53&lt;40,"outside_low",IF($BW53&lt;=100,"short_anchor",IF($BW53&lt;250,"middle",IF($BW53&lt;=400,"long","outside_high"))))</f>
        <v>short_anchor</v>
      </c>
      <c r="BY53" t="str">
        <f>IF($N53&gt;1000,"PASS","FAIL")</f>
        <v>PASS</v>
      </c>
      <c r="BZ53" t="str">
        <f>IF(AND($BW53&gt;=40,$BW53&lt;=400),"PASS","FAIL")</f>
        <v>PASS</v>
      </c>
    </row>
    <row r="54" spans="1:78">
      <c r="A54" t="s">
        <v>208</v>
      </c>
      <c r="B54">
        <v>15513203.909628799</v>
      </c>
      <c r="C54">
        <v>617.97483343502097</v>
      </c>
      <c r="D54">
        <v>102.22394330033001</v>
      </c>
      <c r="E54">
        <v>593.997803214295</v>
      </c>
      <c r="F54">
        <v>2595333.5493798102</v>
      </c>
      <c r="G54">
        <v>1630481.38578821</v>
      </c>
      <c r="H54">
        <v>2.3048203873610299E-5</v>
      </c>
      <c r="I54">
        <v>6.8200503236293095E-5</v>
      </c>
      <c r="J54">
        <v>0.471717723289031</v>
      </c>
      <c r="K54">
        <v>9005.0430614720299</v>
      </c>
      <c r="L54">
        <v>4.6429387983550402E-3</v>
      </c>
      <c r="M54">
        <v>139</v>
      </c>
      <c r="N54">
        <v>2305.5909999999999</v>
      </c>
      <c r="O54">
        <v>2.8502295699234199E-6</v>
      </c>
      <c r="P54">
        <v>5.98473400508856E-3</v>
      </c>
      <c r="Q54">
        <v>1.905E-3</v>
      </c>
      <c r="R54">
        <v>0.15240000000000001</v>
      </c>
      <c r="S54">
        <v>4587694.82421875</v>
      </c>
      <c r="T54">
        <v>497.21408100250602</v>
      </c>
      <c r="U54">
        <v>567.92336456300802</v>
      </c>
      <c r="V54">
        <v>0.03</v>
      </c>
      <c r="W54">
        <v>64400.563728724803</v>
      </c>
      <c r="X54">
        <v>3.3207089835678598E-2</v>
      </c>
      <c r="Y54">
        <v>5.4876270913902703</v>
      </c>
      <c r="Z54">
        <v>5.4876271449188501</v>
      </c>
      <c r="AA54">
        <v>-5.3528578014550001E-8</v>
      </c>
      <c r="AB54">
        <v>1.4998702032369299E-5</v>
      </c>
      <c r="AC54">
        <v>725.58266289322205</v>
      </c>
      <c r="AD54">
        <v>2074.5795298419598</v>
      </c>
      <c r="AE54">
        <v>567.92336456300802</v>
      </c>
      <c r="AF54">
        <v>0</v>
      </c>
      <c r="AG54">
        <v>1.5098848155742E-5</v>
      </c>
      <c r="AH54">
        <v>37.1467247365932</v>
      </c>
      <c r="AI54">
        <v>0.25007359898642001</v>
      </c>
      <c r="AJ54">
        <v>32.885838643668599</v>
      </c>
      <c r="AK54">
        <v>6.3974996595080196</v>
      </c>
      <c r="AL54">
        <v>1.30194062706561</v>
      </c>
      <c r="AM54">
        <v>617.97483339387497</v>
      </c>
      <c r="AN54">
        <v>4.11459950555582E-8</v>
      </c>
      <c r="AO54">
        <v>1.00146123372634E-7</v>
      </c>
      <c r="AP54">
        <v>2.9905204849496498</v>
      </c>
      <c r="AQ54">
        <v>3.7401530966822203E-5</v>
      </c>
      <c r="AR54">
        <v>7.5994971395573E-6</v>
      </c>
      <c r="AS54">
        <v>16.551980265425801</v>
      </c>
      <c r="AT54">
        <v>10.982528740826099</v>
      </c>
      <c r="AU54">
        <v>2.7464404881901698</v>
      </c>
      <c r="AV54">
        <v>0.244079996759486</v>
      </c>
      <c r="AW54">
        <v>1.0187361016720201E-2</v>
      </c>
      <c r="AX54">
        <v>0.24407999053290899</v>
      </c>
      <c r="AY54">
        <v>6.2265773370651098E-9</v>
      </c>
      <c r="AZ54">
        <v>964852.16359160398</v>
      </c>
      <c r="BA54">
        <v>1.2506696126996E-5</v>
      </c>
      <c r="BB54">
        <v>4589201.8334895596</v>
      </c>
      <c r="BC54">
        <v>1507.00927080773</v>
      </c>
      <c r="BD54">
        <v>3.2848943283065E-2</v>
      </c>
      <c r="BE54">
        <v>4416426</v>
      </c>
      <c r="BF54">
        <v>1.0391211883748399</v>
      </c>
      <c r="BG54">
        <v>1</v>
      </c>
      <c r="BH54">
        <v>-5.2999999999999999E-2</v>
      </c>
      <c r="BI54">
        <v>4.5999999999999999E-2</v>
      </c>
      <c r="BJ54">
        <v>5625</v>
      </c>
      <c r="BK54">
        <v>1</v>
      </c>
      <c r="BL54">
        <v>120.760752432514</v>
      </c>
      <c r="BM54">
        <v>4.5892018334895601</v>
      </c>
      <c r="BN54">
        <v>120.760752432514</v>
      </c>
      <c r="BO54">
        <v>1</v>
      </c>
      <c r="BP54">
        <v>6522.2991334659</v>
      </c>
      <c r="BQ54">
        <v>1</v>
      </c>
      <c r="BR54">
        <v>0.15240000000000001</v>
      </c>
      <c r="BS54">
        <v>53</v>
      </c>
      <c r="BT54">
        <v>140</v>
      </c>
      <c r="BU54" t="s">
        <v>303</v>
      </c>
      <c r="BV54" t="str">
        <f>"Table "&amp;TRIM(RIGHT(SUBSTITUTE($A54,"_",REPT(" ",50)),50))</f>
        <v>Table 11</v>
      </c>
      <c r="BW54">
        <f>$BR54/$Q54</f>
        <v>80</v>
      </c>
      <c r="BX54" t="str">
        <f>IF($BW54&lt;40,"outside_low",IF($BW54&lt;=100,"short_anchor",IF($BW54&lt;250,"middle",IF($BW54&lt;=400,"long","outside_high"))))</f>
        <v>short_anchor</v>
      </c>
      <c r="BY54" t="str">
        <f>IF($N54&gt;1000,"PASS","FAIL")</f>
        <v>PASS</v>
      </c>
      <c r="BZ54" t="str">
        <f>IF(AND($BW54&gt;=40,$BW54&lt;=400),"PASS","FAIL")</f>
        <v>PASS</v>
      </c>
    </row>
    <row r="55" spans="1:78">
      <c r="A55" t="s">
        <v>209</v>
      </c>
      <c r="B55">
        <v>15513203.909628799</v>
      </c>
      <c r="C55">
        <v>617.97483343502097</v>
      </c>
      <c r="D55">
        <v>102.22394330033001</v>
      </c>
      <c r="E55">
        <v>593.997803214295</v>
      </c>
      <c r="F55">
        <v>2595333.5493798102</v>
      </c>
      <c r="G55">
        <v>1630481.38578821</v>
      </c>
      <c r="H55">
        <v>2.3048203873610299E-5</v>
      </c>
      <c r="I55">
        <v>6.8200503236293095E-5</v>
      </c>
      <c r="J55">
        <v>0.471717723289031</v>
      </c>
      <c r="K55">
        <v>9005.0430614720299</v>
      </c>
      <c r="L55">
        <v>4.6429387983550402E-3</v>
      </c>
      <c r="M55">
        <v>140</v>
      </c>
      <c r="N55">
        <v>2319.1532999999999</v>
      </c>
      <c r="O55">
        <v>2.8502295699234199E-6</v>
      </c>
      <c r="P55">
        <v>5.98473400508856E-3</v>
      </c>
      <c r="Q55">
        <v>1.905E-3</v>
      </c>
      <c r="R55">
        <v>0.15240000000000001</v>
      </c>
      <c r="S55">
        <v>3976631.40234375</v>
      </c>
      <c r="T55">
        <v>515.02285575524695</v>
      </c>
      <c r="U55">
        <v>575.95550556044304</v>
      </c>
      <c r="V55">
        <v>0.03</v>
      </c>
      <c r="W55">
        <v>64779.390574187899</v>
      </c>
      <c r="X55">
        <v>3.3117894312529698E-2</v>
      </c>
      <c r="Y55">
        <v>5.4950119606917998</v>
      </c>
      <c r="Z55">
        <v>5.4950120000108598</v>
      </c>
      <c r="AA55">
        <v>-3.93190591196912E-8</v>
      </c>
      <c r="AB55">
        <v>1.4863716064969801E-5</v>
      </c>
      <c r="AC55">
        <v>707.95557526356697</v>
      </c>
      <c r="AD55">
        <v>2083.9784646425701</v>
      </c>
      <c r="AE55">
        <v>575.95550663999904</v>
      </c>
      <c r="AF55">
        <v>1.07955565908924E-6</v>
      </c>
      <c r="AG55">
        <v>1.4950249454311E-5</v>
      </c>
      <c r="AH55">
        <v>37.484075541222197</v>
      </c>
      <c r="AI55">
        <v>0.251206563723812</v>
      </c>
      <c r="AJ55">
        <v>32.709709085373703</v>
      </c>
      <c r="AK55">
        <v>5.3538074604389898</v>
      </c>
      <c r="AL55">
        <v>1.30194062706561</v>
      </c>
      <c r="AM55">
        <v>617.97483339716996</v>
      </c>
      <c r="AN55">
        <v>3.7850554690521703E-8</v>
      </c>
      <c r="AO55">
        <v>8.65333893412186E-8</v>
      </c>
      <c r="AP55">
        <v>2.9958347490795099</v>
      </c>
      <c r="AQ55">
        <v>3.7268956682189702E-5</v>
      </c>
      <c r="AR55">
        <v>7.5183914218261104E-6</v>
      </c>
      <c r="AS55">
        <v>16.449517912691899</v>
      </c>
      <c r="AT55">
        <v>10.951480852813001</v>
      </c>
      <c r="AU55">
        <v>2.7510838727222802</v>
      </c>
      <c r="AV55">
        <v>0.24475087635722501</v>
      </c>
      <c r="AW55">
        <v>1.00956763643335E-2</v>
      </c>
      <c r="AX55">
        <v>0.24475086984109601</v>
      </c>
      <c r="AY55">
        <v>6.5161290252468998E-9</v>
      </c>
      <c r="AZ55">
        <v>964852.16359160398</v>
      </c>
      <c r="BA55">
        <v>1.2440257825849999E-5</v>
      </c>
      <c r="BB55">
        <v>3986575.0750578698</v>
      </c>
      <c r="BC55">
        <v>9943.6727141211704</v>
      </c>
      <c r="BD55">
        <v>0.250052662870905</v>
      </c>
      <c r="BE55">
        <v>3848599.8</v>
      </c>
      <c r="BF55">
        <v>1.0358507722881101</v>
      </c>
      <c r="BG55">
        <v>1</v>
      </c>
      <c r="BH55">
        <v>-5.2999999999999999E-2</v>
      </c>
      <c r="BI55">
        <v>4.5999999999999999E-2</v>
      </c>
      <c r="BJ55">
        <v>5625</v>
      </c>
      <c r="BK55">
        <v>1</v>
      </c>
      <c r="BL55">
        <v>102.951977679774</v>
      </c>
      <c r="BM55">
        <v>3.9865750750578699</v>
      </c>
      <c r="BN55">
        <v>102.951977679774</v>
      </c>
      <c r="BO55">
        <v>1</v>
      </c>
      <c r="BP55">
        <v>3962.9514937947101</v>
      </c>
      <c r="BQ55">
        <v>1</v>
      </c>
      <c r="BR55">
        <v>0.15240000000000001</v>
      </c>
      <c r="BS55">
        <v>54</v>
      </c>
      <c r="BT55">
        <v>141</v>
      </c>
      <c r="BU55" t="s">
        <v>303</v>
      </c>
      <c r="BV55" t="str">
        <f>"Table "&amp;TRIM(RIGHT(SUBSTITUTE($A55,"_",REPT(" ",50)),50))</f>
        <v>Table 11</v>
      </c>
      <c r="BW55">
        <f>$BR55/$Q55</f>
        <v>80</v>
      </c>
      <c r="BX55" t="str">
        <f>IF($BW55&lt;40,"outside_low",IF($BW55&lt;=100,"short_anchor",IF($BW55&lt;250,"middle",IF($BW55&lt;=400,"long","outside_high"))))</f>
        <v>short_anchor</v>
      </c>
      <c r="BY55" t="str">
        <f>IF($N55&gt;1000,"PASS","FAIL")</f>
        <v>PASS</v>
      </c>
      <c r="BZ55" t="str">
        <f>IF(AND($BW55&gt;=40,$BW55&lt;=400),"PASS","FAIL")</f>
        <v>PASS</v>
      </c>
    </row>
    <row r="56" spans="1:78">
      <c r="A56" t="s">
        <v>210</v>
      </c>
      <c r="B56">
        <v>15513203.909628799</v>
      </c>
      <c r="C56">
        <v>617.97483343502097</v>
      </c>
      <c r="D56">
        <v>102.22394330033001</v>
      </c>
      <c r="E56">
        <v>593.997803214295</v>
      </c>
      <c r="F56">
        <v>2595333.5493798102</v>
      </c>
      <c r="G56">
        <v>1630481.38578821</v>
      </c>
      <c r="H56">
        <v>2.3048203873610299E-5</v>
      </c>
      <c r="I56">
        <v>6.8200503236293095E-5</v>
      </c>
      <c r="J56">
        <v>0.471717723289031</v>
      </c>
      <c r="K56">
        <v>9005.0430614720299</v>
      </c>
      <c r="L56">
        <v>4.6429387983550402E-3</v>
      </c>
      <c r="M56">
        <v>141</v>
      </c>
      <c r="N56">
        <v>2319.1532999999999</v>
      </c>
      <c r="O56">
        <v>2.8502295699234199E-6</v>
      </c>
      <c r="P56">
        <v>5.98473400508856E-3</v>
      </c>
      <c r="Q56">
        <v>1.905E-3</v>
      </c>
      <c r="R56">
        <v>0.15240000000000001</v>
      </c>
      <c r="S56">
        <v>4040547.41796875</v>
      </c>
      <c r="T56">
        <v>513.223397961415</v>
      </c>
      <c r="U56">
        <v>575.13541241044697</v>
      </c>
      <c r="V56">
        <v>0.03</v>
      </c>
      <c r="W56">
        <v>64779.390574187899</v>
      </c>
      <c r="X56">
        <v>3.3117894312529698E-2</v>
      </c>
      <c r="Y56">
        <v>5.4950119606917998</v>
      </c>
      <c r="Z56">
        <v>5.4950120000108598</v>
      </c>
      <c r="AA56">
        <v>-3.93190591196912E-8</v>
      </c>
      <c r="AB56">
        <v>1.4863716064969801E-5</v>
      </c>
      <c r="AC56">
        <v>709.71482261536198</v>
      </c>
      <c r="AD56">
        <v>2083.9784646425701</v>
      </c>
      <c r="AE56">
        <v>575.13541241044697</v>
      </c>
      <c r="AF56">
        <v>0</v>
      </c>
      <c r="AG56">
        <v>1.4951325994443801E-5</v>
      </c>
      <c r="AH56">
        <v>37.484075541222197</v>
      </c>
      <c r="AI56">
        <v>0.251206563723812</v>
      </c>
      <c r="AJ56">
        <v>32.712064451728601</v>
      </c>
      <c r="AK56">
        <v>5.4584233015156904</v>
      </c>
      <c r="AL56">
        <v>1.30194062706561</v>
      </c>
      <c r="AM56">
        <v>617.97483339634505</v>
      </c>
      <c r="AN56">
        <v>3.8675580071867397E-8</v>
      </c>
      <c r="AO56">
        <v>8.7609929473983301E-8</v>
      </c>
      <c r="AP56">
        <v>2.9960010028010302</v>
      </c>
      <c r="AQ56">
        <v>3.7264820548174303E-5</v>
      </c>
      <c r="AR56">
        <v>7.5194679619588801E-6</v>
      </c>
      <c r="AS56">
        <v>16.451873279046801</v>
      </c>
      <c r="AT56">
        <v>10.952196739367899</v>
      </c>
      <c r="AU56">
        <v>2.7512637081237301</v>
      </c>
      <c r="AV56">
        <v>0.24473729467729299</v>
      </c>
      <c r="AW56">
        <v>1.00956763643335E-2</v>
      </c>
      <c r="AX56">
        <v>0.244737288155737</v>
      </c>
      <c r="AY56">
        <v>6.5215559896802902E-9</v>
      </c>
      <c r="AZ56">
        <v>964852.16359160398</v>
      </c>
      <c r="BA56">
        <v>1.2438186940970499E-5</v>
      </c>
      <c r="BB56">
        <v>4036843.0516144298</v>
      </c>
      <c r="BC56">
        <v>-3704.3663543150801</v>
      </c>
      <c r="BD56">
        <v>-9.1679813924255907E-2</v>
      </c>
      <c r="BE56">
        <v>3911691.6</v>
      </c>
      <c r="BF56">
        <v>1.0319942021028501</v>
      </c>
      <c r="BG56">
        <v>1</v>
      </c>
      <c r="BH56">
        <v>-5.2999999999999999E-2</v>
      </c>
      <c r="BI56">
        <v>4.5999999999999999E-2</v>
      </c>
      <c r="BJ56">
        <v>5625</v>
      </c>
      <c r="BK56">
        <v>1</v>
      </c>
      <c r="BL56">
        <v>104.75143547360599</v>
      </c>
      <c r="BM56">
        <v>4.0368430516144302</v>
      </c>
      <c r="BN56">
        <v>104.75143547360599</v>
      </c>
      <c r="BO56">
        <v>1</v>
      </c>
      <c r="BP56">
        <v>4192.7483958925004</v>
      </c>
      <c r="BQ56">
        <v>1</v>
      </c>
      <c r="BR56">
        <v>0.15240000000000001</v>
      </c>
      <c r="BS56">
        <v>55</v>
      </c>
      <c r="BT56">
        <v>142</v>
      </c>
      <c r="BU56" t="s">
        <v>303</v>
      </c>
      <c r="BV56" t="str">
        <f>"Table "&amp;TRIM(RIGHT(SUBSTITUTE($A56,"_",REPT(" ",50)),50))</f>
        <v>Table 11</v>
      </c>
      <c r="BW56">
        <f>$BR56/$Q56</f>
        <v>80</v>
      </c>
      <c r="BX56" t="str">
        <f>IF($BW56&lt;40,"outside_low",IF($BW56&lt;=100,"short_anchor",IF($BW56&lt;250,"middle",IF($BW56&lt;=400,"long","outside_high"))))</f>
        <v>short_anchor</v>
      </c>
      <c r="BY56" t="str">
        <f>IF($N56&gt;1000,"PASS","FAIL")</f>
        <v>PASS</v>
      </c>
      <c r="BZ56" t="str">
        <f>IF(AND($BW56&gt;=40,$BW56&lt;=400),"PASS","FAIL")</f>
        <v>PASS</v>
      </c>
    </row>
    <row r="57" spans="1:78">
      <c r="A57" t="s">
        <v>211</v>
      </c>
      <c r="B57">
        <v>15513203.909628799</v>
      </c>
      <c r="C57">
        <v>617.97483343502097</v>
      </c>
      <c r="D57">
        <v>102.22394330033001</v>
      </c>
      <c r="E57">
        <v>593.997803214295</v>
      </c>
      <c r="F57">
        <v>2595333.5493798102</v>
      </c>
      <c r="G57">
        <v>1630481.38578821</v>
      </c>
      <c r="H57">
        <v>2.3048203873610299E-5</v>
      </c>
      <c r="I57">
        <v>6.8200503236293095E-5</v>
      </c>
      <c r="J57">
        <v>0.471717723289031</v>
      </c>
      <c r="K57">
        <v>9005.0430614720299</v>
      </c>
      <c r="L57">
        <v>4.6429387983550402E-3</v>
      </c>
      <c r="M57">
        <v>142</v>
      </c>
      <c r="N57">
        <v>2319.1532999999999</v>
      </c>
      <c r="O57">
        <v>2.8502295699234199E-6</v>
      </c>
      <c r="P57">
        <v>5.98473400508856E-3</v>
      </c>
      <c r="Q57">
        <v>1.905E-3</v>
      </c>
      <c r="R57">
        <v>0.15240000000000001</v>
      </c>
      <c r="S57">
        <v>4476734.43359375</v>
      </c>
      <c r="T57">
        <v>500.89394004301198</v>
      </c>
      <c r="U57">
        <v>569.48950848122797</v>
      </c>
      <c r="V57">
        <v>0.03</v>
      </c>
      <c r="W57">
        <v>64779.390574187899</v>
      </c>
      <c r="X57">
        <v>3.3117894312529698E-2</v>
      </c>
      <c r="Y57">
        <v>5.4950119606917998</v>
      </c>
      <c r="Z57">
        <v>5.4950120000108598</v>
      </c>
      <c r="AA57">
        <v>-3.93190591196912E-8</v>
      </c>
      <c r="AB57">
        <v>1.4863716064969801E-5</v>
      </c>
      <c r="AC57">
        <v>721.83828906281894</v>
      </c>
      <c r="AD57">
        <v>2083.9784646425701</v>
      </c>
      <c r="AE57">
        <v>569.48950969961095</v>
      </c>
      <c r="AF57">
        <v>1.2183828630441E-6</v>
      </c>
      <c r="AG57">
        <v>1.49614498413056E-5</v>
      </c>
      <c r="AH57">
        <v>37.484075541222197</v>
      </c>
      <c r="AI57">
        <v>0.251206563723812</v>
      </c>
      <c r="AJ57">
        <v>32.7342144557594</v>
      </c>
      <c r="AK57">
        <v>6.1791333902222201</v>
      </c>
      <c r="AL57">
        <v>1.30194062706561</v>
      </c>
      <c r="AM57">
        <v>617.974833390394</v>
      </c>
      <c r="AN57">
        <v>4.4626176531892303E-8</v>
      </c>
      <c r="AO57">
        <v>9.7733776335832895E-8</v>
      </c>
      <c r="AP57">
        <v>2.9975633672561202</v>
      </c>
      <c r="AQ57">
        <v>3.7225984966649201E-5</v>
      </c>
      <c r="AR57">
        <v>7.5295918088207298E-6</v>
      </c>
      <c r="AS57">
        <v>16.474023283077699</v>
      </c>
      <c r="AT57">
        <v>10.9589239692036</v>
      </c>
      <c r="AU57">
        <v>2.7529536324141599</v>
      </c>
      <c r="AV57">
        <v>0.244609734841959</v>
      </c>
      <c r="AW57">
        <v>1.00956763643335E-2</v>
      </c>
      <c r="AX57">
        <v>0.24460972827025501</v>
      </c>
      <c r="AY57">
        <v>6.5717039032797703E-9</v>
      </c>
      <c r="AZ57">
        <v>964852.16359160398</v>
      </c>
      <c r="BA57">
        <v>1.24187482984637E-5</v>
      </c>
      <c r="BB57">
        <v>4510373.1035320703</v>
      </c>
      <c r="BC57">
        <v>33638.6699383222</v>
      </c>
      <c r="BD57">
        <v>0.75141088749636498</v>
      </c>
      <c r="BE57">
        <v>4447971.9000000004</v>
      </c>
      <c r="BF57">
        <v>1.01402913618498</v>
      </c>
      <c r="BG57">
        <v>1</v>
      </c>
      <c r="BH57">
        <v>-3.5000000000000003E-2</v>
      </c>
      <c r="BI57">
        <v>4.5999999999999999E-2</v>
      </c>
      <c r="BJ57">
        <v>5625</v>
      </c>
      <c r="BK57">
        <v>1</v>
      </c>
      <c r="BL57">
        <v>117.080893392009</v>
      </c>
      <c r="BM57">
        <v>4.5103731035320704</v>
      </c>
      <c r="BN57">
        <v>117.080893392009</v>
      </c>
      <c r="BO57">
        <v>1</v>
      </c>
      <c r="BP57">
        <v>5941.4641261101897</v>
      </c>
      <c r="BQ57">
        <v>1</v>
      </c>
      <c r="BR57">
        <v>0.15240000000000001</v>
      </c>
      <c r="BS57">
        <v>56</v>
      </c>
      <c r="BT57">
        <v>143</v>
      </c>
      <c r="BU57" t="s">
        <v>303</v>
      </c>
      <c r="BV57" t="str">
        <f>"Table "&amp;TRIM(RIGHT(SUBSTITUTE($A57,"_",REPT(" ",50)),50))</f>
        <v>Table 11</v>
      </c>
      <c r="BW57">
        <f>$BR57/$Q57</f>
        <v>80</v>
      </c>
      <c r="BX57" t="str">
        <f>IF($BW57&lt;40,"outside_low",IF($BW57&lt;=100,"short_anchor",IF($BW57&lt;250,"middle",IF($BW57&lt;=400,"long","outside_high"))))</f>
        <v>short_anchor</v>
      </c>
      <c r="BY57" t="str">
        <f>IF($N57&gt;1000,"PASS","FAIL")</f>
        <v>PASS</v>
      </c>
      <c r="BZ57" t="str">
        <f>IF(AND($BW57&gt;=40,$BW57&lt;=400),"PASS","FAIL")</f>
        <v>PASS</v>
      </c>
    </row>
    <row r="58" spans="1:78">
      <c r="A58" t="s">
        <v>212</v>
      </c>
      <c r="B58">
        <v>15513203.909628799</v>
      </c>
      <c r="C58">
        <v>617.97483343502097</v>
      </c>
      <c r="D58">
        <v>102.22394330033001</v>
      </c>
      <c r="E58">
        <v>593.997803214295</v>
      </c>
      <c r="F58">
        <v>2595333.5493798102</v>
      </c>
      <c r="G58">
        <v>1630481.38578821</v>
      </c>
      <c r="H58">
        <v>2.3048203873610299E-5</v>
      </c>
      <c r="I58">
        <v>6.8200503236293095E-5</v>
      </c>
      <c r="J58">
        <v>0.471717723289031</v>
      </c>
      <c r="K58">
        <v>9005.0430614720299</v>
      </c>
      <c r="L58">
        <v>4.6429387983550402E-3</v>
      </c>
      <c r="M58">
        <v>143</v>
      </c>
      <c r="N58">
        <v>2875.2076000000002</v>
      </c>
      <c r="O58">
        <v>2.8502295699234199E-6</v>
      </c>
      <c r="P58">
        <v>5.98473400508856E-3</v>
      </c>
      <c r="Q58">
        <v>1.905E-3</v>
      </c>
      <c r="R58">
        <v>0.15240000000000001</v>
      </c>
      <c r="S58">
        <v>4713393.58203125</v>
      </c>
      <c r="T58">
        <v>511.31829053055202</v>
      </c>
      <c r="U58">
        <v>569.57268372305498</v>
      </c>
      <c r="V58">
        <v>0.03</v>
      </c>
      <c r="W58">
        <v>80311.291238174497</v>
      </c>
      <c r="X58">
        <v>3.0077052509272499E-2</v>
      </c>
      <c r="Y58">
        <v>5.7661025626505902</v>
      </c>
      <c r="Z58">
        <v>5.7661025972645303</v>
      </c>
      <c r="AA58">
        <v>-3.4613937494043499E-8</v>
      </c>
      <c r="AB58">
        <v>1.0648178955476399E-5</v>
      </c>
      <c r="AC58">
        <v>705.99038471433198</v>
      </c>
      <c r="AD58">
        <v>2462.1769220775</v>
      </c>
      <c r="AE58">
        <v>569.57268478295896</v>
      </c>
      <c r="AF58">
        <v>1.05990375232068E-6</v>
      </c>
      <c r="AG58">
        <v>1.07260832948318E-5</v>
      </c>
      <c r="AH58">
        <v>52.323750204823497</v>
      </c>
      <c r="AI58">
        <v>0.29679529533010102</v>
      </c>
      <c r="AJ58">
        <v>27.726524674872199</v>
      </c>
      <c r="AK58">
        <v>5.4397300273726197</v>
      </c>
      <c r="AL58">
        <v>1.30194062706561</v>
      </c>
      <c r="AM58">
        <v>617.97483342096905</v>
      </c>
      <c r="AN58">
        <v>1.4051806829229499E-8</v>
      </c>
      <c r="AO58">
        <v>7.79043393553789E-8</v>
      </c>
      <c r="AP58">
        <v>3.2720082532854802</v>
      </c>
      <c r="AQ58">
        <v>3.1243103106385801E-5</v>
      </c>
      <c r="AR58">
        <v>5.4019938170935701E-6</v>
      </c>
      <c r="AS58">
        <v>13.9639522411057</v>
      </c>
      <c r="AT58">
        <v>10.1323958454634</v>
      </c>
      <c r="AU58">
        <v>3.0072474173558099</v>
      </c>
      <c r="AV58">
        <v>0.26476083592966798</v>
      </c>
      <c r="AW58">
        <v>7.2324153754086398E-3</v>
      </c>
      <c r="AX58">
        <v>0.26476083190237998</v>
      </c>
      <c r="AY58">
        <v>4.0272883361502904E-9</v>
      </c>
      <c r="AZ58">
        <v>964852.16359160398</v>
      </c>
      <c r="BA58">
        <v>9.5486015583897193E-6</v>
      </c>
      <c r="BB58">
        <v>4675924.5119666299</v>
      </c>
      <c r="BC58">
        <v>-37469.070064621999</v>
      </c>
      <c r="BD58">
        <v>-0.79494889218384701</v>
      </c>
      <c r="BE58">
        <v>5394348.9000000004</v>
      </c>
      <c r="BF58">
        <v>0.86681907282019299</v>
      </c>
      <c r="BG58">
        <v>1</v>
      </c>
      <c r="BH58">
        <v>1E-3</v>
      </c>
      <c r="BI58">
        <v>4.5999999999999999E-2</v>
      </c>
      <c r="BJ58">
        <v>5625</v>
      </c>
      <c r="BK58">
        <v>1</v>
      </c>
      <c r="BL58">
        <v>106.656542904468</v>
      </c>
      <c r="BM58">
        <v>4.6759245119666302</v>
      </c>
      <c r="BN58">
        <v>106.656542904468</v>
      </c>
      <c r="BO58">
        <v>1</v>
      </c>
      <c r="BP58">
        <v>4443.09471197525</v>
      </c>
      <c r="BQ58">
        <v>1</v>
      </c>
      <c r="BR58">
        <v>0.15240000000000001</v>
      </c>
      <c r="BS58">
        <v>57</v>
      </c>
      <c r="BT58">
        <v>144</v>
      </c>
      <c r="BU58" t="s">
        <v>303</v>
      </c>
      <c r="BV58" t="str">
        <f>"Table "&amp;TRIM(RIGHT(SUBSTITUTE($A58,"_",REPT(" ",50)),50))</f>
        <v>Table 11</v>
      </c>
      <c r="BW58">
        <f>$BR58/$Q58</f>
        <v>80</v>
      </c>
      <c r="BX58" t="str">
        <f>IF($BW58&lt;40,"outside_low",IF($BW58&lt;=100,"short_anchor",IF($BW58&lt;250,"middle",IF($BW58&lt;=400,"long","outside_high"))))</f>
        <v>short_anchor</v>
      </c>
      <c r="BY58" t="str">
        <f>IF($N58&gt;1000,"PASS","FAIL")</f>
        <v>PASS</v>
      </c>
      <c r="BZ58" t="str">
        <f>IF(AND($BW58&gt;=40,$BW58&lt;=400),"PASS","FAIL")</f>
        <v>PASS</v>
      </c>
    </row>
    <row r="59" spans="1:78">
      <c r="A59" t="s">
        <v>213</v>
      </c>
      <c r="B59">
        <v>15513203.909628799</v>
      </c>
      <c r="C59">
        <v>617.97483343502097</v>
      </c>
      <c r="D59">
        <v>102.22394330033001</v>
      </c>
      <c r="E59">
        <v>593.997803214295</v>
      </c>
      <c r="F59">
        <v>2595333.5493798102</v>
      </c>
      <c r="G59">
        <v>1630481.38578821</v>
      </c>
      <c r="H59">
        <v>2.3048203873610299E-5</v>
      </c>
      <c r="I59">
        <v>6.8200503236293095E-5</v>
      </c>
      <c r="J59">
        <v>0.471717723289031</v>
      </c>
      <c r="K59">
        <v>9005.0430614720299</v>
      </c>
      <c r="L59">
        <v>4.6429387983550402E-3</v>
      </c>
      <c r="M59">
        <v>144</v>
      </c>
      <c r="N59">
        <v>2929.4567999999999</v>
      </c>
      <c r="O59">
        <v>2.8502295699234199E-6</v>
      </c>
      <c r="P59">
        <v>5.98473400508856E-3</v>
      </c>
      <c r="Q59">
        <v>1.905E-3</v>
      </c>
      <c r="R59">
        <v>0.15240000000000001</v>
      </c>
      <c r="S59">
        <v>3544605.8201562501</v>
      </c>
      <c r="T59">
        <v>540.88707296318796</v>
      </c>
      <c r="U59">
        <v>583.88475389804</v>
      </c>
      <c r="V59">
        <v>0.03</v>
      </c>
      <c r="W59">
        <v>81826.598620026896</v>
      </c>
      <c r="X59">
        <v>2.9832242040537499E-2</v>
      </c>
      <c r="Y59">
        <v>5.7897132269993099</v>
      </c>
      <c r="Z59">
        <v>5.7897132518930503</v>
      </c>
      <c r="AA59">
        <v>-2.4893739514197899E-8</v>
      </c>
      <c r="AB59">
        <v>1.0341628698207299E-5</v>
      </c>
      <c r="AC59">
        <v>678.80558435211697</v>
      </c>
      <c r="AD59">
        <v>2498.4027920342501</v>
      </c>
      <c r="AE59">
        <v>583.88475389804</v>
      </c>
      <c r="AF59">
        <v>0</v>
      </c>
      <c r="AG59">
        <v>1.03998526692851E-5</v>
      </c>
      <c r="AH59">
        <v>53.874749525593202</v>
      </c>
      <c r="AI59">
        <v>0.30116202774319301</v>
      </c>
      <c r="AJ59">
        <v>27.278762147702501</v>
      </c>
      <c r="AK59">
        <v>3.7794475851898599</v>
      </c>
      <c r="AL59">
        <v>1.30194062706561</v>
      </c>
      <c r="AM59">
        <v>617.97483343461897</v>
      </c>
      <c r="AN59">
        <v>4.0142822399502599E-10</v>
      </c>
      <c r="AO59">
        <v>5.8223971077766498E-8</v>
      </c>
      <c r="AP59">
        <v>3.2915476613267698</v>
      </c>
      <c r="AQ59">
        <v>3.08732711305876E-5</v>
      </c>
      <c r="AR59">
        <v>5.2290383201814204E-6</v>
      </c>
      <c r="AS59">
        <v>13.715741668026601</v>
      </c>
      <c r="AT59">
        <v>10.042721000356</v>
      </c>
      <c r="AU59">
        <v>3.0244862205263598</v>
      </c>
      <c r="AV59">
        <v>0.267061440800408</v>
      </c>
      <c r="AW59">
        <v>7.0242014823778398E-3</v>
      </c>
      <c r="AX59">
        <v>0.26706143585063402</v>
      </c>
      <c r="AY59">
        <v>4.94977397957896E-9</v>
      </c>
      <c r="AZ59">
        <v>964852.16359160398</v>
      </c>
      <c r="BA59">
        <v>9.3795607134374705E-6</v>
      </c>
      <c r="BB59">
        <v>3557664.0679743602</v>
      </c>
      <c r="BC59">
        <v>13058.2478181068</v>
      </c>
      <c r="BD59">
        <v>0.36839774239075102</v>
      </c>
      <c r="BE59">
        <v>4164058.8</v>
      </c>
      <c r="BF59">
        <v>0.85437411882232694</v>
      </c>
      <c r="BG59">
        <v>1</v>
      </c>
      <c r="BH59">
        <v>-4.0000000000000001E-3</v>
      </c>
      <c r="BI59">
        <v>4.5999999999999999E-2</v>
      </c>
      <c r="BJ59">
        <v>5625</v>
      </c>
      <c r="BK59">
        <v>1</v>
      </c>
      <c r="BL59">
        <v>77.087760471832595</v>
      </c>
      <c r="BM59">
        <v>3.5576640679743599</v>
      </c>
      <c r="BN59">
        <v>77.087760471832595</v>
      </c>
      <c r="BO59">
        <v>1</v>
      </c>
      <c r="BP59">
        <v>1375.50197681603</v>
      </c>
      <c r="BQ59">
        <v>1</v>
      </c>
      <c r="BR59">
        <v>0.15240000000000001</v>
      </c>
      <c r="BS59">
        <v>58</v>
      </c>
      <c r="BT59">
        <v>145</v>
      </c>
      <c r="BU59" t="s">
        <v>303</v>
      </c>
      <c r="BV59" t="str">
        <f>"Table "&amp;TRIM(RIGHT(SUBSTITUTE($A59,"_",REPT(" ",50)),50))</f>
        <v>Table 11</v>
      </c>
      <c r="BW59">
        <f>$BR59/$Q59</f>
        <v>80</v>
      </c>
      <c r="BX59" t="str">
        <f>IF($BW59&lt;40,"outside_low",IF($BW59&lt;=100,"short_anchor",IF($BW59&lt;250,"middle",IF($BW59&lt;=400,"long","outside_high"))))</f>
        <v>short_anchor</v>
      </c>
      <c r="BY59" t="str">
        <f>IF($N59&gt;1000,"PASS","FAIL")</f>
        <v>PASS</v>
      </c>
      <c r="BZ59" t="str">
        <f>IF(AND($BW59&gt;=40,$BW59&lt;=400),"PASS","FAIL")</f>
        <v>PASS</v>
      </c>
    </row>
    <row r="60" spans="1:78">
      <c r="A60" t="s">
        <v>214</v>
      </c>
      <c r="B60">
        <v>15513203.909628799</v>
      </c>
      <c r="C60">
        <v>617.97483343502097</v>
      </c>
      <c r="D60">
        <v>102.22394330033001</v>
      </c>
      <c r="E60">
        <v>593.997803214295</v>
      </c>
      <c r="F60">
        <v>2595333.5493798102</v>
      </c>
      <c r="G60">
        <v>1630481.38578821</v>
      </c>
      <c r="H60">
        <v>2.3048203873610299E-5</v>
      </c>
      <c r="I60">
        <v>6.8200503236293095E-5</v>
      </c>
      <c r="J60">
        <v>0.471717723289031</v>
      </c>
      <c r="K60">
        <v>9005.0430614720299</v>
      </c>
      <c r="L60">
        <v>4.6429387983550402E-3</v>
      </c>
      <c r="M60">
        <v>145</v>
      </c>
      <c r="N60">
        <v>2956.5814</v>
      </c>
      <c r="O60">
        <v>2.8502295699234199E-6</v>
      </c>
      <c r="P60">
        <v>5.98473400508856E-3</v>
      </c>
      <c r="Q60">
        <v>1.905E-3</v>
      </c>
      <c r="R60">
        <v>0.15240000000000001</v>
      </c>
      <c r="S60">
        <v>3399087.98828125</v>
      </c>
      <c r="T60">
        <v>544.80126491492899</v>
      </c>
      <c r="U60">
        <v>585.65546869277</v>
      </c>
      <c r="V60">
        <v>0.03</v>
      </c>
      <c r="W60">
        <v>82584.252310953001</v>
      </c>
      <c r="X60">
        <v>2.9712616755100299E-2</v>
      </c>
      <c r="Y60">
        <v>5.8013564355317904</v>
      </c>
      <c r="Z60">
        <v>5.80135645597049</v>
      </c>
      <c r="AA60">
        <v>-2.04386987334715E-8</v>
      </c>
      <c r="AB60">
        <v>1.01936202092765E-5</v>
      </c>
      <c r="AC60">
        <v>675.14618475048303</v>
      </c>
      <c r="AD60">
        <v>2516.4754776415798</v>
      </c>
      <c r="AE60">
        <v>585.65546869277</v>
      </c>
      <c r="AF60">
        <v>0</v>
      </c>
      <c r="AG60">
        <v>1.02489157984725E-5</v>
      </c>
      <c r="AH60">
        <v>54.656995685946796</v>
      </c>
      <c r="AI60">
        <v>0.303340542217169</v>
      </c>
      <c r="AJ60">
        <v>27.077317878498</v>
      </c>
      <c r="AK60">
        <v>3.5606511682164901</v>
      </c>
      <c r="AL60">
        <v>1.30194062706561</v>
      </c>
      <c r="AM60">
        <v>617.97483343260899</v>
      </c>
      <c r="AN60">
        <v>2.4118662622640799E-9</v>
      </c>
      <c r="AO60">
        <v>5.5295589195984901E-8</v>
      </c>
      <c r="AP60">
        <v>3.3028858052805501</v>
      </c>
      <c r="AQ60">
        <v>3.0661671459949101E-5</v>
      </c>
      <c r="AR60">
        <v>5.1521056938342203E-6</v>
      </c>
      <c r="AS60">
        <v>13.6117035556445</v>
      </c>
      <c r="AT60">
        <v>10.004649891192299</v>
      </c>
      <c r="AU60">
        <v>3.0348159226872098</v>
      </c>
      <c r="AV60">
        <v>0.26806988259334003</v>
      </c>
      <c r="AW60">
        <v>6.9236717227344098E-3</v>
      </c>
      <c r="AX60">
        <v>0.26806987709591701</v>
      </c>
      <c r="AY60">
        <v>5.4974224061865601E-9</v>
      </c>
      <c r="AZ60">
        <v>964852.16359160398</v>
      </c>
      <c r="BA60">
        <v>9.2832974760823505E-6</v>
      </c>
      <c r="BB60">
        <v>3413766.6910966998</v>
      </c>
      <c r="BC60">
        <v>14678.702815447899</v>
      </c>
      <c r="BD60">
        <v>0.43184239025451698</v>
      </c>
      <c r="BE60">
        <v>4164058.8</v>
      </c>
      <c r="BF60">
        <v>0.81981711956053505</v>
      </c>
      <c r="BG60">
        <v>1</v>
      </c>
      <c r="BH60">
        <v>1.0999999999999999E-2</v>
      </c>
      <c r="BI60">
        <v>4.5999999999999999E-2</v>
      </c>
      <c r="BJ60">
        <v>5625</v>
      </c>
      <c r="BK60">
        <v>1</v>
      </c>
      <c r="BL60">
        <v>73.173568520091493</v>
      </c>
      <c r="BM60">
        <v>3.4137666910967002</v>
      </c>
      <c r="BN60">
        <v>73.173568520091493</v>
      </c>
      <c r="BO60">
        <v>1</v>
      </c>
      <c r="BP60">
        <v>1100.48564835721</v>
      </c>
      <c r="BQ60">
        <v>1</v>
      </c>
      <c r="BR60">
        <v>0.15240000000000001</v>
      </c>
      <c r="BS60">
        <v>59</v>
      </c>
      <c r="BT60">
        <v>146</v>
      </c>
      <c r="BU60" t="s">
        <v>303</v>
      </c>
      <c r="BV60" t="str">
        <f>"Table "&amp;TRIM(RIGHT(SUBSTITUTE($A60,"_",REPT(" ",50)),50))</f>
        <v>Table 11</v>
      </c>
      <c r="BW60">
        <f>$BR60/$Q60</f>
        <v>80</v>
      </c>
      <c r="BX60" t="str">
        <f>IF($BW60&lt;40,"outside_low",IF($BW60&lt;=100,"short_anchor",IF($BW60&lt;250,"middle",IF($BW60&lt;=400,"long","outside_high"))))</f>
        <v>short_anchor</v>
      </c>
      <c r="BY60" t="str">
        <f>IF($N60&gt;1000,"PASS","FAIL")</f>
        <v>PASS</v>
      </c>
      <c r="BZ60" t="str">
        <f>IF(AND($BW60&gt;=40,$BW60&lt;=400),"PASS","FAIL")</f>
        <v>PASS</v>
      </c>
    </row>
    <row r="61" spans="1:78">
      <c r="A61" t="s">
        <v>215</v>
      </c>
      <c r="B61">
        <v>15513203.909628799</v>
      </c>
      <c r="C61">
        <v>617.97483343502097</v>
      </c>
      <c r="D61">
        <v>102.22394330033001</v>
      </c>
      <c r="E61">
        <v>593.997803214295</v>
      </c>
      <c r="F61">
        <v>2595333.5493798102</v>
      </c>
      <c r="G61">
        <v>1630481.38578821</v>
      </c>
      <c r="H61">
        <v>2.3048203873610299E-5</v>
      </c>
      <c r="I61">
        <v>6.8200503236293095E-5</v>
      </c>
      <c r="J61">
        <v>0.471717723289031</v>
      </c>
      <c r="K61">
        <v>9005.0430614720299</v>
      </c>
      <c r="L61">
        <v>4.6429387983550402E-3</v>
      </c>
      <c r="M61">
        <v>146</v>
      </c>
      <c r="N61">
        <v>2983.7060000000001</v>
      </c>
      <c r="O61">
        <v>2.8502295699234199E-6</v>
      </c>
      <c r="P61">
        <v>5.98473400508856E-3</v>
      </c>
      <c r="Q61">
        <v>1.905E-3</v>
      </c>
      <c r="R61">
        <v>0.15240000000000001</v>
      </c>
      <c r="S61">
        <v>5002398.92578125</v>
      </c>
      <c r="T61">
        <v>506.78358716530897</v>
      </c>
      <c r="U61">
        <v>566.36166386176103</v>
      </c>
      <c r="V61">
        <v>0.03</v>
      </c>
      <c r="W61">
        <v>83341.906001879193</v>
      </c>
      <c r="X61">
        <v>2.9594784018131599E-2</v>
      </c>
      <c r="Y61">
        <v>5.8128941210789398</v>
      </c>
      <c r="Z61">
        <v>5.8128941374986898</v>
      </c>
      <c r="AA61">
        <v>-1.6419753556817799E-8</v>
      </c>
      <c r="AB61">
        <v>1.00489758091185E-5</v>
      </c>
      <c r="AC61">
        <v>708.70983593068502</v>
      </c>
      <c r="AD61">
        <v>2534.5217744995798</v>
      </c>
      <c r="AE61">
        <v>566.36166494886004</v>
      </c>
      <c r="AF61">
        <v>1.08709832602472E-6</v>
      </c>
      <c r="AG61">
        <v>1.0128192530515001E-5</v>
      </c>
      <c r="AH61">
        <v>55.4437254488207</v>
      </c>
      <c r="AI61">
        <v>0.305515875743187</v>
      </c>
      <c r="AJ61">
        <v>26.9502619474166</v>
      </c>
      <c r="AK61">
        <v>5.65966792542996</v>
      </c>
      <c r="AL61">
        <v>1.30194062706561</v>
      </c>
      <c r="AM61">
        <v>617.97483343479996</v>
      </c>
      <c r="AN61">
        <v>2.208935256931E-10</v>
      </c>
      <c r="AO61">
        <v>7.9216721396556296E-8</v>
      </c>
      <c r="AP61">
        <v>3.3215514313724799</v>
      </c>
      <c r="AQ61">
        <v>3.03180301116096E-5</v>
      </c>
      <c r="AR61">
        <v>5.1037046259557904E-6</v>
      </c>
      <c r="AS61">
        <v>13.5805254646711</v>
      </c>
      <c r="AT61">
        <v>9.9931840769654006</v>
      </c>
      <c r="AU61">
        <v>3.05307638473696</v>
      </c>
      <c r="AV61">
        <v>0.26847504663551802</v>
      </c>
      <c r="AW61">
        <v>6.8254269065978904E-3</v>
      </c>
      <c r="AX61">
        <v>0.26847504032108899</v>
      </c>
      <c r="AY61">
        <v>6.3144289241812096E-9</v>
      </c>
      <c r="AZ61">
        <v>964852.16359160398</v>
      </c>
      <c r="BA61">
        <v>9.1276714324673398E-6</v>
      </c>
      <c r="BB61">
        <v>4973962.1873238897</v>
      </c>
      <c r="BC61">
        <v>-28436.738457359399</v>
      </c>
      <c r="BD61">
        <v>-0.56846202950353997</v>
      </c>
      <c r="BE61">
        <v>5520532.5</v>
      </c>
      <c r="BF61">
        <v>0.90099318993663902</v>
      </c>
      <c r="BG61">
        <v>1</v>
      </c>
      <c r="BH61">
        <v>-0.03</v>
      </c>
      <c r="BI61">
        <v>4.5999999999999999E-2</v>
      </c>
      <c r="BJ61">
        <v>5625</v>
      </c>
      <c r="BK61">
        <v>1</v>
      </c>
      <c r="BL61">
        <v>111.191246269712</v>
      </c>
      <c r="BM61">
        <v>4.9739621873238899</v>
      </c>
      <c r="BN61">
        <v>111.191246269712</v>
      </c>
      <c r="BO61">
        <v>1</v>
      </c>
      <c r="BP61">
        <v>5068.1935454347204</v>
      </c>
      <c r="BQ61">
        <v>1</v>
      </c>
      <c r="BR61">
        <v>0.15240000000000001</v>
      </c>
      <c r="BS61">
        <v>60</v>
      </c>
      <c r="BT61">
        <v>147</v>
      </c>
      <c r="BU61" t="s">
        <v>303</v>
      </c>
      <c r="BV61" t="str">
        <f>"Table "&amp;TRIM(RIGHT(SUBSTITUTE($A61,"_",REPT(" ",50)),50))</f>
        <v>Table 11</v>
      </c>
      <c r="BW61">
        <f>$BR61/$Q61</f>
        <v>80</v>
      </c>
      <c r="BX61" t="str">
        <f>IF($BW61&lt;40,"outside_low",IF($BW61&lt;=100,"short_anchor",IF($BW61&lt;250,"middle",IF($BW61&lt;=400,"long","outside_high"))))</f>
        <v>short_anchor</v>
      </c>
      <c r="BY61" t="str">
        <f>IF($N61&gt;1000,"PASS","FAIL")</f>
        <v>PASS</v>
      </c>
      <c r="BZ61" t="str">
        <f>IF(AND($BW61&gt;=40,$BW61&lt;=400),"PASS","FAIL")</f>
        <v>PASS</v>
      </c>
    </row>
    <row r="62" spans="1:78">
      <c r="A62" t="s">
        <v>216</v>
      </c>
      <c r="B62">
        <v>15513203.909628799</v>
      </c>
      <c r="C62">
        <v>617.97483343502097</v>
      </c>
      <c r="D62">
        <v>102.22394330033001</v>
      </c>
      <c r="E62">
        <v>593.997803214295</v>
      </c>
      <c r="F62">
        <v>2595333.5493798102</v>
      </c>
      <c r="G62">
        <v>1630481.38578821</v>
      </c>
      <c r="H62">
        <v>2.3048203873610299E-5</v>
      </c>
      <c r="I62">
        <v>6.8200503236293095E-5</v>
      </c>
      <c r="J62">
        <v>0.471717723289031</v>
      </c>
      <c r="K62">
        <v>9005.0430614720299</v>
      </c>
      <c r="L62">
        <v>4.6429387983550402E-3</v>
      </c>
      <c r="M62">
        <v>147</v>
      </c>
      <c r="N62">
        <v>2997.2683000000002</v>
      </c>
      <c r="O62">
        <v>2.8502295699234199E-6</v>
      </c>
      <c r="P62">
        <v>5.98473400508856E-3</v>
      </c>
      <c r="Q62">
        <v>1.905E-3</v>
      </c>
      <c r="R62">
        <v>0.15240000000000001</v>
      </c>
      <c r="S62">
        <v>5076080.76171875</v>
      </c>
      <c r="T62">
        <v>505.31581815094103</v>
      </c>
      <c r="U62">
        <v>565.49788338764404</v>
      </c>
      <c r="V62">
        <v>0.03</v>
      </c>
      <c r="W62">
        <v>83720.732847342297</v>
      </c>
      <c r="X62">
        <v>2.9536526159325501E-2</v>
      </c>
      <c r="Y62">
        <v>5.8186239746990402</v>
      </c>
      <c r="Z62">
        <v>5.8186239892910896</v>
      </c>
      <c r="AA62">
        <v>-1.45920484584394E-8</v>
      </c>
      <c r="AB62">
        <v>9.9778822390283107E-6</v>
      </c>
      <c r="AC62">
        <v>709.86129122428702</v>
      </c>
      <c r="AD62">
        <v>2543.53512873828</v>
      </c>
      <c r="AE62">
        <v>565.49788448625702</v>
      </c>
      <c r="AF62">
        <v>1.09861287000967E-6</v>
      </c>
      <c r="AG62">
        <v>1.0058617868166901E-5</v>
      </c>
      <c r="AH62">
        <v>55.838768433577201</v>
      </c>
      <c r="AI62">
        <v>0.30660236189664097</v>
      </c>
      <c r="AJ62">
        <v>26.860312749855101</v>
      </c>
      <c r="AK62">
        <v>5.7377428808436504</v>
      </c>
      <c r="AL62">
        <v>1.30194062706561</v>
      </c>
      <c r="AM62">
        <v>617.97483343411102</v>
      </c>
      <c r="AN62">
        <v>9.0960838861064996E-10</v>
      </c>
      <c r="AO62">
        <v>8.0735629138540993E-8</v>
      </c>
      <c r="AP62">
        <v>3.3280262779848999</v>
      </c>
      <c r="AQ62">
        <v>3.0200174290873501E-5</v>
      </c>
      <c r="AR62">
        <v>5.0696767486526997E-6</v>
      </c>
      <c r="AS62">
        <v>13.5379537024103</v>
      </c>
      <c r="AT62">
        <v>9.9774856312782596</v>
      </c>
      <c r="AU62">
        <v>3.0591206603397101</v>
      </c>
      <c r="AV62">
        <v>0.268905617645186</v>
      </c>
      <c r="AW62">
        <v>6.77713900389051E-3</v>
      </c>
      <c r="AX62">
        <v>0.26890561101057903</v>
      </c>
      <c r="AY62">
        <v>6.6346073079870402E-9</v>
      </c>
      <c r="AZ62">
        <v>964852.16359160398</v>
      </c>
      <c r="BA62">
        <v>9.0744999493091601E-6</v>
      </c>
      <c r="BB62">
        <v>5099036.7873282405</v>
      </c>
      <c r="BC62">
        <v>22956.025609489501</v>
      </c>
      <c r="BD62">
        <v>0.45223917205203601</v>
      </c>
      <c r="BE62">
        <v>5520532.5</v>
      </c>
      <c r="BF62">
        <v>0.92364944637645696</v>
      </c>
      <c r="BG62">
        <v>1</v>
      </c>
      <c r="BH62">
        <v>-3.9E-2</v>
      </c>
      <c r="BI62">
        <v>4.5999999999999999E-2</v>
      </c>
      <c r="BJ62">
        <v>5625</v>
      </c>
      <c r="BK62">
        <v>1</v>
      </c>
      <c r="BL62">
        <v>112.659015284079</v>
      </c>
      <c r="BM62">
        <v>5.0990367873282398</v>
      </c>
      <c r="BN62">
        <v>112.659015284079</v>
      </c>
      <c r="BO62">
        <v>1</v>
      </c>
      <c r="BP62">
        <v>5279.3325020520997</v>
      </c>
      <c r="BQ62">
        <v>1</v>
      </c>
      <c r="BR62">
        <v>0.15240000000000001</v>
      </c>
      <c r="BS62">
        <v>61</v>
      </c>
      <c r="BT62">
        <v>148</v>
      </c>
      <c r="BU62" t="s">
        <v>303</v>
      </c>
      <c r="BV62" t="str">
        <f>"Table "&amp;TRIM(RIGHT(SUBSTITUTE($A62,"_",REPT(" ",50)),50))</f>
        <v>Table 11</v>
      </c>
      <c r="BW62">
        <f>$BR62/$Q62</f>
        <v>80</v>
      </c>
      <c r="BX62" t="str">
        <f>IF($BW62&lt;40,"outside_low",IF($BW62&lt;=100,"short_anchor",IF($BW62&lt;250,"middle",IF($BW62&lt;=400,"long","outside_high"))))</f>
        <v>short_anchor</v>
      </c>
      <c r="BY62" t="str">
        <f>IF($N62&gt;1000,"PASS","FAIL")</f>
        <v>PASS</v>
      </c>
      <c r="BZ62" t="str">
        <f>IF(AND($BW62&gt;=40,$BW62&lt;=400),"PASS","FAIL")</f>
        <v>PASS</v>
      </c>
    </row>
    <row r="63" spans="1:78">
      <c r="A63" t="s">
        <v>217</v>
      </c>
      <c r="B63">
        <v>15513203.909628799</v>
      </c>
      <c r="C63">
        <v>617.97483343502097</v>
      </c>
      <c r="D63">
        <v>102.22394330033001</v>
      </c>
      <c r="E63">
        <v>593.997803214295</v>
      </c>
      <c r="F63">
        <v>2595333.5493798102</v>
      </c>
      <c r="G63">
        <v>1630481.38578821</v>
      </c>
      <c r="H63">
        <v>2.3048203873610299E-5</v>
      </c>
      <c r="I63">
        <v>6.8200503236293095E-5</v>
      </c>
      <c r="J63">
        <v>0.471717723289031</v>
      </c>
      <c r="K63">
        <v>9005.0430614720299</v>
      </c>
      <c r="L63">
        <v>4.6429387983550402E-3</v>
      </c>
      <c r="M63">
        <v>148</v>
      </c>
      <c r="N63">
        <v>3024.3928999999998</v>
      </c>
      <c r="O63">
        <v>2.8502295699234199E-6</v>
      </c>
      <c r="P63">
        <v>5.98473400508856E-3</v>
      </c>
      <c r="Q63">
        <v>1.905E-3</v>
      </c>
      <c r="R63">
        <v>0.15240000000000001</v>
      </c>
      <c r="S63">
        <v>6789642.08984375</v>
      </c>
      <c r="T63">
        <v>464.11830000844998</v>
      </c>
      <c r="U63">
        <v>543.894410065638</v>
      </c>
      <c r="V63">
        <v>0.03</v>
      </c>
      <c r="W63">
        <v>84478.386538268504</v>
      </c>
      <c r="X63">
        <v>2.94213008732391E-2</v>
      </c>
      <c r="Y63">
        <v>5.8300068407870196</v>
      </c>
      <c r="Z63">
        <v>5.8300068521006301</v>
      </c>
      <c r="AA63">
        <v>-1.1313605163820699E-8</v>
      </c>
      <c r="AB63">
        <v>9.8380888363249604E-6</v>
      </c>
      <c r="AC63">
        <v>746.92101927760302</v>
      </c>
      <c r="AD63">
        <v>2561.5424482436802</v>
      </c>
      <c r="AE63">
        <v>543.89441153484802</v>
      </c>
      <c r="AF63">
        <v>1.4692101331092999E-6</v>
      </c>
      <c r="AG63">
        <v>9.9435833207945902E-6</v>
      </c>
      <c r="AH63">
        <v>56.632204188423501</v>
      </c>
      <c r="AI63">
        <v>0.30877299702151201</v>
      </c>
      <c r="AJ63">
        <v>26.741113662848502</v>
      </c>
      <c r="AK63">
        <v>8.0635982007374096</v>
      </c>
      <c r="AL63">
        <v>1.30194062706561</v>
      </c>
      <c r="AM63">
        <v>617.97483343617796</v>
      </c>
      <c r="AN63">
        <v>-1.1575593816814901E-9</v>
      </c>
      <c r="AO63">
        <v>1.05494484469626E-7</v>
      </c>
      <c r="AP63">
        <v>3.3471263183201398</v>
      </c>
      <c r="AQ63">
        <v>2.9856489173134101E-5</v>
      </c>
      <c r="AR63">
        <v>5.02453890263211E-6</v>
      </c>
      <c r="AS63">
        <v>13.5124091149017</v>
      </c>
      <c r="AT63">
        <v>9.9680422847049197</v>
      </c>
      <c r="AU63">
        <v>3.0778622906855002</v>
      </c>
      <c r="AV63">
        <v>0.26926402763464402</v>
      </c>
      <c r="AW63">
        <v>6.6821890636876002E-3</v>
      </c>
      <c r="AX63">
        <v>0.26926402014869999</v>
      </c>
      <c r="AY63">
        <v>7.4859438647934001E-9</v>
      </c>
      <c r="AZ63">
        <v>964852.16359160398</v>
      </c>
      <c r="BA63">
        <v>8.9200365727811798E-6</v>
      </c>
      <c r="BB63">
        <v>6778111.8795140097</v>
      </c>
      <c r="BC63">
        <v>-11530.210329740299</v>
      </c>
      <c r="BD63">
        <v>-0.16982059108811801</v>
      </c>
      <c r="BE63">
        <v>6561547.2000000002</v>
      </c>
      <c r="BF63">
        <v>1.0330051240832401</v>
      </c>
      <c r="BG63">
        <v>1</v>
      </c>
      <c r="BH63">
        <v>-0.122</v>
      </c>
      <c r="BI63">
        <v>4.5999999999999999E-2</v>
      </c>
      <c r="BJ63">
        <v>5625</v>
      </c>
      <c r="BK63">
        <v>1</v>
      </c>
      <c r="BL63">
        <v>153.85653342657099</v>
      </c>
      <c r="BM63">
        <v>6.7781118795140101</v>
      </c>
      <c r="BN63">
        <v>153.85653342657099</v>
      </c>
      <c r="BO63">
        <v>1</v>
      </c>
      <c r="BP63">
        <v>12963.3102039158</v>
      </c>
      <c r="BQ63">
        <v>1</v>
      </c>
      <c r="BR63">
        <v>0.15240000000000001</v>
      </c>
      <c r="BS63">
        <v>62</v>
      </c>
      <c r="BT63">
        <v>149</v>
      </c>
      <c r="BU63" t="s">
        <v>303</v>
      </c>
      <c r="BV63" t="str">
        <f>"Table "&amp;TRIM(RIGHT(SUBSTITUTE($A63,"_",REPT(" ",50)),50))</f>
        <v>Table 11</v>
      </c>
      <c r="BW63">
        <f>$BR63/$Q63</f>
        <v>80</v>
      </c>
      <c r="BX63" t="str">
        <f>IF($BW63&lt;40,"outside_low",IF($BW63&lt;=100,"short_anchor",IF($BW63&lt;250,"middle",IF($BW63&lt;=400,"long","outside_high"))))</f>
        <v>short_anchor</v>
      </c>
      <c r="BY63" t="str">
        <f>IF($N63&gt;1000,"PASS","FAIL")</f>
        <v>PASS</v>
      </c>
      <c r="BZ63" t="str">
        <f>IF(AND($BW63&gt;=40,$BW63&lt;=400),"PASS","FAIL")</f>
        <v>PASS</v>
      </c>
    </row>
    <row r="64" spans="1:78">
      <c r="A64" t="s">
        <v>218</v>
      </c>
      <c r="B64">
        <v>15513203.909628799</v>
      </c>
      <c r="C64">
        <v>617.97483343502097</v>
      </c>
      <c r="D64">
        <v>102.22394330033001</v>
      </c>
      <c r="E64">
        <v>593.997803214295</v>
      </c>
      <c r="F64">
        <v>2595333.5493798102</v>
      </c>
      <c r="G64">
        <v>1630481.38578821</v>
      </c>
      <c r="H64">
        <v>2.3048203873610299E-5</v>
      </c>
      <c r="I64">
        <v>6.8200503236293095E-5</v>
      </c>
      <c r="J64">
        <v>0.471717723289031</v>
      </c>
      <c r="K64">
        <v>9005.0430614720299</v>
      </c>
      <c r="L64">
        <v>4.6429387983550402E-3</v>
      </c>
      <c r="M64">
        <v>149</v>
      </c>
      <c r="N64">
        <v>3024.3928999999998</v>
      </c>
      <c r="O64">
        <v>2.8502295699234199E-6</v>
      </c>
      <c r="P64">
        <v>5.98473400508856E-3</v>
      </c>
      <c r="Q64">
        <v>1.905E-3</v>
      </c>
      <c r="R64">
        <v>0.15240000000000001</v>
      </c>
      <c r="S64">
        <v>6744360.3515625</v>
      </c>
      <c r="T64">
        <v>465.232089236273</v>
      </c>
      <c r="U64">
        <v>544.47615343759696</v>
      </c>
      <c r="V64">
        <v>0.03</v>
      </c>
      <c r="W64">
        <v>84478.386538268504</v>
      </c>
      <c r="X64">
        <v>2.94213008732391E-2</v>
      </c>
      <c r="Y64">
        <v>5.8300068407870196</v>
      </c>
      <c r="Z64">
        <v>5.8300068521006301</v>
      </c>
      <c r="AA64">
        <v>-1.1313605163820699E-8</v>
      </c>
      <c r="AB64">
        <v>9.8380888363249604E-6</v>
      </c>
      <c r="AC64">
        <v>745.90025500633101</v>
      </c>
      <c r="AD64">
        <v>2561.5424482436802</v>
      </c>
      <c r="AE64">
        <v>544.47615343759696</v>
      </c>
      <c r="AF64">
        <v>0</v>
      </c>
      <c r="AG64">
        <v>9.9428744009127996E-6</v>
      </c>
      <c r="AH64">
        <v>56.632204188423501</v>
      </c>
      <c r="AI64">
        <v>0.30877299702151201</v>
      </c>
      <c r="AJ64">
        <v>26.739207176371199</v>
      </c>
      <c r="AK64">
        <v>7.9999515386315299</v>
      </c>
      <c r="AL64">
        <v>1.30194062706561</v>
      </c>
      <c r="AM64">
        <v>617.97483343622605</v>
      </c>
      <c r="AN64">
        <v>-1.2056489140377401E-9</v>
      </c>
      <c r="AO64">
        <v>1.04785564587834E-7</v>
      </c>
      <c r="AP64">
        <v>3.3469246973187401</v>
      </c>
      <c r="AQ64">
        <v>2.9860086431576E-5</v>
      </c>
      <c r="AR64">
        <v>5.0238299827503202E-6</v>
      </c>
      <c r="AS64">
        <v>13.510502628424399</v>
      </c>
      <c r="AT64">
        <v>9.9673367772827106</v>
      </c>
      <c r="AU64">
        <v>3.07764444904433</v>
      </c>
      <c r="AV64">
        <v>0.26928024827440999</v>
      </c>
      <c r="AW64">
        <v>6.6821890636876002E-3</v>
      </c>
      <c r="AX64">
        <v>0.26928024079490398</v>
      </c>
      <c r="AY64">
        <v>7.4795056814736005E-9</v>
      </c>
      <c r="AZ64">
        <v>964852.16359160398</v>
      </c>
      <c r="BA64">
        <v>8.9216487169541898E-6</v>
      </c>
      <c r="BB64">
        <v>6731346.5880342303</v>
      </c>
      <c r="BC64">
        <v>-13013.7635282716</v>
      </c>
      <c r="BD64">
        <v>-0.19295771355480201</v>
      </c>
      <c r="BE64">
        <v>6593093.0999999996</v>
      </c>
      <c r="BF64">
        <v>1.0209694427088001</v>
      </c>
      <c r="BG64">
        <v>1</v>
      </c>
      <c r="BH64">
        <v>-0.113</v>
      </c>
      <c r="BI64">
        <v>4.5999999999999999E-2</v>
      </c>
      <c r="BJ64">
        <v>5625</v>
      </c>
      <c r="BK64">
        <v>1</v>
      </c>
      <c r="BL64">
        <v>152.742744198748</v>
      </c>
      <c r="BM64">
        <v>6.7313465880342296</v>
      </c>
      <c r="BN64">
        <v>152.742744198748</v>
      </c>
      <c r="BO64">
        <v>1</v>
      </c>
      <c r="BP64">
        <v>12710.9263694642</v>
      </c>
      <c r="BQ64">
        <v>1</v>
      </c>
      <c r="BR64">
        <v>0.15240000000000001</v>
      </c>
      <c r="BS64">
        <v>63</v>
      </c>
      <c r="BT64">
        <v>150</v>
      </c>
      <c r="BU64" t="s">
        <v>303</v>
      </c>
      <c r="BV64" t="str">
        <f>"Table "&amp;TRIM(RIGHT(SUBSTITUTE($A64,"_",REPT(" ",50)),50))</f>
        <v>Table 11</v>
      </c>
      <c r="BW64">
        <f>$BR64/$Q64</f>
        <v>80</v>
      </c>
      <c r="BX64" t="str">
        <f>IF($BW64&lt;40,"outside_low",IF($BW64&lt;=100,"short_anchor",IF($BW64&lt;250,"middle",IF($BW64&lt;=400,"long","outside_high"))))</f>
        <v>short_anchor</v>
      </c>
      <c r="BY64" t="str">
        <f>IF($N64&gt;1000,"PASS","FAIL")</f>
        <v>PASS</v>
      </c>
      <c r="BZ64" t="str">
        <f>IF(AND($BW64&gt;=40,$BW64&lt;=400),"PASS","FAIL")</f>
        <v>PASS</v>
      </c>
    </row>
    <row r="65" spans="1:78">
      <c r="A65" t="s">
        <v>219</v>
      </c>
      <c r="B65">
        <v>15513203.909628799</v>
      </c>
      <c r="C65">
        <v>617.97483343502097</v>
      </c>
      <c r="D65">
        <v>102.22394330033001</v>
      </c>
      <c r="E65">
        <v>593.997803214295</v>
      </c>
      <c r="F65">
        <v>2595333.5493798102</v>
      </c>
      <c r="G65">
        <v>1630481.38578821</v>
      </c>
      <c r="H65">
        <v>2.3048203873610299E-5</v>
      </c>
      <c r="I65">
        <v>6.8200503236293095E-5</v>
      </c>
      <c r="J65">
        <v>0.471717723289031</v>
      </c>
      <c r="K65">
        <v>9005.0430614720299</v>
      </c>
      <c r="L65">
        <v>4.6429387983550402E-3</v>
      </c>
      <c r="M65">
        <v>150</v>
      </c>
      <c r="N65">
        <v>3553.3226</v>
      </c>
      <c r="O65">
        <v>2.8502295699234199E-6</v>
      </c>
      <c r="P65">
        <v>5.98473400508856E-3</v>
      </c>
      <c r="Q65">
        <v>1.905E-3</v>
      </c>
      <c r="R65">
        <v>0.15240000000000001</v>
      </c>
      <c r="S65">
        <v>3613308.22265625</v>
      </c>
      <c r="T65">
        <v>548.629770529251</v>
      </c>
      <c r="U65">
        <v>584.76531107436404</v>
      </c>
      <c r="V65">
        <v>0.03</v>
      </c>
      <c r="W65">
        <v>99252.633511328895</v>
      </c>
      <c r="X65">
        <v>2.74681994354301E-2</v>
      </c>
      <c r="Y65">
        <v>6.0337165478324701</v>
      </c>
      <c r="Z65">
        <v>6.0337165682810801</v>
      </c>
      <c r="AA65">
        <v>-2.0448607251921701E-8</v>
      </c>
      <c r="AB65">
        <v>7.6339544209671002E-6</v>
      </c>
      <c r="AC65">
        <v>667.81428414038999</v>
      </c>
      <c r="AD65">
        <v>2907.91793292377</v>
      </c>
      <c r="AE65">
        <v>584.76531175250705</v>
      </c>
      <c r="AF65">
        <v>6.7814278281730399E-7</v>
      </c>
      <c r="AG65">
        <v>7.6808897476370304E-6</v>
      </c>
      <c r="AH65">
        <v>72.983492575270404</v>
      </c>
      <c r="AI65">
        <v>0.35052572947097099</v>
      </c>
      <c r="AJ65">
        <v>23.449235735395298</v>
      </c>
      <c r="AK65">
        <v>3.25696805425404</v>
      </c>
      <c r="AL65">
        <v>1.30194062706561</v>
      </c>
      <c r="AM65">
        <v>617.97483340313602</v>
      </c>
      <c r="AN65">
        <v>3.18842694468913E-8</v>
      </c>
      <c r="AO65">
        <v>4.6935326669930198E-8</v>
      </c>
      <c r="AP65">
        <v>3.5446445559083002</v>
      </c>
      <c r="AQ65">
        <v>2.6621808710776502E-5</v>
      </c>
      <c r="AR65">
        <v>3.8639125371534803E-6</v>
      </c>
      <c r="AS65">
        <v>11.7962630530578</v>
      </c>
      <c r="AT65">
        <v>9.2889139544789607</v>
      </c>
      <c r="AU65">
        <v>3.2560033398868198</v>
      </c>
      <c r="AV65">
        <v>0.28864121602147902</v>
      </c>
      <c r="AW65">
        <v>5.1851053180295799E-3</v>
      </c>
      <c r="AX65">
        <v>0.28864120212984001</v>
      </c>
      <c r="AY65">
        <v>1.38916385616916E-8</v>
      </c>
      <c r="AZ65">
        <v>964852.16359160398</v>
      </c>
      <c r="BA65">
        <v>7.5104310998976402E-6</v>
      </c>
      <c r="BB65">
        <v>3581628.9560785801</v>
      </c>
      <c r="BC65">
        <v>-31679.2665776666</v>
      </c>
      <c r="BD65">
        <v>-0.876738562711881</v>
      </c>
      <c r="BE65">
        <v>4700339.0999999996</v>
      </c>
      <c r="BF65">
        <v>0.76199373702177897</v>
      </c>
      <c r="BG65">
        <v>1</v>
      </c>
      <c r="BH65">
        <v>3.0000000000000001E-3</v>
      </c>
      <c r="BI65">
        <v>4.5999999999999999E-2</v>
      </c>
      <c r="BJ65">
        <v>5625</v>
      </c>
      <c r="BK65">
        <v>1</v>
      </c>
      <c r="BL65">
        <v>69.345062905769495</v>
      </c>
      <c r="BM65">
        <v>3.5816289560785801</v>
      </c>
      <c r="BN65">
        <v>69.345062905769495</v>
      </c>
      <c r="BO65">
        <v>1</v>
      </c>
      <c r="BP65">
        <v>861.13271694357002</v>
      </c>
      <c r="BQ65">
        <v>1</v>
      </c>
      <c r="BR65">
        <v>0.15240000000000001</v>
      </c>
      <c r="BS65">
        <v>64</v>
      </c>
      <c r="BT65">
        <v>151</v>
      </c>
      <c r="BU65" t="s">
        <v>303</v>
      </c>
      <c r="BV65" t="str">
        <f>"Table "&amp;TRIM(RIGHT(SUBSTITUTE($A65,"_",REPT(" ",50)),50))</f>
        <v>Table 11</v>
      </c>
      <c r="BW65">
        <f>$BR65/$Q65</f>
        <v>80</v>
      </c>
      <c r="BX65" t="str">
        <f>IF($BW65&lt;40,"outside_low",IF($BW65&lt;=100,"short_anchor",IF($BW65&lt;250,"middle",IF($BW65&lt;=400,"long","outside_high"))))</f>
        <v>short_anchor</v>
      </c>
      <c r="BY65" t="str">
        <f>IF($N65&gt;1000,"PASS","FAIL")</f>
        <v>PASS</v>
      </c>
      <c r="BZ65" t="str">
        <f>IF(AND($BW65&gt;=40,$BW65&lt;=400),"PASS","FAIL")</f>
        <v>PASS</v>
      </c>
    </row>
    <row r="66" spans="1:78">
      <c r="A66" t="s">
        <v>220</v>
      </c>
      <c r="B66">
        <v>15513203.909628799</v>
      </c>
      <c r="C66">
        <v>617.97483343502097</v>
      </c>
      <c r="D66">
        <v>102.22394330033001</v>
      </c>
      <c r="E66">
        <v>593.997803214295</v>
      </c>
      <c r="F66">
        <v>2595333.5493798102</v>
      </c>
      <c r="G66">
        <v>1630481.38578821</v>
      </c>
      <c r="H66">
        <v>2.3048203873610299E-5</v>
      </c>
      <c r="I66">
        <v>6.8200503236293095E-5</v>
      </c>
      <c r="J66">
        <v>0.471717723289031</v>
      </c>
      <c r="K66">
        <v>9005.0430614720299</v>
      </c>
      <c r="L66">
        <v>4.6429387983550402E-3</v>
      </c>
      <c r="M66">
        <v>151</v>
      </c>
      <c r="N66">
        <v>3675.3833</v>
      </c>
      <c r="O66">
        <v>2.8502295699234199E-6</v>
      </c>
      <c r="P66">
        <v>5.98473400508856E-3</v>
      </c>
      <c r="Q66">
        <v>1.905E-3</v>
      </c>
      <c r="R66">
        <v>0.15240000000000001</v>
      </c>
      <c r="S66">
        <v>4028926.32421875</v>
      </c>
      <c r="T66">
        <v>541.45534065612401</v>
      </c>
      <c r="U66">
        <v>580.409234138324</v>
      </c>
      <c r="V66">
        <v>0.03</v>
      </c>
      <c r="W66">
        <v>102662.075120497</v>
      </c>
      <c r="X66">
        <v>2.7083591457044299E-2</v>
      </c>
      <c r="Y66">
        <v>6.0764072462979897</v>
      </c>
      <c r="Z66">
        <v>6.0764072546537502</v>
      </c>
      <c r="AA66">
        <v>-8.35576496882595E-9</v>
      </c>
      <c r="AB66">
        <v>7.23664888240171E-6</v>
      </c>
      <c r="AC66">
        <v>672.75768533763096</v>
      </c>
      <c r="AD66">
        <v>2986.67644160177</v>
      </c>
      <c r="AE66">
        <v>580.409234138324</v>
      </c>
      <c r="AF66">
        <v>0</v>
      </c>
      <c r="AG66">
        <v>7.2876711654072298E-6</v>
      </c>
      <c r="AH66">
        <v>76.990422619163397</v>
      </c>
      <c r="AI66">
        <v>0.36001942370279</v>
      </c>
      <c r="AJ66">
        <v>22.851355153661199</v>
      </c>
      <c r="AK66">
        <v>3.6121055554388799</v>
      </c>
      <c r="AL66">
        <v>1.30194062706561</v>
      </c>
      <c r="AM66">
        <v>617.97483342129794</v>
      </c>
      <c r="AN66">
        <v>1.37229108077008E-8</v>
      </c>
      <c r="AO66">
        <v>5.1022283005518902E-8</v>
      </c>
      <c r="AP66">
        <v>3.5918524878162201</v>
      </c>
      <c r="AQ66">
        <v>2.5926623316764301E-5</v>
      </c>
      <c r="AR66">
        <v>3.6693467242063798E-6</v>
      </c>
      <c r="AS66">
        <v>11.505670779271201</v>
      </c>
      <c r="AT66">
        <v>9.1642001253539203</v>
      </c>
      <c r="AU66">
        <v>3.2992900478269598</v>
      </c>
      <c r="AV66">
        <v>0.29256243998925902</v>
      </c>
      <c r="AW66">
        <v>4.9152489700220597E-3</v>
      </c>
      <c r="AX66">
        <v>0.29256243024165501</v>
      </c>
      <c r="AY66">
        <v>9.7476043903199605E-9</v>
      </c>
      <c r="AZ66">
        <v>964852.16359160398</v>
      </c>
      <c r="BA66">
        <v>7.2181759703966203E-6</v>
      </c>
      <c r="BB66">
        <v>4051147.3124389001</v>
      </c>
      <c r="BC66">
        <v>22220.988220152001</v>
      </c>
      <c r="BD66">
        <v>0.55153622657671397</v>
      </c>
      <c r="BE66">
        <v>5078889.9000000004</v>
      </c>
      <c r="BF66">
        <v>0.797644247503554</v>
      </c>
      <c r="BG66">
        <v>1</v>
      </c>
      <c r="BH66">
        <v>-1.4E-2</v>
      </c>
      <c r="BI66">
        <v>4.5999999999999999E-2</v>
      </c>
      <c r="BJ66">
        <v>5625</v>
      </c>
      <c r="BK66">
        <v>1</v>
      </c>
      <c r="BL66">
        <v>76.519492778896506</v>
      </c>
      <c r="BM66">
        <v>4.0511473124388999</v>
      </c>
      <c r="BN66">
        <v>76.519492778896506</v>
      </c>
      <c r="BO66">
        <v>1</v>
      </c>
      <c r="BP66">
        <v>1333.6733528278701</v>
      </c>
      <c r="BQ66">
        <v>1</v>
      </c>
      <c r="BR66">
        <v>0.15240000000000001</v>
      </c>
      <c r="BS66">
        <v>65</v>
      </c>
      <c r="BT66">
        <v>152</v>
      </c>
      <c r="BU66" t="s">
        <v>303</v>
      </c>
      <c r="BV66" t="str">
        <f>"Table "&amp;TRIM(RIGHT(SUBSTITUTE($A66,"_",REPT(" ",50)),50))</f>
        <v>Table 11</v>
      </c>
      <c r="BW66">
        <f>$BR66/$Q66</f>
        <v>80</v>
      </c>
      <c r="BX66" t="str">
        <f>IF($BW66&lt;40,"outside_low",IF($BW66&lt;=100,"short_anchor",IF($BW66&lt;250,"middle",IF($BW66&lt;=400,"long","outside_high"))))</f>
        <v>short_anchor</v>
      </c>
      <c r="BY66" t="str">
        <f>IF($N66&gt;1000,"PASS","FAIL")</f>
        <v>PASS</v>
      </c>
      <c r="BZ66" t="str">
        <f>IF(AND($BW66&gt;=40,$BW66&lt;=400),"PASS","FAIL")</f>
        <v>PASS</v>
      </c>
    </row>
    <row r="67" spans="1:78">
      <c r="A67" t="s">
        <v>221</v>
      </c>
      <c r="B67">
        <v>15513203.909628799</v>
      </c>
      <c r="C67">
        <v>617.97483343502097</v>
      </c>
      <c r="D67">
        <v>102.22394330033001</v>
      </c>
      <c r="E67">
        <v>593.997803214295</v>
      </c>
      <c r="F67">
        <v>2595333.5493798102</v>
      </c>
      <c r="G67">
        <v>1630481.38578821</v>
      </c>
      <c r="H67">
        <v>2.3048203873610299E-5</v>
      </c>
      <c r="I67">
        <v>6.8200503236293095E-5</v>
      </c>
      <c r="J67">
        <v>0.471717723289031</v>
      </c>
      <c r="K67">
        <v>9005.0430614720299</v>
      </c>
      <c r="L67">
        <v>4.6429387983550402E-3</v>
      </c>
      <c r="M67">
        <v>152</v>
      </c>
      <c r="N67">
        <v>3743.1948000000002</v>
      </c>
      <c r="O67">
        <v>2.8502295699234199E-6</v>
      </c>
      <c r="P67">
        <v>5.98473400508856E-3</v>
      </c>
      <c r="Q67">
        <v>1.905E-3</v>
      </c>
      <c r="R67">
        <v>0.15240000000000001</v>
      </c>
      <c r="S67">
        <v>4286578.0601562504</v>
      </c>
      <c r="T67">
        <v>536.98317199257201</v>
      </c>
      <c r="U67">
        <v>577.67736985044405</v>
      </c>
      <c r="V67">
        <v>0.03</v>
      </c>
      <c r="W67">
        <v>104556.20934781199</v>
      </c>
      <c r="X67">
        <v>2.6878779410128499E-2</v>
      </c>
      <c r="Y67">
        <v>6.0995139434554897</v>
      </c>
      <c r="Z67">
        <v>6.0995139494937103</v>
      </c>
      <c r="AA67">
        <v>-6.0382214783771798E-9</v>
      </c>
      <c r="AB67">
        <v>7.0299887495018698E-6</v>
      </c>
      <c r="AC67">
        <v>675.83911673614705</v>
      </c>
      <c r="AD67">
        <v>3030.2580390165499</v>
      </c>
      <c r="AE67">
        <v>577.67736985044405</v>
      </c>
      <c r="AF67">
        <v>0</v>
      </c>
      <c r="AG67">
        <v>7.0826251157525298E-6</v>
      </c>
      <c r="AH67">
        <v>79.253705184390796</v>
      </c>
      <c r="AI67">
        <v>0.36527282891494101</v>
      </c>
      <c r="AJ67">
        <v>22.532474219789702</v>
      </c>
      <c r="AK67">
        <v>3.8339986564199</v>
      </c>
      <c r="AL67">
        <v>1.30194062706561</v>
      </c>
      <c r="AM67">
        <v>617.97483338798395</v>
      </c>
      <c r="AN67">
        <v>4.7036451178428298E-8</v>
      </c>
      <c r="AO67">
        <v>5.2636366250666E-8</v>
      </c>
      <c r="AP67">
        <v>3.6172923743649998</v>
      </c>
      <c r="AQ67">
        <v>2.55632293983416E-5</v>
      </c>
      <c r="AR67">
        <v>3.5676307410016E-6</v>
      </c>
      <c r="AS67">
        <v>11.3499650741865</v>
      </c>
      <c r="AT67">
        <v>9.0960733337924804</v>
      </c>
      <c r="AU67">
        <v>3.32254843865213</v>
      </c>
      <c r="AV67">
        <v>0.294743935712861</v>
      </c>
      <c r="AW67">
        <v>4.7748820651345204E-3</v>
      </c>
      <c r="AX67">
        <v>0.29474393026351398</v>
      </c>
      <c r="AY67">
        <v>5.4493471401961796E-9</v>
      </c>
      <c r="AZ67">
        <v>964852.16359160398</v>
      </c>
      <c r="BA67">
        <v>7.0669513969904497E-6</v>
      </c>
      <c r="BB67">
        <v>4268737.1093811197</v>
      </c>
      <c r="BC67">
        <v>-17840.950775134399</v>
      </c>
      <c r="BD67">
        <v>-0.416204966403529</v>
      </c>
      <c r="BE67">
        <v>5552078.4000000004</v>
      </c>
      <c r="BF67">
        <v>0.76885389611593302</v>
      </c>
      <c r="BG67">
        <v>1</v>
      </c>
      <c r="BH67">
        <v>-3.0000000000000001E-3</v>
      </c>
      <c r="BI67">
        <v>4.5999999999999999E-2</v>
      </c>
      <c r="BJ67">
        <v>5625</v>
      </c>
      <c r="BK67">
        <v>1</v>
      </c>
      <c r="BL67">
        <v>80.991661442448503</v>
      </c>
      <c r="BM67">
        <v>4.2687371093811102</v>
      </c>
      <c r="BN67">
        <v>80.991661442448503</v>
      </c>
      <c r="BO67">
        <v>1</v>
      </c>
      <c r="BP67">
        <v>1680.31630781232</v>
      </c>
      <c r="BQ67">
        <v>1</v>
      </c>
      <c r="BR67">
        <v>0.15240000000000001</v>
      </c>
      <c r="BS67">
        <v>66</v>
      </c>
      <c r="BT67">
        <v>153</v>
      </c>
      <c r="BU67" t="s">
        <v>303</v>
      </c>
      <c r="BV67" t="str">
        <f>"Table "&amp;TRIM(RIGHT(SUBSTITUTE($A67,"_",REPT(" ",50)),50))</f>
        <v>Table 11</v>
      </c>
      <c r="BW67">
        <f>$BR67/$Q67</f>
        <v>80</v>
      </c>
      <c r="BX67" t="str">
        <f>IF($BW67&lt;40,"outside_low",IF($BW67&lt;=100,"short_anchor",IF($BW67&lt;250,"middle",IF($BW67&lt;=400,"long","outside_high"))))</f>
        <v>short_anchor</v>
      </c>
      <c r="BY67" t="str">
        <f>IF($N67&gt;1000,"PASS","FAIL")</f>
        <v>PASS</v>
      </c>
      <c r="BZ67" t="str">
        <f>IF(AND($BW67&gt;=40,$BW67&lt;=400),"PASS","FAIL")</f>
        <v>PASS</v>
      </c>
    </row>
    <row r="68" spans="1:78">
      <c r="A68" t="s">
        <v>222</v>
      </c>
      <c r="B68">
        <v>15513203.909628799</v>
      </c>
      <c r="C68">
        <v>617.97483343502097</v>
      </c>
      <c r="D68">
        <v>102.22394330033001</v>
      </c>
      <c r="E68">
        <v>593.997803214295</v>
      </c>
      <c r="F68">
        <v>2595333.5493798102</v>
      </c>
      <c r="G68">
        <v>1630481.38578821</v>
      </c>
      <c r="H68">
        <v>2.3048203873610299E-5</v>
      </c>
      <c r="I68">
        <v>6.8200503236293095E-5</v>
      </c>
      <c r="J68">
        <v>0.471717723289031</v>
      </c>
      <c r="K68">
        <v>9005.0430614720299</v>
      </c>
      <c r="L68">
        <v>4.6429387983550402E-3</v>
      </c>
      <c r="M68">
        <v>153</v>
      </c>
      <c r="N68">
        <v>3811.0063</v>
      </c>
      <c r="O68">
        <v>2.8502295699234199E-6</v>
      </c>
      <c r="P68">
        <v>5.98473400508856E-3</v>
      </c>
      <c r="Q68">
        <v>1.905E-3</v>
      </c>
      <c r="R68">
        <v>0.15240000000000001</v>
      </c>
      <c r="S68">
        <v>4116640.52734375</v>
      </c>
      <c r="T68">
        <v>541.45534065612401</v>
      </c>
      <c r="U68">
        <v>579.84086372052502</v>
      </c>
      <c r="V68">
        <v>0.03</v>
      </c>
      <c r="W68">
        <v>106450.343575128</v>
      </c>
      <c r="X68">
        <v>2.66799122456483E-2</v>
      </c>
      <c r="Y68">
        <v>6.1222040681412597</v>
      </c>
      <c r="Z68">
        <v>6.1222040707463101</v>
      </c>
      <c r="AA68">
        <v>-2.6050521739762202E-9</v>
      </c>
      <c r="AB68">
        <v>6.8325890505261298E-6</v>
      </c>
      <c r="AC68">
        <v>671.878197216996</v>
      </c>
      <c r="AD68">
        <v>3073.7198141315598</v>
      </c>
      <c r="AE68">
        <v>579.84086372052502</v>
      </c>
      <c r="AF68">
        <v>0</v>
      </c>
      <c r="AG68">
        <v>6.8819209187382798E-6</v>
      </c>
      <c r="AH68">
        <v>81.543416658389901</v>
      </c>
      <c r="AI68">
        <v>0.370511790528611</v>
      </c>
      <c r="AJ68">
        <v>22.207975524632399</v>
      </c>
      <c r="AK68">
        <v>3.5897488222574201</v>
      </c>
      <c r="AL68">
        <v>1.30194062706561</v>
      </c>
      <c r="AM68">
        <v>617.97483341835903</v>
      </c>
      <c r="AN68">
        <v>1.6661715562804599E-8</v>
      </c>
      <c r="AO68">
        <v>4.93318682121484E-8</v>
      </c>
      <c r="AP68">
        <v>3.6399545050422102</v>
      </c>
      <c r="AQ68">
        <v>2.5245910130882198E-5</v>
      </c>
      <c r="AR68">
        <v>3.4656263934752099E-6</v>
      </c>
      <c r="AS68">
        <v>11.183584791603201</v>
      </c>
      <c r="AT68">
        <v>9.0222352979399592</v>
      </c>
      <c r="AU68">
        <v>3.3428445548101702</v>
      </c>
      <c r="AV68">
        <v>0.29710995023203801</v>
      </c>
      <c r="AW68">
        <v>4.6408049967510204E-3</v>
      </c>
      <c r="AX68">
        <v>0.29710994728886497</v>
      </c>
      <c r="AY68">
        <v>2.94317303861646E-9</v>
      </c>
      <c r="AZ68">
        <v>964852.16359160398</v>
      </c>
      <c r="BA68">
        <v>6.9357762839921799E-6</v>
      </c>
      <c r="BB68">
        <v>4076412.2699819701</v>
      </c>
      <c r="BC68">
        <v>-40228.257361783602</v>
      </c>
      <c r="BD68">
        <v>-0.97721083720032298</v>
      </c>
      <c r="BE68">
        <v>5236619.4000000004</v>
      </c>
      <c r="BF68">
        <v>0.77844348779328199</v>
      </c>
      <c r="BG68">
        <v>1</v>
      </c>
      <c r="BH68">
        <v>-1.7000000000000001E-2</v>
      </c>
      <c r="BI68">
        <v>4.5999999999999999E-2</v>
      </c>
      <c r="BJ68">
        <v>5625</v>
      </c>
      <c r="BK68">
        <v>1</v>
      </c>
      <c r="BL68">
        <v>76.519492778896506</v>
      </c>
      <c r="BM68">
        <v>4.0764122699819696</v>
      </c>
      <c r="BN68">
        <v>76.519492778896506</v>
      </c>
      <c r="BO68">
        <v>1</v>
      </c>
      <c r="BP68">
        <v>1333.6733528278701</v>
      </c>
      <c r="BQ68">
        <v>1</v>
      </c>
      <c r="BR68">
        <v>0.15240000000000001</v>
      </c>
      <c r="BS68">
        <v>67</v>
      </c>
      <c r="BT68">
        <v>154</v>
      </c>
      <c r="BU68" t="s">
        <v>303</v>
      </c>
      <c r="BV68" t="str">
        <f>"Table "&amp;TRIM(RIGHT(SUBSTITUTE($A68,"_",REPT(" ",50)),50))</f>
        <v>Table 11</v>
      </c>
      <c r="BW68">
        <f>$BR68/$Q68</f>
        <v>80</v>
      </c>
      <c r="BX68" t="str">
        <f>IF($BW68&lt;40,"outside_low",IF($BW68&lt;=100,"short_anchor",IF($BW68&lt;250,"middle",IF($BW68&lt;=400,"long","outside_high"))))</f>
        <v>short_anchor</v>
      </c>
      <c r="BY68" t="str">
        <f>IF($N68&gt;1000,"PASS","FAIL")</f>
        <v>PASS</v>
      </c>
      <c r="BZ68" t="str">
        <f>IF(AND($BW68&gt;=40,$BW68&lt;=400),"PASS","FAIL")</f>
        <v>PASS</v>
      </c>
    </row>
    <row r="69" spans="1:78">
      <c r="A69" t="s">
        <v>223</v>
      </c>
      <c r="B69">
        <v>15513203.909628799</v>
      </c>
      <c r="C69">
        <v>617.97483343502097</v>
      </c>
      <c r="D69">
        <v>102.22394330033001</v>
      </c>
      <c r="E69">
        <v>593.997803214295</v>
      </c>
      <c r="F69">
        <v>2595333.5493798102</v>
      </c>
      <c r="G69">
        <v>1630481.38578821</v>
      </c>
      <c r="H69">
        <v>2.3048203873610299E-5</v>
      </c>
      <c r="I69">
        <v>6.8200503236293095E-5</v>
      </c>
      <c r="J69">
        <v>0.471717723289031</v>
      </c>
      <c r="K69">
        <v>9005.0430614720299</v>
      </c>
      <c r="L69">
        <v>4.6429387983550402E-3</v>
      </c>
      <c r="M69">
        <v>154</v>
      </c>
      <c r="N69">
        <v>2102.1565000000001</v>
      </c>
      <c r="O69">
        <v>2.8502295699234199E-6</v>
      </c>
      <c r="P69">
        <v>5.98473400508856E-3</v>
      </c>
      <c r="Q69">
        <v>1.905E-3</v>
      </c>
      <c r="R69">
        <v>0.69596000000000002</v>
      </c>
      <c r="S69">
        <v>3550235.95703125</v>
      </c>
      <c r="T69">
        <v>299.28719429629098</v>
      </c>
      <c r="U69">
        <v>573.35351538122904</v>
      </c>
      <c r="V69">
        <v>0.03</v>
      </c>
      <c r="W69">
        <v>58718.161046778601</v>
      </c>
      <c r="X69">
        <v>3.4659226492567398E-2</v>
      </c>
      <c r="Y69">
        <v>5.3714379963301004</v>
      </c>
      <c r="Z69">
        <v>5.3714380084148798</v>
      </c>
      <c r="AA69">
        <v>-1.2084776734866399E-8</v>
      </c>
      <c r="AB69">
        <v>1.7286221546981498E-5</v>
      </c>
      <c r="AC69">
        <v>719.484385459549</v>
      </c>
      <c r="AD69">
        <v>1932.4438764511699</v>
      </c>
      <c r="AE69">
        <v>573.35351538122904</v>
      </c>
      <c r="AF69">
        <v>0</v>
      </c>
      <c r="AG69">
        <v>1.7373379540586301E-5</v>
      </c>
      <c r="AH69">
        <v>32.231025981492998</v>
      </c>
      <c r="AI69">
        <v>0.23294030817908701</v>
      </c>
      <c r="AJ69">
        <v>35.247329035661899</v>
      </c>
      <c r="AK69">
        <v>5.9733765215393202</v>
      </c>
      <c r="AL69">
        <v>1.30194062706561</v>
      </c>
      <c r="AM69">
        <v>617.97483342564999</v>
      </c>
      <c r="AN69">
        <v>9.3706375992041996E-9</v>
      </c>
      <c r="AO69">
        <v>8.7157993604785898E-8</v>
      </c>
      <c r="AP69">
        <v>2.8737660613968501</v>
      </c>
      <c r="AQ69">
        <v>4.0502340450096499E-5</v>
      </c>
      <c r="AR69">
        <v>8.73026876709553E-6</v>
      </c>
      <c r="AS69">
        <v>17.7120781299177</v>
      </c>
      <c r="AT69">
        <v>11.321233935427999</v>
      </c>
      <c r="AU69">
        <v>2.6371717218861401</v>
      </c>
      <c r="AV69">
        <v>0.23659433951071401</v>
      </c>
      <c r="AW69">
        <v>1.17410812705031E-2</v>
      </c>
      <c r="AX69">
        <v>0.236594339098398</v>
      </c>
      <c r="AY69">
        <v>4.1231620895310099E-10</v>
      </c>
      <c r="AZ69">
        <v>964852.16359160398</v>
      </c>
      <c r="BA69">
        <v>1.4093819602841799E-5</v>
      </c>
      <c r="BB69">
        <v>3544248.2180107301</v>
      </c>
      <c r="BC69">
        <v>-5987.7390205189604</v>
      </c>
      <c r="BD69">
        <v>-0.16865749468454999</v>
      </c>
      <c r="BE69">
        <v>2082029.4</v>
      </c>
      <c r="BF69">
        <v>1.70230459666455</v>
      </c>
      <c r="BG69">
        <v>1</v>
      </c>
      <c r="BH69">
        <v>-6.0999999999999999E-2</v>
      </c>
      <c r="BI69">
        <v>4.5999999999999999E-2</v>
      </c>
      <c r="BJ69">
        <v>5625</v>
      </c>
      <c r="BK69">
        <v>1</v>
      </c>
      <c r="BL69">
        <v>318.68763913872999</v>
      </c>
      <c r="BM69">
        <v>3.54424821801073</v>
      </c>
      <c r="BN69">
        <v>318.68763913872999</v>
      </c>
      <c r="BO69">
        <v>1</v>
      </c>
      <c r="BP69">
        <v>77666.800208718705</v>
      </c>
      <c r="BQ69">
        <v>1</v>
      </c>
      <c r="BR69">
        <v>0.69596000000000002</v>
      </c>
      <c r="BS69">
        <v>68</v>
      </c>
      <c r="BT69">
        <v>155</v>
      </c>
      <c r="BU69" t="s">
        <v>303</v>
      </c>
      <c r="BV69" t="str">
        <f>"Table "&amp;TRIM(RIGHT(SUBSTITUTE($A69,"_",REPT(" ",50)),50))</f>
        <v>Table 11</v>
      </c>
      <c r="BW69">
        <f>$BR69/$Q69</f>
        <v>365.33333333333337</v>
      </c>
      <c r="BX69" t="str">
        <f>IF($BW69&lt;40,"outside_low",IF($BW69&lt;=100,"short_anchor",IF($BW69&lt;250,"middle",IF($BW69&lt;=400,"long","outside_high"))))</f>
        <v>long</v>
      </c>
      <c r="BY69" t="str">
        <f>IF($N69&gt;1000,"PASS","FAIL")</f>
        <v>PASS</v>
      </c>
      <c r="BZ69" t="str">
        <f>IF(AND($BW69&gt;=40,$BW69&lt;=400),"PASS","FAIL")</f>
        <v>PASS</v>
      </c>
    </row>
    <row r="70" spans="1:78">
      <c r="A70" t="s">
        <v>224</v>
      </c>
      <c r="B70">
        <v>15513203.909628799</v>
      </c>
      <c r="C70">
        <v>617.97483343502097</v>
      </c>
      <c r="D70">
        <v>102.22394330033001</v>
      </c>
      <c r="E70">
        <v>593.997803214295</v>
      </c>
      <c r="F70">
        <v>2595333.5493798102</v>
      </c>
      <c r="G70">
        <v>1630481.38578821</v>
      </c>
      <c r="H70">
        <v>2.3048203873610299E-5</v>
      </c>
      <c r="I70">
        <v>6.8200503236293095E-5</v>
      </c>
      <c r="J70">
        <v>0.471717723289031</v>
      </c>
      <c r="K70">
        <v>9005.0430614720299</v>
      </c>
      <c r="L70">
        <v>4.6429387983550402E-3</v>
      </c>
      <c r="M70">
        <v>155</v>
      </c>
      <c r="N70">
        <v>2197.0925999999999</v>
      </c>
      <c r="O70">
        <v>2.8502295699234199E-6</v>
      </c>
      <c r="P70">
        <v>5.98473400508856E-3</v>
      </c>
      <c r="Q70">
        <v>1.905E-3</v>
      </c>
      <c r="R70">
        <v>0.69596000000000002</v>
      </c>
      <c r="S70">
        <v>3712322.0219312501</v>
      </c>
      <c r="T70">
        <v>297.60162944706502</v>
      </c>
      <c r="U70">
        <v>571.79741615633895</v>
      </c>
      <c r="V70">
        <v>0.03</v>
      </c>
      <c r="W70">
        <v>61369.948965020201</v>
      </c>
      <c r="X70">
        <v>3.3953568446514801E-2</v>
      </c>
      <c r="Y70">
        <v>5.4269683375017603</v>
      </c>
      <c r="Z70">
        <v>5.4269683533117297</v>
      </c>
      <c r="AA70">
        <v>-1.5809962228274799E-8</v>
      </c>
      <c r="AB70">
        <v>1.6153509213843E-5</v>
      </c>
      <c r="AC70">
        <v>720.178934798966</v>
      </c>
      <c r="AD70">
        <v>1999.04921014402</v>
      </c>
      <c r="AE70">
        <v>571.79741735812797</v>
      </c>
      <c r="AF70">
        <v>1.2017890185234101E-6</v>
      </c>
      <c r="AG70">
        <v>1.6239787556377499E-5</v>
      </c>
      <c r="AH70">
        <v>34.491121924463599</v>
      </c>
      <c r="AI70">
        <v>0.24096903654002499</v>
      </c>
      <c r="AJ70">
        <v>34.0830808267539</v>
      </c>
      <c r="AK70">
        <v>6.0441136806122602</v>
      </c>
      <c r="AL70">
        <v>1.30194062706561</v>
      </c>
      <c r="AM70">
        <v>617.97483341704901</v>
      </c>
      <c r="AN70">
        <v>1.79717289938708E-8</v>
      </c>
      <c r="AO70">
        <v>8.6278342534492106E-8</v>
      </c>
      <c r="AP70">
        <v>2.92815542299918</v>
      </c>
      <c r="AQ70">
        <v>3.9011683604514802E-5</v>
      </c>
      <c r="AR70">
        <v>8.1630329494559803E-6</v>
      </c>
      <c r="AS70">
        <v>17.132078288702999</v>
      </c>
      <c r="AT70">
        <v>11.1547631473893</v>
      </c>
      <c r="AU70">
        <v>2.6879525284585699</v>
      </c>
      <c r="AV70">
        <v>0.240202894540606</v>
      </c>
      <c r="AW70">
        <v>1.09717247327927E-2</v>
      </c>
      <c r="AX70">
        <v>0.24020289174072099</v>
      </c>
      <c r="AY70">
        <v>2.7998851570565401E-9</v>
      </c>
      <c r="AZ70">
        <v>964852.16359160398</v>
      </c>
      <c r="BA70">
        <v>1.3322955229117199E-5</v>
      </c>
      <c r="BB70">
        <v>3711477.55755849</v>
      </c>
      <c r="BC70">
        <v>-844.464372762945</v>
      </c>
      <c r="BD70">
        <v>-2.2747605616487698E-2</v>
      </c>
      <c r="BE70">
        <v>2145121.2000000002</v>
      </c>
      <c r="BF70">
        <v>1.7301948055701899</v>
      </c>
      <c r="BG70">
        <v>1</v>
      </c>
      <c r="BH70">
        <v>-0.09</v>
      </c>
      <c r="BI70">
        <v>4.5999999999999999E-2</v>
      </c>
      <c r="BJ70">
        <v>5625</v>
      </c>
      <c r="BK70">
        <v>1</v>
      </c>
      <c r="BL70">
        <v>320.37320398795498</v>
      </c>
      <c r="BM70">
        <v>3.71147755755849</v>
      </c>
      <c r="BN70">
        <v>320.37320398795498</v>
      </c>
      <c r="BO70">
        <v>1</v>
      </c>
      <c r="BP70">
        <v>78609.133514471701</v>
      </c>
      <c r="BQ70">
        <v>1</v>
      </c>
      <c r="BR70">
        <v>0.69596000000000002</v>
      </c>
      <c r="BS70">
        <v>69</v>
      </c>
      <c r="BT70">
        <v>156</v>
      </c>
      <c r="BU70" t="s">
        <v>303</v>
      </c>
      <c r="BV70" t="str">
        <f>"Table "&amp;TRIM(RIGHT(SUBSTITUTE($A70,"_",REPT(" ",50)),50))</f>
        <v>Table 11</v>
      </c>
      <c r="BW70">
        <f>$BR70/$Q70</f>
        <v>365.33333333333337</v>
      </c>
      <c r="BX70" t="str">
        <f>IF($BW70&lt;40,"outside_low",IF($BW70&lt;=100,"short_anchor",IF($BW70&lt;250,"middle",IF($BW70&lt;=400,"long","outside_high"))))</f>
        <v>long</v>
      </c>
      <c r="BY70" t="str">
        <f>IF($N70&gt;1000,"PASS","FAIL")</f>
        <v>PASS</v>
      </c>
      <c r="BZ70" t="str">
        <f>IF(AND($BW70&gt;=40,$BW70&lt;=400),"PASS","FAIL")</f>
        <v>PASS</v>
      </c>
    </row>
    <row r="71" spans="1:78">
      <c r="A71" t="s">
        <v>225</v>
      </c>
      <c r="B71">
        <v>15513203.909628799</v>
      </c>
      <c r="C71">
        <v>617.97483343502097</v>
      </c>
      <c r="D71">
        <v>102.22394330033001</v>
      </c>
      <c r="E71">
        <v>593.997803214295</v>
      </c>
      <c r="F71">
        <v>2595333.5493798102</v>
      </c>
      <c r="G71">
        <v>1630481.38578821</v>
      </c>
      <c r="H71">
        <v>2.3048203873610299E-5</v>
      </c>
      <c r="I71">
        <v>6.8200503236293095E-5</v>
      </c>
      <c r="J71">
        <v>0.471717723289031</v>
      </c>
      <c r="K71">
        <v>9005.0430614720299</v>
      </c>
      <c r="L71">
        <v>4.6429387983550402E-3</v>
      </c>
      <c r="M71">
        <v>156</v>
      </c>
      <c r="N71">
        <v>2454.7763</v>
      </c>
      <c r="O71">
        <v>2.8502295699234199E-6</v>
      </c>
      <c r="P71">
        <v>5.98473400508856E-3</v>
      </c>
      <c r="Q71">
        <v>1.905E-3</v>
      </c>
      <c r="R71">
        <v>0.69596000000000002</v>
      </c>
      <c r="S71">
        <v>4097869.2867187499</v>
      </c>
      <c r="T71">
        <v>297.60162944706502</v>
      </c>
      <c r="U71">
        <v>568.50204821258103</v>
      </c>
      <c r="V71">
        <v>0.03</v>
      </c>
      <c r="W71">
        <v>68567.659028818802</v>
      </c>
      <c r="X71">
        <v>3.2271405788035702E-2</v>
      </c>
      <c r="Y71">
        <v>5.5666133634366899</v>
      </c>
      <c r="Z71">
        <v>5.56661336910736</v>
      </c>
      <c r="AA71">
        <v>-5.6706737083800404E-9</v>
      </c>
      <c r="AB71">
        <v>1.3614675770691901E-5</v>
      </c>
      <c r="AC71">
        <v>720.35473162469395</v>
      </c>
      <c r="AD71">
        <v>2177.47549110504</v>
      </c>
      <c r="AE71">
        <v>568.50204941612901</v>
      </c>
      <c r="AF71">
        <v>1.20354729915562E-6</v>
      </c>
      <c r="AG71">
        <v>1.36976855916805E-5</v>
      </c>
      <c r="AH71">
        <v>40.9229470599644</v>
      </c>
      <c r="AI71">
        <v>0.26247686576124701</v>
      </c>
      <c r="AJ71">
        <v>31.3137791713878</v>
      </c>
      <c r="AK71">
        <v>6.1313277205046299</v>
      </c>
      <c r="AL71">
        <v>1.30194062706561</v>
      </c>
      <c r="AM71">
        <v>617.974833419167</v>
      </c>
      <c r="AN71">
        <v>1.58532884597662E-8</v>
      </c>
      <c r="AO71">
        <v>8.3009820988573406E-8</v>
      </c>
      <c r="AP71">
        <v>3.0673929998221801</v>
      </c>
      <c r="AQ71">
        <v>3.5550367838739201E-5</v>
      </c>
      <c r="AR71">
        <v>6.8903477063345204E-6</v>
      </c>
      <c r="AS71">
        <v>15.7517724469662</v>
      </c>
      <c r="AT71">
        <v>10.7347644762761</v>
      </c>
      <c r="AU71">
        <v>2.8176273344181202</v>
      </c>
      <c r="AV71">
        <v>0.24976566540405901</v>
      </c>
      <c r="AW71">
        <v>9.2473079938719203E-3</v>
      </c>
      <c r="AX71">
        <v>0.249765658242872</v>
      </c>
      <c r="AY71">
        <v>7.1611870877674699E-9</v>
      </c>
      <c r="AZ71">
        <v>964852.16359160398</v>
      </c>
      <c r="BA71">
        <v>1.1589766241495699E-5</v>
      </c>
      <c r="BB71">
        <v>4104879.5169033199</v>
      </c>
      <c r="BC71">
        <v>7010.2301845704196</v>
      </c>
      <c r="BD71">
        <v>0.17107012679225</v>
      </c>
      <c r="BE71">
        <v>2492126.1</v>
      </c>
      <c r="BF71">
        <v>1.64713957167068</v>
      </c>
      <c r="BG71">
        <v>1</v>
      </c>
      <c r="BH71">
        <v>-3.1E-2</v>
      </c>
      <c r="BI71">
        <v>4.5999999999999999E-2</v>
      </c>
      <c r="BJ71">
        <v>5625</v>
      </c>
      <c r="BK71">
        <v>1</v>
      </c>
      <c r="BL71">
        <v>320.37320398795498</v>
      </c>
      <c r="BM71">
        <v>4.1048795169033196</v>
      </c>
      <c r="BN71">
        <v>320.37320398795498</v>
      </c>
      <c r="BO71">
        <v>1</v>
      </c>
      <c r="BP71">
        <v>78609.133514471701</v>
      </c>
      <c r="BQ71">
        <v>1</v>
      </c>
      <c r="BR71">
        <v>0.69596000000000002</v>
      </c>
      <c r="BS71">
        <v>70</v>
      </c>
      <c r="BT71">
        <v>157</v>
      </c>
      <c r="BU71" t="s">
        <v>303</v>
      </c>
      <c r="BV71" t="str">
        <f>"Table "&amp;TRIM(RIGHT(SUBSTITUTE($A71,"_",REPT(" ",50)),50))</f>
        <v>Table 11</v>
      </c>
      <c r="BW71">
        <f>$BR71/$Q71</f>
        <v>365.33333333333337</v>
      </c>
      <c r="BX71" t="str">
        <f>IF($BW71&lt;40,"outside_low",IF($BW71&lt;=100,"short_anchor",IF($BW71&lt;250,"middle",IF($BW71&lt;=400,"long","outside_high"))))</f>
        <v>long</v>
      </c>
      <c r="BY71" t="str">
        <f>IF($N71&gt;1000,"PASS","FAIL")</f>
        <v>PASS</v>
      </c>
      <c r="BZ71" t="str">
        <f>IF(AND($BW71&gt;=40,$BW71&lt;=400),"PASS","FAIL")</f>
        <v>PASS</v>
      </c>
    </row>
    <row r="72" spans="1:78">
      <c r="A72" t="s">
        <v>226</v>
      </c>
      <c r="B72">
        <v>15513203.909628799</v>
      </c>
      <c r="C72">
        <v>617.97483343502097</v>
      </c>
      <c r="D72">
        <v>102.22394330033001</v>
      </c>
      <c r="E72">
        <v>593.997803214295</v>
      </c>
      <c r="F72">
        <v>2595333.5493798102</v>
      </c>
      <c r="G72">
        <v>1630481.38578821</v>
      </c>
      <c r="H72">
        <v>2.3048203873610299E-5</v>
      </c>
      <c r="I72">
        <v>6.8200503236293095E-5</v>
      </c>
      <c r="J72">
        <v>0.471717723289031</v>
      </c>
      <c r="K72">
        <v>9005.0430614720299</v>
      </c>
      <c r="L72">
        <v>4.6429387983550402E-3</v>
      </c>
      <c r="M72">
        <v>157</v>
      </c>
      <c r="N72">
        <v>2495.4632000000001</v>
      </c>
      <c r="O72">
        <v>2.8502295699234199E-6</v>
      </c>
      <c r="P72">
        <v>5.98473400508856E-3</v>
      </c>
      <c r="Q72">
        <v>1.905E-3</v>
      </c>
      <c r="R72">
        <v>0.69596000000000002</v>
      </c>
      <c r="S72">
        <v>4136705.8414062499</v>
      </c>
      <c r="T72">
        <v>299.28719429629098</v>
      </c>
      <c r="U72">
        <v>568.296291261031</v>
      </c>
      <c r="V72">
        <v>0.03</v>
      </c>
      <c r="W72">
        <v>69704.139565208097</v>
      </c>
      <c r="X72">
        <v>3.2032461781834103E-2</v>
      </c>
      <c r="Y72">
        <v>5.5873366792250403</v>
      </c>
      <c r="Z72">
        <v>5.5873367167956198</v>
      </c>
      <c r="AA72">
        <v>-3.7570576871814898E-8</v>
      </c>
      <c r="AB72">
        <v>1.32726112596687E-5</v>
      </c>
      <c r="AC72">
        <v>719.77887078297999</v>
      </c>
      <c r="AD72">
        <v>2205.3561738366702</v>
      </c>
      <c r="AE72">
        <v>568.29629245881995</v>
      </c>
      <c r="AF72">
        <v>1.1977886060776699E-6</v>
      </c>
      <c r="AG72">
        <v>1.33542466937159E-5</v>
      </c>
      <c r="AH72">
        <v>41.977621803451598</v>
      </c>
      <c r="AI72">
        <v>0.26583765409093302</v>
      </c>
      <c r="AJ72">
        <v>30.9195489689494</v>
      </c>
      <c r="AK72">
        <v>6.10842758857431</v>
      </c>
      <c r="AL72">
        <v>1.30194062706561</v>
      </c>
      <c r="AM72">
        <v>617.97483343217198</v>
      </c>
      <c r="AN72">
        <v>2.8489921533037002E-9</v>
      </c>
      <c r="AO72">
        <v>8.1635434047215895E-8</v>
      </c>
      <c r="AP72">
        <v>3.0881940792648099</v>
      </c>
      <c r="AQ72">
        <v>3.5073069108794399E-5</v>
      </c>
      <c r="AR72">
        <v>6.7179410638815403E-6</v>
      </c>
      <c r="AS72">
        <v>15.554281155592699</v>
      </c>
      <c r="AT72">
        <v>10.671679581025501</v>
      </c>
      <c r="AU72">
        <v>2.8369342650299201</v>
      </c>
      <c r="AV72">
        <v>0.25125981423489302</v>
      </c>
      <c r="AW72">
        <v>9.0149722452664005E-3</v>
      </c>
      <c r="AX72">
        <v>0.25125980875417397</v>
      </c>
      <c r="AY72">
        <v>5.4807194338479803E-9</v>
      </c>
      <c r="AZ72">
        <v>964852.16359160398</v>
      </c>
      <c r="BA72">
        <v>1.1357145376415001E-5</v>
      </c>
      <c r="BB72">
        <v>4119600.8121533399</v>
      </c>
      <c r="BC72">
        <v>-17105.029252910499</v>
      </c>
      <c r="BD72">
        <v>-0.41349397101670099</v>
      </c>
      <c r="BE72">
        <v>2429034.2999999998</v>
      </c>
      <c r="BF72">
        <v>1.6959829723908499</v>
      </c>
      <c r="BG72">
        <v>1</v>
      </c>
      <c r="BH72">
        <v>-8.6999999999999994E-2</v>
      </c>
      <c r="BI72">
        <v>4.5999999999999999E-2</v>
      </c>
      <c r="BJ72">
        <v>5625</v>
      </c>
      <c r="BK72">
        <v>1</v>
      </c>
      <c r="BL72">
        <v>318.68763913872999</v>
      </c>
      <c r="BM72">
        <v>4.1196008121533403</v>
      </c>
      <c r="BN72">
        <v>318.68763913872999</v>
      </c>
      <c r="BO72">
        <v>1</v>
      </c>
      <c r="BP72">
        <v>77666.800208718705</v>
      </c>
      <c r="BQ72">
        <v>1</v>
      </c>
      <c r="BR72">
        <v>0.69596000000000002</v>
      </c>
      <c r="BS72">
        <v>71</v>
      </c>
      <c r="BT72">
        <v>158</v>
      </c>
      <c r="BU72" t="s">
        <v>303</v>
      </c>
      <c r="BV72" t="str">
        <f>"Table "&amp;TRIM(RIGHT(SUBSTITUTE($A72,"_",REPT(" ",50)),50))</f>
        <v>Table 11</v>
      </c>
      <c r="BW72">
        <f>$BR72/$Q72</f>
        <v>365.33333333333337</v>
      </c>
      <c r="BX72" t="str">
        <f>IF($BW72&lt;40,"outside_low",IF($BW72&lt;=100,"short_anchor",IF($BW72&lt;250,"middle",IF($BW72&lt;=400,"long","outside_high"))))</f>
        <v>long</v>
      </c>
      <c r="BY72" t="str">
        <f>IF($N72&gt;1000,"PASS","FAIL")</f>
        <v>PASS</v>
      </c>
      <c r="BZ72" t="str">
        <f>IF(AND($BW72&gt;=40,$BW72&lt;=400),"PASS","FAIL")</f>
        <v>PASS</v>
      </c>
    </row>
    <row r="73" spans="1:78">
      <c r="A73" t="s">
        <v>227</v>
      </c>
      <c r="B73">
        <v>15513203.909628799</v>
      </c>
      <c r="C73">
        <v>617.97483343502097</v>
      </c>
      <c r="D73">
        <v>102.22394330033001</v>
      </c>
      <c r="E73">
        <v>593.997803214295</v>
      </c>
      <c r="F73">
        <v>2595333.5493798102</v>
      </c>
      <c r="G73">
        <v>1630481.38578821</v>
      </c>
      <c r="H73">
        <v>2.3048203873610299E-5</v>
      </c>
      <c r="I73">
        <v>6.8200503236293095E-5</v>
      </c>
      <c r="J73">
        <v>0.471717723289031</v>
      </c>
      <c r="K73">
        <v>9005.0430614720299</v>
      </c>
      <c r="L73">
        <v>4.6429387983550402E-3</v>
      </c>
      <c r="M73">
        <v>158</v>
      </c>
      <c r="N73">
        <v>3065.0798</v>
      </c>
      <c r="O73">
        <v>2.8502295699234199E-6</v>
      </c>
      <c r="P73">
        <v>5.98473400508856E-3</v>
      </c>
      <c r="Q73">
        <v>1.905E-3</v>
      </c>
      <c r="R73">
        <v>0.69596000000000002</v>
      </c>
      <c r="S73">
        <v>4954920.55078125</v>
      </c>
      <c r="T73">
        <v>297.60162944706502</v>
      </c>
      <c r="U73">
        <v>559.93793981014801</v>
      </c>
      <c r="V73">
        <v>0.03</v>
      </c>
      <c r="W73">
        <v>85614.867074657697</v>
      </c>
      <c r="X73">
        <v>2.92516122202446E-2</v>
      </c>
      <c r="Y73">
        <v>5.84689232788807</v>
      </c>
      <c r="Z73">
        <v>5.8468923760100697</v>
      </c>
      <c r="AA73">
        <v>-4.8121992612948401E-8</v>
      </c>
      <c r="AB73">
        <v>9.6341998605828001E-6</v>
      </c>
      <c r="AC73">
        <v>717.52337276572803</v>
      </c>
      <c r="AD73">
        <v>2588.5055549133999</v>
      </c>
      <c r="AE73">
        <v>559.93794098538206</v>
      </c>
      <c r="AF73">
        <v>1.1752337059078899E-6</v>
      </c>
      <c r="AG73">
        <v>9.7108609667429797E-6</v>
      </c>
      <c r="AH73">
        <v>57.830713901019401</v>
      </c>
      <c r="AI73">
        <v>0.31202317905973298</v>
      </c>
      <c r="AJ73">
        <v>26.390149664468201</v>
      </c>
      <c r="AK73">
        <v>6.2522339767117003</v>
      </c>
      <c r="AL73">
        <v>1.30194062706561</v>
      </c>
      <c r="AM73">
        <v>617.97483343534202</v>
      </c>
      <c r="AN73">
        <v>-3.2162006391445201E-10</v>
      </c>
      <c r="AO73">
        <v>7.6661106160181304E-8</v>
      </c>
      <c r="AP73">
        <v>3.35676885825939</v>
      </c>
      <c r="AQ73">
        <v>2.9685206069352799E-5</v>
      </c>
      <c r="AR73">
        <v>4.8937610364515797E-6</v>
      </c>
      <c r="AS73">
        <v>13.299241603437</v>
      </c>
      <c r="AT73">
        <v>9.88853505651951</v>
      </c>
      <c r="AU73">
        <v>3.0854521445788299</v>
      </c>
      <c r="AV73">
        <v>0.27131671368055699</v>
      </c>
      <c r="AW73">
        <v>6.5437043735636097E-3</v>
      </c>
      <c r="AX73">
        <v>0.27131670551443898</v>
      </c>
      <c r="AY73">
        <v>8.1661179485159607E-9</v>
      </c>
      <c r="AZ73">
        <v>964852.16359160398</v>
      </c>
      <c r="BA73">
        <v>8.8433869958939402E-6</v>
      </c>
      <c r="BB73">
        <v>4968234.2536733299</v>
      </c>
      <c r="BC73">
        <v>13313.7028920799</v>
      </c>
      <c r="BD73">
        <v>0.26869659675937202</v>
      </c>
      <c r="BE73">
        <v>2996860.5</v>
      </c>
      <c r="BF73">
        <v>1.6578129858474699</v>
      </c>
      <c r="BG73">
        <v>1</v>
      </c>
      <c r="BH73">
        <v>-8.7999999999999995E-2</v>
      </c>
      <c r="BI73">
        <v>4.5999999999999999E-2</v>
      </c>
      <c r="BJ73">
        <v>5625</v>
      </c>
      <c r="BK73">
        <v>1</v>
      </c>
      <c r="BL73">
        <v>320.37320398795498</v>
      </c>
      <c r="BM73">
        <v>4.9682342536733302</v>
      </c>
      <c r="BN73">
        <v>320.37320398795498</v>
      </c>
      <c r="BO73">
        <v>1</v>
      </c>
      <c r="BP73">
        <v>78609.133514471701</v>
      </c>
      <c r="BQ73">
        <v>1</v>
      </c>
      <c r="BR73">
        <v>0.69596000000000002</v>
      </c>
      <c r="BS73">
        <v>72</v>
      </c>
      <c r="BT73">
        <v>159</v>
      </c>
      <c r="BU73" t="s">
        <v>303</v>
      </c>
      <c r="BV73" t="str">
        <f>"Table "&amp;TRIM(RIGHT(SUBSTITUTE($A73,"_",REPT(" ",50)),50))</f>
        <v>Table 11</v>
      </c>
      <c r="BW73">
        <f>$BR73/$Q73</f>
        <v>365.33333333333337</v>
      </c>
      <c r="BX73" t="str">
        <f>IF($BW73&lt;40,"outside_low",IF($BW73&lt;=100,"short_anchor",IF($BW73&lt;250,"middle",IF($BW73&lt;=400,"long","outside_high"))))</f>
        <v>long</v>
      </c>
      <c r="BY73" t="str">
        <f>IF($N73&gt;1000,"PASS","FAIL")</f>
        <v>PASS</v>
      </c>
      <c r="BZ73" t="str">
        <f>IF(AND($BW73&gt;=40,$BW73&lt;=400),"PASS","FAIL")</f>
        <v>PASS</v>
      </c>
    </row>
    <row r="74" spans="1:78">
      <c r="A74" t="s">
        <v>228</v>
      </c>
      <c r="B74">
        <v>15513203.909628799</v>
      </c>
      <c r="C74">
        <v>617.97483343502097</v>
      </c>
      <c r="D74">
        <v>102.22394330033001</v>
      </c>
      <c r="E74">
        <v>593.997803214295</v>
      </c>
      <c r="F74">
        <v>2595333.5493798102</v>
      </c>
      <c r="G74">
        <v>1630481.38578821</v>
      </c>
      <c r="H74">
        <v>2.3048203873610299E-5</v>
      </c>
      <c r="I74">
        <v>6.8200503236293095E-5</v>
      </c>
      <c r="J74">
        <v>0.471717723289031</v>
      </c>
      <c r="K74">
        <v>9005.0430614720299</v>
      </c>
      <c r="L74">
        <v>4.6429387983550402E-3</v>
      </c>
      <c r="M74">
        <v>159</v>
      </c>
      <c r="N74">
        <v>3173.5781999999999</v>
      </c>
      <c r="O74">
        <v>2.8502295699234199E-6</v>
      </c>
      <c r="P74">
        <v>5.98473400508856E-3</v>
      </c>
      <c r="Q74">
        <v>1.905E-3</v>
      </c>
      <c r="R74">
        <v>0.69596000000000002</v>
      </c>
      <c r="S74">
        <v>5110644.04296875</v>
      </c>
      <c r="T74">
        <v>297.03976193416099</v>
      </c>
      <c r="U74">
        <v>558.37015757476195</v>
      </c>
      <c r="V74">
        <v>0.03</v>
      </c>
      <c r="W74">
        <v>88645.481838362393</v>
      </c>
      <c r="X74">
        <v>2.8816656506257102E-2</v>
      </c>
      <c r="Y74">
        <v>5.8908532659419297</v>
      </c>
      <c r="Z74">
        <v>5.8908532754526899</v>
      </c>
      <c r="AA74">
        <v>-9.5107628439450293E-9</v>
      </c>
      <c r="AB74">
        <v>9.1223563377912495E-6</v>
      </c>
      <c r="AC74">
        <v>717.06123854595205</v>
      </c>
      <c r="AD74">
        <v>2660.13336692034</v>
      </c>
      <c r="AE74">
        <v>558.37015874537406</v>
      </c>
      <c r="AF74">
        <v>1.1706123359545001E-6</v>
      </c>
      <c r="AG74">
        <v>9.1977920845103E-6</v>
      </c>
      <c r="AH74">
        <v>61.075519873575303</v>
      </c>
      <c r="AI74">
        <v>0.32065732611384001</v>
      </c>
      <c r="AJ74">
        <v>25.687510368505599</v>
      </c>
      <c r="AK74">
        <v>6.2788993110418003</v>
      </c>
      <c r="AL74">
        <v>1.30194062706561</v>
      </c>
      <c r="AM74">
        <v>617.97483342798398</v>
      </c>
      <c r="AN74">
        <v>7.0365331339417001E-9</v>
      </c>
      <c r="AO74">
        <v>7.5435746719053899E-8</v>
      </c>
      <c r="AP74">
        <v>3.4030833130258</v>
      </c>
      <c r="AQ74">
        <v>2.8882699383155101E-5</v>
      </c>
      <c r="AR74">
        <v>4.6366139156146803E-6</v>
      </c>
      <c r="AS74">
        <v>12.949093319111601</v>
      </c>
      <c r="AT74">
        <v>9.7551288586311706</v>
      </c>
      <c r="AU74">
        <v>3.12805353570463</v>
      </c>
      <c r="AV74">
        <v>0.27502977732117201</v>
      </c>
      <c r="AW74">
        <v>6.1960519740763701E-3</v>
      </c>
      <c r="AX74">
        <v>0.27502976666002898</v>
      </c>
      <c r="AY74">
        <v>1.0661143134971201E-8</v>
      </c>
      <c r="AZ74">
        <v>964852.16359160398</v>
      </c>
      <c r="BA74">
        <v>8.4872148949755006E-6</v>
      </c>
      <c r="BB74">
        <v>5093984.3804122098</v>
      </c>
      <c r="BC74">
        <v>-16659.662556536499</v>
      </c>
      <c r="BD74">
        <v>-0.32597970855467701</v>
      </c>
      <c r="BE74">
        <v>3091498.2</v>
      </c>
      <c r="BF74">
        <v>1.6477397206352</v>
      </c>
      <c r="BG74">
        <v>1</v>
      </c>
      <c r="BH74">
        <v>-9.6000000000000002E-2</v>
      </c>
      <c r="BI74">
        <v>4.5999999999999999E-2</v>
      </c>
      <c r="BJ74">
        <v>5625</v>
      </c>
      <c r="BK74">
        <v>1</v>
      </c>
      <c r="BL74">
        <v>320.93507150085998</v>
      </c>
      <c r="BM74">
        <v>5.09398438041221</v>
      </c>
      <c r="BN74">
        <v>320.93507150085998</v>
      </c>
      <c r="BO74">
        <v>1</v>
      </c>
      <c r="BP74">
        <v>78924.514399193096</v>
      </c>
      <c r="BQ74">
        <v>1</v>
      </c>
      <c r="BR74">
        <v>0.69596000000000002</v>
      </c>
      <c r="BS74">
        <v>73</v>
      </c>
      <c r="BT74">
        <v>160</v>
      </c>
      <c r="BU74" t="s">
        <v>303</v>
      </c>
      <c r="BV74" t="str">
        <f>"Table "&amp;TRIM(RIGHT(SUBSTITUTE($A74,"_",REPT(" ",50)),50))</f>
        <v>Table 11</v>
      </c>
      <c r="BW74">
        <f>$BR74/$Q74</f>
        <v>365.33333333333337</v>
      </c>
      <c r="BX74" t="str">
        <f>IF($BW74&lt;40,"outside_low",IF($BW74&lt;=100,"short_anchor",IF($BW74&lt;250,"middle",IF($BW74&lt;=400,"long","outside_high"))))</f>
        <v>long</v>
      </c>
      <c r="BY74" t="str">
        <f>IF($N74&gt;1000,"PASS","FAIL")</f>
        <v>PASS</v>
      </c>
      <c r="BZ74" t="str">
        <f>IF(AND($BW74&gt;=40,$BW74&lt;=400),"PASS","FAIL")</f>
        <v>PASS</v>
      </c>
    </row>
    <row r="75" spans="1:78">
      <c r="A75" t="s">
        <v>229</v>
      </c>
      <c r="B75">
        <v>15513203.909628799</v>
      </c>
      <c r="C75">
        <v>617.97483343502097</v>
      </c>
      <c r="D75">
        <v>102.22394330033001</v>
      </c>
      <c r="E75">
        <v>593.997803214295</v>
      </c>
      <c r="F75">
        <v>2595333.5493798102</v>
      </c>
      <c r="G75">
        <v>1630481.38578821</v>
      </c>
      <c r="H75">
        <v>2.3048203873610299E-5</v>
      </c>
      <c r="I75">
        <v>6.8200503236293095E-5</v>
      </c>
      <c r="J75">
        <v>0.471717723289031</v>
      </c>
      <c r="K75">
        <v>9005.0430614720299</v>
      </c>
      <c r="L75">
        <v>4.6429387983550402E-3</v>
      </c>
      <c r="M75">
        <v>160</v>
      </c>
      <c r="N75">
        <v>3688.9456</v>
      </c>
      <c r="O75">
        <v>2.8502295699234199E-6</v>
      </c>
      <c r="P75">
        <v>5.98473400508856E-3</v>
      </c>
      <c r="Q75">
        <v>1.905E-3</v>
      </c>
      <c r="R75">
        <v>0.69596000000000002</v>
      </c>
      <c r="S75">
        <v>5747924.19921875</v>
      </c>
      <c r="T75">
        <v>299.79285116759797</v>
      </c>
      <c r="U75">
        <v>552.64827756438501</v>
      </c>
      <c r="V75">
        <v>0.03</v>
      </c>
      <c r="W75">
        <v>103040.90196596</v>
      </c>
      <c r="X75">
        <v>2.7042139441522301E-2</v>
      </c>
      <c r="Y75">
        <v>6.0810626264231198</v>
      </c>
      <c r="Z75">
        <v>6.0810626347094399</v>
      </c>
      <c r="AA75">
        <v>-8.2863165218327595E-9</v>
      </c>
      <c r="AB75">
        <v>7.1945474511830199E-6</v>
      </c>
      <c r="AC75">
        <v>713.16603775011504</v>
      </c>
      <c r="AD75">
        <v>2995.4024894891299</v>
      </c>
      <c r="AE75">
        <v>552.64827869604505</v>
      </c>
      <c r="AF75">
        <v>1.13166015580646E-6</v>
      </c>
      <c r="AG75">
        <v>7.2656645744083997E-6</v>
      </c>
      <c r="AH75">
        <v>77.440959224056598</v>
      </c>
      <c r="AI75">
        <v>0.36107127742482398</v>
      </c>
      <c r="AJ75">
        <v>22.848913127533699</v>
      </c>
      <c r="AK75">
        <v>6.2766619225739904</v>
      </c>
      <c r="AL75">
        <v>1.30194062706561</v>
      </c>
      <c r="AM75">
        <v>617.97483340516396</v>
      </c>
      <c r="AN75">
        <v>2.9856778382964E-8</v>
      </c>
      <c r="AO75">
        <v>7.1117123225373905E-8</v>
      </c>
      <c r="AP75">
        <v>3.6059926570815799</v>
      </c>
      <c r="AQ75">
        <v>2.57236899834145E-5</v>
      </c>
      <c r="AR75">
        <v>3.66839084881688E-6</v>
      </c>
      <c r="AS75">
        <v>11.5362803999635</v>
      </c>
      <c r="AT75">
        <v>9.1774844338137704</v>
      </c>
      <c r="AU75">
        <v>3.3137260280635701</v>
      </c>
      <c r="AV75">
        <v>0.29226662901800399</v>
      </c>
      <c r="AW75">
        <v>4.8866529969692103E-3</v>
      </c>
      <c r="AX75">
        <v>0.29226662161707001</v>
      </c>
      <c r="AY75">
        <v>7.4009345318870601E-9</v>
      </c>
      <c r="AZ75">
        <v>964852.16359160398</v>
      </c>
      <c r="BA75">
        <v>7.13359466578429E-6</v>
      </c>
      <c r="BB75">
        <v>5713620.1645578695</v>
      </c>
      <c r="BC75">
        <v>-34304.0346608814</v>
      </c>
      <c r="BD75">
        <v>-0.59680735987339495</v>
      </c>
      <c r="BE75">
        <v>3523677.03</v>
      </c>
      <c r="BF75">
        <v>1.62149371690795</v>
      </c>
      <c r="BG75">
        <v>1</v>
      </c>
      <c r="BH75">
        <v>-4.3999999999999997E-2</v>
      </c>
      <c r="BI75">
        <v>4.5999999999999999E-2</v>
      </c>
      <c r="BJ75">
        <v>5625</v>
      </c>
      <c r="BK75">
        <v>1</v>
      </c>
      <c r="BL75">
        <v>318.181982267423</v>
      </c>
      <c r="BM75">
        <v>5.7136201645578701</v>
      </c>
      <c r="BN75">
        <v>318.181982267423</v>
      </c>
      <c r="BO75">
        <v>1</v>
      </c>
      <c r="BP75">
        <v>77385.215258232594</v>
      </c>
      <c r="BQ75">
        <v>1</v>
      </c>
      <c r="BR75">
        <v>0.69596000000000002</v>
      </c>
      <c r="BS75">
        <v>74</v>
      </c>
      <c r="BT75">
        <v>161</v>
      </c>
      <c r="BU75" t="s">
        <v>303</v>
      </c>
      <c r="BV75" t="str">
        <f>"Table "&amp;TRIM(RIGHT(SUBSTITUTE($A75,"_",REPT(" ",50)),50))</f>
        <v>Table 11</v>
      </c>
      <c r="BW75">
        <f>$BR75/$Q75</f>
        <v>365.33333333333337</v>
      </c>
      <c r="BX75" t="str">
        <f>IF($BW75&lt;40,"outside_low",IF($BW75&lt;=100,"short_anchor",IF($BW75&lt;250,"middle",IF($BW75&lt;=400,"long","outside_high"))))</f>
        <v>long</v>
      </c>
      <c r="BY75" t="str">
        <f>IF($N75&gt;1000,"PASS","FAIL")</f>
        <v>PASS</v>
      </c>
      <c r="BZ75" t="str">
        <f>IF(AND($BW75&gt;=40,$BW75&lt;=400),"PASS","FAIL")</f>
        <v>PASS</v>
      </c>
    </row>
    <row r="76" spans="1:78">
      <c r="A76" t="s">
        <v>230</v>
      </c>
      <c r="B76">
        <v>15513203.909628799</v>
      </c>
      <c r="C76">
        <v>617.97483343502097</v>
      </c>
      <c r="D76">
        <v>102.22394330033001</v>
      </c>
      <c r="E76">
        <v>593.997803214295</v>
      </c>
      <c r="F76">
        <v>2595333.5493798102</v>
      </c>
      <c r="G76">
        <v>1630481.38578821</v>
      </c>
      <c r="H76">
        <v>2.3048203873610299E-5</v>
      </c>
      <c r="I76">
        <v>6.8200503236293095E-5</v>
      </c>
      <c r="J76">
        <v>0.471717723289031</v>
      </c>
      <c r="K76">
        <v>9005.0430614720299</v>
      </c>
      <c r="L76">
        <v>4.6429387983550402E-3</v>
      </c>
      <c r="M76">
        <v>161</v>
      </c>
      <c r="N76">
        <v>3743.1948000000002</v>
      </c>
      <c r="O76">
        <v>2.8502295699234199E-6</v>
      </c>
      <c r="P76">
        <v>5.98473400508856E-3</v>
      </c>
      <c r="Q76">
        <v>1.905E-3</v>
      </c>
      <c r="R76">
        <v>0.69596000000000002</v>
      </c>
      <c r="S76">
        <v>5818430.76171875</v>
      </c>
      <c r="T76">
        <v>299.79285116759797</v>
      </c>
      <c r="U76">
        <v>552.04039063001903</v>
      </c>
      <c r="V76">
        <v>0.03</v>
      </c>
      <c r="W76">
        <v>104556.20934781199</v>
      </c>
      <c r="X76">
        <v>2.6878779410128499E-2</v>
      </c>
      <c r="Y76">
        <v>6.0995139434554897</v>
      </c>
      <c r="Z76">
        <v>6.0995139494937103</v>
      </c>
      <c r="AA76">
        <v>-6.0382214783771798E-9</v>
      </c>
      <c r="AB76">
        <v>7.0299887495018698E-6</v>
      </c>
      <c r="AC76">
        <v>712.86880973518805</v>
      </c>
      <c r="AD76">
        <v>3030.2580390165499</v>
      </c>
      <c r="AE76">
        <v>552.04039175870696</v>
      </c>
      <c r="AF76">
        <v>1.1286879271210601E-6</v>
      </c>
      <c r="AG76">
        <v>7.1016910830762296E-6</v>
      </c>
      <c r="AH76">
        <v>79.253705184390796</v>
      </c>
      <c r="AI76">
        <v>0.36527282891494101</v>
      </c>
      <c r="AJ76">
        <v>22.593130178586801</v>
      </c>
      <c r="AK76">
        <v>6.28163167424003</v>
      </c>
      <c r="AL76">
        <v>1.30194062706561</v>
      </c>
      <c r="AM76">
        <v>617.97483335695802</v>
      </c>
      <c r="AN76">
        <v>7.8062385000521304E-8</v>
      </c>
      <c r="AO76">
        <v>7.1702333574359905E-8</v>
      </c>
      <c r="AP76">
        <v>3.6262950232636801</v>
      </c>
      <c r="AQ76">
        <v>2.5436460280853899E-5</v>
      </c>
      <c r="AR76">
        <v>3.5866967083252901E-6</v>
      </c>
      <c r="AS76">
        <v>11.4106210329837</v>
      </c>
      <c r="AT76">
        <v>9.1227229561285608</v>
      </c>
      <c r="AU76">
        <v>3.3322828215923499</v>
      </c>
      <c r="AV76">
        <v>0.29401220167133402</v>
      </c>
      <c r="AW76">
        <v>4.7748820651345204E-3</v>
      </c>
      <c r="AX76">
        <v>0.29401219826097202</v>
      </c>
      <c r="AY76">
        <v>3.41036227036184E-9</v>
      </c>
      <c r="AZ76">
        <v>964852.16359160398</v>
      </c>
      <c r="BA76">
        <v>7.0144486639040698E-6</v>
      </c>
      <c r="BB76">
        <v>5858485.5475920299</v>
      </c>
      <c r="BC76">
        <v>40054.785873280802</v>
      </c>
      <c r="BD76">
        <v>0.68841217698788504</v>
      </c>
      <c r="BE76">
        <v>3722416.2</v>
      </c>
      <c r="BF76">
        <v>1.57383947222023</v>
      </c>
      <c r="BG76">
        <v>1</v>
      </c>
      <c r="BH76">
        <v>-0.06</v>
      </c>
      <c r="BI76">
        <v>4.5999999999999999E-2</v>
      </c>
      <c r="BJ76">
        <v>5625</v>
      </c>
      <c r="BK76">
        <v>1</v>
      </c>
      <c r="BL76">
        <v>318.181982267423</v>
      </c>
      <c r="BM76">
        <v>5.8584855475920303</v>
      </c>
      <c r="BN76">
        <v>318.181982267423</v>
      </c>
      <c r="BO76">
        <v>1</v>
      </c>
      <c r="BP76">
        <v>77385.215258232594</v>
      </c>
      <c r="BQ76">
        <v>1</v>
      </c>
      <c r="BR76">
        <v>0.69596000000000002</v>
      </c>
      <c r="BS76">
        <v>75</v>
      </c>
      <c r="BT76">
        <v>162</v>
      </c>
      <c r="BU76" t="s">
        <v>303</v>
      </c>
      <c r="BV76" t="str">
        <f>"Table "&amp;TRIM(RIGHT(SUBSTITUTE($A76,"_",REPT(" ",50)),50))</f>
        <v>Table 11</v>
      </c>
      <c r="BW76">
        <f>$BR76/$Q76</f>
        <v>365.33333333333337</v>
      </c>
      <c r="BX76" t="str">
        <f>IF($BW76&lt;40,"outside_low",IF($BW76&lt;=100,"short_anchor",IF($BW76&lt;250,"middle",IF($BW76&lt;=400,"long","outside_high"))))</f>
        <v>long</v>
      </c>
      <c r="BY76" t="str">
        <f>IF($N76&gt;1000,"PASS","FAIL")</f>
        <v>PASS</v>
      </c>
      <c r="BZ76" t="str">
        <f>IF(AND($BW76&gt;=40,$BW76&lt;=400),"PASS","FAIL")</f>
        <v>PASS</v>
      </c>
    </row>
    <row r="77" spans="1:78">
      <c r="A77" t="s">
        <v>231</v>
      </c>
      <c r="B77">
        <v>15513203.909628799</v>
      </c>
      <c r="C77">
        <v>617.97483343502097</v>
      </c>
      <c r="D77">
        <v>102.22394330033001</v>
      </c>
      <c r="E77">
        <v>593.997803214295</v>
      </c>
      <c r="F77">
        <v>2595333.5493798102</v>
      </c>
      <c r="G77">
        <v>1630481.38578821</v>
      </c>
      <c r="H77">
        <v>2.3048203873610299E-5</v>
      </c>
      <c r="I77">
        <v>6.8200503236293095E-5</v>
      </c>
      <c r="J77">
        <v>0.471717723289031</v>
      </c>
      <c r="K77">
        <v>9005.0430614720299</v>
      </c>
      <c r="L77">
        <v>4.6429387983550402E-3</v>
      </c>
      <c r="M77">
        <v>162</v>
      </c>
      <c r="N77">
        <v>3878.8177999999998</v>
      </c>
      <c r="O77">
        <v>2.8502295699234199E-6</v>
      </c>
      <c r="P77">
        <v>5.98473400508856E-3</v>
      </c>
      <c r="Q77">
        <v>1.905E-3</v>
      </c>
      <c r="R77">
        <v>0.69596000000000002</v>
      </c>
      <c r="S77">
        <v>5983178.7109375</v>
      </c>
      <c r="T77">
        <v>300.35468451217503</v>
      </c>
      <c r="U77">
        <v>550.67499673512805</v>
      </c>
      <c r="V77">
        <v>0.03</v>
      </c>
      <c r="W77">
        <v>108344.477802443</v>
      </c>
      <c r="X77">
        <v>2.6486711415857098E-2</v>
      </c>
      <c r="Y77">
        <v>6.1444919577194002</v>
      </c>
      <c r="Z77">
        <v>6.14449198407703</v>
      </c>
      <c r="AA77">
        <v>-2.6357624527406599E-8</v>
      </c>
      <c r="AB77">
        <v>6.6438869072487296E-6</v>
      </c>
      <c r="AC77">
        <v>711.93507646885996</v>
      </c>
      <c r="AD77">
        <v>3117.0646607314402</v>
      </c>
      <c r="AE77">
        <v>550.67499673512805</v>
      </c>
      <c r="AF77">
        <v>0</v>
      </c>
      <c r="AG77">
        <v>6.7140034023537403E-6</v>
      </c>
      <c r="AH77">
        <v>83.859443061068802</v>
      </c>
      <c r="AI77">
        <v>0.37573665736587902</v>
      </c>
      <c r="AJ77">
        <v>21.971635419955401</v>
      </c>
      <c r="AK77">
        <v>6.2809935031933799</v>
      </c>
      <c r="AL77">
        <v>1.30194062706561</v>
      </c>
      <c r="AM77">
        <v>617.97483348010803</v>
      </c>
      <c r="AN77">
        <v>-4.5087404032528899E-8</v>
      </c>
      <c r="AO77">
        <v>7.01164951050175E-8</v>
      </c>
      <c r="AP77">
        <v>3.67445400065905</v>
      </c>
      <c r="AQ77">
        <v>2.4774067301422899E-5</v>
      </c>
      <c r="AR77">
        <v>3.3920599487293801E-6</v>
      </c>
      <c r="AS77">
        <v>11.1005461346634</v>
      </c>
      <c r="AT77">
        <v>8.9849715421448408</v>
      </c>
      <c r="AU77">
        <v>3.3759831737730499</v>
      </c>
      <c r="AV77">
        <v>0.29847082688600601</v>
      </c>
      <c r="AW77">
        <v>4.5126354488763502E-3</v>
      </c>
      <c r="AX77">
        <v>0.298470812330007</v>
      </c>
      <c r="AY77">
        <v>1.45559994613187E-8</v>
      </c>
      <c r="AZ77">
        <v>964852.16359160398</v>
      </c>
      <c r="BA77">
        <v>6.7422445067973103E-6</v>
      </c>
      <c r="BB77">
        <v>5960206.60978912</v>
      </c>
      <c r="BC77">
        <v>-22972.101148375299</v>
      </c>
      <c r="BD77">
        <v>-0.383944760105215</v>
      </c>
      <c r="BE77">
        <v>3753962.1</v>
      </c>
      <c r="BF77">
        <v>1.58771091743018</v>
      </c>
      <c r="BG77">
        <v>1</v>
      </c>
      <c r="BH77">
        <v>-0.105</v>
      </c>
      <c r="BI77">
        <v>4.5999999999999999E-2</v>
      </c>
      <c r="BJ77">
        <v>5625</v>
      </c>
      <c r="BK77">
        <v>1</v>
      </c>
      <c r="BL77">
        <v>317.62014892284498</v>
      </c>
      <c r="BM77">
        <v>5.96020660978912</v>
      </c>
      <c r="BN77">
        <v>317.62014892284498</v>
      </c>
      <c r="BO77">
        <v>1</v>
      </c>
      <c r="BP77">
        <v>77072.947087942899</v>
      </c>
      <c r="BQ77">
        <v>1</v>
      </c>
      <c r="BR77">
        <v>0.69596000000000002</v>
      </c>
      <c r="BS77">
        <v>76</v>
      </c>
      <c r="BT77">
        <v>163</v>
      </c>
      <c r="BU77" t="s">
        <v>303</v>
      </c>
      <c r="BV77" t="str">
        <f>"Table "&amp;TRIM(RIGHT(SUBSTITUTE($A77,"_",REPT(" ",50)),50))</f>
        <v>Table 11</v>
      </c>
      <c r="BW77">
        <f>$BR77/$Q77</f>
        <v>365.33333333333337</v>
      </c>
      <c r="BX77" t="str">
        <f>IF($BW77&lt;40,"outside_low",IF($BW77&lt;=100,"short_anchor",IF($BW77&lt;250,"middle",IF($BW77&lt;=400,"long","outside_high"))))</f>
        <v>long</v>
      </c>
      <c r="BY77" t="str">
        <f>IF($N77&gt;1000,"PASS","FAIL")</f>
        <v>PASS</v>
      </c>
      <c r="BZ77" t="str">
        <f>IF(AND($BW77&gt;=40,$BW77&lt;=400),"PASS","FAIL")</f>
        <v>PASS</v>
      </c>
    </row>
    <row r="78" spans="1:78">
      <c r="A78" t="s">
        <v>232</v>
      </c>
      <c r="B78">
        <v>17236893.2329209</v>
      </c>
      <c r="C78">
        <v>626.57723583796803</v>
      </c>
      <c r="D78">
        <v>122.583590976701</v>
      </c>
      <c r="E78">
        <v>560.26337686439001</v>
      </c>
      <c r="F78">
        <v>2538890.6454807199</v>
      </c>
      <c r="G78">
        <v>1699798.64659754</v>
      </c>
      <c r="H78">
        <v>2.4290890628326198E-5</v>
      </c>
      <c r="I78">
        <v>6.4066005508525405E-5</v>
      </c>
      <c r="J78">
        <v>0.452884810527584</v>
      </c>
      <c r="K78">
        <v>11219.515372648901</v>
      </c>
      <c r="L78">
        <v>3.02925386118211E-3</v>
      </c>
      <c r="M78">
        <v>163</v>
      </c>
      <c r="N78">
        <v>1939.4088999999999</v>
      </c>
      <c r="O78">
        <v>2.8502295699234199E-6</v>
      </c>
      <c r="P78">
        <v>5.98473400508856E-3</v>
      </c>
      <c r="Q78">
        <v>1.905E-3</v>
      </c>
      <c r="R78">
        <v>0.15240000000000001</v>
      </c>
      <c r="S78">
        <v>2969197.51953125</v>
      </c>
      <c r="T78">
        <v>544.38778847281696</v>
      </c>
      <c r="U78">
        <v>588.05400713064</v>
      </c>
      <c r="V78">
        <v>0.03</v>
      </c>
      <c r="W78">
        <v>57668.242700231298</v>
      </c>
      <c r="X78">
        <v>3.23577851042662E-2</v>
      </c>
      <c r="Y78">
        <v>5.5591783430067503</v>
      </c>
      <c r="Z78">
        <v>5.5591783497804901</v>
      </c>
      <c r="AA78">
        <v>-6.7737451203697699E-9</v>
      </c>
      <c r="AB78">
        <v>1.33869481952576E-5</v>
      </c>
      <c r="AC78">
        <v>708.54185219529404</v>
      </c>
      <c r="AD78">
        <v>1833.7964244186401</v>
      </c>
      <c r="AE78">
        <v>588.05400821605895</v>
      </c>
      <c r="AF78">
        <v>1.0854184893105399E-6</v>
      </c>
      <c r="AG78">
        <v>1.3476379513417701E-5</v>
      </c>
      <c r="AH78">
        <v>27.154095021494701</v>
      </c>
      <c r="AI78">
        <v>0.22015144959273</v>
      </c>
      <c r="AJ78">
        <v>25.945340226576299</v>
      </c>
      <c r="AK78">
        <v>4.5263556408070702</v>
      </c>
      <c r="AL78">
        <v>1.5871354414155801</v>
      </c>
      <c r="AM78">
        <v>626.577235785639</v>
      </c>
      <c r="AN78">
        <v>5.2328914534882603E-8</v>
      </c>
      <c r="AO78">
        <v>8.9431318160036503E-8</v>
      </c>
      <c r="AP78">
        <v>2.3766704722242502</v>
      </c>
      <c r="AQ78">
        <v>3.35024377314865E-5</v>
      </c>
      <c r="AR78">
        <v>6.7829054157888602E-6</v>
      </c>
      <c r="AS78">
        <v>13.0587587387332</v>
      </c>
      <c r="AT78">
        <v>9.7972953817769994</v>
      </c>
      <c r="AU78">
        <v>2.1568887803863599</v>
      </c>
      <c r="AV78">
        <v>0.21978169183788601</v>
      </c>
      <c r="AW78">
        <v>1.0619737236195401E-2</v>
      </c>
      <c r="AX78">
        <v>0.21978167647482599</v>
      </c>
      <c r="AY78">
        <v>1.5363060268391799E-8</v>
      </c>
      <c r="AZ78">
        <v>839091.99888317997</v>
      </c>
      <c r="BA78">
        <v>1.4096374791130701E-5</v>
      </c>
      <c r="BB78">
        <v>2982524.4208808099</v>
      </c>
      <c r="BC78">
        <v>13326.901349564499</v>
      </c>
      <c r="BD78">
        <v>0.44883849127249997</v>
      </c>
      <c r="BE78">
        <v>2839131</v>
      </c>
      <c r="BF78">
        <v>1.0505060953090299</v>
      </c>
      <c r="BG78">
        <v>1</v>
      </c>
      <c r="BH78">
        <v>-5.0999999999999997E-2</v>
      </c>
      <c r="BI78">
        <v>4.5999999999999999E-2</v>
      </c>
      <c r="BJ78">
        <v>5625</v>
      </c>
      <c r="BK78">
        <v>1</v>
      </c>
      <c r="BL78">
        <v>82.189447365151096</v>
      </c>
      <c r="BM78">
        <v>2.9825244208808099</v>
      </c>
      <c r="BN78">
        <v>82.189447365151096</v>
      </c>
      <c r="BO78">
        <v>1</v>
      </c>
      <c r="BP78">
        <v>1779.9494689768501</v>
      </c>
      <c r="BQ78">
        <v>1</v>
      </c>
      <c r="BR78">
        <v>0.15240000000000001</v>
      </c>
      <c r="BS78">
        <v>77</v>
      </c>
      <c r="BT78">
        <v>164</v>
      </c>
      <c r="BU78" t="s">
        <v>303</v>
      </c>
      <c r="BV78" t="str">
        <f>"Table "&amp;TRIM(RIGHT(SUBSTITUTE($A78,"_",REPT(" ",50)),50))</f>
        <v>Table 12</v>
      </c>
      <c r="BW78">
        <f>$BR78/$Q78</f>
        <v>80</v>
      </c>
      <c r="BX78" t="str">
        <f>IF($BW78&lt;40,"outside_low",IF($BW78&lt;=100,"short_anchor",IF($BW78&lt;250,"middle",IF($BW78&lt;=400,"long","outside_high"))))</f>
        <v>short_anchor</v>
      </c>
      <c r="BY78" t="str">
        <f>IF($N78&gt;1000,"PASS","FAIL")</f>
        <v>PASS</v>
      </c>
      <c r="BZ78" t="str">
        <f>IF(AND($BW78&gt;=40,$BW78&lt;=400),"PASS","FAIL")</f>
        <v>PASS</v>
      </c>
    </row>
    <row r="79" spans="1:78">
      <c r="A79" t="s">
        <v>233</v>
      </c>
      <c r="B79">
        <v>17236893.2329209</v>
      </c>
      <c r="C79">
        <v>626.57723583796803</v>
      </c>
      <c r="D79">
        <v>122.583590976701</v>
      </c>
      <c r="E79">
        <v>560.26337686439001</v>
      </c>
      <c r="F79">
        <v>2538890.6454807199</v>
      </c>
      <c r="G79">
        <v>1699798.64659754</v>
      </c>
      <c r="H79">
        <v>2.4290890628326198E-5</v>
      </c>
      <c r="I79">
        <v>6.4066005508525405E-5</v>
      </c>
      <c r="J79">
        <v>0.452884810527584</v>
      </c>
      <c r="K79">
        <v>11219.515372648901</v>
      </c>
      <c r="L79">
        <v>3.02925386118211E-3</v>
      </c>
      <c r="M79">
        <v>164</v>
      </c>
      <c r="N79">
        <v>1952.9712</v>
      </c>
      <c r="O79">
        <v>2.8502295699234199E-6</v>
      </c>
      <c r="P79">
        <v>5.98473400508856E-3</v>
      </c>
      <c r="Q79">
        <v>1.905E-3</v>
      </c>
      <c r="R79">
        <v>0.15240000000000001</v>
      </c>
      <c r="S79">
        <v>3088448.73046875</v>
      </c>
      <c r="T79">
        <v>541.02055212223797</v>
      </c>
      <c r="U79">
        <v>586.12511078669399</v>
      </c>
      <c r="V79">
        <v>0.03</v>
      </c>
      <c r="W79">
        <v>58071.517124708502</v>
      </c>
      <c r="X79">
        <v>3.22567249257062E-2</v>
      </c>
      <c r="Y79">
        <v>5.5678799735499496</v>
      </c>
      <c r="Z79">
        <v>5.5678799790447497</v>
      </c>
      <c r="AA79">
        <v>-5.4948046113167898E-9</v>
      </c>
      <c r="AB79">
        <v>1.32430247045165E-5</v>
      </c>
      <c r="AC79">
        <v>712.09615945868097</v>
      </c>
      <c r="AD79">
        <v>1843.7342286354699</v>
      </c>
      <c r="AE79">
        <v>586.12511078669399</v>
      </c>
      <c r="AF79">
        <v>0</v>
      </c>
      <c r="AG79">
        <v>1.3334747524955399E-5</v>
      </c>
      <c r="AH79">
        <v>27.4492022368485</v>
      </c>
      <c r="AI79">
        <v>0.22134450568934599</v>
      </c>
      <c r="AJ79">
        <v>25.811790490259799</v>
      </c>
      <c r="AK79">
        <v>4.72989479468783</v>
      </c>
      <c r="AL79">
        <v>1.5871354414155801</v>
      </c>
      <c r="AM79">
        <v>626.57723581118205</v>
      </c>
      <c r="AN79">
        <v>2.6785755835589999E-8</v>
      </c>
      <c r="AO79">
        <v>9.17228204389516E-8</v>
      </c>
      <c r="AP79">
        <v>2.3834744407135502</v>
      </c>
      <c r="AQ79">
        <v>3.3311435747582399E-5</v>
      </c>
      <c r="AR79">
        <v>6.7132351726971899E-6</v>
      </c>
      <c r="AS79">
        <v>12.994668212893901</v>
      </c>
      <c r="AT79">
        <v>9.7726956793122906</v>
      </c>
      <c r="AU79">
        <v>2.1631324943897798</v>
      </c>
      <c r="AV79">
        <v>0.22034194632376899</v>
      </c>
      <c r="AW79">
        <v>1.0505564115369501E-2</v>
      </c>
      <c r="AX79">
        <v>0.22034193043761399</v>
      </c>
      <c r="AY79">
        <v>1.58861555021872E-8</v>
      </c>
      <c r="AZ79">
        <v>839091.99888317997</v>
      </c>
      <c r="BA79">
        <v>1.3975998726300501E-5</v>
      </c>
      <c r="BB79">
        <v>3085292.6369313099</v>
      </c>
      <c r="BC79">
        <v>-3156.0935374395899</v>
      </c>
      <c r="BD79">
        <v>-0.102190251899068</v>
      </c>
      <c r="BE79">
        <v>3059952.3</v>
      </c>
      <c r="BF79">
        <v>1.0082812849505201</v>
      </c>
      <c r="BG79">
        <v>1</v>
      </c>
      <c r="BH79">
        <v>-3.1E-2</v>
      </c>
      <c r="BI79">
        <v>4.5999999999999999E-2</v>
      </c>
      <c r="BJ79">
        <v>5625</v>
      </c>
      <c r="BK79">
        <v>1</v>
      </c>
      <c r="BL79">
        <v>85.556683715730102</v>
      </c>
      <c r="BM79">
        <v>3.0852926369313098</v>
      </c>
      <c r="BN79">
        <v>85.556683715730102</v>
      </c>
      <c r="BO79">
        <v>1</v>
      </c>
      <c r="BP79">
        <v>2075.41143117506</v>
      </c>
      <c r="BQ79">
        <v>1</v>
      </c>
      <c r="BR79">
        <v>0.15240000000000001</v>
      </c>
      <c r="BS79">
        <v>78</v>
      </c>
      <c r="BT79">
        <v>165</v>
      </c>
      <c r="BU79" t="s">
        <v>303</v>
      </c>
      <c r="BV79" t="str">
        <f>"Table "&amp;TRIM(RIGHT(SUBSTITUTE($A79,"_",REPT(" ",50)),50))</f>
        <v>Table 12</v>
      </c>
      <c r="BW79">
        <f>$BR79/$Q79</f>
        <v>80</v>
      </c>
      <c r="BX79" t="str">
        <f>IF($BW79&lt;40,"outside_low",IF($BW79&lt;=100,"short_anchor",IF($BW79&lt;250,"middle",IF($BW79&lt;=400,"long","outside_high"))))</f>
        <v>short_anchor</v>
      </c>
      <c r="BY79" t="str">
        <f>IF($N79&gt;1000,"PASS","FAIL")</f>
        <v>PASS</v>
      </c>
      <c r="BZ79" t="str">
        <f>IF(AND($BW79&gt;=40,$BW79&lt;=400),"PASS","FAIL")</f>
        <v>PASS</v>
      </c>
    </row>
    <row r="80" spans="1:78">
      <c r="A80" t="s">
        <v>234</v>
      </c>
      <c r="B80">
        <v>17236893.2329209</v>
      </c>
      <c r="C80">
        <v>626.57723583796803</v>
      </c>
      <c r="D80">
        <v>122.583590976701</v>
      </c>
      <c r="E80">
        <v>560.26337686439001</v>
      </c>
      <c r="F80">
        <v>2538890.6454807199</v>
      </c>
      <c r="G80">
        <v>1699798.64659754</v>
      </c>
      <c r="H80">
        <v>2.4290890628326198E-5</v>
      </c>
      <c r="I80">
        <v>6.4066005508525405E-5</v>
      </c>
      <c r="J80">
        <v>0.452884810527584</v>
      </c>
      <c r="K80">
        <v>11219.515372648901</v>
      </c>
      <c r="L80">
        <v>3.02925386118211E-3</v>
      </c>
      <c r="M80">
        <v>165</v>
      </c>
      <c r="N80">
        <v>2007.2203999999999</v>
      </c>
      <c r="O80">
        <v>2.8502295699234199E-6</v>
      </c>
      <c r="P80">
        <v>5.98473400508856E-3</v>
      </c>
      <c r="Q80">
        <v>1.905E-3</v>
      </c>
      <c r="R80">
        <v>0.15240000000000001</v>
      </c>
      <c r="S80">
        <v>3690665.33203125</v>
      </c>
      <c r="T80">
        <v>523.75355252526197</v>
      </c>
      <c r="U80">
        <v>576.19630570055494</v>
      </c>
      <c r="V80">
        <v>0.03</v>
      </c>
      <c r="W80">
        <v>59684.614822616997</v>
      </c>
      <c r="X80">
        <v>3.1863876118458402E-2</v>
      </c>
      <c r="Y80">
        <v>5.6020979441400804</v>
      </c>
      <c r="Z80">
        <v>5.6020979701971099</v>
      </c>
      <c r="AA80">
        <v>-2.60570347521139E-8</v>
      </c>
      <c r="AB80">
        <v>1.2691425606134001E-5</v>
      </c>
      <c r="AC80">
        <v>730.49172157212899</v>
      </c>
      <c r="AD80">
        <v>1883.37459887351</v>
      </c>
      <c r="AE80">
        <v>576.19630570055403</v>
      </c>
      <c r="AF80">
        <v>0</v>
      </c>
      <c r="AG80">
        <v>1.27967579452949E-5</v>
      </c>
      <c r="AH80">
        <v>28.642208891502399</v>
      </c>
      <c r="AI80">
        <v>0.22610342268476</v>
      </c>
      <c r="AJ80">
        <v>25.302980432652099</v>
      </c>
      <c r="AK80">
        <v>5.7816352730793596</v>
      </c>
      <c r="AL80">
        <v>1.5871354414155801</v>
      </c>
      <c r="AM80">
        <v>626.57723577304898</v>
      </c>
      <c r="AN80">
        <v>6.4919163378362996E-8</v>
      </c>
      <c r="AO80">
        <v>1.05332339160864E-7</v>
      </c>
      <c r="AP80">
        <v>2.41114618556065</v>
      </c>
      <c r="AQ80">
        <v>3.2551219650426598E-5</v>
      </c>
      <c r="AR80">
        <v>6.4510451422278699E-6</v>
      </c>
      <c r="AS80">
        <v>12.755626831557301</v>
      </c>
      <c r="AT80">
        <v>9.67986247186745</v>
      </c>
      <c r="AU80">
        <v>2.1886500360069898</v>
      </c>
      <c r="AV80">
        <v>0.22249614955365901</v>
      </c>
      <c r="AW80">
        <v>1.00679858563739E-2</v>
      </c>
      <c r="AX80">
        <v>0.222496148460228</v>
      </c>
      <c r="AY80">
        <v>1.0934306515775201E-9</v>
      </c>
      <c r="AZ80">
        <v>839091.99888317997</v>
      </c>
      <c r="BA80">
        <v>1.35003094567067E-5</v>
      </c>
      <c r="BB80">
        <v>3667919.70373186</v>
      </c>
      <c r="BC80">
        <v>-22745.6282993942</v>
      </c>
      <c r="BD80">
        <v>-0.61630156768713396</v>
      </c>
      <c r="BE80">
        <v>3533140.8</v>
      </c>
      <c r="BF80">
        <v>1.0381470514087201</v>
      </c>
      <c r="BG80">
        <v>1</v>
      </c>
      <c r="BH80">
        <v>-5.6000000000000001E-2</v>
      </c>
      <c r="BI80">
        <v>4.5999999999999999E-2</v>
      </c>
      <c r="BJ80">
        <v>5625</v>
      </c>
      <c r="BK80">
        <v>1</v>
      </c>
      <c r="BL80">
        <v>102.823683312706</v>
      </c>
      <c r="BM80">
        <v>3.6679197037318598</v>
      </c>
      <c r="BN80">
        <v>102.823683312706</v>
      </c>
      <c r="BO80">
        <v>1</v>
      </c>
      <c r="BP80">
        <v>3946.8151849751798</v>
      </c>
      <c r="BQ80">
        <v>1</v>
      </c>
      <c r="BR80">
        <v>0.15240000000000001</v>
      </c>
      <c r="BS80">
        <v>79</v>
      </c>
      <c r="BT80">
        <v>166</v>
      </c>
      <c r="BU80" t="s">
        <v>303</v>
      </c>
      <c r="BV80" t="str">
        <f>"Table "&amp;TRIM(RIGHT(SUBSTITUTE($A80,"_",REPT(" ",50)),50))</f>
        <v>Table 12</v>
      </c>
      <c r="BW80">
        <f>$BR80/$Q80</f>
        <v>80</v>
      </c>
      <c r="BX80" t="str">
        <f>IF($BW80&lt;40,"outside_low",IF($BW80&lt;=100,"short_anchor",IF($BW80&lt;250,"middle",IF($BW80&lt;=400,"long","outside_high"))))</f>
        <v>short_anchor</v>
      </c>
      <c r="BY80" t="str">
        <f>IF($N80&gt;1000,"PASS","FAIL")</f>
        <v>PASS</v>
      </c>
      <c r="BZ80" t="str">
        <f>IF(AND($BW80&gt;=40,$BW80&lt;=400),"PASS","FAIL")</f>
        <v>PASS</v>
      </c>
    </row>
    <row r="81" spans="1:78">
      <c r="A81" t="s">
        <v>235</v>
      </c>
      <c r="B81">
        <v>17236893.2329209</v>
      </c>
      <c r="C81">
        <v>626.57723583796803</v>
      </c>
      <c r="D81">
        <v>122.583590976701</v>
      </c>
      <c r="E81">
        <v>560.26337686439001</v>
      </c>
      <c r="F81">
        <v>2538890.6454807199</v>
      </c>
      <c r="G81">
        <v>1699798.64659754</v>
      </c>
      <c r="H81">
        <v>2.4290890628326198E-5</v>
      </c>
      <c r="I81">
        <v>6.4066005508525405E-5</v>
      </c>
      <c r="J81">
        <v>0.452884810527584</v>
      </c>
      <c r="K81">
        <v>11219.515372648901</v>
      </c>
      <c r="L81">
        <v>3.02925386118211E-3</v>
      </c>
      <c r="M81">
        <v>166</v>
      </c>
      <c r="N81">
        <v>2007.2203999999999</v>
      </c>
      <c r="O81">
        <v>2.8502295699234199E-6</v>
      </c>
      <c r="P81">
        <v>5.98473400508856E-3</v>
      </c>
      <c r="Q81">
        <v>1.905E-3</v>
      </c>
      <c r="R81">
        <v>0.15240000000000001</v>
      </c>
      <c r="S81">
        <v>3654352.05078125</v>
      </c>
      <c r="T81">
        <v>524.88712944744998</v>
      </c>
      <c r="U81">
        <v>576.81388665067504</v>
      </c>
      <c r="V81">
        <v>0.03</v>
      </c>
      <c r="W81">
        <v>59684.614822616997</v>
      </c>
      <c r="X81">
        <v>3.1863876118458402E-2</v>
      </c>
      <c r="Y81">
        <v>5.6020979441400804</v>
      </c>
      <c r="Z81">
        <v>5.6020979701971099</v>
      </c>
      <c r="AA81">
        <v>-2.60570347521139E-8</v>
      </c>
      <c r="AB81">
        <v>1.2691425606134001E-5</v>
      </c>
      <c r="AC81">
        <v>729.20850350399201</v>
      </c>
      <c r="AD81">
        <v>1883.37459887351</v>
      </c>
      <c r="AE81">
        <v>576.81388794275995</v>
      </c>
      <c r="AF81">
        <v>1.2920850167574799E-6</v>
      </c>
      <c r="AG81">
        <v>1.2795481866201301E-5</v>
      </c>
      <c r="AH81">
        <v>28.642208891502399</v>
      </c>
      <c r="AI81">
        <v>0.22610342268476</v>
      </c>
      <c r="AJ81">
        <v>25.300457246351701</v>
      </c>
      <c r="AK81">
        <v>5.7104099935771604</v>
      </c>
      <c r="AL81">
        <v>1.5871354414155801</v>
      </c>
      <c r="AM81">
        <v>626.57723577374304</v>
      </c>
      <c r="AN81">
        <v>6.4225105234072504E-8</v>
      </c>
      <c r="AO81">
        <v>1.0405626006724401E-7</v>
      </c>
      <c r="AP81">
        <v>2.4109414321040199</v>
      </c>
      <c r="AQ81">
        <v>3.2556748824772797E-5</v>
      </c>
      <c r="AR81">
        <v>6.4497690631342502E-6</v>
      </c>
      <c r="AS81">
        <v>12.7531036452569</v>
      </c>
      <c r="AT81">
        <v>9.6788733256961592</v>
      </c>
      <c r="AU81">
        <v>2.1884263866721199</v>
      </c>
      <c r="AV81">
        <v>0.22251504543189601</v>
      </c>
      <c r="AW81">
        <v>1.00679858563739E-2</v>
      </c>
      <c r="AX81">
        <v>0.22251504433836</v>
      </c>
      <c r="AY81">
        <v>1.09353567867565E-9</v>
      </c>
      <c r="AZ81">
        <v>839091.99888317997</v>
      </c>
      <c r="BA81">
        <v>1.3503749361659401E-5</v>
      </c>
      <c r="BB81">
        <v>3622560.5939705302</v>
      </c>
      <c r="BC81">
        <v>-31791.4568107249</v>
      </c>
      <c r="BD81">
        <v>-0.86996152447677699</v>
      </c>
      <c r="BE81">
        <v>3501594.9</v>
      </c>
      <c r="BF81">
        <v>1.0345458847825399</v>
      </c>
      <c r="BG81">
        <v>1</v>
      </c>
      <c r="BH81">
        <v>-5.6000000000000001E-2</v>
      </c>
      <c r="BI81">
        <v>4.5999999999999999E-2</v>
      </c>
      <c r="BJ81">
        <v>5625</v>
      </c>
      <c r="BK81">
        <v>1</v>
      </c>
      <c r="BL81">
        <v>101.690106390518</v>
      </c>
      <c r="BM81">
        <v>3.6225605939705199</v>
      </c>
      <c r="BN81">
        <v>101.690106390518</v>
      </c>
      <c r="BO81">
        <v>1</v>
      </c>
      <c r="BP81">
        <v>3805.6692264734402</v>
      </c>
      <c r="BQ81">
        <v>1</v>
      </c>
      <c r="BR81">
        <v>0.15240000000000001</v>
      </c>
      <c r="BS81">
        <v>80</v>
      </c>
      <c r="BT81">
        <v>167</v>
      </c>
      <c r="BU81" t="s">
        <v>303</v>
      </c>
      <c r="BV81" t="str">
        <f>"Table "&amp;TRIM(RIGHT(SUBSTITUTE($A81,"_",REPT(" ",50)),50))</f>
        <v>Table 12</v>
      </c>
      <c r="BW81">
        <f>$BR81/$Q81</f>
        <v>80</v>
      </c>
      <c r="BX81" t="str">
        <f>IF($BW81&lt;40,"outside_low",IF($BW81&lt;=100,"short_anchor",IF($BW81&lt;250,"middle",IF($BW81&lt;=400,"long","outside_high"))))</f>
        <v>short_anchor</v>
      </c>
      <c r="BY81" t="str">
        <f>IF($N81&gt;1000,"PASS","FAIL")</f>
        <v>PASS</v>
      </c>
      <c r="BZ81" t="str">
        <f>IF(AND($BW81&gt;=40,$BW81&lt;=400),"PASS","FAIL")</f>
        <v>PASS</v>
      </c>
    </row>
    <row r="82" spans="1:78">
      <c r="A82" t="s">
        <v>236</v>
      </c>
      <c r="B82">
        <v>17236893.2329209</v>
      </c>
      <c r="C82">
        <v>626.57723583796803</v>
      </c>
      <c r="D82">
        <v>122.583590976701</v>
      </c>
      <c r="E82">
        <v>560.26337686439001</v>
      </c>
      <c r="F82">
        <v>2538890.6454807199</v>
      </c>
      <c r="G82">
        <v>1699798.64659754</v>
      </c>
      <c r="H82">
        <v>2.4290890628326198E-5</v>
      </c>
      <c r="I82">
        <v>6.4066005508525405E-5</v>
      </c>
      <c r="J82">
        <v>0.452884810527584</v>
      </c>
      <c r="K82">
        <v>11219.515372648901</v>
      </c>
      <c r="L82">
        <v>3.02925386118211E-3</v>
      </c>
      <c r="M82">
        <v>167</v>
      </c>
      <c r="N82">
        <v>2183.5302999999999</v>
      </c>
      <c r="O82">
        <v>2.8502295699234199E-6</v>
      </c>
      <c r="P82">
        <v>5.98473400508856E-3</v>
      </c>
      <c r="Q82">
        <v>1.905E-3</v>
      </c>
      <c r="R82">
        <v>0.15240000000000001</v>
      </c>
      <c r="S82">
        <v>5398006.11328125</v>
      </c>
      <c r="T82">
        <v>476.97673003740402</v>
      </c>
      <c r="U82">
        <v>547.48661880958298</v>
      </c>
      <c r="V82">
        <v>0.03</v>
      </c>
      <c r="W82">
        <v>64927.182340819898</v>
      </c>
      <c r="X82">
        <v>3.0700163138612201E-2</v>
      </c>
      <c r="Y82">
        <v>5.7072862912243698</v>
      </c>
      <c r="Z82">
        <v>5.7072863391106603</v>
      </c>
      <c r="AA82">
        <v>-4.7886292264820401E-8</v>
      </c>
      <c r="AB82">
        <v>1.11311493220718E-5</v>
      </c>
      <c r="AC82">
        <v>778.01270934136198</v>
      </c>
      <c r="AD82">
        <v>2011.0455553597301</v>
      </c>
      <c r="AE82">
        <v>547.48662058971001</v>
      </c>
      <c r="AF82">
        <v>1.7801270359996101E-6</v>
      </c>
      <c r="AG82">
        <v>1.12699737803278E-5</v>
      </c>
      <c r="AH82">
        <v>32.657046709548197</v>
      </c>
      <c r="AI82">
        <v>0.24143061264274199</v>
      </c>
      <c r="AJ82">
        <v>23.794677879211498</v>
      </c>
      <c r="AK82">
        <v>8.5843686746535397</v>
      </c>
      <c r="AL82">
        <v>1.5871354414155801</v>
      </c>
      <c r="AM82">
        <v>626.57723582210303</v>
      </c>
      <c r="AN82">
        <v>1.58654529514024E-8</v>
      </c>
      <c r="AO82">
        <v>1.3882445825601401E-7</v>
      </c>
      <c r="AP82">
        <v>2.4971069189148198</v>
      </c>
      <c r="AQ82">
        <v>3.0348698682702298E-5</v>
      </c>
      <c r="AR82">
        <v>5.7043991192919001E-6</v>
      </c>
      <c r="AS82">
        <v>12.0438913331758</v>
      </c>
      <c r="AT82">
        <v>9.3927879404627497</v>
      </c>
      <c r="AU82">
        <v>2.2677065468892801</v>
      </c>
      <c r="AV82">
        <v>0.22940037202553801</v>
      </c>
      <c r="AW82">
        <v>8.8302336882974206E-3</v>
      </c>
      <c r="AX82">
        <v>0.229400363304953</v>
      </c>
      <c r="AY82">
        <v>8.7205855869854093E-9</v>
      </c>
      <c r="AZ82">
        <v>839091.99888317997</v>
      </c>
      <c r="BA82">
        <v>1.2153543948326899E-5</v>
      </c>
      <c r="BB82">
        <v>5369883.5286894301</v>
      </c>
      <c r="BC82">
        <v>-28122.5845918218</v>
      </c>
      <c r="BD82">
        <v>-0.52098096967006002</v>
      </c>
      <c r="BE82">
        <v>4763430.9000000004</v>
      </c>
      <c r="BF82">
        <v>1.1273142492083701</v>
      </c>
      <c r="BG82">
        <v>1</v>
      </c>
      <c r="BH82">
        <v>-0.15</v>
      </c>
      <c r="BI82">
        <v>4.5999999999999999E-2</v>
      </c>
      <c r="BJ82">
        <v>5625</v>
      </c>
      <c r="BK82">
        <v>1</v>
      </c>
      <c r="BL82">
        <v>149.60050580056401</v>
      </c>
      <c r="BM82">
        <v>5.3698835286894298</v>
      </c>
      <c r="BN82">
        <v>149.60050580056401</v>
      </c>
      <c r="BO82">
        <v>1</v>
      </c>
      <c r="BP82">
        <v>12012.2708717395</v>
      </c>
      <c r="BQ82">
        <v>1</v>
      </c>
      <c r="BR82">
        <v>0.15240000000000001</v>
      </c>
      <c r="BS82">
        <v>81</v>
      </c>
      <c r="BT82">
        <v>168</v>
      </c>
      <c r="BU82" t="s">
        <v>303</v>
      </c>
      <c r="BV82" t="str">
        <f>"Table "&amp;TRIM(RIGHT(SUBSTITUTE($A82,"_",REPT(" ",50)),50))</f>
        <v>Table 12</v>
      </c>
      <c r="BW82">
        <f>$BR82/$Q82</f>
        <v>80</v>
      </c>
      <c r="BX82" t="str">
        <f>IF($BW82&lt;40,"outside_low",IF($BW82&lt;=100,"short_anchor",IF($BW82&lt;250,"middle",IF($BW82&lt;=400,"long","outside_high"))))</f>
        <v>short_anchor</v>
      </c>
      <c r="BY82" t="str">
        <f>IF($N82&gt;1000,"PASS","FAIL")</f>
        <v>PASS</v>
      </c>
      <c r="BZ82" t="str">
        <f>IF(AND($BW82&gt;=40,$BW82&lt;=400),"PASS","FAIL")</f>
        <v>PASS</v>
      </c>
    </row>
    <row r="83" spans="1:78">
      <c r="A83" t="s">
        <v>237</v>
      </c>
      <c r="B83">
        <v>17236893.2329209</v>
      </c>
      <c r="C83">
        <v>626.57723583796803</v>
      </c>
      <c r="D83">
        <v>122.583590976701</v>
      </c>
      <c r="E83">
        <v>560.26337686439001</v>
      </c>
      <c r="F83">
        <v>2538890.6454807199</v>
      </c>
      <c r="G83">
        <v>1699798.64659754</v>
      </c>
      <c r="H83">
        <v>2.4290890628326198E-5</v>
      </c>
      <c r="I83">
        <v>6.4066005508525405E-5</v>
      </c>
      <c r="J83">
        <v>0.452884810527584</v>
      </c>
      <c r="K83">
        <v>11219.515372648901</v>
      </c>
      <c r="L83">
        <v>3.02925386118211E-3</v>
      </c>
      <c r="M83">
        <v>168</v>
      </c>
      <c r="N83">
        <v>2183.5302999999999</v>
      </c>
      <c r="O83">
        <v>2.8502295699234199E-6</v>
      </c>
      <c r="P83">
        <v>5.98473400508856E-3</v>
      </c>
      <c r="Q83">
        <v>1.905E-3</v>
      </c>
      <c r="R83">
        <v>0.15240000000000001</v>
      </c>
      <c r="S83">
        <v>5339900.64453125</v>
      </c>
      <c r="T83">
        <v>478.76143589818798</v>
      </c>
      <c r="U83">
        <v>548.51233884251803</v>
      </c>
      <c r="V83">
        <v>0.03</v>
      </c>
      <c r="W83">
        <v>64927.182340819898</v>
      </c>
      <c r="X83">
        <v>3.0700163138612201E-2</v>
      </c>
      <c r="Y83">
        <v>5.7072862912243698</v>
      </c>
      <c r="Z83">
        <v>5.7072863391106603</v>
      </c>
      <c r="AA83">
        <v>-4.7886292264820401E-8</v>
      </c>
      <c r="AB83">
        <v>1.11311493220718E-5</v>
      </c>
      <c r="AC83">
        <v>776.03732814966099</v>
      </c>
      <c r="AD83">
        <v>2011.0455553597301</v>
      </c>
      <c r="AE83">
        <v>548.51234060289198</v>
      </c>
      <c r="AF83">
        <v>1.7603731521376199E-6</v>
      </c>
      <c r="AG83">
        <v>1.1269011981684499E-5</v>
      </c>
      <c r="AH83">
        <v>32.657046709548197</v>
      </c>
      <c r="AI83">
        <v>0.24143061264274199</v>
      </c>
      <c r="AJ83">
        <v>23.792647201115201</v>
      </c>
      <c r="AK83">
        <v>8.4726131709178691</v>
      </c>
      <c r="AL83">
        <v>1.5871354414155801</v>
      </c>
      <c r="AM83">
        <v>626.57723582241499</v>
      </c>
      <c r="AN83">
        <v>1.55533825818566E-8</v>
      </c>
      <c r="AO83">
        <v>1.37862659612729E-7</v>
      </c>
      <c r="AP83">
        <v>2.4969204953411999</v>
      </c>
      <c r="AQ83">
        <v>3.03532306043875E-5</v>
      </c>
      <c r="AR83">
        <v>5.7034373206486199E-6</v>
      </c>
      <c r="AS83">
        <v>12.0418606550795</v>
      </c>
      <c r="AT83">
        <v>9.3919448369955596</v>
      </c>
      <c r="AU83">
        <v>2.2675029959026798</v>
      </c>
      <c r="AV83">
        <v>0.22941749943852099</v>
      </c>
      <c r="AW83">
        <v>8.8302336882974206E-3</v>
      </c>
      <c r="AX83">
        <v>0.229417490656664</v>
      </c>
      <c r="AY83">
        <v>8.7818569638464794E-9</v>
      </c>
      <c r="AZ83">
        <v>839091.99888317997</v>
      </c>
      <c r="BA83">
        <v>1.21562663533025E-5</v>
      </c>
      <c r="BB83">
        <v>5331485.8360990304</v>
      </c>
      <c r="BC83">
        <v>-8414.8084322204795</v>
      </c>
      <c r="BD83">
        <v>-0.15758361423518899</v>
      </c>
      <c r="BE83">
        <v>4763430.9000000004</v>
      </c>
      <c r="BF83">
        <v>1.1192533172044199</v>
      </c>
      <c r="BG83">
        <v>1</v>
      </c>
      <c r="BH83">
        <v>-0.14000000000000001</v>
      </c>
      <c r="BI83">
        <v>4.5999999999999999E-2</v>
      </c>
      <c r="BJ83">
        <v>5625</v>
      </c>
      <c r="BK83">
        <v>1</v>
      </c>
      <c r="BL83">
        <v>147.81579993977999</v>
      </c>
      <c r="BM83">
        <v>5.3314858360990298</v>
      </c>
      <c r="BN83">
        <v>147.81579993977999</v>
      </c>
      <c r="BO83">
        <v>1</v>
      </c>
      <c r="BP83">
        <v>11624.246716654699</v>
      </c>
      <c r="BQ83">
        <v>1</v>
      </c>
      <c r="BR83">
        <v>0.15240000000000001</v>
      </c>
      <c r="BS83">
        <v>82</v>
      </c>
      <c r="BT83">
        <v>169</v>
      </c>
      <c r="BU83" t="s">
        <v>303</v>
      </c>
      <c r="BV83" t="str">
        <f>"Table "&amp;TRIM(RIGHT(SUBSTITUTE($A83,"_",REPT(" ",50)),50))</f>
        <v>Table 12</v>
      </c>
      <c r="BW83">
        <f>$BR83/$Q83</f>
        <v>80</v>
      </c>
      <c r="BX83" t="str">
        <f>IF($BW83&lt;40,"outside_low",IF($BW83&lt;=100,"short_anchor",IF($BW83&lt;250,"middle",IF($BW83&lt;=400,"long","outside_high"))))</f>
        <v>short_anchor</v>
      </c>
      <c r="BY83" t="str">
        <f>IF($N83&gt;1000,"PASS","FAIL")</f>
        <v>PASS</v>
      </c>
      <c r="BZ83" t="str">
        <f>IF(AND($BW83&gt;=40,$BW83&lt;=400),"PASS","FAIL")</f>
        <v>PASS</v>
      </c>
    </row>
    <row r="84" spans="1:78">
      <c r="A84" t="s">
        <v>238</v>
      </c>
      <c r="B84">
        <v>17236893.2329209</v>
      </c>
      <c r="C84">
        <v>626.57723583796803</v>
      </c>
      <c r="D84">
        <v>122.583590976701</v>
      </c>
      <c r="E84">
        <v>560.26337686439001</v>
      </c>
      <c r="F84">
        <v>2538890.6454807199</v>
      </c>
      <c r="G84">
        <v>1699798.64659754</v>
      </c>
      <c r="H84">
        <v>2.4290890628326198E-5</v>
      </c>
      <c r="I84">
        <v>6.4066005508525405E-5</v>
      </c>
      <c r="J84">
        <v>0.452884810527584</v>
      </c>
      <c r="K84">
        <v>11219.515372648901</v>
      </c>
      <c r="L84">
        <v>3.02925386118211E-3</v>
      </c>
      <c r="M84">
        <v>169</v>
      </c>
      <c r="N84">
        <v>2183.5302999999999</v>
      </c>
      <c r="O84">
        <v>2.8502295699234199E-6</v>
      </c>
      <c r="P84">
        <v>5.98473400508856E-3</v>
      </c>
      <c r="Q84">
        <v>1.905E-3</v>
      </c>
      <c r="R84">
        <v>0.15240000000000001</v>
      </c>
      <c r="S84">
        <v>4504947.16796875</v>
      </c>
      <c r="T84">
        <v>504.24977393984398</v>
      </c>
      <c r="U84">
        <v>563.09433933529397</v>
      </c>
      <c r="V84">
        <v>0.03</v>
      </c>
      <c r="W84">
        <v>64927.182340819898</v>
      </c>
      <c r="X84">
        <v>3.0700163138612201E-2</v>
      </c>
      <c r="Y84">
        <v>5.7072862912243698</v>
      </c>
      <c r="Z84">
        <v>5.7072863391106603</v>
      </c>
      <c r="AA84">
        <v>-4.7886292264820401E-8</v>
      </c>
      <c r="AB84">
        <v>1.11311493220718E-5</v>
      </c>
      <c r="AC84">
        <v>747.91536386283497</v>
      </c>
      <c r="AD84">
        <v>2011.0455553597301</v>
      </c>
      <c r="AE84">
        <v>563.09433933529397</v>
      </c>
      <c r="AF84">
        <v>0</v>
      </c>
      <c r="AG84">
        <v>1.12479128368382E-5</v>
      </c>
      <c r="AH84">
        <v>32.657046709548197</v>
      </c>
      <c r="AI84">
        <v>0.24143061264274199</v>
      </c>
      <c r="AJ84">
        <v>23.748099860994301</v>
      </c>
      <c r="AK84">
        <v>6.8823959230090699</v>
      </c>
      <c r="AL84">
        <v>1.5871354414155801</v>
      </c>
      <c r="AM84">
        <v>626.57723582712697</v>
      </c>
      <c r="AN84">
        <v>1.08406084109447E-8</v>
      </c>
      <c r="AO84">
        <v>1.16763514766397E-7</v>
      </c>
      <c r="AP84">
        <v>2.4928235524922502</v>
      </c>
      <c r="AQ84">
        <v>3.0453083351461199E-5</v>
      </c>
      <c r="AR84">
        <v>5.6823381758022798E-6</v>
      </c>
      <c r="AS84">
        <v>11.9973133149586</v>
      </c>
      <c r="AT84">
        <v>9.37341367150343</v>
      </c>
      <c r="AU84">
        <v>2.26302900526492</v>
      </c>
      <c r="AV84">
        <v>0.229794547227329</v>
      </c>
      <c r="AW84">
        <v>8.8302336882974206E-3</v>
      </c>
      <c r="AX84">
        <v>0.22979453713748199</v>
      </c>
      <c r="AY84">
        <v>1.0089846985694699E-8</v>
      </c>
      <c r="AZ84">
        <v>839091.99888317997</v>
      </c>
      <c r="BA84">
        <v>1.2216301198299799E-5</v>
      </c>
      <c r="BB84">
        <v>4493339.5882711904</v>
      </c>
      <c r="BC84">
        <v>-11607.579697555901</v>
      </c>
      <c r="BD84">
        <v>-0.25766294841565601</v>
      </c>
      <c r="BE84">
        <v>4321788.3</v>
      </c>
      <c r="BF84">
        <v>1.03969451448401</v>
      </c>
      <c r="BG84">
        <v>1</v>
      </c>
      <c r="BH84">
        <v>-8.1000000000000003E-2</v>
      </c>
      <c r="BI84">
        <v>4.5999999999999999E-2</v>
      </c>
      <c r="BJ84">
        <v>5625</v>
      </c>
      <c r="BK84">
        <v>1</v>
      </c>
      <c r="BL84">
        <v>122.327461898124</v>
      </c>
      <c r="BM84">
        <v>4.4933395882711897</v>
      </c>
      <c r="BN84">
        <v>122.327461898124</v>
      </c>
      <c r="BO84">
        <v>1</v>
      </c>
      <c r="BP84">
        <v>6777.8109825870697</v>
      </c>
      <c r="BQ84">
        <v>1</v>
      </c>
      <c r="BR84">
        <v>0.15240000000000001</v>
      </c>
      <c r="BS84">
        <v>83</v>
      </c>
      <c r="BT84">
        <v>170</v>
      </c>
      <c r="BU84" t="s">
        <v>303</v>
      </c>
      <c r="BV84" t="str">
        <f>"Table "&amp;TRIM(RIGHT(SUBSTITUTE($A84,"_",REPT(" ",50)),50))</f>
        <v>Table 12</v>
      </c>
      <c r="BW84">
        <f>$BR84/$Q84</f>
        <v>80</v>
      </c>
      <c r="BX84" t="str">
        <f>IF($BW84&lt;40,"outside_low",IF($BW84&lt;=100,"short_anchor",IF($BW84&lt;250,"middle",IF($BW84&lt;=400,"long","outside_high"))))</f>
        <v>short_anchor</v>
      </c>
      <c r="BY84" t="str">
        <f>IF($N84&gt;1000,"PASS","FAIL")</f>
        <v>PASS</v>
      </c>
      <c r="BZ84" t="str">
        <f>IF(AND($BW84&gt;=40,$BW84&lt;=400),"PASS","FAIL")</f>
        <v>PASS</v>
      </c>
    </row>
    <row r="85" spans="1:78">
      <c r="A85" t="s">
        <v>239</v>
      </c>
      <c r="B85">
        <v>17236893.2329209</v>
      </c>
      <c r="C85">
        <v>626.57723583796803</v>
      </c>
      <c r="D85">
        <v>122.583590976701</v>
      </c>
      <c r="E85">
        <v>560.26337686439001</v>
      </c>
      <c r="F85">
        <v>2538890.6454807199</v>
      </c>
      <c r="G85">
        <v>1699798.64659754</v>
      </c>
      <c r="H85">
        <v>2.4290890628326198E-5</v>
      </c>
      <c r="I85">
        <v>6.4066005508525405E-5</v>
      </c>
      <c r="J85">
        <v>0.452884810527584</v>
      </c>
      <c r="K85">
        <v>11219.515372648901</v>
      </c>
      <c r="L85">
        <v>3.02925386118211E-3</v>
      </c>
      <c r="M85">
        <v>170</v>
      </c>
      <c r="N85">
        <v>2197.0925999999999</v>
      </c>
      <c r="O85">
        <v>2.8502295699234199E-6</v>
      </c>
      <c r="P85">
        <v>5.98473400508856E-3</v>
      </c>
      <c r="Q85">
        <v>1.905E-3</v>
      </c>
      <c r="R85">
        <v>0.15240000000000001</v>
      </c>
      <c r="S85">
        <v>3889929.19921875</v>
      </c>
      <c r="T85">
        <v>523.21058206421105</v>
      </c>
      <c r="U85">
        <v>573.70800508318098</v>
      </c>
      <c r="V85">
        <v>0.03</v>
      </c>
      <c r="W85">
        <v>65330.456765297</v>
      </c>
      <c r="X85">
        <v>3.06170850033569E-2</v>
      </c>
      <c r="Y85">
        <v>5.71502428279324</v>
      </c>
      <c r="Z85">
        <v>5.7150243315446003</v>
      </c>
      <c r="AA85">
        <v>-4.8751357617504703E-8</v>
      </c>
      <c r="AB85">
        <v>1.10239840215693E-5</v>
      </c>
      <c r="AC85">
        <v>726.94150230071602</v>
      </c>
      <c r="AD85">
        <v>2020.79670666674</v>
      </c>
      <c r="AE85">
        <v>573.70800508318098</v>
      </c>
      <c r="AF85">
        <v>0</v>
      </c>
      <c r="AG85">
        <v>1.11250870096331E-5</v>
      </c>
      <c r="AH85">
        <v>32.974509272747099</v>
      </c>
      <c r="AI85">
        <v>0.24260126063117199</v>
      </c>
      <c r="AJ85">
        <v>23.6026658167427</v>
      </c>
      <c r="AK85">
        <v>5.7035200846190097</v>
      </c>
      <c r="AL85">
        <v>1.5871354414155801</v>
      </c>
      <c r="AM85">
        <v>626.57723581229698</v>
      </c>
      <c r="AN85">
        <v>2.5670601644378601E-8</v>
      </c>
      <c r="AO85">
        <v>1.0110298806375E-7</v>
      </c>
      <c r="AP85">
        <v>2.4956449915818402</v>
      </c>
      <c r="AQ85">
        <v>3.03842651092981E-5</v>
      </c>
      <c r="AR85">
        <v>5.6130949988483996E-6</v>
      </c>
      <c r="AS85">
        <v>11.9085815095857</v>
      </c>
      <c r="AT85">
        <v>9.3362963774184706</v>
      </c>
      <c r="AU85">
        <v>2.2649972707879602</v>
      </c>
      <c r="AV85">
        <v>0.23064772079387899</v>
      </c>
      <c r="AW85">
        <v>8.7452204862162094E-3</v>
      </c>
      <c r="AX85">
        <v>0.230647711399809</v>
      </c>
      <c r="AY85">
        <v>9.3940703826955707E-9</v>
      </c>
      <c r="AZ85">
        <v>839091.99888317997</v>
      </c>
      <c r="BA85">
        <v>1.21749147862731E-5</v>
      </c>
      <c r="BB85">
        <v>3903910.70561335</v>
      </c>
      <c r="BC85">
        <v>13981.506394599999</v>
      </c>
      <c r="BD85">
        <v>0.35942830006798199</v>
      </c>
      <c r="BE85">
        <v>3817053.9</v>
      </c>
      <c r="BF85">
        <v>1.02275493296371</v>
      </c>
      <c r="BG85">
        <v>1</v>
      </c>
      <c r="BH85">
        <v>-6.8000000000000005E-2</v>
      </c>
      <c r="BI85">
        <v>4.5999999999999999E-2</v>
      </c>
      <c r="BJ85">
        <v>5625</v>
      </c>
      <c r="BK85">
        <v>1</v>
      </c>
      <c r="BL85">
        <v>103.36665377375699</v>
      </c>
      <c r="BM85">
        <v>3.9039107056133502</v>
      </c>
      <c r="BN85">
        <v>103.36665377375699</v>
      </c>
      <c r="BO85">
        <v>1</v>
      </c>
      <c r="BP85">
        <v>4015.3328104831899</v>
      </c>
      <c r="BQ85">
        <v>1</v>
      </c>
      <c r="BR85">
        <v>0.15240000000000001</v>
      </c>
      <c r="BS85">
        <v>84</v>
      </c>
      <c r="BT85">
        <v>171</v>
      </c>
      <c r="BU85" t="s">
        <v>303</v>
      </c>
      <c r="BV85" t="str">
        <f>"Table "&amp;TRIM(RIGHT(SUBSTITUTE($A85,"_",REPT(" ",50)),50))</f>
        <v>Table 12</v>
      </c>
      <c r="BW85">
        <f>$BR85/$Q85</f>
        <v>80</v>
      </c>
      <c r="BX85" t="str">
        <f>IF($BW85&lt;40,"outside_low",IF($BW85&lt;=100,"short_anchor",IF($BW85&lt;250,"middle",IF($BW85&lt;=400,"long","outside_high"))))</f>
        <v>short_anchor</v>
      </c>
      <c r="BY85" t="str">
        <f>IF($N85&gt;1000,"PASS","FAIL")</f>
        <v>PASS</v>
      </c>
      <c r="BZ85" t="str">
        <f>IF(AND($BW85&gt;=40,$BW85&lt;=400),"PASS","FAIL")</f>
        <v>PASS</v>
      </c>
    </row>
    <row r="86" spans="1:78">
      <c r="A86" t="s">
        <v>240</v>
      </c>
      <c r="B86">
        <v>17236893.2329209</v>
      </c>
      <c r="C86">
        <v>626.57723583796803</v>
      </c>
      <c r="D86">
        <v>122.583590976701</v>
      </c>
      <c r="E86">
        <v>560.26337686439001</v>
      </c>
      <c r="F86">
        <v>2538890.6454807199</v>
      </c>
      <c r="G86">
        <v>1699798.64659754</v>
      </c>
      <c r="H86">
        <v>2.4290890628326198E-5</v>
      </c>
      <c r="I86">
        <v>6.4066005508525405E-5</v>
      </c>
      <c r="J86">
        <v>0.452884810527584</v>
      </c>
      <c r="K86">
        <v>11219.515372648901</v>
      </c>
      <c r="L86">
        <v>3.02925386118211E-3</v>
      </c>
      <c r="M86">
        <v>171</v>
      </c>
      <c r="N86">
        <v>2210.6549</v>
      </c>
      <c r="O86">
        <v>2.8502295699234199E-6</v>
      </c>
      <c r="P86">
        <v>5.98473400508856E-3</v>
      </c>
      <c r="Q86">
        <v>1.905E-3</v>
      </c>
      <c r="R86">
        <v>0.15240000000000001</v>
      </c>
      <c r="S86">
        <v>4404618.59765625</v>
      </c>
      <c r="T86">
        <v>508.15729880951102</v>
      </c>
      <c r="U86">
        <v>564.985412067688</v>
      </c>
      <c r="V86">
        <v>0.03</v>
      </c>
      <c r="W86">
        <v>65733.731189774204</v>
      </c>
      <c r="X86">
        <v>3.0534849970872299E-2</v>
      </c>
      <c r="Y86">
        <v>5.7227148266235099</v>
      </c>
      <c r="Z86">
        <v>5.7227148750663401</v>
      </c>
      <c r="AA86">
        <v>-4.8442837297102401E-8</v>
      </c>
      <c r="AB86">
        <v>1.0918461443926301E-5</v>
      </c>
      <c r="AC86">
        <v>742.96715502209304</v>
      </c>
      <c r="AD86">
        <v>2030.5383233820601</v>
      </c>
      <c r="AE86">
        <v>564.985412067688</v>
      </c>
      <c r="AF86">
        <v>0</v>
      </c>
      <c r="AG86">
        <v>1.1031485322355E-5</v>
      </c>
      <c r="AH86">
        <v>33.2931947608852</v>
      </c>
      <c r="AI86">
        <v>0.24377076397009001</v>
      </c>
      <c r="AJ86">
        <v>23.516906783064101</v>
      </c>
      <c r="AK86">
        <v>6.6216612273928401</v>
      </c>
      <c r="AL86">
        <v>1.5871354414155801</v>
      </c>
      <c r="AM86">
        <v>626.57723583270399</v>
      </c>
      <c r="AN86">
        <v>5.2643827075371502E-9</v>
      </c>
      <c r="AO86">
        <v>1.13023878428745E-7</v>
      </c>
      <c r="AP86">
        <v>2.5038748333502201</v>
      </c>
      <c r="AQ86">
        <v>3.0184856783716299E-5</v>
      </c>
      <c r="AR86">
        <v>5.5722546003918803E-6</v>
      </c>
      <c r="AS86">
        <v>11.8789254737404</v>
      </c>
      <c r="AT86">
        <v>9.3238293075272392</v>
      </c>
      <c r="AU86">
        <v>2.2728769934226301</v>
      </c>
      <c r="AV86">
        <v>0.23099783992759099</v>
      </c>
      <c r="AW86">
        <v>8.6615104403782693E-3</v>
      </c>
      <c r="AX86">
        <v>0.23099783325825901</v>
      </c>
      <c r="AY86">
        <v>6.6693320310839998E-9</v>
      </c>
      <c r="AZ86">
        <v>839091.99888317997</v>
      </c>
      <c r="BA86">
        <v>1.20552578673945E-5</v>
      </c>
      <c r="BB86">
        <v>4407532.4253068799</v>
      </c>
      <c r="BC86">
        <v>2913.8276506327102</v>
      </c>
      <c r="BD86">
        <v>6.6153915169481201E-2</v>
      </c>
      <c r="BE86">
        <v>4353334.2</v>
      </c>
      <c r="BF86">
        <v>1.01244981956747</v>
      </c>
      <c r="BG86">
        <v>1</v>
      </c>
      <c r="BH86">
        <v>-6.3E-2</v>
      </c>
      <c r="BI86">
        <v>4.5999999999999999E-2</v>
      </c>
      <c r="BJ86">
        <v>5625</v>
      </c>
      <c r="BK86">
        <v>1</v>
      </c>
      <c r="BL86">
        <v>118.419937028457</v>
      </c>
      <c r="BM86">
        <v>4.4075324253068802</v>
      </c>
      <c r="BN86">
        <v>118.419937028457</v>
      </c>
      <c r="BO86">
        <v>1</v>
      </c>
      <c r="BP86">
        <v>6149.6865235471596</v>
      </c>
      <c r="BQ86">
        <v>1</v>
      </c>
      <c r="BR86">
        <v>0.15240000000000001</v>
      </c>
      <c r="BS86">
        <v>85</v>
      </c>
      <c r="BT86">
        <v>172</v>
      </c>
      <c r="BU86" t="s">
        <v>303</v>
      </c>
      <c r="BV86" t="str">
        <f>"Table "&amp;TRIM(RIGHT(SUBSTITUTE($A86,"_",REPT(" ",50)),50))</f>
        <v>Table 12</v>
      </c>
      <c r="BW86">
        <f>$BR86/$Q86</f>
        <v>80</v>
      </c>
      <c r="BX86" t="str">
        <f>IF($BW86&lt;40,"outside_low",IF($BW86&lt;=100,"short_anchor",IF($BW86&lt;250,"middle",IF($BW86&lt;=400,"long","outside_high"))))</f>
        <v>short_anchor</v>
      </c>
      <c r="BY86" t="str">
        <f>IF($N86&gt;1000,"PASS","FAIL")</f>
        <v>PASS</v>
      </c>
      <c r="BZ86" t="str">
        <f>IF(AND($BW86&gt;=40,$BW86&lt;=400),"PASS","FAIL")</f>
        <v>PASS</v>
      </c>
    </row>
    <row r="87" spans="1:78">
      <c r="A87" t="s">
        <v>241</v>
      </c>
      <c r="B87">
        <v>17236893.2329209</v>
      </c>
      <c r="C87">
        <v>626.57723583796803</v>
      </c>
      <c r="D87">
        <v>122.583590976701</v>
      </c>
      <c r="E87">
        <v>560.26337686439001</v>
      </c>
      <c r="F87">
        <v>2538890.6454807199</v>
      </c>
      <c r="G87">
        <v>1699798.64659754</v>
      </c>
      <c r="H87">
        <v>2.4290890628326198E-5</v>
      </c>
      <c r="I87">
        <v>6.4066005508525405E-5</v>
      </c>
      <c r="J87">
        <v>0.452884810527584</v>
      </c>
      <c r="K87">
        <v>11219.515372648901</v>
      </c>
      <c r="L87">
        <v>3.02925386118211E-3</v>
      </c>
      <c r="M87">
        <v>172</v>
      </c>
      <c r="N87">
        <v>2210.6549</v>
      </c>
      <c r="O87">
        <v>2.8502295699234199E-6</v>
      </c>
      <c r="P87">
        <v>5.98473400508856E-3</v>
      </c>
      <c r="Q87">
        <v>1.905E-3</v>
      </c>
      <c r="R87">
        <v>0.15240000000000001</v>
      </c>
      <c r="S87">
        <v>3902650.29296875</v>
      </c>
      <c r="T87">
        <v>523.21058206421105</v>
      </c>
      <c r="U87">
        <v>573.562331696721</v>
      </c>
      <c r="V87">
        <v>0.03</v>
      </c>
      <c r="W87">
        <v>65733.731189774204</v>
      </c>
      <c r="X87">
        <v>3.0534849970872299E-2</v>
      </c>
      <c r="Y87">
        <v>5.7227148266235099</v>
      </c>
      <c r="Z87">
        <v>5.7227148750663401</v>
      </c>
      <c r="AA87">
        <v>-4.8442837297102401E-8</v>
      </c>
      <c r="AB87">
        <v>1.0918461443926301E-5</v>
      </c>
      <c r="AC87">
        <v>726.65993029131698</v>
      </c>
      <c r="AD87">
        <v>2030.5383233820601</v>
      </c>
      <c r="AE87">
        <v>573.56233296332096</v>
      </c>
      <c r="AF87">
        <v>1.26659926991124E-6</v>
      </c>
      <c r="AG87">
        <v>1.10192118964619E-5</v>
      </c>
      <c r="AH87">
        <v>33.2931947608852</v>
      </c>
      <c r="AI87">
        <v>0.24377076397009001</v>
      </c>
      <c r="AJ87">
        <v>23.490742308906398</v>
      </c>
      <c r="AK87">
        <v>5.6958674940805398</v>
      </c>
      <c r="AL87">
        <v>1.5871354414155801</v>
      </c>
      <c r="AM87">
        <v>626.57723581179505</v>
      </c>
      <c r="AN87">
        <v>2.6172870093432701E-8</v>
      </c>
      <c r="AO87">
        <v>1.00750452535628E-7</v>
      </c>
      <c r="AP87">
        <v>2.5014144403560001</v>
      </c>
      <c r="AQ87">
        <v>3.0244265679186401E-5</v>
      </c>
      <c r="AR87">
        <v>5.5599811744987599E-6</v>
      </c>
      <c r="AS87">
        <v>11.852760999582699</v>
      </c>
      <c r="AT87">
        <v>9.3128041809361193</v>
      </c>
      <c r="AU87">
        <v>2.2701893898906498</v>
      </c>
      <c r="AV87">
        <v>0.23122505046535199</v>
      </c>
      <c r="AW87">
        <v>8.6615104403782693E-3</v>
      </c>
      <c r="AX87">
        <v>0.231225042888723</v>
      </c>
      <c r="AY87">
        <v>7.5766286855571996E-9</v>
      </c>
      <c r="AZ87">
        <v>839091.99888317997</v>
      </c>
      <c r="BA87">
        <v>1.20908655484063E-5</v>
      </c>
      <c r="BB87">
        <v>3917341.4525248799</v>
      </c>
      <c r="BC87">
        <v>14691.159556129</v>
      </c>
      <c r="BD87">
        <v>0.37644058404611602</v>
      </c>
      <c r="BE87">
        <v>3785508</v>
      </c>
      <c r="BF87">
        <v>1.03482582853474</v>
      </c>
      <c r="BG87">
        <v>1</v>
      </c>
      <c r="BH87">
        <v>-7.8E-2</v>
      </c>
      <c r="BI87">
        <v>4.5999999999999999E-2</v>
      </c>
      <c r="BJ87">
        <v>5625</v>
      </c>
      <c r="BK87">
        <v>1</v>
      </c>
      <c r="BL87">
        <v>103.36665377375699</v>
      </c>
      <c r="BM87">
        <v>3.9173414525248802</v>
      </c>
      <c r="BN87">
        <v>103.36665377375699</v>
      </c>
      <c r="BO87">
        <v>1</v>
      </c>
      <c r="BP87">
        <v>4015.3328104831899</v>
      </c>
      <c r="BQ87">
        <v>1</v>
      </c>
      <c r="BR87">
        <v>0.15240000000000001</v>
      </c>
      <c r="BS87">
        <v>86</v>
      </c>
      <c r="BT87">
        <v>173</v>
      </c>
      <c r="BU87" t="s">
        <v>303</v>
      </c>
      <c r="BV87" t="str">
        <f>"Table "&amp;TRIM(RIGHT(SUBSTITUTE($A87,"_",REPT(" ",50)),50))</f>
        <v>Table 12</v>
      </c>
      <c r="BW87">
        <f>$BR87/$Q87</f>
        <v>80</v>
      </c>
      <c r="BX87" t="str">
        <f>IF($BW87&lt;40,"outside_low",IF($BW87&lt;=100,"short_anchor",IF($BW87&lt;250,"middle",IF($BW87&lt;=400,"long","outside_high"))))</f>
        <v>short_anchor</v>
      </c>
      <c r="BY87" t="str">
        <f>IF($N87&gt;1000,"PASS","FAIL")</f>
        <v>PASS</v>
      </c>
      <c r="BZ87" t="str">
        <f>IF(AND($BW87&gt;=40,$BW87&lt;=400),"PASS","FAIL")</f>
        <v>PASS</v>
      </c>
    </row>
    <row r="88" spans="1:78">
      <c r="A88" t="s">
        <v>242</v>
      </c>
      <c r="B88">
        <v>17236893.2329209</v>
      </c>
      <c r="C88">
        <v>626.57723583796803</v>
      </c>
      <c r="D88">
        <v>122.583590976701</v>
      </c>
      <c r="E88">
        <v>560.26337686439001</v>
      </c>
      <c r="F88">
        <v>2538890.6454807199</v>
      </c>
      <c r="G88">
        <v>1699798.64659754</v>
      </c>
      <c r="H88">
        <v>2.4290890628326198E-5</v>
      </c>
      <c r="I88">
        <v>6.4066005508525405E-5</v>
      </c>
      <c r="J88">
        <v>0.452884810527584</v>
      </c>
      <c r="K88">
        <v>11219.515372648901</v>
      </c>
      <c r="L88">
        <v>3.02925386118211E-3</v>
      </c>
      <c r="M88">
        <v>173</v>
      </c>
      <c r="N88">
        <v>2766.7091999999998</v>
      </c>
      <c r="O88">
        <v>2.8502295699234199E-6</v>
      </c>
      <c r="P88">
        <v>5.98473400508856E-3</v>
      </c>
      <c r="Q88">
        <v>1.905E-3</v>
      </c>
      <c r="R88">
        <v>0.15240000000000001</v>
      </c>
      <c r="S88">
        <v>4545068.359375</v>
      </c>
      <c r="T88">
        <v>519.29568547134102</v>
      </c>
      <c r="U88">
        <v>566.15034492094901</v>
      </c>
      <c r="V88">
        <v>0.03</v>
      </c>
      <c r="W88">
        <v>82267.982593337001</v>
      </c>
      <c r="X88">
        <v>2.77491536244742E-2</v>
      </c>
      <c r="Y88">
        <v>6.00309379981202</v>
      </c>
      <c r="Z88">
        <v>6.00309380657938</v>
      </c>
      <c r="AA88">
        <v>-6.76735467664002E-9</v>
      </c>
      <c r="AB88">
        <v>7.6704769287397103E-6</v>
      </c>
      <c r="AC88">
        <v>720.37071138322597</v>
      </c>
      <c r="AD88">
        <v>2422.5945115211698</v>
      </c>
      <c r="AE88">
        <v>566.15034492094901</v>
      </c>
      <c r="AF88">
        <v>0</v>
      </c>
      <c r="AG88">
        <v>7.7617947172481596E-6</v>
      </c>
      <c r="AH88">
        <v>47.390855447313001</v>
      </c>
      <c r="AI88">
        <v>0.29083800490878298</v>
      </c>
      <c r="AJ88">
        <v>19.7413976709285</v>
      </c>
      <c r="AK88">
        <v>5.6434665135834399</v>
      </c>
      <c r="AL88">
        <v>1.5871354414155801</v>
      </c>
      <c r="AM88">
        <v>626.57723581479104</v>
      </c>
      <c r="AN88">
        <v>2.3176767172117302E-8</v>
      </c>
      <c r="AO88">
        <v>9.1317788508449297E-8</v>
      </c>
      <c r="AP88">
        <v>2.7137118997028802</v>
      </c>
      <c r="AQ88">
        <v>2.5697263135685199E-5</v>
      </c>
      <c r="AR88">
        <v>3.9265562528783003E-6</v>
      </c>
      <c r="AS88">
        <v>9.9868279552777999</v>
      </c>
      <c r="AT88">
        <v>8.4563351012273298</v>
      </c>
      <c r="AU88">
        <v>2.4594236296810701</v>
      </c>
      <c r="AV88">
        <v>0.25428827002181298</v>
      </c>
      <c r="AW88">
        <v>6.0849155663701901E-3</v>
      </c>
      <c r="AX88">
        <v>0.25428826619946299</v>
      </c>
      <c r="AY88">
        <v>3.8223497145217802E-9</v>
      </c>
      <c r="AZ88">
        <v>839091.99888317997</v>
      </c>
      <c r="BA88">
        <v>9.4694146193259503E-6</v>
      </c>
      <c r="BB88">
        <v>4533504.6684059603</v>
      </c>
      <c r="BC88">
        <v>-11563.690969036001</v>
      </c>
      <c r="BD88">
        <v>-0.25442281731987199</v>
      </c>
      <c r="BE88">
        <v>4952706.3</v>
      </c>
      <c r="BF88">
        <v>0.91535907719905896</v>
      </c>
      <c r="BG88">
        <v>1</v>
      </c>
      <c r="BH88">
        <v>-7.0000000000000007E-2</v>
      </c>
      <c r="BI88">
        <v>4.5999999999999999E-2</v>
      </c>
      <c r="BJ88">
        <v>5625</v>
      </c>
      <c r="BK88">
        <v>1</v>
      </c>
      <c r="BL88">
        <v>107.281550366627</v>
      </c>
      <c r="BM88">
        <v>4.5335046684059597</v>
      </c>
      <c r="BN88">
        <v>107.281550366627</v>
      </c>
      <c r="BO88">
        <v>1</v>
      </c>
      <c r="BP88">
        <v>4526.8070197369698</v>
      </c>
      <c r="BQ88">
        <v>1</v>
      </c>
      <c r="BR88">
        <v>0.15240000000000001</v>
      </c>
      <c r="BS88">
        <v>87</v>
      </c>
      <c r="BT88">
        <v>174</v>
      </c>
      <c r="BU88" t="s">
        <v>303</v>
      </c>
      <c r="BV88" t="str">
        <f>"Table "&amp;TRIM(RIGHT(SUBSTITUTE($A88,"_",REPT(" ",50)),50))</f>
        <v>Table 12</v>
      </c>
      <c r="BW88">
        <f>$BR88/$Q88</f>
        <v>80</v>
      </c>
      <c r="BX88" t="str">
        <f>IF($BW88&lt;40,"outside_low",IF($BW88&lt;=100,"short_anchor",IF($BW88&lt;250,"middle",IF($BW88&lt;=400,"long","outside_high"))))</f>
        <v>short_anchor</v>
      </c>
      <c r="BY88" t="str">
        <f>IF($N88&gt;1000,"PASS","FAIL")</f>
        <v>PASS</v>
      </c>
      <c r="BZ88" t="str">
        <f>IF(AND($BW88&gt;=40,$BW88&lt;=400),"PASS","FAIL")</f>
        <v>PASS</v>
      </c>
    </row>
    <row r="89" spans="1:78">
      <c r="A89" t="s">
        <v>243</v>
      </c>
      <c r="B89">
        <v>17236893.2329209</v>
      </c>
      <c r="C89">
        <v>626.57723583796803</v>
      </c>
      <c r="D89">
        <v>122.583590976701</v>
      </c>
      <c r="E89">
        <v>560.26337686439001</v>
      </c>
      <c r="F89">
        <v>2538890.6454807199</v>
      </c>
      <c r="G89">
        <v>1699798.64659754</v>
      </c>
      <c r="H89">
        <v>2.4290890628326198E-5</v>
      </c>
      <c r="I89">
        <v>6.4066005508525405E-5</v>
      </c>
      <c r="J89">
        <v>0.452884810527584</v>
      </c>
      <c r="K89">
        <v>11219.515372648901</v>
      </c>
      <c r="L89">
        <v>3.02925386118211E-3</v>
      </c>
      <c r="M89">
        <v>174</v>
      </c>
      <c r="N89">
        <v>2820.9584</v>
      </c>
      <c r="O89">
        <v>2.8502295699234199E-6</v>
      </c>
      <c r="P89">
        <v>5.98473400508856E-3</v>
      </c>
      <c r="Q89">
        <v>1.905E-3</v>
      </c>
      <c r="R89">
        <v>0.15240000000000001</v>
      </c>
      <c r="S89">
        <v>3380886.34765625</v>
      </c>
      <c r="T89">
        <v>551.03814075669595</v>
      </c>
      <c r="U89">
        <v>585.22110890238002</v>
      </c>
      <c r="V89">
        <v>0.03</v>
      </c>
      <c r="W89">
        <v>83881.080291245598</v>
      </c>
      <c r="X89">
        <v>2.7526308797267501E-2</v>
      </c>
      <c r="Y89">
        <v>6.0273444501828601</v>
      </c>
      <c r="Z89">
        <v>6.02734448036861</v>
      </c>
      <c r="AA89">
        <v>-3.0185753452372001E-8</v>
      </c>
      <c r="AB89">
        <v>7.4380277893052797E-6</v>
      </c>
      <c r="AC89">
        <v>689.56169051886502</v>
      </c>
      <c r="AD89">
        <v>2460.15808360652</v>
      </c>
      <c r="AE89">
        <v>585.22110890238002</v>
      </c>
      <c r="AF89">
        <v>0</v>
      </c>
      <c r="AG89">
        <v>7.5056050981651996E-6</v>
      </c>
      <c r="AH89">
        <v>48.871888306806902</v>
      </c>
      <c r="AI89">
        <v>0.29534759754204998</v>
      </c>
      <c r="AJ89">
        <v>19.385800582267098</v>
      </c>
      <c r="AK89">
        <v>3.8127433516572</v>
      </c>
      <c r="AL89">
        <v>1.5871354414155801</v>
      </c>
      <c r="AM89">
        <v>626.57723582204903</v>
      </c>
      <c r="AN89">
        <v>1.59193405124824E-8</v>
      </c>
      <c r="AO89">
        <v>6.7577308859925903E-8</v>
      </c>
      <c r="AP89">
        <v>2.7239410138607698</v>
      </c>
      <c r="AQ89">
        <v>2.5504625569601401E-5</v>
      </c>
      <c r="AR89">
        <v>3.7865912035125598E-6</v>
      </c>
      <c r="AS89">
        <v>9.7801710851808608</v>
      </c>
      <c r="AT89">
        <v>8.3517848863299804</v>
      </c>
      <c r="AU89">
        <v>2.4666796013655699</v>
      </c>
      <c r="AV89">
        <v>0.25726141249520801</v>
      </c>
      <c r="AW89">
        <v>5.9005158999512301E-3</v>
      </c>
      <c r="AX89">
        <v>0.25726141060186197</v>
      </c>
      <c r="AY89">
        <v>1.8933462020420702E-9</v>
      </c>
      <c r="AZ89">
        <v>839091.99888317997</v>
      </c>
      <c r="BA89">
        <v>9.3631343115805698E-6</v>
      </c>
      <c r="BB89">
        <v>3392981.2057726099</v>
      </c>
      <c r="BC89">
        <v>12094.858116356199</v>
      </c>
      <c r="BD89">
        <v>0.35774222711570203</v>
      </c>
      <c r="BE89">
        <v>4132512.9</v>
      </c>
      <c r="BF89">
        <v>0.82104552069821901</v>
      </c>
      <c r="BG89">
        <v>1</v>
      </c>
      <c r="BH89">
        <v>-1.0999999999999999E-2</v>
      </c>
      <c r="BI89">
        <v>4.5999999999999999E-2</v>
      </c>
      <c r="BJ89">
        <v>5625</v>
      </c>
      <c r="BK89">
        <v>1</v>
      </c>
      <c r="BL89">
        <v>75.539095081272094</v>
      </c>
      <c r="BM89">
        <v>3.3929812057726099</v>
      </c>
      <c r="BN89">
        <v>75.539095081272094</v>
      </c>
      <c r="BO89">
        <v>1</v>
      </c>
      <c r="BP89">
        <v>1263.0272791957</v>
      </c>
      <c r="BQ89">
        <v>1</v>
      </c>
      <c r="BR89">
        <v>0.15240000000000001</v>
      </c>
      <c r="BS89">
        <v>88</v>
      </c>
      <c r="BT89">
        <v>175</v>
      </c>
      <c r="BU89" t="s">
        <v>303</v>
      </c>
      <c r="BV89" t="str">
        <f>"Table "&amp;TRIM(RIGHT(SUBSTITUTE($A89,"_",REPT(" ",50)),50))</f>
        <v>Table 12</v>
      </c>
      <c r="BW89">
        <f>$BR89/$Q89</f>
        <v>80</v>
      </c>
      <c r="BX89" t="str">
        <f>IF($BW89&lt;40,"outside_low",IF($BW89&lt;=100,"short_anchor",IF($BW89&lt;250,"middle",IF($BW89&lt;=400,"long","outside_high"))))</f>
        <v>short_anchor</v>
      </c>
      <c r="BY89" t="str">
        <f>IF($N89&gt;1000,"PASS","FAIL")</f>
        <v>PASS</v>
      </c>
      <c r="BZ89" t="str">
        <f>IF(AND($BW89&gt;=40,$BW89&lt;=400),"PASS","FAIL")</f>
        <v>PASS</v>
      </c>
    </row>
    <row r="90" spans="1:78">
      <c r="A90" t="s">
        <v>244</v>
      </c>
      <c r="B90">
        <v>17236893.2329209</v>
      </c>
      <c r="C90">
        <v>626.57723583796803</v>
      </c>
      <c r="D90">
        <v>122.583590976701</v>
      </c>
      <c r="E90">
        <v>560.26337686439001</v>
      </c>
      <c r="F90">
        <v>2538890.6454807199</v>
      </c>
      <c r="G90">
        <v>1699798.64659754</v>
      </c>
      <c r="H90">
        <v>2.4290890628326198E-5</v>
      </c>
      <c r="I90">
        <v>6.4066005508525405E-5</v>
      </c>
      <c r="J90">
        <v>0.452884810527584</v>
      </c>
      <c r="K90">
        <v>11219.515372648901</v>
      </c>
      <c r="L90">
        <v>3.02925386118211E-3</v>
      </c>
      <c r="M90">
        <v>175</v>
      </c>
      <c r="N90">
        <v>2848.0830000000001</v>
      </c>
      <c r="O90">
        <v>2.8502295699234199E-6</v>
      </c>
      <c r="P90">
        <v>5.98473400508856E-3</v>
      </c>
      <c r="Q90">
        <v>1.905E-3</v>
      </c>
      <c r="R90">
        <v>0.15240000000000001</v>
      </c>
      <c r="S90">
        <v>6278063.96484375</v>
      </c>
      <c r="T90">
        <v>474.87307781161599</v>
      </c>
      <c r="U90">
        <v>537.74387614745797</v>
      </c>
      <c r="V90">
        <v>0.03</v>
      </c>
      <c r="W90">
        <v>84687.629140199904</v>
      </c>
      <c r="X90">
        <v>2.74174892535737E-2</v>
      </c>
      <c r="Y90">
        <v>6.0392938184881597</v>
      </c>
      <c r="Z90">
        <v>6.0392938316842102</v>
      </c>
      <c r="AA90">
        <v>-1.31960531390973E-8</v>
      </c>
      <c r="AB90">
        <v>7.3259874902453803E-6</v>
      </c>
      <c r="AC90">
        <v>761.59762223365499</v>
      </c>
      <c r="AD90">
        <v>2478.8989676378101</v>
      </c>
      <c r="AE90">
        <v>537.74387614745797</v>
      </c>
      <c r="AF90">
        <v>0</v>
      </c>
      <c r="AG90">
        <v>7.4468232207589699E-6</v>
      </c>
      <c r="AH90">
        <v>49.619312594496101</v>
      </c>
      <c r="AI90">
        <v>0.29759748347878701</v>
      </c>
      <c r="AJ90">
        <v>19.3804959518327</v>
      </c>
      <c r="AK90">
        <v>8.1741634208679095</v>
      </c>
      <c r="AL90">
        <v>1.5871354414155801</v>
      </c>
      <c r="AM90">
        <v>626.577235878274</v>
      </c>
      <c r="AN90">
        <v>-4.0306190385308602E-8</v>
      </c>
      <c r="AO90">
        <v>1.2083573051359301E-7</v>
      </c>
      <c r="AP90">
        <v>2.7522331409495902</v>
      </c>
      <c r="AQ90">
        <v>2.4982960973471E-5</v>
      </c>
      <c r="AR90">
        <v>3.7838294756362801E-6</v>
      </c>
      <c r="AS90">
        <v>9.8474865940916505</v>
      </c>
      <c r="AT90">
        <v>8.3860812725527598</v>
      </c>
      <c r="AU90">
        <v>2.4956766829602901</v>
      </c>
      <c r="AV90">
        <v>0.25655645798929899</v>
      </c>
      <c r="AW90">
        <v>5.8116354084063104E-3</v>
      </c>
      <c r="AX90">
        <v>0.25655644981672598</v>
      </c>
      <c r="AY90">
        <v>8.1725728406922793E-9</v>
      </c>
      <c r="AZ90">
        <v>839091.99888317997</v>
      </c>
      <c r="BA90">
        <v>9.07734181445518E-6</v>
      </c>
      <c r="BB90">
        <v>6258042.3378953803</v>
      </c>
      <c r="BC90">
        <v>-20021.6269483697</v>
      </c>
      <c r="BD90">
        <v>-0.31891403242285998</v>
      </c>
      <c r="BE90">
        <v>6056812.7999999998</v>
      </c>
      <c r="BF90">
        <v>1.0332236680478799</v>
      </c>
      <c r="BG90">
        <v>1</v>
      </c>
      <c r="BH90">
        <v>-0.182</v>
      </c>
      <c r="BI90">
        <v>4.5999999999999999E-2</v>
      </c>
      <c r="BJ90">
        <v>5625</v>
      </c>
      <c r="BK90">
        <v>1</v>
      </c>
      <c r="BL90">
        <v>151.70415802635199</v>
      </c>
      <c r="BM90">
        <v>6.2580423378953798</v>
      </c>
      <c r="BN90">
        <v>151.70415802635199</v>
      </c>
      <c r="BO90">
        <v>1</v>
      </c>
      <c r="BP90">
        <v>12477.818920376199</v>
      </c>
      <c r="BQ90">
        <v>1</v>
      </c>
      <c r="BR90">
        <v>0.15240000000000001</v>
      </c>
      <c r="BS90">
        <v>89</v>
      </c>
      <c r="BT90">
        <v>176</v>
      </c>
      <c r="BU90" t="s">
        <v>303</v>
      </c>
      <c r="BV90" t="str">
        <f>"Table "&amp;TRIM(RIGHT(SUBSTITUTE($A90,"_",REPT(" ",50)),50))</f>
        <v>Table 12</v>
      </c>
      <c r="BW90">
        <f>$BR90/$Q90</f>
        <v>80</v>
      </c>
      <c r="BX90" t="str">
        <f>IF($BW90&lt;40,"outside_low",IF($BW90&lt;=100,"short_anchor",IF($BW90&lt;250,"middle",IF($BW90&lt;=400,"long","outside_high"))))</f>
        <v>short_anchor</v>
      </c>
      <c r="BY90" t="str">
        <f>IF($N90&gt;1000,"PASS","FAIL")</f>
        <v>PASS</v>
      </c>
      <c r="BZ90" t="str">
        <f>IF(AND($BW90&gt;=40,$BW90&lt;=400),"PASS","FAIL")</f>
        <v>PASS</v>
      </c>
    </row>
    <row r="91" spans="1:78">
      <c r="A91" t="s">
        <v>245</v>
      </c>
      <c r="B91">
        <v>17236893.2329209</v>
      </c>
      <c r="C91">
        <v>626.57723583796803</v>
      </c>
      <c r="D91">
        <v>122.583590976701</v>
      </c>
      <c r="E91">
        <v>560.26337686439001</v>
      </c>
      <c r="F91">
        <v>2538890.6454807199</v>
      </c>
      <c r="G91">
        <v>1699798.64659754</v>
      </c>
      <c r="H91">
        <v>2.4290890628326198E-5</v>
      </c>
      <c r="I91">
        <v>6.4066005508525405E-5</v>
      </c>
      <c r="J91">
        <v>0.452884810527584</v>
      </c>
      <c r="K91">
        <v>11219.515372648901</v>
      </c>
      <c r="L91">
        <v>3.02925386118211E-3</v>
      </c>
      <c r="M91">
        <v>176</v>
      </c>
      <c r="N91">
        <v>2848.0830000000001</v>
      </c>
      <c r="O91">
        <v>2.8502295699234199E-6</v>
      </c>
      <c r="P91">
        <v>5.98473400508856E-3</v>
      </c>
      <c r="Q91">
        <v>1.905E-3</v>
      </c>
      <c r="R91">
        <v>0.15240000000000001</v>
      </c>
      <c r="S91">
        <v>3378851.07421875</v>
      </c>
      <c r="T91">
        <v>551.548441132118</v>
      </c>
      <c r="U91">
        <v>585.38547523747798</v>
      </c>
      <c r="V91">
        <v>0.03</v>
      </c>
      <c r="W91">
        <v>84687.629140199904</v>
      </c>
      <c r="X91">
        <v>2.74174892535737E-2</v>
      </c>
      <c r="Y91">
        <v>6.0392938184881597</v>
      </c>
      <c r="Z91">
        <v>6.0392938316842102</v>
      </c>
      <c r="AA91">
        <v>-1.31960531390973E-8</v>
      </c>
      <c r="AB91">
        <v>7.3259874902453803E-6</v>
      </c>
      <c r="AC91">
        <v>688.80484788828198</v>
      </c>
      <c r="AD91">
        <v>2478.8989676378101</v>
      </c>
      <c r="AE91">
        <v>585.38547523747798</v>
      </c>
      <c r="AF91">
        <v>0</v>
      </c>
      <c r="AG91">
        <v>7.3931100003053802E-6</v>
      </c>
      <c r="AH91">
        <v>49.619312594496101</v>
      </c>
      <c r="AI91">
        <v>0.29759748347878701</v>
      </c>
      <c r="AJ91">
        <v>19.240706296472201</v>
      </c>
      <c r="AK91">
        <v>3.7764248653930999</v>
      </c>
      <c r="AL91">
        <v>1.5871354414155801</v>
      </c>
      <c r="AM91">
        <v>626.577235893124</v>
      </c>
      <c r="AN91">
        <v>-5.5155624067992903E-8</v>
      </c>
      <c r="AO91">
        <v>6.7122510060004999E-8</v>
      </c>
      <c r="AP91">
        <v>2.7327849201010301</v>
      </c>
      <c r="AQ91">
        <v>2.5339815281526499E-5</v>
      </c>
      <c r="AR91">
        <v>3.73011625518269E-6</v>
      </c>
      <c r="AS91">
        <v>9.7076969387311198</v>
      </c>
      <c r="AT91">
        <v>8.3145953484691706</v>
      </c>
      <c r="AU91">
        <v>2.4744026518488602</v>
      </c>
      <c r="AV91">
        <v>0.25838226825217298</v>
      </c>
      <c r="AW91">
        <v>5.8116354084063104E-3</v>
      </c>
      <c r="AX91">
        <v>0.25838226730402902</v>
      </c>
      <c r="AY91">
        <v>9.4814439632884294E-10</v>
      </c>
      <c r="AZ91">
        <v>839091.99888317997</v>
      </c>
      <c r="BA91">
        <v>9.2725245573258296E-6</v>
      </c>
      <c r="BB91">
        <v>3403078.8425274398</v>
      </c>
      <c r="BC91">
        <v>24227.768308694001</v>
      </c>
      <c r="BD91">
        <v>0.71704161493107199</v>
      </c>
      <c r="BE91">
        <v>4195604.7</v>
      </c>
      <c r="BF91">
        <v>0.81110568937236704</v>
      </c>
      <c r="BG91">
        <v>1</v>
      </c>
      <c r="BH91">
        <v>-5.0000000000000001E-3</v>
      </c>
      <c r="BI91">
        <v>4.5999999999999999E-2</v>
      </c>
      <c r="BJ91">
        <v>5625</v>
      </c>
      <c r="BK91">
        <v>1</v>
      </c>
      <c r="BL91">
        <v>75.028794705850004</v>
      </c>
      <c r="BM91">
        <v>3.4030788425274401</v>
      </c>
      <c r="BN91">
        <v>75.028794705850004</v>
      </c>
      <c r="BO91">
        <v>1</v>
      </c>
      <c r="BP91">
        <v>1227.01645854459</v>
      </c>
      <c r="BQ91">
        <v>1</v>
      </c>
      <c r="BR91">
        <v>0.15240000000000001</v>
      </c>
      <c r="BS91">
        <v>90</v>
      </c>
      <c r="BT91">
        <v>177</v>
      </c>
      <c r="BU91" t="s">
        <v>303</v>
      </c>
      <c r="BV91" t="str">
        <f>"Table "&amp;TRIM(RIGHT(SUBSTITUTE($A91,"_",REPT(" ",50)),50))</f>
        <v>Table 12</v>
      </c>
      <c r="BW91">
        <f>$BR91/$Q91</f>
        <v>80</v>
      </c>
      <c r="BX91" t="str">
        <f>IF($BW91&lt;40,"outside_low",IF($BW91&lt;=100,"short_anchor",IF($BW91&lt;250,"middle",IF($BW91&lt;=400,"long","outside_high"))))</f>
        <v>short_anchor</v>
      </c>
      <c r="BY91" t="str">
        <f>IF($N91&gt;1000,"PASS","FAIL")</f>
        <v>PASS</v>
      </c>
      <c r="BZ91" t="str">
        <f>IF(AND($BW91&gt;=40,$BW91&lt;=400),"PASS","FAIL")</f>
        <v>PASS</v>
      </c>
    </row>
    <row r="92" spans="1:78">
      <c r="A92" t="s">
        <v>246</v>
      </c>
      <c r="B92">
        <v>17236893.2329209</v>
      </c>
      <c r="C92">
        <v>626.57723583796803</v>
      </c>
      <c r="D92">
        <v>122.583590976701</v>
      </c>
      <c r="E92">
        <v>560.26337686439001</v>
      </c>
      <c r="F92">
        <v>2538890.6454807199</v>
      </c>
      <c r="G92">
        <v>1699798.64659754</v>
      </c>
      <c r="H92">
        <v>2.4290890628326198E-5</v>
      </c>
      <c r="I92">
        <v>6.4066005508525405E-5</v>
      </c>
      <c r="J92">
        <v>0.452884810527584</v>
      </c>
      <c r="K92">
        <v>11219.515372648901</v>
      </c>
      <c r="L92">
        <v>3.02925386118211E-3</v>
      </c>
      <c r="M92">
        <v>177</v>
      </c>
      <c r="N92">
        <v>2875.2076000000002</v>
      </c>
      <c r="O92">
        <v>2.8502295699234199E-6</v>
      </c>
      <c r="P92">
        <v>5.98473400508856E-3</v>
      </c>
      <c r="Q92">
        <v>1.905E-3</v>
      </c>
      <c r="R92">
        <v>0.15240000000000001</v>
      </c>
      <c r="S92">
        <v>4998843.65234375</v>
      </c>
      <c r="T92">
        <v>509.82521111723401</v>
      </c>
      <c r="U92">
        <v>559.41316929684501</v>
      </c>
      <c r="V92">
        <v>0.03</v>
      </c>
      <c r="W92">
        <v>85494.177989154094</v>
      </c>
      <c r="X92">
        <v>2.73103466117205E-2</v>
      </c>
      <c r="Y92">
        <v>6.0511287561987697</v>
      </c>
      <c r="Z92">
        <v>6.0511287704394796</v>
      </c>
      <c r="AA92">
        <v>-1.4240713497315501E-8</v>
      </c>
      <c r="AB92">
        <v>7.21661455980452E-6</v>
      </c>
      <c r="AC92">
        <v>727.57907428259296</v>
      </c>
      <c r="AD92">
        <v>2497.6130670733201</v>
      </c>
      <c r="AE92">
        <v>559.41317057263598</v>
      </c>
      <c r="AF92">
        <v>1.27579062336736E-6</v>
      </c>
      <c r="AG92">
        <v>7.3132384476773603E-6</v>
      </c>
      <c r="AH92">
        <v>50.371328595897701</v>
      </c>
      <c r="AI92">
        <v>0.29984415386361801</v>
      </c>
      <c r="AJ92">
        <v>19.1765248394141</v>
      </c>
      <c r="AK92">
        <v>6.1364118691965199</v>
      </c>
      <c r="AL92">
        <v>1.5871354414155801</v>
      </c>
      <c r="AM92">
        <v>626.57723581205801</v>
      </c>
      <c r="AN92">
        <v>2.5909685064107199E-8</v>
      </c>
      <c r="AO92">
        <v>9.6623887872843701E-8</v>
      </c>
      <c r="AP92">
        <v>2.7526553045083499</v>
      </c>
      <c r="AQ92">
        <v>2.4975298490683299E-5</v>
      </c>
      <c r="AR92">
        <v>3.7049311677750999E-6</v>
      </c>
      <c r="AS92">
        <v>9.7149443540601599</v>
      </c>
      <c r="AT92">
        <v>8.3183267748782495</v>
      </c>
      <c r="AU92">
        <v>2.49420165337445</v>
      </c>
      <c r="AV92">
        <v>0.25845365113390001</v>
      </c>
      <c r="AW92">
        <v>5.7248709147298396E-3</v>
      </c>
      <c r="AX92">
        <v>0.25845364261977299</v>
      </c>
      <c r="AY92">
        <v>8.5141277916811492E-9</v>
      </c>
      <c r="AZ92">
        <v>839091.99888317997</v>
      </c>
      <c r="BA92">
        <v>9.0731659898638008E-6</v>
      </c>
      <c r="BB92">
        <v>5006422.1420711903</v>
      </c>
      <c r="BC92">
        <v>7578.4897274356299</v>
      </c>
      <c r="BD92">
        <v>0.15160485613272601</v>
      </c>
      <c r="BE92">
        <v>5078889.9000000004</v>
      </c>
      <c r="BF92">
        <v>0.98573157533325995</v>
      </c>
      <c r="BG92">
        <v>1</v>
      </c>
      <c r="BH92">
        <v>-0.13100000000000001</v>
      </c>
      <c r="BI92">
        <v>4.5999999999999999E-2</v>
      </c>
      <c r="BJ92">
        <v>5625</v>
      </c>
      <c r="BK92">
        <v>1</v>
      </c>
      <c r="BL92">
        <v>116.752024720734</v>
      </c>
      <c r="BM92">
        <v>5.0064221420711901</v>
      </c>
      <c r="BN92">
        <v>116.752024720734</v>
      </c>
      <c r="BO92">
        <v>1</v>
      </c>
      <c r="BP92">
        <v>5890.87329873217</v>
      </c>
      <c r="BQ92">
        <v>1</v>
      </c>
      <c r="BR92">
        <v>0.15240000000000001</v>
      </c>
      <c r="BS92">
        <v>91</v>
      </c>
      <c r="BT92">
        <v>178</v>
      </c>
      <c r="BU92" t="s">
        <v>303</v>
      </c>
      <c r="BV92" t="str">
        <f>"Table "&amp;TRIM(RIGHT(SUBSTITUTE($A92,"_",REPT(" ",50)),50))</f>
        <v>Table 12</v>
      </c>
      <c r="BW92">
        <f>$BR92/$Q92</f>
        <v>80</v>
      </c>
      <c r="BX92" t="str">
        <f>IF($BW92&lt;40,"outside_low",IF($BW92&lt;=100,"short_anchor",IF($BW92&lt;250,"middle",IF($BW92&lt;=400,"long","outside_high"))))</f>
        <v>short_anchor</v>
      </c>
      <c r="BY92" t="str">
        <f>IF($N92&gt;1000,"PASS","FAIL")</f>
        <v>PASS</v>
      </c>
      <c r="BZ92" t="str">
        <f>IF(AND($BW92&gt;=40,$BW92&lt;=400),"PASS","FAIL")</f>
        <v>PASS</v>
      </c>
    </row>
    <row r="93" spans="1:78">
      <c r="A93" t="s">
        <v>247</v>
      </c>
      <c r="B93">
        <v>17236893.2329209</v>
      </c>
      <c r="C93">
        <v>626.57723583796803</v>
      </c>
      <c r="D93">
        <v>122.583590976701</v>
      </c>
      <c r="E93">
        <v>560.26337686439001</v>
      </c>
      <c r="F93">
        <v>2538890.6454807199</v>
      </c>
      <c r="G93">
        <v>1699798.64659754</v>
      </c>
      <c r="H93">
        <v>2.4290890628326198E-5</v>
      </c>
      <c r="I93">
        <v>6.4066005508525405E-5</v>
      </c>
      <c r="J93">
        <v>0.452884810527584</v>
      </c>
      <c r="K93">
        <v>11219.515372648901</v>
      </c>
      <c r="L93">
        <v>3.02925386118211E-3</v>
      </c>
      <c r="M93">
        <v>178</v>
      </c>
      <c r="N93">
        <v>2888.7698999999998</v>
      </c>
      <c r="O93">
        <v>2.8502295699234199E-6</v>
      </c>
      <c r="P93">
        <v>5.98473400508856E-3</v>
      </c>
      <c r="Q93">
        <v>1.905E-3</v>
      </c>
      <c r="R93">
        <v>0.15240000000000001</v>
      </c>
      <c r="S93">
        <v>6305664.0625</v>
      </c>
      <c r="T93">
        <v>475.39939134230099</v>
      </c>
      <c r="U93">
        <v>537.65718989493701</v>
      </c>
      <c r="V93">
        <v>0.03</v>
      </c>
      <c r="W93">
        <v>85897.452413631298</v>
      </c>
      <c r="X93">
        <v>2.7257390800543999E-2</v>
      </c>
      <c r="Y93">
        <v>6.0570039873577297</v>
      </c>
      <c r="Z93">
        <v>6.0570039906741799</v>
      </c>
      <c r="AA93">
        <v>-3.31644756101923E-9</v>
      </c>
      <c r="AB93">
        <v>7.1629011260640303E-6</v>
      </c>
      <c r="AC93">
        <v>760.13715317235005</v>
      </c>
      <c r="AD93">
        <v>2506.9601743329799</v>
      </c>
      <c r="AE93">
        <v>537.65718989493701</v>
      </c>
      <c r="AF93">
        <v>0</v>
      </c>
      <c r="AG93">
        <v>7.2831778316785697E-6</v>
      </c>
      <c r="AH93">
        <v>50.749055018940403</v>
      </c>
      <c r="AI93">
        <v>0.30096629544122799</v>
      </c>
      <c r="AJ93">
        <v>19.169172458375801</v>
      </c>
      <c r="AK93">
        <v>8.1155388555069994</v>
      </c>
      <c r="AL93">
        <v>1.5871354414155801</v>
      </c>
      <c r="AM93">
        <v>626.57723578996399</v>
      </c>
      <c r="AN93">
        <v>4.8004380914790097E-8</v>
      </c>
      <c r="AO93">
        <v>1.2027670561454001E-7</v>
      </c>
      <c r="AP93">
        <v>2.7660225058356902</v>
      </c>
      <c r="AQ93">
        <v>2.4734488335482698E-5</v>
      </c>
      <c r="AR93">
        <v>3.7017272686465499E-6</v>
      </c>
      <c r="AS93">
        <v>9.7428691220359998</v>
      </c>
      <c r="AT93">
        <v>8.3326782266391692</v>
      </c>
      <c r="AU93">
        <v>2.5078552969753698</v>
      </c>
      <c r="AV93">
        <v>0.25816720886031702</v>
      </c>
      <c r="AW93">
        <v>5.6822605644052003E-3</v>
      </c>
      <c r="AX93">
        <v>0.25816719497561202</v>
      </c>
      <c r="AY93">
        <v>1.38847046637913E-8</v>
      </c>
      <c r="AZ93">
        <v>839091.99888317997</v>
      </c>
      <c r="BA93">
        <v>8.9422585258429605E-6</v>
      </c>
      <c r="BB93">
        <v>6323188.33376987</v>
      </c>
      <c r="BC93">
        <v>17524.271269870002</v>
      </c>
      <c r="BD93">
        <v>0.27791317609333899</v>
      </c>
      <c r="BE93">
        <v>5993721</v>
      </c>
      <c r="BF93">
        <v>1.0549687470888101</v>
      </c>
      <c r="BG93">
        <v>1</v>
      </c>
      <c r="BH93">
        <v>-0.19900000000000001</v>
      </c>
      <c r="BI93">
        <v>4.5999999999999999E-2</v>
      </c>
      <c r="BJ93">
        <v>5625</v>
      </c>
      <c r="BK93">
        <v>1</v>
      </c>
      <c r="BL93">
        <v>151.17784449566699</v>
      </c>
      <c r="BM93">
        <v>6.3231883337698704</v>
      </c>
      <c r="BN93">
        <v>151.17784449566699</v>
      </c>
      <c r="BO93">
        <v>1</v>
      </c>
      <c r="BP93">
        <v>12360.5131067027</v>
      </c>
      <c r="BQ93">
        <v>1</v>
      </c>
      <c r="BR93">
        <v>0.15240000000000001</v>
      </c>
      <c r="BS93">
        <v>92</v>
      </c>
      <c r="BT93">
        <v>179</v>
      </c>
      <c r="BU93" t="s">
        <v>303</v>
      </c>
      <c r="BV93" t="str">
        <f>"Table "&amp;TRIM(RIGHT(SUBSTITUTE($A93,"_",REPT(" ",50)),50))</f>
        <v>Table 12</v>
      </c>
      <c r="BW93">
        <f>$BR93/$Q93</f>
        <v>80</v>
      </c>
      <c r="BX93" t="str">
        <f>IF($BW93&lt;40,"outside_low",IF($BW93&lt;=100,"short_anchor",IF($BW93&lt;250,"middle",IF($BW93&lt;=400,"long","outside_high"))))</f>
        <v>short_anchor</v>
      </c>
      <c r="BY93" t="str">
        <f>IF($N93&gt;1000,"PASS","FAIL")</f>
        <v>PASS</v>
      </c>
      <c r="BZ93" t="str">
        <f>IF(AND($BW93&gt;=40,$BW93&lt;=400),"PASS","FAIL")</f>
        <v>PASS</v>
      </c>
    </row>
    <row r="94" spans="1:78">
      <c r="A94" t="s">
        <v>248</v>
      </c>
      <c r="B94">
        <v>17236893.2329209</v>
      </c>
      <c r="C94">
        <v>626.57723583796803</v>
      </c>
      <c r="D94">
        <v>122.583590976701</v>
      </c>
      <c r="E94">
        <v>560.26337686439001</v>
      </c>
      <c r="F94">
        <v>2538890.6454807199</v>
      </c>
      <c r="G94">
        <v>1699798.64659754</v>
      </c>
      <c r="H94">
        <v>2.4290890628326198E-5</v>
      </c>
      <c r="I94">
        <v>6.4066005508525405E-5</v>
      </c>
      <c r="J94">
        <v>0.452884810527584</v>
      </c>
      <c r="K94">
        <v>11219.515372648901</v>
      </c>
      <c r="L94">
        <v>3.02925386118211E-3</v>
      </c>
      <c r="M94">
        <v>179</v>
      </c>
      <c r="N94">
        <v>2888.7698999999998</v>
      </c>
      <c r="O94">
        <v>2.8502295699234199E-6</v>
      </c>
      <c r="P94">
        <v>5.98473400508856E-3</v>
      </c>
      <c r="Q94">
        <v>1.905E-3</v>
      </c>
      <c r="R94">
        <v>0.15240000000000001</v>
      </c>
      <c r="S94">
        <v>5011364.74609375</v>
      </c>
      <c r="T94">
        <v>509.82521111723401</v>
      </c>
      <c r="U94">
        <v>559.303986666274</v>
      </c>
      <c r="V94">
        <v>0.03</v>
      </c>
      <c r="W94">
        <v>85897.452413631298</v>
      </c>
      <c r="X94">
        <v>2.7257390800543999E-2</v>
      </c>
      <c r="Y94">
        <v>6.0570039873577297</v>
      </c>
      <c r="Z94">
        <v>6.0570039906741799</v>
      </c>
      <c r="AA94">
        <v>-3.31644756101923E-9</v>
      </c>
      <c r="AB94">
        <v>7.1629011260640303E-6</v>
      </c>
      <c r="AC94">
        <v>727.34081168522403</v>
      </c>
      <c r="AD94">
        <v>2506.9601743329799</v>
      </c>
      <c r="AE94">
        <v>559.30398793968197</v>
      </c>
      <c r="AF94">
        <v>1.27340808830922E-6</v>
      </c>
      <c r="AG94">
        <v>7.2589916374258402E-6</v>
      </c>
      <c r="AH94">
        <v>50.749055018940403</v>
      </c>
      <c r="AI94">
        <v>0.30096629544122799</v>
      </c>
      <c r="AJ94">
        <v>19.1055148985225</v>
      </c>
      <c r="AK94">
        <v>6.1295828719753098</v>
      </c>
      <c r="AL94">
        <v>1.5871354414155801</v>
      </c>
      <c r="AM94">
        <v>626.57723579169794</v>
      </c>
      <c r="AN94">
        <v>4.6270201892184599E-8</v>
      </c>
      <c r="AO94">
        <v>9.6090511361817505E-8</v>
      </c>
      <c r="AP94">
        <v>2.7570026580319502</v>
      </c>
      <c r="AQ94">
        <v>2.4896596464259301E-5</v>
      </c>
      <c r="AR94">
        <v>3.6775410743938302E-6</v>
      </c>
      <c r="AS94">
        <v>9.6792115621827097</v>
      </c>
      <c r="AT94">
        <v>8.2999022389175092</v>
      </c>
      <c r="AU94">
        <v>2.4979908293713602</v>
      </c>
      <c r="AV94">
        <v>0.25901182866059602</v>
      </c>
      <c r="AW94">
        <v>5.6822605644052003E-3</v>
      </c>
      <c r="AX94">
        <v>0.25901181832039299</v>
      </c>
      <c r="AY94">
        <v>1.0340202527547901E-8</v>
      </c>
      <c r="AZ94">
        <v>839091.99888317997</v>
      </c>
      <c r="BA94">
        <v>9.0303128260425307E-6</v>
      </c>
      <c r="BB94">
        <v>5002412.7631623596</v>
      </c>
      <c r="BC94">
        <v>-8951.9829313876107</v>
      </c>
      <c r="BD94">
        <v>-0.17863363345015901</v>
      </c>
      <c r="BE94">
        <v>5078889.9000000004</v>
      </c>
      <c r="BF94">
        <v>0.98494215500957405</v>
      </c>
      <c r="BG94">
        <v>1</v>
      </c>
      <c r="BH94">
        <v>-0.13500000000000001</v>
      </c>
      <c r="BI94">
        <v>4.5999999999999999E-2</v>
      </c>
      <c r="BJ94">
        <v>5625</v>
      </c>
      <c r="BK94">
        <v>1</v>
      </c>
      <c r="BL94">
        <v>116.752024720734</v>
      </c>
      <c r="BM94">
        <v>5.0024127631623596</v>
      </c>
      <c r="BN94">
        <v>116.752024720734</v>
      </c>
      <c r="BO94">
        <v>1</v>
      </c>
      <c r="BP94">
        <v>5890.87329873217</v>
      </c>
      <c r="BQ94">
        <v>1</v>
      </c>
      <c r="BR94">
        <v>0.15240000000000001</v>
      </c>
      <c r="BS94">
        <v>93</v>
      </c>
      <c r="BT94">
        <v>180</v>
      </c>
      <c r="BU94" t="s">
        <v>303</v>
      </c>
      <c r="BV94" t="str">
        <f>"Table "&amp;TRIM(RIGHT(SUBSTITUTE($A94,"_",REPT(" ",50)),50))</f>
        <v>Table 12</v>
      </c>
      <c r="BW94">
        <f>$BR94/$Q94</f>
        <v>80</v>
      </c>
      <c r="BX94" t="str">
        <f>IF($BW94&lt;40,"outside_low",IF($BW94&lt;=100,"short_anchor",IF($BW94&lt;250,"middle",IF($BW94&lt;=400,"long","outside_high"))))</f>
        <v>short_anchor</v>
      </c>
      <c r="BY94" t="str">
        <f>IF($N94&gt;1000,"PASS","FAIL")</f>
        <v>PASS</v>
      </c>
      <c r="BZ94" t="str">
        <f>IF(AND($BW94&gt;=40,$BW94&lt;=400),"PASS","FAIL")</f>
        <v>PASS</v>
      </c>
    </row>
    <row r="95" spans="1:78">
      <c r="A95" t="s">
        <v>249</v>
      </c>
      <c r="B95">
        <v>17236893.2329209</v>
      </c>
      <c r="C95">
        <v>626.57723583796803</v>
      </c>
      <c r="D95">
        <v>122.583590976701</v>
      </c>
      <c r="E95">
        <v>560.26337686439001</v>
      </c>
      <c r="F95">
        <v>2538890.6454807199</v>
      </c>
      <c r="G95">
        <v>1699798.64659754</v>
      </c>
      <c r="H95">
        <v>2.4290890628326198E-5</v>
      </c>
      <c r="I95">
        <v>6.4066005508525405E-5</v>
      </c>
      <c r="J95">
        <v>0.452884810527584</v>
      </c>
      <c r="K95">
        <v>11219.515372648901</v>
      </c>
      <c r="L95">
        <v>3.02925386118211E-3</v>
      </c>
      <c r="M95">
        <v>180</v>
      </c>
      <c r="N95">
        <v>3444.8242</v>
      </c>
      <c r="O95">
        <v>2.8502295699234199E-6</v>
      </c>
      <c r="P95">
        <v>5.98473400508856E-3</v>
      </c>
      <c r="Q95">
        <v>1.905E-3</v>
      </c>
      <c r="R95">
        <v>0.15240000000000001</v>
      </c>
      <c r="S95">
        <v>3631959.86328125</v>
      </c>
      <c r="T95">
        <v>554.36509768241604</v>
      </c>
      <c r="U95">
        <v>584.43623525007604</v>
      </c>
      <c r="V95">
        <v>0.03</v>
      </c>
      <c r="W95">
        <v>102431.70381719399</v>
      </c>
      <c r="X95">
        <v>2.5384208624571501E-2</v>
      </c>
      <c r="Y95">
        <v>6.2765094318285302</v>
      </c>
      <c r="Z95">
        <v>6.2765094327444402</v>
      </c>
      <c r="AA95">
        <v>-9.1590290907106495E-10</v>
      </c>
      <c r="AB95">
        <v>5.4088057229598899E-6</v>
      </c>
      <c r="AC95">
        <v>680.92368076683999</v>
      </c>
      <c r="AD95">
        <v>2884.9694708627599</v>
      </c>
      <c r="AE95">
        <v>584.43623605931202</v>
      </c>
      <c r="AF95">
        <v>8.09236667009827E-7</v>
      </c>
      <c r="AG95">
        <v>5.4678948822404096E-6</v>
      </c>
      <c r="AH95">
        <v>67.207158467309</v>
      </c>
      <c r="AI95">
        <v>0.34634717495567102</v>
      </c>
      <c r="AJ95">
        <v>16.561375123517401</v>
      </c>
      <c r="AK95">
        <v>3.4745347840698102</v>
      </c>
      <c r="AL95">
        <v>1.5871354414155801</v>
      </c>
      <c r="AM95">
        <v>626.57723592647699</v>
      </c>
      <c r="AN95">
        <v>-8.8509409579273805E-8</v>
      </c>
      <c r="AO95">
        <v>5.90891592805222E-8</v>
      </c>
      <c r="AP95">
        <v>2.9058181096176101</v>
      </c>
      <c r="AQ95">
        <v>2.24118391899288E-5</v>
      </c>
      <c r="AR95">
        <v>2.7634920207604702E-6</v>
      </c>
      <c r="AS95">
        <v>8.3701733468417601</v>
      </c>
      <c r="AT95">
        <v>7.5733729739087998</v>
      </c>
      <c r="AU95">
        <v>2.6230163343989399</v>
      </c>
      <c r="AV95">
        <v>0.28280177521866801</v>
      </c>
      <c r="AW95">
        <v>4.2907535535105703E-3</v>
      </c>
      <c r="AX95">
        <v>0.28280177206185098</v>
      </c>
      <c r="AY95">
        <v>3.15681708551452E-9</v>
      </c>
      <c r="AZ95">
        <v>839091.99888317997</v>
      </c>
      <c r="BA95">
        <v>7.7127467530574495E-6</v>
      </c>
      <c r="BB95">
        <v>3601642.0963915</v>
      </c>
      <c r="BC95">
        <v>-30317.766889751001</v>
      </c>
      <c r="BD95">
        <v>-0.834749502500304</v>
      </c>
      <c r="BE95">
        <v>4921160.4000000004</v>
      </c>
      <c r="BF95">
        <v>0.73186846264785399</v>
      </c>
      <c r="BG95">
        <v>1</v>
      </c>
      <c r="BH95">
        <v>-5.0000000000000001E-3</v>
      </c>
      <c r="BI95">
        <v>4.5999999999999999E-2</v>
      </c>
      <c r="BJ95">
        <v>5625</v>
      </c>
      <c r="BK95">
        <v>1</v>
      </c>
      <c r="BL95">
        <v>72.212138155551997</v>
      </c>
      <c r="BM95">
        <v>3.6016420963915001</v>
      </c>
      <c r="BN95">
        <v>72.212138155551997</v>
      </c>
      <c r="BO95">
        <v>1</v>
      </c>
      <c r="BP95">
        <v>1037.62184455237</v>
      </c>
      <c r="BQ95">
        <v>1</v>
      </c>
      <c r="BR95">
        <v>0.15240000000000001</v>
      </c>
      <c r="BS95">
        <v>94</v>
      </c>
      <c r="BT95">
        <v>181</v>
      </c>
      <c r="BU95" t="s">
        <v>303</v>
      </c>
      <c r="BV95" t="str">
        <f>"Table "&amp;TRIM(RIGHT(SUBSTITUTE($A95,"_",REPT(" ",50)),50))</f>
        <v>Table 12</v>
      </c>
      <c r="BW95">
        <f>$BR95/$Q95</f>
        <v>80</v>
      </c>
      <c r="BX95" t="str">
        <f>IF($BW95&lt;40,"outside_low",IF($BW95&lt;=100,"short_anchor",IF($BW95&lt;250,"middle",IF($BW95&lt;=400,"long","outside_high"))))</f>
        <v>short_anchor</v>
      </c>
      <c r="BY95" t="str">
        <f>IF($N95&gt;1000,"PASS","FAIL")</f>
        <v>PASS</v>
      </c>
      <c r="BZ95" t="str">
        <f>IF(AND($BW95&gt;=40,$BW95&lt;=400),"PASS","FAIL")</f>
        <v>PASS</v>
      </c>
    </row>
    <row r="96" spans="1:78">
      <c r="A96" t="s">
        <v>250</v>
      </c>
      <c r="B96">
        <v>17236893.2329209</v>
      </c>
      <c r="C96">
        <v>626.57723583796803</v>
      </c>
      <c r="D96">
        <v>122.583590976701</v>
      </c>
      <c r="E96">
        <v>560.26337686439001</v>
      </c>
      <c r="F96">
        <v>2538890.6454807199</v>
      </c>
      <c r="G96">
        <v>1699798.64659754</v>
      </c>
      <c r="H96">
        <v>2.4290890628326198E-5</v>
      </c>
      <c r="I96">
        <v>6.4066005508525405E-5</v>
      </c>
      <c r="J96">
        <v>0.452884810527584</v>
      </c>
      <c r="K96">
        <v>11219.515372648901</v>
      </c>
      <c r="L96">
        <v>3.02925386118211E-3</v>
      </c>
      <c r="M96">
        <v>181</v>
      </c>
      <c r="N96">
        <v>3580.4472000000001</v>
      </c>
      <c r="O96">
        <v>2.8502295699234199E-6</v>
      </c>
      <c r="P96">
        <v>5.98473400508856E-3</v>
      </c>
      <c r="Q96">
        <v>1.905E-3</v>
      </c>
      <c r="R96">
        <v>0.15240000000000001</v>
      </c>
      <c r="S96">
        <v>4221380.37109375</v>
      </c>
      <c r="T96">
        <v>542.68385368854695</v>
      </c>
      <c r="U96">
        <v>576.31123845080799</v>
      </c>
      <c r="V96">
        <v>0.03</v>
      </c>
      <c r="W96">
        <v>106464.448061966</v>
      </c>
      <c r="X96">
        <v>2.4999929916971499E-2</v>
      </c>
      <c r="Y96">
        <v>6.3245641852352197</v>
      </c>
      <c r="Z96">
        <v>6.3245642254802004</v>
      </c>
      <c r="AA96">
        <v>-4.0244978016801302E-8</v>
      </c>
      <c r="AB96">
        <v>5.0837688903806498E-6</v>
      </c>
      <c r="AC96">
        <v>689.47613933606897</v>
      </c>
      <c r="AD96">
        <v>2975.76761714448</v>
      </c>
      <c r="AE96">
        <v>576.31123845080799</v>
      </c>
      <c r="AF96">
        <v>0</v>
      </c>
      <c r="AG96">
        <v>5.1501890422709202E-6</v>
      </c>
      <c r="AH96">
        <v>71.504128370130402</v>
      </c>
      <c r="AI96">
        <v>0.35724769982205101</v>
      </c>
      <c r="AJ96">
        <v>16.0900428075193</v>
      </c>
      <c r="AK96">
        <v>4.0636181127757904</v>
      </c>
      <c r="AL96">
        <v>1.5871354414155801</v>
      </c>
      <c r="AM96">
        <v>626.57723580084701</v>
      </c>
      <c r="AN96">
        <v>3.7121367313375198E-8</v>
      </c>
      <c r="AO96">
        <v>6.6420151890266197E-8</v>
      </c>
      <c r="AP96">
        <v>2.9454626210874402</v>
      </c>
      <c r="AQ96">
        <v>2.1812594117314801E-5</v>
      </c>
      <c r="AR96">
        <v>2.6083045970805898E-6</v>
      </c>
      <c r="AS96">
        <v>8.1487751765265006</v>
      </c>
      <c r="AT96">
        <v>7.4393381543503203</v>
      </c>
      <c r="AU96">
        <v>2.65768644384007</v>
      </c>
      <c r="AV96">
        <v>0.28777617724737298</v>
      </c>
      <c r="AW96">
        <v>4.0329049607073604E-3</v>
      </c>
      <c r="AX96">
        <v>0.28777617006115402</v>
      </c>
      <c r="AY96">
        <v>7.1862187311921802E-9</v>
      </c>
      <c r="AZ96">
        <v>839091.99888317997</v>
      </c>
      <c r="BA96">
        <v>7.4054900446374401E-6</v>
      </c>
      <c r="BB96">
        <v>4216458.94907331</v>
      </c>
      <c r="BC96">
        <v>-4921.4220204372004</v>
      </c>
      <c r="BD96">
        <v>-0.11658324026276</v>
      </c>
      <c r="BE96">
        <v>5394348.9000000004</v>
      </c>
      <c r="BF96">
        <v>0.78164372146438499</v>
      </c>
      <c r="BG96">
        <v>1</v>
      </c>
      <c r="BH96">
        <v>-4.4999999999999998E-2</v>
      </c>
      <c r="BI96">
        <v>4.5999999999999999E-2</v>
      </c>
      <c r="BJ96">
        <v>5625</v>
      </c>
      <c r="BK96">
        <v>1</v>
      </c>
      <c r="BL96">
        <v>83.8933821494211</v>
      </c>
      <c r="BM96">
        <v>4.21645894907331</v>
      </c>
      <c r="BN96">
        <v>83.8933821494211</v>
      </c>
      <c r="BO96">
        <v>1</v>
      </c>
      <c r="BP96">
        <v>1926.62899651512</v>
      </c>
      <c r="BQ96">
        <v>1</v>
      </c>
      <c r="BR96">
        <v>0.15240000000000001</v>
      </c>
      <c r="BS96">
        <v>95</v>
      </c>
      <c r="BT96">
        <v>182</v>
      </c>
      <c r="BU96" t="s">
        <v>303</v>
      </c>
      <c r="BV96" t="str">
        <f>"Table "&amp;TRIM(RIGHT(SUBSTITUTE($A96,"_",REPT(" ",50)),50))</f>
        <v>Table 12</v>
      </c>
      <c r="BW96">
        <f>$BR96/$Q96</f>
        <v>80</v>
      </c>
      <c r="BX96" t="str">
        <f>IF($BW96&lt;40,"outside_low",IF($BW96&lt;=100,"short_anchor",IF($BW96&lt;250,"middle",IF($BW96&lt;=400,"long","outside_high"))))</f>
        <v>short_anchor</v>
      </c>
      <c r="BY96" t="str">
        <f>IF($N96&gt;1000,"PASS","FAIL")</f>
        <v>PASS</v>
      </c>
      <c r="BZ96" t="str">
        <f>IF(AND($BW96&gt;=40,$BW96&lt;=400),"PASS","FAIL")</f>
        <v>PASS</v>
      </c>
    </row>
    <row r="97" spans="1:78">
      <c r="A97" t="s">
        <v>251</v>
      </c>
      <c r="B97">
        <v>17236893.2329209</v>
      </c>
      <c r="C97">
        <v>626.57723583796803</v>
      </c>
      <c r="D97">
        <v>122.583590976701</v>
      </c>
      <c r="E97">
        <v>560.26337686439001</v>
      </c>
      <c r="F97">
        <v>2538890.6454807199</v>
      </c>
      <c r="G97">
        <v>1699798.64659754</v>
      </c>
      <c r="H97">
        <v>2.4290890628326198E-5</v>
      </c>
      <c r="I97">
        <v>6.4066005508525405E-5</v>
      </c>
      <c r="J97">
        <v>0.452884810527584</v>
      </c>
      <c r="K97">
        <v>11219.515372648901</v>
      </c>
      <c r="L97">
        <v>3.02925386118211E-3</v>
      </c>
      <c r="M97">
        <v>182</v>
      </c>
      <c r="N97">
        <v>3607.5718000000002</v>
      </c>
      <c r="O97">
        <v>2.8502295699234199E-6</v>
      </c>
      <c r="P97">
        <v>5.98473400508856E-3</v>
      </c>
      <c r="Q97">
        <v>1.905E-3</v>
      </c>
      <c r="R97">
        <v>0.15240000000000001</v>
      </c>
      <c r="S97">
        <v>4115340.52734375</v>
      </c>
      <c r="T97">
        <v>545.51979880609497</v>
      </c>
      <c r="U97">
        <v>578.05598719493196</v>
      </c>
      <c r="V97">
        <v>0.03</v>
      </c>
      <c r="W97">
        <v>107270.99691092</v>
      </c>
      <c r="X97">
        <v>2.49258812093941E-2</v>
      </c>
      <c r="Y97">
        <v>6.33395158653222</v>
      </c>
      <c r="Z97">
        <v>6.3339516227232</v>
      </c>
      <c r="AA97">
        <v>-3.6190980878814103E-8</v>
      </c>
      <c r="AB97">
        <v>5.0224850177624702E-6</v>
      </c>
      <c r="AC97">
        <v>686.90439531517904</v>
      </c>
      <c r="AD97">
        <v>2993.8675842437601</v>
      </c>
      <c r="AE97">
        <v>578.05598719493196</v>
      </c>
      <c r="AF97">
        <v>0</v>
      </c>
      <c r="AG97">
        <v>5.0868674831858503E-6</v>
      </c>
      <c r="AH97">
        <v>72.376614774611696</v>
      </c>
      <c r="AI97">
        <v>0.35942064221708903</v>
      </c>
      <c r="AJ97">
        <v>15.988879436486901</v>
      </c>
      <c r="AK97">
        <v>3.9064656697385902</v>
      </c>
      <c r="AL97">
        <v>1.5871354414155801</v>
      </c>
      <c r="AM97">
        <v>626.57723578871298</v>
      </c>
      <c r="AN97">
        <v>4.9254595069214702E-8</v>
      </c>
      <c r="AO97">
        <v>6.4382465423374999E-8</v>
      </c>
      <c r="AP97">
        <v>2.9510677638246898</v>
      </c>
      <c r="AQ97">
        <v>2.1729812830829301E-5</v>
      </c>
      <c r="AR97">
        <v>2.5756249743046101E-6</v>
      </c>
      <c r="AS97">
        <v>8.0956221729545899</v>
      </c>
      <c r="AT97">
        <v>7.4066172154787804</v>
      </c>
      <c r="AU97">
        <v>2.6620911162435301</v>
      </c>
      <c r="AV97">
        <v>0.28897664758115899</v>
      </c>
      <c r="AW97">
        <v>3.9842890540399897E-3</v>
      </c>
      <c r="AX97">
        <v>0.288976639711924</v>
      </c>
      <c r="AY97">
        <v>7.8692348748354796E-9</v>
      </c>
      <c r="AZ97">
        <v>839091.99888317997</v>
      </c>
      <c r="BA97">
        <v>7.36337304659745E-6</v>
      </c>
      <c r="BB97">
        <v>4110480.7085094401</v>
      </c>
      <c r="BC97">
        <v>-4859.8188343141201</v>
      </c>
      <c r="BD97">
        <v>-0.11809032088654101</v>
      </c>
      <c r="BE97">
        <v>4984252.2</v>
      </c>
      <c r="BF97">
        <v>0.82469356356193901</v>
      </c>
      <c r="BG97">
        <v>1</v>
      </c>
      <c r="BH97">
        <v>-7.5999999999999998E-2</v>
      </c>
      <c r="BI97">
        <v>4.5999999999999999E-2</v>
      </c>
      <c r="BJ97">
        <v>5625</v>
      </c>
      <c r="BK97">
        <v>1</v>
      </c>
      <c r="BL97">
        <v>81.057437031873107</v>
      </c>
      <c r="BM97">
        <v>4.1104807085094404</v>
      </c>
      <c r="BN97">
        <v>81.057437031873107</v>
      </c>
      <c r="BO97">
        <v>1</v>
      </c>
      <c r="BP97">
        <v>1685.71313562622</v>
      </c>
      <c r="BQ97">
        <v>1</v>
      </c>
      <c r="BR97">
        <v>0.15240000000000001</v>
      </c>
      <c r="BS97">
        <v>96</v>
      </c>
      <c r="BT97">
        <v>183</v>
      </c>
      <c r="BU97" t="s">
        <v>303</v>
      </c>
      <c r="BV97" t="str">
        <f>"Table "&amp;TRIM(RIGHT(SUBSTITUTE($A97,"_",REPT(" ",50)),50))</f>
        <v>Table 12</v>
      </c>
      <c r="BW97">
        <f>$BR97/$Q97</f>
        <v>80</v>
      </c>
      <c r="BX97" t="str">
        <f>IF($BW97&lt;40,"outside_low",IF($BW97&lt;=100,"short_anchor",IF($BW97&lt;250,"middle",IF($BW97&lt;=400,"long","outside_high"))))</f>
        <v>short_anchor</v>
      </c>
      <c r="BY97" t="str">
        <f>IF($N97&gt;1000,"PASS","FAIL")</f>
        <v>PASS</v>
      </c>
      <c r="BZ97" t="str">
        <f>IF(AND($BW97&gt;=40,$BW97&lt;=400),"PASS","FAIL")</f>
        <v>PASS</v>
      </c>
    </row>
    <row r="98" spans="1:78">
      <c r="A98" t="s">
        <v>252</v>
      </c>
      <c r="B98">
        <v>17236893.2329209</v>
      </c>
      <c r="C98">
        <v>626.57723583796803</v>
      </c>
      <c r="D98">
        <v>122.583590976701</v>
      </c>
      <c r="E98">
        <v>560.26337686439001</v>
      </c>
      <c r="F98">
        <v>2538890.6454807199</v>
      </c>
      <c r="G98">
        <v>1699798.64659754</v>
      </c>
      <c r="H98">
        <v>2.4290890628326198E-5</v>
      </c>
      <c r="I98">
        <v>6.4066005508525405E-5</v>
      </c>
      <c r="J98">
        <v>0.452884810527584</v>
      </c>
      <c r="K98">
        <v>11219.515372648901</v>
      </c>
      <c r="L98">
        <v>3.02925386118211E-3</v>
      </c>
      <c r="M98">
        <v>183</v>
      </c>
      <c r="N98">
        <v>3621.1341000000002</v>
      </c>
      <c r="O98">
        <v>2.8502295699234199E-6</v>
      </c>
      <c r="P98">
        <v>5.98473400508856E-3</v>
      </c>
      <c r="Q98">
        <v>1.905E-3</v>
      </c>
      <c r="R98">
        <v>0.15240000000000001</v>
      </c>
      <c r="S98">
        <v>3801870.99609375</v>
      </c>
      <c r="T98">
        <v>552.84412708824402</v>
      </c>
      <c r="U98">
        <v>582.78942573032896</v>
      </c>
      <c r="V98">
        <v>0.03</v>
      </c>
      <c r="W98">
        <v>107674.271335397</v>
      </c>
      <c r="X98">
        <v>2.4889192575288498E-2</v>
      </c>
      <c r="Y98">
        <v>6.3386182396680697</v>
      </c>
      <c r="Z98">
        <v>6.3386182738389296</v>
      </c>
      <c r="AA98">
        <v>-3.4170855478521402E-8</v>
      </c>
      <c r="AB98">
        <v>4.9922820455158096E-6</v>
      </c>
      <c r="AC98">
        <v>680.81293541784601</v>
      </c>
      <c r="AD98">
        <v>3002.91027719972</v>
      </c>
      <c r="AE98">
        <v>582.78942573032896</v>
      </c>
      <c r="AF98">
        <v>0</v>
      </c>
      <c r="AG98">
        <v>5.05193082825389E-6</v>
      </c>
      <c r="AH98">
        <v>72.814488449899798</v>
      </c>
      <c r="AI98">
        <v>0.36050623816218302</v>
      </c>
      <c r="AJ98">
        <v>15.927028875449601</v>
      </c>
      <c r="AK98">
        <v>3.5170072718552898</v>
      </c>
      <c r="AL98">
        <v>1.5871354414155801</v>
      </c>
      <c r="AM98">
        <v>626.57723579623701</v>
      </c>
      <c r="AN98">
        <v>4.1730572775122703E-8</v>
      </c>
      <c r="AO98">
        <v>5.9648782738076899E-8</v>
      </c>
      <c r="AP98">
        <v>2.9514450813664501</v>
      </c>
      <c r="AQ98">
        <v>2.1724257236708399E-5</v>
      </c>
      <c r="AR98">
        <v>2.5557898054959801E-6</v>
      </c>
      <c r="AS98">
        <v>8.0575406543686796</v>
      </c>
      <c r="AT98">
        <v>7.3830419011302801</v>
      </c>
      <c r="AU98">
        <v>2.6616326619702502</v>
      </c>
      <c r="AV98">
        <v>0.289812419396207</v>
      </c>
      <c r="AW98">
        <v>3.9603293266746997E-3</v>
      </c>
      <c r="AX98">
        <v>0.289812411404342</v>
      </c>
      <c r="AY98">
        <v>7.9918657247546304E-9</v>
      </c>
      <c r="AZ98">
        <v>839091.99888317997</v>
      </c>
      <c r="BA98">
        <v>7.3605493708358498E-6</v>
      </c>
      <c r="BB98">
        <v>3809720.9819438099</v>
      </c>
      <c r="BC98">
        <v>7849.9858500603596</v>
      </c>
      <c r="BD98">
        <v>0.20647691250244599</v>
      </c>
      <c r="BE98">
        <v>5110435.8</v>
      </c>
      <c r="BF98">
        <v>0.74547868930156802</v>
      </c>
      <c r="BG98">
        <v>1</v>
      </c>
      <c r="BH98">
        <v>-2.1000000000000001E-2</v>
      </c>
      <c r="BI98">
        <v>4.5999999999999999E-2</v>
      </c>
      <c r="BJ98">
        <v>5625</v>
      </c>
      <c r="BK98">
        <v>1</v>
      </c>
      <c r="BL98">
        <v>73.733108749723996</v>
      </c>
      <c r="BM98">
        <v>3.8097209819438098</v>
      </c>
      <c r="BN98">
        <v>73.733108749723996</v>
      </c>
      <c r="BO98">
        <v>1</v>
      </c>
      <c r="BP98">
        <v>1137.9226259207101</v>
      </c>
      <c r="BQ98">
        <v>1</v>
      </c>
      <c r="BR98">
        <v>0.15240000000000001</v>
      </c>
      <c r="BS98">
        <v>97</v>
      </c>
      <c r="BT98">
        <v>184</v>
      </c>
      <c r="BU98" t="s">
        <v>303</v>
      </c>
      <c r="BV98" t="str">
        <f>"Table "&amp;TRIM(RIGHT(SUBSTITUTE($A98,"_",REPT(" ",50)),50))</f>
        <v>Table 12</v>
      </c>
      <c r="BW98">
        <f>$BR98/$Q98</f>
        <v>80</v>
      </c>
      <c r="BX98" t="str">
        <f>IF($BW98&lt;40,"outside_low",IF($BW98&lt;=100,"short_anchor",IF($BW98&lt;250,"middle",IF($BW98&lt;=400,"long","outside_high"))))</f>
        <v>short_anchor</v>
      </c>
      <c r="BY98" t="str">
        <f>IF($N98&gt;1000,"PASS","FAIL")</f>
        <v>PASS</v>
      </c>
      <c r="BZ98" t="str">
        <f>IF(AND($BW98&gt;=40,$BW98&lt;=400),"PASS","FAIL")</f>
        <v>PASS</v>
      </c>
    </row>
    <row r="99" spans="1:78">
      <c r="A99" t="s">
        <v>253</v>
      </c>
      <c r="B99">
        <v>17236893.2329209</v>
      </c>
      <c r="C99">
        <v>626.57723583796803</v>
      </c>
      <c r="D99">
        <v>122.583590976701</v>
      </c>
      <c r="E99">
        <v>560.26337686439001</v>
      </c>
      <c r="F99">
        <v>2538890.6454807199</v>
      </c>
      <c r="G99">
        <v>1699798.64659754</v>
      </c>
      <c r="H99">
        <v>2.4290890628326198E-5</v>
      </c>
      <c r="I99">
        <v>6.4066005508525405E-5</v>
      </c>
      <c r="J99">
        <v>0.452884810527584</v>
      </c>
      <c r="K99">
        <v>11219.515372648901</v>
      </c>
      <c r="L99">
        <v>3.02925386118211E-3</v>
      </c>
      <c r="M99">
        <v>184</v>
      </c>
      <c r="N99">
        <v>2088.5942</v>
      </c>
      <c r="O99">
        <v>2.8502295699234199E-6</v>
      </c>
      <c r="P99">
        <v>5.98473400508856E-3</v>
      </c>
      <c r="Q99">
        <v>1.905E-3</v>
      </c>
      <c r="R99">
        <v>0.69596000000000002</v>
      </c>
      <c r="S99">
        <v>4209182.8773437496</v>
      </c>
      <c r="T99">
        <v>296.59800912860601</v>
      </c>
      <c r="U99">
        <v>559.09173068124301</v>
      </c>
      <c r="V99">
        <v>0.03</v>
      </c>
      <c r="W99">
        <v>62104.2613694799</v>
      </c>
      <c r="X99">
        <v>3.1306557834014398E-2</v>
      </c>
      <c r="Y99">
        <v>5.6517421567611903</v>
      </c>
      <c r="Z99">
        <v>5.6517422024560604</v>
      </c>
      <c r="AA99">
        <v>-4.5694870998147501E-8</v>
      </c>
      <c r="AB99">
        <v>1.1930418629880701E-5</v>
      </c>
      <c r="AC99">
        <v>760.85989092691705</v>
      </c>
      <c r="AD99">
        <v>1942.51361513397</v>
      </c>
      <c r="AE99">
        <v>559.09173068124301</v>
      </c>
      <c r="AF99">
        <v>0</v>
      </c>
      <c r="AG99">
        <v>1.20456563997187E-5</v>
      </c>
      <c r="AH99">
        <v>30.469212742578101</v>
      </c>
      <c r="AI99">
        <v>0.233203196674861</v>
      </c>
      <c r="AJ99">
        <v>24.565723422235301</v>
      </c>
      <c r="AK99">
        <v>7.5382518061136201</v>
      </c>
      <c r="AL99">
        <v>1.5871354414155801</v>
      </c>
      <c r="AM99">
        <v>626.57723582087203</v>
      </c>
      <c r="AN99">
        <v>1.7096226656576599E-8</v>
      </c>
      <c r="AO99">
        <v>1.15237769837928E-7</v>
      </c>
      <c r="AP99">
        <v>2.45025877507612</v>
      </c>
      <c r="AQ99">
        <v>3.1520307331782497E-5</v>
      </c>
      <c r="AR99">
        <v>6.0804470847782898E-6</v>
      </c>
      <c r="AS99">
        <v>12.400368764602099</v>
      </c>
      <c r="AT99">
        <v>9.5386310562480308</v>
      </c>
      <c r="AU99">
        <v>2.22443925421915</v>
      </c>
      <c r="AV99">
        <v>0.22581952085696899</v>
      </c>
      <c r="AW99">
        <v>9.4642863421273392E-3</v>
      </c>
      <c r="AX99">
        <v>0.225819503924061</v>
      </c>
      <c r="AY99">
        <v>1.69329079646729E-8</v>
      </c>
      <c r="AZ99">
        <v>839091.99888317997</v>
      </c>
      <c r="BA99">
        <v>1.2864072828717099E-5</v>
      </c>
      <c r="BB99">
        <v>4211319.2866352601</v>
      </c>
      <c r="BC99">
        <v>2136.4092915114002</v>
      </c>
      <c r="BD99">
        <v>5.07559151922524E-2</v>
      </c>
      <c r="BE99">
        <v>2113575.2999999998</v>
      </c>
      <c r="BF99">
        <v>1.99250969986036</v>
      </c>
      <c r="BG99">
        <v>1</v>
      </c>
      <c r="BH99">
        <v>-0.127</v>
      </c>
      <c r="BI99">
        <v>4.5999999999999999E-2</v>
      </c>
      <c r="BJ99">
        <v>5625</v>
      </c>
      <c r="BK99">
        <v>1</v>
      </c>
      <c r="BL99">
        <v>329.97922670936202</v>
      </c>
      <c r="BM99">
        <v>4.21131928663526</v>
      </c>
      <c r="BN99">
        <v>329.97922670936202</v>
      </c>
      <c r="BO99">
        <v>1</v>
      </c>
      <c r="BP99">
        <v>84087.951922959604</v>
      </c>
      <c r="BQ99">
        <v>1</v>
      </c>
      <c r="BR99">
        <v>0.69596000000000002</v>
      </c>
      <c r="BS99">
        <v>98</v>
      </c>
      <c r="BT99">
        <v>185</v>
      </c>
      <c r="BU99" t="s">
        <v>303</v>
      </c>
      <c r="BV99" t="str">
        <f>"Table "&amp;TRIM(RIGHT(SUBSTITUTE($A99,"_",REPT(" ",50)),50))</f>
        <v>Table 12</v>
      </c>
      <c r="BW99">
        <f>$BR99/$Q99</f>
        <v>365.33333333333337</v>
      </c>
      <c r="BX99" t="str">
        <f>IF($BW99&lt;40,"outside_low",IF($BW99&lt;=100,"short_anchor",IF($BW99&lt;250,"middle",IF($BW99&lt;=400,"long","outside_high"))))</f>
        <v>long</v>
      </c>
      <c r="BY99" t="str">
        <f>IF($N99&gt;1000,"PASS","FAIL")</f>
        <v>PASS</v>
      </c>
      <c r="BZ99" t="str">
        <f>IF(AND($BW99&gt;=40,$BW99&lt;=400),"PASS","FAIL")</f>
        <v>PASS</v>
      </c>
    </row>
    <row r="100" spans="1:78">
      <c r="A100" t="s">
        <v>254</v>
      </c>
      <c r="B100">
        <v>17236893.2329209</v>
      </c>
      <c r="C100">
        <v>626.57723583796803</v>
      </c>
      <c r="D100">
        <v>122.583590976701</v>
      </c>
      <c r="E100">
        <v>560.26337686439001</v>
      </c>
      <c r="F100">
        <v>2538890.6454807199</v>
      </c>
      <c r="G100">
        <v>1699798.64659754</v>
      </c>
      <c r="H100">
        <v>2.4290890628326198E-5</v>
      </c>
      <c r="I100">
        <v>6.4066005508525405E-5</v>
      </c>
      <c r="J100">
        <v>0.452884810527584</v>
      </c>
      <c r="K100">
        <v>11219.515372648901</v>
      </c>
      <c r="L100">
        <v>3.02925386118211E-3</v>
      </c>
      <c r="M100">
        <v>185</v>
      </c>
      <c r="N100">
        <v>2088.5942</v>
      </c>
      <c r="O100">
        <v>2.8502295699234199E-6</v>
      </c>
      <c r="P100">
        <v>5.98473400508856E-3</v>
      </c>
      <c r="Q100">
        <v>1.905E-3</v>
      </c>
      <c r="R100">
        <v>0.69596000000000002</v>
      </c>
      <c r="S100">
        <v>4174835.99609375</v>
      </c>
      <c r="T100">
        <v>299.35406737670502</v>
      </c>
      <c r="U100">
        <v>559.70584334375906</v>
      </c>
      <c r="V100">
        <v>0.03</v>
      </c>
      <c r="W100">
        <v>62104.2613694799</v>
      </c>
      <c r="X100">
        <v>3.1306557834014398E-2</v>
      </c>
      <c r="Y100">
        <v>5.6517421567611903</v>
      </c>
      <c r="Z100">
        <v>5.6517422024560604</v>
      </c>
      <c r="AA100">
        <v>-4.5694870998147501E-8</v>
      </c>
      <c r="AB100">
        <v>1.1930418629880701E-5</v>
      </c>
      <c r="AC100">
        <v>759.63413465095596</v>
      </c>
      <c r="AD100">
        <v>1942.51361513397</v>
      </c>
      <c r="AE100">
        <v>559.70584334375906</v>
      </c>
      <c r="AF100">
        <v>0</v>
      </c>
      <c r="AG100">
        <v>1.2045277847659799E-5</v>
      </c>
      <c r="AH100">
        <v>30.469212742578101</v>
      </c>
      <c r="AI100">
        <v>0.233203196674861</v>
      </c>
      <c r="AJ100">
        <v>24.564951409082202</v>
      </c>
      <c r="AK100">
        <v>7.4695125395633504</v>
      </c>
      <c r="AL100">
        <v>1.5871354414155801</v>
      </c>
      <c r="AM100">
        <v>626.57723582118399</v>
      </c>
      <c r="AN100">
        <v>1.6783701539679899E-8</v>
      </c>
      <c r="AO100">
        <v>1.1485921777910201E-7</v>
      </c>
      <c r="AP100">
        <v>2.4501923059119801</v>
      </c>
      <c r="AQ100">
        <v>3.1522017529708697E-5</v>
      </c>
      <c r="AR100">
        <v>6.0800685327194598E-6</v>
      </c>
      <c r="AS100">
        <v>12.399596751449</v>
      </c>
      <c r="AT100">
        <v>9.5383197601888394</v>
      </c>
      <c r="AU100">
        <v>2.2243666589830302</v>
      </c>
      <c r="AV100">
        <v>0.22582564692894799</v>
      </c>
      <c r="AW100">
        <v>9.4642863421273392E-3</v>
      </c>
      <c r="AX100">
        <v>0.225825629987568</v>
      </c>
      <c r="AY100">
        <v>1.69413793826845E-8</v>
      </c>
      <c r="AZ100">
        <v>839091.99888317997</v>
      </c>
      <c r="BA100">
        <v>1.28651197922915E-5</v>
      </c>
      <c r="BB100">
        <v>4197143.6581179798</v>
      </c>
      <c r="BC100">
        <v>22307.6620242344</v>
      </c>
      <c r="BD100">
        <v>0.53433624806116797</v>
      </c>
      <c r="BE100">
        <v>2082029.4</v>
      </c>
      <c r="BF100">
        <v>2.0158906776810999</v>
      </c>
      <c r="BG100">
        <v>1</v>
      </c>
      <c r="BH100">
        <v>-0.14000000000000001</v>
      </c>
      <c r="BI100">
        <v>4.5999999999999999E-2</v>
      </c>
      <c r="BJ100">
        <v>5625</v>
      </c>
      <c r="BK100">
        <v>1</v>
      </c>
      <c r="BL100">
        <v>327.22316846126301</v>
      </c>
      <c r="BM100">
        <v>4.1971436581179802</v>
      </c>
      <c r="BN100">
        <v>327.22316846126301</v>
      </c>
      <c r="BO100">
        <v>1</v>
      </c>
      <c r="BP100">
        <v>82497.148500927098</v>
      </c>
      <c r="BQ100">
        <v>1</v>
      </c>
      <c r="BR100">
        <v>0.69596000000000002</v>
      </c>
      <c r="BS100">
        <v>99</v>
      </c>
      <c r="BT100">
        <v>186</v>
      </c>
      <c r="BU100" t="s">
        <v>303</v>
      </c>
      <c r="BV100" t="str">
        <f>"Table "&amp;TRIM(RIGHT(SUBSTITUTE($A100,"_",REPT(" ",50)),50))</f>
        <v>Table 12</v>
      </c>
      <c r="BW100">
        <f>$BR100/$Q100</f>
        <v>365.33333333333337</v>
      </c>
      <c r="BX100" t="str">
        <f>IF($BW100&lt;40,"outside_low",IF($BW100&lt;=100,"short_anchor",IF($BW100&lt;250,"middle",IF($BW100&lt;=400,"long","outside_high"))))</f>
        <v>long</v>
      </c>
      <c r="BY100" t="str">
        <f>IF($N100&gt;1000,"PASS","FAIL")</f>
        <v>PASS</v>
      </c>
      <c r="BZ100" t="str">
        <f>IF(AND($BW100&gt;=40,$BW100&lt;=400),"PASS","FAIL")</f>
        <v>PASS</v>
      </c>
    </row>
    <row r="101" spans="1:78">
      <c r="A101" t="s">
        <v>255</v>
      </c>
      <c r="B101">
        <v>17236893.2329209</v>
      </c>
      <c r="C101">
        <v>626.57723583796803</v>
      </c>
      <c r="D101">
        <v>122.583590976701</v>
      </c>
      <c r="E101">
        <v>560.26337686439001</v>
      </c>
      <c r="F101">
        <v>2538890.6454807199</v>
      </c>
      <c r="G101">
        <v>1699798.64659754</v>
      </c>
      <c r="H101">
        <v>2.4290890628326198E-5</v>
      </c>
      <c r="I101">
        <v>6.4066005508525405E-5</v>
      </c>
      <c r="J101">
        <v>0.452884810527584</v>
      </c>
      <c r="K101">
        <v>11219.515372648901</v>
      </c>
      <c r="L101">
        <v>3.02925386118211E-3</v>
      </c>
      <c r="M101">
        <v>186</v>
      </c>
      <c r="N101">
        <v>2197.0925999999999</v>
      </c>
      <c r="O101">
        <v>2.8502295699234199E-6</v>
      </c>
      <c r="P101">
        <v>5.98473400508856E-3</v>
      </c>
      <c r="Q101">
        <v>1.905E-3</v>
      </c>
      <c r="R101">
        <v>0.69596000000000002</v>
      </c>
      <c r="S101">
        <v>4356434.22265625</v>
      </c>
      <c r="T101">
        <v>298.84787197440301</v>
      </c>
      <c r="U101">
        <v>557.10837495113606</v>
      </c>
      <c r="V101">
        <v>0.03</v>
      </c>
      <c r="W101">
        <v>65330.456765297</v>
      </c>
      <c r="X101">
        <v>3.06170850033569E-2</v>
      </c>
      <c r="Y101">
        <v>5.71502428279324</v>
      </c>
      <c r="Z101">
        <v>5.7150243315446003</v>
      </c>
      <c r="AA101">
        <v>-4.8751357617504703E-8</v>
      </c>
      <c r="AB101">
        <v>1.10239840215693E-5</v>
      </c>
      <c r="AC101">
        <v>758.58446494079203</v>
      </c>
      <c r="AD101">
        <v>2020.79670666674</v>
      </c>
      <c r="AE101">
        <v>557.10837495113606</v>
      </c>
      <c r="AF101">
        <v>0</v>
      </c>
      <c r="AG101">
        <v>1.11374602091642E-5</v>
      </c>
      <c r="AH101">
        <v>32.974509272747099</v>
      </c>
      <c r="AI101">
        <v>0.24260126063117199</v>
      </c>
      <c r="AJ101">
        <v>23.628916442321199</v>
      </c>
      <c r="AK101">
        <v>7.4991626941410798</v>
      </c>
      <c r="AL101">
        <v>1.5871354414155801</v>
      </c>
      <c r="AM101">
        <v>626.57723579927404</v>
      </c>
      <c r="AN101">
        <v>3.8693997339578299E-8</v>
      </c>
      <c r="AO101">
        <v>1.1347618759494101E-7</v>
      </c>
      <c r="AP101">
        <v>2.4980901703179899</v>
      </c>
      <c r="AQ101">
        <v>3.03248128131615E-5</v>
      </c>
      <c r="AR101">
        <v>5.6254681983796002E-6</v>
      </c>
      <c r="AS101">
        <v>11.934832135164299</v>
      </c>
      <c r="AT101">
        <v>9.3473059738528903</v>
      </c>
      <c r="AU101">
        <v>2.2676682127619898</v>
      </c>
      <c r="AV101">
        <v>0.23042195755599501</v>
      </c>
      <c r="AW101">
        <v>8.7452204862162094E-3</v>
      </c>
      <c r="AX101">
        <v>0.230421948980919</v>
      </c>
      <c r="AY101">
        <v>8.5750757883307199E-9</v>
      </c>
      <c r="AZ101">
        <v>839091.99888317997</v>
      </c>
      <c r="BA101">
        <v>1.2139198646020601E-5</v>
      </c>
      <c r="BB101">
        <v>4394571.4788969196</v>
      </c>
      <c r="BC101">
        <v>38137.256240672403</v>
      </c>
      <c r="BD101">
        <v>0.87542366741897004</v>
      </c>
      <c r="BE101">
        <v>2429034.2999999998</v>
      </c>
      <c r="BF101">
        <v>1.8091846125420801</v>
      </c>
      <c r="BG101">
        <v>1</v>
      </c>
      <c r="BH101">
        <v>-4.7E-2</v>
      </c>
      <c r="BI101">
        <v>4.5999999999999999E-2</v>
      </c>
      <c r="BJ101">
        <v>5625</v>
      </c>
      <c r="BK101">
        <v>1</v>
      </c>
      <c r="BL101">
        <v>327.72936386356503</v>
      </c>
      <c r="BM101">
        <v>4.3945714788969203</v>
      </c>
      <c r="BN101">
        <v>327.72936386356503</v>
      </c>
      <c r="BO101">
        <v>1</v>
      </c>
      <c r="BP101">
        <v>82788.186829331797</v>
      </c>
      <c r="BQ101">
        <v>1</v>
      </c>
      <c r="BR101">
        <v>0.69596000000000002</v>
      </c>
      <c r="BS101">
        <v>100</v>
      </c>
      <c r="BT101">
        <v>187</v>
      </c>
      <c r="BU101" t="s">
        <v>303</v>
      </c>
      <c r="BV101" t="str">
        <f>"Table "&amp;TRIM(RIGHT(SUBSTITUTE($A101,"_",REPT(" ",50)),50))</f>
        <v>Table 12</v>
      </c>
      <c r="BW101">
        <f>$BR101/$Q101</f>
        <v>365.33333333333337</v>
      </c>
      <c r="BX101" t="str">
        <f>IF($BW101&lt;40,"outside_low",IF($BW101&lt;=100,"short_anchor",IF($BW101&lt;250,"middle",IF($BW101&lt;=400,"long","outside_high"))))</f>
        <v>long</v>
      </c>
      <c r="BY101" t="str">
        <f>IF($N101&gt;1000,"PASS","FAIL")</f>
        <v>PASS</v>
      </c>
      <c r="BZ101" t="str">
        <f>IF(AND($BW101&gt;=40,$BW101&lt;=400),"PASS","FAIL")</f>
        <v>PASS</v>
      </c>
    </row>
    <row r="102" spans="1:78">
      <c r="A102" t="s">
        <v>256</v>
      </c>
      <c r="B102">
        <v>17236893.2329209</v>
      </c>
      <c r="C102">
        <v>626.57723583796803</v>
      </c>
      <c r="D102">
        <v>122.583590976701</v>
      </c>
      <c r="E102">
        <v>560.26337686439001</v>
      </c>
      <c r="F102">
        <v>2538890.6454807199</v>
      </c>
      <c r="G102">
        <v>1699798.64659754</v>
      </c>
      <c r="H102">
        <v>2.4290890628326198E-5</v>
      </c>
      <c r="I102">
        <v>6.4066005508525405E-5</v>
      </c>
      <c r="J102">
        <v>0.452884810527584</v>
      </c>
      <c r="K102">
        <v>11219.515372648901</v>
      </c>
      <c r="L102">
        <v>3.02925386118211E-3</v>
      </c>
      <c r="M102">
        <v>187</v>
      </c>
      <c r="N102">
        <v>2414.0893999999998</v>
      </c>
      <c r="O102">
        <v>2.8502295699234199E-6</v>
      </c>
      <c r="P102">
        <v>5.98473400508856E-3</v>
      </c>
      <c r="Q102">
        <v>1.905E-3</v>
      </c>
      <c r="R102">
        <v>0.69596000000000002</v>
      </c>
      <c r="S102">
        <v>4716479.4921875</v>
      </c>
      <c r="T102">
        <v>297.72296123936098</v>
      </c>
      <c r="U102">
        <v>552.19483876594302</v>
      </c>
      <c r="V102">
        <v>0.03</v>
      </c>
      <c r="W102">
        <v>71782.847556931301</v>
      </c>
      <c r="X102">
        <v>2.93937295782228E-2</v>
      </c>
      <c r="Y102">
        <v>5.8327404707964403</v>
      </c>
      <c r="Z102">
        <v>5.8327404814836799</v>
      </c>
      <c r="AA102">
        <v>-1.06872386496093E-8</v>
      </c>
      <c r="AB102">
        <v>9.5112532420647704E-6</v>
      </c>
      <c r="AC102">
        <v>756.563152024283</v>
      </c>
      <c r="AD102">
        <v>2175.5698943971502</v>
      </c>
      <c r="AE102">
        <v>552.19483876594302</v>
      </c>
      <c r="AF102">
        <v>0</v>
      </c>
      <c r="AG102">
        <v>9.6199826835191797E-6</v>
      </c>
      <c r="AH102">
        <v>38.2189869295226</v>
      </c>
      <c r="AI102">
        <v>0.26118213535816798</v>
      </c>
      <c r="AJ102">
        <v>21.972645365759799</v>
      </c>
      <c r="AK102">
        <v>7.5540476227608604</v>
      </c>
      <c r="AL102">
        <v>1.5871354414155801</v>
      </c>
      <c r="AM102">
        <v>626.57723583961103</v>
      </c>
      <c r="AN102">
        <v>-1.6428884919150699E-9</v>
      </c>
      <c r="AO102">
        <v>1.08729441454416E-7</v>
      </c>
      <c r="AP102">
        <v>2.5873920324436601</v>
      </c>
      <c r="AQ102">
        <v>2.8267661157676302E-5</v>
      </c>
      <c r="AR102">
        <v>4.8643560624867996E-6</v>
      </c>
      <c r="AS102">
        <v>11.110495123542799</v>
      </c>
      <c r="AT102">
        <v>8.9894508411696705</v>
      </c>
      <c r="AU102">
        <v>2.3478839663939799</v>
      </c>
      <c r="AV102">
        <v>0.239508066049688</v>
      </c>
      <c r="AW102">
        <v>7.5451857095720299E-3</v>
      </c>
      <c r="AX102">
        <v>0.23950806093247401</v>
      </c>
      <c r="AY102">
        <v>5.11721423568368E-9</v>
      </c>
      <c r="AZ102">
        <v>839091.99888317997</v>
      </c>
      <c r="BA102">
        <v>1.0925155833837401E-5</v>
      </c>
      <c r="BB102">
        <v>4678658.3321262598</v>
      </c>
      <c r="BC102">
        <v>-37821.160061242103</v>
      </c>
      <c r="BD102">
        <v>-0.80189387283226898</v>
      </c>
      <c r="BE102">
        <v>2492126.1</v>
      </c>
      <c r="BF102">
        <v>1.87737624196715</v>
      </c>
      <c r="BG102">
        <v>1</v>
      </c>
      <c r="BH102">
        <v>-8.5999999999999993E-2</v>
      </c>
      <c r="BI102">
        <v>4.5999999999999999E-2</v>
      </c>
      <c r="BJ102">
        <v>5625</v>
      </c>
      <c r="BK102">
        <v>1</v>
      </c>
      <c r="BL102">
        <v>328.85427459860699</v>
      </c>
      <c r="BM102">
        <v>4.6786583321262603</v>
      </c>
      <c r="BN102">
        <v>328.85427459860699</v>
      </c>
      <c r="BO102">
        <v>1</v>
      </c>
      <c r="BP102">
        <v>83436.791953887499</v>
      </c>
      <c r="BQ102">
        <v>1</v>
      </c>
      <c r="BR102">
        <v>0.69596000000000002</v>
      </c>
      <c r="BS102">
        <v>101</v>
      </c>
      <c r="BT102">
        <v>188</v>
      </c>
      <c r="BU102" t="s">
        <v>303</v>
      </c>
      <c r="BV102" t="str">
        <f>"Table "&amp;TRIM(RIGHT(SUBSTITUTE($A102,"_",REPT(" ",50)),50))</f>
        <v>Table 12</v>
      </c>
      <c r="BW102">
        <f>$BR102/$Q102</f>
        <v>365.33333333333337</v>
      </c>
      <c r="BX102" t="str">
        <f>IF($BW102&lt;40,"outside_low",IF($BW102&lt;=100,"short_anchor",IF($BW102&lt;250,"middle",IF($BW102&lt;=400,"long","outside_high"))))</f>
        <v>long</v>
      </c>
      <c r="BY102" t="str">
        <f>IF($N102&gt;1000,"PASS","FAIL")</f>
        <v>PASS</v>
      </c>
      <c r="BZ102" t="str">
        <f>IF(AND($BW102&gt;=40,$BW102&lt;=400),"PASS","FAIL")</f>
        <v>PASS</v>
      </c>
    </row>
    <row r="103" spans="1:78">
      <c r="A103" t="s">
        <v>257</v>
      </c>
      <c r="B103">
        <v>17236893.2329209</v>
      </c>
      <c r="C103">
        <v>626.57723583796803</v>
      </c>
      <c r="D103">
        <v>122.583590976701</v>
      </c>
      <c r="E103">
        <v>560.26337686439001</v>
      </c>
      <c r="F103">
        <v>2538890.6454807199</v>
      </c>
      <c r="G103">
        <v>1699798.64659754</v>
      </c>
      <c r="H103">
        <v>2.4290890628326198E-5</v>
      </c>
      <c r="I103">
        <v>6.4066005508525405E-5</v>
      </c>
      <c r="J103">
        <v>0.452884810527584</v>
      </c>
      <c r="K103">
        <v>11219.515372648901</v>
      </c>
      <c r="L103">
        <v>3.02925386118211E-3</v>
      </c>
      <c r="M103">
        <v>188</v>
      </c>
      <c r="N103">
        <v>2983.7060000000001</v>
      </c>
      <c r="O103">
        <v>2.8502295699234199E-6</v>
      </c>
      <c r="P103">
        <v>5.98473400508856E-3</v>
      </c>
      <c r="Q103">
        <v>1.905E-3</v>
      </c>
      <c r="R103">
        <v>0.69596000000000002</v>
      </c>
      <c r="S103">
        <v>5580558.33984375</v>
      </c>
      <c r="T103">
        <v>298.28542199983798</v>
      </c>
      <c r="U103">
        <v>541.89637898541901</v>
      </c>
      <c r="V103">
        <v>0.03</v>
      </c>
      <c r="W103">
        <v>88720.373384971303</v>
      </c>
      <c r="X103">
        <v>2.68977240407712E-2</v>
      </c>
      <c r="Y103">
        <v>6.0973655573623198</v>
      </c>
      <c r="Z103">
        <v>6.0973655637760196</v>
      </c>
      <c r="AA103">
        <v>-6.4136980171269897E-9</v>
      </c>
      <c r="AB103">
        <v>6.8041134902182196E-6</v>
      </c>
      <c r="AC103">
        <v>750.16719900555904</v>
      </c>
      <c r="AD103">
        <v>2572.2083193029998</v>
      </c>
      <c r="AE103">
        <v>541.89637898541901</v>
      </c>
      <c r="AF103">
        <v>0</v>
      </c>
      <c r="AG103">
        <v>6.9078010527555798E-6</v>
      </c>
      <c r="AH103">
        <v>53.425102897599501</v>
      </c>
      <c r="AI103">
        <v>0.30879948428766202</v>
      </c>
      <c r="AJ103">
        <v>18.654386704449202</v>
      </c>
      <c r="AK103">
        <v>7.5792120787916701</v>
      </c>
      <c r="AL103">
        <v>1.5871354414155801</v>
      </c>
      <c r="AM103">
        <v>626.57723580032803</v>
      </c>
      <c r="AN103">
        <v>3.7639551919710403E-8</v>
      </c>
      <c r="AO103">
        <v>1.03687562537358E-7</v>
      </c>
      <c r="AP103">
        <v>2.79129758245048</v>
      </c>
      <c r="AQ103">
        <v>2.4288576967285199E-5</v>
      </c>
      <c r="AR103">
        <v>3.50574430764647E-6</v>
      </c>
      <c r="AS103">
        <v>9.46719650758779</v>
      </c>
      <c r="AT103">
        <v>8.1891641202211201</v>
      </c>
      <c r="AU103">
        <v>2.5288096570713101</v>
      </c>
      <c r="AV103">
        <v>0.26248792537917398</v>
      </c>
      <c r="AW103">
        <v>5.3976377840146703E-3</v>
      </c>
      <c r="AX103">
        <v>0.26248792507192797</v>
      </c>
      <c r="AY103">
        <v>3.07245451303118E-10</v>
      </c>
      <c r="AZ103">
        <v>839091.99888317997</v>
      </c>
      <c r="BA103">
        <v>8.7015362030881005E-6</v>
      </c>
      <c r="BB103">
        <v>5601863.8372603804</v>
      </c>
      <c r="BC103">
        <v>21305.497416634102</v>
      </c>
      <c r="BD103">
        <v>0.38178074879207602</v>
      </c>
      <c r="BE103">
        <v>3028406.4</v>
      </c>
      <c r="BF103">
        <v>1.84977281690475</v>
      </c>
      <c r="BG103">
        <v>1</v>
      </c>
      <c r="BH103">
        <v>-0.114</v>
      </c>
      <c r="BI103">
        <v>4.5999999999999999E-2</v>
      </c>
      <c r="BJ103">
        <v>5625</v>
      </c>
      <c r="BK103">
        <v>1</v>
      </c>
      <c r="BL103">
        <v>328.29181383813</v>
      </c>
      <c r="BM103">
        <v>5.60186383726038</v>
      </c>
      <c r="BN103">
        <v>328.29181383813</v>
      </c>
      <c r="BO103">
        <v>1</v>
      </c>
      <c r="BP103">
        <v>83112.169926079005</v>
      </c>
      <c r="BQ103">
        <v>1</v>
      </c>
      <c r="BR103">
        <v>0.69596000000000002</v>
      </c>
      <c r="BS103">
        <v>102</v>
      </c>
      <c r="BT103">
        <v>189</v>
      </c>
      <c r="BU103" t="s">
        <v>303</v>
      </c>
      <c r="BV103" t="str">
        <f>"Table "&amp;TRIM(RIGHT(SUBSTITUTE($A103,"_",REPT(" ",50)),50))</f>
        <v>Table 12</v>
      </c>
      <c r="BW103">
        <f>$BR103/$Q103</f>
        <v>365.33333333333337</v>
      </c>
      <c r="BX103" t="str">
        <f>IF($BW103&lt;40,"outside_low",IF($BW103&lt;=100,"short_anchor",IF($BW103&lt;250,"middle",IF($BW103&lt;=400,"long","outside_high"))))</f>
        <v>long</v>
      </c>
      <c r="BY103" t="str">
        <f>IF($N103&gt;1000,"PASS","FAIL")</f>
        <v>PASS</v>
      </c>
      <c r="BZ103" t="str">
        <f>IF(AND($BW103&gt;=40,$BW103&lt;=400),"PASS","FAIL")</f>
        <v>PASS</v>
      </c>
    </row>
    <row r="104" spans="1:78">
      <c r="A104" t="s">
        <v>258</v>
      </c>
      <c r="B104">
        <v>17236893.2329209</v>
      </c>
      <c r="C104">
        <v>626.57723583796803</v>
      </c>
      <c r="D104">
        <v>122.583590976701</v>
      </c>
      <c r="E104">
        <v>560.26337686439001</v>
      </c>
      <c r="F104">
        <v>2538890.6454807199</v>
      </c>
      <c r="G104">
        <v>1699798.64659754</v>
      </c>
      <c r="H104">
        <v>2.4290890628326198E-5</v>
      </c>
      <c r="I104">
        <v>6.4066005508525405E-5</v>
      </c>
      <c r="J104">
        <v>0.452884810527584</v>
      </c>
      <c r="K104">
        <v>11219.515372648901</v>
      </c>
      <c r="L104">
        <v>3.02925386118211E-3</v>
      </c>
      <c r="M104">
        <v>189</v>
      </c>
      <c r="N104">
        <v>3051.5174999999999</v>
      </c>
      <c r="O104">
        <v>2.8502295699234199E-6</v>
      </c>
      <c r="P104">
        <v>5.98473400508856E-3</v>
      </c>
      <c r="Q104">
        <v>1.905E-3</v>
      </c>
      <c r="R104">
        <v>0.69596000000000002</v>
      </c>
      <c r="S104">
        <v>5690958.73046875</v>
      </c>
      <c r="T104">
        <v>297.72296123936098</v>
      </c>
      <c r="U104">
        <v>540.63260892440405</v>
      </c>
      <c r="V104">
        <v>0.03</v>
      </c>
      <c r="W104">
        <v>90736.745507357002</v>
      </c>
      <c r="X104">
        <v>2.6652018899410601E-2</v>
      </c>
      <c r="Y104">
        <v>6.1254069043171304</v>
      </c>
      <c r="Z104">
        <v>6.1254069065536001</v>
      </c>
      <c r="AA104">
        <v>-2.2364643470495999E-9</v>
      </c>
      <c r="AB104">
        <v>6.5650387724955899E-6</v>
      </c>
      <c r="AC104">
        <v>749.70007426478196</v>
      </c>
      <c r="AD104">
        <v>2618.6247319272102</v>
      </c>
      <c r="AE104">
        <v>540.63261042140505</v>
      </c>
      <c r="AF104">
        <v>1.4970006532166699E-6</v>
      </c>
      <c r="AG104">
        <v>6.6681128485160097E-6</v>
      </c>
      <c r="AH104">
        <v>55.370649883255901</v>
      </c>
      <c r="AI104">
        <v>0.31437188064968102</v>
      </c>
      <c r="AJ104">
        <v>18.332057974179101</v>
      </c>
      <c r="AK104">
        <v>7.5956723949669103</v>
      </c>
      <c r="AL104">
        <v>1.5871354414155801</v>
      </c>
      <c r="AM104">
        <v>626.57723599291603</v>
      </c>
      <c r="AN104">
        <v>-1.54947997543786E-7</v>
      </c>
      <c r="AO104">
        <v>1.03074076020422E-7</v>
      </c>
      <c r="AP104">
        <v>2.8129098029560899</v>
      </c>
      <c r="AQ104">
        <v>2.3916781538561799E-5</v>
      </c>
      <c r="AR104">
        <v>3.3855934622682198E-6</v>
      </c>
      <c r="AS104">
        <v>9.3077152467681099</v>
      </c>
      <c r="AT104">
        <v>8.1042182633048601</v>
      </c>
      <c r="AU104">
        <v>2.5477383366306401</v>
      </c>
      <c r="AV104">
        <v>0.26517146632544703</v>
      </c>
      <c r="AW104">
        <v>5.2079821100701499E-3</v>
      </c>
      <c r="AX104">
        <v>0.26517146592365498</v>
      </c>
      <c r="AY104">
        <v>4.0179215510249802E-10</v>
      </c>
      <c r="AZ104">
        <v>839091.99888317997</v>
      </c>
      <c r="BA104">
        <v>8.5025056663486603E-6</v>
      </c>
      <c r="BB104">
        <v>5699074.5076450799</v>
      </c>
      <c r="BC104">
        <v>8115.7771763298697</v>
      </c>
      <c r="BD104">
        <v>0.142608259182744</v>
      </c>
      <c r="BE104">
        <v>3028406.4</v>
      </c>
      <c r="BF104">
        <v>1.8818724288936499</v>
      </c>
      <c r="BG104">
        <v>1</v>
      </c>
      <c r="BH104">
        <v>-0.156</v>
      </c>
      <c r="BI104">
        <v>4.5999999999999999E-2</v>
      </c>
      <c r="BJ104">
        <v>5625</v>
      </c>
      <c r="BK104">
        <v>1</v>
      </c>
      <c r="BL104">
        <v>328.85427459860699</v>
      </c>
      <c r="BM104">
        <v>5.6990745076450802</v>
      </c>
      <c r="BN104">
        <v>328.85427459860699</v>
      </c>
      <c r="BO104">
        <v>1</v>
      </c>
      <c r="BP104">
        <v>83436.791953887499</v>
      </c>
      <c r="BQ104">
        <v>1</v>
      </c>
      <c r="BR104">
        <v>0.69596000000000002</v>
      </c>
      <c r="BS104">
        <v>103</v>
      </c>
      <c r="BT104">
        <v>190</v>
      </c>
      <c r="BU104" t="s">
        <v>303</v>
      </c>
      <c r="BV104" t="str">
        <f>"Table "&amp;TRIM(RIGHT(SUBSTITUTE($A104,"_",REPT(" ",50)),50))</f>
        <v>Table 12</v>
      </c>
      <c r="BW104">
        <f>$BR104/$Q104</f>
        <v>365.33333333333337</v>
      </c>
      <c r="BX104" t="str">
        <f>IF($BW104&lt;40,"outside_low",IF($BW104&lt;=100,"short_anchor",IF($BW104&lt;250,"middle",IF($BW104&lt;=400,"long","outside_high"))))</f>
        <v>long</v>
      </c>
      <c r="BY104" t="str">
        <f>IF($N104&gt;1000,"PASS","FAIL")</f>
        <v>PASS</v>
      </c>
      <c r="BZ104" t="str">
        <f>IF(AND($BW104&gt;=40,$BW104&lt;=400),"PASS","FAIL")</f>
        <v>PASS</v>
      </c>
    </row>
    <row r="105" spans="1:78">
      <c r="A105" t="s">
        <v>259</v>
      </c>
      <c r="B105">
        <v>17236893.2329209</v>
      </c>
      <c r="C105">
        <v>626.57723583796803</v>
      </c>
      <c r="D105">
        <v>122.583590976701</v>
      </c>
      <c r="E105">
        <v>560.26337686439001</v>
      </c>
      <c r="F105">
        <v>2538890.6454807199</v>
      </c>
      <c r="G105">
        <v>1699798.64659754</v>
      </c>
      <c r="H105">
        <v>2.4290890628326198E-5</v>
      </c>
      <c r="I105">
        <v>6.4066005508525405E-5</v>
      </c>
      <c r="J105">
        <v>0.452884810527584</v>
      </c>
      <c r="K105">
        <v>11219.515372648901</v>
      </c>
      <c r="L105">
        <v>3.02925386118211E-3</v>
      </c>
      <c r="M105">
        <v>190</v>
      </c>
      <c r="N105">
        <v>3607.5718000000002</v>
      </c>
      <c r="O105">
        <v>2.8502295699234199E-6</v>
      </c>
      <c r="P105">
        <v>5.98473400508856E-3</v>
      </c>
      <c r="Q105">
        <v>1.905E-3</v>
      </c>
      <c r="R105">
        <v>0.69596000000000002</v>
      </c>
      <c r="S105">
        <v>6458440.91796875</v>
      </c>
      <c r="T105">
        <v>299.91649569119198</v>
      </c>
      <c r="U105">
        <v>533.09467146412499</v>
      </c>
      <c r="V105">
        <v>0.03</v>
      </c>
      <c r="W105">
        <v>107270.99691092</v>
      </c>
      <c r="X105">
        <v>2.49258812093941E-2</v>
      </c>
      <c r="Y105">
        <v>6.33395158653222</v>
      </c>
      <c r="Z105">
        <v>6.3339516227232</v>
      </c>
      <c r="AA105">
        <v>-3.6190980878814103E-8</v>
      </c>
      <c r="AB105">
        <v>5.0224850177624702E-6</v>
      </c>
      <c r="AC105">
        <v>743.45448910430196</v>
      </c>
      <c r="AD105">
        <v>2993.8675842437601</v>
      </c>
      <c r="AE105">
        <v>533.09467289866905</v>
      </c>
      <c r="AF105">
        <v>1.43454485623806E-6</v>
      </c>
      <c r="AG105">
        <v>5.1214787246236199E-6</v>
      </c>
      <c r="AH105">
        <v>72.376614774611696</v>
      </c>
      <c r="AI105">
        <v>0.35942064221708903</v>
      </c>
      <c r="AJ105">
        <v>16.097668385348801</v>
      </c>
      <c r="AK105">
        <v>7.5496133980388596</v>
      </c>
      <c r="AL105">
        <v>1.5871354414155801</v>
      </c>
      <c r="AM105">
        <v>626.57723575488603</v>
      </c>
      <c r="AN105">
        <v>8.3082341006956995E-8</v>
      </c>
      <c r="AO105">
        <v>9.8993706861151397E-8</v>
      </c>
      <c r="AP105">
        <v>2.9729312272618502</v>
      </c>
      <c r="AQ105">
        <v>2.1411378270539399E-5</v>
      </c>
      <c r="AR105">
        <v>2.6102362157423898E-6</v>
      </c>
      <c r="AS105">
        <v>8.2044111218165199</v>
      </c>
      <c r="AT105">
        <v>7.4733597565819503</v>
      </c>
      <c r="AU105">
        <v>2.6860797632300302</v>
      </c>
      <c r="AV105">
        <v>0.28685146403181599</v>
      </c>
      <c r="AW105">
        <v>3.9842890540399897E-3</v>
      </c>
      <c r="AX105">
        <v>0.286851454259063</v>
      </c>
      <c r="AY105">
        <v>9.7727532177849208E-9</v>
      </c>
      <c r="AZ105">
        <v>839091.99888317997</v>
      </c>
      <c r="BA105">
        <v>7.2021101847888601E-6</v>
      </c>
      <c r="BB105">
        <v>6461742.39010836</v>
      </c>
      <c r="BC105">
        <v>3301.47213960811</v>
      </c>
      <c r="BD105">
        <v>5.1118717064093898E-2</v>
      </c>
      <c r="BE105">
        <v>3722416.2</v>
      </c>
      <c r="BF105">
        <v>1.7359000291553499</v>
      </c>
      <c r="BG105">
        <v>1</v>
      </c>
      <c r="BH105">
        <v>-7.5999999999999998E-2</v>
      </c>
      <c r="BI105">
        <v>4.5999999999999999E-2</v>
      </c>
      <c r="BJ105">
        <v>5625</v>
      </c>
      <c r="BK105">
        <v>1</v>
      </c>
      <c r="BL105">
        <v>326.66074014677599</v>
      </c>
      <c r="BM105">
        <v>6.4617423901083599</v>
      </c>
      <c r="BN105">
        <v>326.66074014677599</v>
      </c>
      <c r="BO105">
        <v>1</v>
      </c>
      <c r="BP105">
        <v>82174.379941497493</v>
      </c>
      <c r="BQ105">
        <v>1</v>
      </c>
      <c r="BR105">
        <v>0.69596000000000002</v>
      </c>
      <c r="BS105">
        <v>104</v>
      </c>
      <c r="BT105">
        <v>191</v>
      </c>
      <c r="BU105" t="s">
        <v>303</v>
      </c>
      <c r="BV105" t="str">
        <f>"Table "&amp;TRIM(RIGHT(SUBSTITUTE($A105,"_",REPT(" ",50)),50))</f>
        <v>Table 12</v>
      </c>
      <c r="BW105">
        <f>$BR105/$Q105</f>
        <v>365.33333333333337</v>
      </c>
      <c r="BX105" t="str">
        <f>IF($BW105&lt;40,"outside_low",IF($BW105&lt;=100,"short_anchor",IF($BW105&lt;250,"middle",IF($BW105&lt;=400,"long","outside_high"))))</f>
        <v>long</v>
      </c>
      <c r="BY105" t="str">
        <f>IF($N105&gt;1000,"PASS","FAIL")</f>
        <v>PASS</v>
      </c>
      <c r="BZ105" t="str">
        <f>IF(AND($BW105&gt;=40,$BW105&lt;=400),"PASS","FAIL")</f>
        <v>PASS</v>
      </c>
    </row>
    <row r="106" spans="1:78">
      <c r="A106" t="s">
        <v>260</v>
      </c>
      <c r="B106">
        <v>17236893.2329209</v>
      </c>
      <c r="C106">
        <v>626.57723583796803</v>
      </c>
      <c r="D106">
        <v>122.583590976701</v>
      </c>
      <c r="E106">
        <v>560.26337686439001</v>
      </c>
      <c r="F106">
        <v>2538890.6454807199</v>
      </c>
      <c r="G106">
        <v>1699798.64659754</v>
      </c>
      <c r="H106">
        <v>2.4290890628326198E-5</v>
      </c>
      <c r="I106">
        <v>6.4066005508525405E-5</v>
      </c>
      <c r="J106">
        <v>0.452884810527584</v>
      </c>
      <c r="K106">
        <v>11219.515372648901</v>
      </c>
      <c r="L106">
        <v>3.02925386118211E-3</v>
      </c>
      <c r="M106">
        <v>191</v>
      </c>
      <c r="N106">
        <v>3648.2586999999999</v>
      </c>
      <c r="O106">
        <v>2.8502295699234199E-6</v>
      </c>
      <c r="P106">
        <v>5.98473400508856E-3</v>
      </c>
      <c r="Q106">
        <v>1.905E-3</v>
      </c>
      <c r="R106">
        <v>0.69596000000000002</v>
      </c>
      <c r="S106">
        <v>6580462.40234375</v>
      </c>
      <c r="T106">
        <v>296.59800912860601</v>
      </c>
      <c r="U106">
        <v>531.53206594622395</v>
      </c>
      <c r="V106">
        <v>0.03</v>
      </c>
      <c r="W106">
        <v>108480.820184351</v>
      </c>
      <c r="X106">
        <v>2.4816475679600599E-2</v>
      </c>
      <c r="Y106">
        <v>6.3478981126908902</v>
      </c>
      <c r="Z106">
        <v>6.3478981428997603</v>
      </c>
      <c r="AA106">
        <v>-3.0208874512993602E-8</v>
      </c>
      <c r="AB106">
        <v>4.9327349369830401E-6</v>
      </c>
      <c r="AC106">
        <v>744.36519528989697</v>
      </c>
      <c r="AD106">
        <v>3020.9812058765401</v>
      </c>
      <c r="AE106">
        <v>531.53206594622395</v>
      </c>
      <c r="AF106">
        <v>0</v>
      </c>
      <c r="AG106">
        <v>5.03254414697837E-6</v>
      </c>
      <c r="AH106">
        <v>73.693492147012293</v>
      </c>
      <c r="AI106">
        <v>0.36267569442827202</v>
      </c>
      <c r="AJ106">
        <v>15.9613871766568</v>
      </c>
      <c r="AK106">
        <v>7.6321306002263496</v>
      </c>
      <c r="AL106">
        <v>1.5871354414155801</v>
      </c>
      <c r="AM106">
        <v>626.57723576590001</v>
      </c>
      <c r="AN106">
        <v>7.2068246481649099E-8</v>
      </c>
      <c r="AO106">
        <v>9.9809209995329101E-8</v>
      </c>
      <c r="AP106">
        <v>2.9842371503217202</v>
      </c>
      <c r="AQ106">
        <v>2.1249449559018802E-5</v>
      </c>
      <c r="AR106">
        <v>2.56617667848685E-6</v>
      </c>
      <c r="AS106">
        <v>8.1389727209107097</v>
      </c>
      <c r="AT106">
        <v>7.43331985344033</v>
      </c>
      <c r="AU106">
        <v>2.6958844397539301</v>
      </c>
      <c r="AV106">
        <v>0.288352710567783</v>
      </c>
      <c r="AW106">
        <v>3.9130911782506101E-3</v>
      </c>
      <c r="AX106">
        <v>0.28835269958340198</v>
      </c>
      <c r="AY106">
        <v>1.0984381015877201E-8</v>
      </c>
      <c r="AZ106">
        <v>839091.99888317997</v>
      </c>
      <c r="BA106">
        <v>7.120563309363E-6</v>
      </c>
      <c r="BB106">
        <v>6589585.2436905904</v>
      </c>
      <c r="BC106">
        <v>9122.84134684317</v>
      </c>
      <c r="BD106">
        <v>0.13863526282885399</v>
      </c>
      <c r="BE106">
        <v>3753962.1</v>
      </c>
      <c r="BF106">
        <v>1.75536807995227</v>
      </c>
      <c r="BG106">
        <v>1</v>
      </c>
      <c r="BH106">
        <v>-9.7000000000000003E-2</v>
      </c>
      <c r="BI106">
        <v>4.5999999999999999E-2</v>
      </c>
      <c r="BJ106">
        <v>5625</v>
      </c>
      <c r="BK106">
        <v>1</v>
      </c>
      <c r="BL106">
        <v>329.97922670936202</v>
      </c>
      <c r="BM106">
        <v>6.58958524369059</v>
      </c>
      <c r="BN106">
        <v>329.97922670936202</v>
      </c>
      <c r="BO106">
        <v>1</v>
      </c>
      <c r="BP106">
        <v>84087.951922959604</v>
      </c>
      <c r="BQ106">
        <v>1</v>
      </c>
      <c r="BR106">
        <v>0.69596000000000002</v>
      </c>
      <c r="BS106">
        <v>105</v>
      </c>
      <c r="BT106">
        <v>192</v>
      </c>
      <c r="BU106" t="s">
        <v>303</v>
      </c>
      <c r="BV106" t="str">
        <f>"Table "&amp;TRIM(RIGHT(SUBSTITUTE($A106,"_",REPT(" ",50)),50))</f>
        <v>Table 12</v>
      </c>
      <c r="BW106">
        <f>$BR106/$Q106</f>
        <v>365.33333333333337</v>
      </c>
      <c r="BX106" t="str">
        <f>IF($BW106&lt;40,"outside_low",IF($BW106&lt;=100,"short_anchor",IF($BW106&lt;250,"middle",IF($BW106&lt;=400,"long","outside_high"))))</f>
        <v>long</v>
      </c>
      <c r="BY106" t="str">
        <f>IF($N106&gt;1000,"PASS","FAIL")</f>
        <v>PASS</v>
      </c>
      <c r="BZ106" t="str">
        <f>IF(AND($BW106&gt;=40,$BW106&lt;=400),"PASS","FAIL")</f>
        <v>PASS</v>
      </c>
    </row>
    <row r="107" spans="1:78">
      <c r="A107" t="s">
        <v>261</v>
      </c>
      <c r="B107">
        <v>17236893.2329209</v>
      </c>
      <c r="C107">
        <v>626.57723583796803</v>
      </c>
      <c r="D107">
        <v>122.583590976701</v>
      </c>
      <c r="E107">
        <v>560.26337686439001</v>
      </c>
      <c r="F107">
        <v>2538890.6454807199</v>
      </c>
      <c r="G107">
        <v>1699798.64659754</v>
      </c>
      <c r="H107">
        <v>2.4290890628326198E-5</v>
      </c>
      <c r="I107">
        <v>6.4066005508525405E-5</v>
      </c>
      <c r="J107">
        <v>0.452884810527584</v>
      </c>
      <c r="K107">
        <v>11219.515372648901</v>
      </c>
      <c r="L107">
        <v>3.02925386118211E-3</v>
      </c>
      <c r="M107">
        <v>192</v>
      </c>
      <c r="N107">
        <v>3661.8209999999999</v>
      </c>
      <c r="O107">
        <v>2.8502295699234199E-6</v>
      </c>
      <c r="P107">
        <v>5.98473400508856E-3</v>
      </c>
      <c r="Q107">
        <v>1.905E-3</v>
      </c>
      <c r="R107">
        <v>0.69596000000000002</v>
      </c>
      <c r="S107">
        <v>6556070.21484375</v>
      </c>
      <c r="T107">
        <v>298.84787197440301</v>
      </c>
      <c r="U107">
        <v>532.04418410014102</v>
      </c>
      <c r="V107">
        <v>0.03</v>
      </c>
      <c r="W107">
        <v>108884.094608828</v>
      </c>
      <c r="X107">
        <v>2.4780443082083201E-2</v>
      </c>
      <c r="Y107">
        <v>6.3525115929537899</v>
      </c>
      <c r="Z107">
        <v>6.35251162124099</v>
      </c>
      <c r="AA107">
        <v>-2.8287202802346201E-8</v>
      </c>
      <c r="AB107">
        <v>4.9033833539040099E-6</v>
      </c>
      <c r="AC107">
        <v>743.37492086809198</v>
      </c>
      <c r="AD107">
        <v>3030.0094905242099</v>
      </c>
      <c r="AE107">
        <v>532.04418410014102</v>
      </c>
      <c r="AF107">
        <v>0</v>
      </c>
      <c r="AG107">
        <v>5.0026834255610398E-6</v>
      </c>
      <c r="AH107">
        <v>74.134620343814404</v>
      </c>
      <c r="AI107">
        <v>0.36375956062304399</v>
      </c>
      <c r="AJ107">
        <v>15.914097908176499</v>
      </c>
      <c r="AK107">
        <v>7.5762043393476102</v>
      </c>
      <c r="AL107">
        <v>1.5871354414155801</v>
      </c>
      <c r="AM107">
        <v>626.57723567066796</v>
      </c>
      <c r="AN107">
        <v>1.6729984508856401E-7</v>
      </c>
      <c r="AO107">
        <v>9.9300071657024004E-8</v>
      </c>
      <c r="AP107">
        <v>2.9874751695952102</v>
      </c>
      <c r="AQ107">
        <v>2.12034114599227E-5</v>
      </c>
      <c r="AR107">
        <v>2.5509917486090302E-6</v>
      </c>
      <c r="AS107">
        <v>8.1149912950491405</v>
      </c>
      <c r="AT107">
        <v>7.4185656413358396</v>
      </c>
      <c r="AU107">
        <v>2.6985741781455399</v>
      </c>
      <c r="AV107">
        <v>0.28890099144967901</v>
      </c>
      <c r="AW107">
        <v>3.88980684972261E-3</v>
      </c>
      <c r="AX107">
        <v>0.288900980112203</v>
      </c>
      <c r="AY107">
        <v>1.13374764021401E-8</v>
      </c>
      <c r="AZ107">
        <v>839091.99888317997</v>
      </c>
      <c r="BA107">
        <v>7.0974352107487598E-6</v>
      </c>
      <c r="BB107">
        <v>6577334.6594031397</v>
      </c>
      <c r="BC107">
        <v>21264.444559392501</v>
      </c>
      <c r="BD107">
        <v>0.32434741945330597</v>
      </c>
      <c r="BE107">
        <v>3659324.4</v>
      </c>
      <c r="BF107">
        <v>1.7974177581531601</v>
      </c>
      <c r="BG107">
        <v>1</v>
      </c>
      <c r="BH107">
        <v>-0.13800000000000001</v>
      </c>
      <c r="BI107">
        <v>4.5999999999999999E-2</v>
      </c>
      <c r="BJ107">
        <v>5625</v>
      </c>
      <c r="BK107">
        <v>1</v>
      </c>
      <c r="BL107">
        <v>327.72936386356503</v>
      </c>
      <c r="BM107">
        <v>6.5773346594031397</v>
      </c>
      <c r="BN107">
        <v>327.72936386356503</v>
      </c>
      <c r="BO107">
        <v>1</v>
      </c>
      <c r="BP107">
        <v>82788.186829331797</v>
      </c>
      <c r="BQ107">
        <v>1</v>
      </c>
      <c r="BR107">
        <v>0.69596000000000002</v>
      </c>
      <c r="BS107">
        <v>106</v>
      </c>
      <c r="BT107">
        <v>193</v>
      </c>
      <c r="BU107" t="s">
        <v>303</v>
      </c>
      <c r="BV107" t="str">
        <f>"Table "&amp;TRIM(RIGHT(SUBSTITUTE($A107,"_",REPT(" ",50)),50))</f>
        <v>Table 12</v>
      </c>
      <c r="BW107">
        <f>$BR107/$Q107</f>
        <v>365.33333333333337</v>
      </c>
      <c r="BX107" t="str">
        <f>IF($BW107&lt;40,"outside_low",IF($BW107&lt;=100,"short_anchor",IF($BW107&lt;250,"middle",IF($BW107&lt;=400,"long","outside_high"))))</f>
        <v>long</v>
      </c>
      <c r="BY107" t="str">
        <f>IF($N107&gt;1000,"PASS","FAIL")</f>
        <v>PASS</v>
      </c>
      <c r="BZ107" t="str">
        <f>IF(AND($BW107&gt;=40,$BW107&lt;=400),"PASS","FAIL")</f>
        <v>PASS</v>
      </c>
    </row>
    <row r="108" spans="1:78">
      <c r="A108" t="s">
        <v>262</v>
      </c>
      <c r="B108">
        <v>18271106.826896202</v>
      </c>
      <c r="C108">
        <v>631.29983468618298</v>
      </c>
      <c r="D108">
        <v>138.52318499804201</v>
      </c>
      <c r="E108">
        <v>536.33561616438203</v>
      </c>
      <c r="F108">
        <v>2495937.2378505501</v>
      </c>
      <c r="G108">
        <v>1744945.8746917399</v>
      </c>
      <c r="H108">
        <v>2.53000428176681E-5</v>
      </c>
      <c r="I108">
        <v>6.1314866074765306E-5</v>
      </c>
      <c r="J108">
        <v>0.443124715589372</v>
      </c>
      <c r="K108">
        <v>14125.954358631299</v>
      </c>
      <c r="L108">
        <v>2.2091942860543502E-3</v>
      </c>
      <c r="M108">
        <v>193</v>
      </c>
      <c r="N108">
        <v>2739.5846000000001</v>
      </c>
      <c r="O108">
        <v>7.0553949389535604E-6</v>
      </c>
      <c r="P108">
        <v>9.4159815013393298E-3</v>
      </c>
      <c r="Q108">
        <v>2.9972000000000002E-3</v>
      </c>
      <c r="R108">
        <v>0.150114</v>
      </c>
      <c r="S108">
        <v>1151168.84765625</v>
      </c>
      <c r="T108">
        <v>612.68304621214202</v>
      </c>
      <c r="U108">
        <v>618.64243855207201</v>
      </c>
      <c r="V108">
        <v>0.03</v>
      </c>
      <c r="W108">
        <v>133916.674515894</v>
      </c>
      <c r="X108">
        <v>2.3587060909025698E-2</v>
      </c>
      <c r="Y108">
        <v>6.5112307388258204</v>
      </c>
      <c r="Z108">
        <v>6.5112307565456202</v>
      </c>
      <c r="AA108">
        <v>-1.7719809619620699E-8</v>
      </c>
      <c r="AB108">
        <v>6.4253756212537998E-6</v>
      </c>
      <c r="AC108">
        <v>648.62974004930004</v>
      </c>
      <c r="AD108">
        <v>3635.77150244014</v>
      </c>
      <c r="AE108">
        <v>618.64243903836996</v>
      </c>
      <c r="AF108">
        <v>4.8629738103045405E-7</v>
      </c>
      <c r="AG108">
        <v>6.4566217237366098E-6</v>
      </c>
      <c r="AH108">
        <v>41.258804146735898</v>
      </c>
      <c r="AI108">
        <v>0.27735755430529702</v>
      </c>
      <c r="AJ108">
        <v>15.664487698650399</v>
      </c>
      <c r="AK108">
        <v>0.96350317887648695</v>
      </c>
      <c r="AL108">
        <v>1.9545987150045101</v>
      </c>
      <c r="AM108">
        <v>631.29983470218895</v>
      </c>
      <c r="AN108">
        <v>-1.6005856195988599E-8</v>
      </c>
      <c r="AO108">
        <v>3.1246102482804101E-8</v>
      </c>
      <c r="AP108">
        <v>2.2656188101041899</v>
      </c>
      <c r="AQ108">
        <v>2.4563706858024501E-5</v>
      </c>
      <c r="AR108">
        <v>3.2439339131097099E-6</v>
      </c>
      <c r="AS108">
        <v>7.8701471220361698</v>
      </c>
      <c r="AT108">
        <v>7.2653837814356503</v>
      </c>
      <c r="AU108">
        <v>2.0151090767083599</v>
      </c>
      <c r="AV108">
        <v>0.25050973339582999</v>
      </c>
      <c r="AW108">
        <v>5.6903963802360201E-3</v>
      </c>
      <c r="AX108">
        <v>0.25050972202861999</v>
      </c>
      <c r="AY108">
        <v>1.13672096735407E-8</v>
      </c>
      <c r="AZ108">
        <v>750991.36315881298</v>
      </c>
      <c r="BA108">
        <v>1.08419416136887E-5</v>
      </c>
      <c r="BB108">
        <v>1160807.9371140201</v>
      </c>
      <c r="BC108">
        <v>9639.0894577694107</v>
      </c>
      <c r="BD108">
        <v>0.83733063810702901</v>
      </c>
      <c r="BE108">
        <v>1722406.14</v>
      </c>
      <c r="BF108">
        <v>0.67394554057617295</v>
      </c>
      <c r="BG108">
        <v>1</v>
      </c>
      <c r="BH108">
        <v>-5.7000000000000002E-2</v>
      </c>
      <c r="BI108">
        <v>4.5999999999999999E-2</v>
      </c>
      <c r="BJ108">
        <v>5625</v>
      </c>
      <c r="BK108">
        <v>1</v>
      </c>
      <c r="BL108">
        <v>18.616788474041002</v>
      </c>
      <c r="BM108">
        <v>1.1608079371140201</v>
      </c>
      <c r="BN108">
        <v>18.616788474041002</v>
      </c>
      <c r="BO108">
        <v>1</v>
      </c>
      <c r="BP108">
        <v>457.241735163908</v>
      </c>
      <c r="BQ108">
        <v>1</v>
      </c>
      <c r="BR108">
        <v>0.150114</v>
      </c>
      <c r="BS108">
        <v>107</v>
      </c>
      <c r="BT108">
        <v>194</v>
      </c>
      <c r="BU108" t="s">
        <v>303</v>
      </c>
      <c r="BV108" t="str">
        <f>"Table "&amp;TRIM(RIGHT(SUBSTITUTE($A108,"_",REPT(" ",50)),50))</f>
        <v>Table 13</v>
      </c>
      <c r="BW108">
        <f>$BR108/$Q108</f>
        <v>50.084745762711862</v>
      </c>
      <c r="BX108" t="str">
        <f>IF($BW108&lt;40,"outside_low",IF($BW108&lt;=100,"short_anchor",IF($BW108&lt;250,"middle",IF($BW108&lt;=400,"long","outside_high"))))</f>
        <v>short_anchor</v>
      </c>
      <c r="BY108" t="str">
        <f>IF($N108&gt;1000,"PASS","FAIL")</f>
        <v>PASS</v>
      </c>
      <c r="BZ108" t="str">
        <f>IF(AND($BW108&gt;=40,$BW108&lt;=400),"PASS","FAIL")</f>
        <v>PASS</v>
      </c>
    </row>
    <row r="109" spans="1:78">
      <c r="A109" t="s">
        <v>263</v>
      </c>
      <c r="B109">
        <v>18271106.826896202</v>
      </c>
      <c r="C109">
        <v>631.29983468618298</v>
      </c>
      <c r="D109">
        <v>138.52318499804201</v>
      </c>
      <c r="E109">
        <v>536.33561616438203</v>
      </c>
      <c r="F109">
        <v>2495937.2378505501</v>
      </c>
      <c r="G109">
        <v>1744945.8746917399</v>
      </c>
      <c r="H109">
        <v>2.53000428176681E-5</v>
      </c>
      <c r="I109">
        <v>6.1314866074765306E-5</v>
      </c>
      <c r="J109">
        <v>0.443124715589372</v>
      </c>
      <c r="K109">
        <v>14125.954358631299</v>
      </c>
      <c r="L109">
        <v>2.2091942860543502E-3</v>
      </c>
      <c r="M109">
        <v>194</v>
      </c>
      <c r="N109">
        <v>2753.1469000000002</v>
      </c>
      <c r="O109">
        <v>7.0553949389535604E-6</v>
      </c>
      <c r="P109">
        <v>9.4159815013393298E-3</v>
      </c>
      <c r="Q109">
        <v>2.9972000000000002E-3</v>
      </c>
      <c r="R109">
        <v>0.150114</v>
      </c>
      <c r="S109">
        <v>1154111.62109375</v>
      </c>
      <c r="T109">
        <v>612.68304621214202</v>
      </c>
      <c r="U109">
        <v>618.62824109858195</v>
      </c>
      <c r="V109">
        <v>0.03</v>
      </c>
      <c r="W109">
        <v>134579.628350132</v>
      </c>
      <c r="X109">
        <v>2.3542434183711498E-2</v>
      </c>
      <c r="Y109">
        <v>6.51739911825611</v>
      </c>
      <c r="Z109">
        <v>6.5173991374830198</v>
      </c>
      <c r="AA109">
        <v>-1.9226911618375201E-8</v>
      </c>
      <c r="AB109">
        <v>6.3742875031969701E-6</v>
      </c>
      <c r="AC109">
        <v>648.58215201655298</v>
      </c>
      <c r="AD109">
        <v>3650.3122675647301</v>
      </c>
      <c r="AE109">
        <v>618.62824158440299</v>
      </c>
      <c r="AF109">
        <v>4.85821374240913E-7</v>
      </c>
      <c r="AG109">
        <v>6.4053696486597003E-6</v>
      </c>
      <c r="AH109">
        <v>41.589481835195201</v>
      </c>
      <c r="AI109">
        <v>0.27846680747205299</v>
      </c>
      <c r="AJ109">
        <v>15.6022950799341</v>
      </c>
      <c r="AK109">
        <v>0.96211835669943002</v>
      </c>
      <c r="AL109">
        <v>1.9545987150045101</v>
      </c>
      <c r="AM109">
        <v>631.29983468052603</v>
      </c>
      <c r="AN109">
        <v>5.6570570450276103E-9</v>
      </c>
      <c r="AO109">
        <v>3.1082145462724302E-8</v>
      </c>
      <c r="AP109">
        <v>2.2688057548090699</v>
      </c>
      <c r="AQ109">
        <v>2.44947470592796E-5</v>
      </c>
      <c r="AR109">
        <v>3.2182258970612102E-6</v>
      </c>
      <c r="AS109">
        <v>7.8390027170939804</v>
      </c>
      <c r="AT109">
        <v>7.2455581090942296</v>
      </c>
      <c r="AU109">
        <v>2.0176474349927198</v>
      </c>
      <c r="AV109">
        <v>0.251158319816355</v>
      </c>
      <c r="AW109">
        <v>5.6451520771477999E-3</v>
      </c>
      <c r="AX109">
        <v>0.25115830783988702</v>
      </c>
      <c r="AY109">
        <v>1.19764674844092E-8</v>
      </c>
      <c r="AZ109">
        <v>750991.36315881298</v>
      </c>
      <c r="BA109">
        <v>1.0796317405031E-5</v>
      </c>
      <c r="BB109">
        <v>1159596.57730336</v>
      </c>
      <c r="BC109">
        <v>5484.9562096116097</v>
      </c>
      <c r="BD109">
        <v>0.47525352915288399</v>
      </c>
      <c r="BE109">
        <v>1747642.86</v>
      </c>
      <c r="BF109">
        <v>0.66352033578723402</v>
      </c>
      <c r="BG109">
        <v>1</v>
      </c>
      <c r="BH109">
        <v>-5.5E-2</v>
      </c>
      <c r="BI109">
        <v>4.5999999999999999E-2</v>
      </c>
      <c r="BJ109">
        <v>5625</v>
      </c>
      <c r="BK109">
        <v>1</v>
      </c>
      <c r="BL109">
        <v>18.616788474041002</v>
      </c>
      <c r="BM109">
        <v>1.1595965773033601</v>
      </c>
      <c r="BN109">
        <v>18.616788474041002</v>
      </c>
      <c r="BO109">
        <v>1</v>
      </c>
      <c r="BP109">
        <v>457.241735163908</v>
      </c>
      <c r="BQ109">
        <v>1</v>
      </c>
      <c r="BR109">
        <v>0.150114</v>
      </c>
      <c r="BS109">
        <v>108</v>
      </c>
      <c r="BT109">
        <v>195</v>
      </c>
      <c r="BU109" t="s">
        <v>303</v>
      </c>
      <c r="BV109" t="str">
        <f>"Table "&amp;TRIM(RIGHT(SUBSTITUTE($A109,"_",REPT(" ",50)),50))</f>
        <v>Table 13</v>
      </c>
      <c r="BW109">
        <f>$BR109/$Q109</f>
        <v>50.084745762711862</v>
      </c>
      <c r="BX109" t="str">
        <f>IF($BW109&lt;40,"outside_low",IF($BW109&lt;=100,"short_anchor",IF($BW109&lt;250,"middle",IF($BW109&lt;=400,"long","outside_high"))))</f>
        <v>short_anchor</v>
      </c>
      <c r="BY109" t="str">
        <f>IF($N109&gt;1000,"PASS","FAIL")</f>
        <v>PASS</v>
      </c>
      <c r="BZ109" t="str">
        <f>IF(AND($BW109&gt;=40,$BW109&lt;=400),"PASS","FAIL")</f>
        <v>PASS</v>
      </c>
    </row>
    <row r="110" spans="1:78">
      <c r="A110" t="s">
        <v>264</v>
      </c>
      <c r="B110">
        <v>18960582.556212999</v>
      </c>
      <c r="C110">
        <v>634.44823391832597</v>
      </c>
      <c r="D110">
        <v>149.14958101226799</v>
      </c>
      <c r="E110">
        <v>520.38377569771103</v>
      </c>
      <c r="F110">
        <v>2467301.6327637699</v>
      </c>
      <c r="G110">
        <v>1775044.0267545299</v>
      </c>
      <c r="H110">
        <v>2.5972810943896E-5</v>
      </c>
      <c r="I110">
        <v>5.9480773118925399E-5</v>
      </c>
      <c r="J110">
        <v>0.43661798563056398</v>
      </c>
      <c r="K110">
        <v>16063.580349286</v>
      </c>
      <c r="L110">
        <v>1.6624879026359001E-3</v>
      </c>
      <c r="M110">
        <v>195</v>
      </c>
      <c r="N110">
        <v>1844.4728</v>
      </c>
      <c r="O110">
        <v>2.8502295699234199E-6</v>
      </c>
      <c r="P110">
        <v>5.98473400508856E-3</v>
      </c>
      <c r="Q110">
        <v>1.905E-3</v>
      </c>
      <c r="R110">
        <v>0.15240000000000001</v>
      </c>
      <c r="S110">
        <v>2584217.42578125</v>
      </c>
      <c r="T110">
        <v>558.46565244536998</v>
      </c>
      <c r="U110">
        <v>586.37594725565202</v>
      </c>
      <c r="V110">
        <v>0.03</v>
      </c>
      <c r="W110">
        <v>59073.218113266499</v>
      </c>
      <c r="X110">
        <v>2.8903890083005299E-2</v>
      </c>
      <c r="Y110">
        <v>5.8819570842325399</v>
      </c>
      <c r="Z110">
        <v>5.8819570995297799</v>
      </c>
      <c r="AA110">
        <v>-1.5297239919220799E-8</v>
      </c>
      <c r="AB110">
        <v>8.4460309260993805E-6</v>
      </c>
      <c r="AC110">
        <v>718.69196718017201</v>
      </c>
      <c r="AD110">
        <v>1775.39008344588</v>
      </c>
      <c r="AE110">
        <v>586.37594725565202</v>
      </c>
      <c r="AF110">
        <v>0</v>
      </c>
      <c r="AG110">
        <v>8.5579308648438396E-6</v>
      </c>
      <c r="AH110">
        <v>23.620390460545199</v>
      </c>
      <c r="AI110">
        <v>0.21305006072789601</v>
      </c>
      <c r="AJ110">
        <v>15.951354952503101</v>
      </c>
      <c r="AK110">
        <v>4.2708923875409903</v>
      </c>
      <c r="AL110">
        <v>2.1883527698787102</v>
      </c>
      <c r="AM110">
        <v>634.44823394892103</v>
      </c>
      <c r="AN110">
        <v>-3.0594605959777301E-8</v>
      </c>
      <c r="AO110">
        <v>1.1189993874445899E-7</v>
      </c>
      <c r="AP110">
        <v>1.79284786197819</v>
      </c>
      <c r="AQ110">
        <v>2.80335385384205E-5</v>
      </c>
      <c r="AR110">
        <v>4.3349154017941502E-6</v>
      </c>
      <c r="AS110">
        <v>8.0799641122542205</v>
      </c>
      <c r="AT110">
        <v>7.3969371548522203</v>
      </c>
      <c r="AU110">
        <v>1.5759179100417</v>
      </c>
      <c r="AV110">
        <v>0.21692995193648801</v>
      </c>
      <c r="AW110">
        <v>8.3295048522171993E-3</v>
      </c>
      <c r="AX110">
        <v>0.216929949601712</v>
      </c>
      <c r="AY110">
        <v>2.3347760114145201E-9</v>
      </c>
      <c r="AZ110">
        <v>692257.60600924003</v>
      </c>
      <c r="BA110">
        <v>1.56363175777162E-5</v>
      </c>
      <c r="BB110">
        <v>2578023.3721013102</v>
      </c>
      <c r="BC110">
        <v>-6194.0536799384299</v>
      </c>
      <c r="BD110">
        <v>-0.23968779167510901</v>
      </c>
      <c r="BE110">
        <v>2555217.9</v>
      </c>
      <c r="BF110">
        <v>1.00892505962067</v>
      </c>
      <c r="BG110">
        <v>1</v>
      </c>
      <c r="BH110">
        <v>-0.10299999999999999</v>
      </c>
      <c r="BI110">
        <v>4.5999999999999999E-2</v>
      </c>
      <c r="BJ110">
        <v>5625</v>
      </c>
      <c r="BK110">
        <v>1</v>
      </c>
      <c r="BL110">
        <v>75.982581472955999</v>
      </c>
      <c r="BM110">
        <v>2.5780233721013102</v>
      </c>
      <c r="BN110">
        <v>75.982581472955999</v>
      </c>
      <c r="BO110">
        <v>1</v>
      </c>
      <c r="BP110">
        <v>1294.7461694579199</v>
      </c>
      <c r="BQ110">
        <v>1</v>
      </c>
      <c r="BR110">
        <v>0.15240000000000001</v>
      </c>
      <c r="BS110">
        <v>109</v>
      </c>
      <c r="BT110">
        <v>196</v>
      </c>
      <c r="BU110" t="s">
        <v>303</v>
      </c>
      <c r="BV110" t="str">
        <f>"Table "&amp;TRIM(RIGHT(SUBSTITUTE($A110,"_",REPT(" ",50)),50))</f>
        <v>Table 14</v>
      </c>
      <c r="BW110">
        <f>$BR110/$Q110</f>
        <v>80</v>
      </c>
      <c r="BX110" t="str">
        <f>IF($BW110&lt;40,"outside_low",IF($BW110&lt;=100,"short_anchor",IF($BW110&lt;250,"middle",IF($BW110&lt;=400,"long","outside_high"))))</f>
        <v>short_anchor</v>
      </c>
      <c r="BY110" t="str">
        <f>IF($N110&gt;1000,"PASS","FAIL")</f>
        <v>PASS</v>
      </c>
      <c r="BZ110" t="str">
        <f>IF(AND($BW110&gt;=40,$BW110&lt;=400),"PASS","FAIL")</f>
        <v>PASS</v>
      </c>
    </row>
    <row r="111" spans="1:78">
      <c r="A111" t="s">
        <v>265</v>
      </c>
      <c r="B111">
        <v>18960582.556212999</v>
      </c>
      <c r="C111">
        <v>634.44823391832597</v>
      </c>
      <c r="D111">
        <v>149.14958101226799</v>
      </c>
      <c r="E111">
        <v>520.38377569771103</v>
      </c>
      <c r="F111">
        <v>2467301.6327637699</v>
      </c>
      <c r="G111">
        <v>1775044.0267545299</v>
      </c>
      <c r="H111">
        <v>2.5972810943896E-5</v>
      </c>
      <c r="I111">
        <v>5.9480773118925399E-5</v>
      </c>
      <c r="J111">
        <v>0.43661798563056398</v>
      </c>
      <c r="K111">
        <v>16063.580349286</v>
      </c>
      <c r="L111">
        <v>1.6624879026359001E-3</v>
      </c>
      <c r="M111">
        <v>196</v>
      </c>
      <c r="N111">
        <v>1858.0351000000001</v>
      </c>
      <c r="O111">
        <v>2.8502295699234199E-6</v>
      </c>
      <c r="P111">
        <v>5.98473400508856E-3</v>
      </c>
      <c r="Q111">
        <v>1.905E-3</v>
      </c>
      <c r="R111">
        <v>0.15240000000000001</v>
      </c>
      <c r="S111">
        <v>2654687.98828125</v>
      </c>
      <c r="T111">
        <v>556.26295808654595</v>
      </c>
      <c r="U111">
        <v>584.72507505976898</v>
      </c>
      <c r="V111">
        <v>0.03</v>
      </c>
      <c r="W111">
        <v>59507.580011158199</v>
      </c>
      <c r="X111">
        <v>2.8815898793205799E-2</v>
      </c>
      <c r="Y111">
        <v>5.8909307153231403</v>
      </c>
      <c r="Z111">
        <v>5.8909307249756404</v>
      </c>
      <c r="AA111">
        <v>-9.6524965798039408E-9</v>
      </c>
      <c r="AB111">
        <v>8.3485965985073606E-6</v>
      </c>
      <c r="AC111">
        <v>721.071724390702</v>
      </c>
      <c r="AD111">
        <v>1785.7200920917101</v>
      </c>
      <c r="AE111">
        <v>584.72507505976898</v>
      </c>
      <c r="AF111">
        <v>0</v>
      </c>
      <c r="AG111">
        <v>8.4620804080939503E-6</v>
      </c>
      <c r="AH111">
        <v>23.896057973621101</v>
      </c>
      <c r="AI111">
        <v>0.214289680679498</v>
      </c>
      <c r="AJ111">
        <v>15.8644692972483</v>
      </c>
      <c r="AK111">
        <v>4.3988821818343302</v>
      </c>
      <c r="AL111">
        <v>2.1883527698787102</v>
      </c>
      <c r="AM111">
        <v>634.44823392881597</v>
      </c>
      <c r="AN111">
        <v>-1.04899982034112E-8</v>
      </c>
      <c r="AO111">
        <v>1.1348380958658599E-7</v>
      </c>
      <c r="AP111">
        <v>1.79724778549747</v>
      </c>
      <c r="AQ111">
        <v>2.78964462100471E-5</v>
      </c>
      <c r="AR111">
        <v>4.28778210884027E-6</v>
      </c>
      <c r="AS111">
        <v>8.0386127687847093</v>
      </c>
      <c r="AT111">
        <v>7.3712826355400001</v>
      </c>
      <c r="AU111">
        <v>1.57958980216819</v>
      </c>
      <c r="AV111">
        <v>0.21765798332927899</v>
      </c>
      <c r="AW111">
        <v>8.2334147820349608E-3</v>
      </c>
      <c r="AX111">
        <v>0.21765797842260901</v>
      </c>
      <c r="AY111">
        <v>4.9066700702482502E-9</v>
      </c>
      <c r="AZ111">
        <v>692257.60600924003</v>
      </c>
      <c r="BA111">
        <v>1.5521758566154199E-5</v>
      </c>
      <c r="BB111">
        <v>2633810.1469452698</v>
      </c>
      <c r="BC111">
        <v>-20877.841335979301</v>
      </c>
      <c r="BD111">
        <v>-0.78645179501853402</v>
      </c>
      <c r="BE111">
        <v>2744493.3</v>
      </c>
      <c r="BF111">
        <v>0.95967082409903204</v>
      </c>
      <c r="BG111">
        <v>1</v>
      </c>
      <c r="BH111">
        <v>-7.6999999999999999E-2</v>
      </c>
      <c r="BI111">
        <v>4.5999999999999999E-2</v>
      </c>
      <c r="BJ111">
        <v>5625</v>
      </c>
      <c r="BK111">
        <v>1</v>
      </c>
      <c r="BL111">
        <v>78.185275831780004</v>
      </c>
      <c r="BM111">
        <v>2.6338101469452702</v>
      </c>
      <c r="BN111">
        <v>78.185275831780004</v>
      </c>
      <c r="BO111">
        <v>1</v>
      </c>
      <c r="BP111">
        <v>1458.11529034912</v>
      </c>
      <c r="BQ111">
        <v>1</v>
      </c>
      <c r="BR111">
        <v>0.15240000000000001</v>
      </c>
      <c r="BS111">
        <v>110</v>
      </c>
      <c r="BT111">
        <v>197</v>
      </c>
      <c r="BU111" t="s">
        <v>303</v>
      </c>
      <c r="BV111" t="str">
        <f>"Table "&amp;TRIM(RIGHT(SUBSTITUTE($A111,"_",REPT(" ",50)),50))</f>
        <v>Table 14</v>
      </c>
      <c r="BW111">
        <f>$BR111/$Q111</f>
        <v>80</v>
      </c>
      <c r="BX111" t="str">
        <f>IF($BW111&lt;40,"outside_low",IF($BW111&lt;=100,"short_anchor",IF($BW111&lt;250,"middle",IF($BW111&lt;=400,"long","outside_high"))))</f>
        <v>short_anchor</v>
      </c>
      <c r="BY111" t="str">
        <f>IF($N111&gt;1000,"PASS","FAIL")</f>
        <v>PASS</v>
      </c>
      <c r="BZ111" t="str">
        <f>IF(AND($BW111&gt;=40,$BW111&lt;=400),"PASS","FAIL")</f>
        <v>PASS</v>
      </c>
    </row>
    <row r="112" spans="1:78">
      <c r="A112" t="s">
        <v>266</v>
      </c>
      <c r="B112">
        <v>18960582.556212999</v>
      </c>
      <c r="C112">
        <v>634.44823391832597</v>
      </c>
      <c r="D112">
        <v>149.14958101226799</v>
      </c>
      <c r="E112">
        <v>520.38377569771103</v>
      </c>
      <c r="F112">
        <v>2467301.6327637699</v>
      </c>
      <c r="G112">
        <v>1775044.0267545299</v>
      </c>
      <c r="H112">
        <v>2.5972810943896E-5</v>
      </c>
      <c r="I112">
        <v>5.9480773118925399E-5</v>
      </c>
      <c r="J112">
        <v>0.43661798563056398</v>
      </c>
      <c r="K112">
        <v>16063.580349286</v>
      </c>
      <c r="L112">
        <v>1.6624879026359001E-3</v>
      </c>
      <c r="M112">
        <v>197</v>
      </c>
      <c r="N112">
        <v>1871.5974000000001</v>
      </c>
      <c r="O112">
        <v>2.8502295699234199E-6</v>
      </c>
      <c r="P112">
        <v>5.98473400508856E-3</v>
      </c>
      <c r="Q112">
        <v>1.905E-3</v>
      </c>
      <c r="R112">
        <v>0.15240000000000001</v>
      </c>
      <c r="S112">
        <v>3157560.29296875</v>
      </c>
      <c r="T112">
        <v>538.50245457174299</v>
      </c>
      <c r="U112">
        <v>572.110777943789</v>
      </c>
      <c r="V112">
        <v>0.03</v>
      </c>
      <c r="W112">
        <v>59941.941909049798</v>
      </c>
      <c r="X112">
        <v>2.8728955433497301E-2</v>
      </c>
      <c r="Y112">
        <v>5.8998379376894601</v>
      </c>
      <c r="Z112">
        <v>5.8998379765319902</v>
      </c>
      <c r="AA112">
        <v>-3.8842527416704797E-8</v>
      </c>
      <c r="AB112">
        <v>8.2529416135113194E-6</v>
      </c>
      <c r="AC112">
        <v>742.63182352334502</v>
      </c>
      <c r="AD112">
        <v>1796.0388933148599</v>
      </c>
      <c r="AE112">
        <v>572.110777943789</v>
      </c>
      <c r="AF112">
        <v>0</v>
      </c>
      <c r="AG112">
        <v>8.3881602138876905E-6</v>
      </c>
      <c r="AH112">
        <v>24.173023106052099</v>
      </c>
      <c r="AI112">
        <v>0.215527955719856</v>
      </c>
      <c r="AJ112">
        <v>15.816757992124501</v>
      </c>
      <c r="AK112">
        <v>5.4988144008337398</v>
      </c>
      <c r="AL112">
        <v>2.1883527698787102</v>
      </c>
      <c r="AM112">
        <v>634.44823391253794</v>
      </c>
      <c r="AN112">
        <v>5.7881379689206402E-9</v>
      </c>
      <c r="AO112">
        <v>1.3521860037637601E-7</v>
      </c>
      <c r="AP112">
        <v>1.80618173777312</v>
      </c>
      <c r="AQ112">
        <v>2.7621159244891201E-5</v>
      </c>
      <c r="AR112">
        <v>4.26168940713203E-6</v>
      </c>
      <c r="AS112">
        <v>8.0358634398289599</v>
      </c>
      <c r="AT112">
        <v>7.3695722662894596</v>
      </c>
      <c r="AU112">
        <v>1.58834884508311</v>
      </c>
      <c r="AV112">
        <v>0.217832892690006</v>
      </c>
      <c r="AW112">
        <v>8.1390795056625696E-3</v>
      </c>
      <c r="AX112">
        <v>0.21783289008448201</v>
      </c>
      <c r="AY112">
        <v>2.6055239077393801E-9</v>
      </c>
      <c r="AZ112">
        <v>692257.60600924003</v>
      </c>
      <c r="BA112">
        <v>1.52925692178384E-5</v>
      </c>
      <c r="BB112">
        <v>3185278.9049469298</v>
      </c>
      <c r="BC112">
        <v>27718.6119781751</v>
      </c>
      <c r="BD112">
        <v>0.87784901653022696</v>
      </c>
      <c r="BE112">
        <v>3186135.9</v>
      </c>
      <c r="BF112">
        <v>0.99973102369767897</v>
      </c>
      <c r="BG112">
        <v>1</v>
      </c>
      <c r="BH112">
        <v>-0.1</v>
      </c>
      <c r="BI112">
        <v>4.5999999999999999E-2</v>
      </c>
      <c r="BJ112">
        <v>5625</v>
      </c>
      <c r="BK112">
        <v>1</v>
      </c>
      <c r="BL112">
        <v>95.945779346582995</v>
      </c>
      <c r="BM112">
        <v>3.1852789049469199</v>
      </c>
      <c r="BN112">
        <v>95.945779346582995</v>
      </c>
      <c r="BO112">
        <v>1</v>
      </c>
      <c r="BP112">
        <v>3129.9302266965501</v>
      </c>
      <c r="BQ112">
        <v>1</v>
      </c>
      <c r="BR112">
        <v>0.15240000000000001</v>
      </c>
      <c r="BS112">
        <v>111</v>
      </c>
      <c r="BT112">
        <v>198</v>
      </c>
      <c r="BU112" t="s">
        <v>303</v>
      </c>
      <c r="BV112" t="str">
        <f>"Table "&amp;TRIM(RIGHT(SUBSTITUTE($A112,"_",REPT(" ",50)),50))</f>
        <v>Table 14</v>
      </c>
      <c r="BW112">
        <f>$BR112/$Q112</f>
        <v>80</v>
      </c>
      <c r="BX112" t="str">
        <f>IF($BW112&lt;40,"outside_low",IF($BW112&lt;=100,"short_anchor",IF($BW112&lt;250,"middle",IF($BW112&lt;=400,"long","outside_high"))))</f>
        <v>short_anchor</v>
      </c>
      <c r="BY112" t="str">
        <f>IF($N112&gt;1000,"PASS","FAIL")</f>
        <v>PASS</v>
      </c>
      <c r="BZ112" t="str">
        <f>IF(AND($BW112&gt;=40,$BW112&lt;=400),"PASS","FAIL")</f>
        <v>PASS</v>
      </c>
    </row>
    <row r="113" spans="1:78">
      <c r="A113" t="s">
        <v>267</v>
      </c>
      <c r="B113">
        <v>18960582.556212999</v>
      </c>
      <c r="C113">
        <v>634.44823391832597</v>
      </c>
      <c r="D113">
        <v>149.14958101226799</v>
      </c>
      <c r="E113">
        <v>520.38377569771103</v>
      </c>
      <c r="F113">
        <v>2467301.6327637699</v>
      </c>
      <c r="G113">
        <v>1775044.0267545299</v>
      </c>
      <c r="H113">
        <v>2.5972810943896E-5</v>
      </c>
      <c r="I113">
        <v>5.9480773118925399E-5</v>
      </c>
      <c r="J113">
        <v>0.43661798563056398</v>
      </c>
      <c r="K113">
        <v>16063.580349286</v>
      </c>
      <c r="L113">
        <v>1.6624879026359001E-3</v>
      </c>
      <c r="M113">
        <v>198</v>
      </c>
      <c r="N113">
        <v>1885.1596999999999</v>
      </c>
      <c r="O113">
        <v>2.8502295699234199E-6</v>
      </c>
      <c r="P113">
        <v>5.98473400508856E-3</v>
      </c>
      <c r="Q113">
        <v>1.905E-3</v>
      </c>
      <c r="R113">
        <v>0.15240000000000001</v>
      </c>
      <c r="S113">
        <v>3199926.7578125</v>
      </c>
      <c r="T113">
        <v>537.34621978095004</v>
      </c>
      <c r="U113">
        <v>571.16045110159996</v>
      </c>
      <c r="V113">
        <v>0.03</v>
      </c>
      <c r="W113">
        <v>60376.303806941498</v>
      </c>
      <c r="X113">
        <v>2.8643038996504201E-2</v>
      </c>
      <c r="Y113">
        <v>5.9086797632693697</v>
      </c>
      <c r="Z113">
        <v>5.9086797749799098</v>
      </c>
      <c r="AA113">
        <v>-1.1710546310439401E-8</v>
      </c>
      <c r="AB113">
        <v>8.1590216640322296E-6</v>
      </c>
      <c r="AC113">
        <v>743.62628600811399</v>
      </c>
      <c r="AD113">
        <v>1806.34657636468</v>
      </c>
      <c r="AE113">
        <v>571.16045253786206</v>
      </c>
      <c r="AF113">
        <v>1.43626277804287E-6</v>
      </c>
      <c r="AG113">
        <v>8.2938048507331203E-6</v>
      </c>
      <c r="AH113">
        <v>24.451283074264399</v>
      </c>
      <c r="AI113">
        <v>0.21676489655905701</v>
      </c>
      <c r="AJ113">
        <v>15.7285942227386</v>
      </c>
      <c r="AK113">
        <v>5.5589003833866997</v>
      </c>
      <c r="AL113">
        <v>2.1883527698787102</v>
      </c>
      <c r="AM113">
        <v>634.448233897102</v>
      </c>
      <c r="AN113">
        <v>2.1224082047410801E-8</v>
      </c>
      <c r="AO113">
        <v>1.34783186700881E-7</v>
      </c>
      <c r="AP113">
        <v>1.81014887837498</v>
      </c>
      <c r="AQ113">
        <v>2.75002222893038E-5</v>
      </c>
      <c r="AR113">
        <v>4.2142940187170004E-6</v>
      </c>
      <c r="AS113">
        <v>7.9921003385864502</v>
      </c>
      <c r="AT113">
        <v>7.3422679807281197</v>
      </c>
      <c r="AU113">
        <v>1.5915459593514101</v>
      </c>
      <c r="AV113">
        <v>0.21860291902356699</v>
      </c>
      <c r="AW113">
        <v>8.0464553273057807E-3</v>
      </c>
      <c r="AX113">
        <v>0.218602914569138</v>
      </c>
      <c r="AY113">
        <v>4.4544298527515702E-9</v>
      </c>
      <c r="AZ113">
        <v>692257.60600924003</v>
      </c>
      <c r="BA113">
        <v>1.5192243366187399E-5</v>
      </c>
      <c r="BB113">
        <v>3195989.1440480002</v>
      </c>
      <c r="BC113">
        <v>-3937.6137645007102</v>
      </c>
      <c r="BD113">
        <v>-0.12305324660594701</v>
      </c>
      <c r="BE113">
        <v>3091498.2</v>
      </c>
      <c r="BF113">
        <v>1.0337994516859199</v>
      </c>
      <c r="BG113">
        <v>1</v>
      </c>
      <c r="BH113">
        <v>-0.13600000000000001</v>
      </c>
      <c r="BI113">
        <v>4.5999999999999999E-2</v>
      </c>
      <c r="BJ113">
        <v>5625</v>
      </c>
      <c r="BK113">
        <v>1</v>
      </c>
      <c r="BL113">
        <v>97.102014137375903</v>
      </c>
      <c r="BM113">
        <v>3.1959891440480002</v>
      </c>
      <c r="BN113">
        <v>97.102014137375903</v>
      </c>
      <c r="BO113">
        <v>1</v>
      </c>
      <c r="BP113">
        <v>3260.6400185450798</v>
      </c>
      <c r="BQ113">
        <v>1</v>
      </c>
      <c r="BR113">
        <v>0.15240000000000001</v>
      </c>
      <c r="BS113">
        <v>112</v>
      </c>
      <c r="BT113">
        <v>199</v>
      </c>
      <c r="BU113" t="s">
        <v>303</v>
      </c>
      <c r="BV113" t="str">
        <f>"Table "&amp;TRIM(RIGHT(SUBSTITUTE($A113,"_",REPT(" ",50)),50))</f>
        <v>Table 14</v>
      </c>
      <c r="BW113">
        <f>$BR113/$Q113</f>
        <v>80</v>
      </c>
      <c r="BX113" t="str">
        <f>IF($BW113&lt;40,"outside_low",IF($BW113&lt;=100,"short_anchor",IF($BW113&lt;250,"middle",IF($BW113&lt;=400,"long","outside_high"))))</f>
        <v>short_anchor</v>
      </c>
      <c r="BY113" t="str">
        <f>IF($N113&gt;1000,"PASS","FAIL")</f>
        <v>PASS</v>
      </c>
      <c r="BZ113" t="str">
        <f>IF(AND($BW113&gt;=40,$BW113&lt;=400),"PASS","FAIL")</f>
        <v>PASS</v>
      </c>
    </row>
    <row r="114" spans="1:78">
      <c r="A114" t="s">
        <v>268</v>
      </c>
      <c r="B114">
        <v>18960582.556212999</v>
      </c>
      <c r="C114">
        <v>634.44823391832597</v>
      </c>
      <c r="D114">
        <v>149.14958101226799</v>
      </c>
      <c r="E114">
        <v>520.38377569771103</v>
      </c>
      <c r="F114">
        <v>2467301.6327637699</v>
      </c>
      <c r="G114">
        <v>1775044.0267545299</v>
      </c>
      <c r="H114">
        <v>2.5972810943896E-5</v>
      </c>
      <c r="I114">
        <v>5.9480773118925399E-5</v>
      </c>
      <c r="J114">
        <v>0.43661798563056398</v>
      </c>
      <c r="K114">
        <v>16063.580349286</v>
      </c>
      <c r="L114">
        <v>1.6624879026359001E-3</v>
      </c>
      <c r="M114">
        <v>199</v>
      </c>
      <c r="N114">
        <v>2034.345</v>
      </c>
      <c r="O114">
        <v>2.8502295699234199E-6</v>
      </c>
      <c r="P114">
        <v>5.98473400508856E-3</v>
      </c>
      <c r="Q114">
        <v>1.905E-3</v>
      </c>
      <c r="R114">
        <v>0.15240000000000001</v>
      </c>
      <c r="S114">
        <v>4617700.1953125</v>
      </c>
      <c r="T114">
        <v>491.16937847279701</v>
      </c>
      <c r="U114">
        <v>536.38710837813596</v>
      </c>
      <c r="V114">
        <v>0.03</v>
      </c>
      <c r="W114">
        <v>65154.2846837498</v>
      </c>
      <c r="X114">
        <v>2.77604663894368E-2</v>
      </c>
      <c r="Y114">
        <v>6.00187050427395</v>
      </c>
      <c r="Z114">
        <v>6.0018705113914601</v>
      </c>
      <c r="AA114">
        <v>-7.11750747228734E-9</v>
      </c>
      <c r="AB114">
        <v>7.2289880152804102E-6</v>
      </c>
      <c r="AC114">
        <v>794.18426519942898</v>
      </c>
      <c r="AD114">
        <v>1919.0282633735201</v>
      </c>
      <c r="AE114">
        <v>536.38710837813596</v>
      </c>
      <c r="AF114">
        <v>0</v>
      </c>
      <c r="AG114">
        <v>7.4058109777987798E-6</v>
      </c>
      <c r="AH114">
        <v>27.5970229712118</v>
      </c>
      <c r="AI114">
        <v>0.23028690531870999</v>
      </c>
      <c r="AJ114">
        <v>14.920693521887401</v>
      </c>
      <c r="AK114">
        <v>8.2680131689867302</v>
      </c>
      <c r="AL114">
        <v>2.1883527698787102</v>
      </c>
      <c r="AM114">
        <v>634.44823389904104</v>
      </c>
      <c r="AN114">
        <v>1.9284584595879999E-8</v>
      </c>
      <c r="AO114">
        <v>1.7682296251836901E-7</v>
      </c>
      <c r="AP114">
        <v>1.86422210826845</v>
      </c>
      <c r="AQ114">
        <v>2.5928028012823499E-5</v>
      </c>
      <c r="AR114">
        <v>3.7913169701585802E-6</v>
      </c>
      <c r="AS114">
        <v>7.63847183321991</v>
      </c>
      <c r="AT114">
        <v>7.1159878067077003</v>
      </c>
      <c r="AU114">
        <v>1.63871881029239</v>
      </c>
      <c r="AV114">
        <v>0.225503297976065</v>
      </c>
      <c r="AW114">
        <v>7.1292529327389798E-3</v>
      </c>
      <c r="AX114">
        <v>0.22550328883776599</v>
      </c>
      <c r="AY114">
        <v>9.1382985623056406E-9</v>
      </c>
      <c r="AZ114">
        <v>692257.60600924003</v>
      </c>
      <c r="BA114">
        <v>1.3908229012961499E-5</v>
      </c>
      <c r="BB114">
        <v>4579924.4434871599</v>
      </c>
      <c r="BC114">
        <v>-37775.751825342901</v>
      </c>
      <c r="BD114">
        <v>-0.81806419272714204</v>
      </c>
      <c r="BE114">
        <v>4164058.8</v>
      </c>
      <c r="BF114">
        <v>1.0998702620354801</v>
      </c>
      <c r="BG114">
        <v>1</v>
      </c>
      <c r="BH114">
        <v>-0.25700000000000001</v>
      </c>
      <c r="BI114">
        <v>4.5999999999999999E-2</v>
      </c>
      <c r="BJ114">
        <v>5625</v>
      </c>
      <c r="BK114">
        <v>1</v>
      </c>
      <c r="BL114">
        <v>143.27885544552899</v>
      </c>
      <c r="BM114">
        <v>4.57992444348716</v>
      </c>
      <c r="BN114">
        <v>143.27885544552899</v>
      </c>
      <c r="BO114">
        <v>1</v>
      </c>
      <c r="BP114">
        <v>10666.5219821385</v>
      </c>
      <c r="BQ114">
        <v>1</v>
      </c>
      <c r="BR114">
        <v>0.15240000000000001</v>
      </c>
      <c r="BS114">
        <v>113</v>
      </c>
      <c r="BT114">
        <v>200</v>
      </c>
      <c r="BU114" t="s">
        <v>303</v>
      </c>
      <c r="BV114" t="str">
        <f>"Table "&amp;TRIM(RIGHT(SUBSTITUTE($A114,"_",REPT(" ",50)),50))</f>
        <v>Table 14</v>
      </c>
      <c r="BW114">
        <f>$BR114/$Q114</f>
        <v>80</v>
      </c>
      <c r="BX114" t="str">
        <f>IF($BW114&lt;40,"outside_low",IF($BW114&lt;=100,"short_anchor",IF($BW114&lt;250,"middle",IF($BW114&lt;=400,"long","outside_high"))))</f>
        <v>short_anchor</v>
      </c>
      <c r="BY114" t="str">
        <f>IF($N114&gt;1000,"PASS","FAIL")</f>
        <v>PASS</v>
      </c>
      <c r="BZ114" t="str">
        <f>IF(AND($BW114&gt;=40,$BW114&lt;=400),"PASS","FAIL")</f>
        <v>PASS</v>
      </c>
    </row>
    <row r="115" spans="1:78">
      <c r="A115" t="s">
        <v>269</v>
      </c>
      <c r="B115">
        <v>18960582.556212999</v>
      </c>
      <c r="C115">
        <v>634.44823391832597</v>
      </c>
      <c r="D115">
        <v>149.14958101226799</v>
      </c>
      <c r="E115">
        <v>520.38377569771103</v>
      </c>
      <c r="F115">
        <v>2467301.6327637699</v>
      </c>
      <c r="G115">
        <v>1775044.0267545299</v>
      </c>
      <c r="H115">
        <v>2.5972810943896E-5</v>
      </c>
      <c r="I115">
        <v>5.9480773118925399E-5</v>
      </c>
      <c r="J115">
        <v>0.43661798563056398</v>
      </c>
      <c r="K115">
        <v>16063.580349286</v>
      </c>
      <c r="L115">
        <v>1.6624879026359001E-3</v>
      </c>
      <c r="M115">
        <v>200</v>
      </c>
      <c r="N115">
        <v>2034.345</v>
      </c>
      <c r="O115">
        <v>2.8502295699234199E-6</v>
      </c>
      <c r="P115">
        <v>5.98473400508856E-3</v>
      </c>
      <c r="Q115">
        <v>1.905E-3</v>
      </c>
      <c r="R115">
        <v>0.15240000000000001</v>
      </c>
      <c r="S115">
        <v>3898645.01953125</v>
      </c>
      <c r="T115">
        <v>516.78076663997103</v>
      </c>
      <c r="U115">
        <v>554.95731990969398</v>
      </c>
      <c r="V115">
        <v>0.03</v>
      </c>
      <c r="W115">
        <v>65154.2846837498</v>
      </c>
      <c r="X115">
        <v>2.77604663894368E-2</v>
      </c>
      <c r="Y115">
        <v>6.00187050427395</v>
      </c>
      <c r="Z115">
        <v>6.0018705113914601</v>
      </c>
      <c r="AA115">
        <v>-7.11750747228734E-9</v>
      </c>
      <c r="AB115">
        <v>7.2289880152804102E-6</v>
      </c>
      <c r="AC115">
        <v>763.56078518722404</v>
      </c>
      <c r="AD115">
        <v>1919.0282633735201</v>
      </c>
      <c r="AE115">
        <v>554.95732154530197</v>
      </c>
      <c r="AF115">
        <v>1.63560775945371E-6</v>
      </c>
      <c r="AG115">
        <v>7.3801253999512301E-6</v>
      </c>
      <c r="AH115">
        <v>27.5970229712118</v>
      </c>
      <c r="AI115">
        <v>0.23028690531870999</v>
      </c>
      <c r="AJ115">
        <v>14.8689440732254</v>
      </c>
      <c r="AK115">
        <v>6.69028396493625</v>
      </c>
      <c r="AL115">
        <v>2.1883527698787102</v>
      </c>
      <c r="AM115">
        <v>634.448233893561</v>
      </c>
      <c r="AN115">
        <v>2.47650859819259E-8</v>
      </c>
      <c r="AO115">
        <v>1.5113738467082E-7</v>
      </c>
      <c r="AP115">
        <v>1.85724225643353</v>
      </c>
      <c r="AQ115">
        <v>2.6123278642486699E-5</v>
      </c>
      <c r="AR115">
        <v>3.76563139231103E-6</v>
      </c>
      <c r="AS115">
        <v>7.5867223845579401</v>
      </c>
      <c r="AT115">
        <v>7.0819983237453599</v>
      </c>
      <c r="AU115">
        <v>1.63089147744761</v>
      </c>
      <c r="AV115">
        <v>0.22635077898591899</v>
      </c>
      <c r="AW115">
        <v>7.1292529327389798E-3</v>
      </c>
      <c r="AX115">
        <v>0.226350770925213</v>
      </c>
      <c r="AY115">
        <v>8.0607057695303297E-9</v>
      </c>
      <c r="AZ115">
        <v>692257.60600924003</v>
      </c>
      <c r="BA115">
        <v>1.4065627977177E-5</v>
      </c>
      <c r="BB115">
        <v>3870831.4433764899</v>
      </c>
      <c r="BC115">
        <v>-27813.5761547578</v>
      </c>
      <c r="BD115">
        <v>-0.71341648227572896</v>
      </c>
      <c r="BE115">
        <v>3722416.2</v>
      </c>
      <c r="BF115">
        <v>1.0398706741541901</v>
      </c>
      <c r="BG115">
        <v>1</v>
      </c>
      <c r="BH115">
        <v>-0.189</v>
      </c>
      <c r="BI115">
        <v>4.5999999999999999E-2</v>
      </c>
      <c r="BJ115">
        <v>5625</v>
      </c>
      <c r="BK115">
        <v>1</v>
      </c>
      <c r="BL115">
        <v>117.66746727835501</v>
      </c>
      <c r="BM115">
        <v>3.8708314433764901</v>
      </c>
      <c r="BN115">
        <v>117.66746727835501</v>
      </c>
      <c r="BO115">
        <v>1</v>
      </c>
      <c r="BP115">
        <v>6032.2354734343298</v>
      </c>
      <c r="BQ115">
        <v>1</v>
      </c>
      <c r="BR115">
        <v>0.15240000000000001</v>
      </c>
      <c r="BS115">
        <v>114</v>
      </c>
      <c r="BT115">
        <v>201</v>
      </c>
      <c r="BU115" t="s">
        <v>303</v>
      </c>
      <c r="BV115" t="str">
        <f>"Table "&amp;TRIM(RIGHT(SUBSTITUTE($A115,"_",REPT(" ",50)),50))</f>
        <v>Table 14</v>
      </c>
      <c r="BW115">
        <f>$BR115/$Q115</f>
        <v>80</v>
      </c>
      <c r="BX115" t="str">
        <f>IF($BW115&lt;40,"outside_low",IF($BW115&lt;=100,"short_anchor",IF($BW115&lt;250,"middle",IF($BW115&lt;=400,"long","outside_high"))))</f>
        <v>short_anchor</v>
      </c>
      <c r="BY115" t="str">
        <f>IF($N115&gt;1000,"PASS","FAIL")</f>
        <v>PASS</v>
      </c>
      <c r="BZ115" t="str">
        <f>IF(AND($BW115&gt;=40,$BW115&lt;=400),"PASS","FAIL")</f>
        <v>PASS</v>
      </c>
    </row>
    <row r="116" spans="1:78">
      <c r="A116" t="s">
        <v>270</v>
      </c>
      <c r="B116">
        <v>18960582.556212999</v>
      </c>
      <c r="C116">
        <v>634.44823391832597</v>
      </c>
      <c r="D116">
        <v>149.14958101226799</v>
      </c>
      <c r="E116">
        <v>520.38377569771103</v>
      </c>
      <c r="F116">
        <v>2467301.6327637699</v>
      </c>
      <c r="G116">
        <v>1775044.0267545299</v>
      </c>
      <c r="H116">
        <v>2.5972810943896E-5</v>
      </c>
      <c r="I116">
        <v>5.9480773118925399E-5</v>
      </c>
      <c r="J116">
        <v>0.43661798563056398</v>
      </c>
      <c r="K116">
        <v>16063.580349286</v>
      </c>
      <c r="L116">
        <v>1.6624879026359001E-3</v>
      </c>
      <c r="M116">
        <v>201</v>
      </c>
      <c r="N116">
        <v>2047.9073000000001</v>
      </c>
      <c r="O116">
        <v>2.8502295699234199E-6</v>
      </c>
      <c r="P116">
        <v>5.98473400508856E-3</v>
      </c>
      <c r="Q116">
        <v>1.905E-3</v>
      </c>
      <c r="R116">
        <v>0.15240000000000001</v>
      </c>
      <c r="S116">
        <v>4632226.5625</v>
      </c>
      <c r="T116">
        <v>491.16937847279701</v>
      </c>
      <c r="U116">
        <v>536.22895717939798</v>
      </c>
      <c r="V116">
        <v>0.03</v>
      </c>
      <c r="W116">
        <v>65588.6465816415</v>
      </c>
      <c r="X116">
        <v>2.7685474811265799E-2</v>
      </c>
      <c r="Y116">
        <v>6.0099936332252604</v>
      </c>
      <c r="Z116">
        <v>6.0099936385649304</v>
      </c>
      <c r="AA116">
        <v>-5.3396638222125098E-9</v>
      </c>
      <c r="AB116">
        <v>7.1528795247520302E-6</v>
      </c>
      <c r="AC116">
        <v>793.617086737205</v>
      </c>
      <c r="AD116">
        <v>1929.2107278755</v>
      </c>
      <c r="AE116">
        <v>536.22895911556805</v>
      </c>
      <c r="AF116">
        <v>1.93617074728536E-6</v>
      </c>
      <c r="AG116">
        <v>7.3311103597214103E-6</v>
      </c>
      <c r="AH116">
        <v>27.890662442441201</v>
      </c>
      <c r="AI116">
        <v>0.23150881970289799</v>
      </c>
      <c r="AJ116">
        <v>14.8485635204344</v>
      </c>
      <c r="AK116">
        <v>8.2513129398966498</v>
      </c>
      <c r="AL116">
        <v>2.1883527698787102</v>
      </c>
      <c r="AM116">
        <v>634.44823385595305</v>
      </c>
      <c r="AN116">
        <v>6.2373032960749697E-8</v>
      </c>
      <c r="AO116">
        <v>1.78230834969379E-7</v>
      </c>
      <c r="AP116">
        <v>1.8684798425493101</v>
      </c>
      <c r="AQ116">
        <v>2.5809997438255901E-5</v>
      </c>
      <c r="AR116">
        <v>3.7546705973453902E-6</v>
      </c>
      <c r="AS116">
        <v>7.6047777386220003</v>
      </c>
      <c r="AT116">
        <v>7.0938834979672398</v>
      </c>
      <c r="AU116">
        <v>1.6422965957242599</v>
      </c>
      <c r="AV116">
        <v>0.226183246825054</v>
      </c>
      <c r="AW116">
        <v>7.0541944766786199E-3</v>
      </c>
      <c r="AX116">
        <v>0.22618323666943699</v>
      </c>
      <c r="AY116">
        <v>1.01556172082962E-8</v>
      </c>
      <c r="AZ116">
        <v>692257.60600924003</v>
      </c>
      <c r="BA116">
        <v>1.3813366807875901E-5</v>
      </c>
      <c r="BB116">
        <v>4648092.7033490604</v>
      </c>
      <c r="BC116">
        <v>15866.1408490594</v>
      </c>
      <c r="BD116">
        <v>0.342516511983743</v>
      </c>
      <c r="BE116">
        <v>4164058.8</v>
      </c>
      <c r="BF116">
        <v>1.1162408905823</v>
      </c>
      <c r="BG116">
        <v>1</v>
      </c>
      <c r="BH116">
        <v>-0.26300000000000001</v>
      </c>
      <c r="BI116">
        <v>4.5999999999999999E-2</v>
      </c>
      <c r="BJ116">
        <v>5625</v>
      </c>
      <c r="BK116">
        <v>1</v>
      </c>
      <c r="BL116">
        <v>143.27885544552899</v>
      </c>
      <c r="BM116">
        <v>4.64809270334906</v>
      </c>
      <c r="BN116">
        <v>143.27885544552899</v>
      </c>
      <c r="BO116">
        <v>1</v>
      </c>
      <c r="BP116">
        <v>10666.5219821385</v>
      </c>
      <c r="BQ116">
        <v>1</v>
      </c>
      <c r="BR116">
        <v>0.15240000000000001</v>
      </c>
      <c r="BS116">
        <v>115</v>
      </c>
      <c r="BT116">
        <v>202</v>
      </c>
      <c r="BU116" t="s">
        <v>303</v>
      </c>
      <c r="BV116" t="str">
        <f>"Table "&amp;TRIM(RIGHT(SUBSTITUTE($A116,"_",REPT(" ",50)),50))</f>
        <v>Table 14</v>
      </c>
      <c r="BW116">
        <f>$BR116/$Q116</f>
        <v>80</v>
      </c>
      <c r="BX116" t="str">
        <f>IF($BW116&lt;40,"outside_low",IF($BW116&lt;=100,"short_anchor",IF($BW116&lt;250,"middle",IF($BW116&lt;=400,"long","outside_high"))))</f>
        <v>short_anchor</v>
      </c>
      <c r="BY116" t="str">
        <f>IF($N116&gt;1000,"PASS","FAIL")</f>
        <v>PASS</v>
      </c>
      <c r="BZ116" t="str">
        <f>IF(AND($BW116&gt;=40,$BW116&lt;=400),"PASS","FAIL")</f>
        <v>PASS</v>
      </c>
    </row>
    <row r="117" spans="1:78">
      <c r="A117" t="s">
        <v>271</v>
      </c>
      <c r="B117">
        <v>18960582.556212999</v>
      </c>
      <c r="C117">
        <v>634.44823391832597</v>
      </c>
      <c r="D117">
        <v>149.14958101226799</v>
      </c>
      <c r="E117">
        <v>520.38377569771103</v>
      </c>
      <c r="F117">
        <v>2467301.6327637699</v>
      </c>
      <c r="G117">
        <v>1775044.0267545299</v>
      </c>
      <c r="H117">
        <v>2.5972810943896E-5</v>
      </c>
      <c r="I117">
        <v>5.9480773118925399E-5</v>
      </c>
      <c r="J117">
        <v>0.43661798563056398</v>
      </c>
      <c r="K117">
        <v>16063.580349286</v>
      </c>
      <c r="L117">
        <v>1.6624879026359001E-3</v>
      </c>
      <c r="M117">
        <v>202</v>
      </c>
      <c r="N117">
        <v>2047.9073000000001</v>
      </c>
      <c r="O117">
        <v>2.8502295699234199E-6</v>
      </c>
      <c r="P117">
        <v>5.98473400508856E-3</v>
      </c>
      <c r="Q117">
        <v>1.905E-3</v>
      </c>
      <c r="R117">
        <v>0.15240000000000001</v>
      </c>
      <c r="S117">
        <v>3879760.7421875</v>
      </c>
      <c r="T117">
        <v>517.88193873595401</v>
      </c>
      <c r="U117">
        <v>555.62197199353</v>
      </c>
      <c r="V117">
        <v>0.03</v>
      </c>
      <c r="W117">
        <v>65588.6465816415</v>
      </c>
      <c r="X117">
        <v>2.7685474811265799E-2</v>
      </c>
      <c r="Y117">
        <v>6.0099936332252604</v>
      </c>
      <c r="Z117">
        <v>6.0099936385649304</v>
      </c>
      <c r="AA117">
        <v>-5.3396638222125098E-9</v>
      </c>
      <c r="AB117">
        <v>7.1528795247520302E-6</v>
      </c>
      <c r="AC117">
        <v>761.79574948842196</v>
      </c>
      <c r="AD117">
        <v>1929.2107278755</v>
      </c>
      <c r="AE117">
        <v>555.62197361148696</v>
      </c>
      <c r="AF117">
        <v>1.6179574231500699E-6</v>
      </c>
      <c r="AG117">
        <v>7.3039135526401804E-6</v>
      </c>
      <c r="AH117">
        <v>27.890662442441201</v>
      </c>
      <c r="AI117">
        <v>0.23150881970289799</v>
      </c>
      <c r="AJ117">
        <v>14.793478615463201</v>
      </c>
      <c r="AK117">
        <v>6.6094903462737999</v>
      </c>
      <c r="AL117">
        <v>2.1883527698787102</v>
      </c>
      <c r="AM117">
        <v>634.44823384830499</v>
      </c>
      <c r="AN117">
        <v>7.0021087594795999E-8</v>
      </c>
      <c r="AO117">
        <v>1.5103402788814599E-7</v>
      </c>
      <c r="AP117">
        <v>1.8609766419723801</v>
      </c>
      <c r="AQ117">
        <v>2.6018541687124799E-5</v>
      </c>
      <c r="AR117">
        <v>3.7274737902641598E-6</v>
      </c>
      <c r="AS117">
        <v>7.5496928336507896</v>
      </c>
      <c r="AT117">
        <v>7.0575343907432098</v>
      </c>
      <c r="AU117">
        <v>1.63388145681357</v>
      </c>
      <c r="AV117">
        <v>0.227095185158811</v>
      </c>
      <c r="AW117">
        <v>7.0541944766786199E-3</v>
      </c>
      <c r="AX117">
        <v>0.22709517621429501</v>
      </c>
      <c r="AY117">
        <v>8.9445166551183097E-9</v>
      </c>
      <c r="AZ117">
        <v>692257.60600924003</v>
      </c>
      <c r="BA117">
        <v>1.3981122116368299E-5</v>
      </c>
      <c r="BB117">
        <v>3891564.7387400898</v>
      </c>
      <c r="BC117">
        <v>11803.9965525931</v>
      </c>
      <c r="BD117">
        <v>0.30424547638310601</v>
      </c>
      <c r="BE117">
        <v>3722416.2</v>
      </c>
      <c r="BF117">
        <v>1.04544052294316</v>
      </c>
      <c r="BG117">
        <v>1</v>
      </c>
      <c r="BH117">
        <v>-0.187</v>
      </c>
      <c r="BI117">
        <v>4.5999999999999999E-2</v>
      </c>
      <c r="BJ117">
        <v>5625</v>
      </c>
      <c r="BK117">
        <v>1</v>
      </c>
      <c r="BL117">
        <v>116.566295182372</v>
      </c>
      <c r="BM117">
        <v>3.8915647387400898</v>
      </c>
      <c r="BN117">
        <v>116.566295182372</v>
      </c>
      <c r="BO117">
        <v>1</v>
      </c>
      <c r="BP117">
        <v>5862.3975579541202</v>
      </c>
      <c r="BQ117">
        <v>1</v>
      </c>
      <c r="BR117">
        <v>0.15240000000000001</v>
      </c>
      <c r="BS117">
        <v>116</v>
      </c>
      <c r="BT117">
        <v>203</v>
      </c>
      <c r="BU117" t="s">
        <v>303</v>
      </c>
      <c r="BV117" t="str">
        <f>"Table "&amp;TRIM(RIGHT(SUBSTITUTE($A117,"_",REPT(" ",50)),50))</f>
        <v>Table 14</v>
      </c>
      <c r="BW117">
        <f>$BR117/$Q117</f>
        <v>80</v>
      </c>
      <c r="BX117" t="str">
        <f>IF($BW117&lt;40,"outside_low",IF($BW117&lt;=100,"short_anchor",IF($BW117&lt;250,"middle",IF($BW117&lt;=400,"long","outside_high"))))</f>
        <v>short_anchor</v>
      </c>
      <c r="BY117" t="str">
        <f>IF($N117&gt;1000,"PASS","FAIL")</f>
        <v>PASS</v>
      </c>
      <c r="BZ117" t="str">
        <f>IF(AND($BW117&gt;=40,$BW117&lt;=400),"PASS","FAIL")</f>
        <v>PASS</v>
      </c>
    </row>
    <row r="118" spans="1:78">
      <c r="A118" t="s">
        <v>272</v>
      </c>
      <c r="B118">
        <v>18960582.556212999</v>
      </c>
      <c r="C118">
        <v>634.44823391832597</v>
      </c>
      <c r="D118">
        <v>149.14958101226799</v>
      </c>
      <c r="E118">
        <v>520.38377569771103</v>
      </c>
      <c r="F118">
        <v>2467301.6327637699</v>
      </c>
      <c r="G118">
        <v>1775044.0267545299</v>
      </c>
      <c r="H118">
        <v>2.5972810943896E-5</v>
      </c>
      <c r="I118">
        <v>5.9480773118925399E-5</v>
      </c>
      <c r="J118">
        <v>0.43661798563056398</v>
      </c>
      <c r="K118">
        <v>16063.580349286</v>
      </c>
      <c r="L118">
        <v>1.6624879026359001E-3</v>
      </c>
      <c r="M118">
        <v>203</v>
      </c>
      <c r="N118">
        <v>2061.4695999999999</v>
      </c>
      <c r="O118">
        <v>2.8502295699234199E-6</v>
      </c>
      <c r="P118">
        <v>5.98473400508856E-3</v>
      </c>
      <c r="Q118">
        <v>1.905E-3</v>
      </c>
      <c r="R118">
        <v>0.15240000000000001</v>
      </c>
      <c r="S118">
        <v>3430295.99609375</v>
      </c>
      <c r="T118">
        <v>534.05487488333199</v>
      </c>
      <c r="U118">
        <v>567.20325345200501</v>
      </c>
      <c r="V118">
        <v>0.03</v>
      </c>
      <c r="W118">
        <v>66023.008479533193</v>
      </c>
      <c r="X118">
        <v>2.7611290226907802E-2</v>
      </c>
      <c r="Y118">
        <v>6.0180618873112204</v>
      </c>
      <c r="Z118">
        <v>6.0180619341428496</v>
      </c>
      <c r="AA118">
        <v>-4.6831631905774897E-8</v>
      </c>
      <c r="AB118">
        <v>7.0780382335173803E-6</v>
      </c>
      <c r="AC118">
        <v>742.28489107037694</v>
      </c>
      <c r="AD118">
        <v>1939.3833880575601</v>
      </c>
      <c r="AE118">
        <v>567.20325345200501</v>
      </c>
      <c r="AF118">
        <v>0</v>
      </c>
      <c r="AG118">
        <v>7.2109691790268698E-6</v>
      </c>
      <c r="AH118">
        <v>28.185570879174001</v>
      </c>
      <c r="AI118">
        <v>0.23272955755074301</v>
      </c>
      <c r="AJ118">
        <v>14.682240249448601</v>
      </c>
      <c r="AK118">
        <v>5.6103239006692798</v>
      </c>
      <c r="AL118">
        <v>2.1883527698787102</v>
      </c>
      <c r="AM118">
        <v>634.44823393768104</v>
      </c>
      <c r="AN118">
        <v>-1.9354843061592001E-8</v>
      </c>
      <c r="AO118">
        <v>1.3293094550949101E-7</v>
      </c>
      <c r="AP118">
        <v>1.8596128204093301</v>
      </c>
      <c r="AQ118">
        <v>2.6056719161324499E-5</v>
      </c>
      <c r="AR118">
        <v>3.67195006226818E-6</v>
      </c>
      <c r="AS118">
        <v>7.4764503438738501</v>
      </c>
      <c r="AT118">
        <v>7.0087906319622704</v>
      </c>
      <c r="AU118">
        <v>1.63115274274237</v>
      </c>
      <c r="AV118">
        <v>0.228460077666955</v>
      </c>
      <c r="AW118">
        <v>6.98038573693569E-3</v>
      </c>
      <c r="AX118">
        <v>0.22846006862992699</v>
      </c>
      <c r="AY118">
        <v>9.0370281535801006E-9</v>
      </c>
      <c r="AZ118">
        <v>692257.60600924003</v>
      </c>
      <c r="BA118">
        <v>1.40119055296624E-5</v>
      </c>
      <c r="BB118">
        <v>3417593.2813150198</v>
      </c>
      <c r="BC118">
        <v>-12702.7147787306</v>
      </c>
      <c r="BD118">
        <v>-0.37030958241492501</v>
      </c>
      <c r="BE118">
        <v>3438503.1</v>
      </c>
      <c r="BF118">
        <v>0.99391891818129197</v>
      </c>
      <c r="BG118">
        <v>1</v>
      </c>
      <c r="BH118">
        <v>-0.14599999999999999</v>
      </c>
      <c r="BI118">
        <v>4.5999999999999999E-2</v>
      </c>
      <c r="BJ118">
        <v>5625</v>
      </c>
      <c r="BK118">
        <v>1</v>
      </c>
      <c r="BL118">
        <v>100.39335903499401</v>
      </c>
      <c r="BM118">
        <v>3.4175932813150198</v>
      </c>
      <c r="BN118">
        <v>100.39335903499401</v>
      </c>
      <c r="BO118">
        <v>1</v>
      </c>
      <c r="BP118">
        <v>3647.35781552969</v>
      </c>
      <c r="BQ118">
        <v>1</v>
      </c>
      <c r="BR118">
        <v>0.15240000000000001</v>
      </c>
      <c r="BS118">
        <v>117</v>
      </c>
      <c r="BT118">
        <v>204</v>
      </c>
      <c r="BU118" t="s">
        <v>303</v>
      </c>
      <c r="BV118" t="str">
        <f>"Table "&amp;TRIM(RIGHT(SUBSTITUTE($A118,"_",REPT(" ",50)),50))</f>
        <v>Table 14</v>
      </c>
      <c r="BW118">
        <f>$BR118/$Q118</f>
        <v>80</v>
      </c>
      <c r="BX118" t="str">
        <f>IF($BW118&lt;40,"outside_low",IF($BW118&lt;=100,"short_anchor",IF($BW118&lt;250,"middle",IF($BW118&lt;=400,"long","outside_high"))))</f>
        <v>short_anchor</v>
      </c>
      <c r="BY118" t="str">
        <f>IF($N118&gt;1000,"PASS","FAIL")</f>
        <v>PASS</v>
      </c>
      <c r="BZ118" t="str">
        <f>IF(AND($BW118&gt;=40,$BW118&lt;=400),"PASS","FAIL")</f>
        <v>PASS</v>
      </c>
    </row>
    <row r="119" spans="1:78">
      <c r="A119" t="s">
        <v>273</v>
      </c>
      <c r="B119">
        <v>18960582.556212999</v>
      </c>
      <c r="C119">
        <v>634.44823391832597</v>
      </c>
      <c r="D119">
        <v>149.14958101226799</v>
      </c>
      <c r="E119">
        <v>520.38377569771103</v>
      </c>
      <c r="F119">
        <v>2467301.6327637699</v>
      </c>
      <c r="G119">
        <v>1775044.0267545299</v>
      </c>
      <c r="H119">
        <v>2.5972810943896E-5</v>
      </c>
      <c r="I119">
        <v>5.9480773118925399E-5</v>
      </c>
      <c r="J119">
        <v>0.43661798563056398</v>
      </c>
      <c r="K119">
        <v>16063.580349286</v>
      </c>
      <c r="L119">
        <v>1.6624879026359001E-3</v>
      </c>
      <c r="M119">
        <v>204</v>
      </c>
      <c r="N119">
        <v>2075.0319</v>
      </c>
      <c r="O119">
        <v>2.8502295699234199E-6</v>
      </c>
      <c r="P119">
        <v>5.98473400508856E-3</v>
      </c>
      <c r="Q119">
        <v>1.905E-3</v>
      </c>
      <c r="R119">
        <v>0.15240000000000001</v>
      </c>
      <c r="S119">
        <v>3329451.42578125</v>
      </c>
      <c r="T119">
        <v>537.92469521286102</v>
      </c>
      <c r="U119">
        <v>569.88828393948199</v>
      </c>
      <c r="V119">
        <v>0.03</v>
      </c>
      <c r="W119">
        <v>66457.370377424799</v>
      </c>
      <c r="X119">
        <v>2.7537897758732399E-2</v>
      </c>
      <c r="Y119">
        <v>6.0260760524703603</v>
      </c>
      <c r="Z119">
        <v>6.0260760849766299</v>
      </c>
      <c r="AA119">
        <v>-3.25062741168836E-8</v>
      </c>
      <c r="AB119">
        <v>7.0044354320592796E-6</v>
      </c>
      <c r="AC119">
        <v>737.37856462913498</v>
      </c>
      <c r="AD119">
        <v>1949.5463069387699</v>
      </c>
      <c r="AE119">
        <v>569.88828393948199</v>
      </c>
      <c r="AF119">
        <v>0</v>
      </c>
      <c r="AG119">
        <v>7.1328723961948796E-6</v>
      </c>
      <c r="AH119">
        <v>28.481745638371301</v>
      </c>
      <c r="AI119">
        <v>0.23394912642465099</v>
      </c>
      <c r="AJ119">
        <v>14.599333373088999</v>
      </c>
      <c r="AK119">
        <v>5.3647685667212501</v>
      </c>
      <c r="AL119">
        <v>2.1883527698787102</v>
      </c>
      <c r="AM119">
        <v>634.44823395019796</v>
      </c>
      <c r="AN119">
        <v>-3.1871650207904201E-8</v>
      </c>
      <c r="AO119">
        <v>1.2843696413560201E-7</v>
      </c>
      <c r="AP119">
        <v>1.8619531584993301</v>
      </c>
      <c r="AQ119">
        <v>2.5991257570707702E-5</v>
      </c>
      <c r="AR119">
        <v>3.6306546801652402E-6</v>
      </c>
      <c r="AS119">
        <v>7.4311070062846403</v>
      </c>
      <c r="AT119">
        <v>6.9783741952806499</v>
      </c>
      <c r="AU119">
        <v>1.63258454685023</v>
      </c>
      <c r="AV119">
        <v>0.229368611649099</v>
      </c>
      <c r="AW119">
        <v>6.9077984000852502E-3</v>
      </c>
      <c r="AX119">
        <v>0.22936860189177799</v>
      </c>
      <c r="AY119">
        <v>9.7573205626311205E-9</v>
      </c>
      <c r="AZ119">
        <v>692257.60600924003</v>
      </c>
      <c r="BA119">
        <v>1.3959136110414201E-5</v>
      </c>
      <c r="BB119">
        <v>3314537.7806892502</v>
      </c>
      <c r="BC119">
        <v>-14913.645092004899</v>
      </c>
      <c r="BD119">
        <v>-0.44793100078057002</v>
      </c>
      <c r="BE119">
        <v>3375411.3</v>
      </c>
      <c r="BF119">
        <v>0.98196559947797901</v>
      </c>
      <c r="BG119">
        <v>1</v>
      </c>
      <c r="BH119">
        <v>-0.13800000000000001</v>
      </c>
      <c r="BI119">
        <v>4.5999999999999999E-2</v>
      </c>
      <c r="BJ119">
        <v>5625</v>
      </c>
      <c r="BK119">
        <v>1</v>
      </c>
      <c r="BL119">
        <v>96.523538705464901</v>
      </c>
      <c r="BM119">
        <v>3.31453778068924</v>
      </c>
      <c r="BN119">
        <v>96.523538705464901</v>
      </c>
      <c r="BO119">
        <v>1</v>
      </c>
      <c r="BP119">
        <v>3194.9104277881902</v>
      </c>
      <c r="BQ119">
        <v>1</v>
      </c>
      <c r="BR119">
        <v>0.15240000000000001</v>
      </c>
      <c r="BS119">
        <v>118</v>
      </c>
      <c r="BT119">
        <v>205</v>
      </c>
      <c r="BU119" t="s">
        <v>303</v>
      </c>
      <c r="BV119" t="str">
        <f>"Table "&amp;TRIM(RIGHT(SUBSTITUTE($A119,"_",REPT(" ",50)),50))</f>
        <v>Table 14</v>
      </c>
      <c r="BW119">
        <f>$BR119/$Q119</f>
        <v>80</v>
      </c>
      <c r="BX119" t="str">
        <f>IF($BW119&lt;40,"outside_low",IF($BW119&lt;=100,"short_anchor",IF($BW119&lt;250,"middle",IF($BW119&lt;=400,"long","outside_high"))))</f>
        <v>short_anchor</v>
      </c>
      <c r="BY119" t="str">
        <f>IF($N119&gt;1000,"PASS","FAIL")</f>
        <v>PASS</v>
      </c>
      <c r="BZ119" t="str">
        <f>IF(AND($BW119&gt;=40,$BW119&lt;=400),"PASS","FAIL")</f>
        <v>PASS</v>
      </c>
    </row>
    <row r="120" spans="1:78">
      <c r="A120" t="s">
        <v>274</v>
      </c>
      <c r="B120">
        <v>18960582.556212999</v>
      </c>
      <c r="C120">
        <v>634.44823391832597</v>
      </c>
      <c r="D120">
        <v>149.14958101226799</v>
      </c>
      <c r="E120">
        <v>520.38377569771103</v>
      </c>
      <c r="F120">
        <v>2467301.6327637699</v>
      </c>
      <c r="G120">
        <v>1775044.0267545299</v>
      </c>
      <c r="H120">
        <v>2.5972810943896E-5</v>
      </c>
      <c r="I120">
        <v>5.9480773118925399E-5</v>
      </c>
      <c r="J120">
        <v>0.43661798563056398</v>
      </c>
      <c r="K120">
        <v>16063.580349286</v>
      </c>
      <c r="L120">
        <v>1.6624879026359001E-3</v>
      </c>
      <c r="M120">
        <v>205</v>
      </c>
      <c r="N120">
        <v>2685.3353999999999</v>
      </c>
      <c r="O120">
        <v>2.8502295699234199E-6</v>
      </c>
      <c r="P120">
        <v>5.98473400508856E-3</v>
      </c>
      <c r="Q120">
        <v>1.905E-3</v>
      </c>
      <c r="R120">
        <v>0.15240000000000001</v>
      </c>
      <c r="S120">
        <v>3002368.1640625</v>
      </c>
      <c r="T120">
        <v>561.28950888079305</v>
      </c>
      <c r="U120">
        <v>583.562217611032</v>
      </c>
      <c r="V120">
        <v>0.03</v>
      </c>
      <c r="W120">
        <v>86003.655782549802</v>
      </c>
      <c r="X120">
        <v>2.48783807458107E-2</v>
      </c>
      <c r="Y120">
        <v>6.3399954316979397</v>
      </c>
      <c r="Z120">
        <v>6.3399954657620103</v>
      </c>
      <c r="AA120">
        <v>-3.4064068010763997E-8</v>
      </c>
      <c r="AB120">
        <v>4.6295021533103401E-6</v>
      </c>
      <c r="AC120">
        <v>700.19218316204797</v>
      </c>
      <c r="AD120">
        <v>2398.0209791092798</v>
      </c>
      <c r="AE120">
        <v>583.562217611032</v>
      </c>
      <c r="AF120">
        <v>0</v>
      </c>
      <c r="AG120">
        <v>4.7256519565741301E-6</v>
      </c>
      <c r="AH120">
        <v>43.092872993623303</v>
      </c>
      <c r="AI120">
        <v>0.28776690823595802</v>
      </c>
      <c r="AJ120">
        <v>11.897335991426299</v>
      </c>
      <c r="AK120">
        <v>3.6735375386752001</v>
      </c>
      <c r="AL120">
        <v>2.1883527698787102</v>
      </c>
      <c r="AM120">
        <v>634.44823401952601</v>
      </c>
      <c r="AN120">
        <v>-1.012001575873E-7</v>
      </c>
      <c r="AO120">
        <v>9.6149803263795002E-8</v>
      </c>
      <c r="AP120">
        <v>1.9820169256284399</v>
      </c>
      <c r="AQ120">
        <v>2.29377110550839E-5</v>
      </c>
      <c r="AR120">
        <v>2.41090087991896E-6</v>
      </c>
      <c r="AS120">
        <v>6.0697017203135797</v>
      </c>
      <c r="AT120">
        <v>5.9665473194135501</v>
      </c>
      <c r="AU120">
        <v>1.71697487495118</v>
      </c>
      <c r="AV120">
        <v>0.26504205067725201</v>
      </c>
      <c r="AW120">
        <v>4.5656310031009098E-3</v>
      </c>
      <c r="AX120">
        <v>0.265042050348819</v>
      </c>
      <c r="AY120">
        <v>3.2843211483779602E-10</v>
      </c>
      <c r="AZ120">
        <v>692257.60600924003</v>
      </c>
      <c r="BA120">
        <v>1.15729138124343E-5</v>
      </c>
      <c r="BB120">
        <v>2992934.1739844298</v>
      </c>
      <c r="BC120">
        <v>-9433.9900780692697</v>
      </c>
      <c r="BD120">
        <v>-0.31421829577702898</v>
      </c>
      <c r="BE120">
        <v>3596232.6</v>
      </c>
      <c r="BF120">
        <v>0.83224154466105205</v>
      </c>
      <c r="BG120">
        <v>1</v>
      </c>
      <c r="BH120">
        <v>-0.104</v>
      </c>
      <c r="BI120">
        <v>4.5999999999999999E-2</v>
      </c>
      <c r="BJ120">
        <v>5625</v>
      </c>
      <c r="BK120">
        <v>1</v>
      </c>
      <c r="BL120">
        <v>73.158725037532903</v>
      </c>
      <c r="BM120">
        <v>2.99293417398443</v>
      </c>
      <c r="BN120">
        <v>73.158725037532903</v>
      </c>
      <c r="BO120">
        <v>1</v>
      </c>
      <c r="BP120">
        <v>1099.5010461147101</v>
      </c>
      <c r="BQ120">
        <v>1</v>
      </c>
      <c r="BR120">
        <v>0.15240000000000001</v>
      </c>
      <c r="BS120">
        <v>119</v>
      </c>
      <c r="BT120">
        <v>206</v>
      </c>
      <c r="BU120" t="s">
        <v>303</v>
      </c>
      <c r="BV120" t="str">
        <f>"Table "&amp;TRIM(RIGHT(SUBSTITUTE($A120,"_",REPT(" ",50)),50))</f>
        <v>Table 14</v>
      </c>
      <c r="BW120">
        <f>$BR120/$Q120</f>
        <v>80</v>
      </c>
      <c r="BX120" t="str">
        <f>IF($BW120&lt;40,"outside_low",IF($BW120&lt;=100,"short_anchor",IF($BW120&lt;250,"middle",IF($BW120&lt;=400,"long","outside_high"))))</f>
        <v>short_anchor</v>
      </c>
      <c r="BY120" t="str">
        <f>IF($N120&gt;1000,"PASS","FAIL")</f>
        <v>PASS</v>
      </c>
      <c r="BZ120" t="str">
        <f>IF(AND($BW120&gt;=40,$BW120&lt;=400),"PASS","FAIL")</f>
        <v>PASS</v>
      </c>
    </row>
    <row r="121" spans="1:78">
      <c r="A121" t="s">
        <v>275</v>
      </c>
      <c r="B121">
        <v>18960582.556212999</v>
      </c>
      <c r="C121">
        <v>634.44823391832597</v>
      </c>
      <c r="D121">
        <v>149.14958101226799</v>
      </c>
      <c r="E121">
        <v>520.38377569771103</v>
      </c>
      <c r="F121">
        <v>2467301.6327637699</v>
      </c>
      <c r="G121">
        <v>1775044.0267545299</v>
      </c>
      <c r="H121">
        <v>2.5972810943896E-5</v>
      </c>
      <c r="I121">
        <v>5.9480773118925399E-5</v>
      </c>
      <c r="J121">
        <v>0.43661798563056398</v>
      </c>
      <c r="K121">
        <v>16063.580349286</v>
      </c>
      <c r="L121">
        <v>1.6624879026359001E-3</v>
      </c>
      <c r="M121">
        <v>206</v>
      </c>
      <c r="N121">
        <v>2698.8977</v>
      </c>
      <c r="O121">
        <v>2.8502295699234199E-6</v>
      </c>
      <c r="P121">
        <v>5.98473400508856E-3</v>
      </c>
      <c r="Q121">
        <v>1.905E-3</v>
      </c>
      <c r="R121">
        <v>0.15240000000000001</v>
      </c>
      <c r="S121">
        <v>4171740.72265625</v>
      </c>
      <c r="T121">
        <v>525.63284033909497</v>
      </c>
      <c r="U121">
        <v>556.42488400592697</v>
      </c>
      <c r="V121">
        <v>0.03</v>
      </c>
      <c r="W121">
        <v>86438.017680441495</v>
      </c>
      <c r="X121">
        <v>2.4830525859102299E-2</v>
      </c>
      <c r="Y121">
        <v>6.3461019016727098</v>
      </c>
      <c r="Z121">
        <v>6.3461019330903401</v>
      </c>
      <c r="AA121">
        <v>-3.1417631163321897E-8</v>
      </c>
      <c r="AB121">
        <v>4.5919242072455102E-6</v>
      </c>
      <c r="AC121">
        <v>735.45349696470896</v>
      </c>
      <c r="AD121">
        <v>2407.8130717556101</v>
      </c>
      <c r="AE121">
        <v>556.42488400592697</v>
      </c>
      <c r="AF121">
        <v>0</v>
      </c>
      <c r="AG121">
        <v>4.7219781386298901E-6</v>
      </c>
      <c r="AH121">
        <v>43.445522903344802</v>
      </c>
      <c r="AI121">
        <v>0.28894197728270299</v>
      </c>
      <c r="AJ121">
        <v>11.9366306422439</v>
      </c>
      <c r="AK121">
        <v>5.63708871938237</v>
      </c>
      <c r="AL121">
        <v>2.1883527698787102</v>
      </c>
      <c r="AM121">
        <v>634.44823408354603</v>
      </c>
      <c r="AN121">
        <v>-1.6521983070561001E-7</v>
      </c>
      <c r="AO121">
        <v>1.3005393138438201E-7</v>
      </c>
      <c r="AP121">
        <v>2.0023275411607102</v>
      </c>
      <c r="AQ121">
        <v>2.2474733646825099E-5</v>
      </c>
      <c r="AR121">
        <v>2.42601603500714E-6</v>
      </c>
      <c r="AS121">
        <v>6.13269619042405</v>
      </c>
      <c r="AT121">
        <v>6.0181724427732197</v>
      </c>
      <c r="AU121">
        <v>1.73890264524317</v>
      </c>
      <c r="AV121">
        <v>0.26342489591753998</v>
      </c>
      <c r="AW121">
        <v>4.5285715029851703E-3</v>
      </c>
      <c r="AX121">
        <v>0.26342489168070399</v>
      </c>
      <c r="AY121">
        <v>4.2368362707101401E-9</v>
      </c>
      <c r="AZ121">
        <v>692257.60600924003</v>
      </c>
      <c r="BA121">
        <v>1.12243043082736E-5</v>
      </c>
      <c r="BB121">
        <v>4174029.71402134</v>
      </c>
      <c r="BC121">
        <v>2288.9913650890799</v>
      </c>
      <c r="BD121">
        <v>5.4868974782105402E-2</v>
      </c>
      <c r="BE121">
        <v>4511063.7</v>
      </c>
      <c r="BF121">
        <v>0.92528724744484103</v>
      </c>
      <c r="BG121">
        <v>1</v>
      </c>
      <c r="BH121">
        <v>-0.20200000000000001</v>
      </c>
      <c r="BI121">
        <v>4.5999999999999999E-2</v>
      </c>
      <c r="BJ121">
        <v>5625</v>
      </c>
      <c r="BK121">
        <v>1</v>
      </c>
      <c r="BL121">
        <v>108.815393579231</v>
      </c>
      <c r="BM121">
        <v>4.1740297140213398</v>
      </c>
      <c r="BN121">
        <v>108.815393579231</v>
      </c>
      <c r="BO121">
        <v>1</v>
      </c>
      <c r="BP121">
        <v>4735.5583934644701</v>
      </c>
      <c r="BQ121">
        <v>1</v>
      </c>
      <c r="BR121">
        <v>0.15240000000000001</v>
      </c>
      <c r="BS121">
        <v>120</v>
      </c>
      <c r="BT121">
        <v>207</v>
      </c>
      <c r="BU121" t="s">
        <v>303</v>
      </c>
      <c r="BV121" t="str">
        <f>"Table "&amp;TRIM(RIGHT(SUBSTITUTE($A121,"_",REPT(" ",50)),50))</f>
        <v>Table 14</v>
      </c>
      <c r="BW121">
        <f>$BR121/$Q121</f>
        <v>80</v>
      </c>
      <c r="BX121" t="str">
        <f>IF($BW121&lt;40,"outside_low",IF($BW121&lt;=100,"short_anchor",IF($BW121&lt;250,"middle",IF($BW121&lt;=400,"long","outside_high"))))</f>
        <v>short_anchor</v>
      </c>
      <c r="BY121" t="str">
        <f>IF($N121&gt;1000,"PASS","FAIL")</f>
        <v>PASS</v>
      </c>
      <c r="BZ121" t="str">
        <f>IF(AND($BW121&gt;=40,$BW121&lt;=400),"PASS","FAIL")</f>
        <v>PASS</v>
      </c>
    </row>
    <row r="122" spans="1:78">
      <c r="A122" t="s">
        <v>276</v>
      </c>
      <c r="B122">
        <v>18960582.556212999</v>
      </c>
      <c r="C122">
        <v>634.44823391832597</v>
      </c>
      <c r="D122">
        <v>149.14958101226799</v>
      </c>
      <c r="E122">
        <v>520.38377569771103</v>
      </c>
      <c r="F122">
        <v>2467301.6327637699</v>
      </c>
      <c r="G122">
        <v>1775044.0267545299</v>
      </c>
      <c r="H122">
        <v>2.5972810943896E-5</v>
      </c>
      <c r="I122">
        <v>5.9480773118925399E-5</v>
      </c>
      <c r="J122">
        <v>0.43661798563056398</v>
      </c>
      <c r="K122">
        <v>16063.580349286</v>
      </c>
      <c r="L122">
        <v>1.6624879026359001E-3</v>
      </c>
      <c r="M122">
        <v>207</v>
      </c>
      <c r="N122">
        <v>2726.0223000000001</v>
      </c>
      <c r="O122">
        <v>2.8502295699234199E-6</v>
      </c>
      <c r="P122">
        <v>5.98473400508856E-3</v>
      </c>
      <c r="Q122">
        <v>1.905E-3</v>
      </c>
      <c r="R122">
        <v>0.15240000000000001</v>
      </c>
      <c r="S122">
        <v>5599682.6171875</v>
      </c>
      <c r="T122">
        <v>481.73347125662798</v>
      </c>
      <c r="U122">
        <v>522.65403768029603</v>
      </c>
      <c r="V122">
        <v>0.03</v>
      </c>
      <c r="W122">
        <v>87306.741476224794</v>
      </c>
      <c r="X122">
        <v>2.4735969360293E-2</v>
      </c>
      <c r="Y122">
        <v>6.3582197371331297</v>
      </c>
      <c r="Z122">
        <v>6.35821976348383</v>
      </c>
      <c r="AA122">
        <v>-2.63506914066625E-8</v>
      </c>
      <c r="AB122">
        <v>4.5182029201920501E-6</v>
      </c>
      <c r="AC122">
        <v>779.03964791992098</v>
      </c>
      <c r="AD122">
        <v>2427.37713909897</v>
      </c>
      <c r="AE122">
        <v>522.65403768029603</v>
      </c>
      <c r="AF122">
        <v>0</v>
      </c>
      <c r="AG122">
        <v>4.6871749131915003E-6</v>
      </c>
      <c r="AH122">
        <v>44.1544020576722</v>
      </c>
      <c r="AI122">
        <v>0.29128970118544001</v>
      </c>
      <c r="AJ122">
        <v>11.944925177154101</v>
      </c>
      <c r="AK122">
        <v>8.06760128503395</v>
      </c>
      <c r="AL122">
        <v>2.1883527698787102</v>
      </c>
      <c r="AM122">
        <v>634.44823388160501</v>
      </c>
      <c r="AN122">
        <v>3.6721303331432897E-8</v>
      </c>
      <c r="AO122">
        <v>1.6897199299945399E-7</v>
      </c>
      <c r="AP122">
        <v>2.0282266702596701</v>
      </c>
      <c r="AQ122">
        <v>2.1904422969598699E-5</v>
      </c>
      <c r="AR122">
        <v>2.4280734530954799E-6</v>
      </c>
      <c r="AS122">
        <v>6.1877690205743399</v>
      </c>
      <c r="AT122">
        <v>6.06287302511143</v>
      </c>
      <c r="AU122">
        <v>1.7660524718099699</v>
      </c>
      <c r="AV122">
        <v>0.26217419844970302</v>
      </c>
      <c r="AW122">
        <v>4.4558673152316E-3</v>
      </c>
      <c r="AX122">
        <v>0.26217418793809999</v>
      </c>
      <c r="AY122">
        <v>1.05116024218255E-8</v>
      </c>
      <c r="AZ122">
        <v>692257.60600924003</v>
      </c>
      <c r="BA122">
        <v>1.07997904232244E-5</v>
      </c>
      <c r="BB122">
        <v>5636258.23348385</v>
      </c>
      <c r="BC122">
        <v>36575.616296354703</v>
      </c>
      <c r="BD122">
        <v>0.65317302420123902</v>
      </c>
      <c r="BE122">
        <v>5236619.4000000004</v>
      </c>
      <c r="BF122">
        <v>1.07631618854787</v>
      </c>
      <c r="BG122">
        <v>1</v>
      </c>
      <c r="BH122">
        <v>-0.376</v>
      </c>
      <c r="BI122">
        <v>4.5999999999999999E-2</v>
      </c>
      <c r="BJ122">
        <v>5625</v>
      </c>
      <c r="BK122">
        <v>1</v>
      </c>
      <c r="BL122">
        <v>152.71476266169799</v>
      </c>
      <c r="BM122">
        <v>5.6362582334838498</v>
      </c>
      <c r="BN122">
        <v>152.71476266169799</v>
      </c>
      <c r="BO122">
        <v>1</v>
      </c>
      <c r="BP122">
        <v>12704.6177218829</v>
      </c>
      <c r="BQ122">
        <v>1</v>
      </c>
      <c r="BR122">
        <v>0.15240000000000001</v>
      </c>
      <c r="BS122">
        <v>121</v>
      </c>
      <c r="BT122">
        <v>208</v>
      </c>
      <c r="BU122" t="s">
        <v>303</v>
      </c>
      <c r="BV122" t="str">
        <f>"Table "&amp;TRIM(RIGHT(SUBSTITUTE($A122,"_",REPT(" ",50)),50))</f>
        <v>Table 14</v>
      </c>
      <c r="BW122">
        <f>$BR122/$Q122</f>
        <v>80</v>
      </c>
      <c r="BX122" t="str">
        <f>IF($BW122&lt;40,"outside_low",IF($BW122&lt;=100,"short_anchor",IF($BW122&lt;250,"middle",IF($BW122&lt;=400,"long","outside_high"))))</f>
        <v>short_anchor</v>
      </c>
      <c r="BY122" t="str">
        <f>IF($N122&gt;1000,"PASS","FAIL")</f>
        <v>PASS</v>
      </c>
      <c r="BZ122" t="str">
        <f>IF(AND($BW122&gt;=40,$BW122&lt;=400),"PASS","FAIL")</f>
        <v>PASS</v>
      </c>
    </row>
    <row r="123" spans="1:78">
      <c r="A123" t="s">
        <v>277</v>
      </c>
      <c r="B123">
        <v>18960582.556212999</v>
      </c>
      <c r="C123">
        <v>634.44823391832597</v>
      </c>
      <c r="D123">
        <v>149.14958101226799</v>
      </c>
      <c r="E123">
        <v>520.38377569771103</v>
      </c>
      <c r="F123">
        <v>2467301.6327637699</v>
      </c>
      <c r="G123">
        <v>1775044.0267545299</v>
      </c>
      <c r="H123">
        <v>2.5972810943896E-5</v>
      </c>
      <c r="I123">
        <v>5.9480773118925399E-5</v>
      </c>
      <c r="J123">
        <v>0.43661798563056398</v>
      </c>
      <c r="K123">
        <v>16063.580349286</v>
      </c>
      <c r="L123">
        <v>1.6624879026359001E-3</v>
      </c>
      <c r="M123">
        <v>208</v>
      </c>
      <c r="N123">
        <v>2726.0223000000001</v>
      </c>
      <c r="O123">
        <v>2.8502295699234199E-6</v>
      </c>
      <c r="P123">
        <v>5.98473400508856E-3</v>
      </c>
      <c r="Q123">
        <v>1.905E-3</v>
      </c>
      <c r="R123">
        <v>0.15240000000000001</v>
      </c>
      <c r="S123">
        <v>5580798.33984375</v>
      </c>
      <c r="T123">
        <v>482.30962211684403</v>
      </c>
      <c r="U123">
        <v>523.09218869690801</v>
      </c>
      <c r="V123">
        <v>0.03</v>
      </c>
      <c r="W123">
        <v>87306.741476224794</v>
      </c>
      <c r="X123">
        <v>2.4735969360293E-2</v>
      </c>
      <c r="Y123">
        <v>6.3582197371331297</v>
      </c>
      <c r="Z123">
        <v>6.35821976348383</v>
      </c>
      <c r="AA123">
        <v>-2.63506914066625E-8</v>
      </c>
      <c r="AB123">
        <v>4.5182029201920501E-6</v>
      </c>
      <c r="AC123">
        <v>778.42953571381599</v>
      </c>
      <c r="AD123">
        <v>2427.37713909897</v>
      </c>
      <c r="AE123">
        <v>523.09218869690801</v>
      </c>
      <c r="AF123">
        <v>0</v>
      </c>
      <c r="AG123">
        <v>4.6854684467396101E-6</v>
      </c>
      <c r="AH123">
        <v>44.1544020576722</v>
      </c>
      <c r="AI123">
        <v>0.29128970118544001</v>
      </c>
      <c r="AJ123">
        <v>11.940576371218199</v>
      </c>
      <c r="AK123">
        <v>8.0346159325614206</v>
      </c>
      <c r="AL123">
        <v>2.1883527698787102</v>
      </c>
      <c r="AM123">
        <v>634.44823388054101</v>
      </c>
      <c r="AN123">
        <v>3.7784616324643099E-8</v>
      </c>
      <c r="AO123">
        <v>1.67265526547563E-7</v>
      </c>
      <c r="AP123">
        <v>2.0273199640725701</v>
      </c>
      <c r="AQ123">
        <v>2.1924020583699901E-5</v>
      </c>
      <c r="AR123">
        <v>2.4263669866435901E-6</v>
      </c>
      <c r="AS123">
        <v>6.1834202146384296</v>
      </c>
      <c r="AT123">
        <v>6.0593577558577101</v>
      </c>
      <c r="AU123">
        <v>1.76502851007947</v>
      </c>
      <c r="AV123">
        <v>0.262291453993099</v>
      </c>
      <c r="AW123">
        <v>4.4558673152316E-3</v>
      </c>
      <c r="AX123">
        <v>0.262291443705574</v>
      </c>
      <c r="AY123">
        <v>1.02875248320089E-8</v>
      </c>
      <c r="AZ123">
        <v>692257.60600924003</v>
      </c>
      <c r="BA123">
        <v>1.0814287321305699E-5</v>
      </c>
      <c r="BB123">
        <v>5571857.7715575201</v>
      </c>
      <c r="BC123">
        <v>-8940.5682862326503</v>
      </c>
      <c r="BD123">
        <v>-0.16020231769354601</v>
      </c>
      <c r="BE123">
        <v>5110435.8</v>
      </c>
      <c r="BF123">
        <v>1.0902901415095601</v>
      </c>
      <c r="BG123">
        <v>1</v>
      </c>
      <c r="BH123">
        <v>-0.39300000000000002</v>
      </c>
      <c r="BI123">
        <v>4.5999999999999999E-2</v>
      </c>
      <c r="BJ123">
        <v>5625</v>
      </c>
      <c r="BK123">
        <v>1</v>
      </c>
      <c r="BL123">
        <v>152.138611801482</v>
      </c>
      <c r="BM123">
        <v>5.5718577715575197</v>
      </c>
      <c r="BN123">
        <v>152.138611801482</v>
      </c>
      <c r="BO123">
        <v>1</v>
      </c>
      <c r="BP123">
        <v>12575.068256763499</v>
      </c>
      <c r="BQ123">
        <v>1</v>
      </c>
      <c r="BR123">
        <v>0.15240000000000001</v>
      </c>
      <c r="BS123">
        <v>122</v>
      </c>
      <c r="BT123">
        <v>209</v>
      </c>
      <c r="BU123" t="s">
        <v>303</v>
      </c>
      <c r="BV123" t="str">
        <f>"Table "&amp;TRIM(RIGHT(SUBSTITUTE($A123,"_",REPT(" ",50)),50))</f>
        <v>Table 14</v>
      </c>
      <c r="BW123">
        <f>$BR123/$Q123</f>
        <v>80</v>
      </c>
      <c r="BX123" t="str">
        <f>IF($BW123&lt;40,"outside_low",IF($BW123&lt;=100,"short_anchor",IF($BW123&lt;250,"middle",IF($BW123&lt;=400,"long","outside_high"))))</f>
        <v>short_anchor</v>
      </c>
      <c r="BY123" t="str">
        <f>IF($N123&gt;1000,"PASS","FAIL")</f>
        <v>PASS</v>
      </c>
      <c r="BZ123" t="str">
        <f>IF(AND($BW123&gt;=40,$BW123&lt;=400),"PASS","FAIL")</f>
        <v>PASS</v>
      </c>
    </row>
    <row r="124" spans="1:78">
      <c r="A124" t="s">
        <v>278</v>
      </c>
      <c r="B124">
        <v>18960582.556212999</v>
      </c>
      <c r="C124">
        <v>634.44823391832597</v>
      </c>
      <c r="D124">
        <v>149.14958101226799</v>
      </c>
      <c r="E124">
        <v>520.38377569771103</v>
      </c>
      <c r="F124">
        <v>2467301.6327637699</v>
      </c>
      <c r="G124">
        <v>1775044.0267545299</v>
      </c>
      <c r="H124">
        <v>2.5972810943896E-5</v>
      </c>
      <c r="I124">
        <v>5.9480773118925399E-5</v>
      </c>
      <c r="J124">
        <v>0.43661798563056398</v>
      </c>
      <c r="K124">
        <v>16063.580349286</v>
      </c>
      <c r="L124">
        <v>1.6624879026359001E-3</v>
      </c>
      <c r="M124">
        <v>209</v>
      </c>
      <c r="N124">
        <v>2726.0223000000001</v>
      </c>
      <c r="O124">
        <v>2.8502295699234199E-6</v>
      </c>
      <c r="P124">
        <v>5.98473400508856E-3</v>
      </c>
      <c r="Q124">
        <v>1.905E-3</v>
      </c>
      <c r="R124">
        <v>0.15240000000000001</v>
      </c>
      <c r="S124">
        <v>3080810.546875</v>
      </c>
      <c r="T124">
        <v>559.60722906880403</v>
      </c>
      <c r="U124">
        <v>582.12073943012103</v>
      </c>
      <c r="V124">
        <v>0.03</v>
      </c>
      <c r="W124">
        <v>87306.741476224794</v>
      </c>
      <c r="X124">
        <v>2.4735969360293E-2</v>
      </c>
      <c r="Y124">
        <v>6.3582197371331297</v>
      </c>
      <c r="Z124">
        <v>6.35821976348383</v>
      </c>
      <c r="AA124">
        <v>-2.63506914066625E-8</v>
      </c>
      <c r="AB124">
        <v>4.5182029201920501E-6</v>
      </c>
      <c r="AC124">
        <v>701.28132171557695</v>
      </c>
      <c r="AD124">
        <v>2427.37713909897</v>
      </c>
      <c r="AE124">
        <v>582.12073943012103</v>
      </c>
      <c r="AF124">
        <v>0</v>
      </c>
      <c r="AG124">
        <v>4.6166259228747197E-6</v>
      </c>
      <c r="AH124">
        <v>44.1544020576722</v>
      </c>
      <c r="AI124">
        <v>0.29128970118544001</v>
      </c>
      <c r="AJ124">
        <v>11.7651361941814</v>
      </c>
      <c r="AK124">
        <v>3.7495866709252801</v>
      </c>
      <c r="AL124">
        <v>2.1883527698787102</v>
      </c>
      <c r="AM124">
        <v>634.44823386674295</v>
      </c>
      <c r="AN124">
        <v>5.1583128879428801E-8</v>
      </c>
      <c r="AO124">
        <v>9.8423002682679705E-8</v>
      </c>
      <c r="AP124">
        <v>1.99028036475446</v>
      </c>
      <c r="AQ124">
        <v>2.2747636432460698E-5</v>
      </c>
      <c r="AR124">
        <v>2.3575244627787001E-6</v>
      </c>
      <c r="AS124">
        <v>6.0079800376016896</v>
      </c>
      <c r="AT124">
        <v>5.9154429591005497</v>
      </c>
      <c r="AU124">
        <v>1.7231076119359101</v>
      </c>
      <c r="AV124">
        <v>0.26717275281855202</v>
      </c>
      <c r="AW124">
        <v>4.4558673152316E-3</v>
      </c>
      <c r="AX124">
        <v>0.26717275095829401</v>
      </c>
      <c r="AY124">
        <v>1.8602580587057101E-9</v>
      </c>
      <c r="AZ124">
        <v>692257.60600924003</v>
      </c>
      <c r="BA124">
        <v>1.14293628351537E-5</v>
      </c>
      <c r="BB124">
        <v>3102173.4337624102</v>
      </c>
      <c r="BC124">
        <v>21362.886887407902</v>
      </c>
      <c r="BD124">
        <v>0.69341774063572903</v>
      </c>
      <c r="BE124">
        <v>3785508</v>
      </c>
      <c r="BF124">
        <v>0.81948669340083502</v>
      </c>
      <c r="BG124">
        <v>1</v>
      </c>
      <c r="BH124">
        <v>-9.2999999999999999E-2</v>
      </c>
      <c r="BI124">
        <v>4.5999999999999999E-2</v>
      </c>
      <c r="BJ124">
        <v>5625</v>
      </c>
      <c r="BK124">
        <v>1</v>
      </c>
      <c r="BL124">
        <v>74.841004849521894</v>
      </c>
      <c r="BM124">
        <v>3.1021734337624101</v>
      </c>
      <c r="BN124">
        <v>74.841004849521894</v>
      </c>
      <c r="BO124">
        <v>1</v>
      </c>
      <c r="BP124">
        <v>1213.89561892441</v>
      </c>
      <c r="BQ124">
        <v>1</v>
      </c>
      <c r="BR124">
        <v>0.15240000000000001</v>
      </c>
      <c r="BS124">
        <v>123</v>
      </c>
      <c r="BT124">
        <v>210</v>
      </c>
      <c r="BU124" t="s">
        <v>303</v>
      </c>
      <c r="BV124" t="str">
        <f>"Table "&amp;TRIM(RIGHT(SUBSTITUTE($A124,"_",REPT(" ",50)),50))</f>
        <v>Table 14</v>
      </c>
      <c r="BW124">
        <f>$BR124/$Q124</f>
        <v>80</v>
      </c>
      <c r="BX124" t="str">
        <f>IF($BW124&lt;40,"outside_low",IF($BW124&lt;=100,"short_anchor",IF($BW124&lt;250,"middle",IF($BW124&lt;=400,"long","outside_high"))))</f>
        <v>short_anchor</v>
      </c>
      <c r="BY124" t="str">
        <f>IF($N124&gt;1000,"PASS","FAIL")</f>
        <v>PASS</v>
      </c>
      <c r="BZ124" t="str">
        <f>IF(AND($BW124&gt;=40,$BW124&lt;=400),"PASS","FAIL")</f>
        <v>PASS</v>
      </c>
    </row>
    <row r="125" spans="1:78">
      <c r="A125" t="s">
        <v>279</v>
      </c>
      <c r="B125">
        <v>18960582.556212999</v>
      </c>
      <c r="C125">
        <v>634.44823391832597</v>
      </c>
      <c r="D125">
        <v>149.14958101226799</v>
      </c>
      <c r="E125">
        <v>520.38377569771103</v>
      </c>
      <c r="F125">
        <v>2467301.6327637699</v>
      </c>
      <c r="G125">
        <v>1775044.0267545299</v>
      </c>
      <c r="H125">
        <v>2.5972810943896E-5</v>
      </c>
      <c r="I125">
        <v>5.9480773118925399E-5</v>
      </c>
      <c r="J125">
        <v>0.43661798563056398</v>
      </c>
      <c r="K125">
        <v>16063.580349286</v>
      </c>
      <c r="L125">
        <v>1.6624879026359001E-3</v>
      </c>
      <c r="M125">
        <v>210</v>
      </c>
      <c r="N125">
        <v>2739.5846000000001</v>
      </c>
      <c r="O125">
        <v>2.8502295699234199E-6</v>
      </c>
      <c r="P125">
        <v>5.98473400508856E-3</v>
      </c>
      <c r="Q125">
        <v>1.905E-3</v>
      </c>
      <c r="R125">
        <v>0.15240000000000001</v>
      </c>
      <c r="S125">
        <v>4507299.8046875</v>
      </c>
      <c r="T125">
        <v>516.17931085542295</v>
      </c>
      <c r="U125">
        <v>548.954058648456</v>
      </c>
      <c r="V125">
        <v>0.03</v>
      </c>
      <c r="W125">
        <v>87741.103374116501</v>
      </c>
      <c r="X125">
        <v>2.4689257625448699E-2</v>
      </c>
      <c r="Y125">
        <v>6.3642317268426796</v>
      </c>
      <c r="Z125">
        <v>6.3642317508062201</v>
      </c>
      <c r="AA125">
        <v>-2.3963539597105001E-8</v>
      </c>
      <c r="AB125">
        <v>4.4820429169196396E-6</v>
      </c>
      <c r="AC125">
        <v>743.97533892875197</v>
      </c>
      <c r="AD125">
        <v>2437.1492054158398</v>
      </c>
      <c r="AE125">
        <v>548.95406008820999</v>
      </c>
      <c r="AF125">
        <v>1.4397531913345999E-6</v>
      </c>
      <c r="AG125">
        <v>4.6191106521656098E-6</v>
      </c>
      <c r="AH125">
        <v>44.510628749939897</v>
      </c>
      <c r="AI125">
        <v>0.29246236703598</v>
      </c>
      <c r="AJ125">
        <v>11.818857591237</v>
      </c>
      <c r="AK125">
        <v>6.1346958209654199</v>
      </c>
      <c r="AL125">
        <v>2.1883527698787102</v>
      </c>
      <c r="AM125">
        <v>634.44823383720404</v>
      </c>
      <c r="AN125">
        <v>8.1121925177285395E-8</v>
      </c>
      <c r="AO125">
        <v>1.3706773524596401E-7</v>
      </c>
      <c r="AP125">
        <v>2.0137429392349802</v>
      </c>
      <c r="AQ125">
        <v>2.2220648733605102E-5</v>
      </c>
      <c r="AR125">
        <v>2.37808919370579E-6</v>
      </c>
      <c r="AS125">
        <v>6.0847855001029396</v>
      </c>
      <c r="AT125">
        <v>5.9789573760941002</v>
      </c>
      <c r="AU125">
        <v>1.74862002661972</v>
      </c>
      <c r="AV125">
        <v>0.265122912615261</v>
      </c>
      <c r="AW125">
        <v>4.42020619519202E-3</v>
      </c>
      <c r="AX125">
        <v>0.26512290553248502</v>
      </c>
      <c r="AY125">
        <v>7.0827758102964797E-9</v>
      </c>
      <c r="AZ125">
        <v>692257.60600924003</v>
      </c>
      <c r="BA125">
        <v>1.1034501127560401E-5</v>
      </c>
      <c r="BB125">
        <v>4474804.0003333604</v>
      </c>
      <c r="BC125">
        <v>-32495.8043541359</v>
      </c>
      <c r="BD125">
        <v>-0.72095946048099402</v>
      </c>
      <c r="BE125">
        <v>4574155.5</v>
      </c>
      <c r="BF125">
        <v>0.97827981587713098</v>
      </c>
      <c r="BG125">
        <v>1</v>
      </c>
      <c r="BH125">
        <v>-0.26700000000000002</v>
      </c>
      <c r="BI125">
        <v>4.5999999999999999E-2</v>
      </c>
      <c r="BJ125">
        <v>5625</v>
      </c>
      <c r="BK125">
        <v>1</v>
      </c>
      <c r="BL125">
        <v>118.268923062903</v>
      </c>
      <c r="BM125">
        <v>4.4748040003333598</v>
      </c>
      <c r="BN125">
        <v>118.268923062903</v>
      </c>
      <c r="BO125">
        <v>1</v>
      </c>
      <c r="BP125">
        <v>6126.0243174266298</v>
      </c>
      <c r="BQ125">
        <v>1</v>
      </c>
      <c r="BR125">
        <v>0.15240000000000001</v>
      </c>
      <c r="BS125">
        <v>124</v>
      </c>
      <c r="BT125">
        <v>211</v>
      </c>
      <c r="BU125" t="s">
        <v>303</v>
      </c>
      <c r="BV125" t="str">
        <f>"Table "&amp;TRIM(RIGHT(SUBSTITUTE($A125,"_",REPT(" ",50)),50))</f>
        <v>Table 14</v>
      </c>
      <c r="BW125">
        <f>$BR125/$Q125</f>
        <v>80</v>
      </c>
      <c r="BX125" t="str">
        <f>IF($BW125&lt;40,"outside_low",IF($BW125&lt;=100,"short_anchor",IF($BW125&lt;250,"middle",IF($BW125&lt;=400,"long","outside_high"))))</f>
        <v>short_anchor</v>
      </c>
      <c r="BY125" t="str">
        <f>IF($N125&gt;1000,"PASS","FAIL")</f>
        <v>PASS</v>
      </c>
      <c r="BZ125" t="str">
        <f>IF(AND($BW125&gt;=40,$BW125&lt;=400),"PASS","FAIL")</f>
        <v>PASS</v>
      </c>
    </row>
    <row r="126" spans="1:78">
      <c r="A126" t="s">
        <v>280</v>
      </c>
      <c r="B126">
        <v>18960582.556212999</v>
      </c>
      <c r="C126">
        <v>634.44823391832597</v>
      </c>
      <c r="D126">
        <v>149.14958101226799</v>
      </c>
      <c r="E126">
        <v>520.38377569771103</v>
      </c>
      <c r="F126">
        <v>2467301.6327637699</v>
      </c>
      <c r="G126">
        <v>1775044.0267545299</v>
      </c>
      <c r="H126">
        <v>2.5972810943896E-5</v>
      </c>
      <c r="I126">
        <v>5.9480773118925399E-5</v>
      </c>
      <c r="J126">
        <v>0.43661798563056398</v>
      </c>
      <c r="K126">
        <v>16063.580349286</v>
      </c>
      <c r="L126">
        <v>1.6624879026359001E-3</v>
      </c>
      <c r="M126">
        <v>211</v>
      </c>
      <c r="N126">
        <v>2766.7091999999998</v>
      </c>
      <c r="O126">
        <v>2.8502295699234199E-6</v>
      </c>
      <c r="P126">
        <v>5.98473400508856E-3</v>
      </c>
      <c r="Q126">
        <v>1.905E-3</v>
      </c>
      <c r="R126">
        <v>0.15240000000000001</v>
      </c>
      <c r="S126">
        <v>4529089.35546875</v>
      </c>
      <c r="T126">
        <v>516.17931085542295</v>
      </c>
      <c r="U126">
        <v>548.78962655413102</v>
      </c>
      <c r="V126">
        <v>0.03</v>
      </c>
      <c r="W126">
        <v>88609.8271698998</v>
      </c>
      <c r="X126">
        <v>2.4596942564935501E-2</v>
      </c>
      <c r="Y126">
        <v>6.3761633767970602</v>
      </c>
      <c r="Z126">
        <v>6.3761633963344897</v>
      </c>
      <c r="AA126">
        <v>-1.95374338929355E-8</v>
      </c>
      <c r="AB126">
        <v>4.4110839093320403E-6</v>
      </c>
      <c r="AC126">
        <v>743.35466623393097</v>
      </c>
      <c r="AD126">
        <v>2456.67362836139</v>
      </c>
      <c r="AE126">
        <v>548.78962655413102</v>
      </c>
      <c r="AF126">
        <v>0</v>
      </c>
      <c r="AG126">
        <v>4.5485534710139797E-6</v>
      </c>
      <c r="AH126">
        <v>45.226650051759599</v>
      </c>
      <c r="AI126">
        <v>0.294805333538392</v>
      </c>
      <c r="AJ126">
        <v>11.731560482342999</v>
      </c>
      <c r="AK126">
        <v>6.1164363946280504</v>
      </c>
      <c r="AL126">
        <v>2.1883527698787102</v>
      </c>
      <c r="AM126">
        <v>634.44823379382603</v>
      </c>
      <c r="AN126">
        <v>1.2449959285731901E-7</v>
      </c>
      <c r="AO126">
        <v>1.3746956168194299E-7</v>
      </c>
      <c r="AP126">
        <v>2.01903249350657</v>
      </c>
      <c r="AQ126">
        <v>2.2104371890163199E-5</v>
      </c>
      <c r="AR126">
        <v>2.34301151634796E-6</v>
      </c>
      <c r="AS126">
        <v>6.0430599508231699</v>
      </c>
      <c r="AT126">
        <v>5.9445524901784204</v>
      </c>
      <c r="AU126">
        <v>1.75248577960353</v>
      </c>
      <c r="AV126">
        <v>0.26654671390304402</v>
      </c>
      <c r="AW126">
        <v>4.3502261769821603E-3</v>
      </c>
      <c r="AX126">
        <v>0.26654670528736901</v>
      </c>
      <c r="AY126">
        <v>8.6156756728961203E-9</v>
      </c>
      <c r="AZ126">
        <v>692257.60600924003</v>
      </c>
      <c r="BA126">
        <v>1.0948002056060599E-5</v>
      </c>
      <c r="BB126">
        <v>4523380.9181830697</v>
      </c>
      <c r="BC126">
        <v>-5708.43728567567</v>
      </c>
      <c r="BD126">
        <v>-0.12603940522354401</v>
      </c>
      <c r="BE126">
        <v>4479517.8</v>
      </c>
      <c r="BF126">
        <v>1.00979192853817</v>
      </c>
      <c r="BG126">
        <v>1</v>
      </c>
      <c r="BH126">
        <v>-0.28999999999999998</v>
      </c>
      <c r="BI126">
        <v>4.5999999999999999E-2</v>
      </c>
      <c r="BJ126">
        <v>5625</v>
      </c>
      <c r="BK126">
        <v>1</v>
      </c>
      <c r="BL126">
        <v>118.268923062903</v>
      </c>
      <c r="BM126">
        <v>4.5233809181830704</v>
      </c>
      <c r="BN126">
        <v>118.268923062903</v>
      </c>
      <c r="BO126">
        <v>1</v>
      </c>
      <c r="BP126">
        <v>6126.0243174266298</v>
      </c>
      <c r="BQ126">
        <v>1</v>
      </c>
      <c r="BR126">
        <v>0.15240000000000001</v>
      </c>
      <c r="BS126">
        <v>125</v>
      </c>
      <c r="BT126">
        <v>212</v>
      </c>
      <c r="BU126" t="s">
        <v>303</v>
      </c>
      <c r="BV126" t="str">
        <f>"Table "&amp;TRIM(RIGHT(SUBSTITUTE($A126,"_",REPT(" ",50)),50))</f>
        <v>Table 14</v>
      </c>
      <c r="BW126">
        <f>$BR126/$Q126</f>
        <v>80</v>
      </c>
      <c r="BX126" t="str">
        <f>IF($BW126&lt;40,"outside_low",IF($BW126&lt;=100,"short_anchor",IF($BW126&lt;250,"middle",IF($BW126&lt;=400,"long","outside_high"))))</f>
        <v>short_anchor</v>
      </c>
      <c r="BY126" t="str">
        <f>IF($N126&gt;1000,"PASS","FAIL")</f>
        <v>PASS</v>
      </c>
      <c r="BZ126" t="str">
        <f>IF(AND($BW126&gt;=40,$BW126&lt;=400),"PASS","FAIL")</f>
        <v>PASS</v>
      </c>
    </row>
    <row r="127" spans="1:78">
      <c r="A127" t="s">
        <v>281</v>
      </c>
      <c r="B127">
        <v>18960582.556212999</v>
      </c>
      <c r="C127">
        <v>634.44823391832597</v>
      </c>
      <c r="D127">
        <v>149.14958101226799</v>
      </c>
      <c r="E127">
        <v>520.38377569771103</v>
      </c>
      <c r="F127">
        <v>2467301.6327637699</v>
      </c>
      <c r="G127">
        <v>1775044.0267545299</v>
      </c>
      <c r="H127">
        <v>2.5972810943896E-5</v>
      </c>
      <c r="I127">
        <v>5.9480773118925399E-5</v>
      </c>
      <c r="J127">
        <v>0.43661798563056398</v>
      </c>
      <c r="K127">
        <v>16063.580349286</v>
      </c>
      <c r="L127">
        <v>1.6624879026359001E-3</v>
      </c>
      <c r="M127">
        <v>212</v>
      </c>
      <c r="N127">
        <v>3377.0127000000002</v>
      </c>
      <c r="O127">
        <v>2.8502295699234199E-6</v>
      </c>
      <c r="P127">
        <v>5.98473400508856E-3</v>
      </c>
      <c r="Q127">
        <v>1.905E-3</v>
      </c>
      <c r="R127">
        <v>0.15240000000000001</v>
      </c>
      <c r="S127">
        <v>3469864.55078125</v>
      </c>
      <c r="T127">
        <v>558.46565244536998</v>
      </c>
      <c r="U127">
        <v>578.93422027787301</v>
      </c>
      <c r="V127">
        <v>0.03</v>
      </c>
      <c r="W127">
        <v>108156.11257502501</v>
      </c>
      <c r="X127">
        <v>2.2842853749086001E-2</v>
      </c>
      <c r="Y127">
        <v>6.6164467317851301</v>
      </c>
      <c r="Z127">
        <v>6.6164467598196204</v>
      </c>
      <c r="AA127">
        <v>-2.8034487620232101E-8</v>
      </c>
      <c r="AB127">
        <v>3.1881425212607502E-6</v>
      </c>
      <c r="AC127">
        <v>694.28831051424697</v>
      </c>
      <c r="AD127">
        <v>2889.6900303443399</v>
      </c>
      <c r="AE127">
        <v>578.93422122075594</v>
      </c>
      <c r="AF127">
        <v>9.4288304808287596E-7</v>
      </c>
      <c r="AG127">
        <v>3.2848665206392098E-6</v>
      </c>
      <c r="AH127">
        <v>62.575166256186201</v>
      </c>
      <c r="AI127">
        <v>0.34676809462331698</v>
      </c>
      <c r="AJ127">
        <v>9.9656126359086894</v>
      </c>
      <c r="AK127">
        <v>3.57988804127538</v>
      </c>
      <c r="AL127">
        <v>2.1883527698787102</v>
      </c>
      <c r="AM127">
        <v>634.44823386842995</v>
      </c>
      <c r="AN127">
        <v>4.9896016207640099E-8</v>
      </c>
      <c r="AO127">
        <v>9.6723999378458301E-8</v>
      </c>
      <c r="AP127">
        <v>2.0813508315570299</v>
      </c>
      <c r="AQ127">
        <v>2.0800521028343399E-5</v>
      </c>
      <c r="AR127">
        <v>1.69079526000883E-6</v>
      </c>
      <c r="AS127">
        <v>5.1295267256703401</v>
      </c>
      <c r="AT127">
        <v>5.125066993611</v>
      </c>
      <c r="AU127">
        <v>1.77720971619134</v>
      </c>
      <c r="AV127">
        <v>0.304141115365689</v>
      </c>
      <c r="AW127">
        <v>3.1441571588781202E-3</v>
      </c>
      <c r="AX127">
        <v>0.30414111373362601</v>
      </c>
      <c r="AY127">
        <v>1.63206270720195E-9</v>
      </c>
      <c r="AZ127">
        <v>692257.60600924003</v>
      </c>
      <c r="BA127">
        <v>9.9937601642981097E-6</v>
      </c>
      <c r="BB127">
        <v>3486557.2980555501</v>
      </c>
      <c r="BC127">
        <v>16692.747274300498</v>
      </c>
      <c r="BD127">
        <v>0.481077777821101</v>
      </c>
      <c r="BE127">
        <v>4258696.5</v>
      </c>
      <c r="BF127">
        <v>0.818691188267478</v>
      </c>
      <c r="BG127">
        <v>1</v>
      </c>
      <c r="BH127">
        <v>-0.161</v>
      </c>
      <c r="BI127">
        <v>4.5999999999999999E-2</v>
      </c>
      <c r="BJ127">
        <v>5625</v>
      </c>
      <c r="BK127">
        <v>1</v>
      </c>
      <c r="BL127">
        <v>75.982581472955999</v>
      </c>
      <c r="BM127">
        <v>3.4865572980555499</v>
      </c>
      <c r="BN127">
        <v>75.982581472955999</v>
      </c>
      <c r="BO127">
        <v>1</v>
      </c>
      <c r="BP127">
        <v>1294.7461694579199</v>
      </c>
      <c r="BQ127">
        <v>1</v>
      </c>
      <c r="BR127">
        <v>0.15240000000000001</v>
      </c>
      <c r="BS127">
        <v>126</v>
      </c>
      <c r="BT127">
        <v>213</v>
      </c>
      <c r="BU127" t="s">
        <v>303</v>
      </c>
      <c r="BV127" t="str">
        <f>"Table "&amp;TRIM(RIGHT(SUBSTITUTE($A127,"_",REPT(" ",50)),50))</f>
        <v>Table 14</v>
      </c>
      <c r="BW127">
        <f>$BR127/$Q127</f>
        <v>80</v>
      </c>
      <c r="BX127" t="str">
        <f>IF($BW127&lt;40,"outside_low",IF($BW127&lt;=100,"short_anchor",IF($BW127&lt;250,"middle",IF($BW127&lt;=400,"long","outside_high"))))</f>
        <v>short_anchor</v>
      </c>
      <c r="BY127" t="str">
        <f>IF($N127&gt;1000,"PASS","FAIL")</f>
        <v>PASS</v>
      </c>
      <c r="BZ127" t="str">
        <f>IF(AND($BW127&gt;=40,$BW127&lt;=400),"PASS","FAIL")</f>
        <v>PASS</v>
      </c>
    </row>
    <row r="128" spans="1:78">
      <c r="A128" t="s">
        <v>282</v>
      </c>
      <c r="B128">
        <v>18960582.556212999</v>
      </c>
      <c r="C128">
        <v>634.44823391832597</v>
      </c>
      <c r="D128">
        <v>149.14958101226799</v>
      </c>
      <c r="E128">
        <v>520.38377569771103</v>
      </c>
      <c r="F128">
        <v>2467301.6327637699</v>
      </c>
      <c r="G128">
        <v>1775044.0267545299</v>
      </c>
      <c r="H128">
        <v>2.5972810943896E-5</v>
      </c>
      <c r="I128">
        <v>5.9480773118925399E-5</v>
      </c>
      <c r="J128">
        <v>0.43661798563056398</v>
      </c>
      <c r="K128">
        <v>16063.580349286</v>
      </c>
      <c r="L128">
        <v>1.6624879026359001E-3</v>
      </c>
      <c r="M128">
        <v>213</v>
      </c>
      <c r="N128">
        <v>3458.3865000000001</v>
      </c>
      <c r="O128">
        <v>2.8502295699234199E-6</v>
      </c>
      <c r="P128">
        <v>5.98473400508856E-3</v>
      </c>
      <c r="Q128">
        <v>1.905E-3</v>
      </c>
      <c r="R128">
        <v>0.15240000000000001</v>
      </c>
      <c r="S128">
        <v>3695875.87890625</v>
      </c>
      <c r="T128">
        <v>553.48995463629501</v>
      </c>
      <c r="U128">
        <v>574.77876918332402</v>
      </c>
      <c r="V128">
        <v>0.03</v>
      </c>
      <c r="W128">
        <v>110762.283962375</v>
      </c>
      <c r="X128">
        <v>2.2647019765432101E-2</v>
      </c>
      <c r="Y128">
        <v>6.6449921225727904</v>
      </c>
      <c r="Z128">
        <v>6.6449921260745999</v>
      </c>
      <c r="AA128">
        <v>-3.5018077326753899E-9</v>
      </c>
      <c r="AB128">
        <v>3.0661638644763198E-6</v>
      </c>
      <c r="AC128">
        <v>697.63178377571103</v>
      </c>
      <c r="AD128">
        <v>2946.6085378586199</v>
      </c>
      <c r="AE128">
        <v>574.77877015964202</v>
      </c>
      <c r="AF128">
        <v>9.7631766493577701E-7</v>
      </c>
      <c r="AG128">
        <v>3.1667926678027201E-6</v>
      </c>
      <c r="AH128">
        <v>65.064542253478393</v>
      </c>
      <c r="AI128">
        <v>0.353598419742021</v>
      </c>
      <c r="AJ128">
        <v>9.7966386483733103</v>
      </c>
      <c r="AK128">
        <v>3.80676036295058</v>
      </c>
      <c r="AL128">
        <v>2.1883527698787102</v>
      </c>
      <c r="AM128">
        <v>634.44823405418799</v>
      </c>
      <c r="AN128">
        <v>-1.3586236491391901E-7</v>
      </c>
      <c r="AO128">
        <v>1.00628803326398E-7</v>
      </c>
      <c r="AP128">
        <v>2.0942074905509598</v>
      </c>
      <c r="AQ128">
        <v>2.05459098449622E-5</v>
      </c>
      <c r="AR128">
        <v>1.63371073556456E-6</v>
      </c>
      <c r="AS128">
        <v>5.0539695557016504</v>
      </c>
      <c r="AT128">
        <v>5.0508699257262801</v>
      </c>
      <c r="AU128">
        <v>1.78597962405931</v>
      </c>
      <c r="AV128">
        <v>0.30822786649165101</v>
      </c>
      <c r="AW128">
        <v>3.0238613865274399E-3</v>
      </c>
      <c r="AX128">
        <v>0.30822786457552898</v>
      </c>
      <c r="AY128">
        <v>1.9161222053476499E-9</v>
      </c>
      <c r="AZ128">
        <v>692257.60600924003</v>
      </c>
      <c r="BA128">
        <v>9.8108281713560096E-6</v>
      </c>
      <c r="BB128">
        <v>3694946.2287502298</v>
      </c>
      <c r="BC128">
        <v>-929.65015602065296</v>
      </c>
      <c r="BD128">
        <v>-2.51537169125867E-2</v>
      </c>
      <c r="BE128">
        <v>4668793.2</v>
      </c>
      <c r="BF128">
        <v>0.79141355602347696</v>
      </c>
      <c r="BG128">
        <v>1</v>
      </c>
      <c r="BH128">
        <v>-0.156</v>
      </c>
      <c r="BI128">
        <v>4.5999999999999999E-2</v>
      </c>
      <c r="BJ128">
        <v>5625</v>
      </c>
      <c r="BK128">
        <v>1</v>
      </c>
      <c r="BL128">
        <v>80.958279282031</v>
      </c>
      <c r="BM128">
        <v>3.6949462287502302</v>
      </c>
      <c r="BN128">
        <v>80.958279282031</v>
      </c>
      <c r="BO128">
        <v>1</v>
      </c>
      <c r="BP128">
        <v>1677.58064174485</v>
      </c>
      <c r="BQ128">
        <v>1</v>
      </c>
      <c r="BR128">
        <v>0.15240000000000001</v>
      </c>
      <c r="BS128">
        <v>127</v>
      </c>
      <c r="BT128">
        <v>214</v>
      </c>
      <c r="BU128" t="s">
        <v>303</v>
      </c>
      <c r="BV128" t="str">
        <f>"Table "&amp;TRIM(RIGHT(SUBSTITUTE($A128,"_",REPT(" ",50)),50))</f>
        <v>Table 14</v>
      </c>
      <c r="BW128">
        <f>$BR128/$Q128</f>
        <v>80</v>
      </c>
      <c r="BX128" t="str">
        <f>IF($BW128&lt;40,"outside_low",IF($BW128&lt;=100,"short_anchor",IF($BW128&lt;250,"middle",IF($BW128&lt;=400,"long","outside_high"))))</f>
        <v>short_anchor</v>
      </c>
      <c r="BY128" t="str">
        <f>IF($N128&gt;1000,"PASS","FAIL")</f>
        <v>PASS</v>
      </c>
      <c r="BZ128" t="str">
        <f>IF(AND($BW128&gt;=40,$BW128&lt;=400),"PASS","FAIL")</f>
        <v>PASS</v>
      </c>
    </row>
    <row r="129" spans="1:78">
      <c r="A129" t="s">
        <v>283</v>
      </c>
      <c r="B129">
        <v>18960582.556212999</v>
      </c>
      <c r="C129">
        <v>634.44823391832597</v>
      </c>
      <c r="D129">
        <v>149.14958101226799</v>
      </c>
      <c r="E129">
        <v>520.38377569771103</v>
      </c>
      <c r="F129">
        <v>2467301.6327637699</v>
      </c>
      <c r="G129">
        <v>1775044.0267545299</v>
      </c>
      <c r="H129">
        <v>2.5972810943896E-5</v>
      </c>
      <c r="I129">
        <v>5.9480773118925399E-5</v>
      </c>
      <c r="J129">
        <v>0.43661798563056398</v>
      </c>
      <c r="K129">
        <v>16063.580349286</v>
      </c>
      <c r="L129">
        <v>1.6624879026359001E-3</v>
      </c>
      <c r="M129">
        <v>214</v>
      </c>
      <c r="N129">
        <v>3485.5111000000002</v>
      </c>
      <c r="O129">
        <v>2.8502295699234199E-6</v>
      </c>
      <c r="P129">
        <v>5.98473400508856E-3</v>
      </c>
      <c r="Q129">
        <v>1.905E-3</v>
      </c>
      <c r="R129">
        <v>0.15240000000000001</v>
      </c>
      <c r="S129">
        <v>3753381.34765625</v>
      </c>
      <c r="T129">
        <v>552.32824485842298</v>
      </c>
      <c r="U129">
        <v>573.780050311732</v>
      </c>
      <c r="V129">
        <v>0.03</v>
      </c>
      <c r="W129">
        <v>111631.007758158</v>
      </c>
      <c r="X129">
        <v>2.25833669063405E-2</v>
      </c>
      <c r="Y129">
        <v>6.6543502294361199</v>
      </c>
      <c r="Z129">
        <v>6.6543502370940999</v>
      </c>
      <c r="AA129">
        <v>-7.6579791397079994E-9</v>
      </c>
      <c r="AB129">
        <v>3.0271353797416399E-6</v>
      </c>
      <c r="AC129">
        <v>698.304834556537</v>
      </c>
      <c r="AD129">
        <v>2965.54283494523</v>
      </c>
      <c r="AE129">
        <v>573.780050311732</v>
      </c>
      <c r="AF129">
        <v>0</v>
      </c>
      <c r="AG129">
        <v>3.1284219667872699E-6</v>
      </c>
      <c r="AH129">
        <v>65.903411407168306</v>
      </c>
      <c r="AI129">
        <v>0.35587057006084599</v>
      </c>
      <c r="AJ129">
        <v>9.7401253000433208</v>
      </c>
      <c r="AK129">
        <v>3.8566199988274099</v>
      </c>
      <c r="AL129">
        <v>2.1883527698787102</v>
      </c>
      <c r="AM129">
        <v>634.44823387087797</v>
      </c>
      <c r="AN129">
        <v>4.7447770157305098E-8</v>
      </c>
      <c r="AO129">
        <v>1.01286587045632E-7</v>
      </c>
      <c r="AP129">
        <v>2.0978640071565602</v>
      </c>
      <c r="AQ129">
        <v>2.04743504029397E-5</v>
      </c>
      <c r="AR129">
        <v>1.61485427691645E-6</v>
      </c>
      <c r="AS129">
        <v>5.0277370397797796</v>
      </c>
      <c r="AT129">
        <v>5.02484995095827</v>
      </c>
      <c r="AU129">
        <v>1.7881962165177301</v>
      </c>
      <c r="AV129">
        <v>0.30966779063882499</v>
      </c>
      <c r="AW129">
        <v>2.9853713601687201E-3</v>
      </c>
      <c r="AX129">
        <v>0.30966778864637301</v>
      </c>
      <c r="AY129">
        <v>1.9924516481140102E-9</v>
      </c>
      <c r="AZ129">
        <v>692257.60600924003</v>
      </c>
      <c r="BA129">
        <v>9.7596175600965692E-6</v>
      </c>
      <c r="BB129">
        <v>3738613.9456288102</v>
      </c>
      <c r="BC129">
        <v>-14767.402027440699</v>
      </c>
      <c r="BD129">
        <v>-0.39344262305406402</v>
      </c>
      <c r="BE129">
        <v>4542609.5999999996</v>
      </c>
      <c r="BF129">
        <v>0.82301018023402395</v>
      </c>
      <c r="BG129">
        <v>1</v>
      </c>
      <c r="BH129">
        <v>-0.186</v>
      </c>
      <c r="BI129">
        <v>4.5999999999999999E-2</v>
      </c>
      <c r="BJ129">
        <v>5625</v>
      </c>
      <c r="BK129">
        <v>1</v>
      </c>
      <c r="BL129">
        <v>82.119989059903006</v>
      </c>
      <c r="BM129">
        <v>3.7386139456288099</v>
      </c>
      <c r="BN129">
        <v>82.119989059903006</v>
      </c>
      <c r="BO129">
        <v>1</v>
      </c>
      <c r="BP129">
        <v>1774.09347840635</v>
      </c>
      <c r="BQ129">
        <v>1</v>
      </c>
      <c r="BR129">
        <v>0.15240000000000001</v>
      </c>
      <c r="BS129">
        <v>128</v>
      </c>
      <c r="BT129">
        <v>215</v>
      </c>
      <c r="BU129" t="s">
        <v>303</v>
      </c>
      <c r="BV129" t="str">
        <f>"Table "&amp;TRIM(RIGHT(SUBSTITUTE($A129,"_",REPT(" ",50)),50))</f>
        <v>Table 14</v>
      </c>
      <c r="BW129">
        <f>$BR129/$Q129</f>
        <v>80</v>
      </c>
      <c r="BX129" t="str">
        <f>IF($BW129&lt;40,"outside_low",IF($BW129&lt;=100,"short_anchor",IF($BW129&lt;250,"middle",IF($BW129&lt;=400,"long","outside_high"))))</f>
        <v>short_anchor</v>
      </c>
      <c r="BY129" t="str">
        <f>IF($N129&gt;1000,"PASS","FAIL")</f>
        <v>PASS</v>
      </c>
      <c r="BZ129" t="str">
        <f>IF(AND($BW129&gt;=40,$BW129&lt;=400),"PASS","FAIL")</f>
        <v>PASS</v>
      </c>
    </row>
    <row r="130" spans="1:78">
      <c r="A130" t="s">
        <v>284</v>
      </c>
      <c r="B130">
        <v>18960582.556212999</v>
      </c>
      <c r="C130">
        <v>634.44823391832597</v>
      </c>
      <c r="D130">
        <v>149.14958101226799</v>
      </c>
      <c r="E130">
        <v>520.38377569771103</v>
      </c>
      <c r="F130">
        <v>2467301.6327637699</v>
      </c>
      <c r="G130">
        <v>1775044.0267545299</v>
      </c>
      <c r="H130">
        <v>2.5972810943896E-5</v>
      </c>
      <c r="I130">
        <v>5.9480773118925399E-5</v>
      </c>
      <c r="J130">
        <v>0.43661798563056398</v>
      </c>
      <c r="K130">
        <v>16063.580349286</v>
      </c>
      <c r="L130">
        <v>1.6624879026359001E-3</v>
      </c>
      <c r="M130">
        <v>215</v>
      </c>
      <c r="N130">
        <v>3499.0734000000002</v>
      </c>
      <c r="O130">
        <v>2.8502295699234199E-6</v>
      </c>
      <c r="P130">
        <v>5.98473400508856E-3</v>
      </c>
      <c r="Q130">
        <v>1.905E-3</v>
      </c>
      <c r="R130">
        <v>0.15240000000000001</v>
      </c>
      <c r="S130">
        <v>3819602.63671875</v>
      </c>
      <c r="T130">
        <v>550.74250143598601</v>
      </c>
      <c r="U130">
        <v>572.48816978034995</v>
      </c>
      <c r="V130">
        <v>0.03</v>
      </c>
      <c r="W130">
        <v>112065.36965605</v>
      </c>
      <c r="X130">
        <v>2.2551835812529699E-2</v>
      </c>
      <c r="Y130">
        <v>6.65900053050576</v>
      </c>
      <c r="Z130">
        <v>6.6590005392263896</v>
      </c>
      <c r="AA130">
        <v>-8.7206322163524402E-9</v>
      </c>
      <c r="AB130">
        <v>3.0079143673425098E-6</v>
      </c>
      <c r="AC130">
        <v>699.49127495502603</v>
      </c>
      <c r="AD130">
        <v>2975.0028723136102</v>
      </c>
      <c r="AE130">
        <v>572.48817077526303</v>
      </c>
      <c r="AF130">
        <v>9.9491273886087605E-7</v>
      </c>
      <c r="AG130">
        <v>3.1106916129621898E-6</v>
      </c>
      <c r="AH130">
        <v>66.324543837517894</v>
      </c>
      <c r="AI130">
        <v>0.35700579186624798</v>
      </c>
      <c r="AJ130">
        <v>9.7158178303878007</v>
      </c>
      <c r="AK130">
        <v>3.9323910926272401</v>
      </c>
      <c r="AL130">
        <v>2.1883527698787102</v>
      </c>
      <c r="AM130">
        <v>634.44823385057805</v>
      </c>
      <c r="AN130">
        <v>6.7748374021903106E-8</v>
      </c>
      <c r="AO130">
        <v>1.0277724561969E-7</v>
      </c>
      <c r="AP130">
        <v>2.10080783312518</v>
      </c>
      <c r="AQ130">
        <v>2.0417009894445998E-5</v>
      </c>
      <c r="AR130">
        <v>1.60673442929094E-6</v>
      </c>
      <c r="AS130">
        <v>5.0184142175178197</v>
      </c>
      <c r="AT130">
        <v>5.0155699543710996</v>
      </c>
      <c r="AU130">
        <v>1.7905875232208199</v>
      </c>
      <c r="AV130">
        <v>0.310220309904364</v>
      </c>
      <c r="AW130">
        <v>2.9664155313961298E-3</v>
      </c>
      <c r="AX130">
        <v>0.31022030787314098</v>
      </c>
      <c r="AY130">
        <v>2.0312230786245798E-9</v>
      </c>
      <c r="AZ130">
        <v>692257.60600924003</v>
      </c>
      <c r="BA130">
        <v>9.7186470711476308E-6</v>
      </c>
      <c r="BB130">
        <v>3809628.6789195901</v>
      </c>
      <c r="BC130">
        <v>-9973.9577991645801</v>
      </c>
      <c r="BD130">
        <v>-0.26112553445435799</v>
      </c>
      <c r="BE130">
        <v>4542609.5999999996</v>
      </c>
      <c r="BF130">
        <v>0.83864320608127696</v>
      </c>
      <c r="BG130">
        <v>1</v>
      </c>
      <c r="BH130">
        <v>-0.19900000000000001</v>
      </c>
      <c r="BI130">
        <v>4.5999999999999999E-2</v>
      </c>
      <c r="BJ130">
        <v>5625</v>
      </c>
      <c r="BK130">
        <v>1</v>
      </c>
      <c r="BL130">
        <v>83.705732482339997</v>
      </c>
      <c r="BM130">
        <v>3.8096286789195899</v>
      </c>
      <c r="BN130">
        <v>83.705732482339997</v>
      </c>
      <c r="BO130">
        <v>1</v>
      </c>
      <c r="BP130">
        <v>1910.1910518178699</v>
      </c>
      <c r="BQ130">
        <v>1</v>
      </c>
      <c r="BR130">
        <v>0.15240000000000001</v>
      </c>
      <c r="BS130">
        <v>129</v>
      </c>
      <c r="BT130">
        <v>216</v>
      </c>
      <c r="BU130" t="s">
        <v>303</v>
      </c>
      <c r="BV130" t="str">
        <f>"Table "&amp;TRIM(RIGHT(SUBSTITUTE($A130,"_",REPT(" ",50)),50))</f>
        <v>Table 14</v>
      </c>
      <c r="BW130">
        <f>$BR130/$Q130</f>
        <v>80</v>
      </c>
      <c r="BX130" t="str">
        <f>IF($BW130&lt;40,"outside_low",IF($BW130&lt;=100,"short_anchor",IF($BW130&lt;250,"middle",IF($BW130&lt;=400,"long","outside_high"))))</f>
        <v>short_anchor</v>
      </c>
      <c r="BY130" t="str">
        <f>IF($N130&gt;1000,"PASS","FAIL")</f>
        <v>PASS</v>
      </c>
      <c r="BZ130" t="str">
        <f>IF(AND($BW130&gt;=40,$BW130&lt;=400),"PASS","FAIL")</f>
        <v>PASS</v>
      </c>
    </row>
    <row r="131" spans="1:78">
      <c r="A131" t="s">
        <v>285</v>
      </c>
      <c r="B131">
        <v>18960582.556212999</v>
      </c>
      <c r="C131">
        <v>634.44823391832597</v>
      </c>
      <c r="D131">
        <v>149.14958101226799</v>
      </c>
      <c r="E131">
        <v>520.38377569771103</v>
      </c>
      <c r="F131">
        <v>2467301.6327637699</v>
      </c>
      <c r="G131">
        <v>1775044.0267545299</v>
      </c>
      <c r="H131">
        <v>2.5972810943896E-5</v>
      </c>
      <c r="I131">
        <v>5.9480773118925399E-5</v>
      </c>
      <c r="J131">
        <v>0.43661798563056398</v>
      </c>
      <c r="K131">
        <v>16063.580349286</v>
      </c>
      <c r="L131">
        <v>1.6624879026359001E-3</v>
      </c>
      <c r="M131">
        <v>216</v>
      </c>
      <c r="N131">
        <v>1939.4088999999999</v>
      </c>
      <c r="O131">
        <v>2.8502295699234199E-6</v>
      </c>
      <c r="P131">
        <v>5.98473400508856E-3</v>
      </c>
      <c r="Q131">
        <v>1.905E-3</v>
      </c>
      <c r="R131">
        <v>0.69596000000000002</v>
      </c>
      <c r="S131">
        <v>4757805.95703125</v>
      </c>
      <c r="T131">
        <v>299.02073658241198</v>
      </c>
      <c r="U131">
        <v>522.19508849638601</v>
      </c>
      <c r="V131">
        <v>0.03</v>
      </c>
      <c r="W131">
        <v>62113.751398508197</v>
      </c>
      <c r="X131">
        <v>2.83092601952524E-2</v>
      </c>
      <c r="Y131">
        <v>5.9434106746186597</v>
      </c>
      <c r="Z131">
        <v>5.9434106924163803</v>
      </c>
      <c r="AA131">
        <v>-1.7797724183310499E-8</v>
      </c>
      <c r="AB131">
        <v>7.7998488366138193E-6</v>
      </c>
      <c r="AC131">
        <v>824.76654334572197</v>
      </c>
      <c r="AD131">
        <v>1847.46844965574</v>
      </c>
      <c r="AE131">
        <v>522.19509074405096</v>
      </c>
      <c r="AF131">
        <v>2.2476654066849699E-6</v>
      </c>
      <c r="AG131">
        <v>7.9907672512179895E-6</v>
      </c>
      <c r="AH131">
        <v>25.577232648385198</v>
      </c>
      <c r="AI131">
        <v>0.22169959664756</v>
      </c>
      <c r="AJ131">
        <v>15.498887543483001</v>
      </c>
      <c r="AK131">
        <v>9.7343649639911796</v>
      </c>
      <c r="AL131">
        <v>2.1883527698787102</v>
      </c>
      <c r="AM131">
        <v>634.44823391337695</v>
      </c>
      <c r="AN131">
        <v>4.9490154196973898E-9</v>
      </c>
      <c r="AO131">
        <v>1.90918414604165E-7</v>
      </c>
      <c r="AP131">
        <v>1.83975481484638</v>
      </c>
      <c r="AQ131">
        <v>2.6622258678238799E-5</v>
      </c>
      <c r="AR131">
        <v>4.0908428329110799E-6</v>
      </c>
      <c r="AS131">
        <v>7.9345963950693301</v>
      </c>
      <c r="AT131">
        <v>7.3061624439967998</v>
      </c>
      <c r="AU131">
        <v>1.6197732668756399</v>
      </c>
      <c r="AV131">
        <v>0.21998154797073699</v>
      </c>
      <c r="AW131">
        <v>7.6922378451602397E-3</v>
      </c>
      <c r="AX131">
        <v>0.21998154374930901</v>
      </c>
      <c r="AY131">
        <v>4.2214272077956097E-9</v>
      </c>
      <c r="AZ131">
        <v>692257.60600924003</v>
      </c>
      <c r="BA131">
        <v>1.44705470877987E-5</v>
      </c>
      <c r="BB131">
        <v>4752852.6740098204</v>
      </c>
      <c r="BC131">
        <v>-4953.2830214276901</v>
      </c>
      <c r="BD131">
        <v>-0.104108554786846</v>
      </c>
      <c r="BE131">
        <v>2082029.4</v>
      </c>
      <c r="BF131">
        <v>2.2827980594365398</v>
      </c>
      <c r="BG131">
        <v>1</v>
      </c>
      <c r="BH131">
        <v>-0.113</v>
      </c>
      <c r="BI131">
        <v>4.5999999999999999E-2</v>
      </c>
      <c r="BJ131">
        <v>5625</v>
      </c>
      <c r="BK131">
        <v>1</v>
      </c>
      <c r="BL131">
        <v>335.42749733591398</v>
      </c>
      <c r="BM131">
        <v>4.7528526740098203</v>
      </c>
      <c r="BN131">
        <v>335.42749733591398</v>
      </c>
      <c r="BO131">
        <v>1</v>
      </c>
      <c r="BP131">
        <v>87277.406182161503</v>
      </c>
      <c r="BQ131">
        <v>1</v>
      </c>
      <c r="BR131">
        <v>0.69596000000000002</v>
      </c>
      <c r="BS131">
        <v>130</v>
      </c>
      <c r="BT131">
        <v>217</v>
      </c>
      <c r="BU131" t="s">
        <v>303</v>
      </c>
      <c r="BV131" t="str">
        <f>"Table "&amp;TRIM(RIGHT(SUBSTITUTE($A131,"_",REPT(" ",50)),50))</f>
        <v>Table 14</v>
      </c>
      <c r="BW131">
        <f>$BR131/$Q131</f>
        <v>365.33333333333337</v>
      </c>
      <c r="BX131" t="str">
        <f>IF($BW131&lt;40,"outside_low",IF($BW131&lt;=100,"short_anchor",IF($BW131&lt;250,"middle",IF($BW131&lt;=400,"long","outside_high"))))</f>
        <v>long</v>
      </c>
      <c r="BY131" t="str">
        <f>IF($N131&gt;1000,"PASS","FAIL")</f>
        <v>PASS</v>
      </c>
      <c r="BZ131" t="str">
        <f>IF(AND($BW131&gt;=40,$BW131&lt;=400),"PASS","FAIL")</f>
        <v>PASS</v>
      </c>
    </row>
    <row r="132" spans="1:78">
      <c r="A132" t="s">
        <v>286</v>
      </c>
      <c r="B132">
        <v>18960582.556212999</v>
      </c>
      <c r="C132">
        <v>634.44823391832597</v>
      </c>
      <c r="D132">
        <v>149.14958101226799</v>
      </c>
      <c r="E132">
        <v>520.38377569771103</v>
      </c>
      <c r="F132">
        <v>2467301.6327637699</v>
      </c>
      <c r="G132">
        <v>1775044.0267545299</v>
      </c>
      <c r="H132">
        <v>2.5972810943896E-5</v>
      </c>
      <c r="I132">
        <v>5.9480773118925399E-5</v>
      </c>
      <c r="J132">
        <v>0.43661798563056398</v>
      </c>
      <c r="K132">
        <v>16063.580349286</v>
      </c>
      <c r="L132">
        <v>1.6624879026359001E-3</v>
      </c>
      <c r="M132">
        <v>217</v>
      </c>
      <c r="N132">
        <v>1980.0958000000001</v>
      </c>
      <c r="O132">
        <v>2.8502295699234199E-6</v>
      </c>
      <c r="P132">
        <v>5.98473400508856E-3</v>
      </c>
      <c r="Q132">
        <v>1.905E-3</v>
      </c>
      <c r="R132">
        <v>0.69596000000000002</v>
      </c>
      <c r="S132">
        <v>4869246.34765625</v>
      </c>
      <c r="T132">
        <v>296.26172292177802</v>
      </c>
      <c r="U132">
        <v>519.97022270798595</v>
      </c>
      <c r="V132">
        <v>0.03</v>
      </c>
      <c r="W132">
        <v>63416.837092183203</v>
      </c>
      <c r="X132">
        <v>2.8068795115359198E-2</v>
      </c>
      <c r="Y132">
        <v>5.9688149502597696</v>
      </c>
      <c r="Z132">
        <v>5.96881496562143</v>
      </c>
      <c r="AA132">
        <v>-1.5361651506395901E-8</v>
      </c>
      <c r="AB132">
        <v>7.5467037009651301E-6</v>
      </c>
      <c r="AC132">
        <v>825.31097339210396</v>
      </c>
      <c r="AD132">
        <v>1878.19843314684</v>
      </c>
      <c r="AE132">
        <v>519.97022270798595</v>
      </c>
      <c r="AF132">
        <v>0</v>
      </c>
      <c r="AG132">
        <v>7.7373697165469102E-6</v>
      </c>
      <c r="AH132">
        <v>26.435190279273101</v>
      </c>
      <c r="AI132">
        <v>0.22538725093265999</v>
      </c>
      <c r="AJ132">
        <v>15.2570243341692</v>
      </c>
      <c r="AK132">
        <v>9.8101323771631694</v>
      </c>
      <c r="AL132">
        <v>2.1883527698787102</v>
      </c>
      <c r="AM132">
        <v>634.44823380953198</v>
      </c>
      <c r="AN132">
        <v>1.08794097286591E-7</v>
      </c>
      <c r="AO132">
        <v>1.9066601558178399E-7</v>
      </c>
      <c r="AP132">
        <v>1.8519804458428</v>
      </c>
      <c r="AQ132">
        <v>2.62719314134373E-5</v>
      </c>
      <c r="AR132">
        <v>3.9640178660643498E-6</v>
      </c>
      <c r="AS132">
        <v>7.8164956902972396</v>
      </c>
      <c r="AT132">
        <v>7.2311816633771704</v>
      </c>
      <c r="AU132">
        <v>1.62981615610324</v>
      </c>
      <c r="AV132">
        <v>0.22216428973956001</v>
      </c>
      <c r="AW132">
        <v>7.4425852386104403E-3</v>
      </c>
      <c r="AX132">
        <v>0.22216428345028799</v>
      </c>
      <c r="AY132">
        <v>6.2892724361773803E-9</v>
      </c>
      <c r="AZ132">
        <v>692257.60600924003</v>
      </c>
      <c r="BA132">
        <v>1.4185857886572599E-5</v>
      </c>
      <c r="BB132">
        <v>4841825.9114256501</v>
      </c>
      <c r="BC132">
        <v>-27420.436230600801</v>
      </c>
      <c r="BD132">
        <v>-0.56313511933523897</v>
      </c>
      <c r="BE132">
        <v>2082029.4</v>
      </c>
      <c r="BF132">
        <v>2.3255319600317099</v>
      </c>
      <c r="BG132">
        <v>1</v>
      </c>
      <c r="BH132">
        <v>-0.17599999999999999</v>
      </c>
      <c r="BI132">
        <v>4.5999999999999999E-2</v>
      </c>
      <c r="BJ132">
        <v>5625</v>
      </c>
      <c r="BK132">
        <v>1</v>
      </c>
      <c r="BL132">
        <v>338.18651099654801</v>
      </c>
      <c r="BM132">
        <v>4.8418259114256497</v>
      </c>
      <c r="BN132">
        <v>338.18651099654801</v>
      </c>
      <c r="BO132">
        <v>1</v>
      </c>
      <c r="BP132">
        <v>88915.195340294405</v>
      </c>
      <c r="BQ132">
        <v>1</v>
      </c>
      <c r="BR132">
        <v>0.69596000000000002</v>
      </c>
      <c r="BS132">
        <v>131</v>
      </c>
      <c r="BT132">
        <v>218</v>
      </c>
      <c r="BU132" t="s">
        <v>303</v>
      </c>
      <c r="BV132" t="str">
        <f>"Table "&amp;TRIM(RIGHT(SUBSTITUTE($A132,"_",REPT(" ",50)),50))</f>
        <v>Table 14</v>
      </c>
      <c r="BW132">
        <f>$BR132/$Q132</f>
        <v>365.33333333333337</v>
      </c>
      <c r="BX132" t="str">
        <f>IF($BW132&lt;40,"outside_low",IF($BW132&lt;=100,"short_anchor",IF($BW132&lt;250,"middle",IF($BW132&lt;=400,"long","outside_high"))))</f>
        <v>long</v>
      </c>
      <c r="BY132" t="str">
        <f>IF($N132&gt;1000,"PASS","FAIL")</f>
        <v>PASS</v>
      </c>
      <c r="BZ132" t="str">
        <f>IF(AND($BW132&gt;=40,$BW132&lt;=400),"PASS","FAIL")</f>
        <v>PASS</v>
      </c>
    </row>
    <row r="133" spans="1:78">
      <c r="A133" t="s">
        <v>287</v>
      </c>
      <c r="B133">
        <v>18960582.556212999</v>
      </c>
      <c r="C133">
        <v>634.44823391832597</v>
      </c>
      <c r="D133">
        <v>149.14958101226799</v>
      </c>
      <c r="E133">
        <v>520.38377569771103</v>
      </c>
      <c r="F133">
        <v>2467301.6327637699</v>
      </c>
      <c r="G133">
        <v>1775044.0267545299</v>
      </c>
      <c r="H133">
        <v>2.5972810943896E-5</v>
      </c>
      <c r="I133">
        <v>5.9480773118925399E-5</v>
      </c>
      <c r="J133">
        <v>0.43661798563056398</v>
      </c>
      <c r="K133">
        <v>16063.580349286</v>
      </c>
      <c r="L133">
        <v>1.6624879026359001E-3</v>
      </c>
      <c r="M133">
        <v>218</v>
      </c>
      <c r="N133">
        <v>2183.5302999999999</v>
      </c>
      <c r="O133">
        <v>2.8502295699234199E-6</v>
      </c>
      <c r="P133">
        <v>5.98473400508856E-3</v>
      </c>
      <c r="Q133">
        <v>1.905E-3</v>
      </c>
      <c r="R133">
        <v>0.69596000000000002</v>
      </c>
      <c r="S133">
        <v>5206018.06640625</v>
      </c>
      <c r="T133">
        <v>297.89465084985301</v>
      </c>
      <c r="U133">
        <v>514.79157281219204</v>
      </c>
      <c r="V133">
        <v>0.03</v>
      </c>
      <c r="W133">
        <v>69932.265560558197</v>
      </c>
      <c r="X133">
        <v>2.6977699453061801E-2</v>
      </c>
      <c r="Y133">
        <v>6.0883210266442198</v>
      </c>
      <c r="Z133">
        <v>6.0883210344052801</v>
      </c>
      <c r="AA133">
        <v>-7.7610655679904994E-9</v>
      </c>
      <c r="AB133">
        <v>6.4569900462768704E-6</v>
      </c>
      <c r="AC133">
        <v>818.92667708811098</v>
      </c>
      <c r="AD133">
        <v>2030.5096834251899</v>
      </c>
      <c r="AE133">
        <v>514.79157500145902</v>
      </c>
      <c r="AF133">
        <v>2.1892666381973001E-6</v>
      </c>
      <c r="AG133">
        <v>6.6449034299615198E-6</v>
      </c>
      <c r="AH133">
        <v>30.896524059432299</v>
      </c>
      <c r="AI133">
        <v>0.24366487984582999</v>
      </c>
      <c r="AJ133">
        <v>14.165397123319799</v>
      </c>
      <c r="AK133">
        <v>9.7092053180152593</v>
      </c>
      <c r="AL133">
        <v>2.1883527698787102</v>
      </c>
      <c r="AM133">
        <v>634.44823397229902</v>
      </c>
      <c r="AN133">
        <v>-5.39730535820127E-8</v>
      </c>
      <c r="AO133">
        <v>1.8791338368465701E-7</v>
      </c>
      <c r="AP133">
        <v>1.9088777488394799</v>
      </c>
      <c r="AQ133">
        <v>2.4729114434388201E-5</v>
      </c>
      <c r="AR133">
        <v>3.4164084068230901E-6</v>
      </c>
      <c r="AS133">
        <v>7.2829924961569699</v>
      </c>
      <c r="AT133">
        <v>6.8777091745608097</v>
      </c>
      <c r="AU133">
        <v>1.67585617963392</v>
      </c>
      <c r="AV133">
        <v>0.233021569205561</v>
      </c>
      <c r="AW133">
        <v>6.3679058710266996E-3</v>
      </c>
      <c r="AX133">
        <v>0.23302156388499801</v>
      </c>
      <c r="AY133">
        <v>5.3205630456965E-9</v>
      </c>
      <c r="AZ133">
        <v>692257.60600924003</v>
      </c>
      <c r="BA133">
        <v>1.29547921282138E-5</v>
      </c>
      <c r="BB133">
        <v>5225390.4604399996</v>
      </c>
      <c r="BC133">
        <v>19372.3940337477</v>
      </c>
      <c r="BD133">
        <v>0.37211538236402297</v>
      </c>
      <c r="BE133">
        <v>2397488.4</v>
      </c>
      <c r="BF133">
        <v>2.1795269000842699</v>
      </c>
      <c r="BG133">
        <v>1</v>
      </c>
      <c r="BH133">
        <v>-6.9000000000000006E-2</v>
      </c>
      <c r="BI133">
        <v>4.5999999999999999E-2</v>
      </c>
      <c r="BJ133">
        <v>5625</v>
      </c>
      <c r="BK133">
        <v>1</v>
      </c>
      <c r="BL133">
        <v>336.55358306847302</v>
      </c>
      <c r="BM133">
        <v>5.2253904604399999</v>
      </c>
      <c r="BN133">
        <v>336.55358306847302</v>
      </c>
      <c r="BO133">
        <v>1</v>
      </c>
      <c r="BP133">
        <v>87944.027630749697</v>
      </c>
      <c r="BQ133">
        <v>1</v>
      </c>
      <c r="BR133">
        <v>0.69596000000000002</v>
      </c>
      <c r="BS133">
        <v>132</v>
      </c>
      <c r="BT133">
        <v>219</v>
      </c>
      <c r="BU133" t="s">
        <v>303</v>
      </c>
      <c r="BV133" t="str">
        <f>"Table "&amp;TRIM(RIGHT(SUBSTITUTE($A133,"_",REPT(" ",50)),50))</f>
        <v>Table 14</v>
      </c>
      <c r="BW133">
        <f>$BR133/$Q133</f>
        <v>365.33333333333337</v>
      </c>
      <c r="BX133" t="str">
        <f>IF($BW133&lt;40,"outside_low",IF($BW133&lt;=100,"short_anchor",IF($BW133&lt;250,"middle",IF($BW133&lt;=400,"long","outside_high"))))</f>
        <v>long</v>
      </c>
      <c r="BY133" t="str">
        <f>IF($N133&gt;1000,"PASS","FAIL")</f>
        <v>PASS</v>
      </c>
      <c r="BZ133" t="str">
        <f>IF(AND($BW133&gt;=40,$BW133&lt;=400),"PASS","FAIL")</f>
        <v>PASS</v>
      </c>
    </row>
    <row r="134" spans="1:78">
      <c r="A134" t="s">
        <v>288</v>
      </c>
      <c r="B134">
        <v>18960582.556212999</v>
      </c>
      <c r="C134">
        <v>634.44823391832597</v>
      </c>
      <c r="D134">
        <v>149.14958101226799</v>
      </c>
      <c r="E134">
        <v>520.38377569771103</v>
      </c>
      <c r="F134">
        <v>2467301.6327637699</v>
      </c>
      <c r="G134">
        <v>1775044.0267545299</v>
      </c>
      <c r="H134">
        <v>2.5972810943896E-5</v>
      </c>
      <c r="I134">
        <v>5.9480773118925399E-5</v>
      </c>
      <c r="J134">
        <v>0.43661798563056398</v>
      </c>
      <c r="K134">
        <v>16063.580349286</v>
      </c>
      <c r="L134">
        <v>1.6624879026359001E-3</v>
      </c>
      <c r="M134">
        <v>219</v>
      </c>
      <c r="N134">
        <v>2237.7795000000001</v>
      </c>
      <c r="O134">
        <v>2.8502295699234199E-6</v>
      </c>
      <c r="P134">
        <v>5.98473400508856E-3</v>
      </c>
      <c r="Q134">
        <v>1.905E-3</v>
      </c>
      <c r="R134">
        <v>0.69596000000000002</v>
      </c>
      <c r="S134">
        <v>5308802.63671875</v>
      </c>
      <c r="T134">
        <v>297.33158579482898</v>
      </c>
      <c r="U134">
        <v>513.14887331007901</v>
      </c>
      <c r="V134">
        <v>0.03</v>
      </c>
      <c r="W134">
        <v>71669.713152124794</v>
      </c>
      <c r="X134">
        <v>2.6714291734591802E-2</v>
      </c>
      <c r="Y134">
        <v>6.1182633683354597</v>
      </c>
      <c r="Z134">
        <v>6.11826337149511</v>
      </c>
      <c r="AA134">
        <v>-3.1596503191622101E-9</v>
      </c>
      <c r="AB134">
        <v>6.2083362143430397E-6</v>
      </c>
      <c r="AC134">
        <v>817.88575613791897</v>
      </c>
      <c r="AD134">
        <v>2070.7730741799401</v>
      </c>
      <c r="AE134">
        <v>513.14887331007901</v>
      </c>
      <c r="AF134">
        <v>0</v>
      </c>
      <c r="AG134">
        <v>6.3966377394363902E-6</v>
      </c>
      <c r="AH134">
        <v>32.133979447731797</v>
      </c>
      <c r="AI134">
        <v>0.248496560458105</v>
      </c>
      <c r="AJ134">
        <v>13.9065461376463</v>
      </c>
      <c r="AK134">
        <v>9.7128660529817008</v>
      </c>
      <c r="AL134">
        <v>2.1883527698787102</v>
      </c>
      <c r="AM134">
        <v>634.44823382027005</v>
      </c>
      <c r="AN134">
        <v>9.8056375463784193E-8</v>
      </c>
      <c r="AO134">
        <v>1.8830152509335101E-7</v>
      </c>
      <c r="AP134">
        <v>1.92341716461832</v>
      </c>
      <c r="AQ134">
        <v>2.4356664871989101E-5</v>
      </c>
      <c r="AR134">
        <v>3.2924696322648699E-6</v>
      </c>
      <c r="AS134">
        <v>7.1579605900779297</v>
      </c>
      <c r="AT134">
        <v>6.7911255330585396</v>
      </c>
      <c r="AU134">
        <v>1.68757133660426</v>
      </c>
      <c r="AV134">
        <v>0.23584582801405801</v>
      </c>
      <c r="AW134">
        <v>6.1226826037029799E-3</v>
      </c>
      <c r="AX134">
        <v>0.23584582091739001</v>
      </c>
      <c r="AY134">
        <v>7.0966679754924697E-9</v>
      </c>
      <c r="AZ134">
        <v>692257.60600924003</v>
      </c>
      <c r="BA134">
        <v>1.26632252846836E-5</v>
      </c>
      <c r="BB134">
        <v>5356745.1889211498</v>
      </c>
      <c r="BC134">
        <v>47942.552202398001</v>
      </c>
      <c r="BD134">
        <v>0.903076559501375</v>
      </c>
      <c r="BE134">
        <v>2397488.4</v>
      </c>
      <c r="BF134">
        <v>2.2343153730884202</v>
      </c>
      <c r="BG134">
        <v>1</v>
      </c>
      <c r="BH134">
        <v>-0.128</v>
      </c>
      <c r="BI134">
        <v>4.5999999999999999E-2</v>
      </c>
      <c r="BJ134">
        <v>5625</v>
      </c>
      <c r="BK134">
        <v>1</v>
      </c>
      <c r="BL134">
        <v>337.11664812349699</v>
      </c>
      <c r="BM134">
        <v>5.3567451889211499</v>
      </c>
      <c r="BN134">
        <v>337.11664812349699</v>
      </c>
      <c r="BO134">
        <v>1</v>
      </c>
      <c r="BP134">
        <v>88278.302592141903</v>
      </c>
      <c r="BQ134">
        <v>1</v>
      </c>
      <c r="BR134">
        <v>0.69596000000000002</v>
      </c>
      <c r="BS134">
        <v>133</v>
      </c>
      <c r="BT134">
        <v>220</v>
      </c>
      <c r="BU134" t="s">
        <v>303</v>
      </c>
      <c r="BV134" t="str">
        <f>"Table "&amp;TRIM(RIGHT(SUBSTITUTE($A134,"_",REPT(" ",50)),50))</f>
        <v>Table 14</v>
      </c>
      <c r="BW134">
        <f>$BR134/$Q134</f>
        <v>365.33333333333337</v>
      </c>
      <c r="BX134" t="str">
        <f>IF($BW134&lt;40,"outside_low",IF($BW134&lt;=100,"short_anchor",IF($BW134&lt;250,"middle",IF($BW134&lt;=400,"long","outside_high"))))</f>
        <v>long</v>
      </c>
      <c r="BY134" t="str">
        <f>IF($N134&gt;1000,"PASS","FAIL")</f>
        <v>PASS</v>
      </c>
      <c r="BZ134" t="str">
        <f>IF(AND($BW134&gt;=40,$BW134&lt;=400),"PASS","FAIL")</f>
        <v>PASS</v>
      </c>
    </row>
    <row r="135" spans="1:78">
      <c r="A135" t="s">
        <v>289</v>
      </c>
      <c r="B135">
        <v>18960582.556212999</v>
      </c>
      <c r="C135">
        <v>634.44823391832597</v>
      </c>
      <c r="D135">
        <v>149.14958101226799</v>
      </c>
      <c r="E135">
        <v>520.38377569771103</v>
      </c>
      <c r="F135">
        <v>2467301.6327637699</v>
      </c>
      <c r="G135">
        <v>1775044.0267545299</v>
      </c>
      <c r="H135">
        <v>2.5972810943896E-5</v>
      </c>
      <c r="I135">
        <v>5.9480773118925399E-5</v>
      </c>
      <c r="J135">
        <v>0.43661798563056398</v>
      </c>
      <c r="K135">
        <v>16063.580349286</v>
      </c>
      <c r="L135">
        <v>1.6624879026359001E-3</v>
      </c>
      <c r="M135">
        <v>220</v>
      </c>
      <c r="N135">
        <v>2793.8337999999999</v>
      </c>
      <c r="O135">
        <v>2.8502295699234199E-6</v>
      </c>
      <c r="P135">
        <v>5.98473400508856E-3</v>
      </c>
      <c r="Q135">
        <v>1.905E-3</v>
      </c>
      <c r="R135">
        <v>0.69596000000000002</v>
      </c>
      <c r="S135">
        <v>6217053.22265625</v>
      </c>
      <c r="T135">
        <v>298.45770121924102</v>
      </c>
      <c r="U135">
        <v>500.89519821428598</v>
      </c>
      <c r="V135">
        <v>0.03</v>
      </c>
      <c r="W135">
        <v>89478.550965683098</v>
      </c>
      <c r="X135">
        <v>2.45060735861381E-2</v>
      </c>
      <c r="Y135">
        <v>6.3879739049883204</v>
      </c>
      <c r="Z135">
        <v>6.3879739206029802</v>
      </c>
      <c r="AA135">
        <v>-1.5614659787388499E-8</v>
      </c>
      <c r="AB135">
        <v>4.3418879052211302E-6</v>
      </c>
      <c r="AC135">
        <v>804.34668939333199</v>
      </c>
      <c r="AD135">
        <v>2476.1720656518701</v>
      </c>
      <c r="AE135">
        <v>500.89519821428598</v>
      </c>
      <c r="AF135">
        <v>0</v>
      </c>
      <c r="AG135">
        <v>4.5237369909956704E-6</v>
      </c>
      <c r="AH135">
        <v>45.947420263063499</v>
      </c>
      <c r="AI135">
        <v>0.29714518171461501</v>
      </c>
      <c r="AJ135">
        <v>11.760158708094</v>
      </c>
      <c r="AK135">
        <v>9.5334112903946906</v>
      </c>
      <c r="AL135">
        <v>2.1883527698787102</v>
      </c>
      <c r="AM135">
        <v>634.44823377511</v>
      </c>
      <c r="AN135">
        <v>1.4321619801194201E-7</v>
      </c>
      <c r="AO135">
        <v>1.8184908577453499E-7</v>
      </c>
      <c r="AP135">
        <v>2.0490560465612599</v>
      </c>
      <c r="AQ135">
        <v>2.1461354103123902E-5</v>
      </c>
      <c r="AR135">
        <v>2.3527930383850998E-6</v>
      </c>
      <c r="AS135">
        <v>6.1164518613221803</v>
      </c>
      <c r="AT135">
        <v>6.0049108358792296</v>
      </c>
      <c r="AU135">
        <v>1.78433032150739</v>
      </c>
      <c r="AV135">
        <v>0.26472572505386699</v>
      </c>
      <c r="AW135">
        <v>4.2819848388863302E-3</v>
      </c>
      <c r="AX135">
        <v>0.26472572450722498</v>
      </c>
      <c r="AY135">
        <v>5.4664195392462003E-10</v>
      </c>
      <c r="AZ135">
        <v>692257.60600924003</v>
      </c>
      <c r="BA135">
        <v>1.04737760292797E-5</v>
      </c>
      <c r="BB135">
        <v>6254596.8717347998</v>
      </c>
      <c r="BC135">
        <v>37543.649078549803</v>
      </c>
      <c r="BD135">
        <v>0.60388173840514803</v>
      </c>
      <c r="BE135">
        <v>2996860.5</v>
      </c>
      <c r="BF135">
        <v>2.0870497214450898</v>
      </c>
      <c r="BG135">
        <v>1</v>
      </c>
      <c r="BH135">
        <v>-0.11899999999999999</v>
      </c>
      <c r="BI135">
        <v>4.5999999999999999E-2</v>
      </c>
      <c r="BJ135">
        <v>5625</v>
      </c>
      <c r="BK135">
        <v>1</v>
      </c>
      <c r="BL135">
        <v>335.99053269908501</v>
      </c>
      <c r="BM135">
        <v>6.2545968717348002</v>
      </c>
      <c r="BN135">
        <v>335.99053269908501</v>
      </c>
      <c r="BO135">
        <v>1</v>
      </c>
      <c r="BP135">
        <v>87610.395447488103</v>
      </c>
      <c r="BQ135">
        <v>1</v>
      </c>
      <c r="BR135">
        <v>0.69596000000000002</v>
      </c>
      <c r="BS135">
        <v>134</v>
      </c>
      <c r="BT135">
        <v>221</v>
      </c>
      <c r="BU135" t="s">
        <v>303</v>
      </c>
      <c r="BV135" t="str">
        <f>"Table "&amp;TRIM(RIGHT(SUBSTITUTE($A135,"_",REPT(" ",50)),50))</f>
        <v>Table 14</v>
      </c>
      <c r="BW135">
        <f>$BR135/$Q135</f>
        <v>365.33333333333337</v>
      </c>
      <c r="BX135" t="str">
        <f>IF($BW135&lt;40,"outside_low",IF($BW135&lt;=100,"short_anchor",IF($BW135&lt;250,"middle",IF($BW135&lt;=400,"long","outside_high"))))</f>
        <v>long</v>
      </c>
      <c r="BY135" t="str">
        <f>IF($N135&gt;1000,"PASS","FAIL")</f>
        <v>PASS</v>
      </c>
      <c r="BZ135" t="str">
        <f>IF(AND($BW135&gt;=40,$BW135&lt;=400),"PASS","FAIL")</f>
        <v>PASS</v>
      </c>
    </row>
    <row r="136" spans="1:78">
      <c r="A136" t="s">
        <v>290</v>
      </c>
      <c r="B136">
        <v>18960582.556212999</v>
      </c>
      <c r="C136">
        <v>634.44823391832597</v>
      </c>
      <c r="D136">
        <v>149.14958101226799</v>
      </c>
      <c r="E136">
        <v>520.38377569771103</v>
      </c>
      <c r="F136">
        <v>2467301.6327637699</v>
      </c>
      <c r="G136">
        <v>1775044.0267545299</v>
      </c>
      <c r="H136">
        <v>2.5972810943896E-5</v>
      </c>
      <c r="I136">
        <v>5.9480773118925399E-5</v>
      </c>
      <c r="J136">
        <v>0.43661798563056398</v>
      </c>
      <c r="K136">
        <v>16063.580349286</v>
      </c>
      <c r="L136">
        <v>1.6624879026359001E-3</v>
      </c>
      <c r="M136">
        <v>221</v>
      </c>
      <c r="N136">
        <v>2861.6453000000001</v>
      </c>
      <c r="O136">
        <v>2.8502295699234199E-6</v>
      </c>
      <c r="P136">
        <v>5.98473400508856E-3</v>
      </c>
      <c r="Q136">
        <v>1.905E-3</v>
      </c>
      <c r="R136">
        <v>0.69596000000000002</v>
      </c>
      <c r="S136">
        <v>6336169.43359375</v>
      </c>
      <c r="T136">
        <v>297.89465084985301</v>
      </c>
      <c r="U136">
        <v>499.32176043104198</v>
      </c>
      <c r="V136">
        <v>0.03</v>
      </c>
      <c r="W136">
        <v>91650.360455141403</v>
      </c>
      <c r="X136">
        <v>2.4284988303401998E-2</v>
      </c>
      <c r="Y136">
        <v>6.4169853926356204</v>
      </c>
      <c r="Z136">
        <v>6.4169854006844904</v>
      </c>
      <c r="AA136">
        <v>-8.0488700149317099E-9</v>
      </c>
      <c r="AB136">
        <v>4.1762257979177299E-6</v>
      </c>
      <c r="AC136">
        <v>803.224312066621</v>
      </c>
      <c r="AD136">
        <v>2524.8067203953901</v>
      </c>
      <c r="AE136">
        <v>499.32176043104198</v>
      </c>
      <c r="AF136">
        <v>0</v>
      </c>
      <c r="AG136">
        <v>4.3579957719578804E-6</v>
      </c>
      <c r="AH136">
        <v>47.770057935032703</v>
      </c>
      <c r="AI136">
        <v>0.30298142933320998</v>
      </c>
      <c r="AJ136">
        <v>11.551807887132799</v>
      </c>
      <c r="AK136">
        <v>9.5327603657751894</v>
      </c>
      <c r="AL136">
        <v>2.1883527698787102</v>
      </c>
      <c r="AM136">
        <v>634.44823371085704</v>
      </c>
      <c r="AN136">
        <v>2.07469383894932E-7</v>
      </c>
      <c r="AO136">
        <v>1.8176997404015201E-7</v>
      </c>
      <c r="AP136">
        <v>2.0626425005871099</v>
      </c>
      <c r="AQ136">
        <v>2.11795569598776E-5</v>
      </c>
      <c r="AR136">
        <v>2.2698828729990201E-6</v>
      </c>
      <c r="AS136">
        <v>6.0168142070953499</v>
      </c>
      <c r="AT136">
        <v>5.9227895888251396</v>
      </c>
      <c r="AU136">
        <v>1.7944952552621001</v>
      </c>
      <c r="AV136">
        <v>0.26814724532501399</v>
      </c>
      <c r="AW136">
        <v>4.1186082968530501E-3</v>
      </c>
      <c r="AX136">
        <v>0.26814724458671302</v>
      </c>
      <c r="AY136">
        <v>7.3830142000019805E-10</v>
      </c>
      <c r="AZ136">
        <v>692257.60600924003</v>
      </c>
      <c r="BA136">
        <v>1.02681666618665E-5</v>
      </c>
      <c r="BB136">
        <v>6377063.1859235298</v>
      </c>
      <c r="BC136">
        <v>40893.752329780698</v>
      </c>
      <c r="BD136">
        <v>0.64540181190493495</v>
      </c>
      <c r="BE136">
        <v>2776039.2</v>
      </c>
      <c r="BF136">
        <v>2.2971805246566901</v>
      </c>
      <c r="BG136">
        <v>1</v>
      </c>
      <c r="BH136">
        <v>-0.33800000000000002</v>
      </c>
      <c r="BI136">
        <v>4.5999999999999999E-2</v>
      </c>
      <c r="BJ136">
        <v>5625</v>
      </c>
      <c r="BK136">
        <v>1</v>
      </c>
      <c r="BL136">
        <v>336.55358306847302</v>
      </c>
      <c r="BM136">
        <v>6.3770631859235296</v>
      </c>
      <c r="BN136">
        <v>336.55358306847302</v>
      </c>
      <c r="BO136">
        <v>1</v>
      </c>
      <c r="BP136">
        <v>87944.027630749697</v>
      </c>
      <c r="BQ136">
        <v>1</v>
      </c>
      <c r="BR136">
        <v>0.69596000000000002</v>
      </c>
      <c r="BS136">
        <v>135</v>
      </c>
      <c r="BT136">
        <v>222</v>
      </c>
      <c r="BU136" t="s">
        <v>303</v>
      </c>
      <c r="BV136" t="str">
        <f>"Table "&amp;TRIM(RIGHT(SUBSTITUTE($A136,"_",REPT(" ",50)),50))</f>
        <v>Table 14</v>
      </c>
      <c r="BW136">
        <f>$BR136/$Q136</f>
        <v>365.33333333333337</v>
      </c>
      <c r="BX136" t="str">
        <f>IF($BW136&lt;40,"outside_low",IF($BW136&lt;=100,"short_anchor",IF($BW136&lt;250,"middle",IF($BW136&lt;=400,"long","outside_high"))))</f>
        <v>long</v>
      </c>
      <c r="BY136" t="str">
        <f>IF($N136&gt;1000,"PASS","FAIL")</f>
        <v>PASS</v>
      </c>
      <c r="BZ136" t="str">
        <f>IF(AND($BW136&gt;=40,$BW136&lt;=400),"PASS","FAIL")</f>
        <v>PASS</v>
      </c>
    </row>
    <row r="137" spans="1:78">
      <c r="A137" t="s">
        <v>291</v>
      </c>
      <c r="B137">
        <v>18960582.556212999</v>
      </c>
      <c r="C137">
        <v>634.44823391832597</v>
      </c>
      <c r="D137">
        <v>149.14958101226799</v>
      </c>
      <c r="E137">
        <v>520.38377569771103</v>
      </c>
      <c r="F137">
        <v>2467301.6327637699</v>
      </c>
      <c r="G137">
        <v>1775044.0267545299</v>
      </c>
      <c r="H137">
        <v>2.5972810943896E-5</v>
      </c>
      <c r="I137">
        <v>5.9480773118925399E-5</v>
      </c>
      <c r="J137">
        <v>0.43661798563056398</v>
      </c>
      <c r="K137">
        <v>16063.580349286</v>
      </c>
      <c r="L137">
        <v>1.6624879026359001E-3</v>
      </c>
      <c r="M137">
        <v>222</v>
      </c>
      <c r="N137">
        <v>3471.9488000000001</v>
      </c>
      <c r="O137">
        <v>2.8502295699234199E-6</v>
      </c>
      <c r="P137">
        <v>5.98473400508856E-3</v>
      </c>
      <c r="Q137">
        <v>1.905E-3</v>
      </c>
      <c r="R137">
        <v>0.69596000000000002</v>
      </c>
      <c r="S137">
        <v>7260546.38671875</v>
      </c>
      <c r="T137">
        <v>299.02073658241198</v>
      </c>
      <c r="U137">
        <v>489.261216608371</v>
      </c>
      <c r="V137">
        <v>0.03</v>
      </c>
      <c r="W137">
        <v>111196.645860266</v>
      </c>
      <c r="X137">
        <v>2.2615094215070301E-2</v>
      </c>
      <c r="Y137">
        <v>6.6496808099286699</v>
      </c>
      <c r="Z137">
        <v>6.6496808158942198</v>
      </c>
      <c r="AA137">
        <v>-5.9655480555420598E-9</v>
      </c>
      <c r="AB137">
        <v>3.0465509744099398E-6</v>
      </c>
      <c r="AC137">
        <v>790.92049740726395</v>
      </c>
      <c r="AD137">
        <v>2956.0780652656899</v>
      </c>
      <c r="AE137">
        <v>489.261216608371</v>
      </c>
      <c r="AF137">
        <v>0</v>
      </c>
      <c r="AG137">
        <v>3.2244121972817902E-6</v>
      </c>
      <c r="AH137">
        <v>65.483410582009796</v>
      </c>
      <c r="AI137">
        <v>0.354734780369442</v>
      </c>
      <c r="AJ137">
        <v>10.006944010246601</v>
      </c>
      <c r="AK137">
        <v>9.3449473760680508</v>
      </c>
      <c r="AL137">
        <v>2.1883527698787102</v>
      </c>
      <c r="AM137">
        <v>634.44823399622703</v>
      </c>
      <c r="AN137">
        <v>-7.79012907514698E-8</v>
      </c>
      <c r="AO137">
        <v>1.77861222871854E-7</v>
      </c>
      <c r="AP137">
        <v>2.1678557530007301</v>
      </c>
      <c r="AQ137">
        <v>1.9173616331603302E-5</v>
      </c>
      <c r="AR137">
        <v>1.70113671007682E-6</v>
      </c>
      <c r="AS137">
        <v>5.2794676269567899</v>
      </c>
      <c r="AT137">
        <v>5.2691263220339097</v>
      </c>
      <c r="AU137">
        <v>1.8691423685855399</v>
      </c>
      <c r="AV137">
        <v>0.29871338441518502</v>
      </c>
      <c r="AW137">
        <v>3.0045190866467798E-3</v>
      </c>
      <c r="AX137">
        <v>0.29871338330912101</v>
      </c>
      <c r="AY137">
        <v>1.1060639071303099E-9</v>
      </c>
      <c r="AZ137">
        <v>692257.60600924003</v>
      </c>
      <c r="BA137">
        <v>8.8445074378511194E-6</v>
      </c>
      <c r="BB137">
        <v>7244344.6957942601</v>
      </c>
      <c r="BC137">
        <v>-16201.6909244899</v>
      </c>
      <c r="BD137">
        <v>-0.22314699282311001</v>
      </c>
      <c r="BE137">
        <v>3533140.8</v>
      </c>
      <c r="BF137">
        <v>2.0503979620043098</v>
      </c>
      <c r="BG137">
        <v>1</v>
      </c>
      <c r="BH137">
        <v>-0.23100000000000001</v>
      </c>
      <c r="BI137">
        <v>4.5999999999999999E-2</v>
      </c>
      <c r="BJ137">
        <v>5625</v>
      </c>
      <c r="BK137">
        <v>1</v>
      </c>
      <c r="BL137">
        <v>335.42749733591398</v>
      </c>
      <c r="BM137">
        <v>7.2443446957942603</v>
      </c>
      <c r="BN137">
        <v>335.42749733591398</v>
      </c>
      <c r="BO137">
        <v>1</v>
      </c>
      <c r="BP137">
        <v>87277.406182161503</v>
      </c>
      <c r="BQ137">
        <v>1</v>
      </c>
      <c r="BR137">
        <v>0.69596000000000002</v>
      </c>
      <c r="BS137">
        <v>136</v>
      </c>
      <c r="BT137">
        <v>223</v>
      </c>
      <c r="BU137" t="s">
        <v>303</v>
      </c>
      <c r="BV137" t="str">
        <f>"Table "&amp;TRIM(RIGHT(SUBSTITUTE($A137,"_",REPT(" ",50)),50))</f>
        <v>Table 14</v>
      </c>
      <c r="BW137">
        <f>$BR137/$Q137</f>
        <v>365.33333333333337</v>
      </c>
      <c r="BX137" t="str">
        <f>IF($BW137&lt;40,"outside_low",IF($BW137&lt;=100,"short_anchor",IF($BW137&lt;250,"middle",IF($BW137&lt;=400,"long","outside_high"))))</f>
        <v>long</v>
      </c>
      <c r="BY137" t="str">
        <f>IF($N137&gt;1000,"PASS","FAIL")</f>
        <v>PASS</v>
      </c>
      <c r="BZ137" t="str">
        <f>IF(AND($BW137&gt;=40,$BW137&lt;=400),"PASS","FAIL")</f>
        <v>PASS</v>
      </c>
    </row>
    <row r="138" spans="1:78">
      <c r="A138" t="s">
        <v>292</v>
      </c>
      <c r="B138">
        <v>18960582.556212999</v>
      </c>
      <c r="C138">
        <v>634.44823391832597</v>
      </c>
      <c r="D138">
        <v>149.14958101226799</v>
      </c>
      <c r="E138">
        <v>520.38377569771103</v>
      </c>
      <c r="F138">
        <v>2467301.6327637699</v>
      </c>
      <c r="G138">
        <v>1775044.0267545299</v>
      </c>
      <c r="H138">
        <v>2.5972810943896E-5</v>
      </c>
      <c r="I138">
        <v>5.9480773118925399E-5</v>
      </c>
      <c r="J138">
        <v>0.43661798563056398</v>
      </c>
      <c r="K138">
        <v>16063.580349286</v>
      </c>
      <c r="L138">
        <v>1.6624879026359001E-3</v>
      </c>
      <c r="M138">
        <v>223</v>
      </c>
      <c r="N138">
        <v>3648.2586999999999</v>
      </c>
      <c r="O138">
        <v>2.8502295699234199E-6</v>
      </c>
      <c r="P138">
        <v>5.98473400508856E-3</v>
      </c>
      <c r="Q138">
        <v>1.905E-3</v>
      </c>
      <c r="R138">
        <v>0.69596000000000002</v>
      </c>
      <c r="S138">
        <v>7583984.375</v>
      </c>
      <c r="T138">
        <v>296.26172292177802</v>
      </c>
      <c r="U138">
        <v>485.37357309828798</v>
      </c>
      <c r="V138">
        <v>0.03</v>
      </c>
      <c r="W138">
        <v>116843.35053285801</v>
      </c>
      <c r="X138">
        <v>2.2217391970833899E-2</v>
      </c>
      <c r="Y138">
        <v>6.7089331033772401</v>
      </c>
      <c r="Z138">
        <v>6.7089331074216201</v>
      </c>
      <c r="AA138">
        <v>-4.0443861593075797E-9</v>
      </c>
      <c r="AB138">
        <v>2.8085951652339198E-6</v>
      </c>
      <c r="AC138">
        <v>789.22604747791502</v>
      </c>
      <c r="AD138">
        <v>3078.7579867486702</v>
      </c>
      <c r="AE138">
        <v>485.37357309828798</v>
      </c>
      <c r="AF138">
        <v>0</v>
      </c>
      <c r="AG138">
        <v>2.98662448596844E-6</v>
      </c>
      <c r="AH138">
        <v>71.031436209031696</v>
      </c>
      <c r="AI138">
        <v>0.36945659557261701</v>
      </c>
      <c r="AJ138">
        <v>9.6536419838261995</v>
      </c>
      <c r="AK138">
        <v>9.3829056901855008</v>
      </c>
      <c r="AL138">
        <v>2.1883527698787102</v>
      </c>
      <c r="AM138">
        <v>634.44823392618298</v>
      </c>
      <c r="AN138">
        <v>-7.8573521022917703E-9</v>
      </c>
      <c r="AO138">
        <v>1.7802932073451699E-7</v>
      </c>
      <c r="AP138">
        <v>2.19530577840146</v>
      </c>
      <c r="AQ138">
        <v>1.8697121675961001E-5</v>
      </c>
      <c r="AR138">
        <v>1.5823269033514801E-6</v>
      </c>
      <c r="AS138">
        <v>5.1145423531135403</v>
      </c>
      <c r="AT138">
        <v>5.1104396193435901</v>
      </c>
      <c r="AU138">
        <v>1.8880856236421</v>
      </c>
      <c r="AV138">
        <v>0.30722015475935199</v>
      </c>
      <c r="AW138">
        <v>2.7698462462928501E-3</v>
      </c>
      <c r="AX138">
        <v>0.30722014808514903</v>
      </c>
      <c r="AY138">
        <v>6.6742025794930304E-9</v>
      </c>
      <c r="AZ138">
        <v>692257.60600924003</v>
      </c>
      <c r="BA138">
        <v>8.5168644203977707E-6</v>
      </c>
      <c r="BB138">
        <v>7530144.0635849703</v>
      </c>
      <c r="BC138">
        <v>-53840.311415029697</v>
      </c>
      <c r="BD138">
        <v>-0.70992118064628396</v>
      </c>
      <c r="BE138">
        <v>3533140.8</v>
      </c>
      <c r="BF138">
        <v>2.1312889833275199</v>
      </c>
      <c r="BG138">
        <v>1</v>
      </c>
      <c r="BH138">
        <v>-0.35099999999999998</v>
      </c>
      <c r="BI138">
        <v>4.5999999999999999E-2</v>
      </c>
      <c r="BJ138">
        <v>5625</v>
      </c>
      <c r="BK138">
        <v>1</v>
      </c>
      <c r="BL138">
        <v>338.18651099654801</v>
      </c>
      <c r="BM138">
        <v>7.5301440635849701</v>
      </c>
      <c r="BN138">
        <v>338.18651099654801</v>
      </c>
      <c r="BO138">
        <v>1</v>
      </c>
      <c r="BP138">
        <v>88915.195340294405</v>
      </c>
      <c r="BQ138">
        <v>1</v>
      </c>
      <c r="BR138">
        <v>0.69596000000000002</v>
      </c>
      <c r="BS138">
        <v>137</v>
      </c>
      <c r="BT138">
        <v>224</v>
      </c>
      <c r="BU138" t="s">
        <v>303</v>
      </c>
      <c r="BV138" t="str">
        <f>"Table "&amp;TRIM(RIGHT(SUBSTITUTE($A138,"_",REPT(" ",50)),50))</f>
        <v>Table 14</v>
      </c>
      <c r="BW138">
        <f>$BR138/$Q138</f>
        <v>365.33333333333337</v>
      </c>
      <c r="BX138" t="str">
        <f>IF($BW138&lt;40,"outside_low",IF($BW138&lt;=100,"short_anchor",IF($BW138&lt;250,"middle",IF($BW138&lt;=400,"long","outside_high"))))</f>
        <v>long</v>
      </c>
      <c r="BY138" t="str">
        <f>IF($N138&gt;1000,"PASS","FAIL")</f>
        <v>PASS</v>
      </c>
      <c r="BZ138" t="str">
        <f>IF(AND($BW138&gt;=40,$BW138&lt;=400),"PASS","FAIL")</f>
        <v>PASS</v>
      </c>
    </row>
    <row r="139" spans="1:78">
      <c r="A139" t="s">
        <v>293</v>
      </c>
      <c r="B139">
        <v>18960582.556212999</v>
      </c>
      <c r="C139">
        <v>634.44823391832597</v>
      </c>
      <c r="D139">
        <v>149.14958101226799</v>
      </c>
      <c r="E139">
        <v>520.38377569771103</v>
      </c>
      <c r="F139">
        <v>2467301.6327637699</v>
      </c>
      <c r="G139">
        <v>1775044.0267545299</v>
      </c>
      <c r="H139">
        <v>2.5972810943896E-5</v>
      </c>
      <c r="I139">
        <v>5.9480773118925399E-5</v>
      </c>
      <c r="J139">
        <v>0.43661798563056398</v>
      </c>
      <c r="K139">
        <v>16063.580349286</v>
      </c>
      <c r="L139">
        <v>1.6624879026359001E-3</v>
      </c>
      <c r="M139">
        <v>224</v>
      </c>
      <c r="N139">
        <v>3783.8816999999999</v>
      </c>
      <c r="O139">
        <v>2.8502295699234199E-6</v>
      </c>
      <c r="P139">
        <v>5.98473400508856E-3</v>
      </c>
      <c r="Q139">
        <v>1.905E-3</v>
      </c>
      <c r="R139">
        <v>0.69596000000000002</v>
      </c>
      <c r="S139">
        <v>7711816.40625</v>
      </c>
      <c r="T139">
        <v>299.58375662661598</v>
      </c>
      <c r="U139">
        <v>484.99073347646299</v>
      </c>
      <c r="V139">
        <v>0.03</v>
      </c>
      <c r="W139">
        <v>121186.96951177499</v>
      </c>
      <c r="X139">
        <v>2.19317029871001E-2</v>
      </c>
      <c r="Y139">
        <v>6.75248801637452</v>
      </c>
      <c r="Z139">
        <v>6.7524880375115002</v>
      </c>
      <c r="AA139">
        <v>-2.1136981942504499E-8</v>
      </c>
      <c r="AB139">
        <v>2.6448802811588901E-6</v>
      </c>
      <c r="AC139">
        <v>785.38105102733198</v>
      </c>
      <c r="AD139">
        <v>3172.61310665873</v>
      </c>
      <c r="AE139">
        <v>484.99073347646299</v>
      </c>
      <c r="AF139">
        <v>0</v>
      </c>
      <c r="AG139">
        <v>2.8221507772346899E-6</v>
      </c>
      <c r="AH139">
        <v>75.428196027419105</v>
      </c>
      <c r="AI139">
        <v>0.38071938180923598</v>
      </c>
      <c r="AJ139">
        <v>9.4000971599180208</v>
      </c>
      <c r="AK139">
        <v>9.2542364852633305</v>
      </c>
      <c r="AL139">
        <v>2.1883527698787102</v>
      </c>
      <c r="AM139">
        <v>634.44823376319096</v>
      </c>
      <c r="AN139">
        <v>1.5513523976551401E-7</v>
      </c>
      <c r="AO139">
        <v>1.7727049607580601E-7</v>
      </c>
      <c r="AP139">
        <v>2.21549903555765</v>
      </c>
      <c r="AQ139">
        <v>1.83578435664475E-5</v>
      </c>
      <c r="AR139">
        <v>1.4997106366552499E-6</v>
      </c>
      <c r="AS139">
        <v>4.9952772934886696</v>
      </c>
      <c r="AT139">
        <v>4.9952772934886696</v>
      </c>
      <c r="AU139">
        <v>1.9017988831427199</v>
      </c>
      <c r="AV139">
        <v>0.31370015241492699</v>
      </c>
      <c r="AW139">
        <v>2.6083900625285599E-3</v>
      </c>
      <c r="AX139">
        <v>0.313700139596159</v>
      </c>
      <c r="AY139">
        <v>1.2818767824995799E-8</v>
      </c>
      <c r="AZ139">
        <v>692257.60600924003</v>
      </c>
      <c r="BA139">
        <v>8.2860986494750803E-6</v>
      </c>
      <c r="BB139">
        <v>7706866.6504258402</v>
      </c>
      <c r="BC139">
        <v>-4949.7558241551696</v>
      </c>
      <c r="BD139">
        <v>-6.4184046447782001E-2</v>
      </c>
      <c r="BE139">
        <v>3564686.7</v>
      </c>
      <c r="BF139">
        <v>2.1620039288237698</v>
      </c>
      <c r="BG139">
        <v>1</v>
      </c>
      <c r="BH139">
        <v>-0.38700000000000001</v>
      </c>
      <c r="BI139">
        <v>4.5999999999999999E-2</v>
      </c>
      <c r="BJ139">
        <v>5625</v>
      </c>
      <c r="BK139">
        <v>1</v>
      </c>
      <c r="BL139">
        <v>334.86447729170999</v>
      </c>
      <c r="BM139">
        <v>7.7068666504258401</v>
      </c>
      <c r="BN139">
        <v>334.86447729170999</v>
      </c>
      <c r="BO139">
        <v>1</v>
      </c>
      <c r="BP139">
        <v>86945.059968513306</v>
      </c>
      <c r="BQ139">
        <v>1</v>
      </c>
      <c r="BR139">
        <v>0.69596000000000002</v>
      </c>
      <c r="BS139">
        <v>138</v>
      </c>
      <c r="BT139">
        <v>225</v>
      </c>
      <c r="BU139" t="s">
        <v>303</v>
      </c>
      <c r="BV139" t="str">
        <f>"Table "&amp;TRIM(RIGHT(SUBSTITUTE($A139,"_",REPT(" ",50)),50))</f>
        <v>Table 14</v>
      </c>
      <c r="BW139">
        <f>$BR139/$Q139</f>
        <v>365.33333333333337</v>
      </c>
      <c r="BX139" t="str">
        <f>IF($BW139&lt;40,"outside_low",IF($BW139&lt;=100,"short_anchor",IF($BW139&lt;250,"middle",IF($BW139&lt;=400,"long","outside_high"))))</f>
        <v>long</v>
      </c>
      <c r="BY139" t="str">
        <f>IF($N139&gt;1000,"PASS","FAIL")</f>
        <v>PASS</v>
      </c>
      <c r="BZ139" t="str">
        <f>IF(AND($BW139&gt;=40,$BW139&lt;=400),"PASS","FAIL")</f>
        <v>PASS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B146-4222-4562-BCE2-D3EAD7F7DF78}">
  <dimension ref="A1:CA139"/>
  <sheetViews>
    <sheetView workbookViewId="0">
      <pane ySplit="1" topLeftCell="A2" activePane="bottomLeft" state="frozen"/>
      <selection pane="bottomLeft"/>
    </sheetView>
  </sheetViews>
  <sheetFormatPr defaultRowHeight="18.75"/>
  <sheetData>
    <row r="1" spans="1:7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294</v>
      </c>
      <c r="BT1" s="9" t="s">
        <v>295</v>
      </c>
      <c r="BU1" s="9" t="s">
        <v>296</v>
      </c>
      <c r="BV1" s="9" t="s">
        <v>297</v>
      </c>
      <c r="BW1" s="9" t="s">
        <v>298</v>
      </c>
      <c r="BX1" s="9" t="s">
        <v>299</v>
      </c>
      <c r="BY1" s="9" t="s">
        <v>300</v>
      </c>
      <c r="BZ1" s="9" t="s">
        <v>301</v>
      </c>
      <c r="CA1" s="9" t="s">
        <v>302</v>
      </c>
    </row>
    <row r="2" spans="1:79">
      <c r="A2" t="s">
        <v>156</v>
      </c>
      <c r="B2">
        <v>10962664.096137701</v>
      </c>
      <c r="C2">
        <v>590.91885773675403</v>
      </c>
      <c r="D2">
        <v>62.329534958311001</v>
      </c>
      <c r="E2">
        <v>672.42409881111701</v>
      </c>
      <c r="F2">
        <v>2706878.8036725</v>
      </c>
      <c r="G2">
        <v>1448743.0254953799</v>
      </c>
      <c r="H2">
        <v>2.0627960844486401E-5</v>
      </c>
      <c r="I2">
        <v>7.9154719957673402E-5</v>
      </c>
      <c r="J2">
        <v>0.52383293111878604</v>
      </c>
      <c r="K2">
        <v>6433.0576498432902</v>
      </c>
      <c r="L2">
        <v>1.0258316120707199E-2</v>
      </c>
      <c r="M2">
        <v>87</v>
      </c>
      <c r="N2">
        <v>1017.17242424647</v>
      </c>
      <c r="O2">
        <v>6.8620353649299505E-5</v>
      </c>
      <c r="P2">
        <v>2.93650948516345E-2</v>
      </c>
      <c r="Q2">
        <v>9.3472E-3</v>
      </c>
      <c r="R2">
        <v>1.524</v>
      </c>
      <c r="S2">
        <v>905400.42570625001</v>
      </c>
      <c r="T2">
        <v>506.55651294115302</v>
      </c>
      <c r="U2">
        <v>596.79506044209495</v>
      </c>
      <c r="V2">
        <v>0.03</v>
      </c>
      <c r="W2">
        <v>120115.567195496</v>
      </c>
      <c r="X2">
        <v>4.1253861327832902E-2</v>
      </c>
      <c r="Y2">
        <v>4.9234292085143698</v>
      </c>
      <c r="Z2">
        <v>4.9234292704113702</v>
      </c>
      <c r="AA2">
        <v>-6.18969977494999E-8</v>
      </c>
      <c r="AB2">
        <v>1.5514465597390599E-4</v>
      </c>
      <c r="AC2">
        <v>634.02654852914395</v>
      </c>
      <c r="AD2">
        <v>4312.7730943669103</v>
      </c>
      <c r="AE2">
        <v>596.79506044209495</v>
      </c>
      <c r="AF2">
        <v>0</v>
      </c>
      <c r="AG2">
        <v>1.5529391988604001E-4</v>
      </c>
      <c r="AH2">
        <v>7.9345171559883498</v>
      </c>
      <c r="AI2">
        <v>0.10862720794115199</v>
      </c>
      <c r="AJ2">
        <v>143.30439905068499</v>
      </c>
      <c r="AK2">
        <v>2.4477829743200101</v>
      </c>
      <c r="AL2">
        <v>0.972078780265621</v>
      </c>
      <c r="AM2">
        <v>590.91885765878396</v>
      </c>
      <c r="AN2">
        <v>7.79701849751291E-8</v>
      </c>
      <c r="AO2">
        <v>1.4926391213418601E-7</v>
      </c>
      <c r="AP2">
        <v>2.0089117577072302</v>
      </c>
      <c r="AQ2">
        <v>2.7998760890436599E-4</v>
      </c>
      <c r="AR2">
        <v>7.7721591899086896E-5</v>
      </c>
      <c r="AS2">
        <v>71.721069495409793</v>
      </c>
      <c r="AT2">
        <v>16.1819614018004</v>
      </c>
      <c r="AU2">
        <v>1.7578012860890599</v>
      </c>
      <c r="AV2">
        <v>0.25111047161816902</v>
      </c>
      <c r="AW2">
        <v>7.8962181485626004E-2</v>
      </c>
      <c r="AX2">
        <v>0.251110466778171</v>
      </c>
      <c r="AY2">
        <v>4.8399979024615902E-9</v>
      </c>
      <c r="AZ2">
        <v>1258135.77817712</v>
      </c>
      <c r="BA2">
        <v>1.3937277624573999E-4</v>
      </c>
      <c r="BB2">
        <v>906040.58403079596</v>
      </c>
      <c r="BC2">
        <v>640.158324545715</v>
      </c>
      <c r="BD2">
        <v>7.0704442627842201E-2</v>
      </c>
      <c r="BE2">
        <v>1462152.81033672</v>
      </c>
      <c r="BF2">
        <v>0.61966203369820405</v>
      </c>
      <c r="BG2">
        <v>1</v>
      </c>
      <c r="BH2">
        <v>0.39500000000000002</v>
      </c>
      <c r="BI2">
        <v>4.5999999999999999E-2</v>
      </c>
      <c r="BJ2">
        <v>5625</v>
      </c>
      <c r="BK2">
        <v>1.0324198728577001</v>
      </c>
      <c r="BL2">
        <v>84.362344795601103</v>
      </c>
      <c r="BM2">
        <v>0.90604058403079601</v>
      </c>
      <c r="BN2">
        <v>84.362344795601103</v>
      </c>
      <c r="BO2">
        <v>1.0324198728577001</v>
      </c>
      <c r="BP2">
        <v>1968.0176357637999</v>
      </c>
      <c r="BQ2">
        <v>1</v>
      </c>
      <c r="BR2">
        <v>1.524</v>
      </c>
      <c r="BS2">
        <v>1</v>
      </c>
      <c r="BT2">
        <v>88</v>
      </c>
      <c r="BU2" t="s">
        <v>304</v>
      </c>
      <c r="BV2" t="str">
        <f>"Table "&amp;TRIM(RIGHT(SUBSTITUTE($A2,"_",REPT(" ",50)),50))</f>
        <v>Table 8</v>
      </c>
      <c r="BW2">
        <f>$BR2/$Q2</f>
        <v>163.04347826086956</v>
      </c>
      <c r="BX2" t="str">
        <f>IF($BW2&lt;40,"outside_low",IF($BW2&lt;=100,"short_anchor",IF($BW2&lt;250,"middle",IF($BW2&lt;=400,"long","outside_high"))))</f>
        <v>middle</v>
      </c>
      <c r="BY2" t="str">
        <f>IF($N2&gt;1000,"PASS","FAIL")</f>
        <v>PASS</v>
      </c>
      <c r="BZ2" t="str">
        <f>IF(AND($BW2&gt;=40,$BW2&lt;=400),"PASS","FAIL")</f>
        <v>PASS</v>
      </c>
    </row>
    <row r="3" spans="1:79">
      <c r="A3" t="s">
        <v>157</v>
      </c>
      <c r="B3">
        <v>10997137.8826035</v>
      </c>
      <c r="C3">
        <v>591.14538588286302</v>
      </c>
      <c r="D3">
        <v>62.591709712512603</v>
      </c>
      <c r="E3">
        <v>671.85012637514706</v>
      </c>
      <c r="F3">
        <v>2706154.0000695102</v>
      </c>
      <c r="G3">
        <v>1450155.2183028101</v>
      </c>
      <c r="H3">
        <v>2.0644130954317801E-5</v>
      </c>
      <c r="I3">
        <v>7.9067733661598901E-5</v>
      </c>
      <c r="J3">
        <v>0.52342986170916905</v>
      </c>
      <c r="K3">
        <v>6446.0268474749801</v>
      </c>
      <c r="L3">
        <v>1.0209472461236E-2</v>
      </c>
      <c r="M3">
        <v>88</v>
      </c>
      <c r="N3">
        <v>1017.17242424647</v>
      </c>
      <c r="O3">
        <v>6.8620353649299505E-5</v>
      </c>
      <c r="P3">
        <v>2.93650948516345E-2</v>
      </c>
      <c r="Q3">
        <v>9.3472E-3</v>
      </c>
      <c r="R3">
        <v>1.524</v>
      </c>
      <c r="S3">
        <v>1233468.4273437499</v>
      </c>
      <c r="T3">
        <v>451.88649460669899</v>
      </c>
      <c r="U3">
        <v>574.575253349077</v>
      </c>
      <c r="V3">
        <v>0.03</v>
      </c>
      <c r="W3">
        <v>120247.712228715</v>
      </c>
      <c r="X3">
        <v>4.1194604914599801E-2</v>
      </c>
      <c r="Y3">
        <v>4.9269689914128501</v>
      </c>
      <c r="Z3">
        <v>4.9269690481970603</v>
      </c>
      <c r="AA3">
        <v>-5.6784205781923401E-8</v>
      </c>
      <c r="AB3">
        <v>1.5449607142591001E-4</v>
      </c>
      <c r="AC3">
        <v>655.08322729794702</v>
      </c>
      <c r="AD3">
        <v>4314.4158653772101</v>
      </c>
      <c r="AE3">
        <v>574.575253349077</v>
      </c>
      <c r="AF3">
        <v>0</v>
      </c>
      <c r="AG3">
        <v>1.54697947971849E-4</v>
      </c>
      <c r="AH3">
        <v>7.9298889870856897</v>
      </c>
      <c r="AI3">
        <v>0.108641899987035</v>
      </c>
      <c r="AJ3">
        <v>142.80881570332201</v>
      </c>
      <c r="AK3">
        <v>3.6292378410290702</v>
      </c>
      <c r="AL3">
        <v>0.97371734254408104</v>
      </c>
      <c r="AM3">
        <v>591.14538579556199</v>
      </c>
      <c r="AN3">
        <v>8.7300122686428896E-8</v>
      </c>
      <c r="AO3">
        <v>2.01876545939558E-7</v>
      </c>
      <c r="AP3">
        <v>2.0076372675504</v>
      </c>
      <c r="AQ3">
        <v>2.7795907806864003E-4</v>
      </c>
      <c r="AR3">
        <v>7.7449912258894399E-5</v>
      </c>
      <c r="AS3">
        <v>71.497588630145302</v>
      </c>
      <c r="AT3">
        <v>16.174159309196799</v>
      </c>
      <c r="AU3">
        <v>1.75719139804414</v>
      </c>
      <c r="AV3">
        <v>0.25044586950626702</v>
      </c>
      <c r="AW3">
        <v>7.8765917651280604E-2</v>
      </c>
      <c r="AX3">
        <v>0.25044586496319998</v>
      </c>
      <c r="AY3">
        <v>4.5430674777691097E-9</v>
      </c>
      <c r="AZ3">
        <v>1255998.7817667101</v>
      </c>
      <c r="BA3">
        <v>1.3845084595774001E-4</v>
      </c>
      <c r="BB3">
        <v>1230415.7256399801</v>
      </c>
      <c r="BC3">
        <v>-3052.7017037691498</v>
      </c>
      <c r="BD3">
        <v>-0.247489245455847</v>
      </c>
      <c r="BE3">
        <v>1810104.16951718</v>
      </c>
      <c r="BF3">
        <v>0.67974857268472999</v>
      </c>
      <c r="BG3">
        <v>1</v>
      </c>
      <c r="BH3">
        <v>0.378</v>
      </c>
      <c r="BI3">
        <v>4.5999999999999999E-2</v>
      </c>
      <c r="BJ3">
        <v>5625</v>
      </c>
      <c r="BK3">
        <v>1.00798142133748</v>
      </c>
      <c r="BL3">
        <v>139.25889127616401</v>
      </c>
      <c r="BM3">
        <v>1.2304157256399799</v>
      </c>
      <c r="BN3">
        <v>139.25889127616401</v>
      </c>
      <c r="BO3">
        <v>1.00798142133748</v>
      </c>
      <c r="BP3">
        <v>9852.3274973732605</v>
      </c>
      <c r="BQ3">
        <v>1</v>
      </c>
      <c r="BR3">
        <v>1.524</v>
      </c>
      <c r="BS3">
        <v>2</v>
      </c>
      <c r="BT3">
        <v>89</v>
      </c>
      <c r="BU3" t="s">
        <v>304</v>
      </c>
      <c r="BV3" t="str">
        <f>"Table "&amp;TRIM(RIGHT(SUBSTITUTE($A3,"_",REPT(" ",50)),50))</f>
        <v>Table 8</v>
      </c>
      <c r="BW3">
        <f>$BR3/$Q3</f>
        <v>163.04347826086956</v>
      </c>
      <c r="BX3" t="str">
        <f>IF($BW3&lt;40,"outside_low",IF($BW3&lt;=100,"short_anchor",IF($BW3&lt;250,"middle",IF($BW3&lt;=400,"long","outside_high"))))</f>
        <v>middle</v>
      </c>
      <c r="BY3" t="str">
        <f>IF($N3&gt;1000,"PASS","FAIL")</f>
        <v>PASS</v>
      </c>
      <c r="BZ3" t="str">
        <f>IF(AND($BW3&gt;=40,$BW3&lt;=400),"PASS","FAIL")</f>
        <v>PASS</v>
      </c>
    </row>
    <row r="4" spans="1:79">
      <c r="A4" t="s">
        <v>158</v>
      </c>
      <c r="B4">
        <v>10997137.8826035</v>
      </c>
      <c r="C4">
        <v>591.14538588286302</v>
      </c>
      <c r="D4">
        <v>62.591709712512603</v>
      </c>
      <c r="E4">
        <v>671.85012637514706</v>
      </c>
      <c r="F4">
        <v>2706154.0000695102</v>
      </c>
      <c r="G4">
        <v>1450155.2183028101</v>
      </c>
      <c r="H4">
        <v>2.0644130954317801E-5</v>
      </c>
      <c r="I4">
        <v>7.9067733661598901E-5</v>
      </c>
      <c r="J4">
        <v>0.52342986170916905</v>
      </c>
      <c r="K4">
        <v>6446.0268474749801</v>
      </c>
      <c r="L4">
        <v>1.0209472461236E-2</v>
      </c>
      <c r="M4">
        <v>89</v>
      </c>
      <c r="N4">
        <v>1017.17242424647</v>
      </c>
      <c r="O4">
        <v>6.8620353649299505E-5</v>
      </c>
      <c r="P4">
        <v>2.93650948516345E-2</v>
      </c>
      <c r="Q4">
        <v>9.3472E-3</v>
      </c>
      <c r="R4">
        <v>1.524</v>
      </c>
      <c r="S4">
        <v>1233468.4273437499</v>
      </c>
      <c r="T4">
        <v>451.88649460669899</v>
      </c>
      <c r="U4">
        <v>574.575253349077</v>
      </c>
      <c r="V4">
        <v>0.03</v>
      </c>
      <c r="W4">
        <v>120247.712228715</v>
      </c>
      <c r="X4">
        <v>4.1194604914599801E-2</v>
      </c>
      <c r="Y4">
        <v>4.9269689914128501</v>
      </c>
      <c r="Z4">
        <v>4.9269690481970603</v>
      </c>
      <c r="AA4">
        <v>-5.6784205781923401E-8</v>
      </c>
      <c r="AB4">
        <v>1.5449607142591001E-4</v>
      </c>
      <c r="AC4">
        <v>655.08322729794702</v>
      </c>
      <c r="AD4">
        <v>4314.4158653772101</v>
      </c>
      <c r="AE4">
        <v>574.575253349077</v>
      </c>
      <c r="AF4">
        <v>0</v>
      </c>
      <c r="AG4">
        <v>1.54697947971849E-4</v>
      </c>
      <c r="AH4">
        <v>7.9298889870856897</v>
      </c>
      <c r="AI4">
        <v>0.108641899987035</v>
      </c>
      <c r="AJ4">
        <v>142.80881570332201</v>
      </c>
      <c r="AK4">
        <v>3.6292378410290702</v>
      </c>
      <c r="AL4">
        <v>0.97371734254408104</v>
      </c>
      <c r="AM4">
        <v>591.14538579556199</v>
      </c>
      <c r="AN4">
        <v>8.7300122686428896E-8</v>
      </c>
      <c r="AO4">
        <v>2.01876545939558E-7</v>
      </c>
      <c r="AP4">
        <v>2.0076372675504</v>
      </c>
      <c r="AQ4">
        <v>2.7795907806864003E-4</v>
      </c>
      <c r="AR4">
        <v>7.7449912258894399E-5</v>
      </c>
      <c r="AS4">
        <v>71.497588630145302</v>
      </c>
      <c r="AT4">
        <v>16.174159309196799</v>
      </c>
      <c r="AU4">
        <v>1.75719139804414</v>
      </c>
      <c r="AV4">
        <v>0.25044586950626702</v>
      </c>
      <c r="AW4">
        <v>7.8765917651280604E-2</v>
      </c>
      <c r="AX4">
        <v>0.25044586496319998</v>
      </c>
      <c r="AY4">
        <v>4.5430674777691097E-9</v>
      </c>
      <c r="AZ4">
        <v>1255998.7817667101</v>
      </c>
      <c r="BA4">
        <v>1.3845084595774001E-4</v>
      </c>
      <c r="BB4">
        <v>1230415.7256399801</v>
      </c>
      <c r="BC4">
        <v>-3052.7017037691498</v>
      </c>
      <c r="BD4">
        <v>-0.247489245455847</v>
      </c>
      <c r="BE4">
        <v>1810104.16951718</v>
      </c>
      <c r="BF4">
        <v>0.67974857268472999</v>
      </c>
      <c r="BG4">
        <v>1</v>
      </c>
      <c r="BH4">
        <v>0.378</v>
      </c>
      <c r="BI4">
        <v>4.5999999999999999E-2</v>
      </c>
      <c r="BJ4">
        <v>5625</v>
      </c>
      <c r="BK4">
        <v>1.00798142133748</v>
      </c>
      <c r="BL4">
        <v>139.25889127616401</v>
      </c>
      <c r="BM4">
        <v>1.2304157256399799</v>
      </c>
      <c r="BN4">
        <v>139.25889127616401</v>
      </c>
      <c r="BO4">
        <v>1.00798142133748</v>
      </c>
      <c r="BP4">
        <v>9852.3274973732605</v>
      </c>
      <c r="BQ4">
        <v>1</v>
      </c>
      <c r="BR4">
        <v>1.524</v>
      </c>
      <c r="BS4">
        <v>3</v>
      </c>
      <c r="BT4">
        <v>90</v>
      </c>
      <c r="BU4" t="s">
        <v>304</v>
      </c>
      <c r="BV4" t="str">
        <f>"Table "&amp;TRIM(RIGHT(SUBSTITUTE($A4,"_",REPT(" ",50)),50))</f>
        <v>Table 8</v>
      </c>
      <c r="BW4">
        <f>$BR4/$Q4</f>
        <v>163.04347826086956</v>
      </c>
      <c r="BX4" t="str">
        <f>IF($BW4&lt;40,"outside_low",IF($BW4&lt;=100,"short_anchor",IF($BW4&lt;250,"middle",IF($BW4&lt;=400,"long","outside_high"))))</f>
        <v>middle</v>
      </c>
      <c r="BY4" t="str">
        <f>IF($N4&gt;1000,"PASS","FAIL")</f>
        <v>PASS</v>
      </c>
      <c r="BZ4" t="str">
        <f>IF(AND($BW4&gt;=40,$BW4&lt;=400),"PASS","FAIL")</f>
        <v>PASS</v>
      </c>
    </row>
    <row r="5" spans="1:79">
      <c r="A5" t="s">
        <v>159</v>
      </c>
      <c r="B5">
        <v>11066085.455535199</v>
      </c>
      <c r="C5">
        <v>591.59844217507998</v>
      </c>
      <c r="D5">
        <v>63.116059220916597</v>
      </c>
      <c r="E5">
        <v>670.70218150320602</v>
      </c>
      <c r="F5">
        <v>2704704.39286354</v>
      </c>
      <c r="G5">
        <v>1452979.60391767</v>
      </c>
      <c r="H5">
        <v>2.06764711739806E-5</v>
      </c>
      <c r="I5">
        <v>7.8893761069449804E-5</v>
      </c>
      <c r="J5">
        <v>0.52262372288993397</v>
      </c>
      <c r="K5">
        <v>6471.9652427383999</v>
      </c>
      <c r="L5">
        <v>1.01117851422936E-2</v>
      </c>
      <c r="M5">
        <v>90</v>
      </c>
      <c r="N5">
        <v>1017.17242424647</v>
      </c>
      <c r="O5">
        <v>6.8620353649299505E-5</v>
      </c>
      <c r="P5">
        <v>2.93650948516345E-2</v>
      </c>
      <c r="Q5">
        <v>9.3472E-3</v>
      </c>
      <c r="R5">
        <v>1.524</v>
      </c>
      <c r="S5">
        <v>908266.83954375004</v>
      </c>
      <c r="T5">
        <v>507.48014958658098</v>
      </c>
      <c r="U5">
        <v>597.46017831479401</v>
      </c>
      <c r="V5">
        <v>0.03</v>
      </c>
      <c r="W5">
        <v>120512.876494087</v>
      </c>
      <c r="X5">
        <v>4.1075713965040901E-2</v>
      </c>
      <c r="Y5">
        <v>4.9340942329244299</v>
      </c>
      <c r="Z5">
        <v>4.9340942800857697</v>
      </c>
      <c r="AA5">
        <v>-4.7161330840594902E-8</v>
      </c>
      <c r="AB5">
        <v>1.5319849834416501E-4</v>
      </c>
      <c r="AC5">
        <v>634.87604227138604</v>
      </c>
      <c r="AD5">
        <v>4317.6856869005596</v>
      </c>
      <c r="AE5">
        <v>597.46017831479401</v>
      </c>
      <c r="AF5">
        <v>0</v>
      </c>
      <c r="AG5">
        <v>1.5334667578599401E-4</v>
      </c>
      <c r="AH5">
        <v>7.9205359725475999</v>
      </c>
      <c r="AI5">
        <v>0.108670690327047</v>
      </c>
      <c r="AJ5">
        <v>141.66868092583201</v>
      </c>
      <c r="AK5">
        <v>2.4550951468357298</v>
      </c>
      <c r="AL5">
        <v>0.976989097790955</v>
      </c>
      <c r="AM5">
        <v>591.59844215047406</v>
      </c>
      <c r="AN5">
        <v>2.4605583348602499E-8</v>
      </c>
      <c r="AO5">
        <v>1.4817744182948499E-7</v>
      </c>
      <c r="AP5">
        <v>2.00457431526277</v>
      </c>
      <c r="AQ5">
        <v>2.7408311886045002E-4</v>
      </c>
      <c r="AR5">
        <v>7.6747426613911897E-5</v>
      </c>
      <c r="AS5">
        <v>70.902787015863296</v>
      </c>
      <c r="AT5">
        <v>16.1532743546875</v>
      </c>
      <c r="AU5">
        <v>1.7553874751660801</v>
      </c>
      <c r="AV5">
        <v>0.24918684009669401</v>
      </c>
      <c r="AW5">
        <v>7.8372967922635497E-2</v>
      </c>
      <c r="AX5">
        <v>0.249186836214593</v>
      </c>
      <c r="AY5">
        <v>3.8821009185063798E-9</v>
      </c>
      <c r="AZ5">
        <v>1251724.78894587</v>
      </c>
      <c r="BA5">
        <v>1.36728839022624E-4</v>
      </c>
      <c r="BB5">
        <v>909830.59850489302</v>
      </c>
      <c r="BC5">
        <v>1563.75896114274</v>
      </c>
      <c r="BD5">
        <v>0.172169553380179</v>
      </c>
      <c r="BE5">
        <v>1463730.1057092501</v>
      </c>
      <c r="BF5">
        <v>0.62158357948375598</v>
      </c>
      <c r="BG5">
        <v>1</v>
      </c>
      <c r="BH5">
        <v>0.39800000000000002</v>
      </c>
      <c r="BI5">
        <v>4.5999999999999999E-2</v>
      </c>
      <c r="BJ5">
        <v>5625</v>
      </c>
      <c r="BK5">
        <v>1.0325445691783</v>
      </c>
      <c r="BL5">
        <v>84.118292588498903</v>
      </c>
      <c r="BM5">
        <v>0.90983059850489301</v>
      </c>
      <c r="BN5">
        <v>84.118292588498903</v>
      </c>
      <c r="BO5">
        <v>1.0325445691783</v>
      </c>
      <c r="BP5">
        <v>1946.4237409243999</v>
      </c>
      <c r="BQ5">
        <v>1</v>
      </c>
      <c r="BR5">
        <v>1.524</v>
      </c>
      <c r="BS5">
        <v>4</v>
      </c>
      <c r="BT5">
        <v>91</v>
      </c>
      <c r="BU5" t="s">
        <v>304</v>
      </c>
      <c r="BV5" t="str">
        <f>"Table "&amp;TRIM(RIGHT(SUBSTITUTE($A5,"_",REPT(" ",50)),50))</f>
        <v>Table 8</v>
      </c>
      <c r="BW5">
        <f>$BR5/$Q5</f>
        <v>163.04347826086956</v>
      </c>
      <c r="BX5" t="str">
        <f>IF($BW5&lt;40,"outside_low",IF($BW5&lt;=100,"short_anchor",IF($BW5&lt;250,"middle",IF($BW5&lt;=400,"long","outside_high"))))</f>
        <v>middle</v>
      </c>
      <c r="BY5" t="str">
        <f>IF($N5&gt;1000,"PASS","FAIL")</f>
        <v>PASS</v>
      </c>
      <c r="BZ5" t="str">
        <f>IF(AND($BW5&gt;=40,$BW5&lt;=400),"PASS","FAIL")</f>
        <v>PASS</v>
      </c>
    </row>
    <row r="6" spans="1:79">
      <c r="A6" t="s">
        <v>160</v>
      </c>
      <c r="B6">
        <v>11100559.2420011</v>
      </c>
      <c r="C6">
        <v>591.82497032118897</v>
      </c>
      <c r="D6">
        <v>63.378233975119002</v>
      </c>
      <c r="E6">
        <v>670.12820906723402</v>
      </c>
      <c r="F6">
        <v>2703979.5892605502</v>
      </c>
      <c r="G6">
        <v>1454391.7967250999</v>
      </c>
      <c r="H6">
        <v>2.0692641283812099E-5</v>
      </c>
      <c r="I6">
        <v>7.8806774773375099E-5</v>
      </c>
      <c r="J6">
        <v>0.52222065348031699</v>
      </c>
      <c r="K6">
        <v>6484.9344403701298</v>
      </c>
      <c r="L6">
        <v>1.00629414828223E-2</v>
      </c>
      <c r="M6">
        <v>91</v>
      </c>
      <c r="N6">
        <v>1017.17242424647</v>
      </c>
      <c r="O6">
        <v>6.8620353649299505E-5</v>
      </c>
      <c r="P6">
        <v>2.93650948516345E-2</v>
      </c>
      <c r="Q6">
        <v>9.3472E-3</v>
      </c>
      <c r="R6">
        <v>1.524</v>
      </c>
      <c r="S6">
        <v>497549.74621875002</v>
      </c>
      <c r="T6">
        <v>563.20065007780795</v>
      </c>
      <c r="U6">
        <v>612.39324862522994</v>
      </c>
      <c r="V6">
        <v>0.03</v>
      </c>
      <c r="W6">
        <v>120645.89765610899</v>
      </c>
      <c r="X6">
        <v>4.1016077268350097E-2</v>
      </c>
      <c r="Y6">
        <v>4.9376799756223502</v>
      </c>
      <c r="Z6">
        <v>4.9376800182882796</v>
      </c>
      <c r="AA6">
        <v>-4.2665931232477299E-8</v>
      </c>
      <c r="AB6">
        <v>1.5254950471217199E-4</v>
      </c>
      <c r="AC6">
        <v>612.10864184345905</v>
      </c>
      <c r="AD6">
        <v>4319.3125504361997</v>
      </c>
      <c r="AE6">
        <v>612.39324875175896</v>
      </c>
      <c r="AF6">
        <v>1.26529585031676E-7</v>
      </c>
      <c r="AG6">
        <v>1.52629735044912E-4</v>
      </c>
      <c r="AH6">
        <v>7.91581054436769</v>
      </c>
      <c r="AI6">
        <v>0.10868478377249099</v>
      </c>
      <c r="AJ6">
        <v>141.05946810793401</v>
      </c>
      <c r="AK6">
        <v>1.1503902166025901</v>
      </c>
      <c r="AL6">
        <v>0.9786222824709</v>
      </c>
      <c r="AM6">
        <v>591.82497026575197</v>
      </c>
      <c r="AN6">
        <v>5.5437340051867101E-8</v>
      </c>
      <c r="AO6">
        <v>8.0230332740279702E-8</v>
      </c>
      <c r="AP6">
        <v>2.0029021997362002</v>
      </c>
      <c r="AQ6">
        <v>2.7220194750065798E-4</v>
      </c>
      <c r="AR6">
        <v>7.6354982688826194E-5</v>
      </c>
      <c r="AS6">
        <v>70.566808245503594</v>
      </c>
      <c r="AT6">
        <v>16.1413997394598</v>
      </c>
      <c r="AU6">
        <v>1.7543245404685299</v>
      </c>
      <c r="AV6">
        <v>0.24857765926766701</v>
      </c>
      <c r="AW6">
        <v>7.8176278185764697E-2</v>
      </c>
      <c r="AX6">
        <v>0.248577655725153</v>
      </c>
      <c r="AY6">
        <v>3.54251464274036E-9</v>
      </c>
      <c r="AZ6">
        <v>1249587.7925354501</v>
      </c>
      <c r="BA6">
        <v>1.3590376381658099E-4</v>
      </c>
      <c r="BB6">
        <v>494346.86303151498</v>
      </c>
      <c r="BC6">
        <v>-3202.8831872348101</v>
      </c>
      <c r="BD6">
        <v>-0.64373124729253695</v>
      </c>
      <c r="BE6">
        <v>1117356.04190133</v>
      </c>
      <c r="BF6">
        <v>0.442425551474459</v>
      </c>
      <c r="BG6">
        <v>1</v>
      </c>
      <c r="BH6">
        <v>0.44</v>
      </c>
      <c r="BI6">
        <v>4.5999999999999999E-2</v>
      </c>
      <c r="BJ6">
        <v>5625</v>
      </c>
      <c r="BK6">
        <v>1.0449538257886899</v>
      </c>
      <c r="BL6">
        <v>28.6243202433809</v>
      </c>
      <c r="BM6">
        <v>0.49434686303151498</v>
      </c>
      <c r="BN6">
        <v>28.6243202433809</v>
      </c>
      <c r="BO6">
        <v>1.0449538257886899</v>
      </c>
      <c r="BP6">
        <v>129.406089925153</v>
      </c>
      <c r="BQ6">
        <v>1</v>
      </c>
      <c r="BR6">
        <v>1.524</v>
      </c>
      <c r="BS6">
        <v>5</v>
      </c>
      <c r="BT6">
        <v>92</v>
      </c>
      <c r="BU6" t="s">
        <v>304</v>
      </c>
      <c r="BV6" t="str">
        <f>"Table "&amp;TRIM(RIGHT(SUBSTITUTE($A6,"_",REPT(" ",50)),50))</f>
        <v>Table 8</v>
      </c>
      <c r="BW6">
        <f>$BR6/$Q6</f>
        <v>163.04347826086956</v>
      </c>
      <c r="BX6" t="str">
        <f>IF($BW6&lt;40,"outside_low",IF($BW6&lt;=100,"short_anchor",IF($BW6&lt;250,"middle",IF($BW6&lt;=400,"long","outside_high"))))</f>
        <v>middle</v>
      </c>
      <c r="BY6" t="str">
        <f>IF($N6&gt;1000,"PASS","FAIL")</f>
        <v>PASS</v>
      </c>
      <c r="BZ6" t="str">
        <f>IF(AND($BW6&gt;=40,$BW6&lt;=400),"PASS","FAIL")</f>
        <v>PASS</v>
      </c>
    </row>
    <row r="7" spans="1:79">
      <c r="A7" t="s">
        <v>161</v>
      </c>
      <c r="B7">
        <v>11100559.2420011</v>
      </c>
      <c r="C7">
        <v>591.82497032118897</v>
      </c>
      <c r="D7">
        <v>63.378233975119002</v>
      </c>
      <c r="E7">
        <v>670.12820906723402</v>
      </c>
      <c r="F7">
        <v>2703979.5892605502</v>
      </c>
      <c r="G7">
        <v>1454391.7967250999</v>
      </c>
      <c r="H7">
        <v>2.0692641283812099E-5</v>
      </c>
      <c r="I7">
        <v>7.8806774773375099E-5</v>
      </c>
      <c r="J7">
        <v>0.52222065348031699</v>
      </c>
      <c r="K7">
        <v>6484.9344403701298</v>
      </c>
      <c r="L7">
        <v>1.00629414828223E-2</v>
      </c>
      <c r="M7">
        <v>92</v>
      </c>
      <c r="N7">
        <v>1017.17242424647</v>
      </c>
      <c r="O7">
        <v>6.8620353649299505E-5</v>
      </c>
      <c r="P7">
        <v>2.93650948516345E-2</v>
      </c>
      <c r="Q7">
        <v>9.3472E-3</v>
      </c>
      <c r="R7">
        <v>1.524</v>
      </c>
      <c r="S7">
        <v>497549.74621875002</v>
      </c>
      <c r="T7">
        <v>563.20065007780795</v>
      </c>
      <c r="U7">
        <v>612.39324862522994</v>
      </c>
      <c r="V7">
        <v>0.03</v>
      </c>
      <c r="W7">
        <v>120645.89765610899</v>
      </c>
      <c r="X7">
        <v>4.1016077268350097E-2</v>
      </c>
      <c r="Y7">
        <v>4.9376799756223502</v>
      </c>
      <c r="Z7">
        <v>4.9376800182882796</v>
      </c>
      <c r="AA7">
        <v>-4.2665931232477299E-8</v>
      </c>
      <c r="AB7">
        <v>1.5254950471217199E-4</v>
      </c>
      <c r="AC7">
        <v>612.10864184345905</v>
      </c>
      <c r="AD7">
        <v>4319.3125504361997</v>
      </c>
      <c r="AE7">
        <v>612.39324875175896</v>
      </c>
      <c r="AF7">
        <v>1.26529585031676E-7</v>
      </c>
      <c r="AG7">
        <v>1.52629735044912E-4</v>
      </c>
      <c r="AH7">
        <v>7.91581054436769</v>
      </c>
      <c r="AI7">
        <v>0.10868478377249099</v>
      </c>
      <c r="AJ7">
        <v>141.05946810793401</v>
      </c>
      <c r="AK7">
        <v>1.1503902166025901</v>
      </c>
      <c r="AL7">
        <v>0.9786222824709</v>
      </c>
      <c r="AM7">
        <v>591.82497026575197</v>
      </c>
      <c r="AN7">
        <v>5.5437340051867101E-8</v>
      </c>
      <c r="AO7">
        <v>8.0230332740279702E-8</v>
      </c>
      <c r="AP7">
        <v>2.0029021997362002</v>
      </c>
      <c r="AQ7">
        <v>2.7220194750065798E-4</v>
      </c>
      <c r="AR7">
        <v>7.6354982688826194E-5</v>
      </c>
      <c r="AS7">
        <v>70.566808245503594</v>
      </c>
      <c r="AT7">
        <v>16.1413997394598</v>
      </c>
      <c r="AU7">
        <v>1.7543245404685299</v>
      </c>
      <c r="AV7">
        <v>0.24857765926766701</v>
      </c>
      <c r="AW7">
        <v>7.8176278185764697E-2</v>
      </c>
      <c r="AX7">
        <v>0.248577655725153</v>
      </c>
      <c r="AY7">
        <v>3.54251464274036E-9</v>
      </c>
      <c r="AZ7">
        <v>1249587.7925354501</v>
      </c>
      <c r="BA7">
        <v>1.3590376381658099E-4</v>
      </c>
      <c r="BB7">
        <v>494346.86303151498</v>
      </c>
      <c r="BC7">
        <v>-3202.8831872348101</v>
      </c>
      <c r="BD7">
        <v>-0.64373124729253695</v>
      </c>
      <c r="BE7">
        <v>1123980.68246596</v>
      </c>
      <c r="BF7">
        <v>0.439817935257519</v>
      </c>
      <c r="BG7">
        <v>1</v>
      </c>
      <c r="BH7">
        <v>0.44400000000000001</v>
      </c>
      <c r="BI7">
        <v>4.5999999999999999E-2</v>
      </c>
      <c r="BJ7">
        <v>5625</v>
      </c>
      <c r="BK7">
        <v>1.0449538257886899</v>
      </c>
      <c r="BL7">
        <v>28.6243202433809</v>
      </c>
      <c r="BM7">
        <v>0.49434686303151498</v>
      </c>
      <c r="BN7">
        <v>28.6243202433809</v>
      </c>
      <c r="BO7">
        <v>1.0449538257886899</v>
      </c>
      <c r="BP7">
        <v>129.406089925153</v>
      </c>
      <c r="BQ7">
        <v>1</v>
      </c>
      <c r="BR7">
        <v>1.524</v>
      </c>
      <c r="BS7">
        <v>6</v>
      </c>
      <c r="BT7">
        <v>93</v>
      </c>
      <c r="BU7" t="s">
        <v>304</v>
      </c>
      <c r="BV7" t="str">
        <f>"Table "&amp;TRIM(RIGHT(SUBSTITUTE($A7,"_",REPT(" ",50)),50))</f>
        <v>Table 8</v>
      </c>
      <c r="BW7">
        <f>$BR7/$Q7</f>
        <v>163.04347826086956</v>
      </c>
      <c r="BX7" t="str">
        <f>IF($BW7&lt;40,"outside_low",IF($BW7&lt;=100,"short_anchor",IF($BW7&lt;250,"middle",IF($BW7&lt;=400,"long","outside_high"))))</f>
        <v>middle</v>
      </c>
      <c r="BY7" t="str">
        <f>IF($N7&gt;1000,"PASS","FAIL")</f>
        <v>PASS</v>
      </c>
      <c r="BZ7" t="str">
        <f>IF(AND($BW7&gt;=40,$BW7&lt;=400),"PASS","FAIL")</f>
        <v>PASS</v>
      </c>
    </row>
    <row r="8" spans="1:79">
      <c r="A8" t="s">
        <v>162</v>
      </c>
      <c r="B8">
        <v>10997137.8826035</v>
      </c>
      <c r="C8">
        <v>591.14538588286302</v>
      </c>
      <c r="D8">
        <v>62.591709712512603</v>
      </c>
      <c r="E8">
        <v>671.85012637514706</v>
      </c>
      <c r="F8">
        <v>2706154.0000695102</v>
      </c>
      <c r="G8">
        <v>1450155.2183028101</v>
      </c>
      <c r="H8">
        <v>2.0644130954317801E-5</v>
      </c>
      <c r="I8">
        <v>7.9067733661598901E-5</v>
      </c>
      <c r="J8">
        <v>0.52342986170916905</v>
      </c>
      <c r="K8">
        <v>6446.0268474749801</v>
      </c>
      <c r="L8">
        <v>1.0209472461236E-2</v>
      </c>
      <c r="M8">
        <v>93</v>
      </c>
      <c r="N8">
        <v>2034.3448484929399</v>
      </c>
      <c r="O8">
        <v>6.8620353649299505E-5</v>
      </c>
      <c r="P8">
        <v>2.93650948516345E-2</v>
      </c>
      <c r="Q8">
        <v>9.3472E-3</v>
      </c>
      <c r="R8">
        <v>1.524</v>
      </c>
      <c r="S8">
        <v>1634789.25171875</v>
      </c>
      <c r="T8">
        <v>508.01717724928898</v>
      </c>
      <c r="U8">
        <v>589.32054085895902</v>
      </c>
      <c r="V8">
        <v>0.03</v>
      </c>
      <c r="W8">
        <v>240495.42445742901</v>
      </c>
      <c r="X8">
        <v>2.9492300038704899E-2</v>
      </c>
      <c r="Y8">
        <v>5.8229850920735604</v>
      </c>
      <c r="Z8">
        <v>5.8229851049200798</v>
      </c>
      <c r="AA8">
        <v>-1.28465176274517E-8</v>
      </c>
      <c r="AB8">
        <v>5.3949714119411298E-5</v>
      </c>
      <c r="AC8">
        <v>634.120960308897</v>
      </c>
      <c r="AD8">
        <v>7301.0639212210599</v>
      </c>
      <c r="AE8">
        <v>589.32054121144495</v>
      </c>
      <c r="AF8">
        <v>3.5248592666903299E-7</v>
      </c>
      <c r="AG8">
        <v>5.4028752041715799E-5</v>
      </c>
      <c r="AH8">
        <v>22.708863528667301</v>
      </c>
      <c r="AI8">
        <v>0.18384909593292001</v>
      </c>
      <c r="AJ8">
        <v>84.403323399599799</v>
      </c>
      <c r="AK8">
        <v>2.63610499095924</v>
      </c>
      <c r="AL8">
        <v>0.97371734254408104</v>
      </c>
      <c r="AM8">
        <v>591.14538576440498</v>
      </c>
      <c r="AN8">
        <v>1.18458046927117E-7</v>
      </c>
      <c r="AO8">
        <v>7.9037922304426703E-8</v>
      </c>
      <c r="AP8">
        <v>3.0142444968106399</v>
      </c>
      <c r="AQ8">
        <v>1.2330889526139801E-4</v>
      </c>
      <c r="AR8">
        <v>2.7053894982010099E-5</v>
      </c>
      <c r="AS8">
        <v>42.263397933425502</v>
      </c>
      <c r="AT8">
        <v>14.8598035359612</v>
      </c>
      <c r="AU8">
        <v>2.7319614458272801</v>
      </c>
      <c r="AV8">
        <v>0.28228305098336498</v>
      </c>
      <c r="AW8">
        <v>2.7504898347383101E-2</v>
      </c>
      <c r="AX8">
        <v>0.282283038902852</v>
      </c>
      <c r="AY8">
        <v>1.20805124792511E-8</v>
      </c>
      <c r="AZ8">
        <v>1255998.7817667101</v>
      </c>
      <c r="BA8">
        <v>4.0908723692411399E-5</v>
      </c>
      <c r="BB8">
        <v>1630351.34634482</v>
      </c>
      <c r="BC8">
        <v>-4437.9053739297697</v>
      </c>
      <c r="BD8">
        <v>-0.271466512840352</v>
      </c>
      <c r="BE8">
        <v>1988969.46476225</v>
      </c>
      <c r="BF8">
        <v>0.819696518840073</v>
      </c>
      <c r="BG8">
        <v>1</v>
      </c>
      <c r="BH8">
        <v>0.151</v>
      </c>
      <c r="BI8">
        <v>4.5999999999999999E-2</v>
      </c>
      <c r="BJ8">
        <v>5625</v>
      </c>
      <c r="BK8">
        <v>1.03304820309764</v>
      </c>
      <c r="BL8">
        <v>83.128208633573607</v>
      </c>
      <c r="BM8">
        <v>1.63035134634482</v>
      </c>
      <c r="BN8">
        <v>83.128208633573607</v>
      </c>
      <c r="BO8">
        <v>1.03304820309764</v>
      </c>
      <c r="BP8">
        <v>1860.0423799410501</v>
      </c>
      <c r="BQ8">
        <v>1</v>
      </c>
      <c r="BR8">
        <v>1.524</v>
      </c>
      <c r="BS8">
        <v>7</v>
      </c>
      <c r="BT8">
        <v>94</v>
      </c>
      <c r="BU8" t="s">
        <v>304</v>
      </c>
      <c r="BV8" t="str">
        <f>"Table "&amp;TRIM(RIGHT(SUBSTITUTE($A8,"_",REPT(" ",50)),50))</f>
        <v>Table 8</v>
      </c>
      <c r="BW8">
        <f>$BR8/$Q8</f>
        <v>163.04347826086956</v>
      </c>
      <c r="BX8" t="str">
        <f>IF($BW8&lt;40,"outside_low",IF($BW8&lt;=100,"short_anchor",IF($BW8&lt;250,"middle",IF($BW8&lt;=400,"long","outside_high"))))</f>
        <v>middle</v>
      </c>
      <c r="BY8" t="str">
        <f>IF($N8&gt;1000,"PASS","FAIL")</f>
        <v>PASS</v>
      </c>
      <c r="BZ8" t="str">
        <f>IF(AND($BW8&gt;=40,$BW8&lt;=400),"PASS","FAIL")</f>
        <v>PASS</v>
      </c>
    </row>
    <row r="9" spans="1:79">
      <c r="A9" t="s">
        <v>163</v>
      </c>
      <c r="B9">
        <v>11031611.6690694</v>
      </c>
      <c r="C9">
        <v>591.37191402897201</v>
      </c>
      <c r="D9">
        <v>62.853884466715002</v>
      </c>
      <c r="E9">
        <v>671.27615393917495</v>
      </c>
      <c r="F9">
        <v>2705429.1964665302</v>
      </c>
      <c r="G9">
        <v>1451567.41111024</v>
      </c>
      <c r="H9">
        <v>2.0660301064149199E-5</v>
      </c>
      <c r="I9">
        <v>7.8980747365524196E-5</v>
      </c>
      <c r="J9">
        <v>0.52302679229955096</v>
      </c>
      <c r="K9">
        <v>6458.99604510671</v>
      </c>
      <c r="L9">
        <v>1.01606288017648E-2</v>
      </c>
      <c r="M9">
        <v>94</v>
      </c>
      <c r="N9">
        <v>2034.3448484929399</v>
      </c>
      <c r="O9">
        <v>6.8620353649299505E-5</v>
      </c>
      <c r="P9">
        <v>2.93650948516345E-2</v>
      </c>
      <c r="Q9">
        <v>9.3472E-3</v>
      </c>
      <c r="R9">
        <v>1.524</v>
      </c>
      <c r="S9">
        <v>902406.84546874999</v>
      </c>
      <c r="T9">
        <v>563.22085425488206</v>
      </c>
      <c r="U9">
        <v>608.01035401992795</v>
      </c>
      <c r="V9">
        <v>0.03</v>
      </c>
      <c r="W9">
        <v>240760.29668128499</v>
      </c>
      <c r="X9">
        <v>2.9455365014964E-2</v>
      </c>
      <c r="Y9">
        <v>5.8266347618927004</v>
      </c>
      <c r="Z9">
        <v>5.8266347737278803</v>
      </c>
      <c r="AA9">
        <v>-1.18351852762544E-8</v>
      </c>
      <c r="AB9">
        <v>5.37130090298092E-5</v>
      </c>
      <c r="AC9">
        <v>611.73479892995601</v>
      </c>
      <c r="AD9">
        <v>7304.5267714927304</v>
      </c>
      <c r="AE9">
        <v>608.01035414254102</v>
      </c>
      <c r="AF9">
        <v>1.2261284609849099E-7</v>
      </c>
      <c r="AG9">
        <v>5.37564743190514E-5</v>
      </c>
      <c r="AH9">
        <v>22.699816640976199</v>
      </c>
      <c r="AI9">
        <v>0.18389103818348901</v>
      </c>
      <c r="AJ9">
        <v>84.017803364552506</v>
      </c>
      <c r="AK9">
        <v>1.2487675132673299</v>
      </c>
      <c r="AL9">
        <v>0.97535411643181102</v>
      </c>
      <c r="AM9">
        <v>591.37191398100003</v>
      </c>
      <c r="AN9">
        <v>4.7971411731850802E-8</v>
      </c>
      <c r="AO9">
        <v>4.3465289242240698E-8</v>
      </c>
      <c r="AP9">
        <v>3.0117928847256401</v>
      </c>
      <c r="AQ9">
        <v>1.2245877191459299E-4</v>
      </c>
      <c r="AR9">
        <v>2.68999698041468E-5</v>
      </c>
      <c r="AS9">
        <v>42.042868364159702</v>
      </c>
      <c r="AT9">
        <v>14.846724432714</v>
      </c>
      <c r="AU9">
        <v>2.7301795695559599</v>
      </c>
      <c r="AV9">
        <v>0.28161331516968202</v>
      </c>
      <c r="AW9">
        <v>2.7431118692853401E-2</v>
      </c>
      <c r="AX9">
        <v>0.281613303305495</v>
      </c>
      <c r="AY9">
        <v>1.18641865221036E-8</v>
      </c>
      <c r="AZ9">
        <v>1253861.7853562899</v>
      </c>
      <c r="BA9">
        <v>4.0659758689133299E-5</v>
      </c>
      <c r="BB9">
        <v>899764.10462663998</v>
      </c>
      <c r="BC9">
        <v>-2642.74084211024</v>
      </c>
      <c r="BD9">
        <v>-0.29285469800902098</v>
      </c>
      <c r="BE9">
        <v>1385496.2552316899</v>
      </c>
      <c r="BF9">
        <v>0.64941648252681605</v>
      </c>
      <c r="BG9">
        <v>1</v>
      </c>
      <c r="BH9">
        <v>0.224</v>
      </c>
      <c r="BI9">
        <v>4.5999999999999999E-2</v>
      </c>
      <c r="BJ9">
        <v>5625</v>
      </c>
      <c r="BK9">
        <v>1.04486607142134</v>
      </c>
      <c r="BL9">
        <v>28.1510597740895</v>
      </c>
      <c r="BM9">
        <v>0.89976410462664003</v>
      </c>
      <c r="BN9">
        <v>28.1510597740895</v>
      </c>
      <c r="BO9">
        <v>1.04486607142134</v>
      </c>
      <c r="BP9">
        <v>140.39738447720001</v>
      </c>
      <c r="BQ9">
        <v>1</v>
      </c>
      <c r="BR9">
        <v>1.524</v>
      </c>
      <c r="BS9">
        <v>8</v>
      </c>
      <c r="BT9">
        <v>95</v>
      </c>
      <c r="BU9" t="s">
        <v>304</v>
      </c>
      <c r="BV9" t="str">
        <f>"Table "&amp;TRIM(RIGHT(SUBSTITUTE($A9,"_",REPT(" ",50)),50))</f>
        <v>Table 8</v>
      </c>
      <c r="BW9">
        <f>$BR9/$Q9</f>
        <v>163.04347826086956</v>
      </c>
      <c r="BX9" t="str">
        <f>IF($BW9&lt;40,"outside_low",IF($BW9&lt;=100,"short_anchor",IF($BW9&lt;250,"middle",IF($BW9&lt;=400,"long","outside_high"))))</f>
        <v>middle</v>
      </c>
      <c r="BY9" t="str">
        <f>IF($N9&gt;1000,"PASS","FAIL")</f>
        <v>PASS</v>
      </c>
      <c r="BZ9" t="str">
        <f>IF(AND($BW9&gt;=40,$BW9&lt;=400),"PASS","FAIL")</f>
        <v>PASS</v>
      </c>
    </row>
    <row r="10" spans="1:79">
      <c r="A10" t="s">
        <v>164</v>
      </c>
      <c r="B10">
        <v>11031611.6690694</v>
      </c>
      <c r="C10">
        <v>591.37191402897201</v>
      </c>
      <c r="D10">
        <v>62.853884466715002</v>
      </c>
      <c r="E10">
        <v>671.27615393917495</v>
      </c>
      <c r="F10">
        <v>2705429.1964665302</v>
      </c>
      <c r="G10">
        <v>1451567.41111024</v>
      </c>
      <c r="H10">
        <v>2.0660301064149199E-5</v>
      </c>
      <c r="I10">
        <v>7.8980747365524196E-5</v>
      </c>
      <c r="J10">
        <v>0.52302679229955096</v>
      </c>
      <c r="K10">
        <v>6458.99604510671</v>
      </c>
      <c r="L10">
        <v>1.01606288017648E-2</v>
      </c>
      <c r="M10">
        <v>95</v>
      </c>
      <c r="N10">
        <v>2034.3448484929399</v>
      </c>
      <c r="O10">
        <v>6.8620353649299505E-5</v>
      </c>
      <c r="P10">
        <v>2.93650948516345E-2</v>
      </c>
      <c r="Q10">
        <v>9.3472E-3</v>
      </c>
      <c r="R10">
        <v>1.524</v>
      </c>
      <c r="S10">
        <v>2234220.83984375</v>
      </c>
      <c r="T10">
        <v>451.67797883511702</v>
      </c>
      <c r="U10">
        <v>562.56990555721802</v>
      </c>
      <c r="V10">
        <v>0.03</v>
      </c>
      <c r="W10">
        <v>240760.29668128499</v>
      </c>
      <c r="X10">
        <v>2.9455365014964E-2</v>
      </c>
      <c r="Y10">
        <v>5.8266347618927004</v>
      </c>
      <c r="Z10">
        <v>5.8266347737278803</v>
      </c>
      <c r="AA10">
        <v>-1.18351852762544E-8</v>
      </c>
      <c r="AB10">
        <v>5.37130090298092E-5</v>
      </c>
      <c r="AC10">
        <v>655.37636496599998</v>
      </c>
      <c r="AD10">
        <v>7304.5267714927304</v>
      </c>
      <c r="AE10">
        <v>562.56990611533399</v>
      </c>
      <c r="AF10">
        <v>5.5811597121646596E-7</v>
      </c>
      <c r="AG10">
        <v>5.3819842087507303E-5</v>
      </c>
      <c r="AH10">
        <v>22.699816640976199</v>
      </c>
      <c r="AI10">
        <v>0.18389103818348901</v>
      </c>
      <c r="AJ10">
        <v>84.116842983076907</v>
      </c>
      <c r="AK10">
        <v>3.9244068676421802</v>
      </c>
      <c r="AL10">
        <v>0.97535411643181102</v>
      </c>
      <c r="AM10">
        <v>591.37191387242694</v>
      </c>
      <c r="AN10">
        <v>1.5654438811907301E-7</v>
      </c>
      <c r="AO10">
        <v>1.06833057698062E-7</v>
      </c>
      <c r="AP10">
        <v>3.01278211677413</v>
      </c>
      <c r="AQ10">
        <v>1.2237836765751801E-4</v>
      </c>
      <c r="AR10">
        <v>2.69633375726027E-5</v>
      </c>
      <c r="AS10">
        <v>42.141907982684003</v>
      </c>
      <c r="AT10">
        <v>14.852606711465199</v>
      </c>
      <c r="AU10">
        <v>2.7312612679024002</v>
      </c>
      <c r="AV10">
        <v>0.28152084887172502</v>
      </c>
      <c r="AW10">
        <v>2.7431118692853401E-2</v>
      </c>
      <c r="AX10">
        <v>0.28152083697566699</v>
      </c>
      <c r="AY10">
        <v>1.18960586936723E-8</v>
      </c>
      <c r="AZ10">
        <v>1253861.7853562899</v>
      </c>
      <c r="BA10">
        <v>4.0619720548710601E-5</v>
      </c>
      <c r="BB10">
        <v>2213704.3248005402</v>
      </c>
      <c r="BC10">
        <v>-20516.515043206</v>
      </c>
      <c r="BD10">
        <v>-0.91828500913279798</v>
      </c>
      <c r="BE10">
        <v>2603483.7419005302</v>
      </c>
      <c r="BF10">
        <v>0.85028544222233204</v>
      </c>
      <c r="BG10">
        <v>1</v>
      </c>
      <c r="BH10">
        <v>0.11600000000000001</v>
      </c>
      <c r="BI10">
        <v>4.5999999999999999E-2</v>
      </c>
      <c r="BJ10">
        <v>5625</v>
      </c>
      <c r="BK10">
        <v>1.00785954934439</v>
      </c>
      <c r="BL10">
        <v>139.693935193855</v>
      </c>
      <c r="BM10">
        <v>2.2137043248005401</v>
      </c>
      <c r="BN10">
        <v>139.693935193855</v>
      </c>
      <c r="BO10">
        <v>1.00785954934439</v>
      </c>
      <c r="BP10">
        <v>9938.8807144364691</v>
      </c>
      <c r="BQ10">
        <v>1</v>
      </c>
      <c r="BR10">
        <v>1.524</v>
      </c>
      <c r="BS10">
        <v>9</v>
      </c>
      <c r="BT10">
        <v>96</v>
      </c>
      <c r="BU10" t="s">
        <v>304</v>
      </c>
      <c r="BV10" t="str">
        <f>"Table "&amp;TRIM(RIGHT(SUBSTITUTE($A10,"_",REPT(" ",50)),50))</f>
        <v>Table 8</v>
      </c>
      <c r="BW10">
        <f>$BR10/$Q10</f>
        <v>163.04347826086956</v>
      </c>
      <c r="BX10" t="str">
        <f>IF($BW10&lt;40,"outside_low",IF($BW10&lt;=100,"short_anchor",IF($BW10&lt;250,"middle",IF($BW10&lt;=400,"long","outside_high"))))</f>
        <v>middle</v>
      </c>
      <c r="BY10" t="str">
        <f>IF($N10&gt;1000,"PASS","FAIL")</f>
        <v>PASS</v>
      </c>
      <c r="BZ10" t="str">
        <f>IF(AND($BW10&gt;=40,$BW10&lt;=400),"PASS","FAIL")</f>
        <v>PASS</v>
      </c>
    </row>
    <row r="11" spans="1:79">
      <c r="A11" t="s">
        <v>165</v>
      </c>
      <c r="B11">
        <v>11066085.455535199</v>
      </c>
      <c r="C11">
        <v>591.59844217507998</v>
      </c>
      <c r="D11">
        <v>63.116059220916597</v>
      </c>
      <c r="E11">
        <v>670.70218150320602</v>
      </c>
      <c r="F11">
        <v>2704704.39286354</v>
      </c>
      <c r="G11">
        <v>1452979.60391767</v>
      </c>
      <c r="H11">
        <v>2.06764711739806E-5</v>
      </c>
      <c r="I11">
        <v>7.8893761069449804E-5</v>
      </c>
      <c r="J11">
        <v>0.52262372288993397</v>
      </c>
      <c r="K11">
        <v>6471.9652427383999</v>
      </c>
      <c r="L11">
        <v>1.01117851422936E-2</v>
      </c>
      <c r="M11">
        <v>96</v>
      </c>
      <c r="N11">
        <v>2034.3448484929399</v>
      </c>
      <c r="O11">
        <v>6.8620353649299505E-5</v>
      </c>
      <c r="P11">
        <v>2.93650948516345E-2</v>
      </c>
      <c r="Q11">
        <v>9.3472E-3</v>
      </c>
      <c r="R11">
        <v>1.524</v>
      </c>
      <c r="S11">
        <v>903157.05546874995</v>
      </c>
      <c r="T11">
        <v>563.49230128878798</v>
      </c>
      <c r="U11">
        <v>608.22920803195905</v>
      </c>
      <c r="V11">
        <v>0.03</v>
      </c>
      <c r="W11">
        <v>241025.752988174</v>
      </c>
      <c r="X11">
        <v>2.94183448568998E-2</v>
      </c>
      <c r="Y11">
        <v>5.8302997390222604</v>
      </c>
      <c r="Z11">
        <v>5.8302997498897398</v>
      </c>
      <c r="AA11">
        <v>-1.0867479360854301E-8</v>
      </c>
      <c r="AB11">
        <v>5.3476306437943699E-5</v>
      </c>
      <c r="AC11">
        <v>611.96613376691801</v>
      </c>
      <c r="AD11">
        <v>7307.9838090413796</v>
      </c>
      <c r="AE11">
        <v>608.22920815698797</v>
      </c>
      <c r="AF11">
        <v>1.2502891877375101E-7</v>
      </c>
      <c r="AG11">
        <v>5.3519447609770802E-5</v>
      </c>
      <c r="AH11">
        <v>22.690688603995799</v>
      </c>
      <c r="AI11">
        <v>0.18393271373060499</v>
      </c>
      <c r="AJ11">
        <v>83.686934397689996</v>
      </c>
      <c r="AK11">
        <v>1.2486594486156699</v>
      </c>
      <c r="AL11">
        <v>0.976989097790955</v>
      </c>
      <c r="AM11">
        <v>591.59844213369297</v>
      </c>
      <c r="AN11">
        <v>4.1386442717339398E-8</v>
      </c>
      <c r="AO11">
        <v>4.3141171827170899E-8</v>
      </c>
      <c r="AP11">
        <v>3.0098783173753199</v>
      </c>
      <c r="AQ11">
        <v>1.2157064856960001E-4</v>
      </c>
      <c r="AR11">
        <v>2.6781294390799E-5</v>
      </c>
      <c r="AS11">
        <v>41.877196549368797</v>
      </c>
      <c r="AT11">
        <v>14.836853609199499</v>
      </c>
      <c r="AU11">
        <v>2.7289827475637898</v>
      </c>
      <c r="AV11">
        <v>0.28089556981153002</v>
      </c>
      <c r="AW11">
        <v>2.73572971953456E-2</v>
      </c>
      <c r="AX11">
        <v>0.28089555815053302</v>
      </c>
      <c r="AY11">
        <v>1.16609968348058E-8</v>
      </c>
      <c r="AZ11">
        <v>1251724.78894587</v>
      </c>
      <c r="BA11">
        <v>4.0390552623938802E-5</v>
      </c>
      <c r="BB11">
        <v>896707.31832763203</v>
      </c>
      <c r="BC11">
        <v>-6449.7371411180402</v>
      </c>
      <c r="BD11">
        <v>-0.71413239835352205</v>
      </c>
      <c r="BE11">
        <v>1385496.2552316899</v>
      </c>
      <c r="BF11">
        <v>0.64721020713093103</v>
      </c>
      <c r="BG11">
        <v>1</v>
      </c>
      <c r="BH11">
        <v>0.224</v>
      </c>
      <c r="BI11">
        <v>4.5999999999999999E-2</v>
      </c>
      <c r="BJ11">
        <v>5625</v>
      </c>
      <c r="BK11">
        <v>1.0448575656194601</v>
      </c>
      <c r="BL11">
        <v>28.1061408862919</v>
      </c>
      <c r="BM11">
        <v>0.89670731832763195</v>
      </c>
      <c r="BN11">
        <v>28.1061408862919</v>
      </c>
      <c r="BO11">
        <v>1.0448575656194601</v>
      </c>
      <c r="BP11">
        <v>141.463884616738</v>
      </c>
      <c r="BQ11">
        <v>1</v>
      </c>
      <c r="BR11">
        <v>1.524</v>
      </c>
      <c r="BS11">
        <v>10</v>
      </c>
      <c r="BT11">
        <v>97</v>
      </c>
      <c r="BU11" t="s">
        <v>304</v>
      </c>
      <c r="BV11" t="str">
        <f>"Table "&amp;TRIM(RIGHT(SUBSTITUTE($A11,"_",REPT(" ",50)),50))</f>
        <v>Table 8</v>
      </c>
      <c r="BW11">
        <f>$BR11/$Q11</f>
        <v>163.04347826086956</v>
      </c>
      <c r="BX11" t="str">
        <f>IF($BW11&lt;40,"outside_low",IF($BW11&lt;=100,"short_anchor",IF($BW11&lt;250,"middle",IF($BW11&lt;=400,"long","outside_high"))))</f>
        <v>middle</v>
      </c>
      <c r="BY11" t="str">
        <f>IF($N11&gt;1000,"PASS","FAIL")</f>
        <v>PASS</v>
      </c>
      <c r="BZ11" t="str">
        <f>IF(AND($BW11&gt;=40,$BW11&lt;=400),"PASS","FAIL")</f>
        <v>PASS</v>
      </c>
    </row>
    <row r="12" spans="1:79">
      <c r="A12" t="s">
        <v>166</v>
      </c>
      <c r="B12">
        <v>11066085.455535199</v>
      </c>
      <c r="C12">
        <v>591.59844217507998</v>
      </c>
      <c r="D12">
        <v>63.116059220916597</v>
      </c>
      <c r="E12">
        <v>670.70218150320602</v>
      </c>
      <c r="F12">
        <v>2704704.39286354</v>
      </c>
      <c r="G12">
        <v>1452979.60391767</v>
      </c>
      <c r="H12">
        <v>2.06764711739806E-5</v>
      </c>
      <c r="I12">
        <v>7.8893761069449804E-5</v>
      </c>
      <c r="J12">
        <v>0.52262372288993397</v>
      </c>
      <c r="K12">
        <v>6471.9652427383999</v>
      </c>
      <c r="L12">
        <v>1.01117851422936E-2</v>
      </c>
      <c r="M12">
        <v>97</v>
      </c>
      <c r="N12">
        <v>2034.3448484929399</v>
      </c>
      <c r="O12">
        <v>6.8620353649299505E-5</v>
      </c>
      <c r="P12">
        <v>2.93650948516345E-2</v>
      </c>
      <c r="Q12">
        <v>9.3472E-3</v>
      </c>
      <c r="R12">
        <v>1.524</v>
      </c>
      <c r="S12">
        <v>2235652.11328125</v>
      </c>
      <c r="T12">
        <v>452.00279575601002</v>
      </c>
      <c r="U12">
        <v>562.74340227225605</v>
      </c>
      <c r="V12">
        <v>0.03</v>
      </c>
      <c r="W12">
        <v>241025.752988174</v>
      </c>
      <c r="X12">
        <v>2.94183448568998E-2</v>
      </c>
      <c r="Y12">
        <v>5.8302997390222604</v>
      </c>
      <c r="Z12">
        <v>5.8302997498897398</v>
      </c>
      <c r="AA12">
        <v>-1.0867479360854301E-8</v>
      </c>
      <c r="AB12">
        <v>5.3476306437943699E-5</v>
      </c>
      <c r="AC12">
        <v>655.68098001988301</v>
      </c>
      <c r="AD12">
        <v>7307.9838090413796</v>
      </c>
      <c r="AE12">
        <v>562.74340283345703</v>
      </c>
      <c r="AF12">
        <v>5.6120120461855496E-7</v>
      </c>
      <c r="AG12">
        <v>5.35840239752561E-5</v>
      </c>
      <c r="AH12">
        <v>22.690688603995799</v>
      </c>
      <c r="AI12">
        <v>0.18393271373060499</v>
      </c>
      <c r="AJ12">
        <v>83.787910739998495</v>
      </c>
      <c r="AK12">
        <v>3.9279110342785399</v>
      </c>
      <c r="AL12">
        <v>0.976989097790955</v>
      </c>
      <c r="AM12">
        <v>591.598442039406</v>
      </c>
      <c r="AN12">
        <v>1.35673985823814E-7</v>
      </c>
      <c r="AO12">
        <v>1.07717537312435E-7</v>
      </c>
      <c r="AP12">
        <v>3.01089125180745</v>
      </c>
      <c r="AQ12">
        <v>1.21488863894258E-4</v>
      </c>
      <c r="AR12">
        <v>2.6845870756284302E-5</v>
      </c>
      <c r="AS12">
        <v>41.978172891677303</v>
      </c>
      <c r="AT12">
        <v>14.842874475352099</v>
      </c>
      <c r="AU12">
        <v>2.73009018181423</v>
      </c>
      <c r="AV12">
        <v>0.28080106999321602</v>
      </c>
      <c r="AW12">
        <v>2.73572971953456E-2</v>
      </c>
      <c r="AX12">
        <v>0.28080105829687302</v>
      </c>
      <c r="AY12">
        <v>1.1696343171774301E-8</v>
      </c>
      <c r="AZ12">
        <v>1251724.78894587</v>
      </c>
      <c r="BA12">
        <v>4.0349801349128198E-5</v>
      </c>
      <c r="BB12">
        <v>2241215.3424167</v>
      </c>
      <c r="BC12">
        <v>5563.2291354485797</v>
      </c>
      <c r="BD12">
        <v>0.24884144999122701</v>
      </c>
      <c r="BE12">
        <v>2603483.7419005302</v>
      </c>
      <c r="BF12">
        <v>0.86085244411037598</v>
      </c>
      <c r="BG12">
        <v>1</v>
      </c>
      <c r="BH12">
        <v>0.11600000000000001</v>
      </c>
      <c r="BI12">
        <v>4.5999999999999999E-2</v>
      </c>
      <c r="BJ12">
        <v>5625</v>
      </c>
      <c r="BK12">
        <v>1.00788696635032</v>
      </c>
      <c r="BL12">
        <v>139.59564641906999</v>
      </c>
      <c r="BM12">
        <v>2.2412153424166998</v>
      </c>
      <c r="BN12">
        <v>139.59564641906999</v>
      </c>
      <c r="BO12">
        <v>1.00788696635032</v>
      </c>
      <c r="BP12">
        <v>9919.2927856323804</v>
      </c>
      <c r="BQ12">
        <v>1</v>
      </c>
      <c r="BR12">
        <v>1.524</v>
      </c>
      <c r="BS12">
        <v>11</v>
      </c>
      <c r="BT12">
        <v>98</v>
      </c>
      <c r="BU12" t="s">
        <v>304</v>
      </c>
      <c r="BV12" t="str">
        <f>"Table "&amp;TRIM(RIGHT(SUBSTITUTE($A12,"_",REPT(" ",50)),50))</f>
        <v>Table 8</v>
      </c>
      <c r="BW12">
        <f>$BR12/$Q12</f>
        <v>163.04347826086956</v>
      </c>
      <c r="BX12" t="str">
        <f>IF($BW12&lt;40,"outside_low",IF($BW12&lt;=100,"short_anchor",IF($BW12&lt;250,"middle",IF($BW12&lt;=400,"long","outside_high"))))</f>
        <v>middle</v>
      </c>
      <c r="BY12" t="str">
        <f>IF($N12&gt;1000,"PASS","FAIL")</f>
        <v>PASS</v>
      </c>
      <c r="BZ12" t="str">
        <f>IF(AND($BW12&gt;=40,$BW12&lt;=400),"PASS","FAIL")</f>
        <v>PASS</v>
      </c>
    </row>
    <row r="13" spans="1:79">
      <c r="A13" t="s">
        <v>167</v>
      </c>
      <c r="B13">
        <v>11100559.2420011</v>
      </c>
      <c r="C13">
        <v>591.82497032118897</v>
      </c>
      <c r="D13">
        <v>63.378233975119002</v>
      </c>
      <c r="E13">
        <v>670.12820906723402</v>
      </c>
      <c r="F13">
        <v>2703979.5892605502</v>
      </c>
      <c r="G13">
        <v>1454391.7967250999</v>
      </c>
      <c r="H13">
        <v>2.0692641283812099E-5</v>
      </c>
      <c r="I13">
        <v>7.8806774773375099E-5</v>
      </c>
      <c r="J13">
        <v>0.52222065348031699</v>
      </c>
      <c r="K13">
        <v>6484.9344403701298</v>
      </c>
      <c r="L13">
        <v>1.00629414828223E-2</v>
      </c>
      <c r="M13">
        <v>98</v>
      </c>
      <c r="N13">
        <v>2034.3448484929399</v>
      </c>
      <c r="O13">
        <v>6.8620353649299505E-5</v>
      </c>
      <c r="P13">
        <v>2.93650948516345E-2</v>
      </c>
      <c r="Q13">
        <v>9.3472E-3</v>
      </c>
      <c r="R13">
        <v>1.524</v>
      </c>
      <c r="S13">
        <v>1656234.12578125</v>
      </c>
      <c r="T13">
        <v>507.23595773091199</v>
      </c>
      <c r="U13">
        <v>589.111650633262</v>
      </c>
      <c r="V13">
        <v>0.03</v>
      </c>
      <c r="W13">
        <v>241291.795312217</v>
      </c>
      <c r="X13">
        <v>2.93812388502834E-2</v>
      </c>
      <c r="Y13">
        <v>5.8339801638063502</v>
      </c>
      <c r="Z13">
        <v>5.8339801737503301</v>
      </c>
      <c r="AA13">
        <v>-9.9439816381163804E-9</v>
      </c>
      <c r="AB13">
        <v>5.3239605589866302E-5</v>
      </c>
      <c r="AC13">
        <v>635.54882657874305</v>
      </c>
      <c r="AD13">
        <v>7311.4349003299303</v>
      </c>
      <c r="AE13">
        <v>589.111650633262</v>
      </c>
      <c r="AF13">
        <v>0</v>
      </c>
      <c r="AG13">
        <v>5.33191506792485E-5</v>
      </c>
      <c r="AH13">
        <v>22.681478657845702</v>
      </c>
      <c r="AI13">
        <v>0.18397411901316399</v>
      </c>
      <c r="AJ13">
        <v>83.413107482927103</v>
      </c>
      <c r="AK13">
        <v>2.6793955666717499</v>
      </c>
      <c r="AL13">
        <v>0.9786222824709</v>
      </c>
      <c r="AM13">
        <v>591.82497024346299</v>
      </c>
      <c r="AN13">
        <v>7.7726213021378499E-8</v>
      </c>
      <c r="AO13">
        <v>7.9545089382204394E-8</v>
      </c>
      <c r="AP13">
        <v>3.0085318904665801</v>
      </c>
      <c r="AQ13">
        <v>1.20642818944868E-4</v>
      </c>
      <c r="AR13">
        <v>2.6699347884315399E-5</v>
      </c>
      <c r="AS13">
        <v>41.768774378944201</v>
      </c>
      <c r="AT13">
        <v>14.830372589854401</v>
      </c>
      <c r="AU13">
        <v>2.7284047318554401</v>
      </c>
      <c r="AV13">
        <v>0.28012715861114301</v>
      </c>
      <c r="AW13">
        <v>2.7283433171066199E-2</v>
      </c>
      <c r="AX13">
        <v>0.28012714713447101</v>
      </c>
      <c r="AY13">
        <v>1.1476671946120101E-8</v>
      </c>
      <c r="AZ13">
        <v>1249587.7925354501</v>
      </c>
      <c r="BA13">
        <v>4.0100229393333199E-5</v>
      </c>
      <c r="BB13">
        <v>1661082.45464587</v>
      </c>
      <c r="BC13">
        <v>4848.3288646182</v>
      </c>
      <c r="BD13">
        <v>0.292732095610651</v>
      </c>
      <c r="BE13">
        <v>1988969.46476225</v>
      </c>
      <c r="BF13">
        <v>0.83514728811808303</v>
      </c>
      <c r="BG13">
        <v>1</v>
      </c>
      <c r="BH13">
        <v>0.156</v>
      </c>
      <c r="BI13">
        <v>4.5999999999999999E-2</v>
      </c>
      <c r="BJ13">
        <v>5625</v>
      </c>
      <c r="BK13">
        <v>1.0323038741733901</v>
      </c>
      <c r="BL13">
        <v>84.589012590276894</v>
      </c>
      <c r="BM13">
        <v>1.66108245464587</v>
      </c>
      <c r="BN13">
        <v>84.589012590276894</v>
      </c>
      <c r="BO13">
        <v>1.0323038741733901</v>
      </c>
      <c r="BP13">
        <v>1988.18004377587</v>
      </c>
      <c r="BQ13">
        <v>1</v>
      </c>
      <c r="BR13">
        <v>1.524</v>
      </c>
      <c r="BS13">
        <v>12</v>
      </c>
      <c r="BT13">
        <v>99</v>
      </c>
      <c r="BU13" t="s">
        <v>304</v>
      </c>
      <c r="BV13" t="str">
        <f>"Table "&amp;TRIM(RIGHT(SUBSTITUTE($A13,"_",REPT(" ",50)),50))</f>
        <v>Table 8</v>
      </c>
      <c r="BW13">
        <f>$BR13/$Q13</f>
        <v>163.04347826086956</v>
      </c>
      <c r="BX13" t="str">
        <f>IF($BW13&lt;40,"outside_low",IF($BW13&lt;=100,"short_anchor",IF($BW13&lt;250,"middle",IF($BW13&lt;=400,"long","outside_high"))))</f>
        <v>middle</v>
      </c>
      <c r="BY13" t="str">
        <f>IF($N13&gt;1000,"PASS","FAIL")</f>
        <v>PASS</v>
      </c>
      <c r="BZ13" t="str">
        <f>IF(AND($BW13&gt;=40,$BW13&lt;=400),"PASS","FAIL")</f>
        <v>PASS</v>
      </c>
    </row>
    <row r="14" spans="1:79">
      <c r="A14" t="s">
        <v>168</v>
      </c>
      <c r="B14">
        <v>10962664.096137701</v>
      </c>
      <c r="C14">
        <v>590.91885773675403</v>
      </c>
      <c r="D14">
        <v>62.329534958311001</v>
      </c>
      <c r="E14">
        <v>672.42409881111701</v>
      </c>
      <c r="F14">
        <v>2706878.8036725</v>
      </c>
      <c r="G14">
        <v>1448743.0254953799</v>
      </c>
      <c r="H14">
        <v>2.0627960844486401E-5</v>
      </c>
      <c r="I14">
        <v>7.9154719957673402E-5</v>
      </c>
      <c r="J14">
        <v>0.52383293111878604</v>
      </c>
      <c r="K14">
        <v>6433.0576498432902</v>
      </c>
      <c r="L14">
        <v>1.0258316120707199E-2</v>
      </c>
      <c r="M14">
        <v>99</v>
      </c>
      <c r="N14">
        <v>4068.6896969858799</v>
      </c>
      <c r="O14">
        <v>6.8620353649299505E-5</v>
      </c>
      <c r="P14">
        <v>2.93650948516345E-2</v>
      </c>
      <c r="Q14">
        <v>9.3472E-3</v>
      </c>
      <c r="R14">
        <v>1.524</v>
      </c>
      <c r="S14">
        <v>2919254.4310937501</v>
      </c>
      <c r="T14">
        <v>507.70933491723503</v>
      </c>
      <c r="U14">
        <v>580.44767040070496</v>
      </c>
      <c r="V14">
        <v>0.03</v>
      </c>
      <c r="W14">
        <v>480462.26878198498</v>
      </c>
      <c r="X14">
        <v>2.2025520592233502E-2</v>
      </c>
      <c r="Y14">
        <v>6.7380915735687399</v>
      </c>
      <c r="Z14">
        <v>6.7380916019165999</v>
      </c>
      <c r="AA14">
        <v>-2.8347860059341201E-8</v>
      </c>
      <c r="AB14">
        <v>1.8161648258494202E-5</v>
      </c>
      <c r="AC14">
        <v>632.09177314432497</v>
      </c>
      <c r="AD14">
        <v>12605.1317591428</v>
      </c>
      <c r="AE14">
        <v>580.44767040070496</v>
      </c>
      <c r="AF14">
        <v>0</v>
      </c>
      <c r="AG14">
        <v>1.8206100259850099E-5</v>
      </c>
      <c r="AH14">
        <v>67.780077940289701</v>
      </c>
      <c r="AI14">
        <v>0.31748952211616899</v>
      </c>
      <c r="AJ14">
        <v>49.103537443421402</v>
      </c>
      <c r="AK14">
        <v>2.75711876527278</v>
      </c>
      <c r="AL14">
        <v>0.972078780265621</v>
      </c>
      <c r="AM14">
        <v>590.91885773465401</v>
      </c>
      <c r="AN14">
        <v>2.0999095795559701E-9</v>
      </c>
      <c r="AO14">
        <v>4.4452001355870699E-8</v>
      </c>
      <c r="AP14">
        <v>4.4480749983961996</v>
      </c>
      <c r="AQ14">
        <v>5.71105483981217E-5</v>
      </c>
      <c r="AR14">
        <v>9.1252761306029699E-6</v>
      </c>
      <c r="AS14">
        <v>24.6117143026385</v>
      </c>
      <c r="AT14">
        <v>12.966112603797299</v>
      </c>
      <c r="AU14">
        <v>4.1166048942840296</v>
      </c>
      <c r="AV14">
        <v>0.33147010411217298</v>
      </c>
      <c r="AW14">
        <v>9.2435240960315607E-3</v>
      </c>
      <c r="AX14">
        <v>0.33147009664231802</v>
      </c>
      <c r="AY14">
        <v>7.4698550678320397E-9</v>
      </c>
      <c r="AZ14">
        <v>1258135.77817712</v>
      </c>
      <c r="BA14">
        <v>1.2839385221407801E-5</v>
      </c>
      <c r="BB14">
        <v>2928989.8860399001</v>
      </c>
      <c r="BC14">
        <v>9735.4549461505394</v>
      </c>
      <c r="BD14">
        <v>0.33349114220588799</v>
      </c>
      <c r="BE14">
        <v>3141972.3820827999</v>
      </c>
      <c r="BF14">
        <v>0.93221375933873896</v>
      </c>
      <c r="BG14">
        <v>1</v>
      </c>
      <c r="BH14">
        <v>5.3999999999999999E-2</v>
      </c>
      <c r="BI14">
        <v>4.5999999999999999E-2</v>
      </c>
      <c r="BJ14">
        <v>5625</v>
      </c>
      <c r="BK14">
        <v>1.0330069818354499</v>
      </c>
      <c r="BL14">
        <v>83.209522819519094</v>
      </c>
      <c r="BM14">
        <v>2.9289898860399002</v>
      </c>
      <c r="BN14">
        <v>83.209522819519094</v>
      </c>
      <c r="BO14">
        <v>1.0330069818354499</v>
      </c>
      <c r="BP14">
        <v>1867.0628622905399</v>
      </c>
      <c r="BQ14">
        <v>1</v>
      </c>
      <c r="BR14">
        <v>1.524</v>
      </c>
      <c r="BS14">
        <v>13</v>
      </c>
      <c r="BT14">
        <v>100</v>
      </c>
      <c r="BU14" t="s">
        <v>304</v>
      </c>
      <c r="BV14" t="str">
        <f>"Table "&amp;TRIM(RIGHT(SUBSTITUTE($A14,"_",REPT(" ",50)),50))</f>
        <v>Table 8</v>
      </c>
      <c r="BW14">
        <f>$BR14/$Q14</f>
        <v>163.04347826086956</v>
      </c>
      <c r="BX14" t="str">
        <f>IF($BW14&lt;40,"outside_low",IF($BW14&lt;=100,"short_anchor",IF($BW14&lt;250,"middle",IF($BW14&lt;=400,"long","outside_high"))))</f>
        <v>middle</v>
      </c>
      <c r="BY14" t="str">
        <f>IF($N14&gt;1000,"PASS","FAIL")</f>
        <v>PASS</v>
      </c>
      <c r="BZ14" t="str">
        <f>IF(AND($BW14&gt;=40,$BW14&lt;=400),"PASS","FAIL")</f>
        <v>PASS</v>
      </c>
    </row>
    <row r="15" spans="1:79">
      <c r="A15" t="s">
        <v>169</v>
      </c>
      <c r="B15">
        <v>11066085.455535199</v>
      </c>
      <c r="C15">
        <v>591.59844217507998</v>
      </c>
      <c r="D15">
        <v>63.116059220916597</v>
      </c>
      <c r="E15">
        <v>670.70218150320602</v>
      </c>
      <c r="F15">
        <v>2704704.39286354</v>
      </c>
      <c r="G15">
        <v>1452979.60391767</v>
      </c>
      <c r="H15">
        <v>2.06764711739806E-5</v>
      </c>
      <c r="I15">
        <v>7.8893761069449804E-5</v>
      </c>
      <c r="J15">
        <v>0.52262372288993397</v>
      </c>
      <c r="K15">
        <v>6471.9652427383999</v>
      </c>
      <c r="L15">
        <v>1.01117851422936E-2</v>
      </c>
      <c r="M15">
        <v>100</v>
      </c>
      <c r="N15">
        <v>4068.6896969858799</v>
      </c>
      <c r="O15">
        <v>6.8620353649299505E-5</v>
      </c>
      <c r="P15">
        <v>2.93650948516345E-2</v>
      </c>
      <c r="Q15">
        <v>9.3472E-3</v>
      </c>
      <c r="R15">
        <v>1.524</v>
      </c>
      <c r="S15">
        <v>1632654.23828125</v>
      </c>
      <c r="T15">
        <v>563.49230128878798</v>
      </c>
      <c r="U15">
        <v>603.92818116126602</v>
      </c>
      <c r="V15">
        <v>0.03</v>
      </c>
      <c r="W15">
        <v>482051.50597634801</v>
      </c>
      <c r="X15">
        <v>2.19536601587824E-2</v>
      </c>
      <c r="Y15">
        <v>6.7491103875770904</v>
      </c>
      <c r="Z15">
        <v>6.7491104089474598</v>
      </c>
      <c r="AA15">
        <v>-2.1370364144956999E-8</v>
      </c>
      <c r="AB15">
        <v>1.7914830751301099E-5</v>
      </c>
      <c r="AC15">
        <v>611.38647271163995</v>
      </c>
      <c r="AD15">
        <v>12626.1784584409</v>
      </c>
      <c r="AE15">
        <v>603.92818128023896</v>
      </c>
      <c r="AF15">
        <v>1.1897236618096901E-7</v>
      </c>
      <c r="AG15">
        <v>1.7939704024274099E-5</v>
      </c>
      <c r="AH15">
        <v>67.732385190806497</v>
      </c>
      <c r="AI15">
        <v>0.31778494980171201</v>
      </c>
      <c r="AJ15">
        <v>48.465830302571</v>
      </c>
      <c r="AK15">
        <v>1.32396061791812</v>
      </c>
      <c r="AL15">
        <v>0.976989097790955</v>
      </c>
      <c r="AM15">
        <v>591.59844216594797</v>
      </c>
      <c r="AN15">
        <v>9.1316678663133594E-9</v>
      </c>
      <c r="AO15">
        <v>2.4873272973012999E-8</v>
      </c>
      <c r="AP15">
        <v>4.4278837697054101</v>
      </c>
      <c r="AQ15">
        <v>5.61738494323843E-5</v>
      </c>
      <c r="AR15">
        <v>8.9822886486235694E-6</v>
      </c>
      <c r="AS15">
        <v>24.2665139170552</v>
      </c>
      <c r="AT15">
        <v>12.8954868594394</v>
      </c>
      <c r="AU15">
        <v>4.0979916442955799</v>
      </c>
      <c r="AV15">
        <v>0.32989212540982898</v>
      </c>
      <c r="AW15">
        <v>9.1648317117113895E-3</v>
      </c>
      <c r="AX15">
        <v>0.32989212212628699</v>
      </c>
      <c r="AY15">
        <v>3.2835421048815802E-9</v>
      </c>
      <c r="AZ15">
        <v>1251724.78894587</v>
      </c>
      <c r="BA15">
        <v>1.26863875282168E-5</v>
      </c>
      <c r="BB15">
        <v>1646014.03678579</v>
      </c>
      <c r="BC15">
        <v>13359.7985045388</v>
      </c>
      <c r="BD15">
        <v>0.81828706846117905</v>
      </c>
      <c r="BE15">
        <v>1832501.76380712</v>
      </c>
      <c r="BF15">
        <v>0.89823326192391095</v>
      </c>
      <c r="BG15">
        <v>1</v>
      </c>
      <c r="BH15">
        <v>0.104</v>
      </c>
      <c r="BI15">
        <v>4.5999999999999999E-2</v>
      </c>
      <c r="BJ15">
        <v>5625</v>
      </c>
      <c r="BK15">
        <v>1.0448575656194601</v>
      </c>
      <c r="BL15">
        <v>28.1061408862919</v>
      </c>
      <c r="BM15">
        <v>1.6460140367857901</v>
      </c>
      <c r="BN15">
        <v>28.1061408862919</v>
      </c>
      <c r="BO15">
        <v>1.0448575656194601</v>
      </c>
      <c r="BP15">
        <v>141.463884616738</v>
      </c>
      <c r="BQ15">
        <v>1</v>
      </c>
      <c r="BR15">
        <v>1.524</v>
      </c>
      <c r="BS15">
        <v>14</v>
      </c>
      <c r="BT15">
        <v>101</v>
      </c>
      <c r="BU15" t="s">
        <v>304</v>
      </c>
      <c r="BV15" t="str">
        <f>"Table "&amp;TRIM(RIGHT(SUBSTITUTE($A15,"_",REPT(" ",50)),50))</f>
        <v>Table 8</v>
      </c>
      <c r="BW15">
        <f>$BR15/$Q15</f>
        <v>163.04347826086956</v>
      </c>
      <c r="BX15" t="str">
        <f>IF($BW15&lt;40,"outside_low",IF($BW15&lt;=100,"short_anchor",IF($BW15&lt;250,"middle",IF($BW15&lt;=400,"long","outside_high"))))</f>
        <v>middle</v>
      </c>
      <c r="BY15" t="str">
        <f>IF($N15&gt;1000,"PASS","FAIL")</f>
        <v>PASS</v>
      </c>
      <c r="BZ15" t="str">
        <f>IF(AND($BW15&gt;=40,$BW15&lt;=400),"PASS","FAIL")</f>
        <v>PASS</v>
      </c>
    </row>
    <row r="16" spans="1:79">
      <c r="A16" t="s">
        <v>170</v>
      </c>
      <c r="B16">
        <v>11066085.455535199</v>
      </c>
      <c r="C16">
        <v>591.59844217507998</v>
      </c>
      <c r="D16">
        <v>63.116059220916597</v>
      </c>
      <c r="E16">
        <v>670.70218150320602</v>
      </c>
      <c r="F16">
        <v>2704704.39286354</v>
      </c>
      <c r="G16">
        <v>1452979.60391767</v>
      </c>
      <c r="H16">
        <v>2.06764711739806E-5</v>
      </c>
      <c r="I16">
        <v>7.8893761069449804E-5</v>
      </c>
      <c r="J16">
        <v>0.52262372288993397</v>
      </c>
      <c r="K16">
        <v>6471.9652427383999</v>
      </c>
      <c r="L16">
        <v>1.01117851422936E-2</v>
      </c>
      <c r="M16">
        <v>101</v>
      </c>
      <c r="N16">
        <v>4068.6896969858799</v>
      </c>
      <c r="O16">
        <v>6.8620353649299505E-5</v>
      </c>
      <c r="P16">
        <v>2.93650948516345E-2</v>
      </c>
      <c r="Q16">
        <v>9.3472E-3</v>
      </c>
      <c r="R16">
        <v>1.524</v>
      </c>
      <c r="S16">
        <v>2935930.3117187498</v>
      </c>
      <c r="T16">
        <v>508.03105271669699</v>
      </c>
      <c r="U16">
        <v>580.74511710034994</v>
      </c>
      <c r="V16">
        <v>0.03</v>
      </c>
      <c r="W16">
        <v>482051.50597634801</v>
      </c>
      <c r="X16">
        <v>2.19536601587824E-2</v>
      </c>
      <c r="Y16">
        <v>6.7491103875770904</v>
      </c>
      <c r="Z16">
        <v>6.7491104089474598</v>
      </c>
      <c r="AA16">
        <v>-2.1370364144956999E-8</v>
      </c>
      <c r="AB16">
        <v>1.7914830751301099E-5</v>
      </c>
      <c r="AC16">
        <v>633.08416965998401</v>
      </c>
      <c r="AD16">
        <v>12626.1784584409</v>
      </c>
      <c r="AE16">
        <v>580.74511710034994</v>
      </c>
      <c r="AF16">
        <v>0</v>
      </c>
      <c r="AG16">
        <v>1.79594840464509E-5</v>
      </c>
      <c r="AH16">
        <v>67.732385190806497</v>
      </c>
      <c r="AI16">
        <v>0.31778494980171201</v>
      </c>
      <c r="AJ16">
        <v>48.5192679287941</v>
      </c>
      <c r="AK16">
        <v>2.77518002679696</v>
      </c>
      <c r="AL16">
        <v>0.976989097790955</v>
      </c>
      <c r="AM16">
        <v>591.59844215531405</v>
      </c>
      <c r="AN16">
        <v>1.9765593606280199E-8</v>
      </c>
      <c r="AO16">
        <v>4.4653295149790399E-8</v>
      </c>
      <c r="AP16">
        <v>4.4311367375318103</v>
      </c>
      <c r="AQ16">
        <v>5.6091403476604499E-5</v>
      </c>
      <c r="AR16">
        <v>9.0020686708003502E-6</v>
      </c>
      <c r="AS16">
        <v>24.3199515432783</v>
      </c>
      <c r="AT16">
        <v>12.906485323160499</v>
      </c>
      <c r="AU16">
        <v>4.1014867905370904</v>
      </c>
      <c r="AV16">
        <v>0.329649946994722</v>
      </c>
      <c r="AW16">
        <v>9.1648317117113895E-3</v>
      </c>
      <c r="AX16">
        <v>0.329649943082167</v>
      </c>
      <c r="AY16">
        <v>3.9125550022056602E-9</v>
      </c>
      <c r="AZ16">
        <v>1251724.78894587</v>
      </c>
      <c r="BA16">
        <v>1.2658468198805301E-5</v>
      </c>
      <c r="BB16">
        <v>2961494.4958949401</v>
      </c>
      <c r="BC16">
        <v>25564.1841761949</v>
      </c>
      <c r="BD16">
        <v>0.87073538749048796</v>
      </c>
      <c r="BE16">
        <v>3154590.7450630502</v>
      </c>
      <c r="BF16">
        <v>0.93878881136315295</v>
      </c>
      <c r="BG16">
        <v>1</v>
      </c>
      <c r="BH16">
        <v>5.3999999999999999E-2</v>
      </c>
      <c r="BI16">
        <v>4.5999999999999999E-2</v>
      </c>
      <c r="BJ16">
        <v>5625</v>
      </c>
      <c r="BK16">
        <v>1.0328252586180799</v>
      </c>
      <c r="BL16">
        <v>83.567389458382905</v>
      </c>
      <c r="BM16">
        <v>2.9614944958949398</v>
      </c>
      <c r="BN16">
        <v>83.567389458382905</v>
      </c>
      <c r="BO16">
        <v>1.0328252586180799</v>
      </c>
      <c r="BP16">
        <v>1898.11742421841</v>
      </c>
      <c r="BQ16">
        <v>1</v>
      </c>
      <c r="BR16">
        <v>1.524</v>
      </c>
      <c r="BS16">
        <v>15</v>
      </c>
      <c r="BT16">
        <v>102</v>
      </c>
      <c r="BU16" t="s">
        <v>304</v>
      </c>
      <c r="BV16" t="str">
        <f>"Table "&amp;TRIM(RIGHT(SUBSTITUTE($A16,"_",REPT(" ",50)),50))</f>
        <v>Table 8</v>
      </c>
      <c r="BW16">
        <f>$BR16/$Q16</f>
        <v>163.04347826086956</v>
      </c>
      <c r="BX16" t="str">
        <f>IF($BW16&lt;40,"outside_low",IF($BW16&lt;=100,"short_anchor",IF($BW16&lt;250,"middle",IF($BW16&lt;=400,"long","outside_high"))))</f>
        <v>middle</v>
      </c>
      <c r="BY16" t="str">
        <f>IF($N16&gt;1000,"PASS","FAIL")</f>
        <v>PASS</v>
      </c>
      <c r="BZ16" t="str">
        <f>IF(AND($BW16&gt;=40,$BW16&lt;=400),"PASS","FAIL")</f>
        <v>PASS</v>
      </c>
    </row>
    <row r="17" spans="1:78">
      <c r="A17" t="s">
        <v>171</v>
      </c>
      <c r="B17">
        <v>11100559.2420011</v>
      </c>
      <c r="C17">
        <v>591.82497032118897</v>
      </c>
      <c r="D17">
        <v>63.378233975119002</v>
      </c>
      <c r="E17">
        <v>670.12820906723402</v>
      </c>
      <c r="F17">
        <v>2703979.5892605502</v>
      </c>
      <c r="G17">
        <v>1454391.7967250999</v>
      </c>
      <c r="H17">
        <v>2.0692641283812099E-5</v>
      </c>
      <c r="I17">
        <v>7.8806774773375099E-5</v>
      </c>
      <c r="J17">
        <v>0.52222065348031699</v>
      </c>
      <c r="K17">
        <v>6484.9344403701298</v>
      </c>
      <c r="L17">
        <v>1.00629414828223E-2</v>
      </c>
      <c r="M17">
        <v>102</v>
      </c>
      <c r="N17">
        <v>4068.6896969858799</v>
      </c>
      <c r="O17">
        <v>6.8620353649299505E-5</v>
      </c>
      <c r="P17">
        <v>2.93650948516345E-2</v>
      </c>
      <c r="Q17">
        <v>9.3472E-3</v>
      </c>
      <c r="R17">
        <v>1.524</v>
      </c>
      <c r="S17">
        <v>1651710.89234375</v>
      </c>
      <c r="T17">
        <v>563.20065007780795</v>
      </c>
      <c r="U17">
        <v>604.02669383572504</v>
      </c>
      <c r="V17">
        <v>0.03</v>
      </c>
      <c r="W17">
        <v>482583.590624434</v>
      </c>
      <c r="X17">
        <v>2.19295914946466E-2</v>
      </c>
      <c r="Y17">
        <v>6.7528130904714203</v>
      </c>
      <c r="Z17">
        <v>6.7528131097325703</v>
      </c>
      <c r="AA17">
        <v>-1.9261148231919401E-8</v>
      </c>
      <c r="AB17">
        <v>1.7832588998666498E-5</v>
      </c>
      <c r="AC17">
        <v>611.873186071237</v>
      </c>
      <c r="AD17">
        <v>12633.1843058634</v>
      </c>
      <c r="AE17">
        <v>604.02669383572504</v>
      </c>
      <c r="AF17">
        <v>0</v>
      </c>
      <c r="AG17">
        <v>1.78575288621423E-5</v>
      </c>
      <c r="AH17">
        <v>67.716077459586799</v>
      </c>
      <c r="AI17">
        <v>0.31788273911831899</v>
      </c>
      <c r="AJ17">
        <v>48.270595122115601</v>
      </c>
      <c r="AK17">
        <v>1.34091956530876</v>
      </c>
      <c r="AL17">
        <v>0.9786222824709</v>
      </c>
      <c r="AM17">
        <v>591.82497031317098</v>
      </c>
      <c r="AN17">
        <v>8.0177642303169705E-9</v>
      </c>
      <c r="AO17">
        <v>2.4939863475808701E-8</v>
      </c>
      <c r="AP17">
        <v>4.4221492918893999</v>
      </c>
      <c r="AQ17">
        <v>5.5839807773202302E-5</v>
      </c>
      <c r="AR17">
        <v>8.9412343628090697E-6</v>
      </c>
      <c r="AS17">
        <v>24.169004969891802</v>
      </c>
      <c r="AT17">
        <v>12.8753551294333</v>
      </c>
      <c r="AU17">
        <v>4.0928531556653498</v>
      </c>
      <c r="AV17">
        <v>0.32929613622405401</v>
      </c>
      <c r="AW17">
        <v>9.1385772832399698E-3</v>
      </c>
      <c r="AX17">
        <v>0.32929613404793401</v>
      </c>
      <c r="AY17">
        <v>2.1761200064141001E-9</v>
      </c>
      <c r="AZ17">
        <v>1249587.7925354501</v>
      </c>
      <c r="BA17">
        <v>1.26273004567298E-5</v>
      </c>
      <c r="BB17">
        <v>1653896.1311421699</v>
      </c>
      <c r="BC17">
        <v>2185.2387984185498</v>
      </c>
      <c r="BD17">
        <v>0.13230153100932401</v>
      </c>
      <c r="BE17">
        <v>1868148.63922634</v>
      </c>
      <c r="BF17">
        <v>0.885312922331009</v>
      </c>
      <c r="BG17">
        <v>1</v>
      </c>
      <c r="BH17">
        <v>0.106</v>
      </c>
      <c r="BI17">
        <v>4.5999999999999999E-2</v>
      </c>
      <c r="BJ17">
        <v>5625</v>
      </c>
      <c r="BK17">
        <v>1.0449538257886899</v>
      </c>
      <c r="BL17">
        <v>28.6243202433809</v>
      </c>
      <c r="BM17">
        <v>1.65389613114217</v>
      </c>
      <c r="BN17">
        <v>28.6243202433809</v>
      </c>
      <c r="BO17">
        <v>1.0449538257886899</v>
      </c>
      <c r="BP17">
        <v>129.406089925153</v>
      </c>
      <c r="BQ17">
        <v>1</v>
      </c>
      <c r="BR17">
        <v>1.524</v>
      </c>
      <c r="BS17">
        <v>16</v>
      </c>
      <c r="BT17">
        <v>103</v>
      </c>
      <c r="BU17" t="s">
        <v>304</v>
      </c>
      <c r="BV17" t="str">
        <f>"Table "&amp;TRIM(RIGHT(SUBSTITUTE($A17,"_",REPT(" ",50)),50))</f>
        <v>Table 8</v>
      </c>
      <c r="BW17">
        <f>$BR17/$Q17</f>
        <v>163.04347826086956</v>
      </c>
      <c r="BX17" t="str">
        <f>IF($BW17&lt;40,"outside_low",IF($BW17&lt;=100,"short_anchor",IF($BW17&lt;250,"middle",IF($BW17&lt;=400,"long","outside_high"))))</f>
        <v>middle</v>
      </c>
      <c r="BY17" t="str">
        <f>IF($N17&gt;1000,"PASS","FAIL")</f>
        <v>PASS</v>
      </c>
      <c r="BZ17" t="str">
        <f>IF(AND($BW17&gt;=40,$BW17&lt;=400),"PASS","FAIL")</f>
        <v>PASS</v>
      </c>
    </row>
    <row r="18" spans="1:78">
      <c r="A18" t="s">
        <v>172</v>
      </c>
      <c r="B18">
        <v>12065825.263044599</v>
      </c>
      <c r="C18">
        <v>598.16775841223</v>
      </c>
      <c r="D18">
        <v>70.719127092772794</v>
      </c>
      <c r="E18">
        <v>654.056980860061</v>
      </c>
      <c r="F18">
        <v>2683685.08837691</v>
      </c>
      <c r="G18">
        <v>1493933.1953330799</v>
      </c>
      <c r="H18">
        <v>2.11454043590923E-5</v>
      </c>
      <c r="I18">
        <v>7.6371158483287804E-5</v>
      </c>
      <c r="J18">
        <v>0.51093471001103696</v>
      </c>
      <c r="K18">
        <v>6848.0719740579098</v>
      </c>
      <c r="L18">
        <v>8.69531901762856E-3</v>
      </c>
      <c r="M18">
        <v>103</v>
      </c>
      <c r="N18">
        <v>2305.590828292</v>
      </c>
      <c r="O18">
        <v>2.8502295699234199E-6</v>
      </c>
      <c r="P18">
        <v>5.98473400508856E-3</v>
      </c>
      <c r="Q18">
        <v>1.905E-3</v>
      </c>
      <c r="R18">
        <v>0.15240000000000001</v>
      </c>
      <c r="S18">
        <v>3857058.69140625</v>
      </c>
      <c r="T18">
        <v>509.74524427840402</v>
      </c>
      <c r="U18">
        <v>587.91804533710604</v>
      </c>
      <c r="V18">
        <v>0.03</v>
      </c>
      <c r="W18">
        <v>57510.591892584504</v>
      </c>
      <c r="X18">
        <v>3.9249802747889001E-2</v>
      </c>
      <c r="Y18">
        <v>5.0475573345957896</v>
      </c>
      <c r="Z18">
        <v>5.04755734622014</v>
      </c>
      <c r="AA18">
        <v>-1.1624356588413301E-8</v>
      </c>
      <c r="AB18">
        <v>2.6167991399821499E-5</v>
      </c>
      <c r="AC18">
        <v>672.88181022482502</v>
      </c>
      <c r="AD18">
        <v>2014.1489646177099</v>
      </c>
      <c r="AE18">
        <v>587.91804608802101</v>
      </c>
      <c r="AF18">
        <v>7.5091566031915104E-7</v>
      </c>
      <c r="AG18">
        <v>2.6256109989475201E-5</v>
      </c>
      <c r="AH18">
        <v>39.874603525074001</v>
      </c>
      <c r="AI18">
        <v>0.246910976061682</v>
      </c>
      <c r="AJ18">
        <v>55.520962467391399</v>
      </c>
      <c r="AK18">
        <v>4.7548810398985299</v>
      </c>
      <c r="AL18">
        <v>1.0236047381170099</v>
      </c>
      <c r="AM18">
        <v>598.16775841007995</v>
      </c>
      <c r="AN18">
        <v>2.1499317881534799E-9</v>
      </c>
      <c r="AO18">
        <v>8.8118589653708306E-8</v>
      </c>
      <c r="AP18">
        <v>3.6370449753200398</v>
      </c>
      <c r="AQ18">
        <v>6.4717157992054603E-5</v>
      </c>
      <c r="AR18">
        <v>1.31721142895645E-5</v>
      </c>
      <c r="AS18">
        <v>27.853648669976302</v>
      </c>
      <c r="AT18">
        <v>13.584819846406599</v>
      </c>
      <c r="AU18">
        <v>3.3542411278983599</v>
      </c>
      <c r="AV18">
        <v>0.28280384742168102</v>
      </c>
      <c r="AW18">
        <v>1.4145212846796E-2</v>
      </c>
      <c r="AX18">
        <v>0.28280383728853298</v>
      </c>
      <c r="AY18">
        <v>1.01331482094125E-8</v>
      </c>
      <c r="AZ18">
        <v>1189751.8930438301</v>
      </c>
      <c r="BA18">
        <v>1.77938844394851E-5</v>
      </c>
      <c r="BB18">
        <v>3853618.8854156001</v>
      </c>
      <c r="BC18">
        <v>-3439.8059906465901</v>
      </c>
      <c r="BD18">
        <v>-8.9182101333087793E-2</v>
      </c>
      <c r="BE18">
        <v>3217681.8</v>
      </c>
      <c r="BF18">
        <v>1.1976382765429501</v>
      </c>
      <c r="BG18">
        <v>1</v>
      </c>
      <c r="BH18">
        <v>-2.1000000000000001E-2</v>
      </c>
      <c r="BI18">
        <v>4.5999999999999999E-2</v>
      </c>
      <c r="BJ18">
        <v>5625</v>
      </c>
      <c r="BK18">
        <v>1.03031973292028</v>
      </c>
      <c r="BL18">
        <v>88.422514133825999</v>
      </c>
      <c r="BM18">
        <v>3.8536188854155999</v>
      </c>
      <c r="BN18">
        <v>88.422514133825999</v>
      </c>
      <c r="BO18">
        <v>1.03031973292028</v>
      </c>
      <c r="BP18">
        <v>2344.73987504058</v>
      </c>
      <c r="BQ18">
        <v>1</v>
      </c>
      <c r="BR18">
        <v>0.15240000000000001</v>
      </c>
      <c r="BS18">
        <v>17</v>
      </c>
      <c r="BT18">
        <v>104</v>
      </c>
      <c r="BU18" t="s">
        <v>304</v>
      </c>
      <c r="BV18" t="str">
        <f>"Table "&amp;TRIM(RIGHT(SUBSTITUTE($A18,"_",REPT(" ",50)),50))</f>
        <v>Table 9</v>
      </c>
      <c r="BW18">
        <f>$BR18/$Q18</f>
        <v>80</v>
      </c>
      <c r="BX18" t="str">
        <f>IF($BW18&lt;40,"outside_low",IF($BW18&lt;=100,"short_anchor",IF($BW18&lt;250,"middle",IF($BW18&lt;=400,"long","outside_high"))))</f>
        <v>short_anchor</v>
      </c>
      <c r="BY18" t="str">
        <f>IF($N18&gt;1000,"PASS","FAIL")</f>
        <v>PASS</v>
      </c>
      <c r="BZ18" t="str">
        <f>IF(AND($BW18&gt;=40,$BW18&lt;=400),"PASS","FAIL")</f>
        <v>PASS</v>
      </c>
    </row>
    <row r="19" spans="1:78">
      <c r="A19" t="s">
        <v>173</v>
      </c>
      <c r="B19">
        <v>12065825.263044599</v>
      </c>
      <c r="C19">
        <v>598.16775841223</v>
      </c>
      <c r="D19">
        <v>70.719127092772794</v>
      </c>
      <c r="E19">
        <v>654.056980860061</v>
      </c>
      <c r="F19">
        <v>2683685.08837691</v>
      </c>
      <c r="G19">
        <v>1493933.1953330799</v>
      </c>
      <c r="H19">
        <v>2.11454043590923E-5</v>
      </c>
      <c r="I19">
        <v>7.6371158483287804E-5</v>
      </c>
      <c r="J19">
        <v>0.51093471001103696</v>
      </c>
      <c r="K19">
        <v>6848.0719740579098</v>
      </c>
      <c r="L19">
        <v>8.69531901762856E-3</v>
      </c>
      <c r="M19">
        <v>104</v>
      </c>
      <c r="N19">
        <v>2359.8400242518101</v>
      </c>
      <c r="O19">
        <v>2.8502295699234199E-6</v>
      </c>
      <c r="P19">
        <v>5.98473400508856E-3</v>
      </c>
      <c r="Q19">
        <v>1.905E-3</v>
      </c>
      <c r="R19">
        <v>0.15240000000000001</v>
      </c>
      <c r="S19">
        <v>4020291.50390625</v>
      </c>
      <c r="T19">
        <v>505.32839124330701</v>
      </c>
      <c r="U19">
        <v>584.93637846397996</v>
      </c>
      <c r="V19">
        <v>0.03</v>
      </c>
      <c r="W19">
        <v>58863.782290057097</v>
      </c>
      <c r="X19">
        <v>3.8799010040635601E-2</v>
      </c>
      <c r="Y19">
        <v>5.0767955918201002</v>
      </c>
      <c r="Z19">
        <v>5.0767956483501004</v>
      </c>
      <c r="AA19">
        <v>-5.6530007341848399E-8</v>
      </c>
      <c r="AB19">
        <v>2.5268913480376799E-5</v>
      </c>
      <c r="AC19">
        <v>675.24857522808804</v>
      </c>
      <c r="AD19">
        <v>2049.6678894582801</v>
      </c>
      <c r="AE19">
        <v>584.93637846397996</v>
      </c>
      <c r="AF19">
        <v>0</v>
      </c>
      <c r="AG19">
        <v>2.5358730315379799E-5</v>
      </c>
      <c r="AH19">
        <v>41.293357663586598</v>
      </c>
      <c r="AI19">
        <v>0.251265178533847</v>
      </c>
      <c r="AJ19">
        <v>54.569002881749199</v>
      </c>
      <c r="AK19">
        <v>4.9190398141274301</v>
      </c>
      <c r="AL19">
        <v>1.0236047381170099</v>
      </c>
      <c r="AM19">
        <v>598.16775826228297</v>
      </c>
      <c r="AN19">
        <v>1.4994702723924999E-7</v>
      </c>
      <c r="AO19">
        <v>8.9816835002942301E-8</v>
      </c>
      <c r="AP19">
        <v>3.6765923925159001</v>
      </c>
      <c r="AQ19">
        <v>6.3332380432550299E-5</v>
      </c>
      <c r="AR19">
        <v>1.27242735751914E-5</v>
      </c>
      <c r="AS19">
        <v>27.381139069556099</v>
      </c>
      <c r="AT19">
        <v>13.4992721062158</v>
      </c>
      <c r="AU19">
        <v>3.3918970158452999</v>
      </c>
      <c r="AV19">
        <v>0.28469537667060102</v>
      </c>
      <c r="AW19">
        <v>1.3659212666572501E-2</v>
      </c>
      <c r="AX19">
        <v>0.28469536409697099</v>
      </c>
      <c r="AY19">
        <v>1.25736293044021E-8</v>
      </c>
      <c r="AZ19">
        <v>1189751.8930438301</v>
      </c>
      <c r="BA19">
        <v>1.72258367725153E-5</v>
      </c>
      <c r="BB19">
        <v>4057414.8030130402</v>
      </c>
      <c r="BC19">
        <v>37123.299106785598</v>
      </c>
      <c r="BD19">
        <v>0.92339819315876304</v>
      </c>
      <c r="BE19">
        <v>3438503.1</v>
      </c>
      <c r="BF19">
        <v>1.1799945165130199</v>
      </c>
      <c r="BG19">
        <v>1</v>
      </c>
      <c r="BH19">
        <v>-2.1000000000000001E-2</v>
      </c>
      <c r="BI19">
        <v>4.5999999999999999E-2</v>
      </c>
      <c r="BJ19">
        <v>5625</v>
      </c>
      <c r="BK19">
        <v>1.02800228371192</v>
      </c>
      <c r="BL19">
        <v>92.839367168923005</v>
      </c>
      <c r="BM19">
        <v>4.0574148030130397</v>
      </c>
      <c r="BN19">
        <v>92.839367168923005</v>
      </c>
      <c r="BO19">
        <v>1.02800228371192</v>
      </c>
      <c r="BP19">
        <v>2791.99872281226</v>
      </c>
      <c r="BQ19">
        <v>1</v>
      </c>
      <c r="BR19">
        <v>0.15240000000000001</v>
      </c>
      <c r="BS19">
        <v>18</v>
      </c>
      <c r="BT19">
        <v>105</v>
      </c>
      <c r="BU19" t="s">
        <v>304</v>
      </c>
      <c r="BV19" t="str">
        <f>"Table "&amp;TRIM(RIGHT(SUBSTITUTE($A19,"_",REPT(" ",50)),50))</f>
        <v>Table 9</v>
      </c>
      <c r="BW19">
        <f>$BR19/$Q19</f>
        <v>80</v>
      </c>
      <c r="BX19" t="str">
        <f>IF($BW19&lt;40,"outside_low",IF($BW19&lt;=100,"short_anchor",IF($BW19&lt;250,"middle",IF($BW19&lt;=400,"long","outside_high"))))</f>
        <v>short_anchor</v>
      </c>
      <c r="BY19" t="str">
        <f>IF($N19&gt;1000,"PASS","FAIL")</f>
        <v>PASS</v>
      </c>
      <c r="BZ19" t="str">
        <f>IF(AND($BW19&gt;=40,$BW19&lt;=400),"PASS","FAIL")</f>
        <v>PASS</v>
      </c>
    </row>
    <row r="20" spans="1:78">
      <c r="A20" t="s">
        <v>174</v>
      </c>
      <c r="B20">
        <v>12065825.263044599</v>
      </c>
      <c r="C20">
        <v>598.16775841223</v>
      </c>
      <c r="D20">
        <v>70.719127092772794</v>
      </c>
      <c r="E20">
        <v>654.056980860061</v>
      </c>
      <c r="F20">
        <v>2683685.08837691</v>
      </c>
      <c r="G20">
        <v>1493933.1953330799</v>
      </c>
      <c r="H20">
        <v>2.11454043590923E-5</v>
      </c>
      <c r="I20">
        <v>7.6371158483287804E-5</v>
      </c>
      <c r="J20">
        <v>0.51093471001103696</v>
      </c>
      <c r="K20">
        <v>6848.0719740579098</v>
      </c>
      <c r="L20">
        <v>8.69531901762856E-3</v>
      </c>
      <c r="M20">
        <v>105</v>
      </c>
      <c r="N20">
        <v>2373.4023232417599</v>
      </c>
      <c r="O20">
        <v>2.8502295699234199E-6</v>
      </c>
      <c r="P20">
        <v>5.98473400508856E-3</v>
      </c>
      <c r="Q20">
        <v>1.905E-3</v>
      </c>
      <c r="R20">
        <v>0.15240000000000001</v>
      </c>
      <c r="S20">
        <v>4375214.86328125</v>
      </c>
      <c r="T20">
        <v>489.74374548652298</v>
      </c>
      <c r="U20">
        <v>575.884700978154</v>
      </c>
      <c r="V20">
        <v>0.03</v>
      </c>
      <c r="W20">
        <v>59202.079889425098</v>
      </c>
      <c r="X20">
        <v>3.8689057939631698E-2</v>
      </c>
      <c r="Y20">
        <v>5.0840044557431696</v>
      </c>
      <c r="Z20">
        <v>5.0840044978888601</v>
      </c>
      <c r="AA20">
        <v>-4.2145681611316403E-8</v>
      </c>
      <c r="AB20">
        <v>2.5051945446299999E-5</v>
      </c>
      <c r="AC20">
        <v>684.10966728582196</v>
      </c>
      <c r="AD20">
        <v>2058.5245604412498</v>
      </c>
      <c r="AE20">
        <v>575.884700978154</v>
      </c>
      <c r="AF20">
        <v>0</v>
      </c>
      <c r="AG20">
        <v>2.5147648779752999E-5</v>
      </c>
      <c r="AH20">
        <v>41.650988117952103</v>
      </c>
      <c r="AI20">
        <v>0.25235090223923201</v>
      </c>
      <c r="AJ20">
        <v>54.348611706532303</v>
      </c>
      <c r="AK20">
        <v>5.4880684550404304</v>
      </c>
      <c r="AL20">
        <v>1.0236047381170099</v>
      </c>
      <c r="AM20">
        <v>598.16775832424696</v>
      </c>
      <c r="AN20">
        <v>8.7982812146947306E-8</v>
      </c>
      <c r="AO20">
        <v>9.5703333453027006E-8</v>
      </c>
      <c r="AP20">
        <v>3.6869047125276899</v>
      </c>
      <c r="AQ20">
        <v>6.2978592930489394E-5</v>
      </c>
      <c r="AR20">
        <v>1.2621676056603E-5</v>
      </c>
      <c r="AS20">
        <v>27.277721949029502</v>
      </c>
      <c r="AT20">
        <v>13.480351616105899</v>
      </c>
      <c r="AU20">
        <v>3.4017788928264001</v>
      </c>
      <c r="AV20">
        <v>0.28512581970129303</v>
      </c>
      <c r="AW20">
        <v>1.3541929724367401E-2</v>
      </c>
      <c r="AX20">
        <v>0.28512580312506097</v>
      </c>
      <c r="AY20">
        <v>1.6576232275689101E-8</v>
      </c>
      <c r="AZ20">
        <v>1189751.8930438301</v>
      </c>
      <c r="BA20">
        <v>1.7081698020698799E-5</v>
      </c>
      <c r="BB20">
        <v>4359814.5347021502</v>
      </c>
      <c r="BC20">
        <v>-15400.3285790961</v>
      </c>
      <c r="BD20">
        <v>-0.35199022357376197</v>
      </c>
      <c r="BE20">
        <v>3974783.4</v>
      </c>
      <c r="BF20">
        <v>1.0968684569584699</v>
      </c>
      <c r="BG20">
        <v>1</v>
      </c>
      <c r="BH20">
        <v>-2.3E-2</v>
      </c>
      <c r="BI20">
        <v>4.5999999999999999E-2</v>
      </c>
      <c r="BJ20">
        <v>5625</v>
      </c>
      <c r="BK20">
        <v>1.0200116238979999</v>
      </c>
      <c r="BL20">
        <v>108.424012925707</v>
      </c>
      <c r="BM20">
        <v>4.3598145347021502</v>
      </c>
      <c r="BN20">
        <v>108.424012925707</v>
      </c>
      <c r="BO20">
        <v>1.0200116238979999</v>
      </c>
      <c r="BP20">
        <v>4681.8455448573204</v>
      </c>
      <c r="BQ20">
        <v>1</v>
      </c>
      <c r="BR20">
        <v>0.15240000000000001</v>
      </c>
      <c r="BS20">
        <v>19</v>
      </c>
      <c r="BT20">
        <v>106</v>
      </c>
      <c r="BU20" t="s">
        <v>304</v>
      </c>
      <c r="BV20" t="str">
        <f>"Table "&amp;TRIM(RIGHT(SUBSTITUTE($A20,"_",REPT(" ",50)),50))</f>
        <v>Table 9</v>
      </c>
      <c r="BW20">
        <f>$BR20/$Q20</f>
        <v>80</v>
      </c>
      <c r="BX20" t="str">
        <f>IF($BW20&lt;40,"outside_low",IF($BW20&lt;=100,"short_anchor",IF($BW20&lt;250,"middle",IF($BW20&lt;=400,"long","outside_high"))))</f>
        <v>short_anchor</v>
      </c>
      <c r="BY20" t="str">
        <f>IF($N20&gt;1000,"PASS","FAIL")</f>
        <v>PASS</v>
      </c>
      <c r="BZ20" t="str">
        <f>IF(AND($BW20&gt;=40,$BW20&lt;=400),"PASS","FAIL")</f>
        <v>PASS</v>
      </c>
    </row>
    <row r="21" spans="1:78">
      <c r="A21" t="s">
        <v>175</v>
      </c>
      <c r="B21">
        <v>12065825.263044599</v>
      </c>
      <c r="C21">
        <v>598.16775841223</v>
      </c>
      <c r="D21">
        <v>70.719127092772794</v>
      </c>
      <c r="E21">
        <v>654.056980860061</v>
      </c>
      <c r="F21">
        <v>2683685.08837691</v>
      </c>
      <c r="G21">
        <v>1493933.1953330799</v>
      </c>
      <c r="H21">
        <v>2.11454043590923E-5</v>
      </c>
      <c r="I21">
        <v>7.6371158483287804E-5</v>
      </c>
      <c r="J21">
        <v>0.51093471001103696</v>
      </c>
      <c r="K21">
        <v>6848.0719740579098</v>
      </c>
      <c r="L21">
        <v>8.69531901762856E-3</v>
      </c>
      <c r="M21">
        <v>106</v>
      </c>
      <c r="N21">
        <v>2427.65151920157</v>
      </c>
      <c r="O21">
        <v>2.8502295699234199E-6</v>
      </c>
      <c r="P21">
        <v>5.98473400508856E-3</v>
      </c>
      <c r="Q21">
        <v>1.905E-3</v>
      </c>
      <c r="R21">
        <v>0.15240000000000001</v>
      </c>
      <c r="S21">
        <v>4487121.9273437504</v>
      </c>
      <c r="T21">
        <v>488.095222083176</v>
      </c>
      <c r="U21">
        <v>574.46527533425694</v>
      </c>
      <c r="V21">
        <v>0.03</v>
      </c>
      <c r="W21">
        <v>60555.270286897699</v>
      </c>
      <c r="X21">
        <v>3.82597250109772E-2</v>
      </c>
      <c r="Y21">
        <v>5.1124500501846102</v>
      </c>
      <c r="Z21">
        <v>5.1124500834252897</v>
      </c>
      <c r="AA21">
        <v>-3.3240684871316301E-8</v>
      </c>
      <c r="AB21">
        <v>2.42135130078799E-5</v>
      </c>
      <c r="AC21">
        <v>684.86848013682004</v>
      </c>
      <c r="AD21">
        <v>2093.8611544431301</v>
      </c>
      <c r="AE21">
        <v>574.46527619924996</v>
      </c>
      <c r="AF21">
        <v>8.6499278495466601E-7</v>
      </c>
      <c r="AG21">
        <v>2.43089584043928E-5</v>
      </c>
      <c r="AH21">
        <v>43.093221614552803</v>
      </c>
      <c r="AI21">
        <v>0.25668275309484001</v>
      </c>
      <c r="AJ21">
        <v>53.437883157933904</v>
      </c>
      <c r="AK21">
        <v>5.5515018189170204</v>
      </c>
      <c r="AL21">
        <v>1.0236047381170099</v>
      </c>
      <c r="AM21">
        <v>598.16775825811396</v>
      </c>
      <c r="AN21">
        <v>1.5411558251798899E-7</v>
      </c>
      <c r="AO21">
        <v>9.5445396512858901E-8</v>
      </c>
      <c r="AP21">
        <v>3.72564411606107</v>
      </c>
      <c r="AQ21">
        <v>6.1675694037139494E-5</v>
      </c>
      <c r="AR21">
        <v>1.22022019004528E-5</v>
      </c>
      <c r="AS21">
        <v>26.823849404756299</v>
      </c>
      <c r="AT21">
        <v>13.3964569747515</v>
      </c>
      <c r="AU21">
        <v>3.43863945799577</v>
      </c>
      <c r="AV21">
        <v>0.28700465806529402</v>
      </c>
      <c r="AW21">
        <v>1.30887117024756E-2</v>
      </c>
      <c r="AX21">
        <v>0.28700462443027303</v>
      </c>
      <c r="AY21">
        <v>3.3635020990630002E-8</v>
      </c>
      <c r="AZ21">
        <v>1189751.8930438301</v>
      </c>
      <c r="BA21">
        <v>1.65543707653822E-5</v>
      </c>
      <c r="BB21">
        <v>4486568.4552206099</v>
      </c>
      <c r="BC21">
        <v>-553.47212313674402</v>
      </c>
      <c r="BD21">
        <v>-1.23346798259254E-2</v>
      </c>
      <c r="BE21">
        <v>4069421.1</v>
      </c>
      <c r="BF21">
        <v>1.1025077879555401</v>
      </c>
      <c r="BG21">
        <v>1</v>
      </c>
      <c r="BH21">
        <v>-2.9000000000000001E-2</v>
      </c>
      <c r="BI21">
        <v>4.5999999999999999E-2</v>
      </c>
      <c r="BJ21">
        <v>5625</v>
      </c>
      <c r="BK21">
        <v>1.0192156298270201</v>
      </c>
      <c r="BL21">
        <v>110.072536329054</v>
      </c>
      <c r="BM21">
        <v>4.4865684552206098</v>
      </c>
      <c r="BN21">
        <v>110.072536329054</v>
      </c>
      <c r="BO21">
        <v>1.0192156298270201</v>
      </c>
      <c r="BP21">
        <v>4910.1603475865904</v>
      </c>
      <c r="BQ21">
        <v>1</v>
      </c>
      <c r="BR21">
        <v>0.15240000000000001</v>
      </c>
      <c r="BS21">
        <v>20</v>
      </c>
      <c r="BT21">
        <v>107</v>
      </c>
      <c r="BU21" t="s">
        <v>304</v>
      </c>
      <c r="BV21" t="str">
        <f>"Table "&amp;TRIM(RIGHT(SUBSTITUTE($A21,"_",REPT(" ",50)),50))</f>
        <v>Table 9</v>
      </c>
      <c r="BW21">
        <f>$BR21/$Q21</f>
        <v>80</v>
      </c>
      <c r="BX21" t="str">
        <f>IF($BW21&lt;40,"outside_low",IF($BW21&lt;=100,"short_anchor",IF($BW21&lt;250,"middle",IF($BW21&lt;=400,"long","outside_high"))))</f>
        <v>short_anchor</v>
      </c>
      <c r="BY21" t="str">
        <f>IF($N21&gt;1000,"PASS","FAIL")</f>
        <v>PASS</v>
      </c>
      <c r="BZ21" t="str">
        <f>IF(AND($BW21&gt;=40,$BW21&lt;=400),"PASS","FAIL")</f>
        <v>PASS</v>
      </c>
    </row>
    <row r="22" spans="1:78">
      <c r="A22" t="s">
        <v>176</v>
      </c>
      <c r="B22">
        <v>12065825.263044599</v>
      </c>
      <c r="C22">
        <v>598.16775841223</v>
      </c>
      <c r="D22">
        <v>70.719127092772794</v>
      </c>
      <c r="E22">
        <v>654.056980860061</v>
      </c>
      <c r="F22">
        <v>2683685.08837691</v>
      </c>
      <c r="G22">
        <v>1493933.1953330799</v>
      </c>
      <c r="H22">
        <v>2.11454043590923E-5</v>
      </c>
      <c r="I22">
        <v>7.6371158483287804E-5</v>
      </c>
      <c r="J22">
        <v>0.51093471001103696</v>
      </c>
      <c r="K22">
        <v>6848.0719740579098</v>
      </c>
      <c r="L22">
        <v>8.69531901762856E-3</v>
      </c>
      <c r="M22">
        <v>107</v>
      </c>
      <c r="N22">
        <v>2509.0253131412901</v>
      </c>
      <c r="O22">
        <v>2.8502295699234199E-6</v>
      </c>
      <c r="P22">
        <v>5.98473400508856E-3</v>
      </c>
      <c r="Q22">
        <v>1.905E-3</v>
      </c>
      <c r="R22">
        <v>0.15240000000000001</v>
      </c>
      <c r="S22">
        <v>5379198.47265625</v>
      </c>
      <c r="T22">
        <v>457.53598356801803</v>
      </c>
      <c r="U22">
        <v>557.71901935622702</v>
      </c>
      <c r="V22">
        <v>0.03</v>
      </c>
      <c r="W22">
        <v>62585.055883106601</v>
      </c>
      <c r="X22">
        <v>3.7645423118246299E-2</v>
      </c>
      <c r="Y22">
        <v>5.1539939996903597</v>
      </c>
      <c r="Z22">
        <v>5.1539940048134598</v>
      </c>
      <c r="AA22">
        <v>-5.1230975017801897E-9</v>
      </c>
      <c r="AB22">
        <v>2.3038280944948399E-5</v>
      </c>
      <c r="AC22">
        <v>703.51372423896896</v>
      </c>
      <c r="AD22">
        <v>2146.6030722262399</v>
      </c>
      <c r="AE22">
        <v>557.719019356226</v>
      </c>
      <c r="AF22">
        <v>0</v>
      </c>
      <c r="AG22">
        <v>2.3148327944537299E-5</v>
      </c>
      <c r="AH22">
        <v>45.291499162146501</v>
      </c>
      <c r="AI22">
        <v>0.26314829195415801</v>
      </c>
      <c r="AJ22">
        <v>52.1682644437211</v>
      </c>
      <c r="AK22">
        <v>6.7714326733730399</v>
      </c>
      <c r="AL22">
        <v>1.0236047381170099</v>
      </c>
      <c r="AM22">
        <v>598.16775834515101</v>
      </c>
      <c r="AN22">
        <v>6.7078758547722801E-8</v>
      </c>
      <c r="AO22">
        <v>1.10046999588954E-7</v>
      </c>
      <c r="AP22">
        <v>3.7843693500430602</v>
      </c>
      <c r="AQ22">
        <v>5.9776398778809397E-5</v>
      </c>
      <c r="AR22">
        <v>1.16291874720632E-5</v>
      </c>
      <c r="AS22">
        <v>26.208136015775001</v>
      </c>
      <c r="AT22">
        <v>13.280349487571501</v>
      </c>
      <c r="AU22">
        <v>3.49470128420871</v>
      </c>
      <c r="AV22">
        <v>0.289668065834356</v>
      </c>
      <c r="AW22">
        <v>1.2453435290902801E-2</v>
      </c>
      <c r="AX22">
        <v>0.28966806100559001</v>
      </c>
      <c r="AY22">
        <v>4.8287662757218203E-9</v>
      </c>
      <c r="AZ22">
        <v>1189751.8930438301</v>
      </c>
      <c r="BA22">
        <v>1.5795603771637501E-5</v>
      </c>
      <c r="BB22">
        <v>5421431.3756663101</v>
      </c>
      <c r="BC22">
        <v>42232.903010063797</v>
      </c>
      <c r="BD22">
        <v>0.78511516585126395</v>
      </c>
      <c r="BE22">
        <v>5110435.8</v>
      </c>
      <c r="BF22">
        <v>1.0608550009896001</v>
      </c>
      <c r="BG22">
        <v>1</v>
      </c>
      <c r="BH22">
        <v>-4.5999999999999999E-2</v>
      </c>
      <c r="BI22">
        <v>4.5999999999999999E-2</v>
      </c>
      <c r="BJ22">
        <v>5625</v>
      </c>
      <c r="BK22">
        <v>1.0076013780636099</v>
      </c>
      <c r="BL22">
        <v>140.631774844212</v>
      </c>
      <c r="BM22">
        <v>5.4214313756663097</v>
      </c>
      <c r="BN22">
        <v>140.631774844212</v>
      </c>
      <c r="BO22">
        <v>1.0076013780636099</v>
      </c>
      <c r="BP22">
        <v>10126.7541082962</v>
      </c>
      <c r="BQ22">
        <v>1</v>
      </c>
      <c r="BR22">
        <v>0.15240000000000001</v>
      </c>
      <c r="BS22">
        <v>21</v>
      </c>
      <c r="BT22">
        <v>108</v>
      </c>
      <c r="BU22" t="s">
        <v>304</v>
      </c>
      <c r="BV22" t="str">
        <f>"Table "&amp;TRIM(RIGHT(SUBSTITUTE($A22,"_",REPT(" ",50)),50))</f>
        <v>Table 9</v>
      </c>
      <c r="BW22">
        <f>$BR22/$Q22</f>
        <v>80</v>
      </c>
      <c r="BX22" t="str">
        <f>IF($BW22&lt;40,"outside_low",IF($BW22&lt;=100,"short_anchor",IF($BW22&lt;250,"middle",IF($BW22&lt;=400,"long","outside_high"))))</f>
        <v>short_anchor</v>
      </c>
      <c r="BY22" t="str">
        <f>IF($N22&gt;1000,"PASS","FAIL")</f>
        <v>PASS</v>
      </c>
      <c r="BZ22" t="str">
        <f>IF(AND($BW22&gt;=40,$BW22&lt;=400),"PASS","FAIL")</f>
        <v>PASS</v>
      </c>
    </row>
    <row r="23" spans="1:78">
      <c r="A23" t="s">
        <v>177</v>
      </c>
      <c r="B23">
        <v>12065825.263044599</v>
      </c>
      <c r="C23">
        <v>598.16775841223</v>
      </c>
      <c r="D23">
        <v>70.719127092772794</v>
      </c>
      <c r="E23">
        <v>654.056980860061</v>
      </c>
      <c r="F23">
        <v>2683685.08837691</v>
      </c>
      <c r="G23">
        <v>1493933.1953330799</v>
      </c>
      <c r="H23">
        <v>2.11454043590923E-5</v>
      </c>
      <c r="I23">
        <v>7.6371158483287804E-5</v>
      </c>
      <c r="J23">
        <v>0.51093471001103696</v>
      </c>
      <c r="K23">
        <v>6848.0719740579098</v>
      </c>
      <c r="L23">
        <v>8.69531901762856E-3</v>
      </c>
      <c r="M23">
        <v>108</v>
      </c>
      <c r="N23">
        <v>2509.0253131412901</v>
      </c>
      <c r="O23">
        <v>2.8502295699234199E-6</v>
      </c>
      <c r="P23">
        <v>5.98473400508856E-3</v>
      </c>
      <c r="Q23">
        <v>1.905E-3</v>
      </c>
      <c r="R23">
        <v>0.15240000000000001</v>
      </c>
      <c r="S23">
        <v>5362766.83203125</v>
      </c>
      <c r="T23">
        <v>458.12079612380802</v>
      </c>
      <c r="U23">
        <v>557.99780646061095</v>
      </c>
      <c r="V23">
        <v>0.03</v>
      </c>
      <c r="W23">
        <v>62585.055883106601</v>
      </c>
      <c r="X23">
        <v>3.7645423118246299E-2</v>
      </c>
      <c r="Y23">
        <v>5.1539939996903597</v>
      </c>
      <c r="Z23">
        <v>5.1539940048134598</v>
      </c>
      <c r="AA23">
        <v>-5.1230975017801897E-9</v>
      </c>
      <c r="AB23">
        <v>2.3038280944948399E-5</v>
      </c>
      <c r="AC23">
        <v>703.12266712273299</v>
      </c>
      <c r="AD23">
        <v>2146.6030722262399</v>
      </c>
      <c r="AE23">
        <v>557.997807499842</v>
      </c>
      <c r="AF23">
        <v>1.03923059668887E-6</v>
      </c>
      <c r="AG23">
        <v>2.3147444128526501E-5</v>
      </c>
      <c r="AH23">
        <v>45.291499162146501</v>
      </c>
      <c r="AI23">
        <v>0.26314829195415801</v>
      </c>
      <c r="AJ23">
        <v>52.166272630425297</v>
      </c>
      <c r="AK23">
        <v>6.7463376791330898</v>
      </c>
      <c r="AL23">
        <v>1.0236047381170099</v>
      </c>
      <c r="AM23">
        <v>598.16775834548503</v>
      </c>
      <c r="AN23">
        <v>6.6744860305334402E-8</v>
      </c>
      <c r="AO23">
        <v>1.0916318357807899E-7</v>
      </c>
      <c r="AP23">
        <v>3.7842764603949601</v>
      </c>
      <c r="AQ23">
        <v>5.9779333383008399E-5</v>
      </c>
      <c r="AR23">
        <v>1.16283036560523E-5</v>
      </c>
      <c r="AS23">
        <v>26.206144202479202</v>
      </c>
      <c r="AT23">
        <v>13.279969474092599</v>
      </c>
      <c r="AU23">
        <v>3.4946012843108298</v>
      </c>
      <c r="AV23">
        <v>0.28967517608413001</v>
      </c>
      <c r="AW23">
        <v>1.2453435290902801E-2</v>
      </c>
      <c r="AX23">
        <v>0.28967517125890702</v>
      </c>
      <c r="AY23">
        <v>4.8252232764944803E-9</v>
      </c>
      <c r="AZ23">
        <v>1189751.8930438301</v>
      </c>
      <c r="BA23">
        <v>1.5796766966853501E-5</v>
      </c>
      <c r="BB23">
        <v>5377494.4523688396</v>
      </c>
      <c r="BC23">
        <v>14727.620337586801</v>
      </c>
      <c r="BD23">
        <v>0.27462727354880101</v>
      </c>
      <c r="BE23">
        <v>5110435.8</v>
      </c>
      <c r="BF23">
        <v>1.05225751047862</v>
      </c>
      <c r="BG23">
        <v>1</v>
      </c>
      <c r="BH23">
        <v>-4.2999999999999997E-2</v>
      </c>
      <c r="BI23">
        <v>4.5999999999999999E-2</v>
      </c>
      <c r="BJ23">
        <v>5625</v>
      </c>
      <c r="BK23">
        <v>1.0077616384810699</v>
      </c>
      <c r="BL23">
        <v>140.04696228842201</v>
      </c>
      <c r="BM23">
        <v>5.3774944523688397</v>
      </c>
      <c r="BN23">
        <v>140.04696228842201</v>
      </c>
      <c r="BO23">
        <v>1.0077616384810699</v>
      </c>
      <c r="BP23">
        <v>10009.3946631409</v>
      </c>
      <c r="BQ23">
        <v>1</v>
      </c>
      <c r="BR23">
        <v>0.15240000000000001</v>
      </c>
      <c r="BS23">
        <v>22</v>
      </c>
      <c r="BT23">
        <v>109</v>
      </c>
      <c r="BU23" t="s">
        <v>304</v>
      </c>
      <c r="BV23" t="str">
        <f>"Table "&amp;TRIM(RIGHT(SUBSTITUTE($A23,"_",REPT(" ",50)),50))</f>
        <v>Table 9</v>
      </c>
      <c r="BW23">
        <f>$BR23/$Q23</f>
        <v>80</v>
      </c>
      <c r="BX23" t="str">
        <f>IF($BW23&lt;40,"outside_low",IF($BW23&lt;=100,"short_anchor",IF($BW23&lt;250,"middle",IF($BW23&lt;=400,"long","outside_high"))))</f>
        <v>short_anchor</v>
      </c>
      <c r="BY23" t="str">
        <f>IF($N23&gt;1000,"PASS","FAIL")</f>
        <v>PASS</v>
      </c>
      <c r="BZ23" t="str">
        <f>IF(AND($BW23&gt;=40,$BW23&lt;=400),"PASS","FAIL")</f>
        <v>PASS</v>
      </c>
    </row>
    <row r="24" spans="1:78">
      <c r="A24" t="s">
        <v>178</v>
      </c>
      <c r="B24">
        <v>12065825.263044599</v>
      </c>
      <c r="C24">
        <v>598.16775841223</v>
      </c>
      <c r="D24">
        <v>70.719127092772794</v>
      </c>
      <c r="E24">
        <v>654.056980860061</v>
      </c>
      <c r="F24">
        <v>2683685.08837691</v>
      </c>
      <c r="G24">
        <v>1493933.1953330799</v>
      </c>
      <c r="H24">
        <v>2.11454043590923E-5</v>
      </c>
      <c r="I24">
        <v>7.6371158483287804E-5</v>
      </c>
      <c r="J24">
        <v>0.51093471001103696</v>
      </c>
      <c r="K24">
        <v>6848.0719740579098</v>
      </c>
      <c r="L24">
        <v>8.69531901762856E-3</v>
      </c>
      <c r="M24">
        <v>109</v>
      </c>
      <c r="N24">
        <v>2563.2745091011002</v>
      </c>
      <c r="O24">
        <v>2.8502295699234199E-6</v>
      </c>
      <c r="P24">
        <v>5.98473400508856E-3</v>
      </c>
      <c r="Q24">
        <v>1.905E-3</v>
      </c>
      <c r="R24">
        <v>0.15240000000000001</v>
      </c>
      <c r="S24">
        <v>4928637.08984375</v>
      </c>
      <c r="T24">
        <v>477.56256686264697</v>
      </c>
      <c r="U24">
        <v>567.41159511937599</v>
      </c>
      <c r="V24">
        <v>0.03</v>
      </c>
      <c r="W24">
        <v>63938.2462805791</v>
      </c>
      <c r="X24">
        <v>3.72543332247815E-2</v>
      </c>
      <c r="Y24">
        <v>5.1809762634966701</v>
      </c>
      <c r="Z24">
        <v>5.1809763082277902</v>
      </c>
      <c r="AA24">
        <v>-4.4731123693963997E-8</v>
      </c>
      <c r="AB24">
        <v>2.2305158130225799E-5</v>
      </c>
      <c r="AC24">
        <v>690.562191875812</v>
      </c>
      <c r="AD24">
        <v>2181.5949940127598</v>
      </c>
      <c r="AE24">
        <v>567.41159603812196</v>
      </c>
      <c r="AF24">
        <v>9.1874596819252495E-7</v>
      </c>
      <c r="AG24">
        <v>2.2402605972958301E-5</v>
      </c>
      <c r="AH24">
        <v>46.780133815839598</v>
      </c>
      <c r="AI24">
        <v>0.26743789004961099</v>
      </c>
      <c r="AJ24">
        <v>51.3106698618857</v>
      </c>
      <c r="AK24">
        <v>5.9547948272913098</v>
      </c>
      <c r="AL24">
        <v>1.0236047381170099</v>
      </c>
      <c r="AM24">
        <v>598.16775833873703</v>
      </c>
      <c r="AN24">
        <v>7.3493197305651794E-8</v>
      </c>
      <c r="AO24">
        <v>9.7447842732471605E-8</v>
      </c>
      <c r="AP24">
        <v>3.82056672782304</v>
      </c>
      <c r="AQ24">
        <v>5.8649079725051099E-5</v>
      </c>
      <c r="AR24">
        <v>1.12500269078454E-5</v>
      </c>
      <c r="AS24">
        <v>25.766931637442902</v>
      </c>
      <c r="AT24">
        <v>13.1954597517183</v>
      </c>
      <c r="AU24">
        <v>3.5289659142341101</v>
      </c>
      <c r="AV24">
        <v>0.29160081358893802</v>
      </c>
      <c r="AW24">
        <v>1.2057142809044101E-2</v>
      </c>
      <c r="AX24">
        <v>0.29160080679732697</v>
      </c>
      <c r="AY24">
        <v>6.79161077377088E-9</v>
      </c>
      <c r="AZ24">
        <v>1189751.8930438301</v>
      </c>
      <c r="BA24">
        <v>1.5350884804064001E-5</v>
      </c>
      <c r="BB24">
        <v>4939816.3862172002</v>
      </c>
      <c r="BC24">
        <v>11179.296373453</v>
      </c>
      <c r="BD24">
        <v>0.22682328135885099</v>
      </c>
      <c r="BE24">
        <v>4605701.4000000004</v>
      </c>
      <c r="BF24">
        <v>1.0725437793724999</v>
      </c>
      <c r="BG24">
        <v>1</v>
      </c>
      <c r="BH24">
        <v>-3.5999999999999997E-2</v>
      </c>
      <c r="BI24">
        <v>4.5999999999999999E-2</v>
      </c>
      <c r="BJ24">
        <v>5625</v>
      </c>
      <c r="BK24">
        <v>1.0144918173432</v>
      </c>
      <c r="BL24">
        <v>120.605191549583</v>
      </c>
      <c r="BM24">
        <v>4.9398163862172</v>
      </c>
      <c r="BN24">
        <v>120.605191549583</v>
      </c>
      <c r="BO24">
        <v>1.0144918173432</v>
      </c>
      <c r="BP24">
        <v>6497.1969047449702</v>
      </c>
      <c r="BQ24">
        <v>1</v>
      </c>
      <c r="BR24">
        <v>0.15240000000000001</v>
      </c>
      <c r="BS24">
        <v>23</v>
      </c>
      <c r="BT24">
        <v>110</v>
      </c>
      <c r="BU24" t="s">
        <v>304</v>
      </c>
      <c r="BV24" t="str">
        <f>"Table "&amp;TRIM(RIGHT(SUBSTITUTE($A24,"_",REPT(" ",50)),50))</f>
        <v>Table 9</v>
      </c>
      <c r="BW24">
        <f>$BR24/$Q24</f>
        <v>80</v>
      </c>
      <c r="BX24" t="str">
        <f>IF($BW24&lt;40,"outside_low",IF($BW24&lt;=100,"short_anchor",IF($BW24&lt;250,"middle",IF($BW24&lt;=400,"long","outside_high"))))</f>
        <v>short_anchor</v>
      </c>
      <c r="BY24" t="str">
        <f>IF($N24&gt;1000,"PASS","FAIL")</f>
        <v>PASS</v>
      </c>
      <c r="BZ24" t="str">
        <f>IF(AND($BW24&gt;=40,$BW24&lt;=400),"PASS","FAIL")</f>
        <v>PASS</v>
      </c>
    </row>
    <row r="25" spans="1:78">
      <c r="A25" t="s">
        <v>179</v>
      </c>
      <c r="B25">
        <v>12065825.263044599</v>
      </c>
      <c r="C25">
        <v>598.16775841223</v>
      </c>
      <c r="D25">
        <v>70.719127092772794</v>
      </c>
      <c r="E25">
        <v>654.056980860061</v>
      </c>
      <c r="F25">
        <v>2683685.08837691</v>
      </c>
      <c r="G25">
        <v>1493933.1953330799</v>
      </c>
      <c r="H25">
        <v>2.11454043590923E-5</v>
      </c>
      <c r="I25">
        <v>7.6371158483287804E-5</v>
      </c>
      <c r="J25">
        <v>0.51093471001103696</v>
      </c>
      <c r="K25">
        <v>6848.0719740579098</v>
      </c>
      <c r="L25">
        <v>8.69531901762856E-3</v>
      </c>
      <c r="M25">
        <v>110</v>
      </c>
      <c r="N25">
        <v>2576.83680809105</v>
      </c>
      <c r="O25">
        <v>2.8502295699234199E-6</v>
      </c>
      <c r="P25">
        <v>5.98473400508856E-3</v>
      </c>
      <c r="Q25">
        <v>1.905E-3</v>
      </c>
      <c r="R25">
        <v>0.15240000000000001</v>
      </c>
      <c r="S25">
        <v>4626003.37890625</v>
      </c>
      <c r="T25">
        <v>490.87515158354</v>
      </c>
      <c r="U25">
        <v>574.76331615706295</v>
      </c>
      <c r="V25">
        <v>0.03</v>
      </c>
      <c r="W25">
        <v>64276.543879947203</v>
      </c>
      <c r="X25">
        <v>3.71587429954593E-2</v>
      </c>
      <c r="Y25">
        <v>5.1876359695613896</v>
      </c>
      <c r="Z25">
        <v>5.1876360006330202</v>
      </c>
      <c r="AA25">
        <v>-3.1071621720002401E-8</v>
      </c>
      <c r="AB25">
        <v>2.2127762093614899E-5</v>
      </c>
      <c r="AC25">
        <v>682.72461253362997</v>
      </c>
      <c r="AD25">
        <v>2190.3223508466499</v>
      </c>
      <c r="AE25">
        <v>574.76331700132198</v>
      </c>
      <c r="AF25">
        <v>8.4425869317783498E-7</v>
      </c>
      <c r="AG25">
        <v>2.22180334509275E-5</v>
      </c>
      <c r="AH25">
        <v>47.155165429789001</v>
      </c>
      <c r="AI25">
        <v>0.268507761361092</v>
      </c>
      <c r="AJ25">
        <v>51.091501584698101</v>
      </c>
      <c r="AK25">
        <v>5.4534263051481897</v>
      </c>
      <c r="AL25">
        <v>1.0236047381170099</v>
      </c>
      <c r="AM25">
        <v>598.16775836977899</v>
      </c>
      <c r="AN25">
        <v>4.2450892578926902E-8</v>
      </c>
      <c r="AO25">
        <v>9.0271357312549995E-8</v>
      </c>
      <c r="AP25">
        <v>3.82907022003663</v>
      </c>
      <c r="AQ25">
        <v>5.8388876495435799E-5</v>
      </c>
      <c r="AR25">
        <v>1.115415240412E-5</v>
      </c>
      <c r="AS25">
        <v>25.649542588445101</v>
      </c>
      <c r="AT25">
        <v>13.1726286932431</v>
      </c>
      <c r="AU25">
        <v>3.5369530416635899</v>
      </c>
      <c r="AV25">
        <v>0.29211717837303802</v>
      </c>
      <c r="AW25">
        <v>1.19612506689979E-2</v>
      </c>
      <c r="AX25">
        <v>0.29211717106114599</v>
      </c>
      <c r="AY25">
        <v>7.3118919252657097E-9</v>
      </c>
      <c r="AZ25">
        <v>1189751.8930438301</v>
      </c>
      <c r="BA25">
        <v>1.52488393108856E-5</v>
      </c>
      <c r="BB25">
        <v>4606649.5473798597</v>
      </c>
      <c r="BC25">
        <v>-19353.831526393999</v>
      </c>
      <c r="BD25">
        <v>-0.418370458064169</v>
      </c>
      <c r="BE25">
        <v>3974783.4</v>
      </c>
      <c r="BF25">
        <v>1.1589686993710999</v>
      </c>
      <c r="BG25">
        <v>1</v>
      </c>
      <c r="BH25">
        <v>-5.3999999999999999E-2</v>
      </c>
      <c r="BI25">
        <v>4.5999999999999999E-2</v>
      </c>
      <c r="BJ25">
        <v>5625</v>
      </c>
      <c r="BK25">
        <v>1.02056542332158</v>
      </c>
      <c r="BL25">
        <v>107.29260682869</v>
      </c>
      <c r="BM25">
        <v>4.6066495473798597</v>
      </c>
      <c r="BN25">
        <v>107.29260682869</v>
      </c>
      <c r="BO25">
        <v>1.02056542332158</v>
      </c>
      <c r="BP25">
        <v>4528.2949338006601</v>
      </c>
      <c r="BQ25">
        <v>1</v>
      </c>
      <c r="BR25">
        <v>0.15240000000000001</v>
      </c>
      <c r="BS25">
        <v>24</v>
      </c>
      <c r="BT25">
        <v>111</v>
      </c>
      <c r="BU25" t="s">
        <v>304</v>
      </c>
      <c r="BV25" t="str">
        <f>"Table "&amp;TRIM(RIGHT(SUBSTITUTE($A25,"_",REPT(" ",50)),50))</f>
        <v>Table 9</v>
      </c>
      <c r="BW25">
        <f>$BR25/$Q25</f>
        <v>80</v>
      </c>
      <c r="BX25" t="str">
        <f>IF($BW25&lt;40,"outside_low",IF($BW25&lt;=100,"short_anchor",IF($BW25&lt;250,"middle",IF($BW25&lt;=400,"long","outside_high"))))</f>
        <v>short_anchor</v>
      </c>
      <c r="BY25" t="str">
        <f>IF($N25&gt;1000,"PASS","FAIL")</f>
        <v>PASS</v>
      </c>
      <c r="BZ25" t="str">
        <f>IF(AND($BW25&gt;=40,$BW25&lt;=400),"PASS","FAIL")</f>
        <v>PASS</v>
      </c>
    </row>
    <row r="26" spans="1:78">
      <c r="A26" t="s">
        <v>180</v>
      </c>
      <c r="B26">
        <v>12065825.263044599</v>
      </c>
      <c r="C26">
        <v>598.16775841223</v>
      </c>
      <c r="D26">
        <v>70.719127092772794</v>
      </c>
      <c r="E26">
        <v>654.056980860061</v>
      </c>
      <c r="F26">
        <v>2683685.08837691</v>
      </c>
      <c r="G26">
        <v>1493933.1953330799</v>
      </c>
      <c r="H26">
        <v>2.11454043590923E-5</v>
      </c>
      <c r="I26">
        <v>7.6371158483287804E-5</v>
      </c>
      <c r="J26">
        <v>0.51093471001103696</v>
      </c>
      <c r="K26">
        <v>6848.0719740579098</v>
      </c>
      <c r="L26">
        <v>8.69531901762856E-3</v>
      </c>
      <c r="M26">
        <v>111</v>
      </c>
      <c r="N26">
        <v>2590.3991070810098</v>
      </c>
      <c r="O26">
        <v>2.8502295699234199E-6</v>
      </c>
      <c r="P26">
        <v>5.98473400508856E-3</v>
      </c>
      <c r="Q26">
        <v>1.905E-3</v>
      </c>
      <c r="R26">
        <v>0.15240000000000001</v>
      </c>
      <c r="S26">
        <v>4967335.64453125</v>
      </c>
      <c r="T26">
        <v>477.56256686264697</v>
      </c>
      <c r="U26">
        <v>567.16885488002299</v>
      </c>
      <c r="V26">
        <v>0.03</v>
      </c>
      <c r="W26">
        <v>64614.841479315503</v>
      </c>
      <c r="X26">
        <v>3.7064000565584697E-2</v>
      </c>
      <c r="Y26">
        <v>5.1942620156714003</v>
      </c>
      <c r="Z26">
        <v>5.1942620358384497</v>
      </c>
      <c r="AA26">
        <v>-2.0167054692876701E-8</v>
      </c>
      <c r="AB26">
        <v>2.19526362518863E-5</v>
      </c>
      <c r="AC26">
        <v>690.45170745024996</v>
      </c>
      <c r="AD26">
        <v>2199.0415788359201</v>
      </c>
      <c r="AE26">
        <v>567.16885579764801</v>
      </c>
      <c r="AF26">
        <v>9.1762512965942701E-7</v>
      </c>
      <c r="AG26">
        <v>2.2049570633582401E-5</v>
      </c>
      <c r="AH26">
        <v>47.531342939541801</v>
      </c>
      <c r="AI26">
        <v>0.26957663617182098</v>
      </c>
      <c r="AJ26">
        <v>50.9059555052253</v>
      </c>
      <c r="AK26">
        <v>5.9552725396437998</v>
      </c>
      <c r="AL26">
        <v>1.0236047381170099</v>
      </c>
      <c r="AM26">
        <v>598.16775826167998</v>
      </c>
      <c r="AN26">
        <v>1.5054990853968799E-7</v>
      </c>
      <c r="AO26">
        <v>9.69343816960434E-8</v>
      </c>
      <c r="AP26">
        <v>3.8390907861263401</v>
      </c>
      <c r="AQ26">
        <v>5.8084467954261198E-5</v>
      </c>
      <c r="AR26">
        <v>1.10732525076392E-5</v>
      </c>
      <c r="AS26">
        <v>25.5648742018349</v>
      </c>
      <c r="AT26">
        <v>13.1560965390074</v>
      </c>
      <c r="AU26">
        <v>3.5465762501373601</v>
      </c>
      <c r="AV26">
        <v>0.29251453598897997</v>
      </c>
      <c r="AW26">
        <v>1.1866585691912899E-2</v>
      </c>
      <c r="AX26">
        <v>0.29251452806707101</v>
      </c>
      <c r="AY26">
        <v>7.9219087401050103E-9</v>
      </c>
      <c r="AZ26">
        <v>1189751.8930438301</v>
      </c>
      <c r="BA26">
        <v>1.5129745866955299E-5</v>
      </c>
      <c r="BB26">
        <v>4985608.8318486204</v>
      </c>
      <c r="BC26">
        <v>18273.187317373198</v>
      </c>
      <c r="BD26">
        <v>0.36786697386738798</v>
      </c>
      <c r="BE26">
        <v>4542609.5999999996</v>
      </c>
      <c r="BF26">
        <v>1.0975208681478199</v>
      </c>
      <c r="BG26">
        <v>1</v>
      </c>
      <c r="BH26">
        <v>-4.7E-2</v>
      </c>
      <c r="BI26">
        <v>4.5999999999999999E-2</v>
      </c>
      <c r="BJ26">
        <v>5625</v>
      </c>
      <c r="BK26">
        <v>1.0144918173432</v>
      </c>
      <c r="BL26">
        <v>120.605191549583</v>
      </c>
      <c r="BM26">
        <v>4.9856088318486202</v>
      </c>
      <c r="BN26">
        <v>120.605191549583</v>
      </c>
      <c r="BO26">
        <v>1.0144918173432</v>
      </c>
      <c r="BP26">
        <v>6497.1969047449702</v>
      </c>
      <c r="BQ26">
        <v>1</v>
      </c>
      <c r="BR26">
        <v>0.15240000000000001</v>
      </c>
      <c r="BS26">
        <v>25</v>
      </c>
      <c r="BT26">
        <v>112</v>
      </c>
      <c r="BU26" t="s">
        <v>304</v>
      </c>
      <c r="BV26" t="str">
        <f>"Table "&amp;TRIM(RIGHT(SUBSTITUTE($A26,"_",REPT(" ",50)),50))</f>
        <v>Table 9</v>
      </c>
      <c r="BW26">
        <f>$BR26/$Q26</f>
        <v>80</v>
      </c>
      <c r="BX26" t="str">
        <f>IF($BW26&lt;40,"outside_low",IF($BW26&lt;=100,"short_anchor",IF($BW26&lt;250,"middle",IF($BW26&lt;=400,"long","outside_high"))))</f>
        <v>short_anchor</v>
      </c>
      <c r="BY26" t="str">
        <f>IF($N26&gt;1000,"PASS","FAIL")</f>
        <v>PASS</v>
      </c>
      <c r="BZ26" t="str">
        <f>IF(AND($BW26&gt;=40,$BW26&lt;=400),"PASS","FAIL")</f>
        <v>PASS</v>
      </c>
    </row>
    <row r="27" spans="1:78">
      <c r="A27" t="s">
        <v>181</v>
      </c>
      <c r="B27">
        <v>12065825.263044599</v>
      </c>
      <c r="C27">
        <v>598.16775841223</v>
      </c>
      <c r="D27">
        <v>70.719127092772794</v>
      </c>
      <c r="E27">
        <v>654.056980860061</v>
      </c>
      <c r="F27">
        <v>2683685.08837691</v>
      </c>
      <c r="G27">
        <v>1493933.1953330799</v>
      </c>
      <c r="H27">
        <v>2.11454043590923E-5</v>
      </c>
      <c r="I27">
        <v>7.6371158483287804E-5</v>
      </c>
      <c r="J27">
        <v>0.51093471001103696</v>
      </c>
      <c r="K27">
        <v>6848.0719740579098</v>
      </c>
      <c r="L27">
        <v>8.69531901762856E-3</v>
      </c>
      <c r="M27">
        <v>112</v>
      </c>
      <c r="N27">
        <v>2590.3991070810098</v>
      </c>
      <c r="O27">
        <v>2.8502295699234199E-6</v>
      </c>
      <c r="P27">
        <v>5.98473400508856E-3</v>
      </c>
      <c r="Q27">
        <v>1.905E-3</v>
      </c>
      <c r="R27">
        <v>0.15240000000000001</v>
      </c>
      <c r="S27">
        <v>4644175.29296875</v>
      </c>
      <c r="T27">
        <v>490.87515158354</v>
      </c>
      <c r="U27">
        <v>574.65191616821096</v>
      </c>
      <c r="V27">
        <v>0.03</v>
      </c>
      <c r="W27">
        <v>64614.841479315503</v>
      </c>
      <c r="X27">
        <v>3.7064000565584697E-2</v>
      </c>
      <c r="Y27">
        <v>5.1942620156714003</v>
      </c>
      <c r="Z27">
        <v>5.1942620358384497</v>
      </c>
      <c r="AA27">
        <v>-2.0167054692876701E-8</v>
      </c>
      <c r="AB27">
        <v>2.19526362518863E-5</v>
      </c>
      <c r="AC27">
        <v>682.67711629303005</v>
      </c>
      <c r="AD27">
        <v>2199.0415788359201</v>
      </c>
      <c r="AE27">
        <v>574.65191616821096</v>
      </c>
      <c r="AF27">
        <v>0</v>
      </c>
      <c r="AG27">
        <v>2.2043871299802699E-5</v>
      </c>
      <c r="AH27">
        <v>47.531342939541801</v>
      </c>
      <c r="AI27">
        <v>0.26957663617182098</v>
      </c>
      <c r="AJ27">
        <v>50.892797424434399</v>
      </c>
      <c r="AK27">
        <v>5.4537896777635204</v>
      </c>
      <c r="AL27">
        <v>1.0236047381170099</v>
      </c>
      <c r="AM27">
        <v>598.16775827690003</v>
      </c>
      <c r="AN27">
        <v>1.3533042420021999E-7</v>
      </c>
      <c r="AO27">
        <v>9.1235047916314096E-8</v>
      </c>
      <c r="AP27">
        <v>3.8384459975427299</v>
      </c>
      <c r="AQ27">
        <v>5.8103983845581402E-5</v>
      </c>
      <c r="AR27">
        <v>1.10675531738595E-5</v>
      </c>
      <c r="AS27">
        <v>25.551716121043999</v>
      </c>
      <c r="AT27">
        <v>13.153522407791201</v>
      </c>
      <c r="AU27">
        <v>3.5458823245030402</v>
      </c>
      <c r="AV27">
        <v>0.29256367303969899</v>
      </c>
      <c r="AW27">
        <v>1.1866585691912899E-2</v>
      </c>
      <c r="AX27">
        <v>0.29256366514711701</v>
      </c>
      <c r="AY27">
        <v>7.8925811441976601E-9</v>
      </c>
      <c r="AZ27">
        <v>1189751.8930438301</v>
      </c>
      <c r="BA27">
        <v>1.5137371707919801E-5</v>
      </c>
      <c r="BB27">
        <v>4690112.0544555299</v>
      </c>
      <c r="BC27">
        <v>45936.761486779003</v>
      </c>
      <c r="BD27">
        <v>0.98912634835999602</v>
      </c>
      <c r="BE27">
        <v>3974783.4</v>
      </c>
      <c r="BF27">
        <v>1.1799667006900401</v>
      </c>
      <c r="BG27">
        <v>1</v>
      </c>
      <c r="BH27">
        <v>-5.6000000000000001E-2</v>
      </c>
      <c r="BI27">
        <v>4.5999999999999999E-2</v>
      </c>
      <c r="BJ27">
        <v>5625</v>
      </c>
      <c r="BK27">
        <v>1.02056542332158</v>
      </c>
      <c r="BL27">
        <v>107.29260682869</v>
      </c>
      <c r="BM27">
        <v>4.6901120544555299</v>
      </c>
      <c r="BN27">
        <v>107.29260682869</v>
      </c>
      <c r="BO27">
        <v>1.02056542332158</v>
      </c>
      <c r="BP27">
        <v>4528.2949338006601</v>
      </c>
      <c r="BQ27">
        <v>1</v>
      </c>
      <c r="BR27">
        <v>0.15240000000000001</v>
      </c>
      <c r="BS27">
        <v>26</v>
      </c>
      <c r="BT27">
        <v>113</v>
      </c>
      <c r="BU27" t="s">
        <v>304</v>
      </c>
      <c r="BV27" t="str">
        <f>"Table "&amp;TRIM(RIGHT(SUBSTITUTE($A27,"_",REPT(" ",50)),50))</f>
        <v>Table 9</v>
      </c>
      <c r="BW27">
        <f>$BR27/$Q27</f>
        <v>80</v>
      </c>
      <c r="BX27" t="str">
        <f>IF($BW27&lt;40,"outside_low",IF($BW27&lt;=100,"short_anchor",IF($BW27&lt;250,"middle",IF($BW27&lt;=400,"long","outside_high"))))</f>
        <v>short_anchor</v>
      </c>
      <c r="BY27" t="str">
        <f>IF($N27&gt;1000,"PASS","FAIL")</f>
        <v>PASS</v>
      </c>
      <c r="BZ27" t="str">
        <f>IF(AND($BW27&gt;=40,$BW27&lt;=400),"PASS","FAIL")</f>
        <v>PASS</v>
      </c>
    </row>
    <row r="28" spans="1:78">
      <c r="A28" t="s">
        <v>182</v>
      </c>
      <c r="B28">
        <v>12065825.263044599</v>
      </c>
      <c r="C28">
        <v>598.16775841223</v>
      </c>
      <c r="D28">
        <v>70.719127092772794</v>
      </c>
      <c r="E28">
        <v>654.056980860061</v>
      </c>
      <c r="F28">
        <v>2683685.08837691</v>
      </c>
      <c r="G28">
        <v>1493933.1953330799</v>
      </c>
      <c r="H28">
        <v>2.11454043590923E-5</v>
      </c>
      <c r="I28">
        <v>7.6371158483287804E-5</v>
      </c>
      <c r="J28">
        <v>0.51093471001103696</v>
      </c>
      <c r="K28">
        <v>6848.0719740579098</v>
      </c>
      <c r="L28">
        <v>8.69531901762856E-3</v>
      </c>
      <c r="M28">
        <v>113</v>
      </c>
      <c r="N28">
        <v>3200.7025616288902</v>
      </c>
      <c r="O28">
        <v>2.8502295699234199E-6</v>
      </c>
      <c r="P28">
        <v>5.98473400508856E-3</v>
      </c>
      <c r="Q28">
        <v>1.905E-3</v>
      </c>
      <c r="R28">
        <v>0.15240000000000001</v>
      </c>
      <c r="S28">
        <v>6566346.03515625</v>
      </c>
      <c r="T28">
        <v>453.64790590713602</v>
      </c>
      <c r="U28">
        <v>549.51291334069504</v>
      </c>
      <c r="V28">
        <v>0.03</v>
      </c>
      <c r="W28">
        <v>79838.233450882006</v>
      </c>
      <c r="X28">
        <v>3.3515797014276497E-2</v>
      </c>
      <c r="Y28">
        <v>5.4622959187728899</v>
      </c>
      <c r="Z28">
        <v>5.4622959290082296</v>
      </c>
      <c r="AA28">
        <v>-1.02353396869148E-8</v>
      </c>
      <c r="AB28">
        <v>1.5901282462099201E-5</v>
      </c>
      <c r="AC28">
        <v>702.75807769501</v>
      </c>
      <c r="AD28">
        <v>2583.81077803982</v>
      </c>
      <c r="AE28">
        <v>549.51291437505404</v>
      </c>
      <c r="AF28">
        <v>1.03435900200566E-6</v>
      </c>
      <c r="AG28">
        <v>1.5996200693190101E-5</v>
      </c>
      <c r="AH28">
        <v>65.6197564317511</v>
      </c>
      <c r="AI28">
        <v>0.316744814992169</v>
      </c>
      <c r="AJ28">
        <v>43.3922895105013</v>
      </c>
      <c r="AK28">
        <v>6.9279196269369097</v>
      </c>
      <c r="AL28">
        <v>1.0236047381170099</v>
      </c>
      <c r="AM28">
        <v>598.16775839889306</v>
      </c>
      <c r="AN28">
        <v>1.33372850541491E-8</v>
      </c>
      <c r="AO28">
        <v>9.4918231090815796E-8</v>
      </c>
      <c r="AP28">
        <v>4.2286628086110198</v>
      </c>
      <c r="AQ28">
        <v>4.7875207371415698E-5</v>
      </c>
      <c r="AR28">
        <v>8.0455594621404298E-6</v>
      </c>
      <c r="AS28">
        <v>21.8248853056574</v>
      </c>
      <c r="AT28">
        <v>12.365254232650299</v>
      </c>
      <c r="AU28">
        <v>3.9166301642519699</v>
      </c>
      <c r="AV28">
        <v>0.31203264435904798</v>
      </c>
      <c r="AW28">
        <v>8.5955020974575694E-3</v>
      </c>
      <c r="AX28">
        <v>0.31203264428129801</v>
      </c>
      <c r="AY28">
        <v>7.77506947713391E-11</v>
      </c>
      <c r="AZ28">
        <v>1189751.8930438301</v>
      </c>
      <c r="BA28">
        <v>1.13215949197759E-5</v>
      </c>
      <c r="BB28">
        <v>6524000.9234327199</v>
      </c>
      <c r="BC28">
        <v>-42345.111723531001</v>
      </c>
      <c r="BD28">
        <v>-0.64488090479568205</v>
      </c>
      <c r="BE28">
        <v>6561547.2000000002</v>
      </c>
      <c r="BF28">
        <v>0.99427783182489604</v>
      </c>
      <c r="BG28">
        <v>1</v>
      </c>
      <c r="BH28">
        <v>-5.6000000000000001E-2</v>
      </c>
      <c r="BI28">
        <v>4.5999999999999999E-2</v>
      </c>
      <c r="BJ28">
        <v>5625</v>
      </c>
      <c r="BK28">
        <v>1.0065964123492399</v>
      </c>
      <c r="BL28">
        <v>144.51985250509401</v>
      </c>
      <c r="BM28">
        <v>6.5240009234327196</v>
      </c>
      <c r="BN28">
        <v>144.51985250509401</v>
      </c>
      <c r="BO28">
        <v>1.0065964123492399</v>
      </c>
      <c r="BP28">
        <v>10924.3995676866</v>
      </c>
      <c r="BQ28">
        <v>1</v>
      </c>
      <c r="BR28">
        <v>0.15240000000000001</v>
      </c>
      <c r="BS28">
        <v>27</v>
      </c>
      <c r="BT28">
        <v>114</v>
      </c>
      <c r="BU28" t="s">
        <v>304</v>
      </c>
      <c r="BV28" t="str">
        <f>"Table "&amp;TRIM(RIGHT(SUBSTITUTE($A28,"_",REPT(" ",50)),50))</f>
        <v>Table 9</v>
      </c>
      <c r="BW28">
        <f>$BR28/$Q28</f>
        <v>80</v>
      </c>
      <c r="BX28" t="str">
        <f>IF($BW28&lt;40,"outside_low",IF($BW28&lt;=100,"short_anchor",IF($BW28&lt;250,"middle",IF($BW28&lt;=400,"long","outside_high"))))</f>
        <v>short_anchor</v>
      </c>
      <c r="BY28" t="str">
        <f>IF($N28&gt;1000,"PASS","FAIL")</f>
        <v>PASS</v>
      </c>
      <c r="BZ28" t="str">
        <f>IF(AND($BW28&gt;=40,$BW28&lt;=400),"PASS","FAIL")</f>
        <v>PASS</v>
      </c>
    </row>
    <row r="29" spans="1:78">
      <c r="A29" t="s">
        <v>183</v>
      </c>
      <c r="B29">
        <v>12065825.263044599</v>
      </c>
      <c r="C29">
        <v>598.16775841223</v>
      </c>
      <c r="D29">
        <v>70.719127092772794</v>
      </c>
      <c r="E29">
        <v>654.056980860061</v>
      </c>
      <c r="F29">
        <v>2683685.08837691</v>
      </c>
      <c r="G29">
        <v>1493933.1953330799</v>
      </c>
      <c r="H29">
        <v>2.11454043590923E-5</v>
      </c>
      <c r="I29">
        <v>7.6371158483287804E-5</v>
      </c>
      <c r="J29">
        <v>0.51093471001103696</v>
      </c>
      <c r="K29">
        <v>6848.0719740579098</v>
      </c>
      <c r="L29">
        <v>8.69531901762856E-3</v>
      </c>
      <c r="M29">
        <v>114</v>
      </c>
      <c r="N29">
        <v>3200.7025616288902</v>
      </c>
      <c r="O29">
        <v>2.8502295699234199E-6</v>
      </c>
      <c r="P29">
        <v>5.98473400508856E-3</v>
      </c>
      <c r="Q29">
        <v>1.905E-3</v>
      </c>
      <c r="R29">
        <v>0.15240000000000001</v>
      </c>
      <c r="S29">
        <v>5492980.13671875</v>
      </c>
      <c r="T29">
        <v>488.66227888857202</v>
      </c>
      <c r="U29">
        <v>568.856739981484</v>
      </c>
      <c r="V29">
        <v>0.03</v>
      </c>
      <c r="W29">
        <v>79838.233450882006</v>
      </c>
      <c r="X29">
        <v>3.3515797014276497E-2</v>
      </c>
      <c r="Y29">
        <v>5.4622959187728899</v>
      </c>
      <c r="Z29">
        <v>5.4622959290082296</v>
      </c>
      <c r="AA29">
        <v>-1.02353396869148E-8</v>
      </c>
      <c r="AB29">
        <v>1.5901282462099201E-5</v>
      </c>
      <c r="AC29">
        <v>681.73085989126901</v>
      </c>
      <c r="AD29">
        <v>2583.81077803982</v>
      </c>
      <c r="AE29">
        <v>568.85674081472098</v>
      </c>
      <c r="AF29">
        <v>8.3323618582653601E-7</v>
      </c>
      <c r="AG29">
        <v>1.5981100951466799E-5</v>
      </c>
      <c r="AH29">
        <v>65.6197564317511</v>
      </c>
      <c r="AI29">
        <v>0.316744814992169</v>
      </c>
      <c r="AJ29">
        <v>43.3513290113831</v>
      </c>
      <c r="AK29">
        <v>5.5359712648091799</v>
      </c>
      <c r="AL29">
        <v>1.0236047381170099</v>
      </c>
      <c r="AM29">
        <v>598.16775839280899</v>
      </c>
      <c r="AN29">
        <v>1.9421236174821401E-8</v>
      </c>
      <c r="AO29">
        <v>7.98184893675845E-8</v>
      </c>
      <c r="AP29">
        <v>4.2258922855850702</v>
      </c>
      <c r="AQ29">
        <v>4.79380025564566E-5</v>
      </c>
      <c r="AR29">
        <v>8.0304597204172002E-6</v>
      </c>
      <c r="AS29">
        <v>21.783924806539201</v>
      </c>
      <c r="AT29">
        <v>12.3558615179538</v>
      </c>
      <c r="AU29">
        <v>3.9136550705731499</v>
      </c>
      <c r="AV29">
        <v>0.31223721501191898</v>
      </c>
      <c r="AW29">
        <v>8.5955020974575694E-3</v>
      </c>
      <c r="AX29">
        <v>0.31223721495357398</v>
      </c>
      <c r="AY29">
        <v>5.8345051012764796E-11</v>
      </c>
      <c r="AZ29">
        <v>1189751.8930438301</v>
      </c>
      <c r="BA29">
        <v>1.13438770599946E-5</v>
      </c>
      <c r="BB29">
        <v>5475376.4382996503</v>
      </c>
      <c r="BC29">
        <v>-17603.698419095901</v>
      </c>
      <c r="BD29">
        <v>-0.32047628028765401</v>
      </c>
      <c r="BE29">
        <v>5205073.5</v>
      </c>
      <c r="BF29">
        <v>1.0519306669348001</v>
      </c>
      <c r="BG29">
        <v>1</v>
      </c>
      <c r="BH29">
        <v>-0.04</v>
      </c>
      <c r="BI29">
        <v>4.5999999999999999E-2</v>
      </c>
      <c r="BJ29">
        <v>5625</v>
      </c>
      <c r="BK29">
        <v>1.0194879217245501</v>
      </c>
      <c r="BL29">
        <v>109.505479523658</v>
      </c>
      <c r="BM29">
        <v>5.4753764382996497</v>
      </c>
      <c r="BN29">
        <v>109.505479523658</v>
      </c>
      <c r="BO29">
        <v>1.0194879217245501</v>
      </c>
      <c r="BP29">
        <v>4831.01168381364</v>
      </c>
      <c r="BQ29">
        <v>1</v>
      </c>
      <c r="BR29">
        <v>0.15240000000000001</v>
      </c>
      <c r="BS29">
        <v>28</v>
      </c>
      <c r="BT29">
        <v>115</v>
      </c>
      <c r="BU29" t="s">
        <v>304</v>
      </c>
      <c r="BV29" t="str">
        <f>"Table "&amp;TRIM(RIGHT(SUBSTITUTE($A29,"_",REPT(" ",50)),50))</f>
        <v>Table 9</v>
      </c>
      <c r="BW29">
        <f>$BR29/$Q29</f>
        <v>80</v>
      </c>
      <c r="BX29" t="str">
        <f>IF($BW29&lt;40,"outside_low",IF($BW29&lt;=100,"short_anchor",IF($BW29&lt;250,"middle",IF($BW29&lt;=400,"long","outside_high"))))</f>
        <v>short_anchor</v>
      </c>
      <c r="BY29" t="str">
        <f>IF($N29&gt;1000,"PASS","FAIL")</f>
        <v>PASS</v>
      </c>
      <c r="BZ29" t="str">
        <f>IF(AND($BW29&gt;=40,$BW29&lt;=400),"PASS","FAIL")</f>
        <v>PASS</v>
      </c>
    </row>
    <row r="30" spans="1:78">
      <c r="A30" t="s">
        <v>184</v>
      </c>
      <c r="B30">
        <v>12065825.263044599</v>
      </c>
      <c r="C30">
        <v>598.16775841223</v>
      </c>
      <c r="D30">
        <v>70.719127092772794</v>
      </c>
      <c r="E30">
        <v>654.056980860061</v>
      </c>
      <c r="F30">
        <v>2683685.08837691</v>
      </c>
      <c r="G30">
        <v>1493933.1953330799</v>
      </c>
      <c r="H30">
        <v>2.11454043590923E-5</v>
      </c>
      <c r="I30">
        <v>7.6371158483287804E-5</v>
      </c>
      <c r="J30">
        <v>0.51093471001103696</v>
      </c>
      <c r="K30">
        <v>6848.0719740579098</v>
      </c>
      <c r="L30">
        <v>8.69531901762856E-3</v>
      </c>
      <c r="M30">
        <v>115</v>
      </c>
      <c r="N30">
        <v>3200.7025616288902</v>
      </c>
      <c r="O30">
        <v>2.8502295699234199E-6</v>
      </c>
      <c r="P30">
        <v>5.98473400508856E-3</v>
      </c>
      <c r="Q30">
        <v>1.905E-3</v>
      </c>
      <c r="R30">
        <v>0.15240000000000001</v>
      </c>
      <c r="S30">
        <v>5538491.23828125</v>
      </c>
      <c r="T30">
        <v>487.01157338752699</v>
      </c>
      <c r="U30">
        <v>567.87047130211101</v>
      </c>
      <c r="V30">
        <v>0.03</v>
      </c>
      <c r="W30">
        <v>79838.233450882006</v>
      </c>
      <c r="X30">
        <v>3.3515797014276497E-2</v>
      </c>
      <c r="Y30">
        <v>5.4622959187728899</v>
      </c>
      <c r="Z30">
        <v>5.4622959290082296</v>
      </c>
      <c r="AA30">
        <v>-1.02353396869148E-8</v>
      </c>
      <c r="AB30">
        <v>1.5901282462099201E-5</v>
      </c>
      <c r="AC30">
        <v>682.64628796534998</v>
      </c>
      <c r="AD30">
        <v>2583.81077803982</v>
      </c>
      <c r="AE30">
        <v>567.87047214402901</v>
      </c>
      <c r="AF30">
        <v>8.4191754012863395E-7</v>
      </c>
      <c r="AG30">
        <v>1.5981475795930902E-5</v>
      </c>
      <c r="AH30">
        <v>65.6197564317511</v>
      </c>
      <c r="AI30">
        <v>0.316744814992169</v>
      </c>
      <c r="AJ30">
        <v>43.352345837804599</v>
      </c>
      <c r="AK30">
        <v>5.5965957110572102</v>
      </c>
      <c r="AL30">
        <v>1.0236047381170099</v>
      </c>
      <c r="AM30">
        <v>598.16775839280604</v>
      </c>
      <c r="AN30">
        <v>1.94241920326021E-8</v>
      </c>
      <c r="AO30">
        <v>8.0193333831704098E-8</v>
      </c>
      <c r="AP30">
        <v>4.2259611226118299</v>
      </c>
      <c r="AQ30">
        <v>4.7936440837078501E-5</v>
      </c>
      <c r="AR30">
        <v>8.0308345648813198E-6</v>
      </c>
      <c r="AS30">
        <v>21.784941632960699</v>
      </c>
      <c r="AT30">
        <v>12.356094901675901</v>
      </c>
      <c r="AU30">
        <v>3.9137289936570299</v>
      </c>
      <c r="AV30">
        <v>0.31223212895479602</v>
      </c>
      <c r="AW30">
        <v>8.5955020974575694E-3</v>
      </c>
      <c r="AX30">
        <v>0.31223212889601298</v>
      </c>
      <c r="AY30">
        <v>5.8782700929071994E-11</v>
      </c>
      <c r="AZ30">
        <v>1189751.8930438301</v>
      </c>
      <c r="BA30">
        <v>1.1343322724997499E-5</v>
      </c>
      <c r="BB30">
        <v>5501358.7929802705</v>
      </c>
      <c r="BC30">
        <v>-37132.445300978601</v>
      </c>
      <c r="BD30">
        <v>-0.67044333381489396</v>
      </c>
      <c r="BE30">
        <v>5394348.9000000004</v>
      </c>
      <c r="BF30">
        <v>1.0198374066942999</v>
      </c>
      <c r="BG30">
        <v>1</v>
      </c>
      <c r="BH30">
        <v>-0.03</v>
      </c>
      <c r="BI30">
        <v>4.5999999999999999E-2</v>
      </c>
      <c r="BJ30">
        <v>5625</v>
      </c>
      <c r="BK30">
        <v>1.0186998682403201</v>
      </c>
      <c r="BL30">
        <v>111.15618502470301</v>
      </c>
      <c r="BM30">
        <v>5.5013587929802696</v>
      </c>
      <c r="BN30">
        <v>111.15618502470301</v>
      </c>
      <c r="BO30">
        <v>1.0186998682403201</v>
      </c>
      <c r="BP30">
        <v>5063.2026672697702</v>
      </c>
      <c r="BQ30">
        <v>1</v>
      </c>
      <c r="BR30">
        <v>0.15240000000000001</v>
      </c>
      <c r="BS30">
        <v>29</v>
      </c>
      <c r="BT30">
        <v>116</v>
      </c>
      <c r="BU30" t="s">
        <v>304</v>
      </c>
      <c r="BV30" t="str">
        <f>"Table "&amp;TRIM(RIGHT(SUBSTITUTE($A30,"_",REPT(" ",50)),50))</f>
        <v>Table 9</v>
      </c>
      <c r="BW30">
        <f>$BR30/$Q30</f>
        <v>80</v>
      </c>
      <c r="BX30" t="str">
        <f>IF($BW30&lt;40,"outside_low",IF($BW30&lt;=100,"short_anchor",IF($BW30&lt;250,"middle",IF($BW30&lt;=400,"long","outside_high"))))</f>
        <v>short_anchor</v>
      </c>
      <c r="BY30" t="str">
        <f>IF($N30&gt;1000,"PASS","FAIL")</f>
        <v>PASS</v>
      </c>
      <c r="BZ30" t="str">
        <f>IF(AND($BW30&gt;=40,$BW30&lt;=400),"PASS","FAIL")</f>
        <v>PASS</v>
      </c>
    </row>
    <row r="31" spans="1:78">
      <c r="A31" t="s">
        <v>185</v>
      </c>
      <c r="B31">
        <v>12065825.263044599</v>
      </c>
      <c r="C31">
        <v>598.16775841223</v>
      </c>
      <c r="D31">
        <v>70.719127092772794</v>
      </c>
      <c r="E31">
        <v>654.056980860061</v>
      </c>
      <c r="F31">
        <v>2683685.08837691</v>
      </c>
      <c r="G31">
        <v>1493933.1953330799</v>
      </c>
      <c r="H31">
        <v>2.11454043590923E-5</v>
      </c>
      <c r="I31">
        <v>7.6371158483287804E-5</v>
      </c>
      <c r="J31">
        <v>0.51093471001103696</v>
      </c>
      <c r="K31">
        <v>6848.0719740579098</v>
      </c>
      <c r="L31">
        <v>8.69531901762856E-3</v>
      </c>
      <c r="M31">
        <v>116</v>
      </c>
      <c r="N31">
        <v>3200.7025616288902</v>
      </c>
      <c r="O31">
        <v>2.8502295699234199E-6</v>
      </c>
      <c r="P31">
        <v>5.98473400508856E-3</v>
      </c>
      <c r="Q31">
        <v>1.905E-3</v>
      </c>
      <c r="R31">
        <v>0.15240000000000001</v>
      </c>
      <c r="S31">
        <v>4462284.8664062498</v>
      </c>
      <c r="T31">
        <v>526.45012634417299</v>
      </c>
      <c r="U31">
        <v>591.59700858253996</v>
      </c>
      <c r="V31">
        <v>0.03</v>
      </c>
      <c r="W31">
        <v>79838.233450882006</v>
      </c>
      <c r="X31">
        <v>3.3515797014276497E-2</v>
      </c>
      <c r="Y31">
        <v>5.4622959187728899</v>
      </c>
      <c r="Z31">
        <v>5.4622959290082296</v>
      </c>
      <c r="AA31">
        <v>-1.02353396869148E-8</v>
      </c>
      <c r="AB31">
        <v>1.5901282462099201E-5</v>
      </c>
      <c r="AC31">
        <v>660.90191001420396</v>
      </c>
      <c r="AD31">
        <v>2583.81077803982</v>
      </c>
      <c r="AE31">
        <v>591.59700858253996</v>
      </c>
      <c r="AF31">
        <v>0</v>
      </c>
      <c r="AG31">
        <v>1.59662224526031E-5</v>
      </c>
      <c r="AH31">
        <v>65.6197564317511</v>
      </c>
      <c r="AI31">
        <v>0.316744814992169</v>
      </c>
      <c r="AJ31">
        <v>43.3109686694144</v>
      </c>
      <c r="AK31">
        <v>4.1567155709792099</v>
      </c>
      <c r="AL31">
        <v>1.0236047381170099</v>
      </c>
      <c r="AM31">
        <v>598.16775839175898</v>
      </c>
      <c r="AN31">
        <v>2.04710204343428E-8</v>
      </c>
      <c r="AO31">
        <v>6.4939990503848696E-8</v>
      </c>
      <c r="AP31">
        <v>4.2231575014604399</v>
      </c>
      <c r="AQ31">
        <v>4.8000108947924102E-5</v>
      </c>
      <c r="AR31">
        <v>8.0155812215534695E-6</v>
      </c>
      <c r="AS31">
        <v>21.7435644645705</v>
      </c>
      <c r="AT31">
        <v>12.3465891353259</v>
      </c>
      <c r="AU31">
        <v>3.9107180914531301</v>
      </c>
      <c r="AV31">
        <v>0.31243941000731501</v>
      </c>
      <c r="AW31">
        <v>8.5955020974575694E-3</v>
      </c>
      <c r="AX31">
        <v>0.31243940996483699</v>
      </c>
      <c r="AY31">
        <v>4.2477965589426997E-11</v>
      </c>
      <c r="AZ31">
        <v>1189751.8930438301</v>
      </c>
      <c r="BA31">
        <v>1.13659291492976E-5</v>
      </c>
      <c r="BB31">
        <v>4446100.4057524204</v>
      </c>
      <c r="BC31">
        <v>-16184.4606538313</v>
      </c>
      <c r="BD31">
        <v>-0.36269447465521398</v>
      </c>
      <c r="BE31">
        <v>3974783.4</v>
      </c>
      <c r="BF31">
        <v>1.11857677722827</v>
      </c>
      <c r="BG31">
        <v>1</v>
      </c>
      <c r="BH31">
        <v>4.0000000000000001E-3</v>
      </c>
      <c r="BI31">
        <v>4.5999999999999999E-2</v>
      </c>
      <c r="BJ31">
        <v>5625</v>
      </c>
      <c r="BK31">
        <v>1.03846679867313</v>
      </c>
      <c r="BL31">
        <v>71.717632068057</v>
      </c>
      <c r="BM31">
        <v>4.4461004057524196</v>
      </c>
      <c r="BN31">
        <v>71.717632068057</v>
      </c>
      <c r="BO31">
        <v>1.03846679867313</v>
      </c>
      <c r="BP31">
        <v>1006.00818400464</v>
      </c>
      <c r="BQ31">
        <v>1</v>
      </c>
      <c r="BR31">
        <v>0.15240000000000001</v>
      </c>
      <c r="BS31">
        <v>30</v>
      </c>
      <c r="BT31">
        <v>117</v>
      </c>
      <c r="BU31" t="s">
        <v>304</v>
      </c>
      <c r="BV31" t="str">
        <f>"Table "&amp;TRIM(RIGHT(SUBSTITUTE($A31,"_",REPT(" ",50)),50))</f>
        <v>Table 9</v>
      </c>
      <c r="BW31">
        <f>$BR31/$Q31</f>
        <v>80</v>
      </c>
      <c r="BX31" t="str">
        <f>IF($BW31&lt;40,"outside_low",IF($BW31&lt;=100,"short_anchor",IF($BW31&lt;250,"middle",IF($BW31&lt;=400,"long","outside_high"))))</f>
        <v>short_anchor</v>
      </c>
      <c r="BY31" t="str">
        <f>IF($N31&gt;1000,"PASS","FAIL")</f>
        <v>PASS</v>
      </c>
      <c r="BZ31" t="str">
        <f>IF(AND($BW31&gt;=40,$BW31&lt;=400),"PASS","FAIL")</f>
        <v>PASS</v>
      </c>
    </row>
    <row r="32" spans="1:78">
      <c r="A32" t="s">
        <v>186</v>
      </c>
      <c r="B32">
        <v>12065825.263044599</v>
      </c>
      <c r="C32">
        <v>598.16775841223</v>
      </c>
      <c r="D32">
        <v>70.719127092772794</v>
      </c>
      <c r="E32">
        <v>654.056980860061</v>
      </c>
      <c r="F32">
        <v>2683685.08837691</v>
      </c>
      <c r="G32">
        <v>1493933.1953330799</v>
      </c>
      <c r="H32">
        <v>2.11454043590923E-5</v>
      </c>
      <c r="I32">
        <v>7.6371158483287804E-5</v>
      </c>
      <c r="J32">
        <v>0.51093471001103696</v>
      </c>
      <c r="K32">
        <v>6848.0719740579098</v>
      </c>
      <c r="L32">
        <v>8.69531901762856E-3</v>
      </c>
      <c r="M32">
        <v>117</v>
      </c>
      <c r="N32">
        <v>3214.26486061884</v>
      </c>
      <c r="O32">
        <v>2.8502295699234199E-6</v>
      </c>
      <c r="P32">
        <v>5.98473400508856E-3</v>
      </c>
      <c r="Q32">
        <v>1.905E-3</v>
      </c>
      <c r="R32">
        <v>0.15240000000000001</v>
      </c>
      <c r="S32">
        <v>5541467.0077187503</v>
      </c>
      <c r="T32">
        <v>487.52777357266399</v>
      </c>
      <c r="U32">
        <v>568.08875597439896</v>
      </c>
      <c r="V32">
        <v>0.03</v>
      </c>
      <c r="W32">
        <v>80176.531050250007</v>
      </c>
      <c r="X32">
        <v>3.34499327767354E-2</v>
      </c>
      <c r="Y32">
        <v>5.4676710122319498</v>
      </c>
      <c r="Z32">
        <v>5.4676710211262503</v>
      </c>
      <c r="AA32">
        <v>-8.8942986309348304E-9</v>
      </c>
      <c r="AB32">
        <v>1.5798424110076499E-5</v>
      </c>
      <c r="AC32">
        <v>682.31182901216903</v>
      </c>
      <c r="AD32">
        <v>2592.2083036275699</v>
      </c>
      <c r="AE32">
        <v>568.08875597439896</v>
      </c>
      <c r="AF32">
        <v>0</v>
      </c>
      <c r="AG32">
        <v>1.5878801825704899E-5</v>
      </c>
      <c r="AH32">
        <v>66.046985119857993</v>
      </c>
      <c r="AI32">
        <v>0.31777425287178901</v>
      </c>
      <c r="AJ32">
        <v>43.213818314172002</v>
      </c>
      <c r="AK32">
        <v>5.57739465833538</v>
      </c>
      <c r="AL32">
        <v>1.0236047381170099</v>
      </c>
      <c r="AM32">
        <v>598.16775835845704</v>
      </c>
      <c r="AN32">
        <v>5.3772737373947199E-8</v>
      </c>
      <c r="AO32">
        <v>8.0377715628440695E-8</v>
      </c>
      <c r="AP32">
        <v>4.2340795689430699</v>
      </c>
      <c r="AQ32">
        <v>4.7752789907438598E-5</v>
      </c>
      <c r="AR32">
        <v>7.9795897706666799E-6</v>
      </c>
      <c r="AS32">
        <v>21.7162822709331</v>
      </c>
      <c r="AT32">
        <v>12.3403115712592</v>
      </c>
      <c r="AU32">
        <v>3.9214332897619699</v>
      </c>
      <c r="AV32">
        <v>0.312646279181097</v>
      </c>
      <c r="AW32">
        <v>8.5399016021729997E-3</v>
      </c>
      <c r="AX32">
        <v>0.31264627905382097</v>
      </c>
      <c r="AY32">
        <v>1.27276245098784E-10</v>
      </c>
      <c r="AZ32">
        <v>1189751.8930438301</v>
      </c>
      <c r="BA32">
        <v>1.12781985151401E-5</v>
      </c>
      <c r="BB32">
        <v>5545847.3877368504</v>
      </c>
      <c r="BC32">
        <v>4380.3800180973503</v>
      </c>
      <c r="BD32">
        <v>7.9047299424428299E-2</v>
      </c>
      <c r="BE32">
        <v>5425894.7999999998</v>
      </c>
      <c r="BF32">
        <v>1.02210742967904</v>
      </c>
      <c r="BG32">
        <v>1</v>
      </c>
      <c r="BH32">
        <v>-2.8000000000000001E-2</v>
      </c>
      <c r="BI32">
        <v>4.5999999999999999E-2</v>
      </c>
      <c r="BJ32">
        <v>5625</v>
      </c>
      <c r="BK32">
        <v>1.0189447899961599</v>
      </c>
      <c r="BL32">
        <v>110.639984839566</v>
      </c>
      <c r="BM32">
        <v>5.5458473877368499</v>
      </c>
      <c r="BN32">
        <v>110.639984839566</v>
      </c>
      <c r="BO32">
        <v>1.0189447899961599</v>
      </c>
      <c r="BP32">
        <v>4990.0074581341196</v>
      </c>
      <c r="BQ32">
        <v>1</v>
      </c>
      <c r="BR32">
        <v>0.15240000000000001</v>
      </c>
      <c r="BS32">
        <v>31</v>
      </c>
      <c r="BT32">
        <v>118</v>
      </c>
      <c r="BU32" t="s">
        <v>304</v>
      </c>
      <c r="BV32" t="str">
        <f>"Table "&amp;TRIM(RIGHT(SUBSTITUTE($A32,"_",REPT(" ",50)),50))</f>
        <v>Table 9</v>
      </c>
      <c r="BW32">
        <f>$BR32/$Q32</f>
        <v>80</v>
      </c>
      <c r="BX32" t="str">
        <f>IF($BW32&lt;40,"outside_low",IF($BW32&lt;=100,"short_anchor",IF($BW32&lt;250,"middle",IF($BW32&lt;=400,"long","outside_high"))))</f>
        <v>short_anchor</v>
      </c>
      <c r="BY32" t="str">
        <f>IF($N32&gt;1000,"PASS","FAIL")</f>
        <v>PASS</v>
      </c>
      <c r="BZ32" t="str">
        <f>IF(AND($BW32&gt;=40,$BW32&lt;=400),"PASS","FAIL")</f>
        <v>PASS</v>
      </c>
    </row>
    <row r="33" spans="1:78">
      <c r="A33" t="s">
        <v>187</v>
      </c>
      <c r="B33">
        <v>12065825.263044599</v>
      </c>
      <c r="C33">
        <v>598.16775841223</v>
      </c>
      <c r="D33">
        <v>70.719127092772794</v>
      </c>
      <c r="E33">
        <v>654.056980860061</v>
      </c>
      <c r="F33">
        <v>2683685.08837691</v>
      </c>
      <c r="G33">
        <v>1493933.1953330799</v>
      </c>
      <c r="H33">
        <v>2.11454043590923E-5</v>
      </c>
      <c r="I33">
        <v>7.6371158483287804E-5</v>
      </c>
      <c r="J33">
        <v>0.51093471001103696</v>
      </c>
      <c r="K33">
        <v>6848.0719740579098</v>
      </c>
      <c r="L33">
        <v>8.69531901762856E-3</v>
      </c>
      <c r="M33">
        <v>118</v>
      </c>
      <c r="N33">
        <v>3254.9517575886998</v>
      </c>
      <c r="O33">
        <v>2.8502295699234199E-6</v>
      </c>
      <c r="P33">
        <v>5.98473400508856E-3</v>
      </c>
      <c r="Q33">
        <v>1.905E-3</v>
      </c>
      <c r="R33">
        <v>0.15240000000000001</v>
      </c>
      <c r="S33">
        <v>6494859.47265625</v>
      </c>
      <c r="T33">
        <v>458.12079612380802</v>
      </c>
      <c r="U33">
        <v>551.36178370213702</v>
      </c>
      <c r="V33">
        <v>0.03</v>
      </c>
      <c r="W33">
        <v>81191.423848354505</v>
      </c>
      <c r="X33">
        <v>3.3255093087555303E-2</v>
      </c>
      <c r="Y33">
        <v>5.4836650054080103</v>
      </c>
      <c r="Z33">
        <v>5.4836650106196796</v>
      </c>
      <c r="AA33">
        <v>-5.2116648774358501E-9</v>
      </c>
      <c r="AB33">
        <v>1.54961944859755E-5</v>
      </c>
      <c r="AC33">
        <v>699.61608834790002</v>
      </c>
      <c r="AD33">
        <v>2617.3647697636402</v>
      </c>
      <c r="AE33">
        <v>551.36178370213702</v>
      </c>
      <c r="AF33">
        <v>0</v>
      </c>
      <c r="AG33">
        <v>1.5589148981654602E-5</v>
      </c>
      <c r="AH33">
        <v>67.335130767735805</v>
      </c>
      <c r="AI33">
        <v>0.320858139772427</v>
      </c>
      <c r="AJ33">
        <v>42.837259144545399</v>
      </c>
      <c r="AK33">
        <v>6.7341544769648598</v>
      </c>
      <c r="AL33">
        <v>1.0236047381170099</v>
      </c>
      <c r="AM33">
        <v>598.16775834116197</v>
      </c>
      <c r="AN33">
        <v>7.1067688622861196E-8</v>
      </c>
      <c r="AO33">
        <v>9.2954495679125204E-8</v>
      </c>
      <c r="AP33">
        <v>4.26060117565574</v>
      </c>
      <c r="AQ33">
        <v>4.7160132282585103E-5</v>
      </c>
      <c r="AR33">
        <v>7.8410517386668701E-6</v>
      </c>
      <c r="AS33">
        <v>21.5463439146253</v>
      </c>
      <c r="AT33">
        <v>12.301030731113499</v>
      </c>
      <c r="AU33">
        <v>3.9468858376685398</v>
      </c>
      <c r="AV33">
        <v>0.31371533798720502</v>
      </c>
      <c r="AW33">
        <v>8.3765301650536497E-3</v>
      </c>
      <c r="AX33">
        <v>0.313715337378563</v>
      </c>
      <c r="AY33">
        <v>6.0864152606754405E-10</v>
      </c>
      <c r="AZ33">
        <v>1189751.8930438301</v>
      </c>
      <c r="BA33">
        <v>1.10688915339105E-5</v>
      </c>
      <c r="BB33">
        <v>6534889.6301040603</v>
      </c>
      <c r="BC33">
        <v>40030.157447813101</v>
      </c>
      <c r="BD33">
        <v>0.616336005672524</v>
      </c>
      <c r="BE33">
        <v>6624639</v>
      </c>
      <c r="BF33">
        <v>0.98645218707073101</v>
      </c>
      <c r="BG33">
        <v>1</v>
      </c>
      <c r="BH33">
        <v>-4.3999999999999997E-2</v>
      </c>
      <c r="BI33">
        <v>4.5999999999999999E-2</v>
      </c>
      <c r="BJ33">
        <v>5625</v>
      </c>
      <c r="BK33">
        <v>1.0077616384810699</v>
      </c>
      <c r="BL33">
        <v>140.04696228842201</v>
      </c>
      <c r="BM33">
        <v>6.5348896301040602</v>
      </c>
      <c r="BN33">
        <v>140.04696228842201</v>
      </c>
      <c r="BO33">
        <v>1.0077616384810699</v>
      </c>
      <c r="BP33">
        <v>10009.3946631409</v>
      </c>
      <c r="BQ33">
        <v>1</v>
      </c>
      <c r="BR33">
        <v>0.15240000000000001</v>
      </c>
      <c r="BS33">
        <v>32</v>
      </c>
      <c r="BT33">
        <v>119</v>
      </c>
      <c r="BU33" t="s">
        <v>304</v>
      </c>
      <c r="BV33" t="str">
        <f>"Table "&amp;TRIM(RIGHT(SUBSTITUTE($A33,"_",REPT(" ",50)),50))</f>
        <v>Table 9</v>
      </c>
      <c r="BW33">
        <f>$BR33/$Q33</f>
        <v>80</v>
      </c>
      <c r="BX33" t="str">
        <f>IF($BW33&lt;40,"outside_low",IF($BW33&lt;=100,"short_anchor",IF($BW33&lt;250,"middle",IF($BW33&lt;=400,"long","outside_high"))))</f>
        <v>short_anchor</v>
      </c>
      <c r="BY33" t="str">
        <f>IF($N33&gt;1000,"PASS","FAIL")</f>
        <v>PASS</v>
      </c>
      <c r="BZ33" t="str">
        <f>IF(AND($BW33&gt;=40,$BW33&lt;=400),"PASS","FAIL")</f>
        <v>PASS</v>
      </c>
    </row>
    <row r="34" spans="1:78">
      <c r="A34" t="s">
        <v>188</v>
      </c>
      <c r="B34">
        <v>12065825.263044599</v>
      </c>
      <c r="C34">
        <v>598.16775841223</v>
      </c>
      <c r="D34">
        <v>70.719127092772794</v>
      </c>
      <c r="E34">
        <v>654.056980860061</v>
      </c>
      <c r="F34">
        <v>2683685.08837691</v>
      </c>
      <c r="G34">
        <v>1493933.1953330799</v>
      </c>
      <c r="H34">
        <v>2.11454043590923E-5</v>
      </c>
      <c r="I34">
        <v>7.6371158483287804E-5</v>
      </c>
      <c r="J34">
        <v>0.51093471001103696</v>
      </c>
      <c r="K34">
        <v>6848.0719740579098</v>
      </c>
      <c r="L34">
        <v>8.69531901762856E-3</v>
      </c>
      <c r="M34">
        <v>119</v>
      </c>
      <c r="N34">
        <v>3295.6386545585601</v>
      </c>
      <c r="O34">
        <v>2.8502295699234199E-6</v>
      </c>
      <c r="P34">
        <v>5.98473400508856E-3</v>
      </c>
      <c r="Q34">
        <v>1.905E-3</v>
      </c>
      <c r="R34">
        <v>0.15240000000000001</v>
      </c>
      <c r="S34">
        <v>4676068.30078125</v>
      </c>
      <c r="T34">
        <v>522.60407503228396</v>
      </c>
      <c r="U34">
        <v>588.90550880032799</v>
      </c>
      <c r="V34">
        <v>0.03</v>
      </c>
      <c r="W34">
        <v>82206.316646459003</v>
      </c>
      <c r="X34">
        <v>3.3064274849559601E-2</v>
      </c>
      <c r="Y34">
        <v>5.4994657138155496</v>
      </c>
      <c r="Z34">
        <v>5.4994657451812596</v>
      </c>
      <c r="AA34">
        <v>-3.1365715358333499E-8</v>
      </c>
      <c r="AB34">
        <v>1.52031702906789E-5</v>
      </c>
      <c r="AC34">
        <v>662.89607077276401</v>
      </c>
      <c r="AD34">
        <v>2642.4677860546999</v>
      </c>
      <c r="AE34">
        <v>588.90550945239499</v>
      </c>
      <c r="AF34">
        <v>6.52067001283285E-7</v>
      </c>
      <c r="AG34">
        <v>1.5269003049548199E-5</v>
      </c>
      <c r="AH34">
        <v>68.632940509464703</v>
      </c>
      <c r="AI34">
        <v>0.32393547435065501</v>
      </c>
      <c r="AJ34">
        <v>42.359946124516803</v>
      </c>
      <c r="AK34">
        <v>4.3046789681365603</v>
      </c>
      <c r="AL34">
        <v>1.0236047381170099</v>
      </c>
      <c r="AM34">
        <v>598.16775839464401</v>
      </c>
      <c r="AN34">
        <v>1.75855348061305E-8</v>
      </c>
      <c r="AO34">
        <v>6.5832758869320806E-8</v>
      </c>
      <c r="AP34">
        <v>4.2792730992228796</v>
      </c>
      <c r="AQ34">
        <v>4.6749478766895801E-5</v>
      </c>
      <c r="AR34">
        <v>7.6674179042087794E-6</v>
      </c>
      <c r="AS34">
        <v>21.271291143402401</v>
      </c>
      <c r="AT34">
        <v>12.236791649637601</v>
      </c>
      <c r="AU34">
        <v>3.9639309075555</v>
      </c>
      <c r="AV34">
        <v>0.31534219166738098</v>
      </c>
      <c r="AW34">
        <v>8.2181347594452708E-3</v>
      </c>
      <c r="AX34">
        <v>0.31534219046443601</v>
      </c>
      <c r="AY34">
        <v>1.2029448548389599E-9</v>
      </c>
      <c r="AZ34">
        <v>1189751.8930438301</v>
      </c>
      <c r="BA34">
        <v>1.0924630815309601E-5</v>
      </c>
      <c r="BB34">
        <v>4689291.9896161398</v>
      </c>
      <c r="BC34">
        <v>13223.6888348879</v>
      </c>
      <c r="BD34">
        <v>0.28279503172951098</v>
      </c>
      <c r="BE34">
        <v>4037875.2</v>
      </c>
      <c r="BF34">
        <v>1.1613266278304299</v>
      </c>
      <c r="BG34">
        <v>1</v>
      </c>
      <c r="BH34">
        <v>-1.6E-2</v>
      </c>
      <c r="BI34">
        <v>4.5999999999999999E-2</v>
      </c>
      <c r="BJ34">
        <v>5625</v>
      </c>
      <c r="BK34">
        <v>1.0367372932983401</v>
      </c>
      <c r="BL34">
        <v>75.563683379945999</v>
      </c>
      <c r="BM34">
        <v>4.68929198961614</v>
      </c>
      <c r="BN34">
        <v>75.563683379945999</v>
      </c>
      <c r="BO34">
        <v>1.0367372932983401</v>
      </c>
      <c r="BP34">
        <v>1264.77557554905</v>
      </c>
      <c r="BQ34">
        <v>1</v>
      </c>
      <c r="BR34">
        <v>0.15240000000000001</v>
      </c>
      <c r="BS34">
        <v>33</v>
      </c>
      <c r="BT34">
        <v>120</v>
      </c>
      <c r="BU34" t="s">
        <v>304</v>
      </c>
      <c r="BV34" t="str">
        <f>"Table "&amp;TRIM(RIGHT(SUBSTITUTE($A34,"_",REPT(" ",50)),50))</f>
        <v>Table 9</v>
      </c>
      <c r="BW34">
        <f>$BR34/$Q34</f>
        <v>80</v>
      </c>
      <c r="BX34" t="str">
        <f>IF($BW34&lt;40,"outside_low",IF($BW34&lt;=100,"short_anchor",IF($BW34&lt;250,"middle",IF($BW34&lt;=400,"long","outside_high"))))</f>
        <v>short_anchor</v>
      </c>
      <c r="BY34" t="str">
        <f>IF($N34&gt;1000,"PASS","FAIL")</f>
        <v>PASS</v>
      </c>
      <c r="BZ34" t="str">
        <f>IF(AND($BW34&gt;=40,$BW34&lt;=400),"PASS","FAIL")</f>
        <v>PASS</v>
      </c>
    </row>
    <row r="35" spans="1:78">
      <c r="A35" t="s">
        <v>189</v>
      </c>
      <c r="B35">
        <v>12065825.263044599</v>
      </c>
      <c r="C35">
        <v>598.16775841223</v>
      </c>
      <c r="D35">
        <v>70.719127092772794</v>
      </c>
      <c r="E35">
        <v>654.056980860061</v>
      </c>
      <c r="F35">
        <v>2683685.08837691</v>
      </c>
      <c r="G35">
        <v>1493933.1953330799</v>
      </c>
      <c r="H35">
        <v>2.11454043590923E-5</v>
      </c>
      <c r="I35">
        <v>7.6371158483287804E-5</v>
      </c>
      <c r="J35">
        <v>0.51093471001103696</v>
      </c>
      <c r="K35">
        <v>6848.0719740579098</v>
      </c>
      <c r="L35">
        <v>8.69531901762856E-3</v>
      </c>
      <c r="M35">
        <v>120</v>
      </c>
      <c r="N35">
        <v>3811.0060161767701</v>
      </c>
      <c r="O35">
        <v>2.8502295699234199E-6</v>
      </c>
      <c r="P35">
        <v>5.98473400508856E-3</v>
      </c>
      <c r="Q35">
        <v>1.905E-3</v>
      </c>
      <c r="R35">
        <v>0.15240000000000001</v>
      </c>
      <c r="S35">
        <v>4759205.95703125</v>
      </c>
      <c r="T35">
        <v>535.47689091834604</v>
      </c>
      <c r="U35">
        <v>593.83168317304603</v>
      </c>
      <c r="V35">
        <v>0.03</v>
      </c>
      <c r="W35">
        <v>95061.6254224484</v>
      </c>
      <c r="X35">
        <v>3.0945300439482602E-2</v>
      </c>
      <c r="Y35">
        <v>5.6846358323022699</v>
      </c>
      <c r="Z35">
        <v>5.6846358673975699</v>
      </c>
      <c r="AA35">
        <v>-3.5095298223097897E-8</v>
      </c>
      <c r="AB35">
        <v>1.21478205091792E-5</v>
      </c>
      <c r="AC35">
        <v>654.21558770639103</v>
      </c>
      <c r="AD35">
        <v>2956.15770076538</v>
      </c>
      <c r="AE35">
        <v>593.83168317304603</v>
      </c>
      <c r="AF35">
        <v>0</v>
      </c>
      <c r="AG35">
        <v>1.22027390281693E-5</v>
      </c>
      <c r="AH35">
        <v>85.895102033074707</v>
      </c>
      <c r="AI35">
        <v>0.362390168805998</v>
      </c>
      <c r="AJ35">
        <v>37.872147977483301</v>
      </c>
      <c r="AK35">
        <v>3.7981106663531001</v>
      </c>
      <c r="AL35">
        <v>1.0236047381170099</v>
      </c>
      <c r="AM35">
        <v>598.16775839935406</v>
      </c>
      <c r="AN35">
        <v>1.28760575535125E-8</v>
      </c>
      <c r="AO35">
        <v>5.4918518990038898E-8</v>
      </c>
      <c r="AP35">
        <v>4.5627758606842201</v>
      </c>
      <c r="AQ35">
        <v>4.1120511652791498E-5</v>
      </c>
      <c r="AR35">
        <v>6.1288287735796498E-6</v>
      </c>
      <c r="AS35">
        <v>19.0212959324829</v>
      </c>
      <c r="AT35">
        <v>11.677795950238</v>
      </c>
      <c r="AU35">
        <v>4.2319184456887697</v>
      </c>
      <c r="AV35">
        <v>0.33085741499545201</v>
      </c>
      <c r="AW35">
        <v>6.5665531641907202E-3</v>
      </c>
      <c r="AX35">
        <v>0.33085739444450801</v>
      </c>
      <c r="AY35">
        <v>2.0550944668240599E-8</v>
      </c>
      <c r="AZ35">
        <v>1189751.8930438301</v>
      </c>
      <c r="BA35">
        <v>9.0121699834331006E-6</v>
      </c>
      <c r="BB35">
        <v>4741998.7170337001</v>
      </c>
      <c r="BC35">
        <v>-17207.239997551798</v>
      </c>
      <c r="BD35">
        <v>-0.36155695199804899</v>
      </c>
      <c r="BE35">
        <v>4053648.15</v>
      </c>
      <c r="BF35">
        <v>1.16981014176914</v>
      </c>
      <c r="BG35">
        <v>1</v>
      </c>
      <c r="BH35">
        <v>-7.0000000000000001E-3</v>
      </c>
      <c r="BI35">
        <v>4.5999999999999999E-2</v>
      </c>
      <c r="BJ35">
        <v>5625</v>
      </c>
      <c r="BK35">
        <v>1.04197641781599</v>
      </c>
      <c r="BL35">
        <v>62.690867493883999</v>
      </c>
      <c r="BM35">
        <v>4.7419987170336997</v>
      </c>
      <c r="BN35">
        <v>62.690867493883999</v>
      </c>
      <c r="BO35">
        <v>1.04197641781599</v>
      </c>
      <c r="BP35">
        <v>514.87546762500006</v>
      </c>
      <c r="BQ35">
        <v>1</v>
      </c>
      <c r="BR35">
        <v>0.15240000000000001</v>
      </c>
      <c r="BS35">
        <v>34</v>
      </c>
      <c r="BT35">
        <v>121</v>
      </c>
      <c r="BU35" t="s">
        <v>304</v>
      </c>
      <c r="BV35" t="str">
        <f>"Table "&amp;TRIM(RIGHT(SUBSTITUTE($A35,"_",REPT(" ",50)),50))</f>
        <v>Table 9</v>
      </c>
      <c r="BW35">
        <f>$BR35/$Q35</f>
        <v>80</v>
      </c>
      <c r="BX35" t="str">
        <f>IF($BW35&lt;40,"outside_low",IF($BW35&lt;=100,"short_anchor",IF($BW35&lt;250,"middle",IF($BW35&lt;=400,"long","outside_high"))))</f>
        <v>short_anchor</v>
      </c>
      <c r="BY35" t="str">
        <f>IF($N35&gt;1000,"PASS","FAIL")</f>
        <v>PASS</v>
      </c>
      <c r="BZ35" t="str">
        <f>IF(AND($BW35&gt;=40,$BW35&lt;=400),"PASS","FAIL")</f>
        <v>PASS</v>
      </c>
    </row>
    <row r="36" spans="1:78">
      <c r="A36" t="s">
        <v>190</v>
      </c>
      <c r="B36">
        <v>12065825.263044599</v>
      </c>
      <c r="C36">
        <v>598.16775841223</v>
      </c>
      <c r="D36">
        <v>70.719127092772794</v>
      </c>
      <c r="E36">
        <v>654.056980860061</v>
      </c>
      <c r="F36">
        <v>2683685.08837691</v>
      </c>
      <c r="G36">
        <v>1493933.1953330799</v>
      </c>
      <c r="H36">
        <v>2.11454043590923E-5</v>
      </c>
      <c r="I36">
        <v>7.6371158483287804E-5</v>
      </c>
      <c r="J36">
        <v>0.51093471001103696</v>
      </c>
      <c r="K36">
        <v>6848.0719740579098</v>
      </c>
      <c r="L36">
        <v>8.69531901762856E-3</v>
      </c>
      <c r="M36">
        <v>121</v>
      </c>
      <c r="N36">
        <v>4041.5650990059698</v>
      </c>
      <c r="O36">
        <v>2.8502295699234199E-6</v>
      </c>
      <c r="P36">
        <v>5.98473400508856E-3</v>
      </c>
      <c r="Q36">
        <v>1.905E-3</v>
      </c>
      <c r="R36">
        <v>0.15240000000000001</v>
      </c>
      <c r="S36">
        <v>5204152.79296875</v>
      </c>
      <c r="T36">
        <v>529.302558596925</v>
      </c>
      <c r="U36">
        <v>589.47285106880599</v>
      </c>
      <c r="V36">
        <v>0.03</v>
      </c>
      <c r="W36">
        <v>100812.68461170699</v>
      </c>
      <c r="X36">
        <v>3.0144337567857799E-2</v>
      </c>
      <c r="Y36">
        <v>5.7596637200681799</v>
      </c>
      <c r="Z36">
        <v>5.7596637569575702</v>
      </c>
      <c r="AA36">
        <v>-3.6889382215576903E-8</v>
      </c>
      <c r="AB36">
        <v>1.1088363050012001E-5</v>
      </c>
      <c r="AC36">
        <v>657.37582741667904</v>
      </c>
      <c r="AD36">
        <v>3094.1621066426901</v>
      </c>
      <c r="AE36">
        <v>589.47285106880599</v>
      </c>
      <c r="AF36">
        <v>0</v>
      </c>
      <c r="AG36">
        <v>1.1143818005638199E-5</v>
      </c>
      <c r="AH36">
        <v>94.102103025414607</v>
      </c>
      <c r="AI36">
        <v>0.37930788599304199</v>
      </c>
      <c r="AJ36">
        <v>36.200293329520598</v>
      </c>
      <c r="AK36">
        <v>4.0431916190799999</v>
      </c>
      <c r="AL36">
        <v>1.0236047381170099</v>
      </c>
      <c r="AM36">
        <v>598.16775840641606</v>
      </c>
      <c r="AN36">
        <v>5.8140585679211703E-9</v>
      </c>
      <c r="AO36">
        <v>5.5454955626273197E-8</v>
      </c>
      <c r="AP36">
        <v>4.6822205923112596</v>
      </c>
      <c r="AQ36">
        <v>3.9049280753577103E-5</v>
      </c>
      <c r="AR36">
        <v>5.59963648063226E-6</v>
      </c>
      <c r="AS36">
        <v>18.190218382515901</v>
      </c>
      <c r="AT36">
        <v>11.454419990469001</v>
      </c>
      <c r="AU36">
        <v>4.3447518318612399</v>
      </c>
      <c r="AV36">
        <v>0.337468760450025</v>
      </c>
      <c r="AW36">
        <v>5.9938591796555203E-3</v>
      </c>
      <c r="AX36">
        <v>0.337468759107311</v>
      </c>
      <c r="AY36">
        <v>1.34271366247773E-9</v>
      </c>
      <c r="AZ36">
        <v>1189751.8930438301</v>
      </c>
      <c r="BA36">
        <v>8.3399062439946702E-6</v>
      </c>
      <c r="BB36">
        <v>5174294.9784548497</v>
      </c>
      <c r="BC36">
        <v>-29857.8145139031</v>
      </c>
      <c r="BD36">
        <v>-0.57373055138280205</v>
      </c>
      <c r="BE36">
        <v>4653020.25</v>
      </c>
      <c r="BF36">
        <v>1.1120293272858299</v>
      </c>
      <c r="BG36">
        <v>1</v>
      </c>
      <c r="BH36">
        <v>-8.9999999999999993E-3</v>
      </c>
      <c r="BI36">
        <v>4.5999999999999999E-2</v>
      </c>
      <c r="BJ36">
        <v>5625</v>
      </c>
      <c r="BK36">
        <v>1.0396668963453</v>
      </c>
      <c r="BL36">
        <v>68.865199815305004</v>
      </c>
      <c r="BM36">
        <v>5.1742949784548502</v>
      </c>
      <c r="BN36">
        <v>68.865199815305004</v>
      </c>
      <c r="BO36">
        <v>1.0396668963453</v>
      </c>
      <c r="BP36">
        <v>833.19976037748404</v>
      </c>
      <c r="BQ36">
        <v>1</v>
      </c>
      <c r="BR36">
        <v>0.15240000000000001</v>
      </c>
      <c r="BS36">
        <v>35</v>
      </c>
      <c r="BT36">
        <v>122</v>
      </c>
      <c r="BU36" t="s">
        <v>304</v>
      </c>
      <c r="BV36" t="str">
        <f>"Table "&amp;TRIM(RIGHT(SUBSTITUTE($A36,"_",REPT(" ",50)),50))</f>
        <v>Table 9</v>
      </c>
      <c r="BW36">
        <f>$BR36/$Q36</f>
        <v>80</v>
      </c>
      <c r="BX36" t="str">
        <f>IF($BW36&lt;40,"outside_low",IF($BW36&lt;=100,"short_anchor",IF($BW36&lt;250,"middle",IF($BW36&lt;=400,"long","outside_high"))))</f>
        <v>short_anchor</v>
      </c>
      <c r="BY36" t="str">
        <f>IF($N36&gt;1000,"PASS","FAIL")</f>
        <v>PASS</v>
      </c>
      <c r="BZ36" t="str">
        <f>IF(AND($BW36&gt;=40,$BW36&lt;=400),"PASS","FAIL")</f>
        <v>PASS</v>
      </c>
    </row>
    <row r="37" spans="1:78">
      <c r="A37" t="s">
        <v>191</v>
      </c>
      <c r="B37">
        <v>12065825.263044599</v>
      </c>
      <c r="C37">
        <v>598.16775841223</v>
      </c>
      <c r="D37">
        <v>70.719127092772794</v>
      </c>
      <c r="E37">
        <v>654.056980860061</v>
      </c>
      <c r="F37">
        <v>2683685.08837691</v>
      </c>
      <c r="G37">
        <v>1493933.1953330799</v>
      </c>
      <c r="H37">
        <v>2.11454043590923E-5</v>
      </c>
      <c r="I37">
        <v>7.6371158483287804E-5</v>
      </c>
      <c r="J37">
        <v>0.51093471001103696</v>
      </c>
      <c r="K37">
        <v>6848.0719740579098</v>
      </c>
      <c r="L37">
        <v>8.69531901762856E-3</v>
      </c>
      <c r="M37">
        <v>122</v>
      </c>
      <c r="N37">
        <v>4041.5650990059698</v>
      </c>
      <c r="O37">
        <v>2.8502295699234199E-6</v>
      </c>
      <c r="P37">
        <v>5.98473400508856E-3</v>
      </c>
      <c r="Q37">
        <v>1.905E-3</v>
      </c>
      <c r="R37">
        <v>0.15240000000000001</v>
      </c>
      <c r="S37">
        <v>5324894.27734375</v>
      </c>
      <c r="T37">
        <v>525.91640840595801</v>
      </c>
      <c r="U37">
        <v>587.48271108686902</v>
      </c>
      <c r="V37">
        <v>0.03</v>
      </c>
      <c r="W37">
        <v>100812.68461170699</v>
      </c>
      <c r="X37">
        <v>3.0144337567857799E-2</v>
      </c>
      <c r="Y37">
        <v>5.7596637200681799</v>
      </c>
      <c r="Z37">
        <v>5.7596637569575702</v>
      </c>
      <c r="AA37">
        <v>-3.6889382215576903E-8</v>
      </c>
      <c r="AB37">
        <v>1.1088363050012001E-5</v>
      </c>
      <c r="AC37">
        <v>659.29028134790894</v>
      </c>
      <c r="AD37">
        <v>3094.1621066426901</v>
      </c>
      <c r="AE37">
        <v>587.48271170244095</v>
      </c>
      <c r="AF37">
        <v>6.1557182107208096E-7</v>
      </c>
      <c r="AG37">
        <v>1.1145764277863599E-5</v>
      </c>
      <c r="AH37">
        <v>94.102103025414607</v>
      </c>
      <c r="AI37">
        <v>0.37930788599304199</v>
      </c>
      <c r="AJ37">
        <v>36.206615725078599</v>
      </c>
      <c r="AK37">
        <v>4.1738011220006399</v>
      </c>
      <c r="AL37">
        <v>1.0236047381170099</v>
      </c>
      <c r="AM37">
        <v>598.16775840610603</v>
      </c>
      <c r="AN37">
        <v>6.1235141401994001E-9</v>
      </c>
      <c r="AO37">
        <v>5.74012278516509E-8</v>
      </c>
      <c r="AP37">
        <v>4.68283535717286</v>
      </c>
      <c r="AQ37">
        <v>3.9039028610130097E-5</v>
      </c>
      <c r="AR37">
        <v>5.6015827528576302E-6</v>
      </c>
      <c r="AS37">
        <v>18.196540778073899</v>
      </c>
      <c r="AT37">
        <v>11.4561575443945</v>
      </c>
      <c r="AU37">
        <v>4.3454108997675203</v>
      </c>
      <c r="AV37">
        <v>0.33742445740533999</v>
      </c>
      <c r="AW37">
        <v>5.9938591796555203E-3</v>
      </c>
      <c r="AX37">
        <v>0.337424456047485</v>
      </c>
      <c r="AY37">
        <v>1.3578548285764199E-9</v>
      </c>
      <c r="AZ37">
        <v>1189751.8930438301</v>
      </c>
      <c r="BA37">
        <v>8.33662207455846E-6</v>
      </c>
      <c r="BB37">
        <v>5358004.3043332295</v>
      </c>
      <c r="BC37">
        <v>33110.0269894823</v>
      </c>
      <c r="BD37">
        <v>0.62179688957127699</v>
      </c>
      <c r="BE37">
        <v>5173527.5999999996</v>
      </c>
      <c r="BF37">
        <v>1.0356578177592499</v>
      </c>
      <c r="BG37">
        <v>1</v>
      </c>
      <c r="BH37">
        <v>-1.2E-2</v>
      </c>
      <c r="BI37">
        <v>4.5999999999999999E-2</v>
      </c>
      <c r="BJ37">
        <v>5625</v>
      </c>
      <c r="BK37">
        <v>1.03823402844558</v>
      </c>
      <c r="BL37">
        <v>72.251350006272006</v>
      </c>
      <c r="BM37">
        <v>5.3580043043332299</v>
      </c>
      <c r="BN37">
        <v>72.251350006272006</v>
      </c>
      <c r="BO37">
        <v>1.03823402844558</v>
      </c>
      <c r="BP37">
        <v>1040.14957722706</v>
      </c>
      <c r="BQ37">
        <v>1</v>
      </c>
      <c r="BR37">
        <v>0.15240000000000001</v>
      </c>
      <c r="BS37">
        <v>36</v>
      </c>
      <c r="BT37">
        <v>123</v>
      </c>
      <c r="BU37" t="s">
        <v>304</v>
      </c>
      <c r="BV37" t="str">
        <f>"Table "&amp;TRIM(RIGHT(SUBSTITUTE($A37,"_",REPT(" ",50)),50))</f>
        <v>Table 9</v>
      </c>
      <c r="BW37">
        <f>$BR37/$Q37</f>
        <v>80</v>
      </c>
      <c r="BX37" t="str">
        <f>IF($BW37&lt;40,"outside_low",IF($BW37&lt;=100,"short_anchor",IF($BW37&lt;250,"middle",IF($BW37&lt;=400,"long","outside_high"))))</f>
        <v>short_anchor</v>
      </c>
      <c r="BY37" t="str">
        <f>IF($N37&gt;1000,"PASS","FAIL")</f>
        <v>PASS</v>
      </c>
      <c r="BZ37" t="str">
        <f>IF(AND($BW37&gt;=40,$BW37&lt;=400),"PASS","FAIL")</f>
        <v>PASS</v>
      </c>
    </row>
    <row r="38" spans="1:78">
      <c r="A38" t="s">
        <v>192</v>
      </c>
      <c r="B38">
        <v>12065825.263044599</v>
      </c>
      <c r="C38">
        <v>598.16775841223</v>
      </c>
      <c r="D38">
        <v>70.719127092772794</v>
      </c>
      <c r="E38">
        <v>654.056980860061</v>
      </c>
      <c r="F38">
        <v>2683685.08837691</v>
      </c>
      <c r="G38">
        <v>1493933.1953330799</v>
      </c>
      <c r="H38">
        <v>2.11454043590923E-5</v>
      </c>
      <c r="I38">
        <v>7.6371158483287804E-5</v>
      </c>
      <c r="J38">
        <v>0.51093471001103696</v>
      </c>
      <c r="K38">
        <v>6848.0719740579098</v>
      </c>
      <c r="L38">
        <v>8.69531901762856E-3</v>
      </c>
      <c r="M38">
        <v>123</v>
      </c>
      <c r="N38">
        <v>4082.2519959758301</v>
      </c>
      <c r="O38">
        <v>2.8502295699234199E-6</v>
      </c>
      <c r="P38">
        <v>5.98473400508856E-3</v>
      </c>
      <c r="Q38">
        <v>1.905E-3</v>
      </c>
      <c r="R38">
        <v>0.15240000000000001</v>
      </c>
      <c r="S38">
        <v>5345531.19140625</v>
      </c>
      <c r="T38">
        <v>526.45012634417299</v>
      </c>
      <c r="U38">
        <v>587.63903679838199</v>
      </c>
      <c r="V38">
        <v>0.03</v>
      </c>
      <c r="W38">
        <v>101827.577409811</v>
      </c>
      <c r="X38">
        <v>3.00107704692281E-2</v>
      </c>
      <c r="Y38">
        <v>5.7724665819879704</v>
      </c>
      <c r="Z38">
        <v>5.77246661364559</v>
      </c>
      <c r="AA38">
        <v>-3.1657623189573802E-8</v>
      </c>
      <c r="AB38">
        <v>1.09168055121032E-5</v>
      </c>
      <c r="AC38">
        <v>658.90256464140202</v>
      </c>
      <c r="AD38">
        <v>3118.3797028357499</v>
      </c>
      <c r="AE38">
        <v>587.63903679838199</v>
      </c>
      <c r="AF38">
        <v>0</v>
      </c>
      <c r="AG38">
        <v>1.0973441210933101E-5</v>
      </c>
      <c r="AH38">
        <v>95.580917051109196</v>
      </c>
      <c r="AI38">
        <v>0.38227667848006103</v>
      </c>
      <c r="AJ38">
        <v>35.925833430378098</v>
      </c>
      <c r="AK38">
        <v>4.15284491517804</v>
      </c>
      <c r="AL38">
        <v>1.0236047381170099</v>
      </c>
      <c r="AM38">
        <v>598.16775840923106</v>
      </c>
      <c r="AN38">
        <v>2.99928615277167E-9</v>
      </c>
      <c r="AO38">
        <v>5.66356988299332E-8</v>
      </c>
      <c r="AP38">
        <v>4.7031583955070504</v>
      </c>
      <c r="AQ38">
        <v>3.8702370803861103E-5</v>
      </c>
      <c r="AR38">
        <v>5.5150384548815297E-6</v>
      </c>
      <c r="AS38">
        <v>18.0556262236863</v>
      </c>
      <c r="AT38">
        <v>11.417286691765799</v>
      </c>
      <c r="AU38">
        <v>4.3645624337828197</v>
      </c>
      <c r="AV38">
        <v>0.33859596172422801</v>
      </c>
      <c r="AW38">
        <v>5.9011230635312804E-3</v>
      </c>
      <c r="AX38">
        <v>0.33859595979618301</v>
      </c>
      <c r="AY38">
        <v>1.92804461285334E-9</v>
      </c>
      <c r="AZ38">
        <v>1189751.8930438301</v>
      </c>
      <c r="BA38">
        <v>8.2290170879283305E-6</v>
      </c>
      <c r="BB38">
        <v>5355675.9197826898</v>
      </c>
      <c r="BC38">
        <v>10144.7283764435</v>
      </c>
      <c r="BD38">
        <v>0.189779612412564</v>
      </c>
      <c r="BE38">
        <v>4700339.0999999996</v>
      </c>
      <c r="BF38">
        <v>1.13942330666796</v>
      </c>
      <c r="BG38">
        <v>1</v>
      </c>
      <c r="BH38">
        <v>-0.02</v>
      </c>
      <c r="BI38">
        <v>4.5999999999999999E-2</v>
      </c>
      <c r="BJ38">
        <v>5625</v>
      </c>
      <c r="BK38">
        <v>1.03846679867313</v>
      </c>
      <c r="BL38">
        <v>71.717632068057</v>
      </c>
      <c r="BM38">
        <v>5.3556759197826898</v>
      </c>
      <c r="BN38">
        <v>71.717632068057</v>
      </c>
      <c r="BO38">
        <v>1.03846679867313</v>
      </c>
      <c r="BP38">
        <v>1006.00818400464</v>
      </c>
      <c r="BQ38">
        <v>1</v>
      </c>
      <c r="BR38">
        <v>0.15240000000000001</v>
      </c>
      <c r="BS38">
        <v>37</v>
      </c>
      <c r="BT38">
        <v>124</v>
      </c>
      <c r="BU38" t="s">
        <v>304</v>
      </c>
      <c r="BV38" t="str">
        <f>"Table "&amp;TRIM(RIGHT(SUBSTITUTE($A38,"_",REPT(" ",50)),50))</f>
        <v>Table 9</v>
      </c>
      <c r="BW38">
        <f>$BR38/$Q38</f>
        <v>80</v>
      </c>
      <c r="BX38" t="str">
        <f>IF($BW38&lt;40,"outside_low",IF($BW38&lt;=100,"short_anchor",IF($BW38&lt;250,"middle",IF($BW38&lt;=400,"long","outside_high"))))</f>
        <v>short_anchor</v>
      </c>
      <c r="BY38" t="str">
        <f>IF($N38&gt;1000,"PASS","FAIL")</f>
        <v>PASS</v>
      </c>
      <c r="BZ38" t="str">
        <f>IF(AND($BW38&gt;=40,$BW38&lt;=400),"PASS","FAIL")</f>
        <v>PASS</v>
      </c>
    </row>
    <row r="39" spans="1:78">
      <c r="A39" t="s">
        <v>193</v>
      </c>
      <c r="B39">
        <v>12065825.263044599</v>
      </c>
      <c r="C39">
        <v>598.16775841223</v>
      </c>
      <c r="D39">
        <v>70.719127092772794</v>
      </c>
      <c r="E39">
        <v>654.056980860061</v>
      </c>
      <c r="F39">
        <v>2683685.08837691</v>
      </c>
      <c r="G39">
        <v>1493933.1953330799</v>
      </c>
      <c r="H39">
        <v>2.11454043590923E-5</v>
      </c>
      <c r="I39">
        <v>7.6371158483287804E-5</v>
      </c>
      <c r="J39">
        <v>0.51093471001103696</v>
      </c>
      <c r="K39">
        <v>6848.0719740579098</v>
      </c>
      <c r="L39">
        <v>8.69531901762856E-3</v>
      </c>
      <c r="M39">
        <v>124</v>
      </c>
      <c r="N39">
        <v>2325.9342767769299</v>
      </c>
      <c r="O39">
        <v>2.8502295699234199E-6</v>
      </c>
      <c r="P39">
        <v>5.98473400508856E-3</v>
      </c>
      <c r="Q39">
        <v>1.905E-3</v>
      </c>
      <c r="R39">
        <v>0.69596000000000002</v>
      </c>
      <c r="S39">
        <v>2963578.97265625</v>
      </c>
      <c r="T39">
        <v>298.737706474898</v>
      </c>
      <c r="U39">
        <v>570.63196722715497</v>
      </c>
      <c r="V39">
        <v>0.03</v>
      </c>
      <c r="W39">
        <v>58018.038291636803</v>
      </c>
      <c r="X39">
        <v>3.90786566983174E-2</v>
      </c>
      <c r="Y39">
        <v>5.0585982172817499</v>
      </c>
      <c r="Z39">
        <v>5.0585982262515303</v>
      </c>
      <c r="AA39">
        <v>-8.9697866911819801E-9</v>
      </c>
      <c r="AB39">
        <v>2.58248515761656E-5</v>
      </c>
      <c r="AC39">
        <v>664.84606444497297</v>
      </c>
      <c r="AD39">
        <v>2027.48600229818</v>
      </c>
      <c r="AE39">
        <v>570.63196722715497</v>
      </c>
      <c r="AF39">
        <v>0</v>
      </c>
      <c r="AG39">
        <v>2.5891948637876101E-5</v>
      </c>
      <c r="AH39">
        <v>40.404425134371103</v>
      </c>
      <c r="AI39">
        <v>0.248545940033715</v>
      </c>
      <c r="AJ39">
        <v>55.1134524257401</v>
      </c>
      <c r="AK39">
        <v>4.2484572423270803</v>
      </c>
      <c r="AL39">
        <v>1.0236047381170099</v>
      </c>
      <c r="AM39">
        <v>598.16775835241799</v>
      </c>
      <c r="AN39">
        <v>5.9812009567394906E-8</v>
      </c>
      <c r="AO39">
        <v>6.7097061710568294E-8</v>
      </c>
      <c r="AP39">
        <v>3.6500143198636001</v>
      </c>
      <c r="AQ39">
        <v>6.42580650332295E-5</v>
      </c>
      <c r="AR39">
        <v>1.2979522849793401E-5</v>
      </c>
      <c r="AS39">
        <v>27.628137422011001</v>
      </c>
      <c r="AT39">
        <v>13.5441736261331</v>
      </c>
      <c r="AU39">
        <v>3.36634936588711</v>
      </c>
      <c r="AV39">
        <v>0.28366495397649599</v>
      </c>
      <c r="AW39">
        <v>1.39597272370041E-2</v>
      </c>
      <c r="AX39">
        <v>0.28366495077835802</v>
      </c>
      <c r="AY39">
        <v>3.19813825422344E-9</v>
      </c>
      <c r="AZ39">
        <v>1189751.8930438301</v>
      </c>
      <c r="BA39">
        <v>1.7604880255820701E-5</v>
      </c>
      <c r="BB39">
        <v>2965803.7944597299</v>
      </c>
      <c r="BC39">
        <v>2224.8218034766601</v>
      </c>
      <c r="BD39">
        <v>7.5072128126302595E-2</v>
      </c>
      <c r="BE39">
        <v>2104111.5299999998</v>
      </c>
      <c r="BF39">
        <v>1.40952784687213</v>
      </c>
      <c r="BG39">
        <v>1</v>
      </c>
      <c r="BH39">
        <v>-4.4999999999999998E-2</v>
      </c>
      <c r="BI39">
        <v>4.5999999999999999E-2</v>
      </c>
      <c r="BJ39">
        <v>5625</v>
      </c>
      <c r="BK39">
        <v>1.00000029265808</v>
      </c>
      <c r="BL39">
        <v>299.430051937332</v>
      </c>
      <c r="BM39">
        <v>2.9658037944597302</v>
      </c>
      <c r="BN39">
        <v>299.430051937332</v>
      </c>
      <c r="BO39">
        <v>1.00000029265808</v>
      </c>
      <c r="BP39">
        <v>67303.951848206794</v>
      </c>
      <c r="BQ39">
        <v>1</v>
      </c>
      <c r="BR39">
        <v>0.69596000000000002</v>
      </c>
      <c r="BS39">
        <v>38</v>
      </c>
      <c r="BT39">
        <v>125</v>
      </c>
      <c r="BU39" t="s">
        <v>304</v>
      </c>
      <c r="BV39" t="str">
        <f>"Table "&amp;TRIM(RIGHT(SUBSTITUTE($A39,"_",REPT(" ",50)),50))</f>
        <v>Table 9</v>
      </c>
      <c r="BW39">
        <f>$BR39/$Q39</f>
        <v>365.33333333333337</v>
      </c>
      <c r="BX39" t="str">
        <f>IF($BW39&lt;40,"outside_low",IF($BW39&lt;=100,"short_anchor",IF($BW39&lt;250,"middle",IF($BW39&lt;=400,"long","outside_high"))))</f>
        <v>long</v>
      </c>
      <c r="BY39" t="str">
        <f>IF($N39&gt;1000,"PASS","FAIL")</f>
        <v>PASS</v>
      </c>
      <c r="BZ39" t="str">
        <f>IF(AND($BW39&gt;=40,$BW39&lt;=400),"PASS","FAIL")</f>
        <v>PASS</v>
      </c>
    </row>
    <row r="40" spans="1:78">
      <c r="A40" t="s">
        <v>194</v>
      </c>
      <c r="B40">
        <v>12065825.263044599</v>
      </c>
      <c r="C40">
        <v>598.16775841223</v>
      </c>
      <c r="D40">
        <v>70.719127092772794</v>
      </c>
      <c r="E40">
        <v>654.056980860061</v>
      </c>
      <c r="F40">
        <v>2683685.08837691</v>
      </c>
      <c r="G40">
        <v>1493933.1953330799</v>
      </c>
      <c r="H40">
        <v>2.11454043590923E-5</v>
      </c>
      <c r="I40">
        <v>7.6371158483287804E-5</v>
      </c>
      <c r="J40">
        <v>0.51093471001103696</v>
      </c>
      <c r="K40">
        <v>6848.0719740579098</v>
      </c>
      <c r="L40">
        <v>8.69531901762856E-3</v>
      </c>
      <c r="M40">
        <v>125</v>
      </c>
      <c r="N40">
        <v>2454.77611718148</v>
      </c>
      <c r="O40">
        <v>2.8502295699234199E-6</v>
      </c>
      <c r="P40">
        <v>5.98473400508856E-3</v>
      </c>
      <c r="Q40">
        <v>1.905E-3</v>
      </c>
      <c r="R40">
        <v>0.69596000000000002</v>
      </c>
      <c r="S40">
        <v>3126217.28515625</v>
      </c>
      <c r="T40">
        <v>297.61642558059998</v>
      </c>
      <c r="U40">
        <v>569.37812224507798</v>
      </c>
      <c r="V40">
        <v>0.03</v>
      </c>
      <c r="W40">
        <v>61231.865485634102</v>
      </c>
      <c r="X40">
        <v>3.8051118795571201E-2</v>
      </c>
      <c r="Y40">
        <v>5.1264447918666702</v>
      </c>
      <c r="Z40">
        <v>5.1264447975649503</v>
      </c>
      <c r="AA40">
        <v>-5.6982845109132499E-9</v>
      </c>
      <c r="AB40">
        <v>2.3811191581321001E-5</v>
      </c>
      <c r="AC40">
        <v>665.32142715384305</v>
      </c>
      <c r="AD40">
        <v>2111.4763285019499</v>
      </c>
      <c r="AE40">
        <v>569.37812224507798</v>
      </c>
      <c r="AF40">
        <v>0</v>
      </c>
      <c r="AG40">
        <v>2.3876769213806901E-5</v>
      </c>
      <c r="AH40">
        <v>43.821338321176803</v>
      </c>
      <c r="AI40">
        <v>0.25884216627468098</v>
      </c>
      <c r="AJ40">
        <v>52.929378473551097</v>
      </c>
      <c r="AK40">
        <v>4.30648299933471</v>
      </c>
      <c r="AL40">
        <v>1.0236047381170099</v>
      </c>
      <c r="AM40">
        <v>598.16775831668997</v>
      </c>
      <c r="AN40">
        <v>9.5540144684491706E-8</v>
      </c>
      <c r="AO40">
        <v>6.5577632485866604E-8</v>
      </c>
      <c r="AP40">
        <v>3.7418381942568502</v>
      </c>
      <c r="AQ40">
        <v>6.1143004124903104E-5</v>
      </c>
      <c r="AR40">
        <v>1.1971173423146401E-5</v>
      </c>
      <c r="AS40">
        <v>26.5373746009084</v>
      </c>
      <c r="AT40">
        <v>13.3427705083192</v>
      </c>
      <c r="AU40">
        <v>3.4536716224792698</v>
      </c>
      <c r="AV40">
        <v>0.28816657177757898</v>
      </c>
      <c r="AW40">
        <v>1.2871235239549901E-2</v>
      </c>
      <c r="AX40">
        <v>0.28816656879200098</v>
      </c>
      <c r="AY40">
        <v>2.9855780070420199E-9</v>
      </c>
      <c r="AZ40">
        <v>1189751.8930438301</v>
      </c>
      <c r="BA40">
        <v>1.63403656039292E-5</v>
      </c>
      <c r="BB40">
        <v>3122956.6370159201</v>
      </c>
      <c r="BC40">
        <v>-3260.6481403266098</v>
      </c>
      <c r="BD40">
        <v>-0.10430011233731799</v>
      </c>
      <c r="BE40">
        <v>2161840.5269999998</v>
      </c>
      <c r="BF40">
        <v>1.44458233528894</v>
      </c>
      <c r="BG40">
        <v>1</v>
      </c>
      <c r="BH40">
        <v>-7.9000000000000001E-2</v>
      </c>
      <c r="BI40">
        <v>4.5999999999999999E-2</v>
      </c>
      <c r="BJ40">
        <v>5625</v>
      </c>
      <c r="BK40">
        <v>1.00000026384254</v>
      </c>
      <c r="BL40">
        <v>300.55133283163002</v>
      </c>
      <c r="BM40">
        <v>3.1229566370159199</v>
      </c>
      <c r="BN40">
        <v>300.55133283163002</v>
      </c>
      <c r="BO40">
        <v>1.00000026384254</v>
      </c>
      <c r="BP40">
        <v>67886.9970403388</v>
      </c>
      <c r="BQ40">
        <v>1</v>
      </c>
      <c r="BR40">
        <v>0.69596000000000002</v>
      </c>
      <c r="BS40">
        <v>39</v>
      </c>
      <c r="BT40">
        <v>126</v>
      </c>
      <c r="BU40" t="s">
        <v>304</v>
      </c>
      <c r="BV40" t="str">
        <f>"Table "&amp;TRIM(RIGHT(SUBSTITUTE($A40,"_",REPT(" ",50)),50))</f>
        <v>Table 9</v>
      </c>
      <c r="BW40">
        <f>$BR40/$Q40</f>
        <v>365.33333333333337</v>
      </c>
      <c r="BX40" t="str">
        <f>IF($BW40&lt;40,"outside_low",IF($BW40&lt;=100,"short_anchor",IF($BW40&lt;250,"middle",IF($BW40&lt;=400,"long","outside_high"))))</f>
        <v>long</v>
      </c>
      <c r="BY40" t="str">
        <f>IF($N40&gt;1000,"PASS","FAIL")</f>
        <v>PASS</v>
      </c>
      <c r="BZ40" t="str">
        <f>IF(AND($BW40&gt;=40,$BW40&lt;=400),"PASS","FAIL")</f>
        <v>PASS</v>
      </c>
    </row>
    <row r="41" spans="1:78">
      <c r="A41" t="s">
        <v>195</v>
      </c>
      <c r="B41">
        <v>12065825.263044599</v>
      </c>
      <c r="C41">
        <v>598.16775841223</v>
      </c>
      <c r="D41">
        <v>70.719127092772794</v>
      </c>
      <c r="E41">
        <v>654.056980860061</v>
      </c>
      <c r="F41">
        <v>2683685.08837691</v>
      </c>
      <c r="G41">
        <v>1493933.1953330799</v>
      </c>
      <c r="H41">
        <v>2.11454043590923E-5</v>
      </c>
      <c r="I41">
        <v>7.6371158483287804E-5</v>
      </c>
      <c r="J41">
        <v>0.51093471001103696</v>
      </c>
      <c r="K41">
        <v>6848.0719740579098</v>
      </c>
      <c r="L41">
        <v>8.69531901762856E-3</v>
      </c>
      <c r="M41">
        <v>126</v>
      </c>
      <c r="N41">
        <v>2739.5843959704898</v>
      </c>
      <c r="O41">
        <v>2.8502295699234199E-6</v>
      </c>
      <c r="P41">
        <v>5.98473400508856E-3</v>
      </c>
      <c r="Q41">
        <v>1.905E-3</v>
      </c>
      <c r="R41">
        <v>0.69596000000000002</v>
      </c>
      <c r="S41">
        <v>3426564.63465625</v>
      </c>
      <c r="T41">
        <v>300.41963647945403</v>
      </c>
      <c r="U41">
        <v>567.32372034201705</v>
      </c>
      <c r="V41">
        <v>0.03</v>
      </c>
      <c r="W41">
        <v>68336.115072365006</v>
      </c>
      <c r="X41">
        <v>3.6074469187045398E-2</v>
      </c>
      <c r="Y41">
        <v>5.26502000021559</v>
      </c>
      <c r="Z41">
        <v>5.2650200301068102</v>
      </c>
      <c r="AA41">
        <v>-2.9891224606615203E-8</v>
      </c>
      <c r="AB41">
        <v>2.0165222639742601E-5</v>
      </c>
      <c r="AC41">
        <v>664.98972427513104</v>
      </c>
      <c r="AD41">
        <v>2294.4324221766901</v>
      </c>
      <c r="AE41">
        <v>567.323720991914</v>
      </c>
      <c r="AF41">
        <v>6.4989740167220599E-7</v>
      </c>
      <c r="AG41">
        <v>2.0227292192750699E-5</v>
      </c>
      <c r="AH41">
        <v>51.744446404423599</v>
      </c>
      <c r="AI41">
        <v>0.28127043174025801</v>
      </c>
      <c r="AJ41">
        <v>48.7245721993581</v>
      </c>
      <c r="AK41">
        <v>4.34284370488741</v>
      </c>
      <c r="AL41">
        <v>1.0236047381170099</v>
      </c>
      <c r="AM41">
        <v>598.167758398415</v>
      </c>
      <c r="AN41">
        <v>1.38145423989045E-8</v>
      </c>
      <c r="AO41">
        <v>6.2069553008101704E-8</v>
      </c>
      <c r="AP41">
        <v>3.9347509463228101</v>
      </c>
      <c r="AQ41">
        <v>5.5294544312818799E-5</v>
      </c>
      <c r="AR41">
        <v>1.01446808728794E-5</v>
      </c>
      <c r="AS41">
        <v>24.437044312199699</v>
      </c>
      <c r="AT41">
        <v>12.930500952503101</v>
      </c>
      <c r="AU41">
        <v>3.6369675855283599</v>
      </c>
      <c r="AV41">
        <v>0.297783360794454</v>
      </c>
      <c r="AW41">
        <v>1.09003920852761E-2</v>
      </c>
      <c r="AX41">
        <v>0.29778334535355799</v>
      </c>
      <c r="AY41">
        <v>1.5440895673179999E-8</v>
      </c>
      <c r="AZ41">
        <v>1189751.8930438301</v>
      </c>
      <c r="BA41">
        <v>1.4052870198682799E-5</v>
      </c>
      <c r="BB41">
        <v>3437047.8059705999</v>
      </c>
      <c r="BC41">
        <v>10483.1713143461</v>
      </c>
      <c r="BD41">
        <v>0.30593823353919603</v>
      </c>
      <c r="BE41">
        <v>2460580.2000000002</v>
      </c>
      <c r="BF41">
        <v>1.3968444539912199</v>
      </c>
      <c r="BG41">
        <v>1</v>
      </c>
      <c r="BH41">
        <v>-4.7E-2</v>
      </c>
      <c r="BI41">
        <v>4.5999999999999999E-2</v>
      </c>
      <c r="BJ41">
        <v>5625</v>
      </c>
      <c r="BK41">
        <v>1.00000034160199</v>
      </c>
      <c r="BL41">
        <v>297.74812193277597</v>
      </c>
      <c r="BM41">
        <v>3.4370478059705998</v>
      </c>
      <c r="BN41">
        <v>297.74812193277597</v>
      </c>
      <c r="BO41">
        <v>1.00000034160199</v>
      </c>
      <c r="BP41">
        <v>66434.094359873197</v>
      </c>
      <c r="BQ41">
        <v>1</v>
      </c>
      <c r="BR41">
        <v>0.69596000000000002</v>
      </c>
      <c r="BS41">
        <v>40</v>
      </c>
      <c r="BT41">
        <v>127</v>
      </c>
      <c r="BU41" t="s">
        <v>304</v>
      </c>
      <c r="BV41" t="str">
        <f>"Table "&amp;TRIM(RIGHT(SUBSTITUTE($A41,"_",REPT(" ",50)),50))</f>
        <v>Table 9</v>
      </c>
      <c r="BW41">
        <f>$BR41/$Q41</f>
        <v>365.33333333333337</v>
      </c>
      <c r="BX41" t="str">
        <f>IF($BW41&lt;40,"outside_low",IF($BW41&lt;=100,"short_anchor",IF($BW41&lt;250,"middle",IF($BW41&lt;=400,"long","outside_high"))))</f>
        <v>long</v>
      </c>
      <c r="BY41" t="str">
        <f>IF($N41&gt;1000,"PASS","FAIL")</f>
        <v>PASS</v>
      </c>
      <c r="BZ41" t="str">
        <f>IF(AND($BW41&gt;=40,$BW41&lt;=400),"PASS","FAIL")</f>
        <v>PASS</v>
      </c>
    </row>
    <row r="42" spans="1:78">
      <c r="A42" t="s">
        <v>196</v>
      </c>
      <c r="B42">
        <v>12065825.263044599</v>
      </c>
      <c r="C42">
        <v>598.16775841223</v>
      </c>
      <c r="D42">
        <v>70.719127092772794</v>
      </c>
      <c r="E42">
        <v>654.056980860061</v>
      </c>
      <c r="F42">
        <v>2683685.08837691</v>
      </c>
      <c r="G42">
        <v>1493933.1953330799</v>
      </c>
      <c r="H42">
        <v>2.11454043590923E-5</v>
      </c>
      <c r="I42">
        <v>7.6371158483287804E-5</v>
      </c>
      <c r="J42">
        <v>0.51093471001103696</v>
      </c>
      <c r="K42">
        <v>6848.0719740579098</v>
      </c>
      <c r="L42">
        <v>8.69531901762856E-3</v>
      </c>
      <c r="M42">
        <v>127</v>
      </c>
      <c r="N42">
        <v>2834.5204889001602</v>
      </c>
      <c r="O42">
        <v>2.8502295699234199E-6</v>
      </c>
      <c r="P42">
        <v>5.98473400508856E-3</v>
      </c>
      <c r="Q42">
        <v>1.905E-3</v>
      </c>
      <c r="R42">
        <v>0.69596000000000002</v>
      </c>
      <c r="S42">
        <v>3568393.84765625</v>
      </c>
      <c r="T42">
        <v>297.61642558059998</v>
      </c>
      <c r="U42">
        <v>566.25857642779795</v>
      </c>
      <c r="V42">
        <v>0.03</v>
      </c>
      <c r="W42">
        <v>70704.198267942105</v>
      </c>
      <c r="X42">
        <v>3.5490800697075997E-2</v>
      </c>
      <c r="Y42">
        <v>5.3081367316897401</v>
      </c>
      <c r="Z42">
        <v>5.3081367455630799</v>
      </c>
      <c r="AA42">
        <v>-1.38733389221102E-8</v>
      </c>
      <c r="AB42">
        <v>1.91468502220541E-5</v>
      </c>
      <c r="AC42">
        <v>665.77081661487898</v>
      </c>
      <c r="AD42">
        <v>2354.65948696959</v>
      </c>
      <c r="AE42">
        <v>566.25857708550598</v>
      </c>
      <c r="AF42">
        <v>6.5770825585787005E-7</v>
      </c>
      <c r="AG42">
        <v>1.9208302304356799E-5</v>
      </c>
      <c r="AH42">
        <v>54.496602313917499</v>
      </c>
      <c r="AI42">
        <v>0.28865356159538602</v>
      </c>
      <c r="AJ42">
        <v>47.4845262462295</v>
      </c>
      <c r="AK42">
        <v>4.4120884296742497</v>
      </c>
      <c r="AL42">
        <v>1.0236047381170099</v>
      </c>
      <c r="AM42">
        <v>598.16775836954901</v>
      </c>
      <c r="AN42">
        <v>4.2681449485826299E-8</v>
      </c>
      <c r="AO42">
        <v>6.1452082302713303E-8</v>
      </c>
      <c r="AP42">
        <v>3.9963088704376299</v>
      </c>
      <c r="AQ42">
        <v>5.3604183637735603E-5</v>
      </c>
      <c r="AR42">
        <v>9.6348771933297699E-6</v>
      </c>
      <c r="AS42">
        <v>23.818220460956301</v>
      </c>
      <c r="AT42">
        <v>12.802254266839901</v>
      </c>
      <c r="AU42">
        <v>3.6954162905730499</v>
      </c>
      <c r="AV42">
        <v>0.30089257986458101</v>
      </c>
      <c r="AW42">
        <v>1.03499067849176E-2</v>
      </c>
      <c r="AX42">
        <v>0.300892558190062</v>
      </c>
      <c r="AY42">
        <v>2.16745181247369E-8</v>
      </c>
      <c r="AZ42">
        <v>1189751.8930438301</v>
      </c>
      <c r="BA42">
        <v>1.34134235805115E-5</v>
      </c>
      <c r="BB42">
        <v>3565077.32552562</v>
      </c>
      <c r="BC42">
        <v>-3316.5221306257899</v>
      </c>
      <c r="BD42">
        <v>-9.2941594235852298E-2</v>
      </c>
      <c r="BE42">
        <v>2523672</v>
      </c>
      <c r="BF42">
        <v>1.4126547845859601</v>
      </c>
      <c r="BG42">
        <v>1</v>
      </c>
      <c r="BH42">
        <v>-5.6000000000000001E-2</v>
      </c>
      <c r="BI42">
        <v>4.5999999999999999E-2</v>
      </c>
      <c r="BJ42">
        <v>5625</v>
      </c>
      <c r="BK42">
        <v>1.00000026384254</v>
      </c>
      <c r="BL42">
        <v>300.55133283163002</v>
      </c>
      <c r="BM42">
        <v>3.5650773255256198</v>
      </c>
      <c r="BN42">
        <v>300.55133283163002</v>
      </c>
      <c r="BO42">
        <v>1.00000026384254</v>
      </c>
      <c r="BP42">
        <v>67886.9970403388</v>
      </c>
      <c r="BQ42">
        <v>1</v>
      </c>
      <c r="BR42">
        <v>0.69596000000000002</v>
      </c>
      <c r="BS42">
        <v>41</v>
      </c>
      <c r="BT42">
        <v>128</v>
      </c>
      <c r="BU42" t="s">
        <v>304</v>
      </c>
      <c r="BV42" t="str">
        <f>"Table "&amp;TRIM(RIGHT(SUBSTITUTE($A42,"_",REPT(" ",50)),50))</f>
        <v>Table 9</v>
      </c>
      <c r="BW42">
        <f>$BR42/$Q42</f>
        <v>365.33333333333337</v>
      </c>
      <c r="BX42" t="str">
        <f>IF($BW42&lt;40,"outside_low",IF($BW42&lt;=100,"short_anchor",IF($BW42&lt;250,"middle",IF($BW42&lt;=400,"long","outside_high"))))</f>
        <v>long</v>
      </c>
      <c r="BY42" t="str">
        <f>IF($N42&gt;1000,"PASS","FAIL")</f>
        <v>PASS</v>
      </c>
      <c r="BZ42" t="str">
        <f>IF(AND($BW42&gt;=40,$BW42&lt;=400),"PASS","FAIL")</f>
        <v>PASS</v>
      </c>
    </row>
    <row r="43" spans="1:78">
      <c r="A43" t="s">
        <v>197</v>
      </c>
      <c r="B43">
        <v>12065825.263044599</v>
      </c>
      <c r="C43">
        <v>598.16775841223</v>
      </c>
      <c r="D43">
        <v>70.719127092772794</v>
      </c>
      <c r="E43">
        <v>654.056980860061</v>
      </c>
      <c r="F43">
        <v>2683685.08837691</v>
      </c>
      <c r="G43">
        <v>1493933.1953330799</v>
      </c>
      <c r="H43">
        <v>2.11454043590923E-5</v>
      </c>
      <c r="I43">
        <v>7.6371158483287804E-5</v>
      </c>
      <c r="J43">
        <v>0.51093471001103696</v>
      </c>
      <c r="K43">
        <v>6848.0719740579098</v>
      </c>
      <c r="L43">
        <v>8.69531901762856E-3</v>
      </c>
      <c r="M43">
        <v>128</v>
      </c>
      <c r="N43">
        <v>3295.6386545585601</v>
      </c>
      <c r="O43">
        <v>2.8502295699234199E-6</v>
      </c>
      <c r="P43">
        <v>5.98473400508856E-3</v>
      </c>
      <c r="Q43">
        <v>1.905E-3</v>
      </c>
      <c r="R43">
        <v>0.69596000000000002</v>
      </c>
      <c r="S43">
        <v>4103513.5135937501</v>
      </c>
      <c r="T43">
        <v>297.11185267539003</v>
      </c>
      <c r="U43">
        <v>562.81533998867201</v>
      </c>
      <c r="V43">
        <v>0.03</v>
      </c>
      <c r="W43">
        <v>82206.316646459003</v>
      </c>
      <c r="X43">
        <v>3.3064274849559601E-2</v>
      </c>
      <c r="Y43">
        <v>5.4994657138155496</v>
      </c>
      <c r="Z43">
        <v>5.4994657451812596</v>
      </c>
      <c r="AA43">
        <v>-3.1365715358333499E-8</v>
      </c>
      <c r="AB43">
        <v>1.52031702906789E-5</v>
      </c>
      <c r="AC43">
        <v>666.22394348020498</v>
      </c>
      <c r="AD43">
        <v>2642.4677860546999</v>
      </c>
      <c r="AE43">
        <v>562.81533998867201</v>
      </c>
      <c r="AF43">
        <v>0</v>
      </c>
      <c r="AG43">
        <v>1.52609493575207E-5</v>
      </c>
      <c r="AH43">
        <v>68.632940509464703</v>
      </c>
      <c r="AI43">
        <v>0.32393547435065501</v>
      </c>
      <c r="AJ43">
        <v>42.337603214551798</v>
      </c>
      <c r="AK43">
        <v>4.5263922038334297</v>
      </c>
      <c r="AL43">
        <v>1.0236047381170099</v>
      </c>
      <c r="AM43">
        <v>598.16775839436696</v>
      </c>
      <c r="AN43">
        <v>1.7863499124359799E-8</v>
      </c>
      <c r="AO43">
        <v>5.7779066841750597E-8</v>
      </c>
      <c r="AP43">
        <v>4.2776877957790704</v>
      </c>
      <c r="AQ43">
        <v>4.6784135733992098E-5</v>
      </c>
      <c r="AR43">
        <v>7.6593642121812092E-6</v>
      </c>
      <c r="AS43">
        <v>21.2489482334374</v>
      </c>
      <c r="AT43">
        <v>12.2315369962422</v>
      </c>
      <c r="AU43">
        <v>3.9622287389153201</v>
      </c>
      <c r="AV43">
        <v>0.31545905686374698</v>
      </c>
      <c r="AW43">
        <v>8.2181347594452708E-3</v>
      </c>
      <c r="AX43">
        <v>0.315459055716037</v>
      </c>
      <c r="AY43">
        <v>1.1477099270962301E-9</v>
      </c>
      <c r="AZ43">
        <v>1189751.8930438301</v>
      </c>
      <c r="BA43">
        <v>1.09367812630355E-5</v>
      </c>
      <c r="BB43">
        <v>4111052.1602422199</v>
      </c>
      <c r="BC43">
        <v>7538.6466484717103</v>
      </c>
      <c r="BD43">
        <v>0.183711997621023</v>
      </c>
      <c r="BE43">
        <v>3006324.27</v>
      </c>
      <c r="BF43">
        <v>1.36746797451834</v>
      </c>
      <c r="BG43">
        <v>1</v>
      </c>
      <c r="BH43">
        <v>-4.2000000000000003E-2</v>
      </c>
      <c r="BI43">
        <v>4.5999999999999999E-2</v>
      </c>
      <c r="BJ43">
        <v>5625</v>
      </c>
      <c r="BK43">
        <v>1.00000025178193</v>
      </c>
      <c r="BL43">
        <v>301.05590573683997</v>
      </c>
      <c r="BM43">
        <v>4.1110521602422203</v>
      </c>
      <c r="BN43">
        <v>301.05590573683997</v>
      </c>
      <c r="BO43">
        <v>1.00000025178193</v>
      </c>
      <c r="BP43">
        <v>68150.185920081902</v>
      </c>
      <c r="BQ43">
        <v>1</v>
      </c>
      <c r="BR43">
        <v>0.69596000000000002</v>
      </c>
      <c r="BS43">
        <v>42</v>
      </c>
      <c r="BT43">
        <v>129</v>
      </c>
      <c r="BU43" t="s">
        <v>304</v>
      </c>
      <c r="BV43" t="str">
        <f>"Table "&amp;TRIM(RIGHT(SUBSTITUTE($A43,"_",REPT(" ",50)),50))</f>
        <v>Table 9</v>
      </c>
      <c r="BW43">
        <f>$BR43/$Q43</f>
        <v>365.33333333333337</v>
      </c>
      <c r="BX43" t="str">
        <f>IF($BW43&lt;40,"outside_low",IF($BW43&lt;=100,"short_anchor",IF($BW43&lt;250,"middle",IF($BW43&lt;=400,"long","outside_high"))))</f>
        <v>long</v>
      </c>
      <c r="BY43" t="str">
        <f>IF($N43&gt;1000,"PASS","FAIL")</f>
        <v>PASS</v>
      </c>
      <c r="BZ43" t="str">
        <f>IF(AND($BW43&gt;=40,$BW43&lt;=400),"PASS","FAIL")</f>
        <v>PASS</v>
      </c>
    </row>
    <row r="44" spans="1:78">
      <c r="A44" t="s">
        <v>198</v>
      </c>
      <c r="B44">
        <v>12065825.263044599</v>
      </c>
      <c r="C44">
        <v>598.16775841223</v>
      </c>
      <c r="D44">
        <v>70.719127092772794</v>
      </c>
      <c r="E44">
        <v>654.056980860061</v>
      </c>
      <c r="F44">
        <v>2683685.08837691</v>
      </c>
      <c r="G44">
        <v>1493933.1953330799</v>
      </c>
      <c r="H44">
        <v>2.11454043590923E-5</v>
      </c>
      <c r="I44">
        <v>7.6371158483287804E-5</v>
      </c>
      <c r="J44">
        <v>0.51093471001103696</v>
      </c>
      <c r="K44">
        <v>6848.0719740579098</v>
      </c>
      <c r="L44">
        <v>8.69531901762856E-3</v>
      </c>
      <c r="M44">
        <v>129</v>
      </c>
      <c r="N44">
        <v>3471.9485414279502</v>
      </c>
      <c r="O44">
        <v>2.8502295699234199E-6</v>
      </c>
      <c r="P44">
        <v>5.98473400508856E-3</v>
      </c>
      <c r="Q44">
        <v>1.905E-3</v>
      </c>
      <c r="R44">
        <v>0.69596000000000002</v>
      </c>
      <c r="S44">
        <v>4343195.60546875</v>
      </c>
      <c r="T44">
        <v>294.30874222031798</v>
      </c>
      <c r="U44">
        <v>561.25084919084804</v>
      </c>
      <c r="V44">
        <v>0.03</v>
      </c>
      <c r="W44">
        <v>86604.185438244895</v>
      </c>
      <c r="X44">
        <v>3.2280713915647401E-2</v>
      </c>
      <c r="Y44">
        <v>5.5658107404926103</v>
      </c>
      <c r="Z44">
        <v>5.5658107462575801</v>
      </c>
      <c r="AA44">
        <v>-5.76496983484276E-9</v>
      </c>
      <c r="AB44">
        <v>1.40308069136412E-5</v>
      </c>
      <c r="AC44">
        <v>666.99356132465095</v>
      </c>
      <c r="AD44">
        <v>2750.6507882578599</v>
      </c>
      <c r="AE44">
        <v>561.25084986078298</v>
      </c>
      <c r="AF44">
        <v>6.6993550262850498E-7</v>
      </c>
      <c r="AG44">
        <v>1.4087609102732699E-5</v>
      </c>
      <c r="AH44">
        <v>74.367660287660598</v>
      </c>
      <c r="AI44">
        <v>0.33719743815596598</v>
      </c>
      <c r="AJ44">
        <v>40.682512423202297</v>
      </c>
      <c r="AK44">
        <v>4.6081337432180201</v>
      </c>
      <c r="AL44">
        <v>1.0236047381170099</v>
      </c>
      <c r="AM44">
        <v>598.167758404344</v>
      </c>
      <c r="AN44">
        <v>7.8863422459107807E-9</v>
      </c>
      <c r="AO44">
        <v>5.6802189091465402E-8</v>
      </c>
      <c r="AP44">
        <v>4.3784411147662503</v>
      </c>
      <c r="AQ44">
        <v>4.46557876278811E-5</v>
      </c>
      <c r="AR44">
        <v>7.0722056459120604E-6</v>
      </c>
      <c r="AS44">
        <v>20.423273527191299</v>
      </c>
      <c r="AT44">
        <v>12.033375548704599</v>
      </c>
      <c r="AU44">
        <v>4.0576234073918398</v>
      </c>
      <c r="AV44">
        <v>0.32081770737441101</v>
      </c>
      <c r="AW44">
        <v>7.5844090275535899E-3</v>
      </c>
      <c r="AX44">
        <v>0.32081770399694798</v>
      </c>
      <c r="AY44">
        <v>3.37746369760694E-9</v>
      </c>
      <c r="AZ44">
        <v>1189751.8930438301</v>
      </c>
      <c r="BA44">
        <v>1.0199015233362399E-5</v>
      </c>
      <c r="BB44">
        <v>4333899.3650586205</v>
      </c>
      <c r="BC44">
        <v>-9296.2404101304692</v>
      </c>
      <c r="BD44">
        <v>-0.21404148591477401</v>
      </c>
      <c r="BE44">
        <v>3091498.2</v>
      </c>
      <c r="BF44">
        <v>1.4018767227678199</v>
      </c>
      <c r="BG44">
        <v>1</v>
      </c>
      <c r="BH44">
        <v>-7.8E-2</v>
      </c>
      <c r="BI44">
        <v>4.5999999999999999E-2</v>
      </c>
      <c r="BJ44">
        <v>5625</v>
      </c>
      <c r="BK44">
        <v>1.00000019383012</v>
      </c>
      <c r="BL44">
        <v>303.85901619191202</v>
      </c>
      <c r="BM44">
        <v>4.3338993650586204</v>
      </c>
      <c r="BN44">
        <v>303.85901619191202</v>
      </c>
      <c r="BO44">
        <v>1.00000019383012</v>
      </c>
      <c r="BP44">
        <v>69621.580425763706</v>
      </c>
      <c r="BQ44">
        <v>1</v>
      </c>
      <c r="BR44">
        <v>0.69596000000000002</v>
      </c>
      <c r="BS44">
        <v>43</v>
      </c>
      <c r="BT44">
        <v>130</v>
      </c>
      <c r="BU44" t="s">
        <v>304</v>
      </c>
      <c r="BV44" t="str">
        <f>"Table "&amp;TRIM(RIGHT(SUBSTITUTE($A44,"_",REPT(" ",50)),50))</f>
        <v>Table 9</v>
      </c>
      <c r="BW44">
        <f>$BR44/$Q44</f>
        <v>365.33333333333337</v>
      </c>
      <c r="BX44" t="str">
        <f>IF($BW44&lt;40,"outside_low",IF($BW44&lt;=100,"short_anchor",IF($BW44&lt;250,"middle",IF($BW44&lt;=400,"long","outside_high"))))</f>
        <v>long</v>
      </c>
      <c r="BY44" t="str">
        <f>IF($N44&gt;1000,"PASS","FAIL")</f>
        <v>PASS</v>
      </c>
      <c r="BZ44" t="str">
        <f>IF(AND($BW44&gt;=40,$BW44&lt;=400),"PASS","FAIL")</f>
        <v>PASS</v>
      </c>
    </row>
    <row r="45" spans="1:78">
      <c r="A45" t="s">
        <v>199</v>
      </c>
      <c r="B45">
        <v>12065825.263044599</v>
      </c>
      <c r="C45">
        <v>598.16775841223</v>
      </c>
      <c r="D45">
        <v>70.719127092772794</v>
      </c>
      <c r="E45">
        <v>654.056980860061</v>
      </c>
      <c r="F45">
        <v>2683685.08837691</v>
      </c>
      <c r="G45">
        <v>1493933.1953330799</v>
      </c>
      <c r="H45">
        <v>2.11454043590923E-5</v>
      </c>
      <c r="I45">
        <v>7.6371158483287804E-5</v>
      </c>
      <c r="J45">
        <v>0.51093471001103696</v>
      </c>
      <c r="K45">
        <v>6848.0719740579098</v>
      </c>
      <c r="L45">
        <v>8.69531901762856E-3</v>
      </c>
      <c r="M45">
        <v>130</v>
      </c>
      <c r="N45">
        <v>4000.87820203611</v>
      </c>
      <c r="O45">
        <v>2.8502295699234199E-6</v>
      </c>
      <c r="P45">
        <v>5.98473400508856E-3</v>
      </c>
      <c r="Q45">
        <v>1.905E-3</v>
      </c>
      <c r="R45">
        <v>0.69596000000000002</v>
      </c>
      <c r="S45">
        <v>4853050.7324687503</v>
      </c>
      <c r="T45">
        <v>299.85899298833198</v>
      </c>
      <c r="U45">
        <v>558.704407312488</v>
      </c>
      <c r="V45">
        <v>0.03</v>
      </c>
      <c r="W45">
        <v>99797.791813602395</v>
      </c>
      <c r="X45">
        <v>3.0280138556132801E-2</v>
      </c>
      <c r="Y45">
        <v>5.7467336773813704</v>
      </c>
      <c r="Z45">
        <v>5.7467337191382404</v>
      </c>
      <c r="AA45">
        <v>-4.1756874402665303E-8</v>
      </c>
      <c r="AB45">
        <v>1.1264289915259E-5</v>
      </c>
      <c r="AC45">
        <v>665.75832930262698</v>
      </c>
      <c r="AD45">
        <v>3069.90454493262</v>
      </c>
      <c r="AE45">
        <v>558.70440797007097</v>
      </c>
      <c r="AF45">
        <v>6.5758342771005097E-7</v>
      </c>
      <c r="AG45">
        <v>1.1317373554590699E-5</v>
      </c>
      <c r="AH45">
        <v>92.632406477921904</v>
      </c>
      <c r="AI45">
        <v>0.376334194203642</v>
      </c>
      <c r="AJ45">
        <v>36.4758598550534</v>
      </c>
      <c r="AK45">
        <v>4.6096467866883604</v>
      </c>
      <c r="AL45">
        <v>1.0236047381170099</v>
      </c>
      <c r="AM45">
        <v>598.16775840941204</v>
      </c>
      <c r="AN45">
        <v>2.8181830202811402E-9</v>
      </c>
      <c r="AO45">
        <v>5.3083639331759103E-8</v>
      </c>
      <c r="AP45">
        <v>4.6607870235110997</v>
      </c>
      <c r="AQ45">
        <v>3.9409258550704102E-5</v>
      </c>
      <c r="AR45">
        <v>5.6852285969612496E-6</v>
      </c>
      <c r="AS45">
        <v>18.3234741299656</v>
      </c>
      <c r="AT45">
        <v>11.4909148859126</v>
      </c>
      <c r="AU45">
        <v>4.3244241942525603</v>
      </c>
      <c r="AV45">
        <v>0.336362829258539</v>
      </c>
      <c r="AW45">
        <v>6.0889571532205004E-3</v>
      </c>
      <c r="AX45">
        <v>0.33636282844790599</v>
      </c>
      <c r="AY45">
        <v>8.1063294965488798E-10</v>
      </c>
      <c r="AZ45">
        <v>1189751.8930438301</v>
      </c>
      <c r="BA45">
        <v>8.4554943943815108E-6</v>
      </c>
      <c r="BB45">
        <v>4885327.3940693699</v>
      </c>
      <c r="BC45">
        <v>32276.661600616801</v>
      </c>
      <c r="BD45">
        <v>0.66507983080979705</v>
      </c>
      <c r="BE45">
        <v>3615160.14</v>
      </c>
      <c r="BF45">
        <v>1.35134467212547</v>
      </c>
      <c r="BG45">
        <v>1</v>
      </c>
      <c r="BH45">
        <v>-4.2999999999999997E-2</v>
      </c>
      <c r="BI45">
        <v>4.5999999999999999E-2</v>
      </c>
      <c r="BJ45">
        <v>5625</v>
      </c>
      <c r="BK45">
        <v>1.00000032447579</v>
      </c>
      <c r="BL45">
        <v>298.30876542389802</v>
      </c>
      <c r="BM45">
        <v>4.8853273940693702</v>
      </c>
      <c r="BN45">
        <v>298.30876542389802</v>
      </c>
      <c r="BO45">
        <v>1.00000032447579</v>
      </c>
      <c r="BP45">
        <v>66723.418294818403</v>
      </c>
      <c r="BQ45">
        <v>1</v>
      </c>
      <c r="BR45">
        <v>0.69596000000000002</v>
      </c>
      <c r="BS45">
        <v>44</v>
      </c>
      <c r="BT45">
        <v>131</v>
      </c>
      <c r="BU45" t="s">
        <v>304</v>
      </c>
      <c r="BV45" t="str">
        <f>"Table "&amp;TRIM(RIGHT(SUBSTITUTE($A45,"_",REPT(" ",50)),50))</f>
        <v>Table 9</v>
      </c>
      <c r="BW45">
        <f>$BR45/$Q45</f>
        <v>365.33333333333337</v>
      </c>
      <c r="BX45" t="str">
        <f>IF($BW45&lt;40,"outside_low",IF($BW45&lt;=100,"short_anchor",IF($BW45&lt;250,"middle",IF($BW45&lt;=400,"long","outside_high"))))</f>
        <v>long</v>
      </c>
      <c r="BY45" t="str">
        <f>IF($N45&gt;1000,"PASS","FAIL")</f>
        <v>PASS</v>
      </c>
      <c r="BZ45" t="str">
        <f>IF(AND($BW45&gt;=40,$BW45&lt;=400),"PASS","FAIL")</f>
        <v>PASS</v>
      </c>
    </row>
    <row r="46" spans="1:78">
      <c r="A46" t="s">
        <v>200</v>
      </c>
      <c r="B46">
        <v>12065825.263044599</v>
      </c>
      <c r="C46">
        <v>598.16775841223</v>
      </c>
      <c r="D46">
        <v>70.719127092772794</v>
      </c>
      <c r="E46">
        <v>654.056980860061</v>
      </c>
      <c r="F46">
        <v>2683685.08837691</v>
      </c>
      <c r="G46">
        <v>1493933.1953330799</v>
      </c>
      <c r="H46">
        <v>2.11454043590923E-5</v>
      </c>
      <c r="I46">
        <v>7.6371158483287804E-5</v>
      </c>
      <c r="J46">
        <v>0.51093471001103696</v>
      </c>
      <c r="K46">
        <v>6848.0719740579098</v>
      </c>
      <c r="L46">
        <v>8.69531901762856E-3</v>
      </c>
      <c r="M46">
        <v>131</v>
      </c>
      <c r="N46">
        <v>4028.00280001602</v>
      </c>
      <c r="O46">
        <v>2.8502295699234199E-6</v>
      </c>
      <c r="P46">
        <v>5.98473400508856E-3</v>
      </c>
      <c r="Q46">
        <v>1.905E-3</v>
      </c>
      <c r="R46">
        <v>0.69596000000000002</v>
      </c>
      <c r="S46">
        <v>4927346.81640625</v>
      </c>
      <c r="T46">
        <v>297.11185267539003</v>
      </c>
      <c r="U46">
        <v>558.15021876330798</v>
      </c>
      <c r="V46">
        <v>0.03</v>
      </c>
      <c r="W46">
        <v>100474.38701233899</v>
      </c>
      <c r="X46">
        <v>3.0189353342588401E-2</v>
      </c>
      <c r="Y46">
        <v>5.7553679598019398</v>
      </c>
      <c r="Z46">
        <v>5.7553679983791897</v>
      </c>
      <c r="AA46">
        <v>-3.8577247174487197E-8</v>
      </c>
      <c r="AB46">
        <v>1.1146512323351701E-5</v>
      </c>
      <c r="AC46">
        <v>666.43720775870395</v>
      </c>
      <c r="AD46">
        <v>3086.0807201296302</v>
      </c>
      <c r="AE46">
        <v>558.15021942767999</v>
      </c>
      <c r="AF46">
        <v>6.6437212353775997E-7</v>
      </c>
      <c r="AG46">
        <v>1.11996120687165E-5</v>
      </c>
      <c r="AH46">
        <v>93.6111899261481</v>
      </c>
      <c r="AI46">
        <v>0.37831720304608801</v>
      </c>
      <c r="AJ46">
        <v>36.2865164075561</v>
      </c>
      <c r="AK46">
        <v>4.6600811273939602</v>
      </c>
      <c r="AL46">
        <v>1.0236047381170099</v>
      </c>
      <c r="AM46">
        <v>598.16775840108801</v>
      </c>
      <c r="AN46">
        <v>1.11424469650956E-8</v>
      </c>
      <c r="AO46">
        <v>5.3099745364802499E-8</v>
      </c>
      <c r="AP46">
        <v>4.67459790046974</v>
      </c>
      <c r="AQ46">
        <v>3.9176736989252597E-5</v>
      </c>
      <c r="AR46">
        <v>5.6263559070406604E-6</v>
      </c>
      <c r="AS46">
        <v>18.229279253864199</v>
      </c>
      <c r="AT46">
        <v>11.4651452582131</v>
      </c>
      <c r="AU46">
        <v>4.3374616866043096</v>
      </c>
      <c r="AV46">
        <v>0.33713621386542802</v>
      </c>
      <c r="AW46">
        <v>6.0252920028978398E-3</v>
      </c>
      <c r="AX46">
        <v>0.33713621271917699</v>
      </c>
      <c r="AY46">
        <v>1.1462504834192099E-9</v>
      </c>
      <c r="AZ46">
        <v>1189751.8930438301</v>
      </c>
      <c r="BA46">
        <v>8.3807715280314896E-6</v>
      </c>
      <c r="BB46">
        <v>4930380.3852454098</v>
      </c>
      <c r="BC46">
        <v>3033.5688391588601</v>
      </c>
      <c r="BD46">
        <v>6.1565969520517502E-2</v>
      </c>
      <c r="BE46">
        <v>3671942.76</v>
      </c>
      <c r="BF46">
        <v>1.3427171139360099</v>
      </c>
      <c r="BG46">
        <v>1</v>
      </c>
      <c r="BH46">
        <v>-4.2000000000000003E-2</v>
      </c>
      <c r="BI46">
        <v>4.5999999999999999E-2</v>
      </c>
      <c r="BJ46">
        <v>5625</v>
      </c>
      <c r="BK46">
        <v>1.00000025178193</v>
      </c>
      <c r="BL46">
        <v>301.05590573683997</v>
      </c>
      <c r="BM46">
        <v>4.9303803852454102</v>
      </c>
      <c r="BN46">
        <v>301.05590573683997</v>
      </c>
      <c r="BO46">
        <v>1.00000025178193</v>
      </c>
      <c r="BP46">
        <v>68150.185920081902</v>
      </c>
      <c r="BQ46">
        <v>1</v>
      </c>
      <c r="BR46">
        <v>0.69596000000000002</v>
      </c>
      <c r="BS46">
        <v>45</v>
      </c>
      <c r="BT46">
        <v>132</v>
      </c>
      <c r="BU46" t="s">
        <v>304</v>
      </c>
      <c r="BV46" t="str">
        <f>"Table "&amp;TRIM(RIGHT(SUBSTITUTE($A46,"_",REPT(" ",50)),50))</f>
        <v>Table 9</v>
      </c>
      <c r="BW46">
        <f>$BR46/$Q46</f>
        <v>365.33333333333337</v>
      </c>
      <c r="BX46" t="str">
        <f>IF($BW46&lt;40,"outside_low",IF($BW46&lt;=100,"short_anchor",IF($BW46&lt;250,"middle",IF($BW46&lt;=400,"long","outside_high"))))</f>
        <v>long</v>
      </c>
      <c r="BY46" t="str">
        <f>IF($N46&gt;1000,"PASS","FAIL")</f>
        <v>PASS</v>
      </c>
      <c r="BZ46" t="str">
        <f>IF(AND($BW46&gt;=40,$BW46&lt;=400),"PASS","FAIL")</f>
        <v>PASS</v>
      </c>
    </row>
    <row r="47" spans="1:78">
      <c r="A47" t="s">
        <v>201</v>
      </c>
      <c r="B47">
        <v>12065825.263044599</v>
      </c>
      <c r="C47">
        <v>598.16775841223</v>
      </c>
      <c r="D47">
        <v>70.719127092772794</v>
      </c>
      <c r="E47">
        <v>654.056980860061</v>
      </c>
      <c r="F47">
        <v>2683685.08837691</v>
      </c>
      <c r="G47">
        <v>1493933.1953330799</v>
      </c>
      <c r="H47">
        <v>2.11454043590923E-5</v>
      </c>
      <c r="I47">
        <v>7.6371158483287804E-5</v>
      </c>
      <c r="J47">
        <v>0.51093471001103696</v>
      </c>
      <c r="K47">
        <v>6848.0719740579098</v>
      </c>
      <c r="L47">
        <v>8.69531901762856E-3</v>
      </c>
      <c r="M47">
        <v>132</v>
      </c>
      <c r="N47">
        <v>4109.3765939557297</v>
      </c>
      <c r="O47">
        <v>2.8502295699234199E-6</v>
      </c>
      <c r="P47">
        <v>5.98473400508856E-3</v>
      </c>
      <c r="Q47">
        <v>1.905E-3</v>
      </c>
      <c r="R47">
        <v>0.69596000000000002</v>
      </c>
      <c r="S47">
        <v>5009458.43265625</v>
      </c>
      <c r="T47">
        <v>297.61642558059998</v>
      </c>
      <c r="U47">
        <v>557.74964085065903</v>
      </c>
      <c r="V47">
        <v>0.03</v>
      </c>
      <c r="W47">
        <v>102504.172608547</v>
      </c>
      <c r="X47">
        <v>2.9922937230895001E-2</v>
      </c>
      <c r="Y47">
        <v>5.7809323771818404</v>
      </c>
      <c r="Z47">
        <v>5.7809324053557001</v>
      </c>
      <c r="AA47">
        <v>-2.81738561369593E-8</v>
      </c>
      <c r="AB47">
        <v>1.0804787528474199E-5</v>
      </c>
      <c r="AC47">
        <v>666.32031673520703</v>
      </c>
      <c r="AD47">
        <v>3134.5028285365602</v>
      </c>
      <c r="AE47">
        <v>557.749641513862</v>
      </c>
      <c r="AF47">
        <v>6.6320330915914404E-7</v>
      </c>
      <c r="AG47">
        <v>1.0857373094130001E-5</v>
      </c>
      <c r="AH47">
        <v>96.571846449143194</v>
      </c>
      <c r="AI47">
        <v>0.38425318407815101</v>
      </c>
      <c r="AJ47">
        <v>35.729623804752997</v>
      </c>
      <c r="AK47">
        <v>4.6644128762254002</v>
      </c>
      <c r="AL47">
        <v>1.0236047381170099</v>
      </c>
      <c r="AM47">
        <v>598.167758404452</v>
      </c>
      <c r="AN47">
        <v>7.7782260632375305E-9</v>
      </c>
      <c r="AO47">
        <v>5.2585565655804402E-8</v>
      </c>
      <c r="AP47">
        <v>4.7154581914726403</v>
      </c>
      <c r="AQ47">
        <v>3.8500731681953999E-5</v>
      </c>
      <c r="AR47">
        <v>5.4549793298928999E-6</v>
      </c>
      <c r="AS47">
        <v>17.951336629037002</v>
      </c>
      <c r="AT47">
        <v>11.388322880875901</v>
      </c>
      <c r="AU47">
        <v>4.3759993282866301</v>
      </c>
      <c r="AV47">
        <v>0.33945886318600799</v>
      </c>
      <c r="AW47">
        <v>5.8405712925951401E-3</v>
      </c>
      <c r="AX47">
        <v>0.33945886088217297</v>
      </c>
      <c r="AY47">
        <v>2.30383573329718E-9</v>
      </c>
      <c r="AZ47">
        <v>1189751.8930438301</v>
      </c>
      <c r="BA47">
        <v>8.1647912288943898E-6</v>
      </c>
      <c r="BB47">
        <v>5011796.80919025</v>
      </c>
      <c r="BC47">
        <v>2338.3765339981801</v>
      </c>
      <c r="BD47">
        <v>4.66792282126645E-2</v>
      </c>
      <c r="BE47">
        <v>3653015.22</v>
      </c>
      <c r="BF47">
        <v>1.3719616556074099</v>
      </c>
      <c r="BG47">
        <v>1</v>
      </c>
      <c r="BH47">
        <v>-6.8000000000000005E-2</v>
      </c>
      <c r="BI47">
        <v>4.5999999999999999E-2</v>
      </c>
      <c r="BJ47">
        <v>5625</v>
      </c>
      <c r="BK47">
        <v>1.00000026384254</v>
      </c>
      <c r="BL47">
        <v>300.55133283163002</v>
      </c>
      <c r="BM47">
        <v>5.0117968091902503</v>
      </c>
      <c r="BN47">
        <v>300.55133283163002</v>
      </c>
      <c r="BO47">
        <v>1.00000026384254</v>
      </c>
      <c r="BP47">
        <v>67886.9970403388</v>
      </c>
      <c r="BQ47">
        <v>1</v>
      </c>
      <c r="BR47">
        <v>0.69596000000000002</v>
      </c>
      <c r="BS47">
        <v>46</v>
      </c>
      <c r="BT47">
        <v>133</v>
      </c>
      <c r="BU47" t="s">
        <v>304</v>
      </c>
      <c r="BV47" t="str">
        <f>"Table "&amp;TRIM(RIGHT(SUBSTITUTE($A47,"_",REPT(" ",50)),50))</f>
        <v>Table 9</v>
      </c>
      <c r="BW47">
        <f>$BR47/$Q47</f>
        <v>365.33333333333337</v>
      </c>
      <c r="BX47" t="str">
        <f>IF($BW47&lt;40,"outside_low",IF($BW47&lt;=100,"short_anchor",IF($BW47&lt;250,"middle",IF($BW47&lt;=400,"long","outside_high"))))</f>
        <v>long</v>
      </c>
      <c r="BY47" t="str">
        <f>IF($N47&gt;1000,"PASS","FAIL")</f>
        <v>PASS</v>
      </c>
      <c r="BZ47" t="str">
        <f>IF(AND($BW47&gt;=40,$BW47&lt;=400),"PASS","FAIL")</f>
        <v>PASS</v>
      </c>
    </row>
    <row r="48" spans="1:78">
      <c r="A48" t="s">
        <v>202</v>
      </c>
      <c r="B48">
        <v>15513203.909628799</v>
      </c>
      <c r="C48">
        <v>617.97483343502097</v>
      </c>
      <c r="D48">
        <v>102.22394330033001</v>
      </c>
      <c r="E48">
        <v>593.997803214295</v>
      </c>
      <c r="F48">
        <v>2595333.5493798102</v>
      </c>
      <c r="G48">
        <v>1630481.38578821</v>
      </c>
      <c r="H48">
        <v>2.3048203873610299E-5</v>
      </c>
      <c r="I48">
        <v>6.8200503236293095E-5</v>
      </c>
      <c r="J48">
        <v>0.471717723289031</v>
      </c>
      <c r="K48">
        <v>9005.0430614720299</v>
      </c>
      <c r="L48">
        <v>4.6429387983550402E-3</v>
      </c>
      <c r="M48">
        <v>133</v>
      </c>
      <c r="N48">
        <v>2034.345</v>
      </c>
      <c r="O48">
        <v>2.8502295699234199E-6</v>
      </c>
      <c r="P48">
        <v>5.98473400508856E-3</v>
      </c>
      <c r="Q48">
        <v>1.905E-3</v>
      </c>
      <c r="R48">
        <v>0.15240000000000001</v>
      </c>
      <c r="S48">
        <v>3904911.56640625</v>
      </c>
      <c r="T48">
        <v>532.51320671869905</v>
      </c>
      <c r="U48">
        <v>600.72363580088097</v>
      </c>
      <c r="V48">
        <v>0.03</v>
      </c>
      <c r="W48">
        <v>56824.026819463099</v>
      </c>
      <c r="X48">
        <v>3.5196888733325903E-2</v>
      </c>
      <c r="Y48">
        <v>5.3302534800051404</v>
      </c>
      <c r="Z48">
        <v>5.3302535319536997</v>
      </c>
      <c r="AA48">
        <v>-5.1948557455716602E-8</v>
      </c>
      <c r="AB48">
        <v>1.8175884064821801E-5</v>
      </c>
      <c r="AC48">
        <v>710.64647684515705</v>
      </c>
      <c r="AD48">
        <v>1884.5564685194799</v>
      </c>
      <c r="AE48">
        <v>600.72363694259298</v>
      </c>
      <c r="AF48">
        <v>1.14171200493729E-6</v>
      </c>
      <c r="AG48">
        <v>1.8276867043868E-5</v>
      </c>
      <c r="AH48">
        <v>30.6534006167511</v>
      </c>
      <c r="AI48">
        <v>0.227167872716697</v>
      </c>
      <c r="AJ48">
        <v>36.161457230227803</v>
      </c>
      <c r="AK48">
        <v>5.4328417648728999</v>
      </c>
      <c r="AL48">
        <v>1.30194062706561</v>
      </c>
      <c r="AM48">
        <v>617.97483342276098</v>
      </c>
      <c r="AN48">
        <v>1.2259192772035E-8</v>
      </c>
      <c r="AO48">
        <v>1.00982979046229E-7</v>
      </c>
      <c r="AP48">
        <v>2.8353359149582</v>
      </c>
      <c r="AQ48">
        <v>4.1607718716905302E-5</v>
      </c>
      <c r="AR48">
        <v>9.1889250114571297E-6</v>
      </c>
      <c r="AS48">
        <v>18.180627894049302</v>
      </c>
      <c r="AT48">
        <v>11.451783128897</v>
      </c>
      <c r="AU48">
        <v>2.60147721220449</v>
      </c>
      <c r="AV48">
        <v>0.23385870275371001</v>
      </c>
      <c r="AW48">
        <v>1.23453544424565E-2</v>
      </c>
      <c r="AX48">
        <v>0.23385868706334201</v>
      </c>
      <c r="AY48">
        <v>1.5690367088927499E-8</v>
      </c>
      <c r="AZ48">
        <v>964852.16359160398</v>
      </c>
      <c r="BA48">
        <v>1.46747052077315E-5</v>
      </c>
      <c r="BB48">
        <v>3943886.4874071302</v>
      </c>
      <c r="BC48">
        <v>38974.9210008788</v>
      </c>
      <c r="BD48">
        <v>0.99809996559660896</v>
      </c>
      <c r="BE48">
        <v>3059952.3</v>
      </c>
      <c r="BF48">
        <v>1.2888718845085001</v>
      </c>
      <c r="BG48">
        <v>1</v>
      </c>
      <c r="BH48">
        <v>-1.9E-2</v>
      </c>
      <c r="BI48">
        <v>4.5999999999999999E-2</v>
      </c>
      <c r="BJ48">
        <v>5625</v>
      </c>
      <c r="BK48">
        <v>1.0318557367876799</v>
      </c>
      <c r="BL48">
        <v>85.461626716321504</v>
      </c>
      <c r="BM48">
        <v>3.9438864874071302</v>
      </c>
      <c r="BN48">
        <v>85.461626716321504</v>
      </c>
      <c r="BO48">
        <v>1.0318557367876799</v>
      </c>
      <c r="BP48">
        <v>2066.7595036941502</v>
      </c>
      <c r="BQ48">
        <v>1</v>
      </c>
      <c r="BR48">
        <v>0.15240000000000001</v>
      </c>
      <c r="BS48">
        <v>47</v>
      </c>
      <c r="BT48">
        <v>134</v>
      </c>
      <c r="BU48" t="s">
        <v>304</v>
      </c>
      <c r="BV48" t="str">
        <f>"Table "&amp;TRIM(RIGHT(SUBSTITUTE($A48,"_",REPT(" ",50)),50))</f>
        <v>Table 11</v>
      </c>
      <c r="BW48">
        <f>$BR48/$Q48</f>
        <v>80</v>
      </c>
      <c r="BX48" t="str">
        <f>IF($BW48&lt;40,"outside_low",IF($BW48&lt;=100,"short_anchor",IF($BW48&lt;250,"middle",IF($BW48&lt;=400,"long","outside_high"))))</f>
        <v>short_anchor</v>
      </c>
      <c r="BY48" t="str">
        <f>IF($N48&gt;1000,"PASS","FAIL")</f>
        <v>PASS</v>
      </c>
      <c r="BZ48" t="str">
        <f>IF(AND($BW48&gt;=40,$BW48&lt;=400),"PASS","FAIL")</f>
        <v>PASS</v>
      </c>
    </row>
    <row r="49" spans="1:78">
      <c r="A49" t="s">
        <v>203</v>
      </c>
      <c r="B49">
        <v>15513203.909628799</v>
      </c>
      <c r="C49">
        <v>617.97483343502097</v>
      </c>
      <c r="D49">
        <v>102.22394330033001</v>
      </c>
      <c r="E49">
        <v>593.997803214295</v>
      </c>
      <c r="F49">
        <v>2595333.5493798102</v>
      </c>
      <c r="G49">
        <v>1630481.38578821</v>
      </c>
      <c r="H49">
        <v>2.3048203873610299E-5</v>
      </c>
      <c r="I49">
        <v>6.8200503236293095E-5</v>
      </c>
      <c r="J49">
        <v>0.471717723289031</v>
      </c>
      <c r="K49">
        <v>9005.0430614720299</v>
      </c>
      <c r="L49">
        <v>4.6429387983550402E-3</v>
      </c>
      <c r="M49">
        <v>134</v>
      </c>
      <c r="N49">
        <v>2061.4695999999999</v>
      </c>
      <c r="O49">
        <v>2.8502295699234199E-6</v>
      </c>
      <c r="P49">
        <v>5.98473400508856E-3</v>
      </c>
      <c r="Q49">
        <v>1.905E-3</v>
      </c>
      <c r="R49">
        <v>0.15240000000000001</v>
      </c>
      <c r="S49">
        <v>4026477.05078125</v>
      </c>
      <c r="T49">
        <v>528.04902786314199</v>
      </c>
      <c r="U49">
        <v>597.45749892026004</v>
      </c>
      <c r="V49">
        <v>0.03</v>
      </c>
      <c r="W49">
        <v>57581.680510389298</v>
      </c>
      <c r="X49">
        <v>3.4978260181261399E-2</v>
      </c>
      <c r="Y49">
        <v>5.3468856722663496</v>
      </c>
      <c r="Z49">
        <v>5.3468857046363096</v>
      </c>
      <c r="AA49">
        <v>-3.2369960045741697E-8</v>
      </c>
      <c r="AB49">
        <v>1.7811354909090299E-5</v>
      </c>
      <c r="AC49">
        <v>713.81599078095701</v>
      </c>
      <c r="AD49">
        <v>1903.74356479158</v>
      </c>
      <c r="AE49">
        <v>597.45749892026004</v>
      </c>
      <c r="AF49">
        <v>0</v>
      </c>
      <c r="AG49">
        <v>1.7913618089653399E-5</v>
      </c>
      <c r="AH49">
        <v>31.2807564975449</v>
      </c>
      <c r="AI49">
        <v>0.22948072028404401</v>
      </c>
      <c r="AJ49">
        <v>35.803606467519003</v>
      </c>
      <c r="AK49">
        <v>5.6268550025998101</v>
      </c>
      <c r="AL49">
        <v>1.30194062706561</v>
      </c>
      <c r="AM49">
        <v>617.97483339668702</v>
      </c>
      <c r="AN49">
        <v>3.8333041629812201E-8</v>
      </c>
      <c r="AO49">
        <v>1.02263180563114E-7</v>
      </c>
      <c r="AP49">
        <v>2.8516498191647401</v>
      </c>
      <c r="AQ49">
        <v>4.1133016166819898E-5</v>
      </c>
      <c r="AR49">
        <v>9.0079406351082803E-6</v>
      </c>
      <c r="AS49">
        <v>18.003998967046702</v>
      </c>
      <c r="AT49">
        <v>11.402969490285701</v>
      </c>
      <c r="AU49">
        <v>2.6167616520077401</v>
      </c>
      <c r="AV49">
        <v>0.23488816715699901</v>
      </c>
      <c r="AW49">
        <v>1.2097760343811E-2</v>
      </c>
      <c r="AX49">
        <v>0.23488816010458999</v>
      </c>
      <c r="AY49">
        <v>7.05240876808233E-9</v>
      </c>
      <c r="AZ49">
        <v>964852.16359160398</v>
      </c>
      <c r="BA49">
        <v>1.4424287263598099E-5</v>
      </c>
      <c r="BB49">
        <v>4063221.9590289602</v>
      </c>
      <c r="BC49">
        <v>36744.908247712097</v>
      </c>
      <c r="BD49">
        <v>0.91258208563693499</v>
      </c>
      <c r="BE49">
        <v>3217681.8</v>
      </c>
      <c r="BF49">
        <v>1.2627792962713</v>
      </c>
      <c r="BG49">
        <v>1</v>
      </c>
      <c r="BH49">
        <v>-2.1999999999999999E-2</v>
      </c>
      <c r="BI49">
        <v>4.5999999999999999E-2</v>
      </c>
      <c r="BJ49">
        <v>5625</v>
      </c>
      <c r="BK49">
        <v>1.02953319796831</v>
      </c>
      <c r="BL49">
        <v>89.925805571878499</v>
      </c>
      <c r="BM49">
        <v>4.0632219590289598</v>
      </c>
      <c r="BN49">
        <v>89.925805571878499</v>
      </c>
      <c r="BO49">
        <v>1.02953319796831</v>
      </c>
      <c r="BP49">
        <v>2492.5860620010199</v>
      </c>
      <c r="BQ49">
        <v>1</v>
      </c>
      <c r="BR49">
        <v>0.15240000000000001</v>
      </c>
      <c r="BS49">
        <v>48</v>
      </c>
      <c r="BT49">
        <v>135</v>
      </c>
      <c r="BU49" t="s">
        <v>304</v>
      </c>
      <c r="BV49" t="str">
        <f>"Table "&amp;TRIM(RIGHT(SUBSTITUTE($A49,"_",REPT(" ",50)),50))</f>
        <v>Table 11</v>
      </c>
      <c r="BW49">
        <f>$BR49/$Q49</f>
        <v>80</v>
      </c>
      <c r="BX49" t="str">
        <f>IF($BW49&lt;40,"outside_low",IF($BW49&lt;=100,"short_anchor",IF($BW49&lt;250,"middle",IF($BW49&lt;=400,"long","outside_high"))))</f>
        <v>short_anchor</v>
      </c>
      <c r="BY49" t="str">
        <f>IF($N49&gt;1000,"PASS","FAIL")</f>
        <v>PASS</v>
      </c>
      <c r="BZ49" t="str">
        <f>IF(AND($BW49&gt;=40,$BW49&lt;=400),"PASS","FAIL")</f>
        <v>PASS</v>
      </c>
    </row>
    <row r="50" spans="1:78">
      <c r="A50" t="s">
        <v>204</v>
      </c>
      <c r="B50">
        <v>15513203.909628799</v>
      </c>
      <c r="C50">
        <v>617.97483343502097</v>
      </c>
      <c r="D50">
        <v>102.22394330033001</v>
      </c>
      <c r="E50">
        <v>593.997803214295</v>
      </c>
      <c r="F50">
        <v>2595333.5493798102</v>
      </c>
      <c r="G50">
        <v>1630481.38578821</v>
      </c>
      <c r="H50">
        <v>2.3048203873610299E-5</v>
      </c>
      <c r="I50">
        <v>6.8200503236293095E-5</v>
      </c>
      <c r="J50">
        <v>0.471717723289031</v>
      </c>
      <c r="K50">
        <v>9005.0430614720299</v>
      </c>
      <c r="L50">
        <v>4.6429387983550402E-3</v>
      </c>
      <c r="M50">
        <v>135</v>
      </c>
      <c r="N50">
        <v>2115.7188000000001</v>
      </c>
      <c r="O50">
        <v>2.8502295699234199E-6</v>
      </c>
      <c r="P50">
        <v>5.98473400508856E-3</v>
      </c>
      <c r="Q50">
        <v>1.905E-3</v>
      </c>
      <c r="R50">
        <v>0.15240000000000001</v>
      </c>
      <c r="S50">
        <v>4357918.22265625</v>
      </c>
      <c r="T50">
        <v>514.67337606307899</v>
      </c>
      <c r="U50">
        <v>587.86903344160498</v>
      </c>
      <c r="V50">
        <v>0.03</v>
      </c>
      <c r="W50">
        <v>59096.987892241603</v>
      </c>
      <c r="X50">
        <v>3.4555174610075401E-2</v>
      </c>
      <c r="Y50">
        <v>5.3795191032892404</v>
      </c>
      <c r="Z50">
        <v>5.3795191594520197</v>
      </c>
      <c r="AA50">
        <v>-5.6162785533331303E-8</v>
      </c>
      <c r="AB50">
        <v>1.7116700383670199E-5</v>
      </c>
      <c r="AC50">
        <v>723.21503848382599</v>
      </c>
      <c r="AD50">
        <v>1941.98961300986</v>
      </c>
      <c r="AE50">
        <v>587.86903470155596</v>
      </c>
      <c r="AF50">
        <v>1.25995018152025E-6</v>
      </c>
      <c r="AG50">
        <v>1.72227712760506E-5</v>
      </c>
      <c r="AH50">
        <v>32.550237096756298</v>
      </c>
      <c r="AI50">
        <v>0.23409096866805401</v>
      </c>
      <c r="AJ50">
        <v>35.114375774629899</v>
      </c>
      <c r="AK50">
        <v>6.19635346955919</v>
      </c>
      <c r="AL50">
        <v>1.30194062706561</v>
      </c>
      <c r="AM50">
        <v>617.97483341355598</v>
      </c>
      <c r="AN50">
        <v>2.1464643396029701E-8</v>
      </c>
      <c r="AO50">
        <v>1.06070892380452E-7</v>
      </c>
      <c r="AP50">
        <v>2.8840220698465999</v>
      </c>
      <c r="AQ50">
        <v>4.0214788040592801E-5</v>
      </c>
      <c r="AR50">
        <v>8.6644210842155396E-6</v>
      </c>
      <c r="AS50">
        <v>17.665318370908398</v>
      </c>
      <c r="AT50">
        <v>11.308016516718901</v>
      </c>
      <c r="AU50">
        <v>2.6471045401130699</v>
      </c>
      <c r="AV50">
        <v>0.23691752973352201</v>
      </c>
      <c r="AW50">
        <v>1.1625939754463899E-2</v>
      </c>
      <c r="AX50">
        <v>0.23691752896471199</v>
      </c>
      <c r="AY50">
        <v>7.6881054300592697E-10</v>
      </c>
      <c r="AZ50">
        <v>964852.16359160398</v>
      </c>
      <c r="BA50">
        <v>1.39439945557462E-5</v>
      </c>
      <c r="BB50">
        <v>4359680.1875027101</v>
      </c>
      <c r="BC50">
        <v>1761.96484645549</v>
      </c>
      <c r="BD50">
        <v>4.0431342591406703E-2</v>
      </c>
      <c r="BE50">
        <v>3722416.2</v>
      </c>
      <c r="BF50">
        <v>1.1711963287454801</v>
      </c>
      <c r="BG50">
        <v>1</v>
      </c>
      <c r="BH50">
        <v>-2.1999999999999999E-2</v>
      </c>
      <c r="BI50">
        <v>4.5999999999999999E-2</v>
      </c>
      <c r="BJ50">
        <v>5625</v>
      </c>
      <c r="BK50">
        <v>1.02256212455035</v>
      </c>
      <c r="BL50">
        <v>103.30145737194201</v>
      </c>
      <c r="BM50">
        <v>4.3596801875026996</v>
      </c>
      <c r="BN50">
        <v>103.30145737194201</v>
      </c>
      <c r="BO50">
        <v>1.02256212455035</v>
      </c>
      <c r="BP50">
        <v>4007.0745054117301</v>
      </c>
      <c r="BQ50">
        <v>1</v>
      </c>
      <c r="BR50">
        <v>0.15240000000000001</v>
      </c>
      <c r="BS50">
        <v>49</v>
      </c>
      <c r="BT50">
        <v>136</v>
      </c>
      <c r="BU50" t="s">
        <v>304</v>
      </c>
      <c r="BV50" t="str">
        <f>"Table "&amp;TRIM(RIGHT(SUBSTITUTE($A50,"_",REPT(" ",50)),50))</f>
        <v>Table 11</v>
      </c>
      <c r="BW50">
        <f>$BR50/$Q50</f>
        <v>80</v>
      </c>
      <c r="BX50" t="str">
        <f>IF($BW50&lt;40,"outside_low",IF($BW50&lt;=100,"short_anchor",IF($BW50&lt;250,"middle",IF($BW50&lt;=400,"long","outside_high"))))</f>
        <v>short_anchor</v>
      </c>
      <c r="BY50" t="str">
        <f>IF($N50&gt;1000,"PASS","FAIL")</f>
        <v>PASS</v>
      </c>
      <c r="BZ50" t="str">
        <f>IF(AND($BW50&gt;=40,$BW50&lt;=400),"PASS","FAIL")</f>
        <v>PASS</v>
      </c>
    </row>
    <row r="51" spans="1:78">
      <c r="A51" t="s">
        <v>205</v>
      </c>
      <c r="B51">
        <v>15513203.909628799</v>
      </c>
      <c r="C51">
        <v>617.97483343502097</v>
      </c>
      <c r="D51">
        <v>102.22394330033001</v>
      </c>
      <c r="E51">
        <v>593.997803214295</v>
      </c>
      <c r="F51">
        <v>2595333.5493798102</v>
      </c>
      <c r="G51">
        <v>1630481.38578821</v>
      </c>
      <c r="H51">
        <v>2.3048203873610299E-5</v>
      </c>
      <c r="I51">
        <v>6.8200503236293095E-5</v>
      </c>
      <c r="J51">
        <v>0.471717723289031</v>
      </c>
      <c r="K51">
        <v>9005.0430614720299</v>
      </c>
      <c r="L51">
        <v>4.6429387983550402E-3</v>
      </c>
      <c r="M51">
        <v>136</v>
      </c>
      <c r="N51">
        <v>2156.4056999999998</v>
      </c>
      <c r="O51">
        <v>2.8502295699234199E-6</v>
      </c>
      <c r="P51">
        <v>5.98473400508856E-3</v>
      </c>
      <c r="Q51">
        <v>1.905E-3</v>
      </c>
      <c r="R51">
        <v>0.15240000000000001</v>
      </c>
      <c r="S51">
        <v>4437730.0389062501</v>
      </c>
      <c r="T51">
        <v>513.57370580890699</v>
      </c>
      <c r="U51">
        <v>586.70354062803904</v>
      </c>
      <c r="V51">
        <v>0.03</v>
      </c>
      <c r="W51">
        <v>60233.468428630898</v>
      </c>
      <c r="X51">
        <v>3.4249617312816803E-2</v>
      </c>
      <c r="Y51">
        <v>5.4034624570516501</v>
      </c>
      <c r="Z51">
        <v>5.4034625052941996</v>
      </c>
      <c r="AA51">
        <v>-4.8242550398924797E-8</v>
      </c>
      <c r="AB51">
        <v>1.6623878854372201E-5</v>
      </c>
      <c r="AC51">
        <v>723.70740016818502</v>
      </c>
      <c r="AD51">
        <v>1970.5649071683599</v>
      </c>
      <c r="AE51">
        <v>586.70354189233501</v>
      </c>
      <c r="AF51">
        <v>1.2642967703868599E-6</v>
      </c>
      <c r="AG51">
        <v>1.6729098810329499E-5</v>
      </c>
      <c r="AH51">
        <v>33.5152018781747</v>
      </c>
      <c r="AI51">
        <v>0.237535486725578</v>
      </c>
      <c r="AJ51">
        <v>34.609737579199098</v>
      </c>
      <c r="AK51">
        <v>6.2386357120074303</v>
      </c>
      <c r="AL51">
        <v>1.30194062706561</v>
      </c>
      <c r="AM51">
        <v>617.97483337610799</v>
      </c>
      <c r="AN51">
        <v>5.8912291933666003E-8</v>
      </c>
      <c r="AO51">
        <v>1.0521995595724301E-7</v>
      </c>
      <c r="AP51">
        <v>2.9074813395784398</v>
      </c>
      <c r="AQ51">
        <v>3.9568452977028003E-5</v>
      </c>
      <c r="AR51">
        <v>8.4171593831433707E-6</v>
      </c>
      <c r="AS51">
        <v>17.413710129622199</v>
      </c>
      <c r="AT51">
        <v>11.2362891722198</v>
      </c>
      <c r="AU51">
        <v>2.66901741751257</v>
      </c>
      <c r="AV51">
        <v>0.238463922065867</v>
      </c>
      <c r="AW51">
        <v>1.1291207400628601E-2</v>
      </c>
      <c r="AX51">
        <v>0.23846392031306701</v>
      </c>
      <c r="AY51">
        <v>1.75279932235206E-9</v>
      </c>
      <c r="AZ51">
        <v>964852.16359160398</v>
      </c>
      <c r="BA51">
        <v>1.3609185530582E-5</v>
      </c>
      <c r="BB51">
        <v>4431100.4449993996</v>
      </c>
      <c r="BC51">
        <v>-6629.5939068524203</v>
      </c>
      <c r="BD51">
        <v>-0.14939155488796699</v>
      </c>
      <c r="BE51">
        <v>3785508</v>
      </c>
      <c r="BF51">
        <v>1.17054314638865</v>
      </c>
      <c r="BG51">
        <v>1</v>
      </c>
      <c r="BH51">
        <v>-2.8000000000000001E-2</v>
      </c>
      <c r="BI51">
        <v>4.5999999999999999E-2</v>
      </c>
      <c r="BJ51">
        <v>5625</v>
      </c>
      <c r="BK51">
        <v>1.02200582369389</v>
      </c>
      <c r="BL51">
        <v>104.401127626114</v>
      </c>
      <c r="BM51">
        <v>4.4311004449993998</v>
      </c>
      <c r="BN51">
        <v>104.401127626114</v>
      </c>
      <c r="BO51">
        <v>1.02200582369389</v>
      </c>
      <c r="BP51">
        <v>4147.5052395149596</v>
      </c>
      <c r="BQ51">
        <v>1</v>
      </c>
      <c r="BR51">
        <v>0.15240000000000001</v>
      </c>
      <c r="BS51">
        <v>50</v>
      </c>
      <c r="BT51">
        <v>137</v>
      </c>
      <c r="BU51" t="s">
        <v>304</v>
      </c>
      <c r="BV51" t="str">
        <f>"Table "&amp;TRIM(RIGHT(SUBSTITUTE($A51,"_",REPT(" ",50)),50))</f>
        <v>Table 11</v>
      </c>
      <c r="BW51">
        <f>$BR51/$Q51</f>
        <v>80</v>
      </c>
      <c r="BX51" t="str">
        <f>IF($BW51&lt;40,"outside_low",IF($BW51&lt;=100,"short_anchor",IF($BW51&lt;250,"middle",IF($BW51&lt;=400,"long","outside_high"))))</f>
        <v>short_anchor</v>
      </c>
      <c r="BY51" t="str">
        <f>IF($N51&gt;1000,"PASS","FAIL")</f>
        <v>PASS</v>
      </c>
      <c r="BZ51" t="str">
        <f>IF(AND($BW51&gt;=40,$BW51&lt;=400),"PASS","FAIL")</f>
        <v>PASS</v>
      </c>
    </row>
    <row r="52" spans="1:78">
      <c r="A52" t="s">
        <v>206</v>
      </c>
      <c r="B52">
        <v>15513203.909628799</v>
      </c>
      <c r="C52">
        <v>617.97483343502097</v>
      </c>
      <c r="D52">
        <v>102.22394330033001</v>
      </c>
      <c r="E52">
        <v>593.997803214295</v>
      </c>
      <c r="F52">
        <v>2595333.5493798102</v>
      </c>
      <c r="G52">
        <v>1630481.38578821</v>
      </c>
      <c r="H52">
        <v>2.3048203873610299E-5</v>
      </c>
      <c r="I52">
        <v>6.8200503236293095E-5</v>
      </c>
      <c r="J52">
        <v>0.471717723289031</v>
      </c>
      <c r="K52">
        <v>9005.0430614720299</v>
      </c>
      <c r="L52">
        <v>4.6429387983550402E-3</v>
      </c>
      <c r="M52">
        <v>137</v>
      </c>
      <c r="N52">
        <v>2251.3418000000001</v>
      </c>
      <c r="O52">
        <v>2.8502295699234199E-6</v>
      </c>
      <c r="P52">
        <v>5.98473400508856E-3</v>
      </c>
      <c r="Q52">
        <v>1.905E-3</v>
      </c>
      <c r="R52">
        <v>0.15240000000000001</v>
      </c>
      <c r="S52">
        <v>5470497.94921875</v>
      </c>
      <c r="T52">
        <v>475.20630857768703</v>
      </c>
      <c r="U52">
        <v>561.55377697659401</v>
      </c>
      <c r="V52">
        <v>0.03</v>
      </c>
      <c r="W52">
        <v>62885.256346872498</v>
      </c>
      <c r="X52">
        <v>3.3572814002577597E-2</v>
      </c>
      <c r="Y52">
        <v>5.4576556165522199</v>
      </c>
      <c r="Z52">
        <v>5.4576556280146997</v>
      </c>
      <c r="AA52">
        <v>-1.1462480742352501E-8</v>
      </c>
      <c r="AB52">
        <v>1.55588830625686E-5</v>
      </c>
      <c r="AC52">
        <v>752.688317303963</v>
      </c>
      <c r="AD52">
        <v>2036.8906689837499</v>
      </c>
      <c r="AE52">
        <v>561.55377697659299</v>
      </c>
      <c r="AF52">
        <v>0</v>
      </c>
      <c r="AG52">
        <v>1.5681045437671801E-5</v>
      </c>
      <c r="AH52">
        <v>35.809296436130303</v>
      </c>
      <c r="AI52">
        <v>0.24553051498268</v>
      </c>
      <c r="AJ52">
        <v>33.533412211972703</v>
      </c>
      <c r="AK52">
        <v>7.9858393069113296</v>
      </c>
      <c r="AL52">
        <v>1.30194062706561</v>
      </c>
      <c r="AM52">
        <v>617.974833371258</v>
      </c>
      <c r="AN52">
        <v>6.3762399804545606E-8</v>
      </c>
      <c r="AO52">
        <v>1.2216237510323099E-7</v>
      </c>
      <c r="AP52">
        <v>2.9637102133603199</v>
      </c>
      <c r="AQ52">
        <v>3.8081274018598702E-5</v>
      </c>
      <c r="AR52">
        <v>7.9016039063875297E-6</v>
      </c>
      <c r="AS52">
        <v>16.8973262644896</v>
      </c>
      <c r="AT52">
        <v>11.0857770010542</v>
      </c>
      <c r="AU52">
        <v>2.7218965360519798</v>
      </c>
      <c r="AV52">
        <v>0.24181367730834399</v>
      </c>
      <c r="AW52">
        <v>1.05678450330732E-2</v>
      </c>
      <c r="AX52">
        <v>0.24181367257001399</v>
      </c>
      <c r="AY52">
        <v>4.7383298951153596E-9</v>
      </c>
      <c r="AZ52">
        <v>964852.16359160398</v>
      </c>
      <c r="BA52">
        <v>1.28491894541273E-5</v>
      </c>
      <c r="BB52">
        <v>5448881.3230567798</v>
      </c>
      <c r="BC52">
        <v>-21616.626161967401</v>
      </c>
      <c r="BD52">
        <v>-0.39514915027167702</v>
      </c>
      <c r="BE52">
        <v>4889614.5</v>
      </c>
      <c r="BF52">
        <v>1.11437851042383</v>
      </c>
      <c r="BG52">
        <v>1</v>
      </c>
      <c r="BH52">
        <v>-7.0999999999999994E-2</v>
      </c>
      <c r="BI52">
        <v>4.5999999999999999E-2</v>
      </c>
      <c r="BJ52">
        <v>5625</v>
      </c>
      <c r="BK52">
        <v>1.0070361740292899</v>
      </c>
      <c r="BL52">
        <v>142.76852485733301</v>
      </c>
      <c r="BM52">
        <v>5.4488813230567796</v>
      </c>
      <c r="BN52">
        <v>142.76852485733301</v>
      </c>
      <c r="BO52">
        <v>1.0070361740292899</v>
      </c>
      <c r="BP52">
        <v>10561.3697013524</v>
      </c>
      <c r="BQ52">
        <v>1</v>
      </c>
      <c r="BR52">
        <v>0.15240000000000001</v>
      </c>
      <c r="BS52">
        <v>51</v>
      </c>
      <c r="BT52">
        <v>138</v>
      </c>
      <c r="BU52" t="s">
        <v>304</v>
      </c>
      <c r="BV52" t="str">
        <f>"Table "&amp;TRIM(RIGHT(SUBSTITUTE($A52,"_",REPT(" ",50)),50))</f>
        <v>Table 11</v>
      </c>
      <c r="BW52">
        <f>$BR52/$Q52</f>
        <v>80</v>
      </c>
      <c r="BX52" t="str">
        <f>IF($BW52&lt;40,"outside_low",IF($BW52&lt;=100,"short_anchor",IF($BW52&lt;250,"middle",IF($BW52&lt;=400,"long","outside_high"))))</f>
        <v>short_anchor</v>
      </c>
      <c r="BY52" t="str">
        <f>IF($N52&gt;1000,"PASS","FAIL")</f>
        <v>PASS</v>
      </c>
      <c r="BZ52" t="str">
        <f>IF(AND($BW52&gt;=40,$BW52&lt;=400),"PASS","FAIL")</f>
        <v>PASS</v>
      </c>
    </row>
    <row r="53" spans="1:78">
      <c r="A53" t="s">
        <v>207</v>
      </c>
      <c r="B53">
        <v>15513203.909628799</v>
      </c>
      <c r="C53">
        <v>617.97483343502097</v>
      </c>
      <c r="D53">
        <v>102.22394330033001</v>
      </c>
      <c r="E53">
        <v>593.997803214295</v>
      </c>
      <c r="F53">
        <v>2595333.5493798102</v>
      </c>
      <c r="G53">
        <v>1630481.38578821</v>
      </c>
      <c r="H53">
        <v>2.3048203873610299E-5</v>
      </c>
      <c r="I53">
        <v>6.8200503236293095E-5</v>
      </c>
      <c r="J53">
        <v>0.471717723289031</v>
      </c>
      <c r="K53">
        <v>9005.0430614720299</v>
      </c>
      <c r="L53">
        <v>4.6429387983550402E-3</v>
      </c>
      <c r="M53">
        <v>138</v>
      </c>
      <c r="N53">
        <v>2264.9041000000002</v>
      </c>
      <c r="O53">
        <v>2.8502295699234199E-6</v>
      </c>
      <c r="P53">
        <v>5.98473400508856E-3</v>
      </c>
      <c r="Q53">
        <v>1.905E-3</v>
      </c>
      <c r="R53">
        <v>0.15240000000000001</v>
      </c>
      <c r="S53">
        <v>5567651.97265625</v>
      </c>
      <c r="T53">
        <v>472.471300672398</v>
      </c>
      <c r="U53">
        <v>559.826034885122</v>
      </c>
      <c r="V53">
        <v>0.03</v>
      </c>
      <c r="W53">
        <v>63264.083192335602</v>
      </c>
      <c r="X53">
        <v>3.3480012199594698E-2</v>
      </c>
      <c r="Y53">
        <v>5.4652143024798701</v>
      </c>
      <c r="Z53">
        <v>5.4652143120479897</v>
      </c>
      <c r="AA53">
        <v>-9.5681231826460994E-9</v>
      </c>
      <c r="AB53">
        <v>1.5415719072528501E-5</v>
      </c>
      <c r="AC53">
        <v>754.88424551521496</v>
      </c>
      <c r="AD53">
        <v>2046.3269944671599</v>
      </c>
      <c r="AE53">
        <v>559.826034885122</v>
      </c>
      <c r="AF53">
        <v>0</v>
      </c>
      <c r="AG53">
        <v>1.5540164257639601E-5</v>
      </c>
      <c r="AH53">
        <v>36.141853207190103</v>
      </c>
      <c r="AI53">
        <v>0.24666798686114999</v>
      </c>
      <c r="AJ53">
        <v>33.386097237650098</v>
      </c>
      <c r="AK53">
        <v>8.1213134067882198</v>
      </c>
      <c r="AL53">
        <v>1.30194062706561</v>
      </c>
      <c r="AM53">
        <v>617.97483332296395</v>
      </c>
      <c r="AN53">
        <v>1.1205645478185E-7</v>
      </c>
      <c r="AO53">
        <v>1.24445185111127E-7</v>
      </c>
      <c r="AP53">
        <v>2.9716289407251502</v>
      </c>
      <c r="AQ53">
        <v>3.78785882566784E-5</v>
      </c>
      <c r="AR53">
        <v>7.8323047213753695E-6</v>
      </c>
      <c r="AS53">
        <v>16.826726068496601</v>
      </c>
      <c r="AT53">
        <v>11.064842298891501</v>
      </c>
      <c r="AU53">
        <v>2.7293423748036698</v>
      </c>
      <c r="AV53">
        <v>0.24228656592147499</v>
      </c>
      <c r="AW53">
        <v>1.0470605735433699E-2</v>
      </c>
      <c r="AX53">
        <v>0.242286560744463</v>
      </c>
      <c r="AY53">
        <v>5.17701159719053E-9</v>
      </c>
      <c r="AZ53">
        <v>964852.16359160398</v>
      </c>
      <c r="BA53">
        <v>1.27467422791471E-5</v>
      </c>
      <c r="BB53">
        <v>5595314.5590123301</v>
      </c>
      <c r="BC53">
        <v>27662.586356076401</v>
      </c>
      <c r="BD53">
        <v>0.49684474697650599</v>
      </c>
      <c r="BE53">
        <v>5015798.0999999996</v>
      </c>
      <c r="BF53">
        <v>1.11553823488476</v>
      </c>
      <c r="BG53">
        <v>1</v>
      </c>
      <c r="BH53">
        <v>-6.9000000000000006E-2</v>
      </c>
      <c r="BI53">
        <v>4.5999999999999999E-2</v>
      </c>
      <c r="BJ53">
        <v>5625</v>
      </c>
      <c r="BK53">
        <v>1.0063585334765099</v>
      </c>
      <c r="BL53">
        <v>145.503532762623</v>
      </c>
      <c r="BM53">
        <v>5.5953145590123299</v>
      </c>
      <c r="BN53">
        <v>145.503532762623</v>
      </c>
      <c r="BO53">
        <v>1.0063585334765099</v>
      </c>
      <c r="BP53">
        <v>11130.995425393799</v>
      </c>
      <c r="BQ53">
        <v>1</v>
      </c>
      <c r="BR53">
        <v>0.15240000000000001</v>
      </c>
      <c r="BS53">
        <v>52</v>
      </c>
      <c r="BT53">
        <v>139</v>
      </c>
      <c r="BU53" t="s">
        <v>304</v>
      </c>
      <c r="BV53" t="str">
        <f>"Table "&amp;TRIM(RIGHT(SUBSTITUTE($A53,"_",REPT(" ",50)),50))</f>
        <v>Table 11</v>
      </c>
      <c r="BW53">
        <f>$BR53/$Q53</f>
        <v>80</v>
      </c>
      <c r="BX53" t="str">
        <f>IF($BW53&lt;40,"outside_low",IF($BW53&lt;=100,"short_anchor",IF($BW53&lt;250,"middle",IF($BW53&lt;=400,"long","outside_high"))))</f>
        <v>short_anchor</v>
      </c>
      <c r="BY53" t="str">
        <f>IF($N53&gt;1000,"PASS","FAIL")</f>
        <v>PASS</v>
      </c>
      <c r="BZ53" t="str">
        <f>IF(AND($BW53&gt;=40,$BW53&lt;=400),"PASS","FAIL")</f>
        <v>PASS</v>
      </c>
    </row>
    <row r="54" spans="1:78">
      <c r="A54" t="s">
        <v>208</v>
      </c>
      <c r="B54">
        <v>15513203.909628799</v>
      </c>
      <c r="C54">
        <v>617.97483343502097</v>
      </c>
      <c r="D54">
        <v>102.22394330033001</v>
      </c>
      <c r="E54">
        <v>593.997803214295</v>
      </c>
      <c r="F54">
        <v>2595333.5493798102</v>
      </c>
      <c r="G54">
        <v>1630481.38578821</v>
      </c>
      <c r="H54">
        <v>2.3048203873610299E-5</v>
      </c>
      <c r="I54">
        <v>6.8200503236293095E-5</v>
      </c>
      <c r="J54">
        <v>0.471717723289031</v>
      </c>
      <c r="K54">
        <v>9005.0430614720299</v>
      </c>
      <c r="L54">
        <v>4.6429387983550402E-3</v>
      </c>
      <c r="M54">
        <v>139</v>
      </c>
      <c r="N54">
        <v>2305.5909999999999</v>
      </c>
      <c r="O54">
        <v>2.8502295699234199E-6</v>
      </c>
      <c r="P54">
        <v>5.98473400508856E-3</v>
      </c>
      <c r="Q54">
        <v>1.905E-3</v>
      </c>
      <c r="R54">
        <v>0.15240000000000001</v>
      </c>
      <c r="S54">
        <v>5005314.19921875</v>
      </c>
      <c r="T54">
        <v>497.21408100250602</v>
      </c>
      <c r="U54">
        <v>574.36005399826604</v>
      </c>
      <c r="V54">
        <v>0.03</v>
      </c>
      <c r="W54">
        <v>64400.563728724803</v>
      </c>
      <c r="X54">
        <v>3.3207089835678598E-2</v>
      </c>
      <c r="Y54">
        <v>5.4876270913902703</v>
      </c>
      <c r="Z54">
        <v>5.4876271449188501</v>
      </c>
      <c r="AA54">
        <v>-5.3528578014550001E-8</v>
      </c>
      <c r="AB54">
        <v>1.4998702032369299E-5</v>
      </c>
      <c r="AC54">
        <v>734.56369693611998</v>
      </c>
      <c r="AD54">
        <v>2074.5795298419598</v>
      </c>
      <c r="AE54">
        <v>574.36005536331595</v>
      </c>
      <c r="AF54">
        <v>1.36505070713611E-6</v>
      </c>
      <c r="AG54">
        <v>1.5108523497466999E-5</v>
      </c>
      <c r="AH54">
        <v>37.1467247365932</v>
      </c>
      <c r="AI54">
        <v>0.25007359898642001</v>
      </c>
      <c r="AJ54">
        <v>32.906911888694403</v>
      </c>
      <c r="AK54">
        <v>6.9307801197903203</v>
      </c>
      <c r="AL54">
        <v>1.30194062706561</v>
      </c>
      <c r="AM54">
        <v>617.97483339316705</v>
      </c>
      <c r="AN54">
        <v>4.18536956203752E-8</v>
      </c>
      <c r="AO54">
        <v>1.09821465097717E-7</v>
      </c>
      <c r="AP54">
        <v>2.99199139207284</v>
      </c>
      <c r="AQ54">
        <v>3.7364765717047897E-5</v>
      </c>
      <c r="AR54">
        <v>7.60917248128238E-6</v>
      </c>
      <c r="AS54">
        <v>16.573053510451601</v>
      </c>
      <c r="AT54">
        <v>10.988890469545</v>
      </c>
      <c r="AU54">
        <v>2.7480313885866798</v>
      </c>
      <c r="AV54">
        <v>0.24396000348615399</v>
      </c>
      <c r="AW54">
        <v>1.0187361016720201E-2</v>
      </c>
      <c r="AX54">
        <v>0.24395999720750999</v>
      </c>
      <c r="AY54">
        <v>6.2786439658513201E-9</v>
      </c>
      <c r="AZ54">
        <v>964852.16359160398</v>
      </c>
      <c r="BA54">
        <v>1.24882597643978E-5</v>
      </c>
      <c r="BB54">
        <v>5040004.4896986699</v>
      </c>
      <c r="BC54">
        <v>34690.290479923598</v>
      </c>
      <c r="BD54">
        <v>0.69306918805093598</v>
      </c>
      <c r="BE54">
        <v>4416426</v>
      </c>
      <c r="BF54">
        <v>1.14119527638382</v>
      </c>
      <c r="BG54">
        <v>1</v>
      </c>
      <c r="BH54">
        <v>-5.2999999999999999E-2</v>
      </c>
      <c r="BI54">
        <v>4.5999999999999999E-2</v>
      </c>
      <c r="BJ54">
        <v>5625</v>
      </c>
      <c r="BK54">
        <v>1.0144272899794999</v>
      </c>
      <c r="BL54">
        <v>120.760752432514</v>
      </c>
      <c r="BM54">
        <v>5.0400044896986698</v>
      </c>
      <c r="BN54">
        <v>120.760752432514</v>
      </c>
      <c r="BO54">
        <v>1.0144272899794999</v>
      </c>
      <c r="BP54">
        <v>6522.2991334659</v>
      </c>
      <c r="BQ54">
        <v>1</v>
      </c>
      <c r="BR54">
        <v>0.15240000000000001</v>
      </c>
      <c r="BS54">
        <v>53</v>
      </c>
      <c r="BT54">
        <v>140</v>
      </c>
      <c r="BU54" t="s">
        <v>304</v>
      </c>
      <c r="BV54" t="str">
        <f>"Table "&amp;TRIM(RIGHT(SUBSTITUTE($A54,"_",REPT(" ",50)),50))</f>
        <v>Table 11</v>
      </c>
      <c r="BW54">
        <f>$BR54/$Q54</f>
        <v>80</v>
      </c>
      <c r="BX54" t="str">
        <f>IF($BW54&lt;40,"outside_low",IF($BW54&lt;=100,"short_anchor",IF($BW54&lt;250,"middle",IF($BW54&lt;=400,"long","outside_high"))))</f>
        <v>short_anchor</v>
      </c>
      <c r="BY54" t="str">
        <f>IF($N54&gt;1000,"PASS","FAIL")</f>
        <v>PASS</v>
      </c>
      <c r="BZ54" t="str">
        <f>IF(AND($BW54&gt;=40,$BW54&lt;=400),"PASS","FAIL")</f>
        <v>PASS</v>
      </c>
    </row>
    <row r="55" spans="1:78">
      <c r="A55" t="s">
        <v>209</v>
      </c>
      <c r="B55">
        <v>15513203.909628799</v>
      </c>
      <c r="C55">
        <v>617.97483343502097</v>
      </c>
      <c r="D55">
        <v>102.22394330033001</v>
      </c>
      <c r="E55">
        <v>593.997803214295</v>
      </c>
      <c r="F55">
        <v>2595333.5493798102</v>
      </c>
      <c r="G55">
        <v>1630481.38578821</v>
      </c>
      <c r="H55">
        <v>2.3048203873610299E-5</v>
      </c>
      <c r="I55">
        <v>6.8200503236293095E-5</v>
      </c>
      <c r="J55">
        <v>0.471717723289031</v>
      </c>
      <c r="K55">
        <v>9005.0430614720299</v>
      </c>
      <c r="L55">
        <v>4.6429387983550402E-3</v>
      </c>
      <c r="M55">
        <v>140</v>
      </c>
      <c r="N55">
        <v>2319.1532999999999</v>
      </c>
      <c r="O55">
        <v>2.8502295699234199E-6</v>
      </c>
      <c r="P55">
        <v>5.98473400508856E-3</v>
      </c>
      <c r="Q55">
        <v>1.905E-3</v>
      </c>
      <c r="R55">
        <v>0.15240000000000001</v>
      </c>
      <c r="S55">
        <v>4636988.6326562501</v>
      </c>
      <c r="T55">
        <v>515.02285575524695</v>
      </c>
      <c r="U55">
        <v>586.07394797812503</v>
      </c>
      <c r="V55">
        <v>0.03</v>
      </c>
      <c r="W55">
        <v>64779.390574187899</v>
      </c>
      <c r="X55">
        <v>3.3117894312529698E-2</v>
      </c>
      <c r="Y55">
        <v>5.4950119606917998</v>
      </c>
      <c r="Z55">
        <v>5.4950120000108598</v>
      </c>
      <c r="AA55">
        <v>-3.93190591196912E-8</v>
      </c>
      <c r="AB55">
        <v>1.4863716064969801E-5</v>
      </c>
      <c r="AC55">
        <v>721.465116175547</v>
      </c>
      <c r="AD55">
        <v>2083.9784646425701</v>
      </c>
      <c r="AE55">
        <v>586.07394797812503</v>
      </c>
      <c r="AF55">
        <v>0</v>
      </c>
      <c r="AG55">
        <v>1.49642745548948E-5</v>
      </c>
      <c r="AH55">
        <v>37.484075541222197</v>
      </c>
      <c r="AI55">
        <v>0.251206563723812</v>
      </c>
      <c r="AJ55">
        <v>32.740394657637403</v>
      </c>
      <c r="AK55">
        <v>6.1567594013285101</v>
      </c>
      <c r="AL55">
        <v>1.30194062706561</v>
      </c>
      <c r="AM55">
        <v>617.97483339034295</v>
      </c>
      <c r="AN55">
        <v>4.4677221922029302E-8</v>
      </c>
      <c r="AO55">
        <v>1.00558489925053E-7</v>
      </c>
      <c r="AP55">
        <v>2.9979989387724801</v>
      </c>
      <c r="AQ55">
        <v>3.7215168818169E-5</v>
      </c>
      <c r="AR55">
        <v>7.5324165224099501E-6</v>
      </c>
      <c r="AS55">
        <v>16.480203484955599</v>
      </c>
      <c r="AT55">
        <v>10.9607993589659</v>
      </c>
      <c r="AU55">
        <v>2.7534247426319798</v>
      </c>
      <c r="AV55">
        <v>0.244574196140499</v>
      </c>
      <c r="AW55">
        <v>1.00956763643335E-2</v>
      </c>
      <c r="AX55">
        <v>0.244574189555121</v>
      </c>
      <c r="AY55">
        <v>6.5853775488289301E-9</v>
      </c>
      <c r="AZ55">
        <v>964852.16359160398</v>
      </c>
      <c r="BA55">
        <v>1.24133362213286E-5</v>
      </c>
      <c r="BB55">
        <v>4642755.7680631699</v>
      </c>
      <c r="BC55">
        <v>5767.1354069188201</v>
      </c>
      <c r="BD55">
        <v>0.124372429259443</v>
      </c>
      <c r="BE55">
        <v>3848599.8</v>
      </c>
      <c r="BF55">
        <v>1.2063493242563601</v>
      </c>
      <c r="BG55">
        <v>1</v>
      </c>
      <c r="BH55">
        <v>-5.2999999999999999E-2</v>
      </c>
      <c r="BI55">
        <v>4.5999999999999999E-2</v>
      </c>
      <c r="BJ55">
        <v>5625</v>
      </c>
      <c r="BK55">
        <v>1.02273979984701</v>
      </c>
      <c r="BL55">
        <v>102.951977679774</v>
      </c>
      <c r="BM55">
        <v>4.6427557680631697</v>
      </c>
      <c r="BN55">
        <v>102.951977679774</v>
      </c>
      <c r="BO55">
        <v>1.02273979984701</v>
      </c>
      <c r="BP55">
        <v>3962.9514937947101</v>
      </c>
      <c r="BQ55">
        <v>1</v>
      </c>
      <c r="BR55">
        <v>0.15240000000000001</v>
      </c>
      <c r="BS55">
        <v>54</v>
      </c>
      <c r="BT55">
        <v>141</v>
      </c>
      <c r="BU55" t="s">
        <v>304</v>
      </c>
      <c r="BV55" t="str">
        <f>"Table "&amp;TRIM(RIGHT(SUBSTITUTE($A55,"_",REPT(" ",50)),50))</f>
        <v>Table 11</v>
      </c>
      <c r="BW55">
        <f>$BR55/$Q55</f>
        <v>80</v>
      </c>
      <c r="BX55" t="str">
        <f>IF($BW55&lt;40,"outside_low",IF($BW55&lt;=100,"short_anchor",IF($BW55&lt;250,"middle",IF($BW55&lt;=400,"long","outside_high"))))</f>
        <v>short_anchor</v>
      </c>
      <c r="BY55" t="str">
        <f>IF($N55&gt;1000,"PASS","FAIL")</f>
        <v>PASS</v>
      </c>
      <c r="BZ55" t="str">
        <f>IF(AND($BW55&gt;=40,$BW55&lt;=400),"PASS","FAIL")</f>
        <v>PASS</v>
      </c>
    </row>
    <row r="56" spans="1:78">
      <c r="A56" t="s">
        <v>210</v>
      </c>
      <c r="B56">
        <v>15513203.909628799</v>
      </c>
      <c r="C56">
        <v>617.97483343502097</v>
      </c>
      <c r="D56">
        <v>102.22394330033001</v>
      </c>
      <c r="E56">
        <v>593.997803214295</v>
      </c>
      <c r="F56">
        <v>2595333.5493798102</v>
      </c>
      <c r="G56">
        <v>1630481.38578821</v>
      </c>
      <c r="H56">
        <v>2.3048203873610299E-5</v>
      </c>
      <c r="I56">
        <v>6.8200503236293095E-5</v>
      </c>
      <c r="J56">
        <v>0.471717723289031</v>
      </c>
      <c r="K56">
        <v>9005.0430614720299</v>
      </c>
      <c r="L56">
        <v>4.6429387983550402E-3</v>
      </c>
      <c r="M56">
        <v>141</v>
      </c>
      <c r="N56">
        <v>2319.1532999999999</v>
      </c>
      <c r="O56">
        <v>2.8502295699234199E-6</v>
      </c>
      <c r="P56">
        <v>5.98473400508856E-3</v>
      </c>
      <c r="Q56">
        <v>1.905E-3</v>
      </c>
      <c r="R56">
        <v>0.15240000000000001</v>
      </c>
      <c r="S56">
        <v>4674353.02734375</v>
      </c>
      <c r="T56">
        <v>513.223397961415</v>
      </c>
      <c r="U56">
        <v>584.84701284136804</v>
      </c>
      <c r="V56">
        <v>0.03</v>
      </c>
      <c r="W56">
        <v>64779.390574187899</v>
      </c>
      <c r="X56">
        <v>3.3117894312529698E-2</v>
      </c>
      <c r="Y56">
        <v>5.4950119606917998</v>
      </c>
      <c r="Z56">
        <v>5.4950120000108598</v>
      </c>
      <c r="AA56">
        <v>-3.93190591196912E-8</v>
      </c>
      <c r="AB56">
        <v>1.4863716064969801E-5</v>
      </c>
      <c r="AC56">
        <v>722.74764390258304</v>
      </c>
      <c r="AD56">
        <v>2083.9784646425701</v>
      </c>
      <c r="AE56">
        <v>584.84701284136804</v>
      </c>
      <c r="AF56">
        <v>0</v>
      </c>
      <c r="AG56">
        <v>1.49645664241686E-5</v>
      </c>
      <c r="AH56">
        <v>37.484075541222197</v>
      </c>
      <c r="AI56">
        <v>0.251206563723812</v>
      </c>
      <c r="AJ56">
        <v>32.741033239559599</v>
      </c>
      <c r="AK56">
        <v>6.2330404127457797</v>
      </c>
      <c r="AL56">
        <v>1.30194062706561</v>
      </c>
      <c r="AM56">
        <v>617.97483338976804</v>
      </c>
      <c r="AN56">
        <v>4.5252249947225203E-8</v>
      </c>
      <c r="AO56">
        <v>1.0085035919879E-7</v>
      </c>
      <c r="AP56">
        <v>2.99804393631777</v>
      </c>
      <c r="AQ56">
        <v>3.7214051704001798E-5</v>
      </c>
      <c r="AR56">
        <v>7.5327083916836796E-6</v>
      </c>
      <c r="AS56">
        <v>16.480842066877798</v>
      </c>
      <c r="AT56">
        <v>10.9609930973354</v>
      </c>
      <c r="AU56">
        <v>2.75347341098206</v>
      </c>
      <c r="AV56">
        <v>0.24457052533571899</v>
      </c>
      <c r="AW56">
        <v>1.00956763643335E-2</v>
      </c>
      <c r="AX56">
        <v>0.244570518748953</v>
      </c>
      <c r="AY56">
        <v>6.5867659659879499E-9</v>
      </c>
      <c r="AZ56">
        <v>964852.16359160398</v>
      </c>
      <c r="BA56">
        <v>1.24127772956218E-5</v>
      </c>
      <c r="BB56">
        <v>4656440.9481654</v>
      </c>
      <c r="BC56">
        <v>-17912.0791783491</v>
      </c>
      <c r="BD56">
        <v>-0.38319910955736802</v>
      </c>
      <c r="BE56">
        <v>3911691.6</v>
      </c>
      <c r="BF56">
        <v>1.19039060956784</v>
      </c>
      <c r="BG56">
        <v>1</v>
      </c>
      <c r="BH56">
        <v>-5.2999999999999999E-2</v>
      </c>
      <c r="BI56">
        <v>4.5999999999999999E-2</v>
      </c>
      <c r="BJ56">
        <v>5625</v>
      </c>
      <c r="BK56">
        <v>1.0218295357534</v>
      </c>
      <c r="BL56">
        <v>104.75143547360599</v>
      </c>
      <c r="BM56">
        <v>4.6564409481654003</v>
      </c>
      <c r="BN56">
        <v>104.75143547360599</v>
      </c>
      <c r="BO56">
        <v>1.0218295357534</v>
      </c>
      <c r="BP56">
        <v>4192.7483958925004</v>
      </c>
      <c r="BQ56">
        <v>1</v>
      </c>
      <c r="BR56">
        <v>0.15240000000000001</v>
      </c>
      <c r="BS56">
        <v>55</v>
      </c>
      <c r="BT56">
        <v>142</v>
      </c>
      <c r="BU56" t="s">
        <v>304</v>
      </c>
      <c r="BV56" t="str">
        <f>"Table "&amp;TRIM(RIGHT(SUBSTITUTE($A56,"_",REPT(" ",50)),50))</f>
        <v>Table 11</v>
      </c>
      <c r="BW56">
        <f>$BR56/$Q56</f>
        <v>80</v>
      </c>
      <c r="BX56" t="str">
        <f>IF($BW56&lt;40,"outside_low",IF($BW56&lt;=100,"short_anchor",IF($BW56&lt;250,"middle",IF($BW56&lt;=400,"long","outside_high"))))</f>
        <v>short_anchor</v>
      </c>
      <c r="BY56" t="str">
        <f>IF($N56&gt;1000,"PASS","FAIL")</f>
        <v>PASS</v>
      </c>
      <c r="BZ56" t="str">
        <f>IF(AND($BW56&gt;=40,$BW56&lt;=400),"PASS","FAIL")</f>
        <v>PASS</v>
      </c>
    </row>
    <row r="57" spans="1:78">
      <c r="A57" t="s">
        <v>211</v>
      </c>
      <c r="B57">
        <v>15513203.909628799</v>
      </c>
      <c r="C57">
        <v>617.97483343502097</v>
      </c>
      <c r="D57">
        <v>102.22394330033001</v>
      </c>
      <c r="E57">
        <v>593.997803214295</v>
      </c>
      <c r="F57">
        <v>2595333.5493798102</v>
      </c>
      <c r="G57">
        <v>1630481.38578821</v>
      </c>
      <c r="H57">
        <v>2.3048203873610299E-5</v>
      </c>
      <c r="I57">
        <v>6.8200503236293095E-5</v>
      </c>
      <c r="J57">
        <v>0.471717723289031</v>
      </c>
      <c r="K57">
        <v>9005.0430614720299</v>
      </c>
      <c r="L57">
        <v>4.6429387983550402E-3</v>
      </c>
      <c r="M57">
        <v>142</v>
      </c>
      <c r="N57">
        <v>2319.1532999999999</v>
      </c>
      <c r="O57">
        <v>2.8502295699234199E-6</v>
      </c>
      <c r="P57">
        <v>5.98473400508856E-3</v>
      </c>
      <c r="Q57">
        <v>1.905E-3</v>
      </c>
      <c r="R57">
        <v>0.15240000000000001</v>
      </c>
      <c r="S57">
        <v>4941311.7835937496</v>
      </c>
      <c r="T57">
        <v>500.89394004301198</v>
      </c>
      <c r="U57">
        <v>576.608078474487</v>
      </c>
      <c r="V57">
        <v>0.03</v>
      </c>
      <c r="W57">
        <v>64779.390574187899</v>
      </c>
      <c r="X57">
        <v>3.3117894312529698E-2</v>
      </c>
      <c r="Y57">
        <v>5.4950119606917998</v>
      </c>
      <c r="Z57">
        <v>5.4950120000108598</v>
      </c>
      <c r="AA57">
        <v>-3.93190591196912E-8</v>
      </c>
      <c r="AB57">
        <v>1.4863716064969801E-5</v>
      </c>
      <c r="AC57">
        <v>731.69719700062205</v>
      </c>
      <c r="AD57">
        <v>2083.9784646425701</v>
      </c>
      <c r="AE57">
        <v>576.60807981252697</v>
      </c>
      <c r="AF57">
        <v>1.33803905555396E-6</v>
      </c>
      <c r="AG57">
        <v>1.4971199294995399E-5</v>
      </c>
      <c r="AH57">
        <v>37.484075541222197</v>
      </c>
      <c r="AI57">
        <v>0.251206563723812</v>
      </c>
      <c r="AJ57">
        <v>32.755545323509097</v>
      </c>
      <c r="AK57">
        <v>6.7650125112632198</v>
      </c>
      <c r="AL57">
        <v>1.30194062706561</v>
      </c>
      <c r="AM57">
        <v>617.97483338540496</v>
      </c>
      <c r="AN57">
        <v>4.96150960316299E-8</v>
      </c>
      <c r="AO57">
        <v>1.07483230025617E-7</v>
      </c>
      <c r="AP57">
        <v>2.9990660850387698</v>
      </c>
      <c r="AQ57">
        <v>3.7188689266413798E-5</v>
      </c>
      <c r="AR57">
        <v>7.5393412625105101E-6</v>
      </c>
      <c r="AS57">
        <v>16.4953541508273</v>
      </c>
      <c r="AT57">
        <v>10.965393873213401</v>
      </c>
      <c r="AU57">
        <v>2.7545789147680901</v>
      </c>
      <c r="AV57">
        <v>0.244487170270689</v>
      </c>
      <c r="AW57">
        <v>1.00956763643335E-2</v>
      </c>
      <c r="AX57">
        <v>0.24448716365245199</v>
      </c>
      <c r="AY57">
        <v>6.6182374025558496E-9</v>
      </c>
      <c r="AZ57">
        <v>964852.16359160398</v>
      </c>
      <c r="BA57">
        <v>1.24000899653176E-5</v>
      </c>
      <c r="BB57">
        <v>4967770.0738843596</v>
      </c>
      <c r="BC57">
        <v>26458.290290610901</v>
      </c>
      <c r="BD57">
        <v>0.53545073554067701</v>
      </c>
      <c r="BE57">
        <v>4447971.9000000004</v>
      </c>
      <c r="BF57">
        <v>1.11686183851215</v>
      </c>
      <c r="BG57">
        <v>1</v>
      </c>
      <c r="BH57">
        <v>-3.5000000000000003E-2</v>
      </c>
      <c r="BI57">
        <v>4.5999999999999999E-2</v>
      </c>
      <c r="BJ57">
        <v>5625</v>
      </c>
      <c r="BK57">
        <v>1.0159966785074199</v>
      </c>
      <c r="BL57">
        <v>117.080893392009</v>
      </c>
      <c r="BM57">
        <v>4.9677700738843598</v>
      </c>
      <c r="BN57">
        <v>117.080893392009</v>
      </c>
      <c r="BO57">
        <v>1.0159966785074199</v>
      </c>
      <c r="BP57">
        <v>5941.4641261101897</v>
      </c>
      <c r="BQ57">
        <v>1</v>
      </c>
      <c r="BR57">
        <v>0.15240000000000001</v>
      </c>
      <c r="BS57">
        <v>56</v>
      </c>
      <c r="BT57">
        <v>143</v>
      </c>
      <c r="BU57" t="s">
        <v>304</v>
      </c>
      <c r="BV57" t="str">
        <f>"Table "&amp;TRIM(RIGHT(SUBSTITUTE($A57,"_",REPT(" ",50)),50))</f>
        <v>Table 11</v>
      </c>
      <c r="BW57">
        <f>$BR57/$Q57</f>
        <v>80</v>
      </c>
      <c r="BX57" t="str">
        <f>IF($BW57&lt;40,"outside_low",IF($BW57&lt;=100,"short_anchor",IF($BW57&lt;250,"middle",IF($BW57&lt;=400,"long","outside_high"))))</f>
        <v>short_anchor</v>
      </c>
      <c r="BY57" t="str">
        <f>IF($N57&gt;1000,"PASS","FAIL")</f>
        <v>PASS</v>
      </c>
      <c r="BZ57" t="str">
        <f>IF(AND($BW57&gt;=40,$BW57&lt;=400),"PASS","FAIL")</f>
        <v>PASS</v>
      </c>
    </row>
    <row r="58" spans="1:78">
      <c r="A58" t="s">
        <v>212</v>
      </c>
      <c r="B58">
        <v>15513203.909628799</v>
      </c>
      <c r="C58">
        <v>617.97483343502097</v>
      </c>
      <c r="D58">
        <v>102.22394330033001</v>
      </c>
      <c r="E58">
        <v>593.997803214295</v>
      </c>
      <c r="F58">
        <v>2595333.5493798102</v>
      </c>
      <c r="G58">
        <v>1630481.38578821</v>
      </c>
      <c r="H58">
        <v>2.3048203873610299E-5</v>
      </c>
      <c r="I58">
        <v>6.8200503236293095E-5</v>
      </c>
      <c r="J58">
        <v>0.471717723289031</v>
      </c>
      <c r="K58">
        <v>9005.0430614720299</v>
      </c>
      <c r="L58">
        <v>4.6429387983550402E-3</v>
      </c>
      <c r="M58">
        <v>143</v>
      </c>
      <c r="N58">
        <v>2875.2076000000002</v>
      </c>
      <c r="O58">
        <v>2.8502295699234199E-6</v>
      </c>
      <c r="P58">
        <v>5.98473400508856E-3</v>
      </c>
      <c r="Q58">
        <v>1.905E-3</v>
      </c>
      <c r="R58">
        <v>0.15240000000000001</v>
      </c>
      <c r="S58">
        <v>5403326.66015625</v>
      </c>
      <c r="T58">
        <v>511.31829053055202</v>
      </c>
      <c r="U58">
        <v>578.09979526384097</v>
      </c>
      <c r="V58">
        <v>0.03</v>
      </c>
      <c r="W58">
        <v>80311.291238174497</v>
      </c>
      <c r="X58">
        <v>3.0077052509272499E-2</v>
      </c>
      <c r="Y58">
        <v>5.7661025626505902</v>
      </c>
      <c r="Z58">
        <v>5.7661025972645303</v>
      </c>
      <c r="AA58">
        <v>-3.4613937494043499E-8</v>
      </c>
      <c r="AB58">
        <v>1.0648178955476399E-5</v>
      </c>
      <c r="AC58">
        <v>717.83704699093198</v>
      </c>
      <c r="AD58">
        <v>2462.1769220775</v>
      </c>
      <c r="AE58">
        <v>578.09979646681495</v>
      </c>
      <c r="AF58">
        <v>1.20297374905931E-6</v>
      </c>
      <c r="AG58">
        <v>1.07376937398852E-5</v>
      </c>
      <c r="AH58">
        <v>52.323750204823497</v>
      </c>
      <c r="AI58">
        <v>0.29679529533010102</v>
      </c>
      <c r="AJ58">
        <v>27.756537241660201</v>
      </c>
      <c r="AK58">
        <v>6.1697507746342399</v>
      </c>
      <c r="AL58">
        <v>1.30194062706561</v>
      </c>
      <c r="AM58">
        <v>617.97483341778104</v>
      </c>
      <c r="AN58">
        <v>1.7239813132619E-8</v>
      </c>
      <c r="AO58">
        <v>8.9514784408784005E-8</v>
      </c>
      <c r="AP58">
        <v>3.2749560156375002</v>
      </c>
      <c r="AQ58">
        <v>3.1186885071912701E-5</v>
      </c>
      <c r="AR58">
        <v>5.4136042621469701E-6</v>
      </c>
      <c r="AS58">
        <v>13.993964807893599</v>
      </c>
      <c r="AT58">
        <v>10.1431307576044</v>
      </c>
      <c r="AU58">
        <v>3.0104334887750399</v>
      </c>
      <c r="AV58">
        <v>0.26452252686246203</v>
      </c>
      <c r="AW58">
        <v>7.2324153754086398E-3</v>
      </c>
      <c r="AX58">
        <v>0.26452252274377003</v>
      </c>
      <c r="AY58">
        <v>4.1186926091896201E-9</v>
      </c>
      <c r="AZ58">
        <v>964852.16359160398</v>
      </c>
      <c r="BA58">
        <v>9.5228408940453502E-6</v>
      </c>
      <c r="BB58">
        <v>5387333.4316243101</v>
      </c>
      <c r="BC58">
        <v>-15993.228531938001</v>
      </c>
      <c r="BD58">
        <v>-0.29598855552952202</v>
      </c>
      <c r="BE58">
        <v>5394348.9000000004</v>
      </c>
      <c r="BF58">
        <v>0.99869947819361704</v>
      </c>
      <c r="BG58">
        <v>1</v>
      </c>
      <c r="BH58">
        <v>1E-3</v>
      </c>
      <c r="BI58">
        <v>4.5999999999999999E-2</v>
      </c>
      <c r="BJ58">
        <v>5625</v>
      </c>
      <c r="BK58">
        <v>1.0208792927880801</v>
      </c>
      <c r="BL58">
        <v>106.656542904468</v>
      </c>
      <c r="BM58">
        <v>5.3873334316243104</v>
      </c>
      <c r="BN58">
        <v>106.656542904468</v>
      </c>
      <c r="BO58">
        <v>1.0208792927880801</v>
      </c>
      <c r="BP58">
        <v>4443.09471197525</v>
      </c>
      <c r="BQ58">
        <v>1</v>
      </c>
      <c r="BR58">
        <v>0.15240000000000001</v>
      </c>
      <c r="BS58">
        <v>57</v>
      </c>
      <c r="BT58">
        <v>144</v>
      </c>
      <c r="BU58" t="s">
        <v>304</v>
      </c>
      <c r="BV58" t="str">
        <f>"Table "&amp;TRIM(RIGHT(SUBSTITUTE($A58,"_",REPT(" ",50)),50))</f>
        <v>Table 11</v>
      </c>
      <c r="BW58">
        <f>$BR58/$Q58</f>
        <v>80</v>
      </c>
      <c r="BX58" t="str">
        <f>IF($BW58&lt;40,"outside_low",IF($BW58&lt;=100,"short_anchor",IF($BW58&lt;250,"middle",IF($BW58&lt;=400,"long","outside_high"))))</f>
        <v>short_anchor</v>
      </c>
      <c r="BY58" t="str">
        <f>IF($N58&gt;1000,"PASS","FAIL")</f>
        <v>PASS</v>
      </c>
      <c r="BZ58" t="str">
        <f>IF(AND($BW58&gt;=40,$BW58&lt;=400),"PASS","FAIL")</f>
        <v>PASS</v>
      </c>
    </row>
    <row r="59" spans="1:78">
      <c r="A59" t="s">
        <v>213</v>
      </c>
      <c r="B59">
        <v>15513203.909628799</v>
      </c>
      <c r="C59">
        <v>617.97483343502097</v>
      </c>
      <c r="D59">
        <v>102.22394330033001</v>
      </c>
      <c r="E59">
        <v>593.997803214295</v>
      </c>
      <c r="F59">
        <v>2595333.5493798102</v>
      </c>
      <c r="G59">
        <v>1630481.38578821</v>
      </c>
      <c r="H59">
        <v>2.3048203873610299E-5</v>
      </c>
      <c r="I59">
        <v>6.8200503236293095E-5</v>
      </c>
      <c r="J59">
        <v>0.471717723289031</v>
      </c>
      <c r="K59">
        <v>9005.0430614720299</v>
      </c>
      <c r="L59">
        <v>4.6429387983550402E-3</v>
      </c>
      <c r="M59">
        <v>144</v>
      </c>
      <c r="N59">
        <v>2929.4567999999999</v>
      </c>
      <c r="O59">
        <v>2.8502295699234199E-6</v>
      </c>
      <c r="P59">
        <v>5.98473400508856E-3</v>
      </c>
      <c r="Q59">
        <v>1.905E-3</v>
      </c>
      <c r="R59">
        <v>0.15240000000000001</v>
      </c>
      <c r="S59">
        <v>4761511.23046875</v>
      </c>
      <c r="T59">
        <v>540.88707296318796</v>
      </c>
      <c r="U59">
        <v>598.64637005941199</v>
      </c>
      <c r="V59">
        <v>0.03</v>
      </c>
      <c r="W59">
        <v>81826.598620026896</v>
      </c>
      <c r="X59">
        <v>2.9832242040537499E-2</v>
      </c>
      <c r="Y59">
        <v>5.7897132269993099</v>
      </c>
      <c r="Z59">
        <v>5.7897132518930503</v>
      </c>
      <c r="AA59">
        <v>-2.4893739514197899E-8</v>
      </c>
      <c r="AB59">
        <v>1.0341628698207299E-5</v>
      </c>
      <c r="AC59">
        <v>697.42893982916496</v>
      </c>
      <c r="AD59">
        <v>2498.4027920342501</v>
      </c>
      <c r="AE59">
        <v>598.64637005941199</v>
      </c>
      <c r="AF59">
        <v>0</v>
      </c>
      <c r="AG59">
        <v>1.04195533738423E-5</v>
      </c>
      <c r="AH59">
        <v>53.874749525593202</v>
      </c>
      <c r="AI59">
        <v>0.30116202774319301</v>
      </c>
      <c r="AJ59">
        <v>27.330436998380499</v>
      </c>
      <c r="AK59">
        <v>4.9334976255565604</v>
      </c>
      <c r="AL59">
        <v>1.30194062706561</v>
      </c>
      <c r="AM59">
        <v>617.97483343446595</v>
      </c>
      <c r="AN59">
        <v>5.5410964705515705E-10</v>
      </c>
      <c r="AO59">
        <v>7.7924675634988801E-8</v>
      </c>
      <c r="AP59">
        <v>3.2967858963802699</v>
      </c>
      <c r="AQ59">
        <v>3.0775240517006603E-5</v>
      </c>
      <c r="AR59">
        <v>5.2487390247386402E-6</v>
      </c>
      <c r="AS59">
        <v>13.7674165187046</v>
      </c>
      <c r="AT59">
        <v>10.061523392432701</v>
      </c>
      <c r="AU59">
        <v>3.0301487870506101</v>
      </c>
      <c r="AV59">
        <v>0.26663710932965501</v>
      </c>
      <c r="AW59">
        <v>7.0242014823778398E-3</v>
      </c>
      <c r="AX59">
        <v>0.26663710420803499</v>
      </c>
      <c r="AY59">
        <v>5.1216201280013301E-9</v>
      </c>
      <c r="AZ59">
        <v>964852.16359160398</v>
      </c>
      <c r="BA59">
        <v>9.3349224014809297E-6</v>
      </c>
      <c r="BB59">
        <v>4784206.3694815803</v>
      </c>
      <c r="BC59">
        <v>22695.139012826599</v>
      </c>
      <c r="BD59">
        <v>0.47663730933996701</v>
      </c>
      <c r="BE59">
        <v>4164058.8</v>
      </c>
      <c r="BF59">
        <v>1.14892862931752</v>
      </c>
      <c r="BG59">
        <v>1</v>
      </c>
      <c r="BH59">
        <v>-4.0000000000000001E-3</v>
      </c>
      <c r="BI59">
        <v>4.5999999999999999E-2</v>
      </c>
      <c r="BJ59">
        <v>5625</v>
      </c>
      <c r="BK59">
        <v>1.03602120207856</v>
      </c>
      <c r="BL59">
        <v>77.087760471832595</v>
      </c>
      <c r="BM59">
        <v>4.7842063694815797</v>
      </c>
      <c r="BN59">
        <v>77.087760471832595</v>
      </c>
      <c r="BO59">
        <v>1.03602120207856</v>
      </c>
      <c r="BP59">
        <v>1375.50197681603</v>
      </c>
      <c r="BQ59">
        <v>1</v>
      </c>
      <c r="BR59">
        <v>0.15240000000000001</v>
      </c>
      <c r="BS59">
        <v>58</v>
      </c>
      <c r="BT59">
        <v>145</v>
      </c>
      <c r="BU59" t="s">
        <v>304</v>
      </c>
      <c r="BV59" t="str">
        <f>"Table "&amp;TRIM(RIGHT(SUBSTITUTE($A59,"_",REPT(" ",50)),50))</f>
        <v>Table 11</v>
      </c>
      <c r="BW59">
        <f>$BR59/$Q59</f>
        <v>80</v>
      </c>
      <c r="BX59" t="str">
        <f>IF($BW59&lt;40,"outside_low",IF($BW59&lt;=100,"short_anchor",IF($BW59&lt;250,"middle",IF($BW59&lt;=400,"long","outside_high"))))</f>
        <v>short_anchor</v>
      </c>
      <c r="BY59" t="str">
        <f>IF($N59&gt;1000,"PASS","FAIL")</f>
        <v>PASS</v>
      </c>
      <c r="BZ59" t="str">
        <f>IF(AND($BW59&gt;=40,$BW59&lt;=400),"PASS","FAIL")</f>
        <v>PASS</v>
      </c>
    </row>
    <row r="60" spans="1:78">
      <c r="A60" t="s">
        <v>214</v>
      </c>
      <c r="B60">
        <v>15513203.909628799</v>
      </c>
      <c r="C60">
        <v>617.97483343502097</v>
      </c>
      <c r="D60">
        <v>102.22394330033001</v>
      </c>
      <c r="E60">
        <v>593.997803214295</v>
      </c>
      <c r="F60">
        <v>2595333.5493798102</v>
      </c>
      <c r="G60">
        <v>1630481.38578821</v>
      </c>
      <c r="H60">
        <v>2.3048203873610299E-5</v>
      </c>
      <c r="I60">
        <v>6.8200503236293095E-5</v>
      </c>
      <c r="J60">
        <v>0.471717723289031</v>
      </c>
      <c r="K60">
        <v>9005.0430614720299</v>
      </c>
      <c r="L60">
        <v>4.6429387983550402E-3</v>
      </c>
      <c r="M60">
        <v>145</v>
      </c>
      <c r="N60">
        <v>2956.5814</v>
      </c>
      <c r="O60">
        <v>2.8502295699234199E-6</v>
      </c>
      <c r="P60">
        <v>5.98473400508856E-3</v>
      </c>
      <c r="Q60">
        <v>1.905E-3</v>
      </c>
      <c r="R60">
        <v>0.15240000000000001</v>
      </c>
      <c r="S60">
        <v>4686924.12109375</v>
      </c>
      <c r="T60">
        <v>544.80126491492899</v>
      </c>
      <c r="U60">
        <v>601.13418533199194</v>
      </c>
      <c r="V60">
        <v>0.03</v>
      </c>
      <c r="W60">
        <v>82584.252310953001</v>
      </c>
      <c r="X60">
        <v>2.9712616755100299E-2</v>
      </c>
      <c r="Y60">
        <v>5.8013564355317904</v>
      </c>
      <c r="Z60">
        <v>5.80135645597049</v>
      </c>
      <c r="AA60">
        <v>-2.04386987334715E-8</v>
      </c>
      <c r="AB60">
        <v>1.01936202092765E-5</v>
      </c>
      <c r="AC60">
        <v>694.36498395710396</v>
      </c>
      <c r="AD60">
        <v>2516.4754776415798</v>
      </c>
      <c r="AE60">
        <v>601.13418533199103</v>
      </c>
      <c r="AF60">
        <v>0</v>
      </c>
      <c r="AG60">
        <v>1.02695308165222E-5</v>
      </c>
      <c r="AH60">
        <v>54.656995685946796</v>
      </c>
      <c r="AI60">
        <v>0.303340542217169</v>
      </c>
      <c r="AJ60">
        <v>27.131782117231001</v>
      </c>
      <c r="AK60">
        <v>4.7544964863997397</v>
      </c>
      <c r="AL60">
        <v>1.30194062706561</v>
      </c>
      <c r="AM60">
        <v>617.97483343067495</v>
      </c>
      <c r="AN60">
        <v>4.3459067455842201E-9</v>
      </c>
      <c r="AO60">
        <v>7.5910607245698504E-8</v>
      </c>
      <c r="AP60">
        <v>3.3084884917726298</v>
      </c>
      <c r="AQ60">
        <v>3.05579127327379E-5</v>
      </c>
      <c r="AR60">
        <v>5.1727207118839398E-6</v>
      </c>
      <c r="AS60">
        <v>13.6661677943776</v>
      </c>
      <c r="AT60">
        <v>10.0246163725977</v>
      </c>
      <c r="AU60">
        <v>3.0408725659828799</v>
      </c>
      <c r="AV60">
        <v>0.26761592578974902</v>
      </c>
      <c r="AW60">
        <v>6.9236717227344098E-3</v>
      </c>
      <c r="AX60">
        <v>0.26761592010526303</v>
      </c>
      <c r="AY60">
        <v>5.6844864371186102E-9</v>
      </c>
      <c r="AZ60">
        <v>964852.16359160398</v>
      </c>
      <c r="BA60">
        <v>9.2362155131346694E-6</v>
      </c>
      <c r="BB60">
        <v>4710359.1446647597</v>
      </c>
      <c r="BC60">
        <v>23435.023571011599</v>
      </c>
      <c r="BD60">
        <v>0.500008597654505</v>
      </c>
      <c r="BE60">
        <v>4164058.8</v>
      </c>
      <c r="BF60">
        <v>1.13119419559223</v>
      </c>
      <c r="BG60">
        <v>1</v>
      </c>
      <c r="BH60">
        <v>1.0999999999999999E-2</v>
      </c>
      <c r="BI60">
        <v>4.5999999999999999E-2</v>
      </c>
      <c r="BJ60">
        <v>5625</v>
      </c>
      <c r="BK60">
        <v>1.0378261061619001</v>
      </c>
      <c r="BL60">
        <v>73.173568520091493</v>
      </c>
      <c r="BM60">
        <v>4.7103591446647597</v>
      </c>
      <c r="BN60">
        <v>73.173568520091493</v>
      </c>
      <c r="BO60">
        <v>1.0378261061619001</v>
      </c>
      <c r="BP60">
        <v>1100.48564835721</v>
      </c>
      <c r="BQ60">
        <v>1</v>
      </c>
      <c r="BR60">
        <v>0.15240000000000001</v>
      </c>
      <c r="BS60">
        <v>59</v>
      </c>
      <c r="BT60">
        <v>146</v>
      </c>
      <c r="BU60" t="s">
        <v>304</v>
      </c>
      <c r="BV60" t="str">
        <f>"Table "&amp;TRIM(RIGHT(SUBSTITUTE($A60,"_",REPT(" ",50)),50))</f>
        <v>Table 11</v>
      </c>
      <c r="BW60">
        <f>$BR60/$Q60</f>
        <v>80</v>
      </c>
      <c r="BX60" t="str">
        <f>IF($BW60&lt;40,"outside_low",IF($BW60&lt;=100,"short_anchor",IF($BW60&lt;250,"middle",IF($BW60&lt;=400,"long","outside_high"))))</f>
        <v>short_anchor</v>
      </c>
      <c r="BY60" t="str">
        <f>IF($N60&gt;1000,"PASS","FAIL")</f>
        <v>PASS</v>
      </c>
      <c r="BZ60" t="str">
        <f>IF(AND($BW60&gt;=40,$BW60&lt;=400),"PASS","FAIL")</f>
        <v>PASS</v>
      </c>
    </row>
    <row r="61" spans="1:78">
      <c r="A61" t="s">
        <v>215</v>
      </c>
      <c r="B61">
        <v>15513203.909628799</v>
      </c>
      <c r="C61">
        <v>617.97483343502097</v>
      </c>
      <c r="D61">
        <v>102.22394330033001</v>
      </c>
      <c r="E61">
        <v>593.997803214295</v>
      </c>
      <c r="F61">
        <v>2595333.5493798102</v>
      </c>
      <c r="G61">
        <v>1630481.38578821</v>
      </c>
      <c r="H61">
        <v>2.3048203873610299E-5</v>
      </c>
      <c r="I61">
        <v>6.8200503236293095E-5</v>
      </c>
      <c r="J61">
        <v>0.471717723289031</v>
      </c>
      <c r="K61">
        <v>9005.0430614720299</v>
      </c>
      <c r="L61">
        <v>4.6429387983550402E-3</v>
      </c>
      <c r="M61">
        <v>146</v>
      </c>
      <c r="N61">
        <v>2983.7060000000001</v>
      </c>
      <c r="O61">
        <v>2.8502295699234199E-6</v>
      </c>
      <c r="P61">
        <v>5.98473400508856E-3</v>
      </c>
      <c r="Q61">
        <v>1.905E-3</v>
      </c>
      <c r="R61">
        <v>0.15240000000000001</v>
      </c>
      <c r="S61">
        <v>5631387.98828125</v>
      </c>
      <c r="T61">
        <v>506.78358716530897</v>
      </c>
      <c r="U61">
        <v>573.85286141774304</v>
      </c>
      <c r="V61">
        <v>0.03</v>
      </c>
      <c r="W61">
        <v>83341.906001879193</v>
      </c>
      <c r="X61">
        <v>2.9594784018131599E-2</v>
      </c>
      <c r="Y61">
        <v>5.8128941210789398</v>
      </c>
      <c r="Z61">
        <v>5.8128941374986898</v>
      </c>
      <c r="AA61">
        <v>-1.6419753556817799E-8</v>
      </c>
      <c r="AB61">
        <v>1.00489758091185E-5</v>
      </c>
      <c r="AC61">
        <v>719.26100129451095</v>
      </c>
      <c r="AD61">
        <v>2534.5217744995798</v>
      </c>
      <c r="AE61">
        <v>573.85286141774304</v>
      </c>
      <c r="AF61">
        <v>0</v>
      </c>
      <c r="AG61">
        <v>1.01389398370477E-5</v>
      </c>
      <c r="AH61">
        <v>55.4437254488207</v>
      </c>
      <c r="AI61">
        <v>0.305515875743187</v>
      </c>
      <c r="AJ61">
        <v>26.978859619253001</v>
      </c>
      <c r="AK61">
        <v>6.3156223766093902</v>
      </c>
      <c r="AL61">
        <v>1.30194062706561</v>
      </c>
      <c r="AM61">
        <v>617.97483343466502</v>
      </c>
      <c r="AN61">
        <v>3.5561242839321499E-10</v>
      </c>
      <c r="AO61">
        <v>8.9964027929180799E-8</v>
      </c>
      <c r="AP61">
        <v>3.3245246949976699</v>
      </c>
      <c r="AQ61">
        <v>3.0263824957606301E-5</v>
      </c>
      <c r="AR61">
        <v>5.11445193248842E-6</v>
      </c>
      <c r="AS61">
        <v>13.609123136507399</v>
      </c>
      <c r="AT61">
        <v>10.003701933522199</v>
      </c>
      <c r="AU61">
        <v>3.0562897568938601</v>
      </c>
      <c r="AV61">
        <v>0.26823493810380999</v>
      </c>
      <c r="AW61">
        <v>6.8254269065978904E-3</v>
      </c>
      <c r="AX61">
        <v>0.268234931690565</v>
      </c>
      <c r="AY61">
        <v>6.4132453236886996E-9</v>
      </c>
      <c r="AZ61">
        <v>964852.16359160398</v>
      </c>
      <c r="BA61">
        <v>9.1032035355741208E-6</v>
      </c>
      <c r="BB61">
        <v>5663960.9766956698</v>
      </c>
      <c r="BC61">
        <v>32572.988414416101</v>
      </c>
      <c r="BD61">
        <v>0.57841847306915295</v>
      </c>
      <c r="BE61">
        <v>5520532.5</v>
      </c>
      <c r="BF61">
        <v>1.0259809133803099</v>
      </c>
      <c r="BG61">
        <v>1</v>
      </c>
      <c r="BH61">
        <v>-0.03</v>
      </c>
      <c r="BI61">
        <v>4.5999999999999999E-2</v>
      </c>
      <c r="BJ61">
        <v>5625</v>
      </c>
      <c r="BK61">
        <v>1.01868328381853</v>
      </c>
      <c r="BL61">
        <v>111.191246269712</v>
      </c>
      <c r="BM61">
        <v>5.6639609766956696</v>
      </c>
      <c r="BN61">
        <v>111.191246269712</v>
      </c>
      <c r="BO61">
        <v>1.01868328381853</v>
      </c>
      <c r="BP61">
        <v>5068.1935454347204</v>
      </c>
      <c r="BQ61">
        <v>1</v>
      </c>
      <c r="BR61">
        <v>0.15240000000000001</v>
      </c>
      <c r="BS61">
        <v>60</v>
      </c>
      <c r="BT61">
        <v>147</v>
      </c>
      <c r="BU61" t="s">
        <v>304</v>
      </c>
      <c r="BV61" t="str">
        <f>"Table "&amp;TRIM(RIGHT(SUBSTITUTE($A61,"_",REPT(" ",50)),50))</f>
        <v>Table 11</v>
      </c>
      <c r="BW61">
        <f>$BR61/$Q61</f>
        <v>80</v>
      </c>
      <c r="BX61" t="str">
        <f>IF($BW61&lt;40,"outside_low",IF($BW61&lt;=100,"short_anchor",IF($BW61&lt;250,"middle",IF($BW61&lt;=400,"long","outside_high"))))</f>
        <v>short_anchor</v>
      </c>
      <c r="BY61" t="str">
        <f>IF($N61&gt;1000,"PASS","FAIL")</f>
        <v>PASS</v>
      </c>
      <c r="BZ61" t="str">
        <f>IF(AND($BW61&gt;=40,$BW61&lt;=400),"PASS","FAIL")</f>
        <v>PASS</v>
      </c>
    </row>
    <row r="62" spans="1:78">
      <c r="A62" t="s">
        <v>216</v>
      </c>
      <c r="B62">
        <v>15513203.909628799</v>
      </c>
      <c r="C62">
        <v>617.97483343502097</v>
      </c>
      <c r="D62">
        <v>102.22394330033001</v>
      </c>
      <c r="E62">
        <v>593.997803214295</v>
      </c>
      <c r="F62">
        <v>2595333.5493798102</v>
      </c>
      <c r="G62">
        <v>1630481.38578821</v>
      </c>
      <c r="H62">
        <v>2.3048203873610299E-5</v>
      </c>
      <c r="I62">
        <v>6.8200503236293095E-5</v>
      </c>
      <c r="J62">
        <v>0.471717723289031</v>
      </c>
      <c r="K62">
        <v>9005.0430614720299</v>
      </c>
      <c r="L62">
        <v>4.6429387983550402E-3</v>
      </c>
      <c r="M62">
        <v>147</v>
      </c>
      <c r="N62">
        <v>2997.2683000000002</v>
      </c>
      <c r="O62">
        <v>2.8502295699234199E-6</v>
      </c>
      <c r="P62">
        <v>5.98473400508856E-3</v>
      </c>
      <c r="Q62">
        <v>1.905E-3</v>
      </c>
      <c r="R62">
        <v>0.15240000000000001</v>
      </c>
      <c r="S62">
        <v>5683082.91015625</v>
      </c>
      <c r="T62">
        <v>505.31581815094103</v>
      </c>
      <c r="U62">
        <v>572.69450704493102</v>
      </c>
      <c r="V62">
        <v>0.03</v>
      </c>
      <c r="W62">
        <v>83720.732847342297</v>
      </c>
      <c r="X62">
        <v>2.9536526159325501E-2</v>
      </c>
      <c r="Y62">
        <v>5.8186239746990402</v>
      </c>
      <c r="Z62">
        <v>5.8186239892910896</v>
      </c>
      <c r="AA62">
        <v>-1.45920484584394E-8</v>
      </c>
      <c r="AB62">
        <v>9.9778822390283107E-6</v>
      </c>
      <c r="AC62">
        <v>720.03368752092103</v>
      </c>
      <c r="AD62">
        <v>2543.53512873828</v>
      </c>
      <c r="AE62">
        <v>572.69450704493102</v>
      </c>
      <c r="AF62">
        <v>0</v>
      </c>
      <c r="AG62">
        <v>1.00680732466582E-5</v>
      </c>
      <c r="AH62">
        <v>55.838768433577201</v>
      </c>
      <c r="AI62">
        <v>0.30660236189664097</v>
      </c>
      <c r="AJ62">
        <v>26.8855621853914</v>
      </c>
      <c r="AK62">
        <v>6.3709930667380004</v>
      </c>
      <c r="AL62">
        <v>1.30194062706561</v>
      </c>
      <c r="AM62">
        <v>617.97483343323199</v>
      </c>
      <c r="AN62">
        <v>1.7889760783873501E-9</v>
      </c>
      <c r="AO62">
        <v>9.0191007629916898E-8</v>
      </c>
      <c r="AP62">
        <v>3.3306694156178902</v>
      </c>
      <c r="AQ62">
        <v>3.0152261073222901E-5</v>
      </c>
      <c r="AR62">
        <v>5.0791321271440697E-6</v>
      </c>
      <c r="AS62">
        <v>13.5632031379466</v>
      </c>
      <c r="AT62">
        <v>9.9868023711468492</v>
      </c>
      <c r="AU62">
        <v>3.0619771947886001</v>
      </c>
      <c r="AV62">
        <v>0.26869222082928901</v>
      </c>
      <c r="AW62">
        <v>6.77713900389051E-3</v>
      </c>
      <c r="AX62">
        <v>0.26869221410698602</v>
      </c>
      <c r="AY62">
        <v>6.7223030475460599E-9</v>
      </c>
      <c r="AZ62">
        <v>964852.16359160398</v>
      </c>
      <c r="BA62">
        <v>9.0529131867111896E-6</v>
      </c>
      <c r="BB62">
        <v>5709794.7526175203</v>
      </c>
      <c r="BC62">
        <v>26711.8424612749</v>
      </c>
      <c r="BD62">
        <v>0.47002380369179803</v>
      </c>
      <c r="BE62">
        <v>5520532.5</v>
      </c>
      <c r="BF62">
        <v>1.0342833327432699</v>
      </c>
      <c r="BG62">
        <v>1</v>
      </c>
      <c r="BH62">
        <v>-3.9E-2</v>
      </c>
      <c r="BI62">
        <v>4.5999999999999999E-2</v>
      </c>
      <c r="BJ62">
        <v>5625</v>
      </c>
      <c r="BK62">
        <v>1.01799499018541</v>
      </c>
      <c r="BL62">
        <v>112.659015284079</v>
      </c>
      <c r="BM62">
        <v>5.7097947526175199</v>
      </c>
      <c r="BN62">
        <v>112.659015284079</v>
      </c>
      <c r="BO62">
        <v>1.01799499018541</v>
      </c>
      <c r="BP62">
        <v>5279.3325020520997</v>
      </c>
      <c r="BQ62">
        <v>1</v>
      </c>
      <c r="BR62">
        <v>0.15240000000000001</v>
      </c>
      <c r="BS62">
        <v>61</v>
      </c>
      <c r="BT62">
        <v>148</v>
      </c>
      <c r="BU62" t="s">
        <v>304</v>
      </c>
      <c r="BV62" t="str">
        <f>"Table "&amp;TRIM(RIGHT(SUBSTITUTE($A62,"_",REPT(" ",50)),50))</f>
        <v>Table 11</v>
      </c>
      <c r="BW62">
        <f>$BR62/$Q62</f>
        <v>80</v>
      </c>
      <c r="BX62" t="str">
        <f>IF($BW62&lt;40,"outside_low",IF($BW62&lt;=100,"short_anchor",IF($BW62&lt;250,"middle",IF($BW62&lt;=400,"long","outside_high"))))</f>
        <v>short_anchor</v>
      </c>
      <c r="BY62" t="str">
        <f>IF($N62&gt;1000,"PASS","FAIL")</f>
        <v>PASS</v>
      </c>
      <c r="BZ62" t="str">
        <f>IF(AND($BW62&gt;=40,$BW62&lt;=400),"PASS","FAIL")</f>
        <v>PASS</v>
      </c>
    </row>
    <row r="63" spans="1:78">
      <c r="A63" t="s">
        <v>217</v>
      </c>
      <c r="B63">
        <v>15513203.909628799</v>
      </c>
      <c r="C63">
        <v>617.97483343502097</v>
      </c>
      <c r="D63">
        <v>102.22394330033001</v>
      </c>
      <c r="E63">
        <v>593.997803214295</v>
      </c>
      <c r="F63">
        <v>2595333.5493798102</v>
      </c>
      <c r="G63">
        <v>1630481.38578821</v>
      </c>
      <c r="H63">
        <v>2.3048203873610299E-5</v>
      </c>
      <c r="I63">
        <v>6.8200503236293095E-5</v>
      </c>
      <c r="J63">
        <v>0.471717723289031</v>
      </c>
      <c r="K63">
        <v>9005.0430614720299</v>
      </c>
      <c r="L63">
        <v>4.6429387983550402E-3</v>
      </c>
      <c r="M63">
        <v>148</v>
      </c>
      <c r="N63">
        <v>3024.3928999999998</v>
      </c>
      <c r="O63">
        <v>2.8502295699234199E-6</v>
      </c>
      <c r="P63">
        <v>5.98473400508856E-3</v>
      </c>
      <c r="Q63">
        <v>1.905E-3</v>
      </c>
      <c r="R63">
        <v>0.15240000000000001</v>
      </c>
      <c r="S63">
        <v>6946526.85546875</v>
      </c>
      <c r="T63">
        <v>464.11830000844998</v>
      </c>
      <c r="U63">
        <v>545.73775558565001</v>
      </c>
      <c r="V63">
        <v>0.03</v>
      </c>
      <c r="W63">
        <v>84478.386538268504</v>
      </c>
      <c r="X63">
        <v>2.94213008732391E-2</v>
      </c>
      <c r="Y63">
        <v>5.8300068407870196</v>
      </c>
      <c r="Z63">
        <v>5.8300068521006301</v>
      </c>
      <c r="AA63">
        <v>-1.1313605163820699E-8</v>
      </c>
      <c r="AB63">
        <v>9.8380888363249604E-6</v>
      </c>
      <c r="AC63">
        <v>749.73551125686902</v>
      </c>
      <c r="AD63">
        <v>2561.5424482436802</v>
      </c>
      <c r="AE63">
        <v>545.73775558565001</v>
      </c>
      <c r="AF63">
        <v>0</v>
      </c>
      <c r="AG63">
        <v>9.9462832464340904E-6</v>
      </c>
      <c r="AH63">
        <v>56.632204188423501</v>
      </c>
      <c r="AI63">
        <v>0.30877299702151201</v>
      </c>
      <c r="AJ63">
        <v>26.748374528079701</v>
      </c>
      <c r="AK63">
        <v>8.2388702631918704</v>
      </c>
      <c r="AL63">
        <v>1.30194062706561</v>
      </c>
      <c r="AM63">
        <v>617.97483343599697</v>
      </c>
      <c r="AN63">
        <v>-9.765699360286819E-10</v>
      </c>
      <c r="AO63">
        <v>1.08194410109127E-7</v>
      </c>
      <c r="AP63">
        <v>3.3478939492751998</v>
      </c>
      <c r="AQ63">
        <v>2.9842799290389798E-5</v>
      </c>
      <c r="AR63">
        <v>5.0272388282716102E-6</v>
      </c>
      <c r="AS63">
        <v>13.5196699801329</v>
      </c>
      <c r="AT63">
        <v>9.9707283028170401</v>
      </c>
      <c r="AU63">
        <v>3.0786916605480399</v>
      </c>
      <c r="AV63">
        <v>0.26920228872716301</v>
      </c>
      <c r="AW63">
        <v>6.6821890636876002E-3</v>
      </c>
      <c r="AX63">
        <v>0.269202281216679</v>
      </c>
      <c r="AY63">
        <v>7.5104840679962592E-9</v>
      </c>
      <c r="AZ63">
        <v>964852.16359160398</v>
      </c>
      <c r="BA63">
        <v>8.9139022151076896E-6</v>
      </c>
      <c r="BB63">
        <v>6956368.3696460398</v>
      </c>
      <c r="BC63">
        <v>9841.5141772860698</v>
      </c>
      <c r="BD63">
        <v>0.14167532037306099</v>
      </c>
      <c r="BE63">
        <v>6561547.2000000002</v>
      </c>
      <c r="BF63">
        <v>1.06017196213205</v>
      </c>
      <c r="BG63">
        <v>1</v>
      </c>
      <c r="BH63">
        <v>-0.122</v>
      </c>
      <c r="BI63">
        <v>4.5999999999999999E-2</v>
      </c>
      <c r="BJ63">
        <v>5625</v>
      </c>
      <c r="BK63">
        <v>1.0045907936416001</v>
      </c>
      <c r="BL63">
        <v>153.85653342657099</v>
      </c>
      <c r="BM63">
        <v>6.9563683696460403</v>
      </c>
      <c r="BN63">
        <v>153.85653342657099</v>
      </c>
      <c r="BO63">
        <v>1.0045907936416001</v>
      </c>
      <c r="BP63">
        <v>12963.3102039158</v>
      </c>
      <c r="BQ63">
        <v>1</v>
      </c>
      <c r="BR63">
        <v>0.15240000000000001</v>
      </c>
      <c r="BS63">
        <v>62</v>
      </c>
      <c r="BT63">
        <v>149</v>
      </c>
      <c r="BU63" t="s">
        <v>304</v>
      </c>
      <c r="BV63" t="str">
        <f>"Table "&amp;TRIM(RIGHT(SUBSTITUTE($A63,"_",REPT(" ",50)),50))</f>
        <v>Table 11</v>
      </c>
      <c r="BW63">
        <f>$BR63/$Q63</f>
        <v>80</v>
      </c>
      <c r="BX63" t="str">
        <f>IF($BW63&lt;40,"outside_low",IF($BW63&lt;=100,"short_anchor",IF($BW63&lt;250,"middle",IF($BW63&lt;=400,"long","outside_high"))))</f>
        <v>short_anchor</v>
      </c>
      <c r="BY63" t="str">
        <f>IF($N63&gt;1000,"PASS","FAIL")</f>
        <v>PASS</v>
      </c>
      <c r="BZ63" t="str">
        <f>IF(AND($BW63&gt;=40,$BW63&lt;=400),"PASS","FAIL")</f>
        <v>PASS</v>
      </c>
    </row>
    <row r="64" spans="1:78">
      <c r="A64" t="s">
        <v>218</v>
      </c>
      <c r="B64">
        <v>15513203.909628799</v>
      </c>
      <c r="C64">
        <v>617.97483343502097</v>
      </c>
      <c r="D64">
        <v>102.22394330033001</v>
      </c>
      <c r="E64">
        <v>593.997803214295</v>
      </c>
      <c r="F64">
        <v>2595333.5493798102</v>
      </c>
      <c r="G64">
        <v>1630481.38578821</v>
      </c>
      <c r="H64">
        <v>2.3048203873610299E-5</v>
      </c>
      <c r="I64">
        <v>6.8200503236293095E-5</v>
      </c>
      <c r="J64">
        <v>0.471717723289031</v>
      </c>
      <c r="K64">
        <v>9005.0430614720299</v>
      </c>
      <c r="L64">
        <v>4.6429387983550402E-3</v>
      </c>
      <c r="M64">
        <v>149</v>
      </c>
      <c r="N64">
        <v>3024.3928999999998</v>
      </c>
      <c r="O64">
        <v>2.8502295699234199E-6</v>
      </c>
      <c r="P64">
        <v>5.98473400508856E-3</v>
      </c>
      <c r="Q64">
        <v>1.905E-3</v>
      </c>
      <c r="R64">
        <v>0.15240000000000001</v>
      </c>
      <c r="S64">
        <v>6908508.30078125</v>
      </c>
      <c r="T64">
        <v>465.232089236273</v>
      </c>
      <c r="U64">
        <v>546.40483902797905</v>
      </c>
      <c r="V64">
        <v>0.03</v>
      </c>
      <c r="W64">
        <v>84478.386538268504</v>
      </c>
      <c r="X64">
        <v>2.94213008732391E-2</v>
      </c>
      <c r="Y64">
        <v>5.8300068407870196</v>
      </c>
      <c r="Z64">
        <v>5.8300068521006301</v>
      </c>
      <c r="AA64">
        <v>-1.1313605163820699E-8</v>
      </c>
      <c r="AB64">
        <v>9.8380888363249604E-6</v>
      </c>
      <c r="AC64">
        <v>748.84348527614895</v>
      </c>
      <c r="AD64">
        <v>2561.5424482436802</v>
      </c>
      <c r="AE64">
        <v>546.40483902797905</v>
      </c>
      <c r="AF64">
        <v>0</v>
      </c>
      <c r="AG64">
        <v>9.9464410513112305E-6</v>
      </c>
      <c r="AH64">
        <v>56.632204188423501</v>
      </c>
      <c r="AI64">
        <v>0.30877299702151201</v>
      </c>
      <c r="AJ64">
        <v>26.748798910117799</v>
      </c>
      <c r="AK64">
        <v>8.1830502945749206</v>
      </c>
      <c r="AL64">
        <v>1.30194062706561</v>
      </c>
      <c r="AM64">
        <v>617.97483343597901</v>
      </c>
      <c r="AN64">
        <v>-9.5872110250638798E-10</v>
      </c>
      <c r="AO64">
        <v>1.0835221498627E-7</v>
      </c>
      <c r="AP64">
        <v>3.3479388037195101</v>
      </c>
      <c r="AQ64">
        <v>2.9841999650199099E-5</v>
      </c>
      <c r="AR64">
        <v>5.0273966331487503E-6</v>
      </c>
      <c r="AS64">
        <v>13.520094362170999</v>
      </c>
      <c r="AT64">
        <v>9.9708852502048995</v>
      </c>
      <c r="AU64">
        <v>3.0787401216633601</v>
      </c>
      <c r="AV64">
        <v>0.269198682056146</v>
      </c>
      <c r="AW64">
        <v>6.6821890636876002E-3</v>
      </c>
      <c r="AX64">
        <v>0.26919867454420399</v>
      </c>
      <c r="AY64">
        <v>7.5119412912272293E-9</v>
      </c>
      <c r="AZ64">
        <v>964852.16359160398</v>
      </c>
      <c r="BA64">
        <v>8.9135439444248798E-6</v>
      </c>
      <c r="BB64">
        <v>6966794.4588610101</v>
      </c>
      <c r="BC64">
        <v>58286.158079762899</v>
      </c>
      <c r="BD64">
        <v>0.84368658966757903</v>
      </c>
      <c r="BE64">
        <v>6593093.0999999996</v>
      </c>
      <c r="BF64">
        <v>1.05668073439779</v>
      </c>
      <c r="BG64">
        <v>1</v>
      </c>
      <c r="BH64">
        <v>-0.113</v>
      </c>
      <c r="BI64">
        <v>4.5999999999999999E-2</v>
      </c>
      <c r="BJ64">
        <v>5625</v>
      </c>
      <c r="BK64">
        <v>1.00480146535218</v>
      </c>
      <c r="BL64">
        <v>152.742744198748</v>
      </c>
      <c r="BM64">
        <v>6.9667944588610098</v>
      </c>
      <c r="BN64">
        <v>152.742744198748</v>
      </c>
      <c r="BO64">
        <v>1.00480146535218</v>
      </c>
      <c r="BP64">
        <v>12710.9263694642</v>
      </c>
      <c r="BQ64">
        <v>1</v>
      </c>
      <c r="BR64">
        <v>0.15240000000000001</v>
      </c>
      <c r="BS64">
        <v>63</v>
      </c>
      <c r="BT64">
        <v>150</v>
      </c>
      <c r="BU64" t="s">
        <v>304</v>
      </c>
      <c r="BV64" t="str">
        <f>"Table "&amp;TRIM(RIGHT(SUBSTITUTE($A64,"_",REPT(" ",50)),50))</f>
        <v>Table 11</v>
      </c>
      <c r="BW64">
        <f>$BR64/$Q64</f>
        <v>80</v>
      </c>
      <c r="BX64" t="str">
        <f>IF($BW64&lt;40,"outside_low",IF($BW64&lt;=100,"short_anchor",IF($BW64&lt;250,"middle",IF($BW64&lt;=400,"long","outside_high"))))</f>
        <v>short_anchor</v>
      </c>
      <c r="BY64" t="str">
        <f>IF($N64&gt;1000,"PASS","FAIL")</f>
        <v>PASS</v>
      </c>
      <c r="BZ64" t="str">
        <f>IF(AND($BW64&gt;=40,$BW64&lt;=400),"PASS","FAIL")</f>
        <v>PASS</v>
      </c>
    </row>
    <row r="65" spans="1:78">
      <c r="A65" t="s">
        <v>219</v>
      </c>
      <c r="B65">
        <v>15513203.909628799</v>
      </c>
      <c r="C65">
        <v>617.97483343502097</v>
      </c>
      <c r="D65">
        <v>102.22394330033001</v>
      </c>
      <c r="E65">
        <v>593.997803214295</v>
      </c>
      <c r="F65">
        <v>2595333.5493798102</v>
      </c>
      <c r="G65">
        <v>1630481.38578821</v>
      </c>
      <c r="H65">
        <v>2.3048203873610299E-5</v>
      </c>
      <c r="I65">
        <v>6.8200503236293095E-5</v>
      </c>
      <c r="J65">
        <v>0.471717723289031</v>
      </c>
      <c r="K65">
        <v>9005.0430614720299</v>
      </c>
      <c r="L65">
        <v>4.6429387983550402E-3</v>
      </c>
      <c r="M65">
        <v>150</v>
      </c>
      <c r="N65">
        <v>3553.3226</v>
      </c>
      <c r="O65">
        <v>2.8502295699234199E-6</v>
      </c>
      <c r="P65">
        <v>5.98473400508856E-3</v>
      </c>
      <c r="Q65">
        <v>1.905E-3</v>
      </c>
      <c r="R65">
        <v>0.15240000000000001</v>
      </c>
      <c r="S65">
        <v>5104583.49609375</v>
      </c>
      <c r="T65">
        <v>548.629770529251</v>
      </c>
      <c r="U65">
        <v>599.67907839964596</v>
      </c>
      <c r="V65">
        <v>0.03</v>
      </c>
      <c r="W65">
        <v>99252.633511328895</v>
      </c>
      <c r="X65">
        <v>2.74681994354301E-2</v>
      </c>
      <c r="Y65">
        <v>6.0337165478324701</v>
      </c>
      <c r="Z65">
        <v>6.0337165682810801</v>
      </c>
      <c r="AA65">
        <v>-2.0448607251921701E-8</v>
      </c>
      <c r="AB65">
        <v>7.6339544209671002E-6</v>
      </c>
      <c r="AC65">
        <v>686.23477292498603</v>
      </c>
      <c r="AD65">
        <v>2907.91793292377</v>
      </c>
      <c r="AE65">
        <v>599.67907839964596</v>
      </c>
      <c r="AF65">
        <v>0</v>
      </c>
      <c r="AG65">
        <v>7.7009586794490098E-6</v>
      </c>
      <c r="AH65">
        <v>72.983492575270404</v>
      </c>
      <c r="AI65">
        <v>0.35052572947097099</v>
      </c>
      <c r="AJ65">
        <v>23.510504823805501</v>
      </c>
      <c r="AK65">
        <v>4.4567348738683696</v>
      </c>
      <c r="AL65">
        <v>1.30194062706561</v>
      </c>
      <c r="AM65">
        <v>617.97483340055601</v>
      </c>
      <c r="AN65">
        <v>3.4464846976334203E-8</v>
      </c>
      <c r="AO65">
        <v>6.7004258481912995E-8</v>
      </c>
      <c r="AP65">
        <v>3.5530418664943202</v>
      </c>
      <c r="AQ65">
        <v>2.64961206767164E-5</v>
      </c>
      <c r="AR65">
        <v>3.8839814689654597E-6</v>
      </c>
      <c r="AS65">
        <v>11.857532141468001</v>
      </c>
      <c r="AT65">
        <v>9.3148164470524897</v>
      </c>
      <c r="AU65">
        <v>3.26508282999127</v>
      </c>
      <c r="AV65">
        <v>0.287959036503042</v>
      </c>
      <c r="AW65">
        <v>5.1851053180295799E-3</v>
      </c>
      <c r="AX65">
        <v>0.28795902333395801</v>
      </c>
      <c r="AY65">
        <v>1.31690847116062E-8</v>
      </c>
      <c r="AZ65">
        <v>964852.16359160398</v>
      </c>
      <c r="BA65">
        <v>7.45730606964655E-6</v>
      </c>
      <c r="BB65">
        <v>5149511.7215232598</v>
      </c>
      <c r="BC65">
        <v>44928.225429507002</v>
      </c>
      <c r="BD65">
        <v>0.88015457997480095</v>
      </c>
      <c r="BE65">
        <v>4700339.0999999996</v>
      </c>
      <c r="BF65">
        <v>1.09556174819882</v>
      </c>
      <c r="BG65">
        <v>1</v>
      </c>
      <c r="BH65">
        <v>3.0000000000000001E-3</v>
      </c>
      <c r="BI65">
        <v>4.5999999999999999E-2</v>
      </c>
      <c r="BJ65">
        <v>5625</v>
      </c>
      <c r="BK65">
        <v>1.0394704044126499</v>
      </c>
      <c r="BL65">
        <v>69.345062905769495</v>
      </c>
      <c r="BM65">
        <v>5.1495117215232602</v>
      </c>
      <c r="BN65">
        <v>69.345062905769495</v>
      </c>
      <c r="BO65">
        <v>1.0394704044126499</v>
      </c>
      <c r="BP65">
        <v>861.13271694357002</v>
      </c>
      <c r="BQ65">
        <v>1</v>
      </c>
      <c r="BR65">
        <v>0.15240000000000001</v>
      </c>
      <c r="BS65">
        <v>64</v>
      </c>
      <c r="BT65">
        <v>151</v>
      </c>
      <c r="BU65" t="s">
        <v>304</v>
      </c>
      <c r="BV65" t="str">
        <f>"Table "&amp;TRIM(RIGHT(SUBSTITUTE($A65,"_",REPT(" ",50)),50))</f>
        <v>Table 11</v>
      </c>
      <c r="BW65">
        <f>$BR65/$Q65</f>
        <v>80</v>
      </c>
      <c r="BX65" t="str">
        <f>IF($BW65&lt;40,"outside_low",IF($BW65&lt;=100,"short_anchor",IF($BW65&lt;250,"middle",IF($BW65&lt;=400,"long","outside_high"))))</f>
        <v>short_anchor</v>
      </c>
      <c r="BY65" t="str">
        <f>IF($N65&gt;1000,"PASS","FAIL")</f>
        <v>PASS</v>
      </c>
      <c r="BZ65" t="str">
        <f>IF(AND($BW65&gt;=40,$BW65&lt;=400),"PASS","FAIL")</f>
        <v>PASS</v>
      </c>
    </row>
    <row r="66" spans="1:78">
      <c r="A66" t="s">
        <v>220</v>
      </c>
      <c r="B66">
        <v>15513203.909628799</v>
      </c>
      <c r="C66">
        <v>617.97483343502097</v>
      </c>
      <c r="D66">
        <v>102.22394330033001</v>
      </c>
      <c r="E66">
        <v>593.997803214295</v>
      </c>
      <c r="F66">
        <v>2595333.5493798102</v>
      </c>
      <c r="G66">
        <v>1630481.38578821</v>
      </c>
      <c r="H66">
        <v>2.3048203873610299E-5</v>
      </c>
      <c r="I66">
        <v>6.8200503236293095E-5</v>
      </c>
      <c r="J66">
        <v>0.471717723289031</v>
      </c>
      <c r="K66">
        <v>9005.0430614720299</v>
      </c>
      <c r="L66">
        <v>4.6429387983550402E-3</v>
      </c>
      <c r="M66">
        <v>151</v>
      </c>
      <c r="N66">
        <v>3675.3833</v>
      </c>
      <c r="O66">
        <v>2.8502295699234199E-6</v>
      </c>
      <c r="P66">
        <v>5.98473400508856E-3</v>
      </c>
      <c r="Q66">
        <v>1.905E-3</v>
      </c>
      <c r="R66">
        <v>0.15240000000000001</v>
      </c>
      <c r="S66">
        <v>5415797.75390625</v>
      </c>
      <c r="T66">
        <v>541.45534065612401</v>
      </c>
      <c r="U66">
        <v>593.81827605125295</v>
      </c>
      <c r="V66">
        <v>0.03</v>
      </c>
      <c r="W66">
        <v>102662.075120497</v>
      </c>
      <c r="X66">
        <v>2.7083591457044299E-2</v>
      </c>
      <c r="Y66">
        <v>6.0764072462979897</v>
      </c>
      <c r="Z66">
        <v>6.0764072546537502</v>
      </c>
      <c r="AA66">
        <v>-8.35576496882595E-9</v>
      </c>
      <c r="AB66">
        <v>7.23664888240171E-6</v>
      </c>
      <c r="AC66">
        <v>689.84739510200302</v>
      </c>
      <c r="AD66">
        <v>2986.67644160177</v>
      </c>
      <c r="AE66">
        <v>593.81827605125295</v>
      </c>
      <c r="AF66">
        <v>0</v>
      </c>
      <c r="AG66">
        <v>7.3038378837902696E-6</v>
      </c>
      <c r="AH66">
        <v>76.990422619163397</v>
      </c>
      <c r="AI66">
        <v>0.36001942370279</v>
      </c>
      <c r="AJ66">
        <v>22.9020478118582</v>
      </c>
      <c r="AK66">
        <v>4.73527105157482</v>
      </c>
      <c r="AL66">
        <v>1.30194062706561</v>
      </c>
      <c r="AM66">
        <v>617.974833419996</v>
      </c>
      <c r="AN66">
        <v>1.5024284039100199E-8</v>
      </c>
      <c r="AO66">
        <v>6.7189001388556205E-8</v>
      </c>
      <c r="AP66">
        <v>3.5991711788816998</v>
      </c>
      <c r="AQ66">
        <v>2.5821290163292999E-5</v>
      </c>
      <c r="AR66">
        <v>3.68551344258941E-6</v>
      </c>
      <c r="AS66">
        <v>11.5563634374682</v>
      </c>
      <c r="AT66">
        <v>9.1861811610959396</v>
      </c>
      <c r="AU66">
        <v>3.30720364764719</v>
      </c>
      <c r="AV66">
        <v>0.29196753123451002</v>
      </c>
      <c r="AW66">
        <v>4.9152489700220597E-3</v>
      </c>
      <c r="AX66">
        <v>0.29196752270936799</v>
      </c>
      <c r="AY66">
        <v>8.5251416481746406E-9</v>
      </c>
      <c r="AZ66">
        <v>964852.16359160398</v>
      </c>
      <c r="BA66">
        <v>7.1742323107054704E-6</v>
      </c>
      <c r="BB66">
        <v>5367454.4140346302</v>
      </c>
      <c r="BC66">
        <v>-48343.339871618002</v>
      </c>
      <c r="BD66">
        <v>-0.89263562024171605</v>
      </c>
      <c r="BE66">
        <v>5078889.9000000004</v>
      </c>
      <c r="BF66">
        <v>1.0568164539331</v>
      </c>
      <c r="BG66">
        <v>1</v>
      </c>
      <c r="BH66">
        <v>-1.4E-2</v>
      </c>
      <c r="BI66">
        <v>4.5999999999999999E-2</v>
      </c>
      <c r="BJ66">
        <v>5625</v>
      </c>
      <c r="BK66">
        <v>1.0362900613416499</v>
      </c>
      <c r="BL66">
        <v>76.519492778896506</v>
      </c>
      <c r="BM66">
        <v>5.3674544140346301</v>
      </c>
      <c r="BN66">
        <v>76.519492778896506</v>
      </c>
      <c r="BO66">
        <v>1.0362900613416499</v>
      </c>
      <c r="BP66">
        <v>1333.6733528278701</v>
      </c>
      <c r="BQ66">
        <v>1</v>
      </c>
      <c r="BR66">
        <v>0.15240000000000001</v>
      </c>
      <c r="BS66">
        <v>65</v>
      </c>
      <c r="BT66">
        <v>152</v>
      </c>
      <c r="BU66" t="s">
        <v>304</v>
      </c>
      <c r="BV66" t="str">
        <f>"Table "&amp;TRIM(RIGHT(SUBSTITUTE($A66,"_",REPT(" ",50)),50))</f>
        <v>Table 11</v>
      </c>
      <c r="BW66">
        <f>$BR66/$Q66</f>
        <v>80</v>
      </c>
      <c r="BX66" t="str">
        <f>IF($BW66&lt;40,"outside_low",IF($BW66&lt;=100,"short_anchor",IF($BW66&lt;250,"middle",IF($BW66&lt;=400,"long","outside_high"))))</f>
        <v>short_anchor</v>
      </c>
      <c r="BY66" t="str">
        <f>IF($N66&gt;1000,"PASS","FAIL")</f>
        <v>PASS</v>
      </c>
      <c r="BZ66" t="str">
        <f>IF(AND($BW66&gt;=40,$BW66&lt;=400),"PASS","FAIL")</f>
        <v>PASS</v>
      </c>
    </row>
    <row r="67" spans="1:78">
      <c r="A67" t="s">
        <v>221</v>
      </c>
      <c r="B67">
        <v>15513203.909628799</v>
      </c>
      <c r="C67">
        <v>617.97483343502097</v>
      </c>
      <c r="D67">
        <v>102.22394330033001</v>
      </c>
      <c r="E67">
        <v>593.997803214295</v>
      </c>
      <c r="F67">
        <v>2595333.5493798102</v>
      </c>
      <c r="G67">
        <v>1630481.38578821</v>
      </c>
      <c r="H67">
        <v>2.3048203873610299E-5</v>
      </c>
      <c r="I67">
        <v>6.8200503236293095E-5</v>
      </c>
      <c r="J67">
        <v>0.471717723289031</v>
      </c>
      <c r="K67">
        <v>9005.0430614720299</v>
      </c>
      <c r="L67">
        <v>4.6429387983550402E-3</v>
      </c>
      <c r="M67">
        <v>152</v>
      </c>
      <c r="N67">
        <v>3743.1948000000002</v>
      </c>
      <c r="O67">
        <v>2.8502295699234199E-6</v>
      </c>
      <c r="P67">
        <v>5.98473400508856E-3</v>
      </c>
      <c r="Q67">
        <v>1.905E-3</v>
      </c>
      <c r="R67">
        <v>0.15240000000000001</v>
      </c>
      <c r="S67">
        <v>5598729.98046875</v>
      </c>
      <c r="T67">
        <v>536.98317199257201</v>
      </c>
      <c r="U67">
        <v>590.13415218717705</v>
      </c>
      <c r="V67">
        <v>0.03</v>
      </c>
      <c r="W67">
        <v>104556.20934781199</v>
      </c>
      <c r="X67">
        <v>2.6878779410128499E-2</v>
      </c>
      <c r="Y67">
        <v>6.0995139434554897</v>
      </c>
      <c r="Z67">
        <v>6.0995139494937103</v>
      </c>
      <c r="AA67">
        <v>-6.0382214783771798E-9</v>
      </c>
      <c r="AB67">
        <v>7.0299887495018698E-6</v>
      </c>
      <c r="AC67">
        <v>692.00159872714801</v>
      </c>
      <c r="AD67">
        <v>3030.2580390165499</v>
      </c>
      <c r="AE67">
        <v>590.13415313858502</v>
      </c>
      <c r="AF67">
        <v>9.5140796929627001E-7</v>
      </c>
      <c r="AG67">
        <v>7.0989086541482301E-6</v>
      </c>
      <c r="AH67">
        <v>79.253705184390796</v>
      </c>
      <c r="AI67">
        <v>0.36527282891494101</v>
      </c>
      <c r="AJ67">
        <v>22.584278233571499</v>
      </c>
      <c r="AK67">
        <v>4.9009692430037299</v>
      </c>
      <c r="AL67">
        <v>1.30194062706561</v>
      </c>
      <c r="AM67">
        <v>617.97483337405595</v>
      </c>
      <c r="AN67">
        <v>6.0964339354541206E-8</v>
      </c>
      <c r="AO67">
        <v>6.8919904646366296E-8</v>
      </c>
      <c r="AP67">
        <v>3.62498398168497</v>
      </c>
      <c r="AQ67">
        <v>2.5454862727714301E-5</v>
      </c>
      <c r="AR67">
        <v>3.5839142793972999E-6</v>
      </c>
      <c r="AS67">
        <v>11.4017690879684</v>
      </c>
      <c r="AT67">
        <v>9.1188426325795593</v>
      </c>
      <c r="AU67">
        <v>3.3308654448324999</v>
      </c>
      <c r="AV67">
        <v>0.29411853685246703</v>
      </c>
      <c r="AW67">
        <v>4.7748820651345204E-3</v>
      </c>
      <c r="AX67">
        <v>0.29411853313542102</v>
      </c>
      <c r="AY67">
        <v>3.7170469480152202E-9</v>
      </c>
      <c r="AZ67">
        <v>964852.16359160398</v>
      </c>
      <c r="BA67">
        <v>7.0220621267083102E-6</v>
      </c>
      <c r="BB67">
        <v>5625039.9895828199</v>
      </c>
      <c r="BC67">
        <v>26310.009114071701</v>
      </c>
      <c r="BD67">
        <v>0.46992816595646802</v>
      </c>
      <c r="BE67">
        <v>5552078.4000000004</v>
      </c>
      <c r="BF67">
        <v>1.0131413111138401</v>
      </c>
      <c r="BG67">
        <v>1</v>
      </c>
      <c r="BH67">
        <v>-3.0000000000000001E-3</v>
      </c>
      <c r="BI67">
        <v>4.5999999999999999E-2</v>
      </c>
      <c r="BJ67">
        <v>5625</v>
      </c>
      <c r="BK67">
        <v>1.0341211865333599</v>
      </c>
      <c r="BL67">
        <v>80.991661442448503</v>
      </c>
      <c r="BM67">
        <v>5.6250399895828203</v>
      </c>
      <c r="BN67">
        <v>80.991661442448503</v>
      </c>
      <c r="BO67">
        <v>1.0341211865333599</v>
      </c>
      <c r="BP67">
        <v>1680.31630781232</v>
      </c>
      <c r="BQ67">
        <v>1</v>
      </c>
      <c r="BR67">
        <v>0.15240000000000001</v>
      </c>
      <c r="BS67">
        <v>66</v>
      </c>
      <c r="BT67">
        <v>153</v>
      </c>
      <c r="BU67" t="s">
        <v>304</v>
      </c>
      <c r="BV67" t="str">
        <f>"Table "&amp;TRIM(RIGHT(SUBSTITUTE($A67,"_",REPT(" ",50)),50))</f>
        <v>Table 11</v>
      </c>
      <c r="BW67">
        <f>$BR67/$Q67</f>
        <v>80</v>
      </c>
      <c r="BX67" t="str">
        <f>IF($BW67&lt;40,"outside_low",IF($BW67&lt;=100,"short_anchor",IF($BW67&lt;250,"middle",IF($BW67&lt;=400,"long","outside_high"))))</f>
        <v>short_anchor</v>
      </c>
      <c r="BY67" t="str">
        <f>IF($N67&gt;1000,"PASS","FAIL")</f>
        <v>PASS</v>
      </c>
      <c r="BZ67" t="str">
        <f>IF(AND($BW67&gt;=40,$BW67&lt;=400),"PASS","FAIL")</f>
        <v>PASS</v>
      </c>
    </row>
    <row r="68" spans="1:78">
      <c r="A68" t="s">
        <v>222</v>
      </c>
      <c r="B68">
        <v>15513203.909628799</v>
      </c>
      <c r="C68">
        <v>617.97483343502097</v>
      </c>
      <c r="D68">
        <v>102.22394330033001</v>
      </c>
      <c r="E68">
        <v>593.997803214295</v>
      </c>
      <c r="F68">
        <v>2595333.5493798102</v>
      </c>
      <c r="G68">
        <v>1630481.38578821</v>
      </c>
      <c r="H68">
        <v>2.3048203873610299E-5</v>
      </c>
      <c r="I68">
        <v>6.8200503236293095E-5</v>
      </c>
      <c r="J68">
        <v>0.471717723289031</v>
      </c>
      <c r="K68">
        <v>9005.0430614720299</v>
      </c>
      <c r="L68">
        <v>4.6429387983550402E-3</v>
      </c>
      <c r="M68">
        <v>153</v>
      </c>
      <c r="N68">
        <v>3811.0063</v>
      </c>
      <c r="O68">
        <v>2.8502295699234199E-6</v>
      </c>
      <c r="P68">
        <v>5.98473400508856E-3</v>
      </c>
      <c r="Q68">
        <v>1.905E-3</v>
      </c>
      <c r="R68">
        <v>0.15240000000000001</v>
      </c>
      <c r="S68">
        <v>5531158.69140625</v>
      </c>
      <c r="T68">
        <v>541.45534065612401</v>
      </c>
      <c r="U68">
        <v>593.030506889751</v>
      </c>
      <c r="V68">
        <v>0.03</v>
      </c>
      <c r="W68">
        <v>106450.343575128</v>
      </c>
      <c r="X68">
        <v>2.66799122456483E-2</v>
      </c>
      <c r="Y68">
        <v>6.1222040681412597</v>
      </c>
      <c r="Z68">
        <v>6.1222040707463101</v>
      </c>
      <c r="AA68">
        <v>-2.6050521739762202E-9</v>
      </c>
      <c r="AB68">
        <v>6.8325890505261298E-6</v>
      </c>
      <c r="AC68">
        <v>688.70923675233598</v>
      </c>
      <c r="AD68">
        <v>3073.7198141315598</v>
      </c>
      <c r="AE68">
        <v>593.03050780903504</v>
      </c>
      <c r="AF68">
        <v>9.1928495749016303E-7</v>
      </c>
      <c r="AG68">
        <v>6.8987392644898796E-6</v>
      </c>
      <c r="AH68">
        <v>81.543416658389901</v>
      </c>
      <c r="AI68">
        <v>0.370511790528611</v>
      </c>
      <c r="AJ68">
        <v>22.2622483672335</v>
      </c>
      <c r="AK68">
        <v>4.7065930631784596</v>
      </c>
      <c r="AL68">
        <v>1.30194062706561</v>
      </c>
      <c r="AM68">
        <v>617.97483341851796</v>
      </c>
      <c r="AN68">
        <v>1.65020992426435E-8</v>
      </c>
      <c r="AO68">
        <v>6.6150213963749004E-8</v>
      </c>
      <c r="AP68">
        <v>3.6482476613784698</v>
      </c>
      <c r="AQ68">
        <v>2.5131263137505699E-5</v>
      </c>
      <c r="AR68">
        <v>3.4824447392268101E-6</v>
      </c>
      <c r="AS68">
        <v>11.237857634204399</v>
      </c>
      <c r="AT68">
        <v>9.0464411217978693</v>
      </c>
      <c r="AU68">
        <v>3.35181309794898</v>
      </c>
      <c r="AV68">
        <v>0.29643456342948299</v>
      </c>
      <c r="AW68">
        <v>4.6408049967510204E-3</v>
      </c>
      <c r="AX68">
        <v>0.296434560234414</v>
      </c>
      <c r="AY68">
        <v>3.1950687096049502E-9</v>
      </c>
      <c r="AZ68">
        <v>964852.16359160398</v>
      </c>
      <c r="BA68">
        <v>6.8885847316653996E-6</v>
      </c>
      <c r="BB68">
        <v>5503600.0053947698</v>
      </c>
      <c r="BC68">
        <v>-27558.6860114792</v>
      </c>
      <c r="BD68">
        <v>-0.49824435618340002</v>
      </c>
      <c r="BE68">
        <v>5236619.4000000004</v>
      </c>
      <c r="BF68">
        <v>1.05098338928255</v>
      </c>
      <c r="BG68">
        <v>1</v>
      </c>
      <c r="BH68">
        <v>-1.7000000000000001E-2</v>
      </c>
      <c r="BI68">
        <v>4.5999999999999999E-2</v>
      </c>
      <c r="BJ68">
        <v>5625</v>
      </c>
      <c r="BK68">
        <v>1.0362900613416499</v>
      </c>
      <c r="BL68">
        <v>76.519492778896506</v>
      </c>
      <c r="BM68">
        <v>5.5036000053947696</v>
      </c>
      <c r="BN68">
        <v>76.519492778896506</v>
      </c>
      <c r="BO68">
        <v>1.0362900613416499</v>
      </c>
      <c r="BP68">
        <v>1333.6733528278701</v>
      </c>
      <c r="BQ68">
        <v>1</v>
      </c>
      <c r="BR68">
        <v>0.15240000000000001</v>
      </c>
      <c r="BS68">
        <v>67</v>
      </c>
      <c r="BT68">
        <v>154</v>
      </c>
      <c r="BU68" t="s">
        <v>304</v>
      </c>
      <c r="BV68" t="str">
        <f>"Table "&amp;TRIM(RIGHT(SUBSTITUTE($A68,"_",REPT(" ",50)),50))</f>
        <v>Table 11</v>
      </c>
      <c r="BW68">
        <f>$BR68/$Q68</f>
        <v>80</v>
      </c>
      <c r="BX68" t="str">
        <f>IF($BW68&lt;40,"outside_low",IF($BW68&lt;=100,"short_anchor",IF($BW68&lt;250,"middle",IF($BW68&lt;=400,"long","outside_high"))))</f>
        <v>short_anchor</v>
      </c>
      <c r="BY68" t="str">
        <f>IF($N68&gt;1000,"PASS","FAIL")</f>
        <v>PASS</v>
      </c>
      <c r="BZ68" t="str">
        <f>IF(AND($BW68&gt;=40,$BW68&lt;=400),"PASS","FAIL")</f>
        <v>PASS</v>
      </c>
    </row>
    <row r="69" spans="1:78">
      <c r="A69" t="s">
        <v>223</v>
      </c>
      <c r="B69">
        <v>15513203.909628799</v>
      </c>
      <c r="C69">
        <v>617.97483343502097</v>
      </c>
      <c r="D69">
        <v>102.22394330033001</v>
      </c>
      <c r="E69">
        <v>593.997803214295</v>
      </c>
      <c r="F69">
        <v>2595333.5493798102</v>
      </c>
      <c r="G69">
        <v>1630481.38578821</v>
      </c>
      <c r="H69">
        <v>2.3048203873610299E-5</v>
      </c>
      <c r="I69">
        <v>6.8200503236293095E-5</v>
      </c>
      <c r="J69">
        <v>0.471717723289031</v>
      </c>
      <c r="K69">
        <v>9005.0430614720299</v>
      </c>
      <c r="L69">
        <v>4.6429387983550402E-3</v>
      </c>
      <c r="M69">
        <v>154</v>
      </c>
      <c r="N69">
        <v>2102.1565000000001</v>
      </c>
      <c r="O69">
        <v>2.8502295699234199E-6</v>
      </c>
      <c r="P69">
        <v>5.98473400508856E-3</v>
      </c>
      <c r="Q69">
        <v>1.905E-3</v>
      </c>
      <c r="R69">
        <v>0.69596000000000002</v>
      </c>
      <c r="S69">
        <v>3550235.95703125</v>
      </c>
      <c r="T69">
        <v>299.28719429629098</v>
      </c>
      <c r="U69">
        <v>573.35351538122904</v>
      </c>
      <c r="V69">
        <v>0.03</v>
      </c>
      <c r="W69">
        <v>58718.161046778601</v>
      </c>
      <c r="X69">
        <v>3.4659226492567398E-2</v>
      </c>
      <c r="Y69">
        <v>5.3714379963301004</v>
      </c>
      <c r="Z69">
        <v>5.3714380084148798</v>
      </c>
      <c r="AA69">
        <v>-1.2084776734866399E-8</v>
      </c>
      <c r="AB69">
        <v>1.7286221546981498E-5</v>
      </c>
      <c r="AC69">
        <v>719.48435328963001</v>
      </c>
      <c r="AD69">
        <v>1932.4438764511699</v>
      </c>
      <c r="AE69">
        <v>573.35351657607202</v>
      </c>
      <c r="AF69">
        <v>1.1948433211728101E-6</v>
      </c>
      <c r="AG69">
        <v>1.73733421145223E-5</v>
      </c>
      <c r="AH69">
        <v>32.231025981492998</v>
      </c>
      <c r="AI69">
        <v>0.23294030817908701</v>
      </c>
      <c r="AJ69">
        <v>35.247253105196599</v>
      </c>
      <c r="AK69">
        <v>5.9733765215393202</v>
      </c>
      <c r="AL69">
        <v>1.30194062706561</v>
      </c>
      <c r="AM69">
        <v>617.97483342566898</v>
      </c>
      <c r="AN69">
        <v>9.3518792709801296E-9</v>
      </c>
      <c r="AO69">
        <v>8.7120567540825594E-8</v>
      </c>
      <c r="AP69">
        <v>2.8737614481915799</v>
      </c>
      <c r="AQ69">
        <v>4.0502470485775298E-5</v>
      </c>
      <c r="AR69">
        <v>8.7302313410315697E-6</v>
      </c>
      <c r="AS69">
        <v>17.712002199452499</v>
      </c>
      <c r="AT69">
        <v>11.3212125007247</v>
      </c>
      <c r="AU69">
        <v>2.6371667288797398</v>
      </c>
      <c r="AV69">
        <v>0.23659471931184101</v>
      </c>
      <c r="AW69">
        <v>1.17410812705031E-2</v>
      </c>
      <c r="AX69">
        <v>0.23659471889966899</v>
      </c>
      <c r="AY69">
        <v>4.1217126933723602E-10</v>
      </c>
      <c r="AZ69">
        <v>964852.16359160398</v>
      </c>
      <c r="BA69">
        <v>1.4093887476729499E-5</v>
      </c>
      <c r="BB69">
        <v>3542709.2394873602</v>
      </c>
      <c r="BC69">
        <v>-7526.7175438897702</v>
      </c>
      <c r="BD69">
        <v>-0.212006121141979</v>
      </c>
      <c r="BE69">
        <v>2082029.4</v>
      </c>
      <c r="BF69">
        <v>1.70156542433424</v>
      </c>
      <c r="BG69">
        <v>1</v>
      </c>
      <c r="BH69">
        <v>-6.0999999999999999E-2</v>
      </c>
      <c r="BI69">
        <v>4.5999999999999999E-2</v>
      </c>
      <c r="BJ69">
        <v>5625</v>
      </c>
      <c r="BK69">
        <v>1.00000004637316</v>
      </c>
      <c r="BL69">
        <v>318.68763913872999</v>
      </c>
      <c r="BM69">
        <v>3.5427092394873601</v>
      </c>
      <c r="BN69">
        <v>318.68763913872999</v>
      </c>
      <c r="BO69">
        <v>1.00000004637316</v>
      </c>
      <c r="BP69">
        <v>77666.800208718705</v>
      </c>
      <c r="BQ69">
        <v>1</v>
      </c>
      <c r="BR69">
        <v>0.69596000000000002</v>
      </c>
      <c r="BS69">
        <v>68</v>
      </c>
      <c r="BT69">
        <v>155</v>
      </c>
      <c r="BU69" t="s">
        <v>304</v>
      </c>
      <c r="BV69" t="str">
        <f>"Table "&amp;TRIM(RIGHT(SUBSTITUTE($A69,"_",REPT(" ",50)),50))</f>
        <v>Table 11</v>
      </c>
      <c r="BW69">
        <f>$BR69/$Q69</f>
        <v>365.33333333333337</v>
      </c>
      <c r="BX69" t="str">
        <f>IF($BW69&lt;40,"outside_low",IF($BW69&lt;=100,"short_anchor",IF($BW69&lt;250,"middle",IF($BW69&lt;=400,"long","outside_high"))))</f>
        <v>long</v>
      </c>
      <c r="BY69" t="str">
        <f>IF($N69&gt;1000,"PASS","FAIL")</f>
        <v>PASS</v>
      </c>
      <c r="BZ69" t="str">
        <f>IF(AND($BW69&gt;=40,$BW69&lt;=400),"PASS","FAIL")</f>
        <v>PASS</v>
      </c>
    </row>
    <row r="70" spans="1:78">
      <c r="A70" t="s">
        <v>224</v>
      </c>
      <c r="B70">
        <v>15513203.909628799</v>
      </c>
      <c r="C70">
        <v>617.97483343502097</v>
      </c>
      <c r="D70">
        <v>102.22394330033001</v>
      </c>
      <c r="E70">
        <v>593.997803214295</v>
      </c>
      <c r="F70">
        <v>2595333.5493798102</v>
      </c>
      <c r="G70">
        <v>1630481.38578821</v>
      </c>
      <c r="H70">
        <v>2.3048203873610299E-5</v>
      </c>
      <c r="I70">
        <v>6.8200503236293095E-5</v>
      </c>
      <c r="J70">
        <v>0.471717723289031</v>
      </c>
      <c r="K70">
        <v>9005.0430614720299</v>
      </c>
      <c r="L70">
        <v>4.6429387983550402E-3</v>
      </c>
      <c r="M70">
        <v>155</v>
      </c>
      <c r="N70">
        <v>2197.0925999999999</v>
      </c>
      <c r="O70">
        <v>2.8502295699234199E-6</v>
      </c>
      <c r="P70">
        <v>5.98473400508856E-3</v>
      </c>
      <c r="Q70">
        <v>1.905E-3</v>
      </c>
      <c r="R70">
        <v>0.69596000000000002</v>
      </c>
      <c r="S70">
        <v>3712322.0219312501</v>
      </c>
      <c r="T70">
        <v>297.60162944706502</v>
      </c>
      <c r="U70">
        <v>571.79741615633895</v>
      </c>
      <c r="V70">
        <v>0.03</v>
      </c>
      <c r="W70">
        <v>61369.948965020201</v>
      </c>
      <c r="X70">
        <v>3.3953568446514801E-2</v>
      </c>
      <c r="Y70">
        <v>5.4269683375017603</v>
      </c>
      <c r="Z70">
        <v>5.4269683533117297</v>
      </c>
      <c r="AA70">
        <v>-1.5809962228274799E-8</v>
      </c>
      <c r="AB70">
        <v>1.6153509213843E-5</v>
      </c>
      <c r="AC70">
        <v>720.17890535153197</v>
      </c>
      <c r="AD70">
        <v>1999.04921014402</v>
      </c>
      <c r="AE70">
        <v>571.79741615633804</v>
      </c>
      <c r="AF70">
        <v>0</v>
      </c>
      <c r="AG70">
        <v>1.6239755907755699E-5</v>
      </c>
      <c r="AH70">
        <v>34.491121924463599</v>
      </c>
      <c r="AI70">
        <v>0.24096903654002499</v>
      </c>
      <c r="AJ70">
        <v>34.083014404546702</v>
      </c>
      <c r="AK70">
        <v>6.0441136806122602</v>
      </c>
      <c r="AL70">
        <v>1.30194062706561</v>
      </c>
      <c r="AM70">
        <v>617.97483341705299</v>
      </c>
      <c r="AN70">
        <v>1.79675225808751E-8</v>
      </c>
      <c r="AO70">
        <v>8.6246693912692403E-8</v>
      </c>
      <c r="AP70">
        <v>2.9281511058689902</v>
      </c>
      <c r="AQ70">
        <v>3.9011798638633602E-5</v>
      </c>
      <c r="AR70">
        <v>8.1630013008341806E-6</v>
      </c>
      <c r="AS70">
        <v>17.132011866495699</v>
      </c>
      <c r="AT70">
        <v>11.1547437620191</v>
      </c>
      <c r="AU70">
        <v>2.6879478571845898</v>
      </c>
      <c r="AV70">
        <v>0.24020324868440099</v>
      </c>
      <c r="AW70">
        <v>1.09717247327927E-2</v>
      </c>
      <c r="AX70">
        <v>0.240203245884724</v>
      </c>
      <c r="AY70">
        <v>2.79967651839463E-9</v>
      </c>
      <c r="AZ70">
        <v>964852.16359160398</v>
      </c>
      <c r="BA70">
        <v>1.3323014157446001E-5</v>
      </c>
      <c r="BB70">
        <v>3710099.7033315999</v>
      </c>
      <c r="BC70">
        <v>-2222.3185996483098</v>
      </c>
      <c r="BD70">
        <v>-5.9863303520533401E-2</v>
      </c>
      <c r="BE70">
        <v>2145121.2000000002</v>
      </c>
      <c r="BF70">
        <v>1.7295524855805799</v>
      </c>
      <c r="BG70">
        <v>1</v>
      </c>
      <c r="BH70">
        <v>-0.09</v>
      </c>
      <c r="BI70">
        <v>4.5999999999999999E-2</v>
      </c>
      <c r="BJ70">
        <v>5625</v>
      </c>
      <c r="BK70">
        <v>1.0000000392203201</v>
      </c>
      <c r="BL70">
        <v>320.37320398795498</v>
      </c>
      <c r="BM70">
        <v>3.7100997033316001</v>
      </c>
      <c r="BN70">
        <v>320.37320398795498</v>
      </c>
      <c r="BO70">
        <v>1.0000000392203201</v>
      </c>
      <c r="BP70">
        <v>78609.133514471701</v>
      </c>
      <c r="BQ70">
        <v>1</v>
      </c>
      <c r="BR70">
        <v>0.69596000000000002</v>
      </c>
      <c r="BS70">
        <v>69</v>
      </c>
      <c r="BT70">
        <v>156</v>
      </c>
      <c r="BU70" t="s">
        <v>304</v>
      </c>
      <c r="BV70" t="str">
        <f>"Table "&amp;TRIM(RIGHT(SUBSTITUTE($A70,"_",REPT(" ",50)),50))</f>
        <v>Table 11</v>
      </c>
      <c r="BW70">
        <f>$BR70/$Q70</f>
        <v>365.33333333333337</v>
      </c>
      <c r="BX70" t="str">
        <f>IF($BW70&lt;40,"outside_low",IF($BW70&lt;=100,"short_anchor",IF($BW70&lt;250,"middle",IF($BW70&lt;=400,"long","outside_high"))))</f>
        <v>long</v>
      </c>
      <c r="BY70" t="str">
        <f>IF($N70&gt;1000,"PASS","FAIL")</f>
        <v>PASS</v>
      </c>
      <c r="BZ70" t="str">
        <f>IF(AND($BW70&gt;=40,$BW70&lt;=400),"PASS","FAIL")</f>
        <v>PASS</v>
      </c>
    </row>
    <row r="71" spans="1:78">
      <c r="A71" t="s">
        <v>225</v>
      </c>
      <c r="B71">
        <v>15513203.909628799</v>
      </c>
      <c r="C71">
        <v>617.97483343502097</v>
      </c>
      <c r="D71">
        <v>102.22394330033001</v>
      </c>
      <c r="E71">
        <v>593.997803214295</v>
      </c>
      <c r="F71">
        <v>2595333.5493798102</v>
      </c>
      <c r="G71">
        <v>1630481.38578821</v>
      </c>
      <c r="H71">
        <v>2.3048203873610299E-5</v>
      </c>
      <c r="I71">
        <v>6.8200503236293095E-5</v>
      </c>
      <c r="J71">
        <v>0.471717723289031</v>
      </c>
      <c r="K71">
        <v>9005.0430614720299</v>
      </c>
      <c r="L71">
        <v>4.6429387983550402E-3</v>
      </c>
      <c r="M71">
        <v>156</v>
      </c>
      <c r="N71">
        <v>2454.7763</v>
      </c>
      <c r="O71">
        <v>2.8502295699234199E-6</v>
      </c>
      <c r="P71">
        <v>5.98473400508856E-3</v>
      </c>
      <c r="Q71">
        <v>1.905E-3</v>
      </c>
      <c r="R71">
        <v>0.69596000000000002</v>
      </c>
      <c r="S71">
        <v>4097869.2867187499</v>
      </c>
      <c r="T71">
        <v>297.60162944706502</v>
      </c>
      <c r="U71">
        <v>568.50204821258103</v>
      </c>
      <c r="V71">
        <v>0.03</v>
      </c>
      <c r="W71">
        <v>68567.659028818802</v>
      </c>
      <c r="X71">
        <v>3.2271405788035702E-2</v>
      </c>
      <c r="Y71">
        <v>5.5666133634366899</v>
      </c>
      <c r="Z71">
        <v>5.56661336910736</v>
      </c>
      <c r="AA71">
        <v>-5.6706737083800404E-9</v>
      </c>
      <c r="AB71">
        <v>1.3614675770691901E-5</v>
      </c>
      <c r="AC71">
        <v>720.35470337215395</v>
      </c>
      <c r="AD71">
        <v>2177.47549110504</v>
      </c>
      <c r="AE71">
        <v>568.50204941612799</v>
      </c>
      <c r="AF71">
        <v>1.2035469580951001E-6</v>
      </c>
      <c r="AG71">
        <v>1.3697660344603799E-5</v>
      </c>
      <c r="AH71">
        <v>40.9229470599644</v>
      </c>
      <c r="AI71">
        <v>0.26247686576124701</v>
      </c>
      <c r="AJ71">
        <v>31.3137214549673</v>
      </c>
      <c r="AK71">
        <v>6.1313277205046299</v>
      </c>
      <c r="AL71">
        <v>1.30194062706561</v>
      </c>
      <c r="AM71">
        <v>617.97483341925499</v>
      </c>
      <c r="AN71">
        <v>1.5765408534207401E-8</v>
      </c>
      <c r="AO71">
        <v>8.2984573911951006E-8</v>
      </c>
      <c r="AP71">
        <v>3.06738855315225</v>
      </c>
      <c r="AQ71">
        <v>3.55504709106935E-5</v>
      </c>
      <c r="AR71">
        <v>6.8903224592578997E-6</v>
      </c>
      <c r="AS71">
        <v>15.751714730545601</v>
      </c>
      <c r="AT71">
        <v>10.7347461556311</v>
      </c>
      <c r="AU71">
        <v>2.8176225256726402</v>
      </c>
      <c r="AV71">
        <v>0.24976602747960799</v>
      </c>
      <c r="AW71">
        <v>9.2473079938719203E-3</v>
      </c>
      <c r="AX71">
        <v>0.24976602031811099</v>
      </c>
      <c r="AY71">
        <v>7.1614968955024899E-9</v>
      </c>
      <c r="AZ71">
        <v>964852.16359160398</v>
      </c>
      <c r="BA71">
        <v>1.1589816645223999E-5</v>
      </c>
      <c r="BB71">
        <v>4103613.1890664501</v>
      </c>
      <c r="BC71">
        <v>5743.9023476955499</v>
      </c>
      <c r="BD71">
        <v>0.140168022594367</v>
      </c>
      <c r="BE71">
        <v>2492126.1</v>
      </c>
      <c r="BF71">
        <v>1.6466314401452</v>
      </c>
      <c r="BG71">
        <v>1</v>
      </c>
      <c r="BH71">
        <v>-3.1E-2</v>
      </c>
      <c r="BI71">
        <v>4.5999999999999999E-2</v>
      </c>
      <c r="BJ71">
        <v>5625</v>
      </c>
      <c r="BK71">
        <v>1.0000000392203201</v>
      </c>
      <c r="BL71">
        <v>320.37320398795498</v>
      </c>
      <c r="BM71">
        <v>4.1036131890664498</v>
      </c>
      <c r="BN71">
        <v>320.37320398795498</v>
      </c>
      <c r="BO71">
        <v>1.0000000392203201</v>
      </c>
      <c r="BP71">
        <v>78609.133514471701</v>
      </c>
      <c r="BQ71">
        <v>1</v>
      </c>
      <c r="BR71">
        <v>0.69596000000000002</v>
      </c>
      <c r="BS71">
        <v>70</v>
      </c>
      <c r="BT71">
        <v>157</v>
      </c>
      <c r="BU71" t="s">
        <v>304</v>
      </c>
      <c r="BV71" t="str">
        <f>"Table "&amp;TRIM(RIGHT(SUBSTITUTE($A71,"_",REPT(" ",50)),50))</f>
        <v>Table 11</v>
      </c>
      <c r="BW71">
        <f>$BR71/$Q71</f>
        <v>365.33333333333337</v>
      </c>
      <c r="BX71" t="str">
        <f>IF($BW71&lt;40,"outside_low",IF($BW71&lt;=100,"short_anchor",IF($BW71&lt;250,"middle",IF($BW71&lt;=400,"long","outside_high"))))</f>
        <v>long</v>
      </c>
      <c r="BY71" t="str">
        <f>IF($N71&gt;1000,"PASS","FAIL")</f>
        <v>PASS</v>
      </c>
      <c r="BZ71" t="str">
        <f>IF(AND($BW71&gt;=40,$BW71&lt;=400),"PASS","FAIL")</f>
        <v>PASS</v>
      </c>
    </row>
    <row r="72" spans="1:78">
      <c r="A72" t="s">
        <v>226</v>
      </c>
      <c r="B72">
        <v>15513203.909628799</v>
      </c>
      <c r="C72">
        <v>617.97483343502097</v>
      </c>
      <c r="D72">
        <v>102.22394330033001</v>
      </c>
      <c r="E72">
        <v>593.997803214295</v>
      </c>
      <c r="F72">
        <v>2595333.5493798102</v>
      </c>
      <c r="G72">
        <v>1630481.38578821</v>
      </c>
      <c r="H72">
        <v>2.3048203873610299E-5</v>
      </c>
      <c r="I72">
        <v>6.8200503236293095E-5</v>
      </c>
      <c r="J72">
        <v>0.471717723289031</v>
      </c>
      <c r="K72">
        <v>9005.0430614720299</v>
      </c>
      <c r="L72">
        <v>4.6429387983550402E-3</v>
      </c>
      <c r="M72">
        <v>157</v>
      </c>
      <c r="N72">
        <v>2495.4632000000001</v>
      </c>
      <c r="O72">
        <v>2.8502295699234199E-6</v>
      </c>
      <c r="P72">
        <v>5.98473400508856E-3</v>
      </c>
      <c r="Q72">
        <v>1.905E-3</v>
      </c>
      <c r="R72">
        <v>0.69596000000000002</v>
      </c>
      <c r="S72">
        <v>4136705.8414062499</v>
      </c>
      <c r="T72">
        <v>299.28719429629098</v>
      </c>
      <c r="U72">
        <v>568.296291261031</v>
      </c>
      <c r="V72">
        <v>0.03</v>
      </c>
      <c r="W72">
        <v>69704.139565208097</v>
      </c>
      <c r="X72">
        <v>3.2032461781834103E-2</v>
      </c>
      <c r="Y72">
        <v>5.5873366792250403</v>
      </c>
      <c r="Z72">
        <v>5.5873367167956198</v>
      </c>
      <c r="AA72">
        <v>-3.7570576871814898E-8</v>
      </c>
      <c r="AB72">
        <v>1.32726112596687E-5</v>
      </c>
      <c r="AC72">
        <v>719.77883740456105</v>
      </c>
      <c r="AD72">
        <v>2205.3561738366702</v>
      </c>
      <c r="AE72">
        <v>568.29629245881904</v>
      </c>
      <c r="AF72">
        <v>1.19778837870399E-6</v>
      </c>
      <c r="AG72">
        <v>1.33542175049844E-5</v>
      </c>
      <c r="AH72">
        <v>41.977621803451598</v>
      </c>
      <c r="AI72">
        <v>0.26583765409093302</v>
      </c>
      <c r="AJ72">
        <v>30.919481387270601</v>
      </c>
      <c r="AK72">
        <v>6.10842758857431</v>
      </c>
      <c r="AL72">
        <v>1.30194062706561</v>
      </c>
      <c r="AM72">
        <v>617.97483343217095</v>
      </c>
      <c r="AN72">
        <v>2.8499016480054698E-9</v>
      </c>
      <c r="AO72">
        <v>8.1606245315782206E-8</v>
      </c>
      <c r="AP72">
        <v>3.08818873859778</v>
      </c>
      <c r="AQ72">
        <v>3.5073190418572899E-5</v>
      </c>
      <c r="AR72">
        <v>6.71791187515011E-6</v>
      </c>
      <c r="AS72">
        <v>15.5542135739139</v>
      </c>
      <c r="AT72">
        <v>10.671657856515999</v>
      </c>
      <c r="AU72">
        <v>2.8369284898372902</v>
      </c>
      <c r="AV72">
        <v>0.25126024876049502</v>
      </c>
      <c r="AW72">
        <v>9.0149722452664005E-3</v>
      </c>
      <c r="AX72">
        <v>0.25126024327909802</v>
      </c>
      <c r="AY72">
        <v>5.4813972250045098E-9</v>
      </c>
      <c r="AZ72">
        <v>964852.16359160398</v>
      </c>
      <c r="BA72">
        <v>1.1357204299144699E-5</v>
      </c>
      <c r="BB72">
        <v>4118106.4843811002</v>
      </c>
      <c r="BC72">
        <v>-18599.357025147401</v>
      </c>
      <c r="BD72">
        <v>-0.44961758796039197</v>
      </c>
      <c r="BE72">
        <v>2429034.2999999998</v>
      </c>
      <c r="BF72">
        <v>1.69536777820762</v>
      </c>
      <c r="BG72">
        <v>1</v>
      </c>
      <c r="BH72">
        <v>-8.6999999999999994E-2</v>
      </c>
      <c r="BI72">
        <v>4.5999999999999999E-2</v>
      </c>
      <c r="BJ72">
        <v>5625</v>
      </c>
      <c r="BK72">
        <v>1.00000004637316</v>
      </c>
      <c r="BL72">
        <v>318.68763913872999</v>
      </c>
      <c r="BM72">
        <v>4.1181064843810997</v>
      </c>
      <c r="BN72">
        <v>318.68763913872999</v>
      </c>
      <c r="BO72">
        <v>1.00000004637316</v>
      </c>
      <c r="BP72">
        <v>77666.800208718705</v>
      </c>
      <c r="BQ72">
        <v>1</v>
      </c>
      <c r="BR72">
        <v>0.69596000000000002</v>
      </c>
      <c r="BS72">
        <v>71</v>
      </c>
      <c r="BT72">
        <v>158</v>
      </c>
      <c r="BU72" t="s">
        <v>304</v>
      </c>
      <c r="BV72" t="str">
        <f>"Table "&amp;TRIM(RIGHT(SUBSTITUTE($A72,"_",REPT(" ",50)),50))</f>
        <v>Table 11</v>
      </c>
      <c r="BW72">
        <f>$BR72/$Q72</f>
        <v>365.33333333333337</v>
      </c>
      <c r="BX72" t="str">
        <f>IF($BW72&lt;40,"outside_low",IF($BW72&lt;=100,"short_anchor",IF($BW72&lt;250,"middle",IF($BW72&lt;=400,"long","outside_high"))))</f>
        <v>long</v>
      </c>
      <c r="BY72" t="str">
        <f>IF($N72&gt;1000,"PASS","FAIL")</f>
        <v>PASS</v>
      </c>
      <c r="BZ72" t="str">
        <f>IF(AND($BW72&gt;=40,$BW72&lt;=400),"PASS","FAIL")</f>
        <v>PASS</v>
      </c>
    </row>
    <row r="73" spans="1:78">
      <c r="A73" t="s">
        <v>227</v>
      </c>
      <c r="B73">
        <v>15513203.909628799</v>
      </c>
      <c r="C73">
        <v>617.97483343502097</v>
      </c>
      <c r="D73">
        <v>102.22394330033001</v>
      </c>
      <c r="E73">
        <v>593.997803214295</v>
      </c>
      <c r="F73">
        <v>2595333.5493798102</v>
      </c>
      <c r="G73">
        <v>1630481.38578821</v>
      </c>
      <c r="H73">
        <v>2.3048203873610299E-5</v>
      </c>
      <c r="I73">
        <v>6.8200503236293095E-5</v>
      </c>
      <c r="J73">
        <v>0.471717723289031</v>
      </c>
      <c r="K73">
        <v>9005.0430614720299</v>
      </c>
      <c r="L73">
        <v>4.6429387983550402E-3</v>
      </c>
      <c r="M73">
        <v>158</v>
      </c>
      <c r="N73">
        <v>3065.0798</v>
      </c>
      <c r="O73">
        <v>2.8502295699234199E-6</v>
      </c>
      <c r="P73">
        <v>5.98473400508856E-3</v>
      </c>
      <c r="Q73">
        <v>1.905E-3</v>
      </c>
      <c r="R73">
        <v>0.69596000000000002</v>
      </c>
      <c r="S73">
        <v>4954920.55078125</v>
      </c>
      <c r="T73">
        <v>297.60162944706502</v>
      </c>
      <c r="U73">
        <v>559.93793981014801</v>
      </c>
      <c r="V73">
        <v>0.03</v>
      </c>
      <c r="W73">
        <v>85614.867074657697</v>
      </c>
      <c r="X73">
        <v>2.92516122202446E-2</v>
      </c>
      <c r="Y73">
        <v>5.84689232788807</v>
      </c>
      <c r="Z73">
        <v>5.8468923760100697</v>
      </c>
      <c r="AA73">
        <v>-4.8121992612948401E-8</v>
      </c>
      <c r="AB73">
        <v>9.6341998605828001E-6</v>
      </c>
      <c r="AC73">
        <v>717.52334462423505</v>
      </c>
      <c r="AD73">
        <v>2588.5055549133999</v>
      </c>
      <c r="AE73">
        <v>559.93794098538206</v>
      </c>
      <c r="AF73">
        <v>1.17523347853421E-6</v>
      </c>
      <c r="AG73">
        <v>9.7108526090836394E-6</v>
      </c>
      <c r="AH73">
        <v>57.830713901019401</v>
      </c>
      <c r="AI73">
        <v>0.31202317905973298</v>
      </c>
      <c r="AJ73">
        <v>26.3901269517673</v>
      </c>
      <c r="AK73">
        <v>6.2522339767117003</v>
      </c>
      <c r="AL73">
        <v>1.30194062706561</v>
      </c>
      <c r="AM73">
        <v>617.97483343534202</v>
      </c>
      <c r="AN73">
        <v>-3.21733750752173E-10</v>
      </c>
      <c r="AO73">
        <v>7.6652748500842698E-8</v>
      </c>
      <c r="AP73">
        <v>3.3567663931111098</v>
      </c>
      <c r="AQ73">
        <v>2.9685249669921301E-5</v>
      </c>
      <c r="AR73">
        <v>4.8937526787922402E-6</v>
      </c>
      <c r="AS73">
        <v>13.299218890736</v>
      </c>
      <c r="AT73">
        <v>9.8885265174159294</v>
      </c>
      <c r="AU73">
        <v>3.0854494801805901</v>
      </c>
      <c r="AV73">
        <v>0.27131691293052401</v>
      </c>
      <c r="AW73">
        <v>6.5437043735636097E-3</v>
      </c>
      <c r="AX73">
        <v>0.27131690476449999</v>
      </c>
      <c r="AY73">
        <v>8.1660235240477197E-9</v>
      </c>
      <c r="AZ73">
        <v>964852.16359160398</v>
      </c>
      <c r="BA73">
        <v>8.8434064791766693E-6</v>
      </c>
      <c r="BB73">
        <v>4967681.6679935297</v>
      </c>
      <c r="BC73">
        <v>12761.1172122769</v>
      </c>
      <c r="BD73">
        <v>0.25754433560523698</v>
      </c>
      <c r="BE73">
        <v>2996860.5</v>
      </c>
      <c r="BF73">
        <v>1.65762859765863</v>
      </c>
      <c r="BG73">
        <v>1</v>
      </c>
      <c r="BH73">
        <v>-8.7999999999999995E-2</v>
      </c>
      <c r="BI73">
        <v>4.5999999999999999E-2</v>
      </c>
      <c r="BJ73">
        <v>5625</v>
      </c>
      <c r="BK73">
        <v>1.0000000392203201</v>
      </c>
      <c r="BL73">
        <v>320.37320398795498</v>
      </c>
      <c r="BM73">
        <v>4.9676816679935296</v>
      </c>
      <c r="BN73">
        <v>320.37320398795498</v>
      </c>
      <c r="BO73">
        <v>1.0000000392203201</v>
      </c>
      <c r="BP73">
        <v>78609.133514471701</v>
      </c>
      <c r="BQ73">
        <v>1</v>
      </c>
      <c r="BR73">
        <v>0.69596000000000002</v>
      </c>
      <c r="BS73">
        <v>72</v>
      </c>
      <c r="BT73">
        <v>159</v>
      </c>
      <c r="BU73" t="s">
        <v>304</v>
      </c>
      <c r="BV73" t="str">
        <f>"Table "&amp;TRIM(RIGHT(SUBSTITUTE($A73,"_",REPT(" ",50)),50))</f>
        <v>Table 11</v>
      </c>
      <c r="BW73">
        <f>$BR73/$Q73</f>
        <v>365.33333333333337</v>
      </c>
      <c r="BX73" t="str">
        <f>IF($BW73&lt;40,"outside_low",IF($BW73&lt;=100,"short_anchor",IF($BW73&lt;250,"middle",IF($BW73&lt;=400,"long","outside_high"))))</f>
        <v>long</v>
      </c>
      <c r="BY73" t="str">
        <f>IF($N73&gt;1000,"PASS","FAIL")</f>
        <v>PASS</v>
      </c>
      <c r="BZ73" t="str">
        <f>IF(AND($BW73&gt;=40,$BW73&lt;=400),"PASS","FAIL")</f>
        <v>PASS</v>
      </c>
    </row>
    <row r="74" spans="1:78">
      <c r="A74" t="s">
        <v>228</v>
      </c>
      <c r="B74">
        <v>15513203.909628799</v>
      </c>
      <c r="C74">
        <v>617.97483343502097</v>
      </c>
      <c r="D74">
        <v>102.22394330033001</v>
      </c>
      <c r="E74">
        <v>593.997803214295</v>
      </c>
      <c r="F74">
        <v>2595333.5493798102</v>
      </c>
      <c r="G74">
        <v>1630481.38578821</v>
      </c>
      <c r="H74">
        <v>2.3048203873610299E-5</v>
      </c>
      <c r="I74">
        <v>6.8200503236293095E-5</v>
      </c>
      <c r="J74">
        <v>0.471717723289031</v>
      </c>
      <c r="K74">
        <v>9005.0430614720299</v>
      </c>
      <c r="L74">
        <v>4.6429387983550402E-3</v>
      </c>
      <c r="M74">
        <v>159</v>
      </c>
      <c r="N74">
        <v>3173.5781999999999</v>
      </c>
      <c r="O74">
        <v>2.8502295699234199E-6</v>
      </c>
      <c r="P74">
        <v>5.98473400508856E-3</v>
      </c>
      <c r="Q74">
        <v>1.905E-3</v>
      </c>
      <c r="R74">
        <v>0.69596000000000002</v>
      </c>
      <c r="S74">
        <v>5110644.04296875</v>
      </c>
      <c r="T74">
        <v>297.03976193416099</v>
      </c>
      <c r="U74">
        <v>558.37015757476195</v>
      </c>
      <c r="V74">
        <v>0.03</v>
      </c>
      <c r="W74">
        <v>88645.481838362393</v>
      </c>
      <c r="X74">
        <v>2.8816656506257102E-2</v>
      </c>
      <c r="Y74">
        <v>5.8908532659419297</v>
      </c>
      <c r="Z74">
        <v>5.8908532754526899</v>
      </c>
      <c r="AA74">
        <v>-9.5107628439450293E-9</v>
      </c>
      <c r="AB74">
        <v>9.1223563377912495E-6</v>
      </c>
      <c r="AC74">
        <v>717.06121195600804</v>
      </c>
      <c r="AD74">
        <v>2660.13336692034</v>
      </c>
      <c r="AE74">
        <v>558.37015874537406</v>
      </c>
      <c r="AF74">
        <v>1.1706121085808299E-6</v>
      </c>
      <c r="AG74">
        <v>9.1977846459958892E-6</v>
      </c>
      <c r="AH74">
        <v>61.075519873575303</v>
      </c>
      <c r="AI74">
        <v>0.32065732611384001</v>
      </c>
      <c r="AJ74">
        <v>25.68748959429</v>
      </c>
      <c r="AK74">
        <v>6.2788993110418003</v>
      </c>
      <c r="AL74">
        <v>1.30194062706561</v>
      </c>
      <c r="AM74">
        <v>617.97483342798398</v>
      </c>
      <c r="AN74">
        <v>7.0368741944548699E-9</v>
      </c>
      <c r="AO74">
        <v>7.5428308204644799E-8</v>
      </c>
      <c r="AP74">
        <v>3.40308093320481</v>
      </c>
      <c r="AQ74">
        <v>2.8882739779301801E-5</v>
      </c>
      <c r="AR74">
        <v>4.6366064771002704E-6</v>
      </c>
      <c r="AS74">
        <v>12.9490725448959</v>
      </c>
      <c r="AT74">
        <v>9.7551208371304501</v>
      </c>
      <c r="AU74">
        <v>3.12805096355165</v>
      </c>
      <c r="AV74">
        <v>0.27502996965315801</v>
      </c>
      <c r="AW74">
        <v>6.1960519740763701E-3</v>
      </c>
      <c r="AX74">
        <v>0.27502995899210197</v>
      </c>
      <c r="AY74">
        <v>1.06610554273523E-8</v>
      </c>
      <c r="AZ74">
        <v>964852.16359160398</v>
      </c>
      <c r="BA74">
        <v>8.4872327006639208E-6</v>
      </c>
      <c r="BB74">
        <v>5093471.3906170204</v>
      </c>
      <c r="BC74">
        <v>-17172.652351727698</v>
      </c>
      <c r="BD74">
        <v>-0.33601738268886</v>
      </c>
      <c r="BE74">
        <v>3091498.2</v>
      </c>
      <c r="BF74">
        <v>1.6475737849748799</v>
      </c>
      <c r="BG74">
        <v>1</v>
      </c>
      <c r="BH74">
        <v>-9.6000000000000002E-2</v>
      </c>
      <c r="BI74">
        <v>4.5999999999999999E-2</v>
      </c>
      <c r="BJ74">
        <v>5625</v>
      </c>
      <c r="BK74">
        <v>1.0000000370818301</v>
      </c>
      <c r="BL74">
        <v>320.93507150085998</v>
      </c>
      <c r="BM74">
        <v>5.0934713906170197</v>
      </c>
      <c r="BN74">
        <v>320.93507150085998</v>
      </c>
      <c r="BO74">
        <v>1.0000000370818301</v>
      </c>
      <c r="BP74">
        <v>78924.514399193096</v>
      </c>
      <c r="BQ74">
        <v>1</v>
      </c>
      <c r="BR74">
        <v>0.69596000000000002</v>
      </c>
      <c r="BS74">
        <v>73</v>
      </c>
      <c r="BT74">
        <v>160</v>
      </c>
      <c r="BU74" t="s">
        <v>304</v>
      </c>
      <c r="BV74" t="str">
        <f>"Table "&amp;TRIM(RIGHT(SUBSTITUTE($A74,"_",REPT(" ",50)),50))</f>
        <v>Table 11</v>
      </c>
      <c r="BW74">
        <f>$BR74/$Q74</f>
        <v>365.33333333333337</v>
      </c>
      <c r="BX74" t="str">
        <f>IF($BW74&lt;40,"outside_low",IF($BW74&lt;=100,"short_anchor",IF($BW74&lt;250,"middle",IF($BW74&lt;=400,"long","outside_high"))))</f>
        <v>long</v>
      </c>
      <c r="BY74" t="str">
        <f>IF($N74&gt;1000,"PASS","FAIL")</f>
        <v>PASS</v>
      </c>
      <c r="BZ74" t="str">
        <f>IF(AND($BW74&gt;=40,$BW74&lt;=400),"PASS","FAIL")</f>
        <v>PASS</v>
      </c>
    </row>
    <row r="75" spans="1:78">
      <c r="A75" t="s">
        <v>229</v>
      </c>
      <c r="B75">
        <v>15513203.909628799</v>
      </c>
      <c r="C75">
        <v>617.97483343502097</v>
      </c>
      <c r="D75">
        <v>102.22394330033001</v>
      </c>
      <c r="E75">
        <v>593.997803214295</v>
      </c>
      <c r="F75">
        <v>2595333.5493798102</v>
      </c>
      <c r="G75">
        <v>1630481.38578821</v>
      </c>
      <c r="H75">
        <v>2.3048203873610299E-5</v>
      </c>
      <c r="I75">
        <v>6.8200503236293095E-5</v>
      </c>
      <c r="J75">
        <v>0.471717723289031</v>
      </c>
      <c r="K75">
        <v>9005.0430614720299</v>
      </c>
      <c r="L75">
        <v>4.6429387983550402E-3</v>
      </c>
      <c r="M75">
        <v>160</v>
      </c>
      <c r="N75">
        <v>3688.9456</v>
      </c>
      <c r="O75">
        <v>2.8502295699234199E-6</v>
      </c>
      <c r="P75">
        <v>5.98473400508856E-3</v>
      </c>
      <c r="Q75">
        <v>1.905E-3</v>
      </c>
      <c r="R75">
        <v>0.69596000000000002</v>
      </c>
      <c r="S75">
        <v>5747924.19921875</v>
      </c>
      <c r="T75">
        <v>299.79285116759797</v>
      </c>
      <c r="U75">
        <v>552.64827756438501</v>
      </c>
      <c r="V75">
        <v>0.03</v>
      </c>
      <c r="W75">
        <v>103040.90196596</v>
      </c>
      <c r="X75">
        <v>2.7042139441522301E-2</v>
      </c>
      <c r="Y75">
        <v>6.0810626264231198</v>
      </c>
      <c r="Z75">
        <v>6.0810626347094399</v>
      </c>
      <c r="AA75">
        <v>-8.2863165218327595E-9</v>
      </c>
      <c r="AB75">
        <v>7.1945474511830199E-6</v>
      </c>
      <c r="AC75">
        <v>713.16600184899903</v>
      </c>
      <c r="AD75">
        <v>2995.4024894891299</v>
      </c>
      <c r="AE75">
        <v>552.64827756438501</v>
      </c>
      <c r="AF75">
        <v>0</v>
      </c>
      <c r="AG75">
        <v>7.2656566846274504E-6</v>
      </c>
      <c r="AH75">
        <v>77.440959224056598</v>
      </c>
      <c r="AI75">
        <v>0.36107127742482398</v>
      </c>
      <c r="AJ75">
        <v>22.848888315912198</v>
      </c>
      <c r="AK75">
        <v>6.2766619225739904</v>
      </c>
      <c r="AL75">
        <v>1.30194062706561</v>
      </c>
      <c r="AM75">
        <v>617.97483340516101</v>
      </c>
      <c r="AN75">
        <v>2.9859052119718399E-8</v>
      </c>
      <c r="AO75">
        <v>7.1109233444425498E-8</v>
      </c>
      <c r="AP75">
        <v>3.60598906532609</v>
      </c>
      <c r="AQ75">
        <v>2.5723741227746602E-5</v>
      </c>
      <c r="AR75">
        <v>3.66838295903594E-6</v>
      </c>
      <c r="AS75">
        <v>11.536255588342</v>
      </c>
      <c r="AT75">
        <v>9.1774736800667505</v>
      </c>
      <c r="AU75">
        <v>3.3137221451943999</v>
      </c>
      <c r="AV75">
        <v>0.29226692013168798</v>
      </c>
      <c r="AW75">
        <v>4.8866529969692103E-3</v>
      </c>
      <c r="AX75">
        <v>0.29226691273005601</v>
      </c>
      <c r="AY75">
        <v>7.4016327511472501E-9</v>
      </c>
      <c r="AZ75">
        <v>964852.16359160398</v>
      </c>
      <c r="BA75">
        <v>7.1336159821162599E-6</v>
      </c>
      <c r="BB75">
        <v>5712969.2204629602</v>
      </c>
      <c r="BC75">
        <v>-34954.978755785203</v>
      </c>
      <c r="BD75">
        <v>-0.60813221511404403</v>
      </c>
      <c r="BE75">
        <v>3523677.03</v>
      </c>
      <c r="BF75">
        <v>1.6213089825837299</v>
      </c>
      <c r="BG75">
        <v>1</v>
      </c>
      <c r="BH75">
        <v>-4.3999999999999997E-2</v>
      </c>
      <c r="BI75">
        <v>4.5999999999999999E-2</v>
      </c>
      <c r="BJ75">
        <v>5625</v>
      </c>
      <c r="BK75">
        <v>1.00000004875366</v>
      </c>
      <c r="BL75">
        <v>318.181982267423</v>
      </c>
      <c r="BM75">
        <v>5.7129692204629601</v>
      </c>
      <c r="BN75">
        <v>318.181982267423</v>
      </c>
      <c r="BO75">
        <v>1.00000004875366</v>
      </c>
      <c r="BP75">
        <v>77385.215258232594</v>
      </c>
      <c r="BQ75">
        <v>1</v>
      </c>
      <c r="BR75">
        <v>0.69596000000000002</v>
      </c>
      <c r="BS75">
        <v>74</v>
      </c>
      <c r="BT75">
        <v>161</v>
      </c>
      <c r="BU75" t="s">
        <v>304</v>
      </c>
      <c r="BV75" t="str">
        <f>"Table "&amp;TRIM(RIGHT(SUBSTITUTE($A75,"_",REPT(" ",50)),50))</f>
        <v>Table 11</v>
      </c>
      <c r="BW75">
        <f>$BR75/$Q75</f>
        <v>365.33333333333337</v>
      </c>
      <c r="BX75" t="str">
        <f>IF($BW75&lt;40,"outside_low",IF($BW75&lt;=100,"short_anchor",IF($BW75&lt;250,"middle",IF($BW75&lt;=400,"long","outside_high"))))</f>
        <v>long</v>
      </c>
      <c r="BY75" t="str">
        <f>IF($N75&gt;1000,"PASS","FAIL")</f>
        <v>PASS</v>
      </c>
      <c r="BZ75" t="str">
        <f>IF(AND($BW75&gt;=40,$BW75&lt;=400),"PASS","FAIL")</f>
        <v>PASS</v>
      </c>
    </row>
    <row r="76" spans="1:78">
      <c r="A76" t="s">
        <v>230</v>
      </c>
      <c r="B76">
        <v>15513203.909628799</v>
      </c>
      <c r="C76">
        <v>617.97483343502097</v>
      </c>
      <c r="D76">
        <v>102.22394330033001</v>
      </c>
      <c r="E76">
        <v>593.997803214295</v>
      </c>
      <c r="F76">
        <v>2595333.5493798102</v>
      </c>
      <c r="G76">
        <v>1630481.38578821</v>
      </c>
      <c r="H76">
        <v>2.3048203873610299E-5</v>
      </c>
      <c r="I76">
        <v>6.8200503236293095E-5</v>
      </c>
      <c r="J76">
        <v>0.471717723289031</v>
      </c>
      <c r="K76">
        <v>9005.0430614720299</v>
      </c>
      <c r="L76">
        <v>4.6429387983550402E-3</v>
      </c>
      <c r="M76">
        <v>161</v>
      </c>
      <c r="N76">
        <v>3743.1948000000002</v>
      </c>
      <c r="O76">
        <v>2.8502295699234199E-6</v>
      </c>
      <c r="P76">
        <v>5.98473400508856E-3</v>
      </c>
      <c r="Q76">
        <v>1.905E-3</v>
      </c>
      <c r="R76">
        <v>0.69596000000000002</v>
      </c>
      <c r="S76">
        <v>5818430.76171875</v>
      </c>
      <c r="T76">
        <v>299.79285116759797</v>
      </c>
      <c r="U76">
        <v>552.04039063001903</v>
      </c>
      <c r="V76">
        <v>0.03</v>
      </c>
      <c r="W76">
        <v>104556.20934781199</v>
      </c>
      <c r="X76">
        <v>2.6878779410128499E-2</v>
      </c>
      <c r="Y76">
        <v>6.0995139434554897</v>
      </c>
      <c r="Z76">
        <v>6.0995139494937103</v>
      </c>
      <c r="AA76">
        <v>-6.0382214783771798E-9</v>
      </c>
      <c r="AB76">
        <v>7.0299887495018698E-6</v>
      </c>
      <c r="AC76">
        <v>712.86877385153502</v>
      </c>
      <c r="AD76">
        <v>3030.2580390165499</v>
      </c>
      <c r="AE76">
        <v>552.04039063001903</v>
      </c>
      <c r="AF76">
        <v>0</v>
      </c>
      <c r="AG76">
        <v>7.1016833858646498E-6</v>
      </c>
      <c r="AH76">
        <v>79.253705184390796</v>
      </c>
      <c r="AI76">
        <v>0.36527282891494101</v>
      </c>
      <c r="AJ76">
        <v>22.593105690883601</v>
      </c>
      <c r="AK76">
        <v>6.28163167424003</v>
      </c>
      <c r="AL76">
        <v>1.30194062706561</v>
      </c>
      <c r="AM76">
        <v>617.97483335695802</v>
      </c>
      <c r="AN76">
        <v>7.8062385000521304E-8</v>
      </c>
      <c r="AO76">
        <v>7.16946363627818E-8</v>
      </c>
      <c r="AP76">
        <v>3.6262913977503102</v>
      </c>
      <c r="AQ76">
        <v>2.54365111428851E-5</v>
      </c>
      <c r="AR76">
        <v>3.5866890111137099E-6</v>
      </c>
      <c r="AS76">
        <v>11.4105965452805</v>
      </c>
      <c r="AT76">
        <v>9.1227122258933893</v>
      </c>
      <c r="AU76">
        <v>3.3322789021289898</v>
      </c>
      <c r="AV76">
        <v>0.29401249562131898</v>
      </c>
      <c r="AW76">
        <v>4.7748820651345204E-3</v>
      </c>
      <c r="AX76">
        <v>0.29401249221009002</v>
      </c>
      <c r="AY76">
        <v>3.4112290214771698E-9</v>
      </c>
      <c r="AZ76">
        <v>964852.16359160398</v>
      </c>
      <c r="BA76">
        <v>7.0144697027562199E-6</v>
      </c>
      <c r="BB76">
        <v>5857839.07217649</v>
      </c>
      <c r="BC76">
        <v>39408.310457743697</v>
      </c>
      <c r="BD76">
        <v>0.67730135618392395</v>
      </c>
      <c r="BE76">
        <v>3722416.2</v>
      </c>
      <c r="BF76">
        <v>1.5736658013084299</v>
      </c>
      <c r="BG76">
        <v>1</v>
      </c>
      <c r="BH76">
        <v>-0.06</v>
      </c>
      <c r="BI76">
        <v>4.5999999999999999E-2</v>
      </c>
      <c r="BJ76">
        <v>5625</v>
      </c>
      <c r="BK76">
        <v>1.00000004875366</v>
      </c>
      <c r="BL76">
        <v>318.181982267423</v>
      </c>
      <c r="BM76">
        <v>5.8578390721764899</v>
      </c>
      <c r="BN76">
        <v>318.181982267423</v>
      </c>
      <c r="BO76">
        <v>1.00000004875366</v>
      </c>
      <c r="BP76">
        <v>77385.215258232594</v>
      </c>
      <c r="BQ76">
        <v>1</v>
      </c>
      <c r="BR76">
        <v>0.69596000000000002</v>
      </c>
      <c r="BS76">
        <v>75</v>
      </c>
      <c r="BT76">
        <v>162</v>
      </c>
      <c r="BU76" t="s">
        <v>304</v>
      </c>
      <c r="BV76" t="str">
        <f>"Table "&amp;TRIM(RIGHT(SUBSTITUTE($A76,"_",REPT(" ",50)),50))</f>
        <v>Table 11</v>
      </c>
      <c r="BW76">
        <f>$BR76/$Q76</f>
        <v>365.33333333333337</v>
      </c>
      <c r="BX76" t="str">
        <f>IF($BW76&lt;40,"outside_low",IF($BW76&lt;=100,"short_anchor",IF($BW76&lt;250,"middle",IF($BW76&lt;=400,"long","outside_high"))))</f>
        <v>long</v>
      </c>
      <c r="BY76" t="str">
        <f>IF($N76&gt;1000,"PASS","FAIL")</f>
        <v>PASS</v>
      </c>
      <c r="BZ76" t="str">
        <f>IF(AND($BW76&gt;=40,$BW76&lt;=400),"PASS","FAIL")</f>
        <v>PASS</v>
      </c>
    </row>
    <row r="77" spans="1:78">
      <c r="A77" t="s">
        <v>231</v>
      </c>
      <c r="B77">
        <v>15513203.909628799</v>
      </c>
      <c r="C77">
        <v>617.97483343502097</v>
      </c>
      <c r="D77">
        <v>102.22394330033001</v>
      </c>
      <c r="E77">
        <v>593.997803214295</v>
      </c>
      <c r="F77">
        <v>2595333.5493798102</v>
      </c>
      <c r="G77">
        <v>1630481.38578821</v>
      </c>
      <c r="H77">
        <v>2.3048203873610299E-5</v>
      </c>
      <c r="I77">
        <v>6.8200503236293095E-5</v>
      </c>
      <c r="J77">
        <v>0.471717723289031</v>
      </c>
      <c r="K77">
        <v>9005.0430614720299</v>
      </c>
      <c r="L77">
        <v>4.6429387983550402E-3</v>
      </c>
      <c r="M77">
        <v>162</v>
      </c>
      <c r="N77">
        <v>3878.8177999999998</v>
      </c>
      <c r="O77">
        <v>2.8502295699234199E-6</v>
      </c>
      <c r="P77">
        <v>5.98473400508856E-3</v>
      </c>
      <c r="Q77">
        <v>1.905E-3</v>
      </c>
      <c r="R77">
        <v>0.69596000000000002</v>
      </c>
      <c r="S77">
        <v>5983178.7109375</v>
      </c>
      <c r="T77">
        <v>300.35468451217503</v>
      </c>
      <c r="U77">
        <v>550.67499673512805</v>
      </c>
      <c r="V77">
        <v>0.03</v>
      </c>
      <c r="W77">
        <v>108344.477802443</v>
      </c>
      <c r="X77">
        <v>2.6486711415857098E-2</v>
      </c>
      <c r="Y77">
        <v>6.1444919577194002</v>
      </c>
      <c r="Z77">
        <v>6.14449198407703</v>
      </c>
      <c r="AA77">
        <v>-2.6357624527406599E-8</v>
      </c>
      <c r="AB77">
        <v>6.6438869072487296E-6</v>
      </c>
      <c r="AC77">
        <v>711.93503977805801</v>
      </c>
      <c r="AD77">
        <v>3117.0646607314402</v>
      </c>
      <c r="AE77">
        <v>550.67499673512805</v>
      </c>
      <c r="AF77">
        <v>0</v>
      </c>
      <c r="AG77">
        <v>6.7139959722854397E-6</v>
      </c>
      <c r="AH77">
        <v>83.859443061068802</v>
      </c>
      <c r="AI77">
        <v>0.37573665736587902</v>
      </c>
      <c r="AJ77">
        <v>21.9716111049913</v>
      </c>
      <c r="AK77">
        <v>6.2809935031933799</v>
      </c>
      <c r="AL77">
        <v>1.30194062706561</v>
      </c>
      <c r="AM77">
        <v>617.97483348011201</v>
      </c>
      <c r="AN77">
        <v>-4.5091042011335998E-8</v>
      </c>
      <c r="AO77">
        <v>7.0109065036710097E-8</v>
      </c>
      <c r="AP77">
        <v>3.6744501946839199</v>
      </c>
      <c r="AQ77">
        <v>2.4774118623132601E-5</v>
      </c>
      <c r="AR77">
        <v>3.3920525186610698E-6</v>
      </c>
      <c r="AS77">
        <v>11.1005218196992</v>
      </c>
      <c r="AT77">
        <v>8.9849605899851497</v>
      </c>
      <c r="AU77">
        <v>3.3759790586451799</v>
      </c>
      <c r="AV77">
        <v>0.29847113603874098</v>
      </c>
      <c r="AW77">
        <v>4.5126354488763502E-3</v>
      </c>
      <c r="AX77">
        <v>0.29847112148441901</v>
      </c>
      <c r="AY77">
        <v>1.45543215257504E-8</v>
      </c>
      <c r="AZ77">
        <v>964852.16359160398</v>
      </c>
      <c r="BA77">
        <v>6.7422654575574402E-6</v>
      </c>
      <c r="BB77">
        <v>5959556.5030672401</v>
      </c>
      <c r="BC77">
        <v>-23622.2078702627</v>
      </c>
      <c r="BD77">
        <v>-0.39481033429739099</v>
      </c>
      <c r="BE77">
        <v>3753962.1</v>
      </c>
      <c r="BF77">
        <v>1.5875377386114899</v>
      </c>
      <c r="BG77">
        <v>1</v>
      </c>
      <c r="BH77">
        <v>-0.105</v>
      </c>
      <c r="BI77">
        <v>4.5999999999999999E-2</v>
      </c>
      <c r="BJ77">
        <v>5625</v>
      </c>
      <c r="BK77">
        <v>1.00000005153673</v>
      </c>
      <c r="BL77">
        <v>317.62014892284498</v>
      </c>
      <c r="BM77">
        <v>5.9595565030672404</v>
      </c>
      <c r="BN77">
        <v>317.62014892284498</v>
      </c>
      <c r="BO77">
        <v>1.00000005153673</v>
      </c>
      <c r="BP77">
        <v>77072.947087942899</v>
      </c>
      <c r="BQ77">
        <v>1</v>
      </c>
      <c r="BR77">
        <v>0.69596000000000002</v>
      </c>
      <c r="BS77">
        <v>76</v>
      </c>
      <c r="BT77">
        <v>163</v>
      </c>
      <c r="BU77" t="s">
        <v>304</v>
      </c>
      <c r="BV77" t="str">
        <f>"Table "&amp;TRIM(RIGHT(SUBSTITUTE($A77,"_",REPT(" ",50)),50))</f>
        <v>Table 11</v>
      </c>
      <c r="BW77">
        <f>$BR77/$Q77</f>
        <v>365.33333333333337</v>
      </c>
      <c r="BX77" t="str">
        <f>IF($BW77&lt;40,"outside_low",IF($BW77&lt;=100,"short_anchor",IF($BW77&lt;250,"middle",IF($BW77&lt;=400,"long","outside_high"))))</f>
        <v>long</v>
      </c>
      <c r="BY77" t="str">
        <f>IF($N77&gt;1000,"PASS","FAIL")</f>
        <v>PASS</v>
      </c>
      <c r="BZ77" t="str">
        <f>IF(AND($BW77&gt;=40,$BW77&lt;=400),"PASS","FAIL")</f>
        <v>PASS</v>
      </c>
    </row>
    <row r="78" spans="1:78">
      <c r="A78" t="s">
        <v>232</v>
      </c>
      <c r="B78">
        <v>17236893.2329209</v>
      </c>
      <c r="C78">
        <v>626.57723583796803</v>
      </c>
      <c r="D78">
        <v>122.583590976701</v>
      </c>
      <c r="E78">
        <v>560.26337686439001</v>
      </c>
      <c r="F78">
        <v>2538890.6454807199</v>
      </c>
      <c r="G78">
        <v>1699798.64659754</v>
      </c>
      <c r="H78">
        <v>2.4290890628326198E-5</v>
      </c>
      <c r="I78">
        <v>6.4066005508525405E-5</v>
      </c>
      <c r="J78">
        <v>0.452884810527584</v>
      </c>
      <c r="K78">
        <v>11219.515372648901</v>
      </c>
      <c r="L78">
        <v>3.02925386118211E-3</v>
      </c>
      <c r="M78">
        <v>163</v>
      </c>
      <c r="N78">
        <v>1939.4088999999999</v>
      </c>
      <c r="O78">
        <v>2.8502295699234199E-6</v>
      </c>
      <c r="P78">
        <v>5.98473400508856E-3</v>
      </c>
      <c r="Q78">
        <v>1.905E-3</v>
      </c>
      <c r="R78">
        <v>0.15240000000000001</v>
      </c>
      <c r="S78">
        <v>3909766.11328125</v>
      </c>
      <c r="T78">
        <v>544.38778847281696</v>
      </c>
      <c r="U78">
        <v>601.88638898035003</v>
      </c>
      <c r="V78">
        <v>0.03</v>
      </c>
      <c r="W78">
        <v>57668.242700231298</v>
      </c>
      <c r="X78">
        <v>3.23577851042662E-2</v>
      </c>
      <c r="Y78">
        <v>5.5591783430067503</v>
      </c>
      <c r="Z78">
        <v>5.5591783497804901</v>
      </c>
      <c r="AA78">
        <v>-6.7737451203697699E-9</v>
      </c>
      <c r="AB78">
        <v>1.33869481952576E-5</v>
      </c>
      <c r="AC78">
        <v>731.47450141114905</v>
      </c>
      <c r="AD78">
        <v>1833.7964244186401</v>
      </c>
      <c r="AE78">
        <v>601.88638898035003</v>
      </c>
      <c r="AF78">
        <v>0</v>
      </c>
      <c r="AG78">
        <v>1.35029083290296E-5</v>
      </c>
      <c r="AH78">
        <v>27.154095021494701</v>
      </c>
      <c r="AI78">
        <v>0.22015144959273</v>
      </c>
      <c r="AJ78">
        <v>25.996414711839599</v>
      </c>
      <c r="AK78">
        <v>5.7893871643731698</v>
      </c>
      <c r="AL78">
        <v>1.5871354414155801</v>
      </c>
      <c r="AM78">
        <v>626.57723576272303</v>
      </c>
      <c r="AN78">
        <v>7.5244543040753303E-8</v>
      </c>
      <c r="AO78">
        <v>1.1596013377199E-7</v>
      </c>
      <c r="AP78">
        <v>2.3806041170902099</v>
      </c>
      <c r="AQ78">
        <v>3.3391812188265203E-5</v>
      </c>
      <c r="AR78">
        <v>6.8094342314008098E-6</v>
      </c>
      <c r="AS78">
        <v>13.1098332239965</v>
      </c>
      <c r="AT78">
        <v>9.8168128820648093</v>
      </c>
      <c r="AU78">
        <v>2.1611855863671501</v>
      </c>
      <c r="AV78">
        <v>0.219418530723057</v>
      </c>
      <c r="AW78">
        <v>1.0619737236195401E-2</v>
      </c>
      <c r="AX78">
        <v>0.21941851526835299</v>
      </c>
      <c r="AY78">
        <v>1.54547040165376E-8</v>
      </c>
      <c r="AZ78">
        <v>839091.99888317997</v>
      </c>
      <c r="BA78">
        <v>1.40266128032576E-5</v>
      </c>
      <c r="BB78">
        <v>3886491.4216980301</v>
      </c>
      <c r="BC78">
        <v>-23274.6915832185</v>
      </c>
      <c r="BD78">
        <v>-0.59529626348122799</v>
      </c>
      <c r="BE78">
        <v>2839131</v>
      </c>
      <c r="BF78">
        <v>1.3689017596222299</v>
      </c>
      <c r="BG78">
        <v>1</v>
      </c>
      <c r="BH78">
        <v>-5.0999999999999997E-2</v>
      </c>
      <c r="BI78">
        <v>4.5999999999999999E-2</v>
      </c>
      <c r="BJ78">
        <v>5625</v>
      </c>
      <c r="BK78">
        <v>1.0335221339418601</v>
      </c>
      <c r="BL78">
        <v>82.189447365151096</v>
      </c>
      <c r="BM78">
        <v>3.8864914216980302</v>
      </c>
      <c r="BN78">
        <v>82.189447365151096</v>
      </c>
      <c r="BO78">
        <v>1.0335221339418601</v>
      </c>
      <c r="BP78">
        <v>1779.9494689768501</v>
      </c>
      <c r="BQ78">
        <v>1</v>
      </c>
      <c r="BR78">
        <v>0.15240000000000001</v>
      </c>
      <c r="BS78">
        <v>77</v>
      </c>
      <c r="BT78">
        <v>164</v>
      </c>
      <c r="BU78" t="s">
        <v>304</v>
      </c>
      <c r="BV78" t="str">
        <f>"Table "&amp;TRIM(RIGHT(SUBSTITUTE($A78,"_",REPT(" ",50)),50))</f>
        <v>Table 12</v>
      </c>
      <c r="BW78">
        <f>$BR78/$Q78</f>
        <v>80</v>
      </c>
      <c r="BX78" t="str">
        <f>IF($BW78&lt;40,"outside_low",IF($BW78&lt;=100,"short_anchor",IF($BW78&lt;250,"middle",IF($BW78&lt;=400,"long","outside_high"))))</f>
        <v>short_anchor</v>
      </c>
      <c r="BY78" t="str">
        <f>IF($N78&gt;1000,"PASS","FAIL")</f>
        <v>PASS</v>
      </c>
      <c r="BZ78" t="str">
        <f>IF(AND($BW78&gt;=40,$BW78&lt;=400),"PASS","FAIL")</f>
        <v>PASS</v>
      </c>
    </row>
    <row r="79" spans="1:78">
      <c r="A79" t="s">
        <v>233</v>
      </c>
      <c r="B79">
        <v>17236893.2329209</v>
      </c>
      <c r="C79">
        <v>626.57723583796803</v>
      </c>
      <c r="D79">
        <v>122.583590976701</v>
      </c>
      <c r="E79">
        <v>560.26337686439001</v>
      </c>
      <c r="F79">
        <v>2538890.6454807199</v>
      </c>
      <c r="G79">
        <v>1699798.64659754</v>
      </c>
      <c r="H79">
        <v>2.4290890628326198E-5</v>
      </c>
      <c r="I79">
        <v>6.4066005508525405E-5</v>
      </c>
      <c r="J79">
        <v>0.452884810527584</v>
      </c>
      <c r="K79">
        <v>11219.515372648901</v>
      </c>
      <c r="L79">
        <v>3.02925386118211E-3</v>
      </c>
      <c r="M79">
        <v>164</v>
      </c>
      <c r="N79">
        <v>1952.9712</v>
      </c>
      <c r="O79">
        <v>2.8502295699234199E-6</v>
      </c>
      <c r="P79">
        <v>5.98473400508856E-3</v>
      </c>
      <c r="Q79">
        <v>1.905E-3</v>
      </c>
      <c r="R79">
        <v>0.15240000000000001</v>
      </c>
      <c r="S79">
        <v>3981445.3125</v>
      </c>
      <c r="T79">
        <v>541.02055212223797</v>
      </c>
      <c r="U79">
        <v>599.16667962480597</v>
      </c>
      <c r="V79">
        <v>0.03</v>
      </c>
      <c r="W79">
        <v>58071.517124708502</v>
      </c>
      <c r="X79">
        <v>3.22567249257062E-2</v>
      </c>
      <c r="Y79">
        <v>5.5678799735499496</v>
      </c>
      <c r="Z79">
        <v>5.5678799790447497</v>
      </c>
      <c r="AA79">
        <v>-5.4948046113167898E-9</v>
      </c>
      <c r="AB79">
        <v>1.32430247045165E-5</v>
      </c>
      <c r="AC79">
        <v>734.08720582194803</v>
      </c>
      <c r="AD79">
        <v>1843.7342286354699</v>
      </c>
      <c r="AE79">
        <v>599.16667962480597</v>
      </c>
      <c r="AF79">
        <v>0</v>
      </c>
      <c r="AG79">
        <v>1.33615941937714E-5</v>
      </c>
      <c r="AH79">
        <v>27.4492022368485</v>
      </c>
      <c r="AI79">
        <v>0.22134450568934599</v>
      </c>
      <c r="AJ79">
        <v>25.8637570227753</v>
      </c>
      <c r="AK79">
        <v>5.9426191060807403</v>
      </c>
      <c r="AL79">
        <v>1.5871354414155801</v>
      </c>
      <c r="AM79">
        <v>626.57723579898004</v>
      </c>
      <c r="AN79">
        <v>3.8987650441413299E-8</v>
      </c>
      <c r="AO79">
        <v>1.18569489254968E-7</v>
      </c>
      <c r="AP79">
        <v>2.38751826945854</v>
      </c>
      <c r="AQ79">
        <v>3.3198689667214799E-5</v>
      </c>
      <c r="AR79">
        <v>6.7400818415132102E-6</v>
      </c>
      <c r="AS79">
        <v>13.0466347454093</v>
      </c>
      <c r="AT79">
        <v>9.7926511329925408</v>
      </c>
      <c r="AU79">
        <v>2.1675495244204401</v>
      </c>
      <c r="AV79">
        <v>0.21996874503809899</v>
      </c>
      <c r="AW79">
        <v>1.0505564115369501E-2</v>
      </c>
      <c r="AX79">
        <v>0.219968729091501</v>
      </c>
      <c r="AY79">
        <v>1.5946598652671902E-8</v>
      </c>
      <c r="AZ79">
        <v>839091.99888317997</v>
      </c>
      <c r="BA79">
        <v>1.39051039281655E-5</v>
      </c>
      <c r="BB79">
        <v>4008672.01688061</v>
      </c>
      <c r="BC79">
        <v>27226.7043806086</v>
      </c>
      <c r="BD79">
        <v>0.68383971758016304</v>
      </c>
      <c r="BE79">
        <v>3059952.3</v>
      </c>
      <c r="BF79">
        <v>1.3100439562017401</v>
      </c>
      <c r="BG79">
        <v>1</v>
      </c>
      <c r="BH79">
        <v>-3.1E-2</v>
      </c>
      <c r="BI79">
        <v>4.5999999999999999E-2</v>
      </c>
      <c r="BJ79">
        <v>5625</v>
      </c>
      <c r="BK79">
        <v>1.0318067764908301</v>
      </c>
      <c r="BL79">
        <v>85.556683715730102</v>
      </c>
      <c r="BM79">
        <v>4.0086720168806096</v>
      </c>
      <c r="BN79">
        <v>85.556683715730102</v>
      </c>
      <c r="BO79">
        <v>1.0318067764908301</v>
      </c>
      <c r="BP79">
        <v>2075.41143117506</v>
      </c>
      <c r="BQ79">
        <v>1</v>
      </c>
      <c r="BR79">
        <v>0.15240000000000001</v>
      </c>
      <c r="BS79">
        <v>78</v>
      </c>
      <c r="BT79">
        <v>165</v>
      </c>
      <c r="BU79" t="s">
        <v>304</v>
      </c>
      <c r="BV79" t="str">
        <f>"Table "&amp;TRIM(RIGHT(SUBSTITUTE($A79,"_",REPT(" ",50)),50))</f>
        <v>Table 12</v>
      </c>
      <c r="BW79">
        <f>$BR79/$Q79</f>
        <v>80</v>
      </c>
      <c r="BX79" t="str">
        <f>IF($BW79&lt;40,"outside_low",IF($BW79&lt;=100,"short_anchor",IF($BW79&lt;250,"middle",IF($BW79&lt;=400,"long","outside_high"))))</f>
        <v>short_anchor</v>
      </c>
      <c r="BY79" t="str">
        <f>IF($N79&gt;1000,"PASS","FAIL")</f>
        <v>PASS</v>
      </c>
      <c r="BZ79" t="str">
        <f>IF(AND($BW79&gt;=40,$BW79&lt;=400),"PASS","FAIL")</f>
        <v>PASS</v>
      </c>
    </row>
    <row r="80" spans="1:78">
      <c r="A80" t="s">
        <v>234</v>
      </c>
      <c r="B80">
        <v>17236893.2329209</v>
      </c>
      <c r="C80">
        <v>626.57723583796803</v>
      </c>
      <c r="D80">
        <v>122.583590976701</v>
      </c>
      <c r="E80">
        <v>560.26337686439001</v>
      </c>
      <c r="F80">
        <v>2538890.6454807199</v>
      </c>
      <c r="G80">
        <v>1699798.64659754</v>
      </c>
      <c r="H80">
        <v>2.4290890628326198E-5</v>
      </c>
      <c r="I80">
        <v>6.4066005508525405E-5</v>
      </c>
      <c r="J80">
        <v>0.452884810527584</v>
      </c>
      <c r="K80">
        <v>11219.515372648901</v>
      </c>
      <c r="L80">
        <v>3.02925386118211E-3</v>
      </c>
      <c r="M80">
        <v>165</v>
      </c>
      <c r="N80">
        <v>2007.2203999999999</v>
      </c>
      <c r="O80">
        <v>2.8502295699234199E-6</v>
      </c>
      <c r="P80">
        <v>5.98473400508856E-3</v>
      </c>
      <c r="Q80">
        <v>1.905E-3</v>
      </c>
      <c r="R80">
        <v>0.15240000000000001</v>
      </c>
      <c r="S80">
        <v>4332330.76171875</v>
      </c>
      <c r="T80">
        <v>523.75355252526197</v>
      </c>
      <c r="U80">
        <v>585.31409307026399</v>
      </c>
      <c r="V80">
        <v>0.03</v>
      </c>
      <c r="W80">
        <v>59684.614822616997</v>
      </c>
      <c r="X80">
        <v>3.1863876118458402E-2</v>
      </c>
      <c r="Y80">
        <v>5.6020979441400804</v>
      </c>
      <c r="Z80">
        <v>5.6020979701971099</v>
      </c>
      <c r="AA80">
        <v>-2.60570347521139E-8</v>
      </c>
      <c r="AB80">
        <v>1.2691425606134001E-5</v>
      </c>
      <c r="AC80">
        <v>746.97360001181301</v>
      </c>
      <c r="AD80">
        <v>1883.37459887351</v>
      </c>
      <c r="AE80">
        <v>585.31409457351799</v>
      </c>
      <c r="AF80">
        <v>1.5032534292913601E-6</v>
      </c>
      <c r="AG80">
        <v>1.28143994569737E-5</v>
      </c>
      <c r="AH80">
        <v>28.642208891502399</v>
      </c>
      <c r="AI80">
        <v>0.22610342268476</v>
      </c>
      <c r="AJ80">
        <v>25.3378629260711</v>
      </c>
      <c r="AK80">
        <v>6.6958921162242797</v>
      </c>
      <c r="AL80">
        <v>1.5871354414155801</v>
      </c>
      <c r="AM80">
        <v>626.57723576555395</v>
      </c>
      <c r="AN80">
        <v>7.2413854468322798E-8</v>
      </c>
      <c r="AO80">
        <v>1.22973850839699E-7</v>
      </c>
      <c r="AP80">
        <v>2.4139730137890001</v>
      </c>
      <c r="AQ80">
        <v>3.2475027556303298E-5</v>
      </c>
      <c r="AR80">
        <v>6.46868665390671E-6</v>
      </c>
      <c r="AS80">
        <v>12.7905093249763</v>
      </c>
      <c r="AT80">
        <v>9.6935171846134107</v>
      </c>
      <c r="AU80">
        <v>2.1917374132946299</v>
      </c>
      <c r="AV80">
        <v>0.22223560049437599</v>
      </c>
      <c r="AW80">
        <v>1.00679858563739E-2</v>
      </c>
      <c r="AX80">
        <v>0.222235599402896</v>
      </c>
      <c r="AY80">
        <v>1.09147976767865E-9</v>
      </c>
      <c r="AZ80">
        <v>839091.99888317997</v>
      </c>
      <c r="BA80">
        <v>1.3452937282563101E-5</v>
      </c>
      <c r="BB80">
        <v>4297317.7755801501</v>
      </c>
      <c r="BC80">
        <v>-35012.986138602697</v>
      </c>
      <c r="BD80">
        <v>-0.808178970266623</v>
      </c>
      <c r="BE80">
        <v>3533140.8</v>
      </c>
      <c r="BF80">
        <v>1.2162882881939301</v>
      </c>
      <c r="BG80">
        <v>1</v>
      </c>
      <c r="BH80">
        <v>-5.6000000000000001E-2</v>
      </c>
      <c r="BI80">
        <v>4.5999999999999999E-2</v>
      </c>
      <c r="BJ80">
        <v>5625</v>
      </c>
      <c r="BK80">
        <v>1.0228051266465701</v>
      </c>
      <c r="BL80">
        <v>102.823683312706</v>
      </c>
      <c r="BM80">
        <v>4.2973177755801499</v>
      </c>
      <c r="BN80">
        <v>102.823683312706</v>
      </c>
      <c r="BO80">
        <v>1.0228051266465701</v>
      </c>
      <c r="BP80">
        <v>3946.8151849751798</v>
      </c>
      <c r="BQ80">
        <v>1</v>
      </c>
      <c r="BR80">
        <v>0.15240000000000001</v>
      </c>
      <c r="BS80">
        <v>79</v>
      </c>
      <c r="BT80">
        <v>166</v>
      </c>
      <c r="BU80" t="s">
        <v>304</v>
      </c>
      <c r="BV80" t="str">
        <f>"Table "&amp;TRIM(RIGHT(SUBSTITUTE($A80,"_",REPT(" ",50)),50))</f>
        <v>Table 12</v>
      </c>
      <c r="BW80">
        <f>$BR80/$Q80</f>
        <v>80</v>
      </c>
      <c r="BX80" t="str">
        <f>IF($BW80&lt;40,"outside_low",IF($BW80&lt;=100,"short_anchor",IF($BW80&lt;250,"middle",IF($BW80&lt;=400,"long","outside_high"))))</f>
        <v>short_anchor</v>
      </c>
      <c r="BY80" t="str">
        <f>IF($N80&gt;1000,"PASS","FAIL")</f>
        <v>PASS</v>
      </c>
      <c r="BZ80" t="str">
        <f>IF(AND($BW80&gt;=40,$BW80&lt;=400),"PASS","FAIL")</f>
        <v>PASS</v>
      </c>
    </row>
    <row r="81" spans="1:78">
      <c r="A81" t="s">
        <v>235</v>
      </c>
      <c r="B81">
        <v>17236893.2329209</v>
      </c>
      <c r="C81">
        <v>626.57723583796803</v>
      </c>
      <c r="D81">
        <v>122.583590976701</v>
      </c>
      <c r="E81">
        <v>560.26337686439001</v>
      </c>
      <c r="F81">
        <v>2538890.6454807199</v>
      </c>
      <c r="G81">
        <v>1699798.64659754</v>
      </c>
      <c r="H81">
        <v>2.4290890628326198E-5</v>
      </c>
      <c r="I81">
        <v>6.4066005508525405E-5</v>
      </c>
      <c r="J81">
        <v>0.452884810527584</v>
      </c>
      <c r="K81">
        <v>11219.515372648901</v>
      </c>
      <c r="L81">
        <v>3.02925386118211E-3</v>
      </c>
      <c r="M81">
        <v>166</v>
      </c>
      <c r="N81">
        <v>2007.2203999999999</v>
      </c>
      <c r="O81">
        <v>2.8502295699234199E-6</v>
      </c>
      <c r="P81">
        <v>5.98473400508856E-3</v>
      </c>
      <c r="Q81">
        <v>1.905E-3</v>
      </c>
      <c r="R81">
        <v>0.15240000000000001</v>
      </c>
      <c r="S81">
        <v>4312646.484375</v>
      </c>
      <c r="T81">
        <v>524.88712944744998</v>
      </c>
      <c r="U81">
        <v>586.16796495140898</v>
      </c>
      <c r="V81">
        <v>0.03</v>
      </c>
      <c r="W81">
        <v>59684.614822616997</v>
      </c>
      <c r="X81">
        <v>3.1863876118458402E-2</v>
      </c>
      <c r="Y81">
        <v>5.6020979441400804</v>
      </c>
      <c r="Z81">
        <v>5.6020979701971099</v>
      </c>
      <c r="AA81">
        <v>-2.60570347521139E-8</v>
      </c>
      <c r="AB81">
        <v>1.2691425606134001E-5</v>
      </c>
      <c r="AC81">
        <v>746.05510673686297</v>
      </c>
      <c r="AD81">
        <v>1883.37459887351</v>
      </c>
      <c r="AE81">
        <v>586.16796644611497</v>
      </c>
      <c r="AF81">
        <v>1.4947054296499099E-6</v>
      </c>
      <c r="AG81">
        <v>1.2813856015811201E-5</v>
      </c>
      <c r="AH81">
        <v>28.642208891502399</v>
      </c>
      <c r="AI81">
        <v>0.22610342268476</v>
      </c>
      <c r="AJ81">
        <v>25.336788381943499</v>
      </c>
      <c r="AK81">
        <v>6.6448942793259302</v>
      </c>
      <c r="AL81">
        <v>1.5871354414155801</v>
      </c>
      <c r="AM81">
        <v>626.57723576599005</v>
      </c>
      <c r="AN81">
        <v>7.1978092819335897E-8</v>
      </c>
      <c r="AO81">
        <v>1.2243040967714899E-7</v>
      </c>
      <c r="AP81">
        <v>2.4138860410560099</v>
      </c>
      <c r="AQ81">
        <v>3.2477367760219502E-5</v>
      </c>
      <c r="AR81">
        <v>6.4681432127441604E-6</v>
      </c>
      <c r="AS81">
        <v>12.789434780848699</v>
      </c>
      <c r="AT81">
        <v>9.6930971117142004</v>
      </c>
      <c r="AU81">
        <v>2.1916424333743398</v>
      </c>
      <c r="AV81">
        <v>0.22224360768166801</v>
      </c>
      <c r="AW81">
        <v>1.00679858563739E-2</v>
      </c>
      <c r="AX81">
        <v>0.222243606590112</v>
      </c>
      <c r="AY81">
        <v>1.0915554571333499E-9</v>
      </c>
      <c r="AZ81">
        <v>839091.99888317997</v>
      </c>
      <c r="BA81">
        <v>1.3454391469951801E-5</v>
      </c>
      <c r="BB81">
        <v>4277864.82606884</v>
      </c>
      <c r="BC81">
        <v>-34781.658306162797</v>
      </c>
      <c r="BD81">
        <v>-0.80650381226884804</v>
      </c>
      <c r="BE81">
        <v>3501594.9</v>
      </c>
      <c r="BF81">
        <v>1.2216903863062001</v>
      </c>
      <c r="BG81">
        <v>1</v>
      </c>
      <c r="BH81">
        <v>-5.6000000000000001E-2</v>
      </c>
      <c r="BI81">
        <v>4.5999999999999999E-2</v>
      </c>
      <c r="BJ81">
        <v>5625</v>
      </c>
      <c r="BK81">
        <v>1.02338460683765</v>
      </c>
      <c r="BL81">
        <v>101.690106390518</v>
      </c>
      <c r="BM81">
        <v>4.2778648260688401</v>
      </c>
      <c r="BN81">
        <v>101.690106390518</v>
      </c>
      <c r="BO81">
        <v>1.02338460683765</v>
      </c>
      <c r="BP81">
        <v>3805.6692264734402</v>
      </c>
      <c r="BQ81">
        <v>1</v>
      </c>
      <c r="BR81">
        <v>0.15240000000000001</v>
      </c>
      <c r="BS81">
        <v>80</v>
      </c>
      <c r="BT81">
        <v>167</v>
      </c>
      <c r="BU81" t="s">
        <v>304</v>
      </c>
      <c r="BV81" t="str">
        <f>"Table "&amp;TRIM(RIGHT(SUBSTITUTE($A81,"_",REPT(" ",50)),50))</f>
        <v>Table 12</v>
      </c>
      <c r="BW81">
        <f>$BR81/$Q81</f>
        <v>80</v>
      </c>
      <c r="BX81" t="str">
        <f>IF($BW81&lt;40,"outside_low",IF($BW81&lt;=100,"short_anchor",IF($BW81&lt;250,"middle",IF($BW81&lt;=400,"long","outside_high"))))</f>
        <v>short_anchor</v>
      </c>
      <c r="BY81" t="str">
        <f>IF($N81&gt;1000,"PASS","FAIL")</f>
        <v>PASS</v>
      </c>
      <c r="BZ81" t="str">
        <f>IF(AND($BW81&gt;=40,$BW81&lt;=400),"PASS","FAIL")</f>
        <v>PASS</v>
      </c>
    </row>
    <row r="82" spans="1:78">
      <c r="A82" t="s">
        <v>236</v>
      </c>
      <c r="B82">
        <v>17236893.2329209</v>
      </c>
      <c r="C82">
        <v>626.57723583796803</v>
      </c>
      <c r="D82">
        <v>122.583590976701</v>
      </c>
      <c r="E82">
        <v>560.26337686439001</v>
      </c>
      <c r="F82">
        <v>2538890.6454807199</v>
      </c>
      <c r="G82">
        <v>1699798.64659754</v>
      </c>
      <c r="H82">
        <v>2.4290890628326198E-5</v>
      </c>
      <c r="I82">
        <v>6.4066005508525405E-5</v>
      </c>
      <c r="J82">
        <v>0.452884810527584</v>
      </c>
      <c r="K82">
        <v>11219.515372648901</v>
      </c>
      <c r="L82">
        <v>3.02925386118211E-3</v>
      </c>
      <c r="M82">
        <v>167</v>
      </c>
      <c r="N82">
        <v>2183.5302999999999</v>
      </c>
      <c r="O82">
        <v>2.8502295699234199E-6</v>
      </c>
      <c r="P82">
        <v>5.98473400508856E-3</v>
      </c>
      <c r="Q82">
        <v>1.905E-3</v>
      </c>
      <c r="R82">
        <v>0.15240000000000001</v>
      </c>
      <c r="S82">
        <v>5556956.15234375</v>
      </c>
      <c r="T82">
        <v>476.97673003740402</v>
      </c>
      <c r="U82">
        <v>549.56285757986802</v>
      </c>
      <c r="V82">
        <v>0.03</v>
      </c>
      <c r="W82">
        <v>64927.182340819898</v>
      </c>
      <c r="X82">
        <v>3.0700163138612201E-2</v>
      </c>
      <c r="Y82">
        <v>5.7072862912243698</v>
      </c>
      <c r="Z82">
        <v>5.7072863391106603</v>
      </c>
      <c r="AA82">
        <v>-4.7886292264820401E-8</v>
      </c>
      <c r="AB82">
        <v>1.11311493220718E-5</v>
      </c>
      <c r="AC82">
        <v>782.22590333863604</v>
      </c>
      <c r="AD82">
        <v>2011.0455553597301</v>
      </c>
      <c r="AE82">
        <v>549.56285941203305</v>
      </c>
      <c r="AF82">
        <v>1.83216559435095E-6</v>
      </c>
      <c r="AG82">
        <v>1.12737112859598E-5</v>
      </c>
      <c r="AH82">
        <v>32.657046709548197</v>
      </c>
      <c r="AI82">
        <v>0.24143061264274199</v>
      </c>
      <c r="AJ82">
        <v>23.802569001614899</v>
      </c>
      <c r="AK82">
        <v>8.8223015044012492</v>
      </c>
      <c r="AL82">
        <v>1.5871354414155801</v>
      </c>
      <c r="AM82">
        <v>626.57723582123197</v>
      </c>
      <c r="AN82">
        <v>1.67361804415123E-8</v>
      </c>
      <c r="AO82">
        <v>1.4256196388797701E-7</v>
      </c>
      <c r="AP82">
        <v>2.4978310763518001</v>
      </c>
      <c r="AQ82">
        <v>3.0331104178172201E-5</v>
      </c>
      <c r="AR82">
        <v>5.70813662492386E-6</v>
      </c>
      <c r="AS82">
        <v>12.0517824555793</v>
      </c>
      <c r="AT82">
        <v>9.3960628531108696</v>
      </c>
      <c r="AU82">
        <v>2.2684972110562698</v>
      </c>
      <c r="AV82">
        <v>0.22933386529553201</v>
      </c>
      <c r="AW82">
        <v>8.8302336882974206E-3</v>
      </c>
      <c r="AX82">
        <v>0.22933385681429899</v>
      </c>
      <c r="AY82">
        <v>8.4812321887728392E-9</v>
      </c>
      <c r="AZ82">
        <v>839091.99888317997</v>
      </c>
      <c r="BA82">
        <v>1.2142976546865701E-5</v>
      </c>
      <c r="BB82">
        <v>5519253.3217728296</v>
      </c>
      <c r="BC82">
        <v>-37702.830570922197</v>
      </c>
      <c r="BD82">
        <v>-0.67847990045810203</v>
      </c>
      <c r="BE82">
        <v>4763430.9000000004</v>
      </c>
      <c r="BF82">
        <v>1.1586718559878399</v>
      </c>
      <c r="BG82">
        <v>1</v>
      </c>
      <c r="BH82">
        <v>-0.15</v>
      </c>
      <c r="BI82">
        <v>4.5999999999999999E-2</v>
      </c>
      <c r="BJ82">
        <v>5625</v>
      </c>
      <c r="BK82">
        <v>1.0054364516337999</v>
      </c>
      <c r="BL82">
        <v>149.60050580056401</v>
      </c>
      <c r="BM82">
        <v>5.5192533217728297</v>
      </c>
      <c r="BN82">
        <v>149.60050580056401</v>
      </c>
      <c r="BO82">
        <v>1.0054364516337999</v>
      </c>
      <c r="BP82">
        <v>12012.2708717395</v>
      </c>
      <c r="BQ82">
        <v>1</v>
      </c>
      <c r="BR82">
        <v>0.15240000000000001</v>
      </c>
      <c r="BS82">
        <v>81</v>
      </c>
      <c r="BT82">
        <v>168</v>
      </c>
      <c r="BU82" t="s">
        <v>304</v>
      </c>
      <c r="BV82" t="str">
        <f>"Table "&amp;TRIM(RIGHT(SUBSTITUTE($A82,"_",REPT(" ",50)),50))</f>
        <v>Table 12</v>
      </c>
      <c r="BW82">
        <f>$BR82/$Q82</f>
        <v>80</v>
      </c>
      <c r="BX82" t="str">
        <f>IF($BW82&lt;40,"outside_low",IF($BW82&lt;=100,"short_anchor",IF($BW82&lt;250,"middle",IF($BW82&lt;=400,"long","outside_high"))))</f>
        <v>short_anchor</v>
      </c>
      <c r="BY82" t="str">
        <f>IF($N82&gt;1000,"PASS","FAIL")</f>
        <v>PASS</v>
      </c>
      <c r="BZ82" t="str">
        <f>IF(AND($BW82&gt;=40,$BW82&lt;=400),"PASS","FAIL")</f>
        <v>PASS</v>
      </c>
    </row>
    <row r="83" spans="1:78">
      <c r="A83" t="s">
        <v>237</v>
      </c>
      <c r="B83">
        <v>17236893.2329209</v>
      </c>
      <c r="C83">
        <v>626.57723583796803</v>
      </c>
      <c r="D83">
        <v>122.583590976701</v>
      </c>
      <c r="E83">
        <v>560.26337686439001</v>
      </c>
      <c r="F83">
        <v>2538890.6454807199</v>
      </c>
      <c r="G83">
        <v>1699798.64659754</v>
      </c>
      <c r="H83">
        <v>2.4290890628326198E-5</v>
      </c>
      <c r="I83">
        <v>6.4066005508525405E-5</v>
      </c>
      <c r="J83">
        <v>0.452884810527584</v>
      </c>
      <c r="K83">
        <v>11219.515372648901</v>
      </c>
      <c r="L83">
        <v>3.02925386118211E-3</v>
      </c>
      <c r="M83">
        <v>168</v>
      </c>
      <c r="N83">
        <v>2183.5302999999999</v>
      </c>
      <c r="O83">
        <v>2.8502295699234199E-6</v>
      </c>
      <c r="P83">
        <v>5.98473400508856E-3</v>
      </c>
      <c r="Q83">
        <v>1.905E-3</v>
      </c>
      <c r="R83">
        <v>0.15240000000000001</v>
      </c>
      <c r="S83">
        <v>5510171.77734375</v>
      </c>
      <c r="T83">
        <v>478.76143589818798</v>
      </c>
      <c r="U83">
        <v>550.73645611540996</v>
      </c>
      <c r="V83">
        <v>0.03</v>
      </c>
      <c r="W83">
        <v>64927.182340819898</v>
      </c>
      <c r="X83">
        <v>3.0700163138612201E-2</v>
      </c>
      <c r="Y83">
        <v>5.7072862912243698</v>
      </c>
      <c r="Z83">
        <v>5.7072863391106603</v>
      </c>
      <c r="AA83">
        <v>-4.7886292264820401E-8</v>
      </c>
      <c r="AB83">
        <v>1.11311493220718E-5</v>
      </c>
      <c r="AC83">
        <v>780.53961200313097</v>
      </c>
      <c r="AD83">
        <v>2011.0455553597301</v>
      </c>
      <c r="AE83">
        <v>550.73645611540996</v>
      </c>
      <c r="AF83">
        <v>0</v>
      </c>
      <c r="AG83">
        <v>1.1273597516775501E-5</v>
      </c>
      <c r="AH83">
        <v>32.657046709548197</v>
      </c>
      <c r="AI83">
        <v>0.24143061264274199</v>
      </c>
      <c r="AJ83">
        <v>23.8023287968776</v>
      </c>
      <c r="AK83">
        <v>8.7267481100358406</v>
      </c>
      <c r="AL83">
        <v>1.5871354414155801</v>
      </c>
      <c r="AM83">
        <v>626.57723582142603</v>
      </c>
      <c r="AN83">
        <v>1.6542003322683701E-8</v>
      </c>
      <c r="AO83">
        <v>1.4244819470372E-7</v>
      </c>
      <c r="AP83">
        <v>2.4978090395705901</v>
      </c>
      <c r="AQ83">
        <v>3.03316393694895E-5</v>
      </c>
      <c r="AR83">
        <v>5.7080228557396104E-6</v>
      </c>
      <c r="AS83">
        <v>12.0515422508419</v>
      </c>
      <c r="AT83">
        <v>9.3959631968434003</v>
      </c>
      <c r="AU83">
        <v>2.26847315098256</v>
      </c>
      <c r="AV83">
        <v>0.229335888588031</v>
      </c>
      <c r="AW83">
        <v>8.8302336882974206E-3</v>
      </c>
      <c r="AX83">
        <v>0.229335880099485</v>
      </c>
      <c r="AY83">
        <v>8.4885463658146404E-9</v>
      </c>
      <c r="AZ83">
        <v>839091.99888317997</v>
      </c>
      <c r="BA83">
        <v>1.2143297941905101E-5</v>
      </c>
      <c r="BB83">
        <v>5514702.8134638099</v>
      </c>
      <c r="BC83">
        <v>4531.0361200626903</v>
      </c>
      <c r="BD83">
        <v>8.2230396857916804E-2</v>
      </c>
      <c r="BE83">
        <v>4763430.9000000004</v>
      </c>
      <c r="BF83">
        <v>1.1577165554062701</v>
      </c>
      <c r="BG83">
        <v>1</v>
      </c>
      <c r="BH83">
        <v>-0.14000000000000001</v>
      </c>
      <c r="BI83">
        <v>4.5999999999999999E-2</v>
      </c>
      <c r="BJ83">
        <v>5625</v>
      </c>
      <c r="BK83">
        <v>1.00582470670355</v>
      </c>
      <c r="BL83">
        <v>147.81579993977999</v>
      </c>
      <c r="BM83">
        <v>5.5147028134638099</v>
      </c>
      <c r="BN83">
        <v>147.81579993977999</v>
      </c>
      <c r="BO83">
        <v>1.00582470670355</v>
      </c>
      <c r="BP83">
        <v>11624.246716654699</v>
      </c>
      <c r="BQ83">
        <v>1</v>
      </c>
      <c r="BR83">
        <v>0.15240000000000001</v>
      </c>
      <c r="BS83">
        <v>82</v>
      </c>
      <c r="BT83">
        <v>169</v>
      </c>
      <c r="BU83" t="s">
        <v>304</v>
      </c>
      <c r="BV83" t="str">
        <f>"Table "&amp;TRIM(RIGHT(SUBSTITUTE($A83,"_",REPT(" ",50)),50))</f>
        <v>Table 12</v>
      </c>
      <c r="BW83">
        <f>$BR83/$Q83</f>
        <v>80</v>
      </c>
      <c r="BX83" t="str">
        <f>IF($BW83&lt;40,"outside_low",IF($BW83&lt;=100,"short_anchor",IF($BW83&lt;250,"middle",IF($BW83&lt;=400,"long","outside_high"))))</f>
        <v>short_anchor</v>
      </c>
      <c r="BY83" t="str">
        <f>IF($N83&gt;1000,"PASS","FAIL")</f>
        <v>PASS</v>
      </c>
      <c r="BZ83" t="str">
        <f>IF(AND($BW83&gt;=40,$BW83&lt;=400),"PASS","FAIL")</f>
        <v>PASS</v>
      </c>
    </row>
    <row r="84" spans="1:78">
      <c r="A84" t="s">
        <v>238</v>
      </c>
      <c r="B84">
        <v>17236893.2329209</v>
      </c>
      <c r="C84">
        <v>626.57723583796803</v>
      </c>
      <c r="D84">
        <v>122.583590976701</v>
      </c>
      <c r="E84">
        <v>560.26337686439001</v>
      </c>
      <c r="F84">
        <v>2538890.6454807199</v>
      </c>
      <c r="G84">
        <v>1699798.64659754</v>
      </c>
      <c r="H84">
        <v>2.4290890628326198E-5</v>
      </c>
      <c r="I84">
        <v>6.4066005508525405E-5</v>
      </c>
      <c r="J84">
        <v>0.452884810527584</v>
      </c>
      <c r="K84">
        <v>11219.515372648901</v>
      </c>
      <c r="L84">
        <v>3.02925386118211E-3</v>
      </c>
      <c r="M84">
        <v>169</v>
      </c>
      <c r="N84">
        <v>2183.5302999999999</v>
      </c>
      <c r="O84">
        <v>2.8502295699234199E-6</v>
      </c>
      <c r="P84">
        <v>5.98473400508856E-3</v>
      </c>
      <c r="Q84">
        <v>1.905E-3</v>
      </c>
      <c r="R84">
        <v>0.15240000000000001</v>
      </c>
      <c r="S84">
        <v>4905874.90234375</v>
      </c>
      <c r="T84">
        <v>504.24977393984398</v>
      </c>
      <c r="U84">
        <v>568.33134154744596</v>
      </c>
      <c r="V84">
        <v>0.03</v>
      </c>
      <c r="W84">
        <v>64927.182340819898</v>
      </c>
      <c r="X84">
        <v>3.0700163138612201E-2</v>
      </c>
      <c r="Y84">
        <v>5.7072862912243698</v>
      </c>
      <c r="Z84">
        <v>5.7072863391106603</v>
      </c>
      <c r="AA84">
        <v>-4.7886292264820401E-8</v>
      </c>
      <c r="AB84">
        <v>1.11311493220718E-5</v>
      </c>
      <c r="AC84">
        <v>757.98418276833604</v>
      </c>
      <c r="AD84">
        <v>2011.0455553597301</v>
      </c>
      <c r="AE84">
        <v>568.33134154744596</v>
      </c>
      <c r="AF84">
        <v>0</v>
      </c>
      <c r="AG84">
        <v>1.1257948088174801E-5</v>
      </c>
      <c r="AH84">
        <v>32.657046709548197</v>
      </c>
      <c r="AI84">
        <v>0.24143061264274199</v>
      </c>
      <c r="AJ84">
        <v>23.769287627500798</v>
      </c>
      <c r="AK84">
        <v>7.4514637102890102</v>
      </c>
      <c r="AL84">
        <v>1.5871354414155801</v>
      </c>
      <c r="AM84">
        <v>626.57723582533004</v>
      </c>
      <c r="AN84">
        <v>1.2638452062674299E-8</v>
      </c>
      <c r="AO84">
        <v>1.26798766103033E-7</v>
      </c>
      <c r="AP84">
        <v>2.49477390743154</v>
      </c>
      <c r="AQ84">
        <v>3.0405486970226199E-5</v>
      </c>
      <c r="AR84">
        <v>5.6923734271389204E-6</v>
      </c>
      <c r="AS84">
        <v>12.0185010814652</v>
      </c>
      <c r="AT84">
        <v>9.3822360964497395</v>
      </c>
      <c r="AU84">
        <v>2.26515900872471</v>
      </c>
      <c r="AV84">
        <v>0.22961489870683</v>
      </c>
      <c r="AW84">
        <v>8.8302336882974206E-3</v>
      </c>
      <c r="AX84">
        <v>0.229614889230635</v>
      </c>
      <c r="AY84">
        <v>9.4761947178057004E-9</v>
      </c>
      <c r="AZ84">
        <v>839091.99888317997</v>
      </c>
      <c r="BA84">
        <v>1.21876723496478E-5</v>
      </c>
      <c r="BB84">
        <v>4890982.08000449</v>
      </c>
      <c r="BC84">
        <v>-14892.822339259999</v>
      </c>
      <c r="BD84">
        <v>-0.30357118018123702</v>
      </c>
      <c r="BE84">
        <v>4321788.3</v>
      </c>
      <c r="BF84">
        <v>1.13170329976702</v>
      </c>
      <c r="BG84">
        <v>1</v>
      </c>
      <c r="BH84">
        <v>-8.1000000000000003E-2</v>
      </c>
      <c r="BI84">
        <v>4.5999999999999999E-2</v>
      </c>
      <c r="BJ84">
        <v>5625</v>
      </c>
      <c r="BK84">
        <v>1.0137866015975401</v>
      </c>
      <c r="BL84">
        <v>122.327461898124</v>
      </c>
      <c r="BM84">
        <v>4.8909820800044903</v>
      </c>
      <c r="BN84">
        <v>122.327461898124</v>
      </c>
      <c r="BO84">
        <v>1.0137866015975401</v>
      </c>
      <c r="BP84">
        <v>6777.8109825870697</v>
      </c>
      <c r="BQ84">
        <v>1</v>
      </c>
      <c r="BR84">
        <v>0.15240000000000001</v>
      </c>
      <c r="BS84">
        <v>83</v>
      </c>
      <c r="BT84">
        <v>170</v>
      </c>
      <c r="BU84" t="s">
        <v>304</v>
      </c>
      <c r="BV84" t="str">
        <f>"Table "&amp;TRIM(RIGHT(SUBSTITUTE($A84,"_",REPT(" ",50)),50))</f>
        <v>Table 12</v>
      </c>
      <c r="BW84">
        <f>$BR84/$Q84</f>
        <v>80</v>
      </c>
      <c r="BX84" t="str">
        <f>IF($BW84&lt;40,"outside_low",IF($BW84&lt;=100,"short_anchor",IF($BW84&lt;250,"middle",IF($BW84&lt;=400,"long","outside_high"))))</f>
        <v>short_anchor</v>
      </c>
      <c r="BY84" t="str">
        <f>IF($N84&gt;1000,"PASS","FAIL")</f>
        <v>PASS</v>
      </c>
      <c r="BZ84" t="str">
        <f>IF(AND($BW84&gt;=40,$BW84&lt;=400),"PASS","FAIL")</f>
        <v>PASS</v>
      </c>
    </row>
    <row r="85" spans="1:78">
      <c r="A85" t="s">
        <v>239</v>
      </c>
      <c r="B85">
        <v>17236893.2329209</v>
      </c>
      <c r="C85">
        <v>626.57723583796803</v>
      </c>
      <c r="D85">
        <v>122.583590976701</v>
      </c>
      <c r="E85">
        <v>560.26337686439001</v>
      </c>
      <c r="F85">
        <v>2538890.6454807199</v>
      </c>
      <c r="G85">
        <v>1699798.64659754</v>
      </c>
      <c r="H85">
        <v>2.4290890628326198E-5</v>
      </c>
      <c r="I85">
        <v>6.4066005508525405E-5</v>
      </c>
      <c r="J85">
        <v>0.452884810527584</v>
      </c>
      <c r="K85">
        <v>11219.515372648901</v>
      </c>
      <c r="L85">
        <v>3.02925386118211E-3</v>
      </c>
      <c r="M85">
        <v>170</v>
      </c>
      <c r="N85">
        <v>2197.0925999999999</v>
      </c>
      <c r="O85">
        <v>2.8502295699234199E-6</v>
      </c>
      <c r="P85">
        <v>5.98473400508856E-3</v>
      </c>
      <c r="Q85">
        <v>1.905E-3</v>
      </c>
      <c r="R85">
        <v>0.15240000000000001</v>
      </c>
      <c r="S85">
        <v>4550026.26953125</v>
      </c>
      <c r="T85">
        <v>523.21058206421105</v>
      </c>
      <c r="U85">
        <v>582.27710731770196</v>
      </c>
      <c r="V85">
        <v>0.03</v>
      </c>
      <c r="W85">
        <v>65330.456765297</v>
      </c>
      <c r="X85">
        <v>3.06170850033569E-2</v>
      </c>
      <c r="Y85">
        <v>5.71502428279324</v>
      </c>
      <c r="Z85">
        <v>5.7150243315446003</v>
      </c>
      <c r="AA85">
        <v>-4.8751357617504703E-8</v>
      </c>
      <c r="AB85">
        <v>1.10239840215693E-5</v>
      </c>
      <c r="AC85">
        <v>742.592173211106</v>
      </c>
      <c r="AD85">
        <v>2020.79670666674</v>
      </c>
      <c r="AE85">
        <v>582.27710731770196</v>
      </c>
      <c r="AF85">
        <v>0</v>
      </c>
      <c r="AG85">
        <v>1.11421369329449E-5</v>
      </c>
      <c r="AH85">
        <v>32.974509272747099</v>
      </c>
      <c r="AI85">
        <v>0.24260126063117199</v>
      </c>
      <c r="AJ85">
        <v>23.638838445485401</v>
      </c>
      <c r="AK85">
        <v>6.5898084113481596</v>
      </c>
      <c r="AL85">
        <v>1.5871354414155801</v>
      </c>
      <c r="AM85">
        <v>626.57723580225104</v>
      </c>
      <c r="AN85">
        <v>3.57168801201624E-8</v>
      </c>
      <c r="AO85">
        <v>1.18152911375557E-7</v>
      </c>
      <c r="AP85">
        <v>2.4990130844020899</v>
      </c>
      <c r="AQ85">
        <v>3.03024183495054E-5</v>
      </c>
      <c r="AR85">
        <v>5.6301449221602101E-6</v>
      </c>
      <c r="AS85">
        <v>11.944754138328401</v>
      </c>
      <c r="AT85">
        <v>9.3514609887771503</v>
      </c>
      <c r="AU85">
        <v>2.2686762246205601</v>
      </c>
      <c r="AV85">
        <v>0.23033685978153201</v>
      </c>
      <c r="AW85">
        <v>8.7452204862162094E-3</v>
      </c>
      <c r="AX85">
        <v>0.23033685152251501</v>
      </c>
      <c r="AY85">
        <v>8.2590171923691003E-9</v>
      </c>
      <c r="AZ85">
        <v>839091.99888317997</v>
      </c>
      <c r="BA85">
        <v>1.21257541781761E-5</v>
      </c>
      <c r="BB85">
        <v>4580759.4082100997</v>
      </c>
      <c r="BC85">
        <v>30733.138678850599</v>
      </c>
      <c r="BD85">
        <v>0.67544969761277396</v>
      </c>
      <c r="BE85">
        <v>3817053.9</v>
      </c>
      <c r="BF85">
        <v>1.20007721353112</v>
      </c>
      <c r="BG85">
        <v>1</v>
      </c>
      <c r="BH85">
        <v>-6.8000000000000005E-2</v>
      </c>
      <c r="BI85">
        <v>4.5999999999999999E-2</v>
      </c>
      <c r="BJ85">
        <v>5625</v>
      </c>
      <c r="BK85">
        <v>1.02252902442614</v>
      </c>
      <c r="BL85">
        <v>103.36665377375699</v>
      </c>
      <c r="BM85">
        <v>4.5807594082101</v>
      </c>
      <c r="BN85">
        <v>103.36665377375699</v>
      </c>
      <c r="BO85">
        <v>1.02252902442614</v>
      </c>
      <c r="BP85">
        <v>4015.3328104831899</v>
      </c>
      <c r="BQ85">
        <v>1</v>
      </c>
      <c r="BR85">
        <v>0.15240000000000001</v>
      </c>
      <c r="BS85">
        <v>84</v>
      </c>
      <c r="BT85">
        <v>171</v>
      </c>
      <c r="BU85" t="s">
        <v>304</v>
      </c>
      <c r="BV85" t="str">
        <f>"Table "&amp;TRIM(RIGHT(SUBSTITUTE($A85,"_",REPT(" ",50)),50))</f>
        <v>Table 12</v>
      </c>
      <c r="BW85">
        <f>$BR85/$Q85</f>
        <v>80</v>
      </c>
      <c r="BX85" t="str">
        <f>IF($BW85&lt;40,"outside_low",IF($BW85&lt;=100,"short_anchor",IF($BW85&lt;250,"middle",IF($BW85&lt;=400,"long","outside_high"))))</f>
        <v>short_anchor</v>
      </c>
      <c r="BY85" t="str">
        <f>IF($N85&gt;1000,"PASS","FAIL")</f>
        <v>PASS</v>
      </c>
      <c r="BZ85" t="str">
        <f>IF(AND($BW85&gt;=40,$BW85&lt;=400),"PASS","FAIL")</f>
        <v>PASS</v>
      </c>
    </row>
    <row r="86" spans="1:78">
      <c r="A86" t="s">
        <v>240</v>
      </c>
      <c r="B86">
        <v>17236893.2329209</v>
      </c>
      <c r="C86">
        <v>626.57723583796803</v>
      </c>
      <c r="D86">
        <v>122.583590976701</v>
      </c>
      <c r="E86">
        <v>560.26337686439001</v>
      </c>
      <c r="F86">
        <v>2538890.6454807199</v>
      </c>
      <c r="G86">
        <v>1699798.64659754</v>
      </c>
      <c r="H86">
        <v>2.4290890628326198E-5</v>
      </c>
      <c r="I86">
        <v>6.4066005508525405E-5</v>
      </c>
      <c r="J86">
        <v>0.452884810527584</v>
      </c>
      <c r="K86">
        <v>11219.515372648901</v>
      </c>
      <c r="L86">
        <v>3.02925386118211E-3</v>
      </c>
      <c r="M86">
        <v>171</v>
      </c>
      <c r="N86">
        <v>2210.6549</v>
      </c>
      <c r="O86">
        <v>2.8502295699234199E-6</v>
      </c>
      <c r="P86">
        <v>5.98473400508856E-3</v>
      </c>
      <c r="Q86">
        <v>1.905E-3</v>
      </c>
      <c r="R86">
        <v>0.15240000000000001</v>
      </c>
      <c r="S86">
        <v>4855579.98046875</v>
      </c>
      <c r="T86">
        <v>508.15729880951102</v>
      </c>
      <c r="U86">
        <v>570.80368758220595</v>
      </c>
      <c r="V86">
        <v>0.03</v>
      </c>
      <c r="W86">
        <v>65733.731189774204</v>
      </c>
      <c r="X86">
        <v>3.0534849970872299E-2</v>
      </c>
      <c r="Y86">
        <v>5.7227148266235099</v>
      </c>
      <c r="Z86">
        <v>5.7227148750663401</v>
      </c>
      <c r="AA86">
        <v>-4.8442837297102401E-8</v>
      </c>
      <c r="AB86">
        <v>1.0918461443926301E-5</v>
      </c>
      <c r="AC86">
        <v>754.05953210533198</v>
      </c>
      <c r="AD86">
        <v>2030.5383233820601</v>
      </c>
      <c r="AE86">
        <v>570.80368914655003</v>
      </c>
      <c r="AF86">
        <v>1.5643440747226099E-6</v>
      </c>
      <c r="AG86">
        <v>1.10432458176414E-5</v>
      </c>
      <c r="AH86">
        <v>33.2931947608852</v>
      </c>
      <c r="AI86">
        <v>0.24377076397009001</v>
      </c>
      <c r="AJ86">
        <v>23.541977792388</v>
      </c>
      <c r="AK86">
        <v>7.2503442617490599</v>
      </c>
      <c r="AL86">
        <v>1.5871354414155801</v>
      </c>
      <c r="AM86">
        <v>626.57723582966798</v>
      </c>
      <c r="AN86">
        <v>8.2997075878665799E-9</v>
      </c>
      <c r="AO86">
        <v>1.2478437371515499E-7</v>
      </c>
      <c r="AP86">
        <v>2.5062277046867698</v>
      </c>
      <c r="AQ86">
        <v>3.0128207703871501E-5</v>
      </c>
      <c r="AR86">
        <v>5.5840150956782901E-6</v>
      </c>
      <c r="AS86">
        <v>11.903996483064301</v>
      </c>
      <c r="AT86">
        <v>9.3343709132459107</v>
      </c>
      <c r="AU86">
        <v>2.27544672870214</v>
      </c>
      <c r="AV86">
        <v>0.230780975984621</v>
      </c>
      <c r="AW86">
        <v>8.6615104403782693E-3</v>
      </c>
      <c r="AX86">
        <v>0.23078097020959901</v>
      </c>
      <c r="AY86">
        <v>5.7750227100417098E-9</v>
      </c>
      <c r="AZ86">
        <v>839091.99888317997</v>
      </c>
      <c r="BA86">
        <v>1.20213369469702E-5</v>
      </c>
      <c r="BB86">
        <v>4879881.1848129798</v>
      </c>
      <c r="BC86">
        <v>24301.204344229802</v>
      </c>
      <c r="BD86">
        <v>0.50047995176641602</v>
      </c>
      <c r="BE86">
        <v>4353334.2</v>
      </c>
      <c r="BF86">
        <v>1.1209525758010901</v>
      </c>
      <c r="BG86">
        <v>1</v>
      </c>
      <c r="BH86">
        <v>-6.3E-2</v>
      </c>
      <c r="BI86">
        <v>4.5999999999999999E-2</v>
      </c>
      <c r="BJ86">
        <v>5625</v>
      </c>
      <c r="BK86">
        <v>1.01541535040181</v>
      </c>
      <c r="BL86">
        <v>118.419937028457</v>
      </c>
      <c r="BM86">
        <v>4.8798811848129802</v>
      </c>
      <c r="BN86">
        <v>118.419937028457</v>
      </c>
      <c r="BO86">
        <v>1.01541535040181</v>
      </c>
      <c r="BP86">
        <v>6149.6865235471596</v>
      </c>
      <c r="BQ86">
        <v>1</v>
      </c>
      <c r="BR86">
        <v>0.15240000000000001</v>
      </c>
      <c r="BS86">
        <v>85</v>
      </c>
      <c r="BT86">
        <v>172</v>
      </c>
      <c r="BU86" t="s">
        <v>304</v>
      </c>
      <c r="BV86" t="str">
        <f>"Table "&amp;TRIM(RIGHT(SUBSTITUTE($A86,"_",REPT(" ",50)),50))</f>
        <v>Table 12</v>
      </c>
      <c r="BW86">
        <f>$BR86/$Q86</f>
        <v>80</v>
      </c>
      <c r="BX86" t="str">
        <f>IF($BW86&lt;40,"outside_low",IF($BW86&lt;=100,"short_anchor",IF($BW86&lt;250,"middle",IF($BW86&lt;=400,"long","outside_high"))))</f>
        <v>short_anchor</v>
      </c>
      <c r="BY86" t="str">
        <f>IF($N86&gt;1000,"PASS","FAIL")</f>
        <v>PASS</v>
      </c>
      <c r="BZ86" t="str">
        <f>IF(AND($BW86&gt;=40,$BW86&lt;=400),"PASS","FAIL")</f>
        <v>PASS</v>
      </c>
    </row>
    <row r="87" spans="1:78">
      <c r="A87" t="s">
        <v>241</v>
      </c>
      <c r="B87">
        <v>17236893.2329209</v>
      </c>
      <c r="C87">
        <v>626.57723583796803</v>
      </c>
      <c r="D87">
        <v>122.583590976701</v>
      </c>
      <c r="E87">
        <v>560.26337686439001</v>
      </c>
      <c r="F87">
        <v>2538890.6454807199</v>
      </c>
      <c r="G87">
        <v>1699798.64659754</v>
      </c>
      <c r="H87">
        <v>2.4290890628326198E-5</v>
      </c>
      <c r="I87">
        <v>6.4066005508525405E-5</v>
      </c>
      <c r="J87">
        <v>0.452884810527584</v>
      </c>
      <c r="K87">
        <v>11219.515372648901</v>
      </c>
      <c r="L87">
        <v>3.02925386118211E-3</v>
      </c>
      <c r="M87">
        <v>172</v>
      </c>
      <c r="N87">
        <v>2210.6549</v>
      </c>
      <c r="O87">
        <v>2.8502295699234199E-6</v>
      </c>
      <c r="P87">
        <v>5.98473400508856E-3</v>
      </c>
      <c r="Q87">
        <v>1.905E-3</v>
      </c>
      <c r="R87">
        <v>0.15240000000000001</v>
      </c>
      <c r="S87">
        <v>4564452.63671875</v>
      </c>
      <c r="T87">
        <v>523.21058206421105</v>
      </c>
      <c r="U87">
        <v>582.10086408296797</v>
      </c>
      <c r="V87">
        <v>0.03</v>
      </c>
      <c r="W87">
        <v>65733.731189774204</v>
      </c>
      <c r="X87">
        <v>3.0534849970872299E-2</v>
      </c>
      <c r="Y87">
        <v>5.7227148266235099</v>
      </c>
      <c r="Z87">
        <v>5.7227148750663401</v>
      </c>
      <c r="AA87">
        <v>-4.8442837297102401E-8</v>
      </c>
      <c r="AB87">
        <v>1.0918461443926301E-5</v>
      </c>
      <c r="AC87">
        <v>742.259450029145</v>
      </c>
      <c r="AD87">
        <v>2030.5383233820601</v>
      </c>
      <c r="AE87">
        <v>582.10086553761198</v>
      </c>
      <c r="AF87">
        <v>1.45464412071306E-6</v>
      </c>
      <c r="AG87">
        <v>1.1035236207898E-5</v>
      </c>
      <c r="AH87">
        <v>33.2931947608852</v>
      </c>
      <c r="AI87">
        <v>0.24377076397009001</v>
      </c>
      <c r="AJ87">
        <v>23.524902916231198</v>
      </c>
      <c r="AK87">
        <v>6.5807077370559002</v>
      </c>
      <c r="AL87">
        <v>1.5871354414155801</v>
      </c>
      <c r="AM87">
        <v>626.57723583202403</v>
      </c>
      <c r="AN87">
        <v>5.9443436839501398E-9</v>
      </c>
      <c r="AO87">
        <v>1.1677476397172201E-7</v>
      </c>
      <c r="AP87">
        <v>2.5046257551412099</v>
      </c>
      <c r="AQ87">
        <v>3.01667598134937E-5</v>
      </c>
      <c r="AR87">
        <v>5.57600548593486E-6</v>
      </c>
      <c r="AS87">
        <v>11.8869216069074</v>
      </c>
      <c r="AT87">
        <v>9.3271938555871792</v>
      </c>
      <c r="AU87">
        <v>2.2736971718736201</v>
      </c>
      <c r="AV87">
        <v>0.230928583267588</v>
      </c>
      <c r="AW87">
        <v>8.6615104403782693E-3</v>
      </c>
      <c r="AX87">
        <v>0.230928576880812</v>
      </c>
      <c r="AY87">
        <v>6.3867758026692201E-9</v>
      </c>
      <c r="AZ87">
        <v>839091.99888317997</v>
      </c>
      <c r="BA87">
        <v>1.20444181137924E-5</v>
      </c>
      <c r="BB87">
        <v>4557902.0646857303</v>
      </c>
      <c r="BC87">
        <v>-6550.5720330169397</v>
      </c>
      <c r="BD87">
        <v>-0.14351276164683699</v>
      </c>
      <c r="BE87">
        <v>3785508</v>
      </c>
      <c r="BF87">
        <v>1.2040397391012601</v>
      </c>
      <c r="BG87">
        <v>1</v>
      </c>
      <c r="BH87">
        <v>-7.8E-2</v>
      </c>
      <c r="BI87">
        <v>4.5999999999999999E-2</v>
      </c>
      <c r="BJ87">
        <v>5625</v>
      </c>
      <c r="BK87">
        <v>1.02252902442614</v>
      </c>
      <c r="BL87">
        <v>103.36665377375699</v>
      </c>
      <c r="BM87">
        <v>4.55790206468573</v>
      </c>
      <c r="BN87">
        <v>103.36665377375699</v>
      </c>
      <c r="BO87">
        <v>1.02252902442614</v>
      </c>
      <c r="BP87">
        <v>4015.3328104831899</v>
      </c>
      <c r="BQ87">
        <v>1</v>
      </c>
      <c r="BR87">
        <v>0.15240000000000001</v>
      </c>
      <c r="BS87">
        <v>86</v>
      </c>
      <c r="BT87">
        <v>173</v>
      </c>
      <c r="BU87" t="s">
        <v>304</v>
      </c>
      <c r="BV87" t="str">
        <f>"Table "&amp;TRIM(RIGHT(SUBSTITUTE($A87,"_",REPT(" ",50)),50))</f>
        <v>Table 12</v>
      </c>
      <c r="BW87">
        <f>$BR87/$Q87</f>
        <v>80</v>
      </c>
      <c r="BX87" t="str">
        <f>IF($BW87&lt;40,"outside_low",IF($BW87&lt;=100,"short_anchor",IF($BW87&lt;250,"middle",IF($BW87&lt;=400,"long","outside_high"))))</f>
        <v>short_anchor</v>
      </c>
      <c r="BY87" t="str">
        <f>IF($N87&gt;1000,"PASS","FAIL")</f>
        <v>PASS</v>
      </c>
      <c r="BZ87" t="str">
        <f>IF(AND($BW87&gt;=40,$BW87&lt;=400),"PASS","FAIL")</f>
        <v>PASS</v>
      </c>
    </row>
    <row r="88" spans="1:78">
      <c r="A88" t="s">
        <v>242</v>
      </c>
      <c r="B88">
        <v>17236893.2329209</v>
      </c>
      <c r="C88">
        <v>626.57723583796803</v>
      </c>
      <c r="D88">
        <v>122.583590976701</v>
      </c>
      <c r="E88">
        <v>560.26337686439001</v>
      </c>
      <c r="F88">
        <v>2538890.6454807199</v>
      </c>
      <c r="G88">
        <v>1699798.64659754</v>
      </c>
      <c r="H88">
        <v>2.4290890628326198E-5</v>
      </c>
      <c r="I88">
        <v>6.4066005508525405E-5</v>
      </c>
      <c r="J88">
        <v>0.452884810527584</v>
      </c>
      <c r="K88">
        <v>11219.515372648901</v>
      </c>
      <c r="L88">
        <v>3.02925386118211E-3</v>
      </c>
      <c r="M88">
        <v>173</v>
      </c>
      <c r="N88">
        <v>2766.7091999999998</v>
      </c>
      <c r="O88">
        <v>2.8502295699234199E-6</v>
      </c>
      <c r="P88">
        <v>5.98473400508856E-3</v>
      </c>
      <c r="Q88">
        <v>1.905E-3</v>
      </c>
      <c r="R88">
        <v>0.15240000000000001</v>
      </c>
      <c r="S88">
        <v>5212428.61328125</v>
      </c>
      <c r="T88">
        <v>519.29568547134102</v>
      </c>
      <c r="U88">
        <v>573.03009566495803</v>
      </c>
      <c r="V88">
        <v>0.03</v>
      </c>
      <c r="W88">
        <v>82267.982593337001</v>
      </c>
      <c r="X88">
        <v>2.77491536244742E-2</v>
      </c>
      <c r="Y88">
        <v>6.00309379981202</v>
      </c>
      <c r="Z88">
        <v>6.00309380657938</v>
      </c>
      <c r="AA88">
        <v>-6.76735467664002E-9</v>
      </c>
      <c r="AB88">
        <v>7.6704769287397103E-6</v>
      </c>
      <c r="AC88">
        <v>733.24730748020295</v>
      </c>
      <c r="AD88">
        <v>2422.5945115211698</v>
      </c>
      <c r="AE88">
        <v>573.03009702484098</v>
      </c>
      <c r="AF88">
        <v>1.3598829582406301E-6</v>
      </c>
      <c r="AG88">
        <v>7.77408085954013E-6</v>
      </c>
      <c r="AH88">
        <v>47.390855447313001</v>
      </c>
      <c r="AI88">
        <v>0.29083800490878298</v>
      </c>
      <c r="AJ88">
        <v>19.7726463227755</v>
      </c>
      <c r="AK88">
        <v>6.4148716848379204</v>
      </c>
      <c r="AL88">
        <v>1.5871354414155801</v>
      </c>
      <c r="AM88">
        <v>626.57723581701998</v>
      </c>
      <c r="AN88">
        <v>2.0947936718584999E-8</v>
      </c>
      <c r="AO88">
        <v>1.0360393080042E-7</v>
      </c>
      <c r="AP88">
        <v>2.71786624838033</v>
      </c>
      <c r="AQ88">
        <v>2.5618764937617E-5</v>
      </c>
      <c r="AR88">
        <v>3.9388423951702698E-6</v>
      </c>
      <c r="AS88">
        <v>10.018076607124801</v>
      </c>
      <c r="AT88">
        <v>8.4719556092708199</v>
      </c>
      <c r="AU88">
        <v>2.4639666670760998</v>
      </c>
      <c r="AV88">
        <v>0.25389958130423002</v>
      </c>
      <c r="AW88">
        <v>6.0849155663701901E-3</v>
      </c>
      <c r="AX88">
        <v>0.253899578153094</v>
      </c>
      <c r="AY88">
        <v>3.15113646287557E-9</v>
      </c>
      <c r="AZ88">
        <v>839091.99888317997</v>
      </c>
      <c r="BA88">
        <v>9.4260580162412701E-6</v>
      </c>
      <c r="BB88">
        <v>5167112.7606508499</v>
      </c>
      <c r="BC88">
        <v>-45315.852630401998</v>
      </c>
      <c r="BD88">
        <v>-0.86938078182859602</v>
      </c>
      <c r="BE88">
        <v>4952706.3</v>
      </c>
      <c r="BF88">
        <v>1.0432907682514601</v>
      </c>
      <c r="BG88">
        <v>1</v>
      </c>
      <c r="BH88">
        <v>-7.0000000000000007E-2</v>
      </c>
      <c r="BI88">
        <v>4.5999999999999999E-2</v>
      </c>
      <c r="BJ88">
        <v>5625</v>
      </c>
      <c r="BK88">
        <v>1.02057086396692</v>
      </c>
      <c r="BL88">
        <v>107.281550366627</v>
      </c>
      <c r="BM88">
        <v>5.1671127606508502</v>
      </c>
      <c r="BN88">
        <v>107.281550366627</v>
      </c>
      <c r="BO88">
        <v>1.02057086396692</v>
      </c>
      <c r="BP88">
        <v>4526.8070197369698</v>
      </c>
      <c r="BQ88">
        <v>1</v>
      </c>
      <c r="BR88">
        <v>0.15240000000000001</v>
      </c>
      <c r="BS88">
        <v>87</v>
      </c>
      <c r="BT88">
        <v>174</v>
      </c>
      <c r="BU88" t="s">
        <v>304</v>
      </c>
      <c r="BV88" t="str">
        <f>"Table "&amp;TRIM(RIGHT(SUBSTITUTE($A88,"_",REPT(" ",50)),50))</f>
        <v>Table 12</v>
      </c>
      <c r="BW88">
        <f>$BR88/$Q88</f>
        <v>80</v>
      </c>
      <c r="BX88" t="str">
        <f>IF($BW88&lt;40,"outside_low",IF($BW88&lt;=100,"short_anchor",IF($BW88&lt;250,"middle",IF($BW88&lt;=400,"long","outside_high"))))</f>
        <v>short_anchor</v>
      </c>
      <c r="BY88" t="str">
        <f>IF($N88&gt;1000,"PASS","FAIL")</f>
        <v>PASS</v>
      </c>
      <c r="BZ88" t="str">
        <f>IF(AND($BW88&gt;=40,$BW88&lt;=400),"PASS","FAIL")</f>
        <v>PASS</v>
      </c>
    </row>
    <row r="89" spans="1:78">
      <c r="A89" t="s">
        <v>243</v>
      </c>
      <c r="B89">
        <v>17236893.2329209</v>
      </c>
      <c r="C89">
        <v>626.57723583796803</v>
      </c>
      <c r="D89">
        <v>122.583590976701</v>
      </c>
      <c r="E89">
        <v>560.26337686439001</v>
      </c>
      <c r="F89">
        <v>2538890.6454807199</v>
      </c>
      <c r="G89">
        <v>1699798.64659754</v>
      </c>
      <c r="H89">
        <v>2.4290890628326198E-5</v>
      </c>
      <c r="I89">
        <v>6.4066005508525405E-5</v>
      </c>
      <c r="J89">
        <v>0.452884810527584</v>
      </c>
      <c r="K89">
        <v>11219.515372648901</v>
      </c>
      <c r="L89">
        <v>3.02925386118211E-3</v>
      </c>
      <c r="M89">
        <v>174</v>
      </c>
      <c r="N89">
        <v>2820.9584</v>
      </c>
      <c r="O89">
        <v>2.8502295699234199E-6</v>
      </c>
      <c r="P89">
        <v>5.98473400508856E-3</v>
      </c>
      <c r="Q89">
        <v>1.905E-3</v>
      </c>
      <c r="R89">
        <v>0.15240000000000001</v>
      </c>
      <c r="S89">
        <v>4621458.10546875</v>
      </c>
      <c r="T89">
        <v>551.03814075669595</v>
      </c>
      <c r="U89">
        <v>597.76409926617498</v>
      </c>
      <c r="V89">
        <v>0.03</v>
      </c>
      <c r="W89">
        <v>83881.080291245598</v>
      </c>
      <c r="X89">
        <v>2.7526308797267501E-2</v>
      </c>
      <c r="Y89">
        <v>6.0273444501828601</v>
      </c>
      <c r="Z89">
        <v>6.02734448036861</v>
      </c>
      <c r="AA89">
        <v>-3.0185753452372001E-8</v>
      </c>
      <c r="AB89">
        <v>7.4380277893052797E-6</v>
      </c>
      <c r="AC89">
        <v>710.43627509271801</v>
      </c>
      <c r="AD89">
        <v>2460.15808360652</v>
      </c>
      <c r="AE89">
        <v>597.76410041112194</v>
      </c>
      <c r="AF89">
        <v>1.14494662284415E-6</v>
      </c>
      <c r="AG89">
        <v>7.5285639347693804E-6</v>
      </c>
      <c r="AH89">
        <v>48.871888306806902</v>
      </c>
      <c r="AI89">
        <v>0.29534759754204998</v>
      </c>
      <c r="AJ89">
        <v>19.445099655718</v>
      </c>
      <c r="AK89">
        <v>5.0711978747372397</v>
      </c>
      <c r="AL89">
        <v>1.5871354414155801</v>
      </c>
      <c r="AM89">
        <v>626.577235843739</v>
      </c>
      <c r="AN89">
        <v>-5.7711986301001203E-9</v>
      </c>
      <c r="AO89">
        <v>9.0536145464103296E-8</v>
      </c>
      <c r="AP89">
        <v>2.7320995024991799</v>
      </c>
      <c r="AQ89">
        <v>2.5352531168378799E-5</v>
      </c>
      <c r="AR89">
        <v>3.8095500401167401E-6</v>
      </c>
      <c r="AS89">
        <v>9.8394701586317499</v>
      </c>
      <c r="AT89">
        <v>8.3820093197346299</v>
      </c>
      <c r="AU89">
        <v>2.4756063151587</v>
      </c>
      <c r="AV89">
        <v>0.25649318734047599</v>
      </c>
      <c r="AW89">
        <v>5.9005158999512301E-3</v>
      </c>
      <c r="AX89">
        <v>0.25649318664311699</v>
      </c>
      <c r="AY89">
        <v>6.9735911489843302E-10</v>
      </c>
      <c r="AZ89">
        <v>839091.99888317997</v>
      </c>
      <c r="BA89">
        <v>9.2795050638484002E-6</v>
      </c>
      <c r="BB89">
        <v>4586685.9182813298</v>
      </c>
      <c r="BC89">
        <v>-34772.1871874239</v>
      </c>
      <c r="BD89">
        <v>-0.75240727912856498</v>
      </c>
      <c r="BE89">
        <v>4132512.9</v>
      </c>
      <c r="BF89">
        <v>1.1099023836758799</v>
      </c>
      <c r="BG89">
        <v>1</v>
      </c>
      <c r="BH89">
        <v>-1.0999999999999999E-2</v>
      </c>
      <c r="BI89">
        <v>4.5999999999999999E-2</v>
      </c>
      <c r="BJ89">
        <v>5625</v>
      </c>
      <c r="BK89">
        <v>1.0367487133264599</v>
      </c>
      <c r="BL89">
        <v>75.539095081272094</v>
      </c>
      <c r="BM89">
        <v>4.5866859182813302</v>
      </c>
      <c r="BN89">
        <v>75.539095081272094</v>
      </c>
      <c r="BO89">
        <v>1.0367487133264599</v>
      </c>
      <c r="BP89">
        <v>1263.0272791957</v>
      </c>
      <c r="BQ89">
        <v>1</v>
      </c>
      <c r="BR89">
        <v>0.15240000000000001</v>
      </c>
      <c r="BS89">
        <v>88</v>
      </c>
      <c r="BT89">
        <v>175</v>
      </c>
      <c r="BU89" t="s">
        <v>304</v>
      </c>
      <c r="BV89" t="str">
        <f>"Table "&amp;TRIM(RIGHT(SUBSTITUTE($A89,"_",REPT(" ",50)),50))</f>
        <v>Table 12</v>
      </c>
      <c r="BW89">
        <f>$BR89/$Q89</f>
        <v>80</v>
      </c>
      <c r="BX89" t="str">
        <f>IF($BW89&lt;40,"outside_low",IF($BW89&lt;=100,"short_anchor",IF($BW89&lt;250,"middle",IF($BW89&lt;=400,"long","outside_high"))))</f>
        <v>short_anchor</v>
      </c>
      <c r="BY89" t="str">
        <f>IF($N89&gt;1000,"PASS","FAIL")</f>
        <v>PASS</v>
      </c>
      <c r="BZ89" t="str">
        <f>IF(AND($BW89&gt;=40,$BW89&lt;=400),"PASS","FAIL")</f>
        <v>PASS</v>
      </c>
    </row>
    <row r="90" spans="1:78">
      <c r="A90" t="s">
        <v>244</v>
      </c>
      <c r="B90">
        <v>17236893.2329209</v>
      </c>
      <c r="C90">
        <v>626.57723583796803</v>
      </c>
      <c r="D90">
        <v>122.583590976701</v>
      </c>
      <c r="E90">
        <v>560.26337686439001</v>
      </c>
      <c r="F90">
        <v>2538890.6454807199</v>
      </c>
      <c r="G90">
        <v>1699798.64659754</v>
      </c>
      <c r="H90">
        <v>2.4290890628326198E-5</v>
      </c>
      <c r="I90">
        <v>6.4066005508525405E-5</v>
      </c>
      <c r="J90">
        <v>0.452884810527584</v>
      </c>
      <c r="K90">
        <v>11219.515372648901</v>
      </c>
      <c r="L90">
        <v>3.02925386118211E-3</v>
      </c>
      <c r="M90">
        <v>175</v>
      </c>
      <c r="N90">
        <v>2848.0830000000001</v>
      </c>
      <c r="O90">
        <v>2.8502295699234199E-6</v>
      </c>
      <c r="P90">
        <v>5.98473400508856E-3</v>
      </c>
      <c r="Q90">
        <v>1.905E-3</v>
      </c>
      <c r="R90">
        <v>0.15240000000000001</v>
      </c>
      <c r="S90">
        <v>6442211.9140625</v>
      </c>
      <c r="T90">
        <v>474.87307781161599</v>
      </c>
      <c r="U90">
        <v>539.38771295293895</v>
      </c>
      <c r="V90">
        <v>0.03</v>
      </c>
      <c r="W90">
        <v>84687.629140199904</v>
      </c>
      <c r="X90">
        <v>2.74174892535737E-2</v>
      </c>
      <c r="Y90">
        <v>6.0392938184881597</v>
      </c>
      <c r="Z90">
        <v>6.0392938316842102</v>
      </c>
      <c r="AA90">
        <v>-1.31960531390973E-8</v>
      </c>
      <c r="AB90">
        <v>7.3259874902453803E-6</v>
      </c>
      <c r="AC90">
        <v>764.98388724176402</v>
      </c>
      <c r="AD90">
        <v>2478.8989676378101</v>
      </c>
      <c r="AE90">
        <v>539.38771295293895</v>
      </c>
      <c r="AF90">
        <v>0</v>
      </c>
      <c r="AG90">
        <v>7.4510234510848599E-6</v>
      </c>
      <c r="AH90">
        <v>49.619312594496101</v>
      </c>
      <c r="AI90">
        <v>0.29759748347878701</v>
      </c>
      <c r="AJ90">
        <v>19.3914271293852</v>
      </c>
      <c r="AK90">
        <v>8.3775878914544997</v>
      </c>
      <c r="AL90">
        <v>1.5871354414155801</v>
      </c>
      <c r="AM90">
        <v>626.57723587478699</v>
      </c>
      <c r="AN90">
        <v>-3.6818505577684799E-8</v>
      </c>
      <c r="AO90">
        <v>1.2503596083948199E-7</v>
      </c>
      <c r="AP90">
        <v>2.75374326888323</v>
      </c>
      <c r="AQ90">
        <v>2.4955567626417699E-5</v>
      </c>
      <c r="AR90">
        <v>3.7880297059621702E-6</v>
      </c>
      <c r="AS90">
        <v>9.8584177716440706</v>
      </c>
      <c r="AT90">
        <v>8.3916284316532792</v>
      </c>
      <c r="AU90">
        <v>2.4973275035490601</v>
      </c>
      <c r="AV90">
        <v>0.25641576533417598</v>
      </c>
      <c r="AW90">
        <v>5.8116354084063104E-3</v>
      </c>
      <c r="AX90">
        <v>0.25641575657716198</v>
      </c>
      <c r="AY90">
        <v>8.7570138918024992E-9</v>
      </c>
      <c r="AZ90">
        <v>839091.99888317997</v>
      </c>
      <c r="BA90">
        <v>9.0624162057555399E-6</v>
      </c>
      <c r="BB90">
        <v>6486235.9999197396</v>
      </c>
      <c r="BC90">
        <v>44024.0858572414</v>
      </c>
      <c r="BD90">
        <v>0.68336910434664</v>
      </c>
      <c r="BE90">
        <v>6056812.7999999998</v>
      </c>
      <c r="BF90">
        <v>1.0708992029470901</v>
      </c>
      <c r="BG90">
        <v>1</v>
      </c>
      <c r="BH90">
        <v>-0.182</v>
      </c>
      <c r="BI90">
        <v>4.5999999999999999E-2</v>
      </c>
      <c r="BJ90">
        <v>5625</v>
      </c>
      <c r="BK90">
        <v>1.0050046249620901</v>
      </c>
      <c r="BL90">
        <v>151.70415802635199</v>
      </c>
      <c r="BM90">
        <v>6.4862359999197396</v>
      </c>
      <c r="BN90">
        <v>151.70415802635199</v>
      </c>
      <c r="BO90">
        <v>1.0050046249620901</v>
      </c>
      <c r="BP90">
        <v>12477.818920376199</v>
      </c>
      <c r="BQ90">
        <v>1</v>
      </c>
      <c r="BR90">
        <v>0.15240000000000001</v>
      </c>
      <c r="BS90">
        <v>89</v>
      </c>
      <c r="BT90">
        <v>176</v>
      </c>
      <c r="BU90" t="s">
        <v>304</v>
      </c>
      <c r="BV90" t="str">
        <f>"Table "&amp;TRIM(RIGHT(SUBSTITUTE($A90,"_",REPT(" ",50)),50))</f>
        <v>Table 12</v>
      </c>
      <c r="BW90">
        <f>$BR90/$Q90</f>
        <v>80</v>
      </c>
      <c r="BX90" t="str">
        <f>IF($BW90&lt;40,"outside_low",IF($BW90&lt;=100,"short_anchor",IF($BW90&lt;250,"middle",IF($BW90&lt;=400,"long","outside_high"))))</f>
        <v>short_anchor</v>
      </c>
      <c r="BY90" t="str">
        <f>IF($N90&gt;1000,"PASS","FAIL")</f>
        <v>PASS</v>
      </c>
      <c r="BZ90" t="str">
        <f>IF(AND($BW90&gt;=40,$BW90&lt;=400),"PASS","FAIL")</f>
        <v>PASS</v>
      </c>
    </row>
    <row r="91" spans="1:78">
      <c r="A91" t="s">
        <v>245</v>
      </c>
      <c r="B91">
        <v>17236893.2329209</v>
      </c>
      <c r="C91">
        <v>626.57723583796803</v>
      </c>
      <c r="D91">
        <v>122.583590976701</v>
      </c>
      <c r="E91">
        <v>560.26337686439001</v>
      </c>
      <c r="F91">
        <v>2538890.6454807199</v>
      </c>
      <c r="G91">
        <v>1699798.64659754</v>
      </c>
      <c r="H91">
        <v>2.4290890628326198E-5</v>
      </c>
      <c r="I91">
        <v>6.4066005508525405E-5</v>
      </c>
      <c r="J91">
        <v>0.452884810527584</v>
      </c>
      <c r="K91">
        <v>11219.515372648901</v>
      </c>
      <c r="L91">
        <v>3.02925386118211E-3</v>
      </c>
      <c r="M91">
        <v>176</v>
      </c>
      <c r="N91">
        <v>2848.0830000000001</v>
      </c>
      <c r="O91">
        <v>2.8502295699234199E-6</v>
      </c>
      <c r="P91">
        <v>5.98473400508856E-3</v>
      </c>
      <c r="Q91">
        <v>1.905E-3</v>
      </c>
      <c r="R91">
        <v>0.15240000000000001</v>
      </c>
      <c r="S91">
        <v>4634179.19921875</v>
      </c>
      <c r="T91">
        <v>551.548441132118</v>
      </c>
      <c r="U91">
        <v>597.95678413686903</v>
      </c>
      <c r="V91">
        <v>0.03</v>
      </c>
      <c r="W91">
        <v>84687.629140199904</v>
      </c>
      <c r="X91">
        <v>2.74174892535737E-2</v>
      </c>
      <c r="Y91">
        <v>6.0392938184881597</v>
      </c>
      <c r="Z91">
        <v>6.0392938316842102</v>
      </c>
      <c r="AA91">
        <v>-1.31960531390973E-8</v>
      </c>
      <c r="AB91">
        <v>7.3259874902453803E-6</v>
      </c>
      <c r="AC91">
        <v>709.68800460609498</v>
      </c>
      <c r="AD91">
        <v>2478.8989676378101</v>
      </c>
      <c r="AE91">
        <v>597.95678527431699</v>
      </c>
      <c r="AF91">
        <v>1.1374478390280299E-6</v>
      </c>
      <c r="AG91">
        <v>7.4166712282291604E-6</v>
      </c>
      <c r="AH91">
        <v>49.619312594496101</v>
      </c>
      <c r="AI91">
        <v>0.29759748347878701</v>
      </c>
      <c r="AJ91">
        <v>19.302024830410801</v>
      </c>
      <c r="AK91">
        <v>5.0383859883986597</v>
      </c>
      <c r="AL91">
        <v>1.5871354414155801</v>
      </c>
      <c r="AM91">
        <v>626.57723588671195</v>
      </c>
      <c r="AN91">
        <v>-4.8743913794169202E-8</v>
      </c>
      <c r="AO91">
        <v>9.0683737983785204E-8</v>
      </c>
      <c r="AP91">
        <v>2.7413471896824899</v>
      </c>
      <c r="AQ91">
        <v>2.5181770728666301E-5</v>
      </c>
      <c r="AR91">
        <v>3.7536774831064698E-6</v>
      </c>
      <c r="AS91">
        <v>9.7690154726697394</v>
      </c>
      <c r="AT91">
        <v>8.3460784526177605</v>
      </c>
      <c r="AU91">
        <v>2.4837719444155799</v>
      </c>
      <c r="AV91">
        <v>0.257575245266913</v>
      </c>
      <c r="AW91">
        <v>5.8116354084063104E-3</v>
      </c>
      <c r="AX91">
        <v>0.25757524124178699</v>
      </c>
      <c r="AY91">
        <v>4.0251255661871702E-9</v>
      </c>
      <c r="AZ91">
        <v>839091.99888317997</v>
      </c>
      <c r="BA91">
        <v>9.1859107899364098E-6</v>
      </c>
      <c r="BB91">
        <v>4640972.6014938196</v>
      </c>
      <c r="BC91">
        <v>6793.40227506869</v>
      </c>
      <c r="BD91">
        <v>0.146593430746354</v>
      </c>
      <c r="BE91">
        <v>4195604.7</v>
      </c>
      <c r="BF91">
        <v>1.10615106363424</v>
      </c>
      <c r="BG91">
        <v>1</v>
      </c>
      <c r="BH91">
        <v>-5.0000000000000001E-3</v>
      </c>
      <c r="BI91">
        <v>4.5999999999999999E-2</v>
      </c>
      <c r="BJ91">
        <v>5625</v>
      </c>
      <c r="BK91">
        <v>1.03698473045994</v>
      </c>
      <c r="BL91">
        <v>75.028794705850004</v>
      </c>
      <c r="BM91">
        <v>4.6409726014938197</v>
      </c>
      <c r="BN91">
        <v>75.028794705850004</v>
      </c>
      <c r="BO91">
        <v>1.03698473045994</v>
      </c>
      <c r="BP91">
        <v>1227.01645854459</v>
      </c>
      <c r="BQ91">
        <v>1</v>
      </c>
      <c r="BR91">
        <v>0.15240000000000001</v>
      </c>
      <c r="BS91">
        <v>90</v>
      </c>
      <c r="BT91">
        <v>177</v>
      </c>
      <c r="BU91" t="s">
        <v>304</v>
      </c>
      <c r="BV91" t="str">
        <f>"Table "&amp;TRIM(RIGHT(SUBSTITUTE($A91,"_",REPT(" ",50)),50))</f>
        <v>Table 12</v>
      </c>
      <c r="BW91">
        <f>$BR91/$Q91</f>
        <v>80</v>
      </c>
      <c r="BX91" t="str">
        <f>IF($BW91&lt;40,"outside_low",IF($BW91&lt;=100,"short_anchor",IF($BW91&lt;250,"middle",IF($BW91&lt;=400,"long","outside_high"))))</f>
        <v>short_anchor</v>
      </c>
      <c r="BY91" t="str">
        <f>IF($N91&gt;1000,"PASS","FAIL")</f>
        <v>PASS</v>
      </c>
      <c r="BZ91" t="str">
        <f>IF(AND($BW91&gt;=40,$BW91&lt;=400),"PASS","FAIL")</f>
        <v>PASS</v>
      </c>
    </row>
    <row r="92" spans="1:78">
      <c r="A92" t="s">
        <v>246</v>
      </c>
      <c r="B92">
        <v>17236893.2329209</v>
      </c>
      <c r="C92">
        <v>626.57723583796803</v>
      </c>
      <c r="D92">
        <v>122.583590976701</v>
      </c>
      <c r="E92">
        <v>560.26337686439001</v>
      </c>
      <c r="F92">
        <v>2538890.6454807199</v>
      </c>
      <c r="G92">
        <v>1699798.64659754</v>
      </c>
      <c r="H92">
        <v>2.4290890628326198E-5</v>
      </c>
      <c r="I92">
        <v>6.4066005508525405E-5</v>
      </c>
      <c r="J92">
        <v>0.452884810527584</v>
      </c>
      <c r="K92">
        <v>11219.515372648901</v>
      </c>
      <c r="L92">
        <v>3.02925386118211E-3</v>
      </c>
      <c r="M92">
        <v>177</v>
      </c>
      <c r="N92">
        <v>2875.2076000000002</v>
      </c>
      <c r="O92">
        <v>2.8502295699234199E-6</v>
      </c>
      <c r="P92">
        <v>5.98473400508856E-3</v>
      </c>
      <c r="Q92">
        <v>1.905E-3</v>
      </c>
      <c r="R92">
        <v>0.15240000000000001</v>
      </c>
      <c r="S92">
        <v>5529603.41796875</v>
      </c>
      <c r="T92">
        <v>509.82521111723401</v>
      </c>
      <c r="U92">
        <v>564.67824556081098</v>
      </c>
      <c r="V92">
        <v>0.03</v>
      </c>
      <c r="W92">
        <v>85494.177989154094</v>
      </c>
      <c r="X92">
        <v>2.73103466117205E-2</v>
      </c>
      <c r="Y92">
        <v>6.0511287561987697</v>
      </c>
      <c r="Z92">
        <v>6.0511287704394796</v>
      </c>
      <c r="AA92">
        <v>-1.4240713497315501E-8</v>
      </c>
      <c r="AB92">
        <v>7.21661455980452E-6</v>
      </c>
      <c r="AC92">
        <v>737.69222484820898</v>
      </c>
      <c r="AD92">
        <v>2497.6130670733201</v>
      </c>
      <c r="AE92">
        <v>564.67824695995898</v>
      </c>
      <c r="AF92">
        <v>1.3991473224450599E-6</v>
      </c>
      <c r="AG92">
        <v>7.3229933324977199E-6</v>
      </c>
      <c r="AH92">
        <v>50.371328595897701</v>
      </c>
      <c r="AI92">
        <v>0.29984415386361801</v>
      </c>
      <c r="AJ92">
        <v>19.202103766233201</v>
      </c>
      <c r="AK92">
        <v>6.7478170013889498</v>
      </c>
      <c r="AL92">
        <v>1.5871354414155801</v>
      </c>
      <c r="AM92">
        <v>626.57723581270102</v>
      </c>
      <c r="AN92">
        <v>2.5267013370466901E-8</v>
      </c>
      <c r="AO92">
        <v>1.06378772693203E-7</v>
      </c>
      <c r="AP92">
        <v>2.7562595199914202</v>
      </c>
      <c r="AQ92">
        <v>2.4910023430743599E-5</v>
      </c>
      <c r="AR92">
        <v>3.7146860525954599E-6</v>
      </c>
      <c r="AS92">
        <v>9.7405232808791808</v>
      </c>
      <c r="AT92">
        <v>8.3314742057378606</v>
      </c>
      <c r="AU92">
        <v>2.4981438336560302</v>
      </c>
      <c r="AV92">
        <v>0.258115686335394</v>
      </c>
      <c r="AW92">
        <v>5.7248709147298396E-3</v>
      </c>
      <c r="AX92">
        <v>0.25811567639647998</v>
      </c>
      <c r="AY92">
        <v>9.9389143581873896E-9</v>
      </c>
      <c r="AZ92">
        <v>839091.99888317997</v>
      </c>
      <c r="BA92">
        <v>9.0376190086850608E-6</v>
      </c>
      <c r="BB92">
        <v>5533536.268371</v>
      </c>
      <c r="BC92">
        <v>3932.8504022490201</v>
      </c>
      <c r="BD92">
        <v>7.1123552721141098E-2</v>
      </c>
      <c r="BE92">
        <v>5078889.9000000004</v>
      </c>
      <c r="BF92">
        <v>1.0895168781609099</v>
      </c>
      <c r="BG92">
        <v>1</v>
      </c>
      <c r="BH92">
        <v>-0.13100000000000001</v>
      </c>
      <c r="BI92">
        <v>4.5999999999999999E-2</v>
      </c>
      <c r="BJ92">
        <v>5625</v>
      </c>
      <c r="BK92">
        <v>1.0161412003672099</v>
      </c>
      <c r="BL92">
        <v>116.752024720734</v>
      </c>
      <c r="BM92">
        <v>5.5335362683709999</v>
      </c>
      <c r="BN92">
        <v>116.752024720734</v>
      </c>
      <c r="BO92">
        <v>1.0161412003672099</v>
      </c>
      <c r="BP92">
        <v>5890.87329873217</v>
      </c>
      <c r="BQ92">
        <v>1</v>
      </c>
      <c r="BR92">
        <v>0.15240000000000001</v>
      </c>
      <c r="BS92">
        <v>91</v>
      </c>
      <c r="BT92">
        <v>178</v>
      </c>
      <c r="BU92" t="s">
        <v>304</v>
      </c>
      <c r="BV92" t="str">
        <f>"Table "&amp;TRIM(RIGHT(SUBSTITUTE($A92,"_",REPT(" ",50)),50))</f>
        <v>Table 12</v>
      </c>
      <c r="BW92">
        <f>$BR92/$Q92</f>
        <v>80</v>
      </c>
      <c r="BX92" t="str">
        <f>IF($BW92&lt;40,"outside_low",IF($BW92&lt;=100,"short_anchor",IF($BW92&lt;250,"middle",IF($BW92&lt;=400,"long","outside_high"))))</f>
        <v>short_anchor</v>
      </c>
      <c r="BY92" t="str">
        <f>IF($N92&gt;1000,"PASS","FAIL")</f>
        <v>PASS</v>
      </c>
      <c r="BZ92" t="str">
        <f>IF(AND($BW92&gt;=40,$BW92&lt;=400),"PASS","FAIL")</f>
        <v>PASS</v>
      </c>
    </row>
    <row r="93" spans="1:78">
      <c r="A93" t="s">
        <v>247</v>
      </c>
      <c r="B93">
        <v>17236893.2329209</v>
      </c>
      <c r="C93">
        <v>626.57723583796803</v>
      </c>
      <c r="D93">
        <v>122.583590976701</v>
      </c>
      <c r="E93">
        <v>560.26337686439001</v>
      </c>
      <c r="F93">
        <v>2538890.6454807199</v>
      </c>
      <c r="G93">
        <v>1699798.64659754</v>
      </c>
      <c r="H93">
        <v>2.4290890628326198E-5</v>
      </c>
      <c r="I93">
        <v>6.4066005508525405E-5</v>
      </c>
      <c r="J93">
        <v>0.452884810527584</v>
      </c>
      <c r="K93">
        <v>11219.515372648901</v>
      </c>
      <c r="L93">
        <v>3.02925386118211E-3</v>
      </c>
      <c r="M93">
        <v>178</v>
      </c>
      <c r="N93">
        <v>2888.7698999999998</v>
      </c>
      <c r="O93">
        <v>2.8502295699234199E-6</v>
      </c>
      <c r="P93">
        <v>5.98473400508856E-3</v>
      </c>
      <c r="Q93">
        <v>1.905E-3</v>
      </c>
      <c r="R93">
        <v>0.15240000000000001</v>
      </c>
      <c r="S93">
        <v>6474169.921875</v>
      </c>
      <c r="T93">
        <v>475.39939134230099</v>
      </c>
      <c r="U93">
        <v>539.32090108283501</v>
      </c>
      <c r="V93">
        <v>0.03</v>
      </c>
      <c r="W93">
        <v>85897.452413631298</v>
      </c>
      <c r="X93">
        <v>2.7257390800543999E-2</v>
      </c>
      <c r="Y93">
        <v>6.0570039873577297</v>
      </c>
      <c r="Z93">
        <v>6.0570039906741799</v>
      </c>
      <c r="AA93">
        <v>-3.31644756101923E-9</v>
      </c>
      <c r="AB93">
        <v>7.1629011260640303E-6</v>
      </c>
      <c r="AC93">
        <v>763.55942311358103</v>
      </c>
      <c r="AD93">
        <v>2506.9601743329799</v>
      </c>
      <c r="AE93">
        <v>539.32090108283398</v>
      </c>
      <c r="AF93">
        <v>0</v>
      </c>
      <c r="AG93">
        <v>7.2870045184418102E-6</v>
      </c>
      <c r="AH93">
        <v>50.749055018940403</v>
      </c>
      <c r="AI93">
        <v>0.30096629544122799</v>
      </c>
      <c r="AJ93">
        <v>19.179244218286701</v>
      </c>
      <c r="AK93">
        <v>8.3220173215736608</v>
      </c>
      <c r="AL93">
        <v>1.5871354414155801</v>
      </c>
      <c r="AM93">
        <v>626.57723579071796</v>
      </c>
      <c r="AN93">
        <v>4.7250182433344903E-8</v>
      </c>
      <c r="AO93">
        <v>1.2410339237778001E-7</v>
      </c>
      <c r="AP93">
        <v>2.7674446638922601</v>
      </c>
      <c r="AQ93">
        <v>2.47090733279427E-5</v>
      </c>
      <c r="AR93">
        <v>3.70555395540979E-6</v>
      </c>
      <c r="AS93">
        <v>9.7529408819468593</v>
      </c>
      <c r="AT93">
        <v>8.3378443422326303</v>
      </c>
      <c r="AU93">
        <v>2.5094101236473501</v>
      </c>
      <c r="AV93">
        <v>0.25803454024490302</v>
      </c>
      <c r="AW93">
        <v>5.6822605644052003E-3</v>
      </c>
      <c r="AX93">
        <v>0.258034525816562</v>
      </c>
      <c r="AY93">
        <v>1.4428340910921399E-8</v>
      </c>
      <c r="AZ93">
        <v>839091.99888317997</v>
      </c>
      <c r="BA93">
        <v>8.9284796369481005E-6</v>
      </c>
      <c r="BB93">
        <v>6534433.6892452501</v>
      </c>
      <c r="BC93">
        <v>60263.767370254704</v>
      </c>
      <c r="BD93">
        <v>0.93083388445883697</v>
      </c>
      <c r="BE93">
        <v>5993721</v>
      </c>
      <c r="BF93">
        <v>1.0902131896438401</v>
      </c>
      <c r="BG93">
        <v>1</v>
      </c>
      <c r="BH93">
        <v>-0.19900000000000001</v>
      </c>
      <c r="BI93">
        <v>4.5999999999999999E-2</v>
      </c>
      <c r="BJ93">
        <v>5625</v>
      </c>
      <c r="BK93">
        <v>1.0051100891190301</v>
      </c>
      <c r="BL93">
        <v>151.17784449566699</v>
      </c>
      <c r="BM93">
        <v>6.5344336892452501</v>
      </c>
      <c r="BN93">
        <v>151.17784449566699</v>
      </c>
      <c r="BO93">
        <v>1.0051100891190301</v>
      </c>
      <c r="BP93">
        <v>12360.5131067027</v>
      </c>
      <c r="BQ93">
        <v>1</v>
      </c>
      <c r="BR93">
        <v>0.15240000000000001</v>
      </c>
      <c r="BS93">
        <v>92</v>
      </c>
      <c r="BT93">
        <v>179</v>
      </c>
      <c r="BU93" t="s">
        <v>304</v>
      </c>
      <c r="BV93" t="str">
        <f>"Table "&amp;TRIM(RIGHT(SUBSTITUTE($A93,"_",REPT(" ",50)),50))</f>
        <v>Table 12</v>
      </c>
      <c r="BW93">
        <f>$BR93/$Q93</f>
        <v>80</v>
      </c>
      <c r="BX93" t="str">
        <f>IF($BW93&lt;40,"outside_low",IF($BW93&lt;=100,"short_anchor",IF($BW93&lt;250,"middle",IF($BW93&lt;=400,"long","outside_high"))))</f>
        <v>short_anchor</v>
      </c>
      <c r="BY93" t="str">
        <f>IF($N93&gt;1000,"PASS","FAIL")</f>
        <v>PASS</v>
      </c>
      <c r="BZ93" t="str">
        <f>IF(AND($BW93&gt;=40,$BW93&lt;=400),"PASS","FAIL")</f>
        <v>PASS</v>
      </c>
    </row>
    <row r="94" spans="1:78">
      <c r="A94" t="s">
        <v>248</v>
      </c>
      <c r="B94">
        <v>17236893.2329209</v>
      </c>
      <c r="C94">
        <v>626.57723583796803</v>
      </c>
      <c r="D94">
        <v>122.583590976701</v>
      </c>
      <c r="E94">
        <v>560.26337686439001</v>
      </c>
      <c r="F94">
        <v>2538890.6454807199</v>
      </c>
      <c r="G94">
        <v>1699798.64659754</v>
      </c>
      <c r="H94">
        <v>2.4290890628326198E-5</v>
      </c>
      <c r="I94">
        <v>6.4066005508525405E-5</v>
      </c>
      <c r="J94">
        <v>0.452884810527584</v>
      </c>
      <c r="K94">
        <v>11219.515372648901</v>
      </c>
      <c r="L94">
        <v>3.02925386118211E-3</v>
      </c>
      <c r="M94">
        <v>179</v>
      </c>
      <c r="N94">
        <v>2888.7698999999998</v>
      </c>
      <c r="O94">
        <v>2.8502295699234199E-6</v>
      </c>
      <c r="P94">
        <v>5.98473400508856E-3</v>
      </c>
      <c r="Q94">
        <v>1.905E-3</v>
      </c>
      <c r="R94">
        <v>0.15240000000000001</v>
      </c>
      <c r="S94">
        <v>5543269.78515625</v>
      </c>
      <c r="T94">
        <v>509.82521111723401</v>
      </c>
      <c r="U94">
        <v>564.55565190610503</v>
      </c>
      <c r="V94">
        <v>0.03</v>
      </c>
      <c r="W94">
        <v>85897.452413631298</v>
      </c>
      <c r="X94">
        <v>2.7257390800543999E-2</v>
      </c>
      <c r="Y94">
        <v>6.0570039873577297</v>
      </c>
      <c r="Z94">
        <v>6.0570039906741799</v>
      </c>
      <c r="AA94">
        <v>-3.31644756101923E-9</v>
      </c>
      <c r="AB94">
        <v>7.1629011260640303E-6</v>
      </c>
      <c r="AC94">
        <v>737.42972364780496</v>
      </c>
      <c r="AD94">
        <v>2506.9601743329799</v>
      </c>
      <c r="AE94">
        <v>564.55565190610503</v>
      </c>
      <c r="AF94">
        <v>0</v>
      </c>
      <c r="AG94">
        <v>7.2688412724564902E-6</v>
      </c>
      <c r="AH94">
        <v>50.749055018940403</v>
      </c>
      <c r="AI94">
        <v>0.30096629544122799</v>
      </c>
      <c r="AJ94">
        <v>19.131438932909401</v>
      </c>
      <c r="AK94">
        <v>6.7402272580062004</v>
      </c>
      <c r="AL94">
        <v>1.5871354414155801</v>
      </c>
      <c r="AM94">
        <v>626.57723579175604</v>
      </c>
      <c r="AN94">
        <v>4.6211880544433397E-8</v>
      </c>
      <c r="AO94">
        <v>1.05940146392461E-7</v>
      </c>
      <c r="AP94">
        <v>2.7606824491662501</v>
      </c>
      <c r="AQ94">
        <v>2.4830269953326099E-5</v>
      </c>
      <c r="AR94">
        <v>3.6873907094244699E-6</v>
      </c>
      <c r="AS94">
        <v>9.7051355965696295</v>
      </c>
      <c r="AT94">
        <v>8.3132759417459692</v>
      </c>
      <c r="AU94">
        <v>2.5020158631679701</v>
      </c>
      <c r="AV94">
        <v>0.25866658599827902</v>
      </c>
      <c r="AW94">
        <v>5.6822605644052003E-3</v>
      </c>
      <c r="AX94">
        <v>0.25866657419678102</v>
      </c>
      <c r="AY94">
        <v>1.1801497612484701E-8</v>
      </c>
      <c r="AZ94">
        <v>839091.99888317997</v>
      </c>
      <c r="BA94">
        <v>8.9942506646590503E-6</v>
      </c>
      <c r="BB94">
        <v>5537291.6218353696</v>
      </c>
      <c r="BC94">
        <v>-5978.1633208831799</v>
      </c>
      <c r="BD94">
        <v>-0.107845433337765</v>
      </c>
      <c r="BE94">
        <v>5078889.9000000004</v>
      </c>
      <c r="BF94">
        <v>1.0902562825461899</v>
      </c>
      <c r="BG94">
        <v>1</v>
      </c>
      <c r="BH94">
        <v>-0.13500000000000001</v>
      </c>
      <c r="BI94">
        <v>4.5999999999999999E-2</v>
      </c>
      <c r="BJ94">
        <v>5625</v>
      </c>
      <c r="BK94">
        <v>1.0161412003672099</v>
      </c>
      <c r="BL94">
        <v>116.752024720734</v>
      </c>
      <c r="BM94">
        <v>5.5372916218353696</v>
      </c>
      <c r="BN94">
        <v>116.752024720734</v>
      </c>
      <c r="BO94">
        <v>1.0161412003672099</v>
      </c>
      <c r="BP94">
        <v>5890.87329873217</v>
      </c>
      <c r="BQ94">
        <v>1</v>
      </c>
      <c r="BR94">
        <v>0.15240000000000001</v>
      </c>
      <c r="BS94">
        <v>93</v>
      </c>
      <c r="BT94">
        <v>180</v>
      </c>
      <c r="BU94" t="s">
        <v>304</v>
      </c>
      <c r="BV94" t="str">
        <f>"Table "&amp;TRIM(RIGHT(SUBSTITUTE($A94,"_",REPT(" ",50)),50))</f>
        <v>Table 12</v>
      </c>
      <c r="BW94">
        <f>$BR94/$Q94</f>
        <v>80</v>
      </c>
      <c r="BX94" t="str">
        <f>IF($BW94&lt;40,"outside_low",IF($BW94&lt;=100,"short_anchor",IF($BW94&lt;250,"middle",IF($BW94&lt;=400,"long","outside_high"))))</f>
        <v>short_anchor</v>
      </c>
      <c r="BY94" t="str">
        <f>IF($N94&gt;1000,"PASS","FAIL")</f>
        <v>PASS</v>
      </c>
      <c r="BZ94" t="str">
        <f>IF(AND($BW94&gt;=40,$BW94&lt;=400),"PASS","FAIL")</f>
        <v>PASS</v>
      </c>
    </row>
    <row r="95" spans="1:78">
      <c r="A95" t="s">
        <v>249</v>
      </c>
      <c r="B95">
        <v>17236893.2329209</v>
      </c>
      <c r="C95">
        <v>626.57723583796803</v>
      </c>
      <c r="D95">
        <v>122.583590976701</v>
      </c>
      <c r="E95">
        <v>560.26337686439001</v>
      </c>
      <c r="F95">
        <v>2538890.6454807199</v>
      </c>
      <c r="G95">
        <v>1699798.64659754</v>
      </c>
      <c r="H95">
        <v>2.4290890628326198E-5</v>
      </c>
      <c r="I95">
        <v>6.4066005508525405E-5</v>
      </c>
      <c r="J95">
        <v>0.452884810527584</v>
      </c>
      <c r="K95">
        <v>11219.515372648901</v>
      </c>
      <c r="L95">
        <v>3.02925386118211E-3</v>
      </c>
      <c r="M95">
        <v>180</v>
      </c>
      <c r="N95">
        <v>3444.8242</v>
      </c>
      <c r="O95">
        <v>2.8502295699234199E-6</v>
      </c>
      <c r="P95">
        <v>5.98473400508856E-3</v>
      </c>
      <c r="Q95">
        <v>1.905E-3</v>
      </c>
      <c r="R95">
        <v>0.15240000000000001</v>
      </c>
      <c r="S95">
        <v>5062207.03125</v>
      </c>
      <c r="T95">
        <v>554.36509768241604</v>
      </c>
      <c r="U95">
        <v>596.27809500699698</v>
      </c>
      <c r="V95">
        <v>0.03</v>
      </c>
      <c r="W95">
        <v>102431.70381719399</v>
      </c>
      <c r="X95">
        <v>2.5384208624571501E-2</v>
      </c>
      <c r="Y95">
        <v>6.2765094318285302</v>
      </c>
      <c r="Z95">
        <v>6.2765094327444402</v>
      </c>
      <c r="AA95">
        <v>-9.1590290907106495E-10</v>
      </c>
      <c r="AB95">
        <v>5.4088057229598899E-6</v>
      </c>
      <c r="AC95">
        <v>700.45503690084502</v>
      </c>
      <c r="AD95">
        <v>2884.9694708627599</v>
      </c>
      <c r="AE95">
        <v>596.27809500699698</v>
      </c>
      <c r="AF95">
        <v>0</v>
      </c>
      <c r="AG95">
        <v>5.4903951384150503E-6</v>
      </c>
      <c r="AH95">
        <v>67.207158467309</v>
      </c>
      <c r="AI95">
        <v>0.34634717495567102</v>
      </c>
      <c r="AJ95">
        <v>16.6295247845677</v>
      </c>
      <c r="AK95">
        <v>4.7162665282208902</v>
      </c>
      <c r="AL95">
        <v>1.5871354414155801</v>
      </c>
      <c r="AM95">
        <v>626.577235867426</v>
      </c>
      <c r="AN95">
        <v>-2.9458419703587401E-8</v>
      </c>
      <c r="AO95">
        <v>8.1589415455162895E-8</v>
      </c>
      <c r="AP95">
        <v>2.9186202787625701</v>
      </c>
      <c r="AQ95">
        <v>2.2215656844290002E-5</v>
      </c>
      <c r="AR95">
        <v>2.78599227693511E-6</v>
      </c>
      <c r="AS95">
        <v>8.4383230078920803</v>
      </c>
      <c r="AT95">
        <v>7.6139179655893399</v>
      </c>
      <c r="AU95">
        <v>2.6370589777261002</v>
      </c>
      <c r="AV95">
        <v>0.28156130103646898</v>
      </c>
      <c r="AW95">
        <v>4.2907535535105703E-3</v>
      </c>
      <c r="AX95">
        <v>0.28156129684595099</v>
      </c>
      <c r="AY95">
        <v>4.1905185432788999E-9</v>
      </c>
      <c r="AZ95">
        <v>839091.99888317997</v>
      </c>
      <c r="BA95">
        <v>7.61169824178326E-6</v>
      </c>
      <c r="BB95">
        <v>5039112.7216318399</v>
      </c>
      <c r="BC95">
        <v>-23094.3096181611</v>
      </c>
      <c r="BD95">
        <v>-0.456210294750794</v>
      </c>
      <c r="BE95">
        <v>4921160.4000000004</v>
      </c>
      <c r="BF95">
        <v>1.02396839607826</v>
      </c>
      <c r="BG95">
        <v>1</v>
      </c>
      <c r="BH95">
        <v>-5.0000000000000001E-3</v>
      </c>
      <c r="BI95">
        <v>4.5999999999999999E-2</v>
      </c>
      <c r="BJ95">
        <v>5625</v>
      </c>
      <c r="BK95">
        <v>1.03825121371158</v>
      </c>
      <c r="BL95">
        <v>72.212138155551997</v>
      </c>
      <c r="BM95">
        <v>5.0391127216318399</v>
      </c>
      <c r="BN95">
        <v>72.212138155551997</v>
      </c>
      <c r="BO95">
        <v>1.03825121371158</v>
      </c>
      <c r="BP95">
        <v>1037.62184455237</v>
      </c>
      <c r="BQ95">
        <v>1</v>
      </c>
      <c r="BR95">
        <v>0.15240000000000001</v>
      </c>
      <c r="BS95">
        <v>94</v>
      </c>
      <c r="BT95">
        <v>181</v>
      </c>
      <c r="BU95" t="s">
        <v>304</v>
      </c>
      <c r="BV95" t="str">
        <f>"Table "&amp;TRIM(RIGHT(SUBSTITUTE($A95,"_",REPT(" ",50)),50))</f>
        <v>Table 12</v>
      </c>
      <c r="BW95">
        <f>$BR95/$Q95</f>
        <v>80</v>
      </c>
      <c r="BX95" t="str">
        <f>IF($BW95&lt;40,"outside_low",IF($BW95&lt;=100,"short_anchor",IF($BW95&lt;250,"middle",IF($BW95&lt;=400,"long","outside_high"))))</f>
        <v>short_anchor</v>
      </c>
      <c r="BY95" t="str">
        <f>IF($N95&gt;1000,"PASS","FAIL")</f>
        <v>PASS</v>
      </c>
      <c r="BZ95" t="str">
        <f>IF(AND($BW95&gt;=40,$BW95&lt;=400),"PASS","FAIL")</f>
        <v>PASS</v>
      </c>
    </row>
    <row r="96" spans="1:78">
      <c r="A96" t="s">
        <v>250</v>
      </c>
      <c r="B96">
        <v>17236893.2329209</v>
      </c>
      <c r="C96">
        <v>626.57723583796803</v>
      </c>
      <c r="D96">
        <v>122.583590976701</v>
      </c>
      <c r="E96">
        <v>560.26337686439001</v>
      </c>
      <c r="F96">
        <v>2538890.6454807199</v>
      </c>
      <c r="G96">
        <v>1699798.64659754</v>
      </c>
      <c r="H96">
        <v>2.4290890628326198E-5</v>
      </c>
      <c r="I96">
        <v>6.4066005508525405E-5</v>
      </c>
      <c r="J96">
        <v>0.452884810527584</v>
      </c>
      <c r="K96">
        <v>11219.515372648901</v>
      </c>
      <c r="L96">
        <v>3.02925386118211E-3</v>
      </c>
      <c r="M96">
        <v>181</v>
      </c>
      <c r="N96">
        <v>3580.4472000000001</v>
      </c>
      <c r="O96">
        <v>2.8502295699234199E-6</v>
      </c>
      <c r="P96">
        <v>5.98473400508856E-3</v>
      </c>
      <c r="Q96">
        <v>1.905E-3</v>
      </c>
      <c r="R96">
        <v>0.15240000000000001</v>
      </c>
      <c r="S96">
        <v>5443450.48828125</v>
      </c>
      <c r="T96">
        <v>542.68385368854695</v>
      </c>
      <c r="U96">
        <v>586.046211001144</v>
      </c>
      <c r="V96">
        <v>0.03</v>
      </c>
      <c r="W96">
        <v>106464.448061966</v>
      </c>
      <c r="X96">
        <v>2.4999929916971499E-2</v>
      </c>
      <c r="Y96">
        <v>6.3245641852352197</v>
      </c>
      <c r="Z96">
        <v>6.3245642254802004</v>
      </c>
      <c r="AA96">
        <v>-4.0244978016801302E-8</v>
      </c>
      <c r="AB96">
        <v>5.0837688903806498E-6</v>
      </c>
      <c r="AC96">
        <v>706.39515820776398</v>
      </c>
      <c r="AD96">
        <v>2975.76761714448</v>
      </c>
      <c r="AE96">
        <v>586.046211001144</v>
      </c>
      <c r="AF96">
        <v>0</v>
      </c>
      <c r="AG96">
        <v>5.1684792745068803E-6</v>
      </c>
      <c r="AH96">
        <v>71.504128370130402</v>
      </c>
      <c r="AI96">
        <v>0.35724769982205101</v>
      </c>
      <c r="AJ96">
        <v>16.147184519643002</v>
      </c>
      <c r="AK96">
        <v>5.1500185018735696</v>
      </c>
      <c r="AL96">
        <v>1.5871354414155801</v>
      </c>
      <c r="AM96">
        <v>626.57723579754895</v>
      </c>
      <c r="AN96">
        <v>4.04186266678153E-8</v>
      </c>
      <c r="AO96">
        <v>8.4710384126232194E-8</v>
      </c>
      <c r="AP96">
        <v>2.9568374948447298</v>
      </c>
      <c r="AQ96">
        <v>2.1645092008712302E-5</v>
      </c>
      <c r="AR96">
        <v>2.6265948293165601E-6</v>
      </c>
      <c r="AS96">
        <v>8.2059168886502203</v>
      </c>
      <c r="AT96">
        <v>7.4742773292453197</v>
      </c>
      <c r="AU96">
        <v>2.6701683837049899</v>
      </c>
      <c r="AV96">
        <v>0.28666911113973798</v>
      </c>
      <c r="AW96">
        <v>4.0329049607073604E-3</v>
      </c>
      <c r="AX96">
        <v>0.28666910292929199</v>
      </c>
      <c r="AY96">
        <v>8.2104457121978702E-9</v>
      </c>
      <c r="AZ96">
        <v>839091.99888317997</v>
      </c>
      <c r="BA96">
        <v>7.3203522501492502E-6</v>
      </c>
      <c r="BB96">
        <v>5440095.0281283204</v>
      </c>
      <c r="BC96">
        <v>-3355.4601529296501</v>
      </c>
      <c r="BD96">
        <v>-6.1642154367957197E-2</v>
      </c>
      <c r="BE96">
        <v>5394348.9000000004</v>
      </c>
      <c r="BF96">
        <v>1.00848037992654</v>
      </c>
      <c r="BG96">
        <v>1</v>
      </c>
      <c r="BH96">
        <v>-4.4999999999999998E-2</v>
      </c>
      <c r="BI96">
        <v>4.5999999999999999E-2</v>
      </c>
      <c r="BJ96">
        <v>5625</v>
      </c>
      <c r="BK96">
        <v>1.0326592974042199</v>
      </c>
      <c r="BL96">
        <v>83.8933821494211</v>
      </c>
      <c r="BM96">
        <v>5.4400950281283196</v>
      </c>
      <c r="BN96">
        <v>83.8933821494211</v>
      </c>
      <c r="BO96">
        <v>1.0326592974042199</v>
      </c>
      <c r="BP96">
        <v>1926.62899651512</v>
      </c>
      <c r="BQ96">
        <v>1</v>
      </c>
      <c r="BR96">
        <v>0.15240000000000001</v>
      </c>
      <c r="BS96">
        <v>95</v>
      </c>
      <c r="BT96">
        <v>182</v>
      </c>
      <c r="BU96" t="s">
        <v>304</v>
      </c>
      <c r="BV96" t="str">
        <f>"Table "&amp;TRIM(RIGHT(SUBSTITUTE($A96,"_",REPT(" ",50)),50))</f>
        <v>Table 12</v>
      </c>
      <c r="BW96">
        <f>$BR96/$Q96</f>
        <v>80</v>
      </c>
      <c r="BX96" t="str">
        <f>IF($BW96&lt;40,"outside_low",IF($BW96&lt;=100,"short_anchor",IF($BW96&lt;250,"middle",IF($BW96&lt;=400,"long","outside_high"))))</f>
        <v>short_anchor</v>
      </c>
      <c r="BY96" t="str">
        <f>IF($N96&gt;1000,"PASS","FAIL")</f>
        <v>PASS</v>
      </c>
      <c r="BZ96" t="str">
        <f>IF(AND($BW96&gt;=40,$BW96&lt;=400),"PASS","FAIL")</f>
        <v>PASS</v>
      </c>
    </row>
    <row r="97" spans="1:78">
      <c r="A97" t="s">
        <v>251</v>
      </c>
      <c r="B97">
        <v>17236893.2329209</v>
      </c>
      <c r="C97">
        <v>626.57723583796803</v>
      </c>
      <c r="D97">
        <v>122.583590976701</v>
      </c>
      <c r="E97">
        <v>560.26337686439001</v>
      </c>
      <c r="F97">
        <v>2538890.6454807199</v>
      </c>
      <c r="G97">
        <v>1699798.64659754</v>
      </c>
      <c r="H97">
        <v>2.4290890628326198E-5</v>
      </c>
      <c r="I97">
        <v>6.4066005508525405E-5</v>
      </c>
      <c r="J97">
        <v>0.452884810527584</v>
      </c>
      <c r="K97">
        <v>11219.515372648901</v>
      </c>
      <c r="L97">
        <v>3.02925386118211E-3</v>
      </c>
      <c r="M97">
        <v>182</v>
      </c>
      <c r="N97">
        <v>3607.5718000000002</v>
      </c>
      <c r="O97">
        <v>2.8502295699234199E-6</v>
      </c>
      <c r="P97">
        <v>5.98473400508856E-3</v>
      </c>
      <c r="Q97">
        <v>1.905E-3</v>
      </c>
      <c r="R97">
        <v>0.15240000000000001</v>
      </c>
      <c r="S97">
        <v>5400671.38671875</v>
      </c>
      <c r="T97">
        <v>545.51979880609497</v>
      </c>
      <c r="U97">
        <v>588.21790859724297</v>
      </c>
      <c r="V97">
        <v>0.03</v>
      </c>
      <c r="W97">
        <v>107270.99691092</v>
      </c>
      <c r="X97">
        <v>2.49258812093941E-2</v>
      </c>
      <c r="Y97">
        <v>6.33395158653222</v>
      </c>
      <c r="Z97">
        <v>6.3339516227232</v>
      </c>
      <c r="AA97">
        <v>-3.6190980878814103E-8</v>
      </c>
      <c r="AB97">
        <v>5.0224850177624702E-6</v>
      </c>
      <c r="AC97">
        <v>704.36365343775799</v>
      </c>
      <c r="AD97">
        <v>2993.8675842437601</v>
      </c>
      <c r="AE97">
        <v>588.21790967645495</v>
      </c>
      <c r="AF97">
        <v>1.0792124385261599E-6</v>
      </c>
      <c r="AG97">
        <v>5.1061160009012004E-6</v>
      </c>
      <c r="AH97">
        <v>72.376614774611696</v>
      </c>
      <c r="AI97">
        <v>0.35942064221708903</v>
      </c>
      <c r="AJ97">
        <v>16.049380762715501</v>
      </c>
      <c r="AK97">
        <v>5.0300803754034602</v>
      </c>
      <c r="AL97">
        <v>1.5871354414155801</v>
      </c>
      <c r="AM97">
        <v>626.57723577822003</v>
      </c>
      <c r="AN97">
        <v>5.9748231251433E-8</v>
      </c>
      <c r="AO97">
        <v>8.36309831387311E-8</v>
      </c>
      <c r="AP97">
        <v>2.9632592751398299</v>
      </c>
      <c r="AQ97">
        <v>2.15513780292013E-5</v>
      </c>
      <c r="AR97">
        <v>2.59487349201997E-6</v>
      </c>
      <c r="AS97">
        <v>8.1561234991831899</v>
      </c>
      <c r="AT97">
        <v>7.4438449736200099</v>
      </c>
      <c r="AU97">
        <v>2.6754715409829499</v>
      </c>
      <c r="AV97">
        <v>0.28778773415687597</v>
      </c>
      <c r="AW97">
        <v>3.9842890540399897E-3</v>
      </c>
      <c r="AX97">
        <v>0.287787725193908</v>
      </c>
      <c r="AY97">
        <v>8.9629679789204902E-9</v>
      </c>
      <c r="AZ97">
        <v>839091.99888317997</v>
      </c>
      <c r="BA97">
        <v>7.2728627595991796E-6</v>
      </c>
      <c r="BB97">
        <v>5405845.43733194</v>
      </c>
      <c r="BC97">
        <v>5174.0506131853899</v>
      </c>
      <c r="BD97">
        <v>9.5803840720791497E-2</v>
      </c>
      <c r="BE97">
        <v>4984252.2</v>
      </c>
      <c r="BF97">
        <v>1.08458505316644</v>
      </c>
      <c r="BG97">
        <v>1</v>
      </c>
      <c r="BH97">
        <v>-7.5999999999999998E-2</v>
      </c>
      <c r="BI97">
        <v>4.5999999999999999E-2</v>
      </c>
      <c r="BJ97">
        <v>5625</v>
      </c>
      <c r="BK97">
        <v>1.03408846513629</v>
      </c>
      <c r="BL97">
        <v>81.057437031873107</v>
      </c>
      <c r="BM97">
        <v>5.4058454373319398</v>
      </c>
      <c r="BN97">
        <v>81.057437031873107</v>
      </c>
      <c r="BO97">
        <v>1.03408846513629</v>
      </c>
      <c r="BP97">
        <v>1685.71313562622</v>
      </c>
      <c r="BQ97">
        <v>1</v>
      </c>
      <c r="BR97">
        <v>0.15240000000000001</v>
      </c>
      <c r="BS97">
        <v>96</v>
      </c>
      <c r="BT97">
        <v>183</v>
      </c>
      <c r="BU97" t="s">
        <v>304</v>
      </c>
      <c r="BV97" t="str">
        <f>"Table "&amp;TRIM(RIGHT(SUBSTITUTE($A97,"_",REPT(" ",50)),50))</f>
        <v>Table 12</v>
      </c>
      <c r="BW97">
        <f>$BR97/$Q97</f>
        <v>80</v>
      </c>
      <c r="BX97" t="str">
        <f>IF($BW97&lt;40,"outside_low",IF($BW97&lt;=100,"short_anchor",IF($BW97&lt;250,"middle",IF($BW97&lt;=400,"long","outside_high"))))</f>
        <v>short_anchor</v>
      </c>
      <c r="BY97" t="str">
        <f>IF($N97&gt;1000,"PASS","FAIL")</f>
        <v>PASS</v>
      </c>
      <c r="BZ97" t="str">
        <f>IF(AND($BW97&gt;=40,$BW97&lt;=400),"PASS","FAIL")</f>
        <v>PASS</v>
      </c>
    </row>
    <row r="98" spans="1:78">
      <c r="A98" t="s">
        <v>252</v>
      </c>
      <c r="B98">
        <v>17236893.2329209</v>
      </c>
      <c r="C98">
        <v>626.57723583796803</v>
      </c>
      <c r="D98">
        <v>122.583590976701</v>
      </c>
      <c r="E98">
        <v>560.26337686439001</v>
      </c>
      <c r="F98">
        <v>2538890.6454807199</v>
      </c>
      <c r="G98">
        <v>1699798.64659754</v>
      </c>
      <c r="H98">
        <v>2.4290890628326198E-5</v>
      </c>
      <c r="I98">
        <v>6.4066005508525405E-5</v>
      </c>
      <c r="J98">
        <v>0.452884810527584</v>
      </c>
      <c r="K98">
        <v>11219.515372648901</v>
      </c>
      <c r="L98">
        <v>3.02925386118211E-3</v>
      </c>
      <c r="M98">
        <v>183</v>
      </c>
      <c r="N98">
        <v>3621.1341000000002</v>
      </c>
      <c r="O98">
        <v>2.8502295699234199E-6</v>
      </c>
      <c r="P98">
        <v>5.98473400508856E-3</v>
      </c>
      <c r="Q98">
        <v>1.905E-3</v>
      </c>
      <c r="R98">
        <v>0.15240000000000001</v>
      </c>
      <c r="S98">
        <v>5237976.07421875</v>
      </c>
      <c r="T98">
        <v>552.84412708824402</v>
      </c>
      <c r="U98">
        <v>594.10085515285596</v>
      </c>
      <c r="V98">
        <v>0.03</v>
      </c>
      <c r="W98">
        <v>107674.271335397</v>
      </c>
      <c r="X98">
        <v>2.4889192575288498E-2</v>
      </c>
      <c r="Y98">
        <v>6.3386182396680697</v>
      </c>
      <c r="Z98">
        <v>6.3386182738389296</v>
      </c>
      <c r="AA98">
        <v>-3.4170855478521402E-8</v>
      </c>
      <c r="AB98">
        <v>4.9922820455158096E-6</v>
      </c>
      <c r="AC98">
        <v>699.62063065492305</v>
      </c>
      <c r="AD98">
        <v>3002.91027719972</v>
      </c>
      <c r="AE98">
        <v>594.10085618649498</v>
      </c>
      <c r="AF98">
        <v>1.03363890957553E-6</v>
      </c>
      <c r="AG98">
        <v>5.0736802645005404E-6</v>
      </c>
      <c r="AH98">
        <v>72.814488449899798</v>
      </c>
      <c r="AI98">
        <v>0.36050623816218302</v>
      </c>
      <c r="AJ98">
        <v>15.995597490282501</v>
      </c>
      <c r="AK98">
        <v>4.7291740229498496</v>
      </c>
      <c r="AL98">
        <v>1.5871354414155801</v>
      </c>
      <c r="AM98">
        <v>626.57723577797003</v>
      </c>
      <c r="AN98">
        <v>5.9998342294420595E-8</v>
      </c>
      <c r="AO98">
        <v>8.1398218984730695E-8</v>
      </c>
      <c r="AP98">
        <v>2.9653595857809201</v>
      </c>
      <c r="AQ98">
        <v>2.15208599370437E-5</v>
      </c>
      <c r="AR98">
        <v>2.5775392417426402E-6</v>
      </c>
      <c r="AS98">
        <v>8.1261092692016206</v>
      </c>
      <c r="AT98">
        <v>7.42541122168626</v>
      </c>
      <c r="AU98">
        <v>2.6769070663373702</v>
      </c>
      <c r="AV98">
        <v>0.28845251944355299</v>
      </c>
      <c r="AW98">
        <v>3.9603293266746997E-3</v>
      </c>
      <c r="AX98">
        <v>0.28845251019802898</v>
      </c>
      <c r="AY98">
        <v>9.2455235689570292E-9</v>
      </c>
      <c r="AZ98">
        <v>839091.99888317997</v>
      </c>
      <c r="BA98">
        <v>7.2574199905595E-6</v>
      </c>
      <c r="BB98">
        <v>5272716.9764534403</v>
      </c>
      <c r="BC98">
        <v>34740.902234692097</v>
      </c>
      <c r="BD98">
        <v>0.66325049489413301</v>
      </c>
      <c r="BE98">
        <v>5110435.8</v>
      </c>
      <c r="BF98">
        <v>1.0317548606037601</v>
      </c>
      <c r="BG98">
        <v>1</v>
      </c>
      <c r="BH98">
        <v>-2.1000000000000001E-2</v>
      </c>
      <c r="BI98">
        <v>4.5999999999999999E-2</v>
      </c>
      <c r="BJ98">
        <v>5625</v>
      </c>
      <c r="BK98">
        <v>1.0375751918257801</v>
      </c>
      <c r="BL98">
        <v>73.733108749723996</v>
      </c>
      <c r="BM98">
        <v>5.2727169764534398</v>
      </c>
      <c r="BN98">
        <v>73.733108749723996</v>
      </c>
      <c r="BO98">
        <v>1.0375751918257801</v>
      </c>
      <c r="BP98">
        <v>1137.9226259207101</v>
      </c>
      <c r="BQ98">
        <v>1</v>
      </c>
      <c r="BR98">
        <v>0.15240000000000001</v>
      </c>
      <c r="BS98">
        <v>97</v>
      </c>
      <c r="BT98">
        <v>184</v>
      </c>
      <c r="BU98" t="s">
        <v>304</v>
      </c>
      <c r="BV98" t="str">
        <f>"Table "&amp;TRIM(RIGHT(SUBSTITUTE($A98,"_",REPT(" ",50)),50))</f>
        <v>Table 12</v>
      </c>
      <c r="BW98">
        <f>$BR98/$Q98</f>
        <v>80</v>
      </c>
      <c r="BX98" t="str">
        <f>IF($BW98&lt;40,"outside_low",IF($BW98&lt;=100,"short_anchor",IF($BW98&lt;250,"middle",IF($BW98&lt;=400,"long","outside_high"))))</f>
        <v>short_anchor</v>
      </c>
      <c r="BY98" t="str">
        <f>IF($N98&gt;1000,"PASS","FAIL")</f>
        <v>PASS</v>
      </c>
      <c r="BZ98" t="str">
        <f>IF(AND($BW98&gt;=40,$BW98&lt;=400),"PASS","FAIL")</f>
        <v>PASS</v>
      </c>
    </row>
    <row r="99" spans="1:78">
      <c r="A99" t="s">
        <v>253</v>
      </c>
      <c r="B99">
        <v>17236893.2329209</v>
      </c>
      <c r="C99">
        <v>626.57723583796803</v>
      </c>
      <c r="D99">
        <v>122.583590976701</v>
      </c>
      <c r="E99">
        <v>560.26337686439001</v>
      </c>
      <c r="F99">
        <v>2538890.6454807199</v>
      </c>
      <c r="G99">
        <v>1699798.64659754</v>
      </c>
      <c r="H99">
        <v>2.4290890628326198E-5</v>
      </c>
      <c r="I99">
        <v>6.4066005508525405E-5</v>
      </c>
      <c r="J99">
        <v>0.452884810527584</v>
      </c>
      <c r="K99">
        <v>11219.515372648901</v>
      </c>
      <c r="L99">
        <v>3.02925386118211E-3</v>
      </c>
      <c r="M99">
        <v>184</v>
      </c>
      <c r="N99">
        <v>2088.5942</v>
      </c>
      <c r="O99">
        <v>2.8502295699234199E-6</v>
      </c>
      <c r="P99">
        <v>5.98473400508856E-3</v>
      </c>
      <c r="Q99">
        <v>1.905E-3</v>
      </c>
      <c r="R99">
        <v>0.69596000000000002</v>
      </c>
      <c r="S99">
        <v>4209182.8773437496</v>
      </c>
      <c r="T99">
        <v>296.59800912860601</v>
      </c>
      <c r="U99">
        <v>559.09173068124301</v>
      </c>
      <c r="V99">
        <v>0.03</v>
      </c>
      <c r="W99">
        <v>62104.2613694799</v>
      </c>
      <c r="X99">
        <v>3.1306557834014398E-2</v>
      </c>
      <c r="Y99">
        <v>5.6517421567611903</v>
      </c>
      <c r="Z99">
        <v>5.6517422024560604</v>
      </c>
      <c r="AA99">
        <v>-4.5694870998147501E-8</v>
      </c>
      <c r="AB99">
        <v>1.1930418629880701E-5</v>
      </c>
      <c r="AC99">
        <v>760.85987965993399</v>
      </c>
      <c r="AD99">
        <v>1942.51361513397</v>
      </c>
      <c r="AE99">
        <v>559.09173068124301</v>
      </c>
      <c r="AF99">
        <v>0</v>
      </c>
      <c r="AG99">
        <v>1.20456530700517E-5</v>
      </c>
      <c r="AH99">
        <v>30.469212742578101</v>
      </c>
      <c r="AI99">
        <v>0.233203196674861</v>
      </c>
      <c r="AJ99">
        <v>24.565716631764499</v>
      </c>
      <c r="AK99">
        <v>7.5382518061136201</v>
      </c>
      <c r="AL99">
        <v>1.5871354414155801</v>
      </c>
      <c r="AM99">
        <v>626.57723582087306</v>
      </c>
      <c r="AN99">
        <v>1.7094976101361701E-8</v>
      </c>
      <c r="AO99">
        <v>1.15234440170949E-7</v>
      </c>
      <c r="AP99">
        <v>2.4502581904435701</v>
      </c>
      <c r="AQ99">
        <v>3.1520322373299099E-5</v>
      </c>
      <c r="AR99">
        <v>6.0804437551113101E-6</v>
      </c>
      <c r="AS99">
        <v>12.4003619741313</v>
      </c>
      <c r="AT99">
        <v>9.5386283182356397</v>
      </c>
      <c r="AU99">
        <v>2.2244386157059099</v>
      </c>
      <c r="AV99">
        <v>0.22581957473766601</v>
      </c>
      <c r="AW99">
        <v>9.4642863421273392E-3</v>
      </c>
      <c r="AX99">
        <v>0.22581955780468099</v>
      </c>
      <c r="AY99">
        <v>1.6932985374973299E-8</v>
      </c>
      <c r="AZ99">
        <v>839091.99888317997</v>
      </c>
      <c r="BA99">
        <v>1.28640820368375E-5</v>
      </c>
      <c r="BB99">
        <v>4211194.59087741</v>
      </c>
      <c r="BC99">
        <v>2011.7135336576</v>
      </c>
      <c r="BD99">
        <v>4.7793445718070503E-2</v>
      </c>
      <c r="BE99">
        <v>2113575.2999999998</v>
      </c>
      <c r="BF99">
        <v>1.9924507023134701</v>
      </c>
      <c r="BG99">
        <v>1</v>
      </c>
      <c r="BH99">
        <v>-0.127</v>
      </c>
      <c r="BI99">
        <v>4.5999999999999999E-2</v>
      </c>
      <c r="BJ99">
        <v>5625</v>
      </c>
      <c r="BK99">
        <v>1.00000001480822</v>
      </c>
      <c r="BL99">
        <v>329.97922670936202</v>
      </c>
      <c r="BM99">
        <v>4.21119459087741</v>
      </c>
      <c r="BN99">
        <v>329.97922670936202</v>
      </c>
      <c r="BO99">
        <v>1.00000001480822</v>
      </c>
      <c r="BP99">
        <v>84087.951922959604</v>
      </c>
      <c r="BQ99">
        <v>1</v>
      </c>
      <c r="BR99">
        <v>0.69596000000000002</v>
      </c>
      <c r="BS99">
        <v>98</v>
      </c>
      <c r="BT99">
        <v>185</v>
      </c>
      <c r="BU99" t="s">
        <v>304</v>
      </c>
      <c r="BV99" t="str">
        <f>"Table "&amp;TRIM(RIGHT(SUBSTITUTE($A99,"_",REPT(" ",50)),50))</f>
        <v>Table 12</v>
      </c>
      <c r="BW99">
        <f>$BR99/$Q99</f>
        <v>365.33333333333337</v>
      </c>
      <c r="BX99" t="str">
        <f>IF($BW99&lt;40,"outside_low",IF($BW99&lt;=100,"short_anchor",IF($BW99&lt;250,"middle",IF($BW99&lt;=400,"long","outside_high"))))</f>
        <v>long</v>
      </c>
      <c r="BY99" t="str">
        <f>IF($N99&gt;1000,"PASS","FAIL")</f>
        <v>PASS</v>
      </c>
      <c r="BZ99" t="str">
        <f>IF(AND($BW99&gt;=40,$BW99&lt;=400),"PASS","FAIL")</f>
        <v>PASS</v>
      </c>
    </row>
    <row r="100" spans="1:78">
      <c r="A100" t="s">
        <v>254</v>
      </c>
      <c r="B100">
        <v>17236893.2329209</v>
      </c>
      <c r="C100">
        <v>626.57723583796803</v>
      </c>
      <c r="D100">
        <v>122.583590976701</v>
      </c>
      <c r="E100">
        <v>560.26337686439001</v>
      </c>
      <c r="F100">
        <v>2538890.6454807199</v>
      </c>
      <c r="G100">
        <v>1699798.64659754</v>
      </c>
      <c r="H100">
        <v>2.4290890628326198E-5</v>
      </c>
      <c r="I100">
        <v>6.4066005508525405E-5</v>
      </c>
      <c r="J100">
        <v>0.452884810527584</v>
      </c>
      <c r="K100">
        <v>11219.515372648901</v>
      </c>
      <c r="L100">
        <v>3.02925386118211E-3</v>
      </c>
      <c r="M100">
        <v>185</v>
      </c>
      <c r="N100">
        <v>2088.5942</v>
      </c>
      <c r="O100">
        <v>2.8502295699234199E-6</v>
      </c>
      <c r="P100">
        <v>5.98473400508856E-3</v>
      </c>
      <c r="Q100">
        <v>1.905E-3</v>
      </c>
      <c r="R100">
        <v>0.69596000000000002</v>
      </c>
      <c r="S100">
        <v>4174835.99609375</v>
      </c>
      <c r="T100">
        <v>299.35406737670502</v>
      </c>
      <c r="U100">
        <v>559.70584334375906</v>
      </c>
      <c r="V100">
        <v>0.03</v>
      </c>
      <c r="W100">
        <v>62104.2613694799</v>
      </c>
      <c r="X100">
        <v>3.1306557834014398E-2</v>
      </c>
      <c r="Y100">
        <v>5.6517421567611903</v>
      </c>
      <c r="Z100">
        <v>5.6517422024560604</v>
      </c>
      <c r="AA100">
        <v>-4.5694870998147501E-8</v>
      </c>
      <c r="AB100">
        <v>1.1930418629880701E-5</v>
      </c>
      <c r="AC100">
        <v>759.63411972541599</v>
      </c>
      <c r="AD100">
        <v>1942.51361513397</v>
      </c>
      <c r="AE100">
        <v>559.70584334375906</v>
      </c>
      <c r="AF100">
        <v>0</v>
      </c>
      <c r="AG100">
        <v>1.20452733963607E-5</v>
      </c>
      <c r="AH100">
        <v>30.469212742578101</v>
      </c>
      <c r="AI100">
        <v>0.233203196674861</v>
      </c>
      <c r="AJ100">
        <v>24.5649423311724</v>
      </c>
      <c r="AK100">
        <v>7.4695125395633504</v>
      </c>
      <c r="AL100">
        <v>1.5871354414155801</v>
      </c>
      <c r="AM100">
        <v>626.57723582118604</v>
      </c>
      <c r="AN100">
        <v>1.67818825502764E-8</v>
      </c>
      <c r="AO100">
        <v>1.14854766480001E-7</v>
      </c>
      <c r="AP100">
        <v>2.45019152429485</v>
      </c>
      <c r="AQ100">
        <v>3.1522037640914298E-5</v>
      </c>
      <c r="AR100">
        <v>6.0800640814203597E-6</v>
      </c>
      <c r="AS100">
        <v>12.3995876735392</v>
      </c>
      <c r="AT100">
        <v>9.5383160996209497</v>
      </c>
      <c r="AU100">
        <v>2.2243658053269</v>
      </c>
      <c r="AV100">
        <v>0.225825718967953</v>
      </c>
      <c r="AW100">
        <v>9.4642863421273392E-3</v>
      </c>
      <c r="AX100">
        <v>0.22582570202650001</v>
      </c>
      <c r="AY100">
        <v>1.6941452934959902E-8</v>
      </c>
      <c r="AZ100">
        <v>839091.99888317997</v>
      </c>
      <c r="BA100">
        <v>1.2865132104310101E-5</v>
      </c>
      <c r="BB100">
        <v>4196976.9838299397</v>
      </c>
      <c r="BC100">
        <v>22140.9877361869</v>
      </c>
      <c r="BD100">
        <v>0.53034389271587001</v>
      </c>
      <c r="BE100">
        <v>2082029.4</v>
      </c>
      <c r="BF100">
        <v>2.0158106239181501</v>
      </c>
      <c r="BG100">
        <v>1</v>
      </c>
      <c r="BH100">
        <v>-0.14000000000000001</v>
      </c>
      <c r="BI100">
        <v>4.5999999999999999E-2</v>
      </c>
      <c r="BJ100">
        <v>5625</v>
      </c>
      <c r="BK100">
        <v>1.0000000196483301</v>
      </c>
      <c r="BL100">
        <v>327.22316846126301</v>
      </c>
      <c r="BM100">
        <v>4.1969769838299404</v>
      </c>
      <c r="BN100">
        <v>327.22316846126301</v>
      </c>
      <c r="BO100">
        <v>1.0000000196483301</v>
      </c>
      <c r="BP100">
        <v>82497.148500927098</v>
      </c>
      <c r="BQ100">
        <v>1</v>
      </c>
      <c r="BR100">
        <v>0.69596000000000002</v>
      </c>
      <c r="BS100">
        <v>99</v>
      </c>
      <c r="BT100">
        <v>186</v>
      </c>
      <c r="BU100" t="s">
        <v>304</v>
      </c>
      <c r="BV100" t="str">
        <f>"Table "&amp;TRIM(RIGHT(SUBSTITUTE($A100,"_",REPT(" ",50)),50))</f>
        <v>Table 12</v>
      </c>
      <c r="BW100">
        <f>$BR100/$Q100</f>
        <v>365.33333333333337</v>
      </c>
      <c r="BX100" t="str">
        <f>IF($BW100&lt;40,"outside_low",IF($BW100&lt;=100,"short_anchor",IF($BW100&lt;250,"middle",IF($BW100&lt;=400,"long","outside_high"))))</f>
        <v>long</v>
      </c>
      <c r="BY100" t="str">
        <f>IF($N100&gt;1000,"PASS","FAIL")</f>
        <v>PASS</v>
      </c>
      <c r="BZ100" t="str">
        <f>IF(AND($BW100&gt;=40,$BW100&lt;=400),"PASS","FAIL")</f>
        <v>PASS</v>
      </c>
    </row>
    <row r="101" spans="1:78">
      <c r="A101" t="s">
        <v>255</v>
      </c>
      <c r="B101">
        <v>17236893.2329209</v>
      </c>
      <c r="C101">
        <v>626.57723583796803</v>
      </c>
      <c r="D101">
        <v>122.583590976701</v>
      </c>
      <c r="E101">
        <v>560.26337686439001</v>
      </c>
      <c r="F101">
        <v>2538890.6454807199</v>
      </c>
      <c r="G101">
        <v>1699798.64659754</v>
      </c>
      <c r="H101">
        <v>2.4290890628326198E-5</v>
      </c>
      <c r="I101">
        <v>6.4066005508525405E-5</v>
      </c>
      <c r="J101">
        <v>0.452884810527584</v>
      </c>
      <c r="K101">
        <v>11219.515372648901</v>
      </c>
      <c r="L101">
        <v>3.02925386118211E-3</v>
      </c>
      <c r="M101">
        <v>186</v>
      </c>
      <c r="N101">
        <v>2197.0925999999999</v>
      </c>
      <c r="O101">
        <v>2.8502295699234199E-6</v>
      </c>
      <c r="P101">
        <v>5.98473400508856E-3</v>
      </c>
      <c r="Q101">
        <v>1.905E-3</v>
      </c>
      <c r="R101">
        <v>0.69596000000000002</v>
      </c>
      <c r="S101">
        <v>4356434.22265625</v>
      </c>
      <c r="T101">
        <v>298.84787197440301</v>
      </c>
      <c r="U101">
        <v>557.10837495113606</v>
      </c>
      <c r="V101">
        <v>0.03</v>
      </c>
      <c r="W101">
        <v>65330.456765297</v>
      </c>
      <c r="X101">
        <v>3.06170850033569E-2</v>
      </c>
      <c r="Y101">
        <v>5.71502428279324</v>
      </c>
      <c r="Z101">
        <v>5.7150243315446003</v>
      </c>
      <c r="AA101">
        <v>-4.8751357617504703E-8</v>
      </c>
      <c r="AB101">
        <v>1.10239840215693E-5</v>
      </c>
      <c r="AC101">
        <v>758.58445237329204</v>
      </c>
      <c r="AD101">
        <v>2020.79670666674</v>
      </c>
      <c r="AE101">
        <v>557.10837653698002</v>
      </c>
      <c r="AF101">
        <v>1.5858445294725201E-6</v>
      </c>
      <c r="AG101">
        <v>1.1137456768428801E-5</v>
      </c>
      <c r="AH101">
        <v>32.974509272747099</v>
      </c>
      <c r="AI101">
        <v>0.24260126063117199</v>
      </c>
      <c r="AJ101">
        <v>23.628909142555401</v>
      </c>
      <c r="AK101">
        <v>7.4991626941410798</v>
      </c>
      <c r="AL101">
        <v>1.5871354414155801</v>
      </c>
      <c r="AM101">
        <v>626.57723579927597</v>
      </c>
      <c r="AN101">
        <v>3.8692519410687997E-8</v>
      </c>
      <c r="AO101">
        <v>1.13472746859471E-7</v>
      </c>
      <c r="AP101">
        <v>2.4980894910550999</v>
      </c>
      <c r="AQ101">
        <v>3.03248293045824E-5</v>
      </c>
      <c r="AR101">
        <v>5.6254647576441301E-6</v>
      </c>
      <c r="AS101">
        <v>11.9348248353985</v>
      </c>
      <c r="AT101">
        <v>9.3473029156749803</v>
      </c>
      <c r="AU101">
        <v>2.26766747084418</v>
      </c>
      <c r="AV101">
        <v>0.230422020210925</v>
      </c>
      <c r="AW101">
        <v>8.7452204862162094E-3</v>
      </c>
      <c r="AX101">
        <v>0.230422011635631</v>
      </c>
      <c r="AY101">
        <v>8.5752941414440897E-9</v>
      </c>
      <c r="AZ101">
        <v>839091.99888317997</v>
      </c>
      <c r="BA101">
        <v>1.2139208548439301E-5</v>
      </c>
      <c r="BB101">
        <v>4394434.6454541897</v>
      </c>
      <c r="BC101">
        <v>38000.422797937899</v>
      </c>
      <c r="BD101">
        <v>0.87228271691355597</v>
      </c>
      <c r="BE101">
        <v>2429034.2999999998</v>
      </c>
      <c r="BF101">
        <v>1.8091282800964099</v>
      </c>
      <c r="BG101">
        <v>1</v>
      </c>
      <c r="BH101">
        <v>-4.7E-2</v>
      </c>
      <c r="BI101">
        <v>4.5999999999999999E-2</v>
      </c>
      <c r="BJ101">
        <v>5625</v>
      </c>
      <c r="BK101">
        <v>1.0000000186575699</v>
      </c>
      <c r="BL101">
        <v>327.72936386356503</v>
      </c>
      <c r="BM101">
        <v>4.39443464545419</v>
      </c>
      <c r="BN101">
        <v>327.72936386356503</v>
      </c>
      <c r="BO101">
        <v>1.0000000186575699</v>
      </c>
      <c r="BP101">
        <v>82788.186829331797</v>
      </c>
      <c r="BQ101">
        <v>1</v>
      </c>
      <c r="BR101">
        <v>0.69596000000000002</v>
      </c>
      <c r="BS101">
        <v>100</v>
      </c>
      <c r="BT101">
        <v>187</v>
      </c>
      <c r="BU101" t="s">
        <v>304</v>
      </c>
      <c r="BV101" t="str">
        <f>"Table "&amp;TRIM(RIGHT(SUBSTITUTE($A101,"_",REPT(" ",50)),50))</f>
        <v>Table 12</v>
      </c>
      <c r="BW101">
        <f>$BR101/$Q101</f>
        <v>365.33333333333337</v>
      </c>
      <c r="BX101" t="str">
        <f>IF($BW101&lt;40,"outside_low",IF($BW101&lt;=100,"short_anchor",IF($BW101&lt;250,"middle",IF($BW101&lt;=400,"long","outside_high"))))</f>
        <v>long</v>
      </c>
      <c r="BY101" t="str">
        <f>IF($N101&gt;1000,"PASS","FAIL")</f>
        <v>PASS</v>
      </c>
      <c r="BZ101" t="str">
        <f>IF(AND($BW101&gt;=40,$BW101&lt;=400),"PASS","FAIL")</f>
        <v>PASS</v>
      </c>
    </row>
    <row r="102" spans="1:78">
      <c r="A102" t="s">
        <v>256</v>
      </c>
      <c r="B102">
        <v>17236893.2329209</v>
      </c>
      <c r="C102">
        <v>626.57723583796803</v>
      </c>
      <c r="D102">
        <v>122.583590976701</v>
      </c>
      <c r="E102">
        <v>560.26337686439001</v>
      </c>
      <c r="F102">
        <v>2538890.6454807199</v>
      </c>
      <c r="G102">
        <v>1699798.64659754</v>
      </c>
      <c r="H102">
        <v>2.4290890628326198E-5</v>
      </c>
      <c r="I102">
        <v>6.4066005508525405E-5</v>
      </c>
      <c r="J102">
        <v>0.452884810527584</v>
      </c>
      <c r="K102">
        <v>11219.515372648901</v>
      </c>
      <c r="L102">
        <v>3.02925386118211E-3</v>
      </c>
      <c r="M102">
        <v>187</v>
      </c>
      <c r="N102">
        <v>2414.0893999999998</v>
      </c>
      <c r="O102">
        <v>2.8502295699234199E-6</v>
      </c>
      <c r="P102">
        <v>5.98473400508856E-3</v>
      </c>
      <c r="Q102">
        <v>1.905E-3</v>
      </c>
      <c r="R102">
        <v>0.69596000000000002</v>
      </c>
      <c r="S102">
        <v>4716479.4921875</v>
      </c>
      <c r="T102">
        <v>297.72296123936098</v>
      </c>
      <c r="U102">
        <v>552.19483876594302</v>
      </c>
      <c r="V102">
        <v>0.03</v>
      </c>
      <c r="W102">
        <v>71782.847556931301</v>
      </c>
      <c r="X102">
        <v>2.93937295782228E-2</v>
      </c>
      <c r="Y102">
        <v>5.8327404707964403</v>
      </c>
      <c r="Z102">
        <v>5.8327404814836799</v>
      </c>
      <c r="AA102">
        <v>-1.06872386496093E-8</v>
      </c>
      <c r="AB102">
        <v>9.5112532420647704E-6</v>
      </c>
      <c r="AC102">
        <v>756.56313944595695</v>
      </c>
      <c r="AD102">
        <v>2175.5698943971502</v>
      </c>
      <c r="AE102">
        <v>552.19483876594302</v>
      </c>
      <c r="AF102">
        <v>0</v>
      </c>
      <c r="AG102">
        <v>9.6199797495388793E-6</v>
      </c>
      <c r="AH102">
        <v>38.2189869295226</v>
      </c>
      <c r="AI102">
        <v>0.26118213535816798</v>
      </c>
      <c r="AJ102">
        <v>21.9726386643643</v>
      </c>
      <c r="AK102">
        <v>7.5540476227608604</v>
      </c>
      <c r="AL102">
        <v>1.5871354414155801</v>
      </c>
      <c r="AM102">
        <v>626.57723583961103</v>
      </c>
      <c r="AN102">
        <v>-1.6430021787527899E-9</v>
      </c>
      <c r="AO102">
        <v>1.08726507474111E-7</v>
      </c>
      <c r="AP102">
        <v>2.5873913115067899</v>
      </c>
      <c r="AQ102">
        <v>2.8267676910378301E-5</v>
      </c>
      <c r="AR102">
        <v>4.8643531285064899E-6</v>
      </c>
      <c r="AS102">
        <v>11.1104884221473</v>
      </c>
      <c r="AT102">
        <v>8.9894478253735794</v>
      </c>
      <c r="AU102">
        <v>2.3478831787219101</v>
      </c>
      <c r="AV102">
        <v>0.23950813278487099</v>
      </c>
      <c r="AW102">
        <v>7.5451857095720299E-3</v>
      </c>
      <c r="AX102">
        <v>0.23950812766771901</v>
      </c>
      <c r="AY102">
        <v>5.1171517856385398E-9</v>
      </c>
      <c r="AZ102">
        <v>839091.99888317997</v>
      </c>
      <c r="BA102">
        <v>1.09251649662209E-5</v>
      </c>
      <c r="BB102">
        <v>4678528.1713303104</v>
      </c>
      <c r="BC102">
        <v>-37951.320857191502</v>
      </c>
      <c r="BD102">
        <v>-0.80465357519427405</v>
      </c>
      <c r="BE102">
        <v>2492126.1</v>
      </c>
      <c r="BF102">
        <v>1.8773240131509801</v>
      </c>
      <c r="BG102">
        <v>1</v>
      </c>
      <c r="BH102">
        <v>-8.5999999999999993E-2</v>
      </c>
      <c r="BI102">
        <v>4.5999999999999999E-2</v>
      </c>
      <c r="BJ102">
        <v>5625</v>
      </c>
      <c r="BK102">
        <v>1.00000001662561</v>
      </c>
      <c r="BL102">
        <v>328.85427459860699</v>
      </c>
      <c r="BM102">
        <v>4.67852817133031</v>
      </c>
      <c r="BN102">
        <v>328.85427459860699</v>
      </c>
      <c r="BO102">
        <v>1.00000001662561</v>
      </c>
      <c r="BP102">
        <v>83436.791953887499</v>
      </c>
      <c r="BQ102">
        <v>1</v>
      </c>
      <c r="BR102">
        <v>0.69596000000000002</v>
      </c>
      <c r="BS102">
        <v>101</v>
      </c>
      <c r="BT102">
        <v>188</v>
      </c>
      <c r="BU102" t="s">
        <v>304</v>
      </c>
      <c r="BV102" t="str">
        <f>"Table "&amp;TRIM(RIGHT(SUBSTITUTE($A102,"_",REPT(" ",50)),50))</f>
        <v>Table 12</v>
      </c>
      <c r="BW102">
        <f>$BR102/$Q102</f>
        <v>365.33333333333337</v>
      </c>
      <c r="BX102" t="str">
        <f>IF($BW102&lt;40,"outside_low",IF($BW102&lt;=100,"short_anchor",IF($BW102&lt;250,"middle",IF($BW102&lt;=400,"long","outside_high"))))</f>
        <v>long</v>
      </c>
      <c r="BY102" t="str">
        <f>IF($N102&gt;1000,"PASS","FAIL")</f>
        <v>PASS</v>
      </c>
      <c r="BZ102" t="str">
        <f>IF(AND($BW102&gt;=40,$BW102&lt;=400),"PASS","FAIL")</f>
        <v>PASS</v>
      </c>
    </row>
    <row r="103" spans="1:78">
      <c r="A103" t="s">
        <v>257</v>
      </c>
      <c r="B103">
        <v>17236893.2329209</v>
      </c>
      <c r="C103">
        <v>626.57723583796803</v>
      </c>
      <c r="D103">
        <v>122.583590976701</v>
      </c>
      <c r="E103">
        <v>560.26337686439001</v>
      </c>
      <c r="F103">
        <v>2538890.6454807199</v>
      </c>
      <c r="G103">
        <v>1699798.64659754</v>
      </c>
      <c r="H103">
        <v>2.4290890628326198E-5</v>
      </c>
      <c r="I103">
        <v>6.4066005508525405E-5</v>
      </c>
      <c r="J103">
        <v>0.452884810527584</v>
      </c>
      <c r="K103">
        <v>11219.515372648901</v>
      </c>
      <c r="L103">
        <v>3.02925386118211E-3</v>
      </c>
      <c r="M103">
        <v>188</v>
      </c>
      <c r="N103">
        <v>2983.7060000000001</v>
      </c>
      <c r="O103">
        <v>2.8502295699234199E-6</v>
      </c>
      <c r="P103">
        <v>5.98473400508856E-3</v>
      </c>
      <c r="Q103">
        <v>1.905E-3</v>
      </c>
      <c r="R103">
        <v>0.69596000000000002</v>
      </c>
      <c r="S103">
        <v>5580558.33984375</v>
      </c>
      <c r="T103">
        <v>298.28542199983798</v>
      </c>
      <c r="U103">
        <v>541.89637898541901</v>
      </c>
      <c r="V103">
        <v>0.03</v>
      </c>
      <c r="W103">
        <v>88720.373384971303</v>
      </c>
      <c r="X103">
        <v>2.68977240407712E-2</v>
      </c>
      <c r="Y103">
        <v>6.0973655573623198</v>
      </c>
      <c r="Z103">
        <v>6.0973655637760196</v>
      </c>
      <c r="AA103">
        <v>-6.4136980171269897E-9</v>
      </c>
      <c r="AB103">
        <v>6.8041134902182196E-6</v>
      </c>
      <c r="AC103">
        <v>750.16718579262897</v>
      </c>
      <c r="AD103">
        <v>2572.2083193029998</v>
      </c>
      <c r="AE103">
        <v>541.89637898541901</v>
      </c>
      <c r="AF103">
        <v>0</v>
      </c>
      <c r="AG103">
        <v>6.9077988830791201E-6</v>
      </c>
      <c r="AH103">
        <v>53.425102897599501</v>
      </c>
      <c r="AI103">
        <v>0.30879948428766202</v>
      </c>
      <c r="AJ103">
        <v>18.654380845278801</v>
      </c>
      <c r="AK103">
        <v>7.5792120787916701</v>
      </c>
      <c r="AL103">
        <v>1.5871354414155801</v>
      </c>
      <c r="AM103">
        <v>626.577235800327</v>
      </c>
      <c r="AN103">
        <v>3.7641143535438499E-8</v>
      </c>
      <c r="AO103">
        <v>1.0368539286089901E-7</v>
      </c>
      <c r="AP103">
        <v>2.7912967090185901</v>
      </c>
      <c r="AQ103">
        <v>2.4288592167690699E-5</v>
      </c>
      <c r="AR103">
        <v>3.5057421379700099E-6</v>
      </c>
      <c r="AS103">
        <v>9.4671906484173594</v>
      </c>
      <c r="AT103">
        <v>8.1891610257610896</v>
      </c>
      <c r="AU103">
        <v>2.5288087015036398</v>
      </c>
      <c r="AV103">
        <v>0.262488007514947</v>
      </c>
      <c r="AW103">
        <v>5.3976377840146703E-3</v>
      </c>
      <c r="AX103">
        <v>0.26248800720770599</v>
      </c>
      <c r="AY103">
        <v>3.0724156552253098E-10</v>
      </c>
      <c r="AZ103">
        <v>839091.99888317997</v>
      </c>
      <c r="BA103">
        <v>8.7015443715514207E-6</v>
      </c>
      <c r="BB103">
        <v>5601741.3589238403</v>
      </c>
      <c r="BC103">
        <v>21183.019080095</v>
      </c>
      <c r="BD103">
        <v>0.37958601613128401</v>
      </c>
      <c r="BE103">
        <v>3028406.4</v>
      </c>
      <c r="BF103">
        <v>1.8497323737408</v>
      </c>
      <c r="BG103">
        <v>1</v>
      </c>
      <c r="BH103">
        <v>-0.114</v>
      </c>
      <c r="BI103">
        <v>4.5999999999999999E-2</v>
      </c>
      <c r="BJ103">
        <v>5625</v>
      </c>
      <c r="BK103">
        <v>1.0000000176133099</v>
      </c>
      <c r="BL103">
        <v>328.29181383813</v>
      </c>
      <c r="BM103">
        <v>5.6017413589238396</v>
      </c>
      <c r="BN103">
        <v>328.29181383813</v>
      </c>
      <c r="BO103">
        <v>1.0000000176133099</v>
      </c>
      <c r="BP103">
        <v>83112.169926079005</v>
      </c>
      <c r="BQ103">
        <v>1</v>
      </c>
      <c r="BR103">
        <v>0.69596000000000002</v>
      </c>
      <c r="BS103">
        <v>102</v>
      </c>
      <c r="BT103">
        <v>189</v>
      </c>
      <c r="BU103" t="s">
        <v>304</v>
      </c>
      <c r="BV103" t="str">
        <f>"Table "&amp;TRIM(RIGHT(SUBSTITUTE($A103,"_",REPT(" ",50)),50))</f>
        <v>Table 12</v>
      </c>
      <c r="BW103">
        <f>$BR103/$Q103</f>
        <v>365.33333333333337</v>
      </c>
      <c r="BX103" t="str">
        <f>IF($BW103&lt;40,"outside_low",IF($BW103&lt;=100,"short_anchor",IF($BW103&lt;250,"middle",IF($BW103&lt;=400,"long","outside_high"))))</f>
        <v>long</v>
      </c>
      <c r="BY103" t="str">
        <f>IF($N103&gt;1000,"PASS","FAIL")</f>
        <v>PASS</v>
      </c>
      <c r="BZ103" t="str">
        <f>IF(AND($BW103&gt;=40,$BW103&lt;=400),"PASS","FAIL")</f>
        <v>PASS</v>
      </c>
    </row>
    <row r="104" spans="1:78">
      <c r="A104" t="s">
        <v>258</v>
      </c>
      <c r="B104">
        <v>17236893.2329209</v>
      </c>
      <c r="C104">
        <v>626.57723583796803</v>
      </c>
      <c r="D104">
        <v>122.583590976701</v>
      </c>
      <c r="E104">
        <v>560.26337686439001</v>
      </c>
      <c r="F104">
        <v>2538890.6454807199</v>
      </c>
      <c r="G104">
        <v>1699798.64659754</v>
      </c>
      <c r="H104">
        <v>2.4290890628326198E-5</v>
      </c>
      <c r="I104">
        <v>6.4066005508525405E-5</v>
      </c>
      <c r="J104">
        <v>0.452884810527584</v>
      </c>
      <c r="K104">
        <v>11219.515372648901</v>
      </c>
      <c r="L104">
        <v>3.02925386118211E-3</v>
      </c>
      <c r="M104">
        <v>189</v>
      </c>
      <c r="N104">
        <v>3051.5174999999999</v>
      </c>
      <c r="O104">
        <v>2.8502295699234199E-6</v>
      </c>
      <c r="P104">
        <v>5.98473400508856E-3</v>
      </c>
      <c r="Q104">
        <v>1.905E-3</v>
      </c>
      <c r="R104">
        <v>0.69596000000000002</v>
      </c>
      <c r="S104">
        <v>5690958.73046875</v>
      </c>
      <c r="T104">
        <v>297.72296123936098</v>
      </c>
      <c r="U104">
        <v>540.63260892440405</v>
      </c>
      <c r="V104">
        <v>0.03</v>
      </c>
      <c r="W104">
        <v>90736.745507357002</v>
      </c>
      <c r="X104">
        <v>2.6652018899410601E-2</v>
      </c>
      <c r="Y104">
        <v>6.1254069043171304</v>
      </c>
      <c r="Z104">
        <v>6.1254069065536001</v>
      </c>
      <c r="AA104">
        <v>-2.2364643470495999E-9</v>
      </c>
      <c r="AB104">
        <v>6.5650387724955899E-6</v>
      </c>
      <c r="AC104">
        <v>749.70006180055896</v>
      </c>
      <c r="AD104">
        <v>2618.6247319272102</v>
      </c>
      <c r="AE104">
        <v>540.63261042140505</v>
      </c>
      <c r="AF104">
        <v>1.49700053952984E-6</v>
      </c>
      <c r="AG104">
        <v>6.6681108808975502E-6</v>
      </c>
      <c r="AH104">
        <v>55.370649883255901</v>
      </c>
      <c r="AI104">
        <v>0.31437188064968102</v>
      </c>
      <c r="AJ104">
        <v>18.332052564778198</v>
      </c>
      <c r="AK104">
        <v>7.5956723949669103</v>
      </c>
      <c r="AL104">
        <v>1.5871354414155801</v>
      </c>
      <c r="AM104">
        <v>626.57723599291899</v>
      </c>
      <c r="AN104">
        <v>-1.5495118077524199E-7</v>
      </c>
      <c r="AO104">
        <v>1.03072108401963E-7</v>
      </c>
      <c r="AP104">
        <v>2.8129089681307602</v>
      </c>
      <c r="AQ104">
        <v>2.3916795734782299E-5</v>
      </c>
      <c r="AR104">
        <v>3.3855914946497599E-6</v>
      </c>
      <c r="AS104">
        <v>9.3077098373672005</v>
      </c>
      <c r="AT104">
        <v>8.1042153574346596</v>
      </c>
      <c r="AU104">
        <v>2.54773742310676</v>
      </c>
      <c r="AV104">
        <v>0.26517154502399898</v>
      </c>
      <c r="AW104">
        <v>5.2079821100701499E-3</v>
      </c>
      <c r="AX104">
        <v>0.26517154462220499</v>
      </c>
      <c r="AY104">
        <v>4.0179426452624501E-10</v>
      </c>
      <c r="AZ104">
        <v>839091.99888317997</v>
      </c>
      <c r="BA104">
        <v>8.5025132365643294E-6</v>
      </c>
      <c r="BB104">
        <v>5698960.6418665396</v>
      </c>
      <c r="BC104">
        <v>8001.9113977914703</v>
      </c>
      <c r="BD104">
        <v>0.140607440271006</v>
      </c>
      <c r="BE104">
        <v>3028406.4</v>
      </c>
      <c r="BF104">
        <v>1.8818348296538201</v>
      </c>
      <c r="BG104">
        <v>1</v>
      </c>
      <c r="BH104">
        <v>-0.156</v>
      </c>
      <c r="BI104">
        <v>4.5999999999999999E-2</v>
      </c>
      <c r="BJ104">
        <v>5625</v>
      </c>
      <c r="BK104">
        <v>1.00000001662561</v>
      </c>
      <c r="BL104">
        <v>328.85427459860699</v>
      </c>
      <c r="BM104">
        <v>5.6989606418665399</v>
      </c>
      <c r="BN104">
        <v>328.85427459860699</v>
      </c>
      <c r="BO104">
        <v>1.00000001662561</v>
      </c>
      <c r="BP104">
        <v>83436.791953887499</v>
      </c>
      <c r="BQ104">
        <v>1</v>
      </c>
      <c r="BR104">
        <v>0.69596000000000002</v>
      </c>
      <c r="BS104">
        <v>103</v>
      </c>
      <c r="BT104">
        <v>190</v>
      </c>
      <c r="BU104" t="s">
        <v>304</v>
      </c>
      <c r="BV104" t="str">
        <f>"Table "&amp;TRIM(RIGHT(SUBSTITUTE($A104,"_",REPT(" ",50)),50))</f>
        <v>Table 12</v>
      </c>
      <c r="BW104">
        <f>$BR104/$Q104</f>
        <v>365.33333333333337</v>
      </c>
      <c r="BX104" t="str">
        <f>IF($BW104&lt;40,"outside_low",IF($BW104&lt;=100,"short_anchor",IF($BW104&lt;250,"middle",IF($BW104&lt;=400,"long","outside_high"))))</f>
        <v>long</v>
      </c>
      <c r="BY104" t="str">
        <f>IF($N104&gt;1000,"PASS","FAIL")</f>
        <v>PASS</v>
      </c>
      <c r="BZ104" t="str">
        <f>IF(AND($BW104&gt;=40,$BW104&lt;=400),"PASS","FAIL")</f>
        <v>PASS</v>
      </c>
    </row>
    <row r="105" spans="1:78">
      <c r="A105" t="s">
        <v>259</v>
      </c>
      <c r="B105">
        <v>17236893.2329209</v>
      </c>
      <c r="C105">
        <v>626.57723583796803</v>
      </c>
      <c r="D105">
        <v>122.583590976701</v>
      </c>
      <c r="E105">
        <v>560.26337686439001</v>
      </c>
      <c r="F105">
        <v>2538890.6454807199</v>
      </c>
      <c r="G105">
        <v>1699798.64659754</v>
      </c>
      <c r="H105">
        <v>2.4290890628326198E-5</v>
      </c>
      <c r="I105">
        <v>6.4066005508525405E-5</v>
      </c>
      <c r="J105">
        <v>0.452884810527584</v>
      </c>
      <c r="K105">
        <v>11219.515372648901</v>
      </c>
      <c r="L105">
        <v>3.02925386118211E-3</v>
      </c>
      <c r="M105">
        <v>190</v>
      </c>
      <c r="N105">
        <v>3607.5718000000002</v>
      </c>
      <c r="O105">
        <v>2.8502295699234199E-6</v>
      </c>
      <c r="P105">
        <v>5.98473400508856E-3</v>
      </c>
      <c r="Q105">
        <v>1.905E-3</v>
      </c>
      <c r="R105">
        <v>0.69596000000000002</v>
      </c>
      <c r="S105">
        <v>6458440.91796875</v>
      </c>
      <c r="T105">
        <v>299.91649569119198</v>
      </c>
      <c r="U105">
        <v>533.09467146412499</v>
      </c>
      <c r="V105">
        <v>0.03</v>
      </c>
      <c r="W105">
        <v>107270.99691092</v>
      </c>
      <c r="X105">
        <v>2.49258812093941E-2</v>
      </c>
      <c r="Y105">
        <v>6.33395158653222</v>
      </c>
      <c r="Z105">
        <v>6.3339516227232</v>
      </c>
      <c r="AA105">
        <v>-3.6190980878814103E-8</v>
      </c>
      <c r="AB105">
        <v>5.0224850177624702E-6</v>
      </c>
      <c r="AC105">
        <v>743.45447219940297</v>
      </c>
      <c r="AD105">
        <v>2993.8675842437601</v>
      </c>
      <c r="AE105">
        <v>533.09467146412499</v>
      </c>
      <c r="AF105">
        <v>0</v>
      </c>
      <c r="AG105">
        <v>5.1214766945864902E-6</v>
      </c>
      <c r="AH105">
        <v>72.376614774611696</v>
      </c>
      <c r="AI105">
        <v>0.35942064221708903</v>
      </c>
      <c r="AJ105">
        <v>16.097662004600899</v>
      </c>
      <c r="AK105">
        <v>7.5496133980388596</v>
      </c>
      <c r="AL105">
        <v>1.5871354414155801</v>
      </c>
      <c r="AM105">
        <v>626.57723575488501</v>
      </c>
      <c r="AN105">
        <v>8.3083250501658794E-8</v>
      </c>
      <c r="AO105">
        <v>9.8991676824019995E-8</v>
      </c>
      <c r="AP105">
        <v>2.97292995260409</v>
      </c>
      <c r="AQ105">
        <v>2.14113966310024E-5</v>
      </c>
      <c r="AR105">
        <v>2.6102341857052602E-6</v>
      </c>
      <c r="AS105">
        <v>8.2044047410686396</v>
      </c>
      <c r="AT105">
        <v>7.4733558679723497</v>
      </c>
      <c r="AU105">
        <v>2.6860783655834699</v>
      </c>
      <c r="AV105">
        <v>0.28685158702061597</v>
      </c>
      <c r="AW105">
        <v>3.9842890540399897E-3</v>
      </c>
      <c r="AX105">
        <v>0.28685157724797899</v>
      </c>
      <c r="AY105">
        <v>9.7726369219230897E-9</v>
      </c>
      <c r="AZ105">
        <v>839091.99888317997</v>
      </c>
      <c r="BA105">
        <v>7.2021194486091E-6</v>
      </c>
      <c r="BB105">
        <v>6461601.5695773698</v>
      </c>
      <c r="BC105">
        <v>3160.6516086198399</v>
      </c>
      <c r="BD105">
        <v>4.8938306454522698E-2</v>
      </c>
      <c r="BE105">
        <v>3722416.2</v>
      </c>
      <c r="BF105">
        <v>1.73586219874537</v>
      </c>
      <c r="BG105">
        <v>1</v>
      </c>
      <c r="BH105">
        <v>-7.5999999999999998E-2</v>
      </c>
      <c r="BI105">
        <v>4.5999999999999999E-2</v>
      </c>
      <c r="BJ105">
        <v>5625</v>
      </c>
      <c r="BK105">
        <v>1.0000000208087401</v>
      </c>
      <c r="BL105">
        <v>326.66074014677599</v>
      </c>
      <c r="BM105">
        <v>6.4616015695773701</v>
      </c>
      <c r="BN105">
        <v>326.66074014677599</v>
      </c>
      <c r="BO105">
        <v>1.0000000208087401</v>
      </c>
      <c r="BP105">
        <v>82174.379941497493</v>
      </c>
      <c r="BQ105">
        <v>1</v>
      </c>
      <c r="BR105">
        <v>0.69596000000000002</v>
      </c>
      <c r="BS105">
        <v>104</v>
      </c>
      <c r="BT105">
        <v>191</v>
      </c>
      <c r="BU105" t="s">
        <v>304</v>
      </c>
      <c r="BV105" t="str">
        <f>"Table "&amp;TRIM(RIGHT(SUBSTITUTE($A105,"_",REPT(" ",50)),50))</f>
        <v>Table 12</v>
      </c>
      <c r="BW105">
        <f>$BR105/$Q105</f>
        <v>365.33333333333337</v>
      </c>
      <c r="BX105" t="str">
        <f>IF($BW105&lt;40,"outside_low",IF($BW105&lt;=100,"short_anchor",IF($BW105&lt;250,"middle",IF($BW105&lt;=400,"long","outside_high"))))</f>
        <v>long</v>
      </c>
      <c r="BY105" t="str">
        <f>IF($N105&gt;1000,"PASS","FAIL")</f>
        <v>PASS</v>
      </c>
      <c r="BZ105" t="str">
        <f>IF(AND($BW105&gt;=40,$BW105&lt;=400),"PASS","FAIL")</f>
        <v>PASS</v>
      </c>
    </row>
    <row r="106" spans="1:78">
      <c r="A106" t="s">
        <v>260</v>
      </c>
      <c r="B106">
        <v>17236893.2329209</v>
      </c>
      <c r="C106">
        <v>626.57723583796803</v>
      </c>
      <c r="D106">
        <v>122.583590976701</v>
      </c>
      <c r="E106">
        <v>560.26337686439001</v>
      </c>
      <c r="F106">
        <v>2538890.6454807199</v>
      </c>
      <c r="G106">
        <v>1699798.64659754</v>
      </c>
      <c r="H106">
        <v>2.4290890628326198E-5</v>
      </c>
      <c r="I106">
        <v>6.4066005508525405E-5</v>
      </c>
      <c r="J106">
        <v>0.452884810527584</v>
      </c>
      <c r="K106">
        <v>11219.515372648901</v>
      </c>
      <c r="L106">
        <v>3.02925386118211E-3</v>
      </c>
      <c r="M106">
        <v>191</v>
      </c>
      <c r="N106">
        <v>3648.2586999999999</v>
      </c>
      <c r="O106">
        <v>2.8502295699234199E-6</v>
      </c>
      <c r="P106">
        <v>5.98473400508856E-3</v>
      </c>
      <c r="Q106">
        <v>1.905E-3</v>
      </c>
      <c r="R106">
        <v>0.69596000000000002</v>
      </c>
      <c r="S106">
        <v>6580462.40234375</v>
      </c>
      <c r="T106">
        <v>296.59800912860601</v>
      </c>
      <c r="U106">
        <v>531.53206594622395</v>
      </c>
      <c r="V106">
        <v>0.03</v>
      </c>
      <c r="W106">
        <v>108480.820184351</v>
      </c>
      <c r="X106">
        <v>2.4816475679600599E-2</v>
      </c>
      <c r="Y106">
        <v>6.3478981126908902</v>
      </c>
      <c r="Z106">
        <v>6.3478981428997603</v>
      </c>
      <c r="AA106">
        <v>-3.0208874512993602E-8</v>
      </c>
      <c r="AB106">
        <v>4.9327349369830401E-6</v>
      </c>
      <c r="AC106">
        <v>744.36518426716998</v>
      </c>
      <c r="AD106">
        <v>3020.9812058765401</v>
      </c>
      <c r="AE106">
        <v>531.53206594622395</v>
      </c>
      <c r="AF106">
        <v>0</v>
      </c>
      <c r="AG106">
        <v>5.0325428617803003E-6</v>
      </c>
      <c r="AH106">
        <v>73.693492147012293</v>
      </c>
      <c r="AI106">
        <v>0.36267569442827202</v>
      </c>
      <c r="AJ106">
        <v>15.9613831004792</v>
      </c>
      <c r="AK106">
        <v>7.6321306002263496</v>
      </c>
      <c r="AL106">
        <v>1.5871354414155801</v>
      </c>
      <c r="AM106">
        <v>626.57723576590104</v>
      </c>
      <c r="AN106">
        <v>7.2066541179083301E-8</v>
      </c>
      <c r="AO106">
        <v>9.9807924797256902E-8</v>
      </c>
      <c r="AP106">
        <v>2.9842363221624701</v>
      </c>
      <c r="AQ106">
        <v>2.1249461352944501E-5</v>
      </c>
      <c r="AR106">
        <v>2.5661753932887799E-6</v>
      </c>
      <c r="AS106">
        <v>8.1389686447330494</v>
      </c>
      <c r="AT106">
        <v>7.4333173493290499</v>
      </c>
      <c r="AU106">
        <v>2.69588353157364</v>
      </c>
      <c r="AV106">
        <v>0.28835279058883001</v>
      </c>
      <c r="AW106">
        <v>3.9130911782506101E-3</v>
      </c>
      <c r="AX106">
        <v>0.28835277960452999</v>
      </c>
      <c r="AY106">
        <v>1.09843000251075E-8</v>
      </c>
      <c r="AZ106">
        <v>839091.99888317997</v>
      </c>
      <c r="BA106">
        <v>7.12056923747463E-6</v>
      </c>
      <c r="BB106">
        <v>6589494.9066015501</v>
      </c>
      <c r="BC106">
        <v>9032.5042578028497</v>
      </c>
      <c r="BD106">
        <v>0.13726245521265701</v>
      </c>
      <c r="BE106">
        <v>3753962.1</v>
      </c>
      <c r="BF106">
        <v>1.75534401548741</v>
      </c>
      <c r="BG106">
        <v>1</v>
      </c>
      <c r="BH106">
        <v>-9.7000000000000003E-2</v>
      </c>
      <c r="BI106">
        <v>4.5999999999999999E-2</v>
      </c>
      <c r="BJ106">
        <v>5625</v>
      </c>
      <c r="BK106">
        <v>1.00000001480822</v>
      </c>
      <c r="BL106">
        <v>329.97922670936202</v>
      </c>
      <c r="BM106">
        <v>6.5894949066015496</v>
      </c>
      <c r="BN106">
        <v>329.97922670936202</v>
      </c>
      <c r="BO106">
        <v>1.00000001480822</v>
      </c>
      <c r="BP106">
        <v>84087.951922959604</v>
      </c>
      <c r="BQ106">
        <v>1</v>
      </c>
      <c r="BR106">
        <v>0.69596000000000002</v>
      </c>
      <c r="BS106">
        <v>105</v>
      </c>
      <c r="BT106">
        <v>192</v>
      </c>
      <c r="BU106" t="s">
        <v>304</v>
      </c>
      <c r="BV106" t="str">
        <f>"Table "&amp;TRIM(RIGHT(SUBSTITUTE($A106,"_",REPT(" ",50)),50))</f>
        <v>Table 12</v>
      </c>
      <c r="BW106">
        <f>$BR106/$Q106</f>
        <v>365.33333333333337</v>
      </c>
      <c r="BX106" t="str">
        <f>IF($BW106&lt;40,"outside_low",IF($BW106&lt;=100,"short_anchor",IF($BW106&lt;250,"middle",IF($BW106&lt;=400,"long","outside_high"))))</f>
        <v>long</v>
      </c>
      <c r="BY106" t="str">
        <f>IF($N106&gt;1000,"PASS","FAIL")</f>
        <v>PASS</v>
      </c>
      <c r="BZ106" t="str">
        <f>IF(AND($BW106&gt;=40,$BW106&lt;=400),"PASS","FAIL")</f>
        <v>PASS</v>
      </c>
    </row>
    <row r="107" spans="1:78">
      <c r="A107" t="s">
        <v>261</v>
      </c>
      <c r="B107">
        <v>17236893.2329209</v>
      </c>
      <c r="C107">
        <v>626.57723583796803</v>
      </c>
      <c r="D107">
        <v>122.583590976701</v>
      </c>
      <c r="E107">
        <v>560.26337686439001</v>
      </c>
      <c r="F107">
        <v>2538890.6454807199</v>
      </c>
      <c r="G107">
        <v>1699798.64659754</v>
      </c>
      <c r="H107">
        <v>2.4290890628326198E-5</v>
      </c>
      <c r="I107">
        <v>6.4066005508525405E-5</v>
      </c>
      <c r="J107">
        <v>0.452884810527584</v>
      </c>
      <c r="K107">
        <v>11219.515372648901</v>
      </c>
      <c r="L107">
        <v>3.02925386118211E-3</v>
      </c>
      <c r="M107">
        <v>192</v>
      </c>
      <c r="N107">
        <v>3661.8209999999999</v>
      </c>
      <c r="O107">
        <v>2.8502295699234199E-6</v>
      </c>
      <c r="P107">
        <v>5.98473400508856E-3</v>
      </c>
      <c r="Q107">
        <v>1.905E-3</v>
      </c>
      <c r="R107">
        <v>0.69596000000000002</v>
      </c>
      <c r="S107">
        <v>6556070.21484375</v>
      </c>
      <c r="T107">
        <v>298.84787197440301</v>
      </c>
      <c r="U107">
        <v>532.04418410014102</v>
      </c>
      <c r="V107">
        <v>0.03</v>
      </c>
      <c r="W107">
        <v>108884.094608828</v>
      </c>
      <c r="X107">
        <v>2.4780443082083201E-2</v>
      </c>
      <c r="Y107">
        <v>6.3525115929537899</v>
      </c>
      <c r="Z107">
        <v>6.35251162124099</v>
      </c>
      <c r="AA107">
        <v>-2.8287202802346201E-8</v>
      </c>
      <c r="AB107">
        <v>4.9033833539040099E-6</v>
      </c>
      <c r="AC107">
        <v>743.37490699852106</v>
      </c>
      <c r="AD107">
        <v>3030.0094905242099</v>
      </c>
      <c r="AE107">
        <v>532.04418410014102</v>
      </c>
      <c r="AF107">
        <v>0</v>
      </c>
      <c r="AG107">
        <v>5.0026818067826202E-6</v>
      </c>
      <c r="AH107">
        <v>74.134620343814404</v>
      </c>
      <c r="AI107">
        <v>0.36375956062304399</v>
      </c>
      <c r="AJ107">
        <v>15.9140927586605</v>
      </c>
      <c r="AK107">
        <v>7.5762043393476102</v>
      </c>
      <c r="AL107">
        <v>1.5871354414155801</v>
      </c>
      <c r="AM107">
        <v>626.57723567076698</v>
      </c>
      <c r="AN107">
        <v>1.6720127860026E-7</v>
      </c>
      <c r="AO107">
        <v>9.9298452878604306E-8</v>
      </c>
      <c r="AP107">
        <v>2.9874741172130901</v>
      </c>
      <c r="AQ107">
        <v>2.1203426398358499E-5</v>
      </c>
      <c r="AR107">
        <v>2.5509901298306101E-6</v>
      </c>
      <c r="AS107">
        <v>8.1149861455331607</v>
      </c>
      <c r="AT107">
        <v>7.4185624684934801</v>
      </c>
      <c r="AU107">
        <v>2.6985730239937902</v>
      </c>
      <c r="AV107">
        <v>0.28890109321929403</v>
      </c>
      <c r="AW107">
        <v>3.88980684972261E-3</v>
      </c>
      <c r="AX107">
        <v>0.28890108188186397</v>
      </c>
      <c r="AY107">
        <v>1.13374305499292E-8</v>
      </c>
      <c r="AZ107">
        <v>839091.99888317997</v>
      </c>
      <c r="BA107">
        <v>7.0974427112822801E-6</v>
      </c>
      <c r="BB107">
        <v>6577220.4856719803</v>
      </c>
      <c r="BC107">
        <v>21150.270828231201</v>
      </c>
      <c r="BD107">
        <v>0.32260592298637097</v>
      </c>
      <c r="BE107">
        <v>3659324.4</v>
      </c>
      <c r="BF107">
        <v>1.7973865573852901</v>
      </c>
      <c r="BG107">
        <v>1</v>
      </c>
      <c r="BH107">
        <v>-0.13800000000000001</v>
      </c>
      <c r="BI107">
        <v>4.5999999999999999E-2</v>
      </c>
      <c r="BJ107">
        <v>5625</v>
      </c>
      <c r="BK107">
        <v>1.0000000186575699</v>
      </c>
      <c r="BL107">
        <v>327.72936386356503</v>
      </c>
      <c r="BM107">
        <v>6.5772204856719796</v>
      </c>
      <c r="BN107">
        <v>327.72936386356503</v>
      </c>
      <c r="BO107">
        <v>1.0000000186575699</v>
      </c>
      <c r="BP107">
        <v>82788.186829331797</v>
      </c>
      <c r="BQ107">
        <v>1</v>
      </c>
      <c r="BR107">
        <v>0.69596000000000002</v>
      </c>
      <c r="BS107">
        <v>106</v>
      </c>
      <c r="BT107">
        <v>193</v>
      </c>
      <c r="BU107" t="s">
        <v>304</v>
      </c>
      <c r="BV107" t="str">
        <f>"Table "&amp;TRIM(RIGHT(SUBSTITUTE($A107,"_",REPT(" ",50)),50))</f>
        <v>Table 12</v>
      </c>
      <c r="BW107">
        <f>$BR107/$Q107</f>
        <v>365.33333333333337</v>
      </c>
      <c r="BX107" t="str">
        <f>IF($BW107&lt;40,"outside_low",IF($BW107&lt;=100,"short_anchor",IF($BW107&lt;250,"middle",IF($BW107&lt;=400,"long","outside_high"))))</f>
        <v>long</v>
      </c>
      <c r="BY107" t="str">
        <f>IF($N107&gt;1000,"PASS","FAIL")</f>
        <v>PASS</v>
      </c>
      <c r="BZ107" t="str">
        <f>IF(AND($BW107&gt;=40,$BW107&lt;=400),"PASS","FAIL")</f>
        <v>PASS</v>
      </c>
    </row>
    <row r="108" spans="1:78">
      <c r="A108" t="s">
        <v>262</v>
      </c>
      <c r="B108">
        <v>18271106.826896202</v>
      </c>
      <c r="C108">
        <v>631.29983468618298</v>
      </c>
      <c r="D108">
        <v>138.52318499804201</v>
      </c>
      <c r="E108">
        <v>536.33561616438203</v>
      </c>
      <c r="F108">
        <v>2495937.2378505501</v>
      </c>
      <c r="G108">
        <v>1744945.8746917399</v>
      </c>
      <c r="H108">
        <v>2.53000428176681E-5</v>
      </c>
      <c r="I108">
        <v>6.1314866074765306E-5</v>
      </c>
      <c r="J108">
        <v>0.443124715589372</v>
      </c>
      <c r="K108">
        <v>14125.954358631299</v>
      </c>
      <c r="L108">
        <v>2.2091942860543502E-3</v>
      </c>
      <c r="M108">
        <v>193</v>
      </c>
      <c r="N108">
        <v>2739.5846000000001</v>
      </c>
      <c r="O108">
        <v>7.0553949389535604E-6</v>
      </c>
      <c r="P108">
        <v>9.4159815013393298E-3</v>
      </c>
      <c r="Q108">
        <v>2.9972000000000002E-3</v>
      </c>
      <c r="R108">
        <v>0.150114</v>
      </c>
      <c r="S108">
        <v>2928883.69140625</v>
      </c>
      <c r="T108">
        <v>612.68304621214202</v>
      </c>
      <c r="U108">
        <v>627.84534587882399</v>
      </c>
      <c r="V108">
        <v>0.03</v>
      </c>
      <c r="W108">
        <v>133916.674515894</v>
      </c>
      <c r="X108">
        <v>2.3587060909025698E-2</v>
      </c>
      <c r="Y108">
        <v>6.5112307388258204</v>
      </c>
      <c r="Z108">
        <v>6.5112307565456202</v>
      </c>
      <c r="AA108">
        <v>-1.7719809619620699E-8</v>
      </c>
      <c r="AB108">
        <v>6.4253756212537998E-6</v>
      </c>
      <c r="AC108">
        <v>675.49427271791899</v>
      </c>
      <c r="AD108">
        <v>3635.77150244014</v>
      </c>
      <c r="AE108">
        <v>627.84534666578304</v>
      </c>
      <c r="AF108">
        <v>7.8695882166357499E-7</v>
      </c>
      <c r="AG108">
        <v>6.50238492499943E-6</v>
      </c>
      <c r="AH108">
        <v>41.258804146735898</v>
      </c>
      <c r="AI108">
        <v>0.27735755430529702</v>
      </c>
      <c r="AJ108">
        <v>15.775514352201601</v>
      </c>
      <c r="AK108">
        <v>2.4514116699517299</v>
      </c>
      <c r="AL108">
        <v>1.9545987150045101</v>
      </c>
      <c r="AM108">
        <v>631.29983467023806</v>
      </c>
      <c r="AN108">
        <v>1.5945261111483001E-8</v>
      </c>
      <c r="AO108">
        <v>7.7009303745626797E-8</v>
      </c>
      <c r="AP108">
        <v>2.28312512080069</v>
      </c>
      <c r="AQ108">
        <v>2.4188456943586901E-5</v>
      </c>
      <c r="AR108">
        <v>3.2896971143725301E-6</v>
      </c>
      <c r="AS108">
        <v>7.98117377558735</v>
      </c>
      <c r="AT108">
        <v>7.3354274515884699</v>
      </c>
      <c r="AU108">
        <v>2.0345362177565098</v>
      </c>
      <c r="AV108">
        <v>0.248588903044175</v>
      </c>
      <c r="AW108">
        <v>5.6903963802360201E-3</v>
      </c>
      <c r="AX108">
        <v>0.248588889488007</v>
      </c>
      <c r="AY108">
        <v>1.35561683545227E-8</v>
      </c>
      <c r="AZ108">
        <v>750991.36315881298</v>
      </c>
      <c r="BA108">
        <v>1.0594450879286E-5</v>
      </c>
      <c r="BB108">
        <v>2927765.74651143</v>
      </c>
      <c r="BC108">
        <v>-1117.94489481859</v>
      </c>
      <c r="BD108">
        <v>-3.81696582250362E-2</v>
      </c>
      <c r="BE108">
        <v>1722406.14</v>
      </c>
      <c r="BF108">
        <v>1.69981148958946</v>
      </c>
      <c r="BG108">
        <v>1</v>
      </c>
      <c r="BH108">
        <v>-5.7000000000000002E-2</v>
      </c>
      <c r="BI108">
        <v>4.5999999999999999E-2</v>
      </c>
      <c r="BJ108">
        <v>5625</v>
      </c>
      <c r="BK108">
        <v>1.0424087189582001</v>
      </c>
      <c r="BL108">
        <v>18.616788474041002</v>
      </c>
      <c r="BM108">
        <v>2.92776574651143</v>
      </c>
      <c r="BN108">
        <v>18.616788474041002</v>
      </c>
      <c r="BO108">
        <v>1.0424087189582001</v>
      </c>
      <c r="BP108">
        <v>457.241735163908</v>
      </c>
      <c r="BQ108">
        <v>1</v>
      </c>
      <c r="BR108">
        <v>0.150114</v>
      </c>
      <c r="BS108">
        <v>107</v>
      </c>
      <c r="BT108">
        <v>194</v>
      </c>
      <c r="BU108" t="s">
        <v>304</v>
      </c>
      <c r="BV108" t="str">
        <f>"Table "&amp;TRIM(RIGHT(SUBSTITUTE($A108,"_",REPT(" ",50)),50))</f>
        <v>Table 13</v>
      </c>
      <c r="BW108">
        <f>$BR108/$Q108</f>
        <v>50.084745762711862</v>
      </c>
      <c r="BX108" t="str">
        <f>IF($BW108&lt;40,"outside_low",IF($BW108&lt;=100,"short_anchor",IF($BW108&lt;250,"middle",IF($BW108&lt;=400,"long","outside_high"))))</f>
        <v>short_anchor</v>
      </c>
      <c r="BY108" t="str">
        <f>IF($N108&gt;1000,"PASS","FAIL")</f>
        <v>PASS</v>
      </c>
      <c r="BZ108" t="str">
        <f>IF(AND($BW108&gt;=40,$BW108&lt;=400),"PASS","FAIL")</f>
        <v>PASS</v>
      </c>
    </row>
    <row r="109" spans="1:78">
      <c r="A109" t="s">
        <v>263</v>
      </c>
      <c r="B109">
        <v>18271106.826896202</v>
      </c>
      <c r="C109">
        <v>631.29983468618298</v>
      </c>
      <c r="D109">
        <v>138.52318499804201</v>
      </c>
      <c r="E109">
        <v>536.33561616438203</v>
      </c>
      <c r="F109">
        <v>2495937.2378505501</v>
      </c>
      <c r="G109">
        <v>1744945.8746917399</v>
      </c>
      <c r="H109">
        <v>2.53000428176681E-5</v>
      </c>
      <c r="I109">
        <v>6.1314866074765306E-5</v>
      </c>
      <c r="J109">
        <v>0.443124715589372</v>
      </c>
      <c r="K109">
        <v>14125.954358631299</v>
      </c>
      <c r="L109">
        <v>2.2091942860543502E-3</v>
      </c>
      <c r="M109">
        <v>194</v>
      </c>
      <c r="N109">
        <v>2753.1469000000002</v>
      </c>
      <c r="O109">
        <v>7.0553949389535604E-6</v>
      </c>
      <c r="P109">
        <v>9.4159815013393298E-3</v>
      </c>
      <c r="Q109">
        <v>2.9972000000000002E-3</v>
      </c>
      <c r="R109">
        <v>0.150114</v>
      </c>
      <c r="S109">
        <v>2936099.51171875</v>
      </c>
      <c r="T109">
        <v>612.68304621214202</v>
      </c>
      <c r="U109">
        <v>627.80782572576095</v>
      </c>
      <c r="V109">
        <v>0.03</v>
      </c>
      <c r="W109">
        <v>134579.628350132</v>
      </c>
      <c r="X109">
        <v>2.3542434183711498E-2</v>
      </c>
      <c r="Y109">
        <v>6.51739911825611</v>
      </c>
      <c r="Z109">
        <v>6.5173991374830198</v>
      </c>
      <c r="AA109">
        <v>-1.9226911618375201E-8</v>
      </c>
      <c r="AB109">
        <v>6.3742875031969701E-6</v>
      </c>
      <c r="AC109">
        <v>675.37002279869603</v>
      </c>
      <c r="AD109">
        <v>3650.3122675647301</v>
      </c>
      <c r="AE109">
        <v>627.80782572576095</v>
      </c>
      <c r="AF109">
        <v>0</v>
      </c>
      <c r="AG109">
        <v>6.45120247387111E-6</v>
      </c>
      <c r="AH109">
        <v>41.589481835195201</v>
      </c>
      <c r="AI109">
        <v>0.27846680747205299</v>
      </c>
      <c r="AJ109">
        <v>15.713935360280001</v>
      </c>
      <c r="AK109">
        <v>2.4476620681140999</v>
      </c>
      <c r="AL109">
        <v>1.9545987150045101</v>
      </c>
      <c r="AM109">
        <v>631.29983473374205</v>
      </c>
      <c r="AN109">
        <v>-4.75590695714345E-8</v>
      </c>
      <c r="AO109">
        <v>7.6914970674134803E-8</v>
      </c>
      <c r="AP109">
        <v>2.2865463500747101</v>
      </c>
      <c r="AQ109">
        <v>2.4116127470150599E-5</v>
      </c>
      <c r="AR109">
        <v>3.2640587222726199E-6</v>
      </c>
      <c r="AS109">
        <v>7.9506429974398802</v>
      </c>
      <c r="AT109">
        <v>7.3162640278836601</v>
      </c>
      <c r="AU109">
        <v>2.0373366864673899</v>
      </c>
      <c r="AV109">
        <v>0.249209663607318</v>
      </c>
      <c r="AW109">
        <v>5.6451520771477999E-3</v>
      </c>
      <c r="AX109">
        <v>0.249209649380879</v>
      </c>
      <c r="AY109">
        <v>1.42264398872438E-8</v>
      </c>
      <c r="AZ109">
        <v>750991.36315881298</v>
      </c>
      <c r="BA109">
        <v>1.05469663754521E-5</v>
      </c>
      <c r="BB109">
        <v>2937344.58686127</v>
      </c>
      <c r="BC109">
        <v>1245.0751425186199</v>
      </c>
      <c r="BD109">
        <v>4.2405754217430099E-2</v>
      </c>
      <c r="BE109">
        <v>1747642.86</v>
      </c>
      <c r="BF109">
        <v>1.6807464809264701</v>
      </c>
      <c r="BG109">
        <v>1</v>
      </c>
      <c r="BH109">
        <v>-5.5E-2</v>
      </c>
      <c r="BI109">
        <v>4.5999999999999999E-2</v>
      </c>
      <c r="BJ109">
        <v>5625</v>
      </c>
      <c r="BK109">
        <v>1.0424087189582001</v>
      </c>
      <c r="BL109">
        <v>18.616788474041002</v>
      </c>
      <c r="BM109">
        <v>2.9373445868612702</v>
      </c>
      <c r="BN109">
        <v>18.616788474041002</v>
      </c>
      <c r="BO109">
        <v>1.0424087189582001</v>
      </c>
      <c r="BP109">
        <v>457.241735163908</v>
      </c>
      <c r="BQ109">
        <v>1</v>
      </c>
      <c r="BR109">
        <v>0.150114</v>
      </c>
      <c r="BS109">
        <v>108</v>
      </c>
      <c r="BT109">
        <v>195</v>
      </c>
      <c r="BU109" t="s">
        <v>304</v>
      </c>
      <c r="BV109" t="str">
        <f>"Table "&amp;TRIM(RIGHT(SUBSTITUTE($A109,"_",REPT(" ",50)),50))</f>
        <v>Table 13</v>
      </c>
      <c r="BW109">
        <f>$BR109/$Q109</f>
        <v>50.084745762711862</v>
      </c>
      <c r="BX109" t="str">
        <f>IF($BW109&lt;40,"outside_low",IF($BW109&lt;=100,"short_anchor",IF($BW109&lt;250,"middle",IF($BW109&lt;=400,"long","outside_high"))))</f>
        <v>short_anchor</v>
      </c>
      <c r="BY109" t="str">
        <f>IF($N109&gt;1000,"PASS","FAIL")</f>
        <v>PASS</v>
      </c>
      <c r="BZ109" t="str">
        <f>IF(AND($BW109&gt;=40,$BW109&lt;=400),"PASS","FAIL")</f>
        <v>PASS</v>
      </c>
    </row>
    <row r="110" spans="1:78">
      <c r="A110" t="s">
        <v>264</v>
      </c>
      <c r="B110">
        <v>18960582.556212999</v>
      </c>
      <c r="C110">
        <v>634.44823391832597</v>
      </c>
      <c r="D110">
        <v>149.14958101226799</v>
      </c>
      <c r="E110">
        <v>520.38377569771103</v>
      </c>
      <c r="F110">
        <v>2467301.6327637699</v>
      </c>
      <c r="G110">
        <v>1775044.0267545299</v>
      </c>
      <c r="H110">
        <v>2.5972810943896E-5</v>
      </c>
      <c r="I110">
        <v>5.9480773118925399E-5</v>
      </c>
      <c r="J110">
        <v>0.43661798563056398</v>
      </c>
      <c r="K110">
        <v>16063.580349286</v>
      </c>
      <c r="L110">
        <v>1.6624879026359001E-3</v>
      </c>
      <c r="M110">
        <v>195</v>
      </c>
      <c r="N110">
        <v>1844.4728</v>
      </c>
      <c r="O110">
        <v>2.8502295699234199E-6</v>
      </c>
      <c r="P110">
        <v>5.98473400508856E-3</v>
      </c>
      <c r="Q110">
        <v>1.905E-3</v>
      </c>
      <c r="R110">
        <v>0.15240000000000001</v>
      </c>
      <c r="S110">
        <v>3577259.66796875</v>
      </c>
      <c r="T110">
        <v>558.46565244536998</v>
      </c>
      <c r="U110">
        <v>597.10109037325901</v>
      </c>
      <c r="V110">
        <v>0.03</v>
      </c>
      <c r="W110">
        <v>59073.218113266499</v>
      </c>
      <c r="X110">
        <v>2.8903890083005299E-2</v>
      </c>
      <c r="Y110">
        <v>5.8819570842325399</v>
      </c>
      <c r="Z110">
        <v>5.8819570995297799</v>
      </c>
      <c r="AA110">
        <v>-1.5297239919220799E-8</v>
      </c>
      <c r="AB110">
        <v>8.4460309260993805E-6</v>
      </c>
      <c r="AC110">
        <v>748.28847622759997</v>
      </c>
      <c r="AD110">
        <v>1775.39008344588</v>
      </c>
      <c r="AE110">
        <v>597.10109037325901</v>
      </c>
      <c r="AF110">
        <v>0</v>
      </c>
      <c r="AG110">
        <v>8.6004070236843192E-6</v>
      </c>
      <c r="AH110">
        <v>23.620390460545199</v>
      </c>
      <c r="AI110">
        <v>0.21305006072789601</v>
      </c>
      <c r="AJ110">
        <v>16.0305273946955</v>
      </c>
      <c r="AK110">
        <v>5.7626309429351501</v>
      </c>
      <c r="AL110">
        <v>2.1883527698787102</v>
      </c>
      <c r="AM110">
        <v>634.44823394711705</v>
      </c>
      <c r="AN110">
        <v>-2.87909642793238E-8</v>
      </c>
      <c r="AO110">
        <v>1.5437609758493399E-7</v>
      </c>
      <c r="AP110">
        <v>1.8021190175742501</v>
      </c>
      <c r="AQ110">
        <v>2.7745838616511899E-5</v>
      </c>
      <c r="AR110">
        <v>4.3773915606346298E-6</v>
      </c>
      <c r="AS110">
        <v>8.1591365544466097</v>
      </c>
      <c r="AT110">
        <v>7.44569174485612</v>
      </c>
      <c r="AU110">
        <v>1.5863050784027899</v>
      </c>
      <c r="AV110">
        <v>0.215813939171459</v>
      </c>
      <c r="AW110">
        <v>8.3295048522171993E-3</v>
      </c>
      <c r="AX110">
        <v>0.215813934900912</v>
      </c>
      <c r="AY110">
        <v>4.27054622220702E-9</v>
      </c>
      <c r="AZ110">
        <v>692257.60600924003</v>
      </c>
      <c r="BA110">
        <v>1.5396229852709301E-5</v>
      </c>
      <c r="BB110">
        <v>3612078.30152677</v>
      </c>
      <c r="BC110">
        <v>34818.633558017696</v>
      </c>
      <c r="BD110">
        <v>0.97333257268932005</v>
      </c>
      <c r="BE110">
        <v>2555217.9</v>
      </c>
      <c r="BF110">
        <v>1.4136087186641799</v>
      </c>
      <c r="BG110">
        <v>1</v>
      </c>
      <c r="BH110">
        <v>-0.10299999999999999</v>
      </c>
      <c r="BI110">
        <v>4.5999999999999999E-2</v>
      </c>
      <c r="BJ110">
        <v>5625</v>
      </c>
      <c r="BK110">
        <v>1.03654207365804</v>
      </c>
      <c r="BL110">
        <v>75.982581472955999</v>
      </c>
      <c r="BM110">
        <v>3.6120783015267701</v>
      </c>
      <c r="BN110">
        <v>75.982581472955999</v>
      </c>
      <c r="BO110">
        <v>1.03654207365804</v>
      </c>
      <c r="BP110">
        <v>1294.7461694579199</v>
      </c>
      <c r="BQ110">
        <v>1</v>
      </c>
      <c r="BR110">
        <v>0.15240000000000001</v>
      </c>
      <c r="BS110">
        <v>109</v>
      </c>
      <c r="BT110">
        <v>196</v>
      </c>
      <c r="BU110" t="s">
        <v>304</v>
      </c>
      <c r="BV110" t="str">
        <f>"Table "&amp;TRIM(RIGHT(SUBSTITUTE($A110,"_",REPT(" ",50)),50))</f>
        <v>Table 14</v>
      </c>
      <c r="BW110">
        <f>$BR110/$Q110</f>
        <v>80</v>
      </c>
      <c r="BX110" t="str">
        <f>IF($BW110&lt;40,"outside_low",IF($BW110&lt;=100,"short_anchor",IF($BW110&lt;250,"middle",IF($BW110&lt;=400,"long","outside_high"))))</f>
        <v>short_anchor</v>
      </c>
      <c r="BY110" t="str">
        <f>IF($N110&gt;1000,"PASS","FAIL")</f>
        <v>PASS</v>
      </c>
      <c r="BZ110" t="str">
        <f>IF(AND($BW110&gt;=40,$BW110&lt;=400),"PASS","FAIL")</f>
        <v>PASS</v>
      </c>
    </row>
    <row r="111" spans="1:78">
      <c r="A111" t="s">
        <v>265</v>
      </c>
      <c r="B111">
        <v>18960582.556212999</v>
      </c>
      <c r="C111">
        <v>634.44823391832597</v>
      </c>
      <c r="D111">
        <v>149.14958101226799</v>
      </c>
      <c r="E111">
        <v>520.38377569771103</v>
      </c>
      <c r="F111">
        <v>2467301.6327637699</v>
      </c>
      <c r="G111">
        <v>1775044.0267545299</v>
      </c>
      <c r="H111">
        <v>2.5972810943896E-5</v>
      </c>
      <c r="I111">
        <v>5.9480773118925399E-5</v>
      </c>
      <c r="J111">
        <v>0.43661798563056398</v>
      </c>
      <c r="K111">
        <v>16063.580349286</v>
      </c>
      <c r="L111">
        <v>1.6624879026359001E-3</v>
      </c>
      <c r="M111">
        <v>196</v>
      </c>
      <c r="N111">
        <v>1858.0351000000001</v>
      </c>
      <c r="O111">
        <v>2.8502295699234199E-6</v>
      </c>
      <c r="P111">
        <v>5.98473400508856E-3</v>
      </c>
      <c r="Q111">
        <v>1.905E-3</v>
      </c>
      <c r="R111">
        <v>0.15240000000000001</v>
      </c>
      <c r="S111">
        <v>3617333.49609375</v>
      </c>
      <c r="T111">
        <v>556.26295808654595</v>
      </c>
      <c r="U111">
        <v>595.046035250969</v>
      </c>
      <c r="V111">
        <v>0.03</v>
      </c>
      <c r="W111">
        <v>59507.580011158199</v>
      </c>
      <c r="X111">
        <v>2.8815898793205799E-2</v>
      </c>
      <c r="Y111">
        <v>5.8909307153231403</v>
      </c>
      <c r="Z111">
        <v>5.8909307249756404</v>
      </c>
      <c r="AA111">
        <v>-9.6524965798039408E-9</v>
      </c>
      <c r="AB111">
        <v>8.3485965985073606E-6</v>
      </c>
      <c r="AC111">
        <v>749.90846464410004</v>
      </c>
      <c r="AD111">
        <v>1785.7200920917101</v>
      </c>
      <c r="AE111">
        <v>595.046035250969</v>
      </c>
      <c r="AF111">
        <v>0</v>
      </c>
      <c r="AG111">
        <v>8.5009863387485694E-6</v>
      </c>
      <c r="AH111">
        <v>23.896057973621101</v>
      </c>
      <c r="AI111">
        <v>0.214289680679498</v>
      </c>
      <c r="AJ111">
        <v>15.9374090369559</v>
      </c>
      <c r="AK111">
        <v>5.8550352198668598</v>
      </c>
      <c r="AL111">
        <v>2.1883527698787102</v>
      </c>
      <c r="AM111">
        <v>634.44823396902598</v>
      </c>
      <c r="AN111">
        <v>-5.0700350584520499E-8</v>
      </c>
      <c r="AO111">
        <v>1.5238974024121401E-7</v>
      </c>
      <c r="AP111">
        <v>1.8058849062461</v>
      </c>
      <c r="AQ111">
        <v>2.76302401167289E-5</v>
      </c>
      <c r="AR111">
        <v>4.3266880394948899E-6</v>
      </c>
      <c r="AS111">
        <v>8.1115525084923199</v>
      </c>
      <c r="AT111">
        <v>7.4164464059336899</v>
      </c>
      <c r="AU111">
        <v>1.5892679321041401</v>
      </c>
      <c r="AV111">
        <v>0.21661697414195999</v>
      </c>
      <c r="AW111">
        <v>8.2334147820349608E-3</v>
      </c>
      <c r="AX111">
        <v>0.21661697174769001</v>
      </c>
      <c r="AY111">
        <v>2.3942701155022E-9</v>
      </c>
      <c r="AZ111">
        <v>692257.60600924003</v>
      </c>
      <c r="BA111">
        <v>1.5300111331105799E-5</v>
      </c>
      <c r="BB111">
        <v>3588001.5484951199</v>
      </c>
      <c r="BC111">
        <v>-29331.947598626401</v>
      </c>
      <c r="BD111">
        <v>-0.81087208658812004</v>
      </c>
      <c r="BE111">
        <v>2744493.3</v>
      </c>
      <c r="BF111">
        <v>1.3073457124107799</v>
      </c>
      <c r="BG111">
        <v>1</v>
      </c>
      <c r="BH111">
        <v>-7.6999999999999999E-2</v>
      </c>
      <c r="BI111">
        <v>4.5999999999999999E-2</v>
      </c>
      <c r="BJ111">
        <v>5625</v>
      </c>
      <c r="BK111">
        <v>1.0354960314619099</v>
      </c>
      <c r="BL111">
        <v>78.185275831780004</v>
      </c>
      <c r="BM111">
        <v>3.5880015484951202</v>
      </c>
      <c r="BN111">
        <v>78.185275831780004</v>
      </c>
      <c r="BO111">
        <v>1.0354960314619099</v>
      </c>
      <c r="BP111">
        <v>1458.11529034912</v>
      </c>
      <c r="BQ111">
        <v>1</v>
      </c>
      <c r="BR111">
        <v>0.15240000000000001</v>
      </c>
      <c r="BS111">
        <v>110</v>
      </c>
      <c r="BT111">
        <v>197</v>
      </c>
      <c r="BU111" t="s">
        <v>304</v>
      </c>
      <c r="BV111" t="str">
        <f>"Table "&amp;TRIM(RIGHT(SUBSTITUTE($A111,"_",REPT(" ",50)),50))</f>
        <v>Table 14</v>
      </c>
      <c r="BW111">
        <f>$BR111/$Q111</f>
        <v>80</v>
      </c>
      <c r="BX111" t="str">
        <f>IF($BW111&lt;40,"outside_low",IF($BW111&lt;=100,"short_anchor",IF($BW111&lt;250,"middle",IF($BW111&lt;=400,"long","outside_high"))))</f>
        <v>short_anchor</v>
      </c>
      <c r="BY111" t="str">
        <f>IF($N111&gt;1000,"PASS","FAIL")</f>
        <v>PASS</v>
      </c>
      <c r="BZ111" t="str">
        <f>IF(AND($BW111&gt;=40,$BW111&lt;=400),"PASS","FAIL")</f>
        <v>PASS</v>
      </c>
    </row>
    <row r="112" spans="1:78">
      <c r="A112" t="s">
        <v>266</v>
      </c>
      <c r="B112">
        <v>18960582.556212999</v>
      </c>
      <c r="C112">
        <v>634.44823391832597</v>
      </c>
      <c r="D112">
        <v>149.14958101226799</v>
      </c>
      <c r="E112">
        <v>520.38377569771103</v>
      </c>
      <c r="F112">
        <v>2467301.6327637699</v>
      </c>
      <c r="G112">
        <v>1775044.0267545299</v>
      </c>
      <c r="H112">
        <v>2.5972810943896E-5</v>
      </c>
      <c r="I112">
        <v>5.9480773118925399E-5</v>
      </c>
      <c r="J112">
        <v>0.43661798563056398</v>
      </c>
      <c r="K112">
        <v>16063.580349286</v>
      </c>
      <c r="L112">
        <v>1.6624879026359001E-3</v>
      </c>
      <c r="M112">
        <v>197</v>
      </c>
      <c r="N112">
        <v>1871.5974000000001</v>
      </c>
      <c r="O112">
        <v>2.8502295699234199E-6</v>
      </c>
      <c r="P112">
        <v>5.98473400508856E-3</v>
      </c>
      <c r="Q112">
        <v>1.905E-3</v>
      </c>
      <c r="R112">
        <v>0.15240000000000001</v>
      </c>
      <c r="S112">
        <v>3855565.91796875</v>
      </c>
      <c r="T112">
        <v>538.50245457174299</v>
      </c>
      <c r="U112">
        <v>579.54018437911304</v>
      </c>
      <c r="V112">
        <v>0.03</v>
      </c>
      <c r="W112">
        <v>59941.941909049798</v>
      </c>
      <c r="X112">
        <v>2.8728955433497301E-2</v>
      </c>
      <c r="Y112">
        <v>5.8998379376894601</v>
      </c>
      <c r="Z112">
        <v>5.8998379765319902</v>
      </c>
      <c r="AA112">
        <v>-3.8842527416704797E-8</v>
      </c>
      <c r="AB112">
        <v>8.2529416135113194E-6</v>
      </c>
      <c r="AC112">
        <v>765.09198756713897</v>
      </c>
      <c r="AD112">
        <v>1796.0388933148599</v>
      </c>
      <c r="AE112">
        <v>579.54018437911304</v>
      </c>
      <c r="AF112">
        <v>0</v>
      </c>
      <c r="AG112">
        <v>8.41429136138368E-6</v>
      </c>
      <c r="AH112">
        <v>24.173023106052099</v>
      </c>
      <c r="AI112">
        <v>0.215527955719856</v>
      </c>
      <c r="AJ112">
        <v>15.866031018087501</v>
      </c>
      <c r="AK112">
        <v>6.6341029200639001</v>
      </c>
      <c r="AL112">
        <v>2.1883527698787102</v>
      </c>
      <c r="AM112">
        <v>634.44823396920299</v>
      </c>
      <c r="AN112">
        <v>-5.0876565182988998E-8</v>
      </c>
      <c r="AO112">
        <v>1.6134974787236099E-7</v>
      </c>
      <c r="AP112">
        <v>1.8120623412792001</v>
      </c>
      <c r="AQ112">
        <v>2.7442174758165E-5</v>
      </c>
      <c r="AR112">
        <v>4.2878205546280204E-6</v>
      </c>
      <c r="AS112">
        <v>8.0851364657919405</v>
      </c>
      <c r="AT112">
        <v>7.40013685886227</v>
      </c>
      <c r="AU112">
        <v>1.5949363692377401</v>
      </c>
      <c r="AV112">
        <v>0.21712597204146</v>
      </c>
      <c r="AW112">
        <v>8.1390795056625696E-3</v>
      </c>
      <c r="AX112">
        <v>0.21712596691302799</v>
      </c>
      <c r="AY112">
        <v>5.1284328450584796E-9</v>
      </c>
      <c r="AZ112">
        <v>692257.60600924003</v>
      </c>
      <c r="BA112">
        <v>1.5144167026170101E-5</v>
      </c>
      <c r="BB112">
        <v>3838083.1941841501</v>
      </c>
      <c r="BC112">
        <v>-17482.723784604601</v>
      </c>
      <c r="BD112">
        <v>-0.45344118494063002</v>
      </c>
      <c r="BE112">
        <v>3186135.9</v>
      </c>
      <c r="BF112">
        <v>1.2046200522030901</v>
      </c>
      <c r="BG112">
        <v>1</v>
      </c>
      <c r="BH112">
        <v>-0.1</v>
      </c>
      <c r="BI112">
        <v>4.5999999999999999E-2</v>
      </c>
      <c r="BJ112">
        <v>5625</v>
      </c>
      <c r="BK112">
        <v>1.02636953472714</v>
      </c>
      <c r="BL112">
        <v>95.945779346582995</v>
      </c>
      <c r="BM112">
        <v>3.8380831941841498</v>
      </c>
      <c r="BN112">
        <v>95.945779346582995</v>
      </c>
      <c r="BO112">
        <v>1.02636953472714</v>
      </c>
      <c r="BP112">
        <v>3129.9302266965501</v>
      </c>
      <c r="BQ112">
        <v>1</v>
      </c>
      <c r="BR112">
        <v>0.15240000000000001</v>
      </c>
      <c r="BS112">
        <v>111</v>
      </c>
      <c r="BT112">
        <v>198</v>
      </c>
      <c r="BU112" t="s">
        <v>304</v>
      </c>
      <c r="BV112" t="str">
        <f>"Table "&amp;TRIM(RIGHT(SUBSTITUTE($A112,"_",REPT(" ",50)),50))</f>
        <v>Table 14</v>
      </c>
      <c r="BW112">
        <f>$BR112/$Q112</f>
        <v>80</v>
      </c>
      <c r="BX112" t="str">
        <f>IF($BW112&lt;40,"outside_low",IF($BW112&lt;=100,"short_anchor",IF($BW112&lt;250,"middle",IF($BW112&lt;=400,"long","outside_high"))))</f>
        <v>short_anchor</v>
      </c>
      <c r="BY112" t="str">
        <f>IF($N112&gt;1000,"PASS","FAIL")</f>
        <v>PASS</v>
      </c>
      <c r="BZ112" t="str">
        <f>IF(AND($BW112&gt;=40,$BW112&lt;=400),"PASS","FAIL")</f>
        <v>PASS</v>
      </c>
    </row>
    <row r="113" spans="1:78">
      <c r="A113" t="s">
        <v>267</v>
      </c>
      <c r="B113">
        <v>18960582.556212999</v>
      </c>
      <c r="C113">
        <v>634.44823391832597</v>
      </c>
      <c r="D113">
        <v>149.14958101226799</v>
      </c>
      <c r="E113">
        <v>520.38377569771103</v>
      </c>
      <c r="F113">
        <v>2467301.6327637699</v>
      </c>
      <c r="G113">
        <v>1775044.0267545299</v>
      </c>
      <c r="H113">
        <v>2.5972810943896E-5</v>
      </c>
      <c r="I113">
        <v>5.9480773118925399E-5</v>
      </c>
      <c r="J113">
        <v>0.43661798563056398</v>
      </c>
      <c r="K113">
        <v>16063.580349286</v>
      </c>
      <c r="L113">
        <v>1.6624879026359001E-3</v>
      </c>
      <c r="M113">
        <v>198</v>
      </c>
      <c r="N113">
        <v>1885.1596999999999</v>
      </c>
      <c r="O113">
        <v>2.8502295699234199E-6</v>
      </c>
      <c r="P113">
        <v>5.98473400508856E-3</v>
      </c>
      <c r="Q113">
        <v>1.905E-3</v>
      </c>
      <c r="R113">
        <v>0.15240000000000001</v>
      </c>
      <c r="S113">
        <v>3882918.65234375</v>
      </c>
      <c r="T113">
        <v>537.34621978095004</v>
      </c>
      <c r="U113">
        <v>578.37775564003095</v>
      </c>
      <c r="V113">
        <v>0.03</v>
      </c>
      <c r="W113">
        <v>60376.303806941498</v>
      </c>
      <c r="X113">
        <v>2.8643038996504201E-2</v>
      </c>
      <c r="Y113">
        <v>5.9086797632693697</v>
      </c>
      <c r="Z113">
        <v>5.9086797749799098</v>
      </c>
      <c r="AA113">
        <v>-1.1710546310439401E-8</v>
      </c>
      <c r="AB113">
        <v>8.1590216640322296E-6</v>
      </c>
      <c r="AC113">
        <v>765.54963318072305</v>
      </c>
      <c r="AD113">
        <v>1806.34657636468</v>
      </c>
      <c r="AE113">
        <v>578.37775733817898</v>
      </c>
      <c r="AF113">
        <v>1.69814825312642E-6</v>
      </c>
      <c r="AG113">
        <v>8.3202008522769896E-6</v>
      </c>
      <c r="AH113">
        <v>24.451283074264399</v>
      </c>
      <c r="AI113">
        <v>0.21676489655905701</v>
      </c>
      <c r="AJ113">
        <v>15.778652308847301</v>
      </c>
      <c r="AK113">
        <v>6.6686297361264701</v>
      </c>
      <c r="AL113">
        <v>2.1883527698787102</v>
      </c>
      <c r="AM113">
        <v>634.44823389963096</v>
      </c>
      <c r="AN113">
        <v>1.8694890968618E-8</v>
      </c>
      <c r="AO113">
        <v>1.6117918824475701E-7</v>
      </c>
      <c r="AP113">
        <v>1.8161891564510999</v>
      </c>
      <c r="AQ113">
        <v>2.73176061044981E-5</v>
      </c>
      <c r="AR113">
        <v>4.2406900202608698E-6</v>
      </c>
      <c r="AS113">
        <v>8.0421584246951099</v>
      </c>
      <c r="AT113">
        <v>7.3734875397234996</v>
      </c>
      <c r="AU113">
        <v>1.59831326382766</v>
      </c>
      <c r="AV113">
        <v>0.21787589262344001</v>
      </c>
      <c r="AW113">
        <v>8.0464553273057807E-3</v>
      </c>
      <c r="AX113">
        <v>0.2178758854557</v>
      </c>
      <c r="AY113">
        <v>7.1677393465030498E-9</v>
      </c>
      <c r="AZ113">
        <v>692257.60600924003</v>
      </c>
      <c r="BA113">
        <v>1.5041167935325501E-5</v>
      </c>
      <c r="BB113">
        <v>3860280.7219580798</v>
      </c>
      <c r="BC113">
        <v>-22637.930385673899</v>
      </c>
      <c r="BD113">
        <v>-0.58301325401214699</v>
      </c>
      <c r="BE113">
        <v>3091498.2</v>
      </c>
      <c r="BF113">
        <v>1.24867636085251</v>
      </c>
      <c r="BG113">
        <v>1</v>
      </c>
      <c r="BH113">
        <v>-0.13600000000000001</v>
      </c>
      <c r="BI113">
        <v>4.5999999999999999E-2</v>
      </c>
      <c r="BJ113">
        <v>5625</v>
      </c>
      <c r="BK113">
        <v>1.02576384261269</v>
      </c>
      <c r="BL113">
        <v>97.102014137375903</v>
      </c>
      <c r="BM113">
        <v>3.8602807219580799</v>
      </c>
      <c r="BN113">
        <v>97.102014137375903</v>
      </c>
      <c r="BO113">
        <v>1.02576384261269</v>
      </c>
      <c r="BP113">
        <v>3260.6400185450798</v>
      </c>
      <c r="BQ113">
        <v>1</v>
      </c>
      <c r="BR113">
        <v>0.15240000000000001</v>
      </c>
      <c r="BS113">
        <v>112</v>
      </c>
      <c r="BT113">
        <v>199</v>
      </c>
      <c r="BU113" t="s">
        <v>304</v>
      </c>
      <c r="BV113" t="str">
        <f>"Table "&amp;TRIM(RIGHT(SUBSTITUTE($A113,"_",REPT(" ",50)),50))</f>
        <v>Table 14</v>
      </c>
      <c r="BW113">
        <f>$BR113/$Q113</f>
        <v>80</v>
      </c>
      <c r="BX113" t="str">
        <f>IF($BW113&lt;40,"outside_low",IF($BW113&lt;=100,"short_anchor",IF($BW113&lt;250,"middle",IF($BW113&lt;=400,"long","outside_high"))))</f>
        <v>short_anchor</v>
      </c>
      <c r="BY113" t="str">
        <f>IF($N113&gt;1000,"PASS","FAIL")</f>
        <v>PASS</v>
      </c>
      <c r="BZ113" t="str">
        <f>IF(AND($BW113&gt;=40,$BW113&lt;=400),"PASS","FAIL")</f>
        <v>PASS</v>
      </c>
    </row>
    <row r="114" spans="1:78">
      <c r="A114" t="s">
        <v>268</v>
      </c>
      <c r="B114">
        <v>18960582.556212999</v>
      </c>
      <c r="C114">
        <v>634.44823391832597</v>
      </c>
      <c r="D114">
        <v>149.14958101226799</v>
      </c>
      <c r="E114">
        <v>520.38377569771103</v>
      </c>
      <c r="F114">
        <v>2467301.6327637699</v>
      </c>
      <c r="G114">
        <v>1775044.0267545299</v>
      </c>
      <c r="H114">
        <v>2.5972810943896E-5</v>
      </c>
      <c r="I114">
        <v>5.9480773118925399E-5</v>
      </c>
      <c r="J114">
        <v>0.43661798563056398</v>
      </c>
      <c r="K114">
        <v>16063.580349286</v>
      </c>
      <c r="L114">
        <v>1.6624879026359001E-3</v>
      </c>
      <c r="M114">
        <v>199</v>
      </c>
      <c r="N114">
        <v>2034.345</v>
      </c>
      <c r="O114">
        <v>2.8502295699234199E-6</v>
      </c>
      <c r="P114">
        <v>5.98473400508856E-3</v>
      </c>
      <c r="Q114">
        <v>1.905E-3</v>
      </c>
      <c r="R114">
        <v>0.15240000000000001</v>
      </c>
      <c r="S114">
        <v>4802185.05859375</v>
      </c>
      <c r="T114">
        <v>491.16937847279701</v>
      </c>
      <c r="U114">
        <v>538.19363248464799</v>
      </c>
      <c r="V114">
        <v>0.03</v>
      </c>
      <c r="W114">
        <v>65154.2846837498</v>
      </c>
      <c r="X114">
        <v>2.77604663894368E-2</v>
      </c>
      <c r="Y114">
        <v>6.00187050427395</v>
      </c>
      <c r="Z114">
        <v>6.0018705113914601</v>
      </c>
      <c r="AA114">
        <v>-7.11750747228734E-9</v>
      </c>
      <c r="AB114">
        <v>7.2289880152804102E-6</v>
      </c>
      <c r="AC114">
        <v>800.36328450685096</v>
      </c>
      <c r="AD114">
        <v>1919.0282633735201</v>
      </c>
      <c r="AE114">
        <v>538.19363450211699</v>
      </c>
      <c r="AF114">
        <v>2.0174695691821398E-6</v>
      </c>
      <c r="AG114">
        <v>7.41216224712248E-6</v>
      </c>
      <c r="AH114">
        <v>27.5970229712118</v>
      </c>
      <c r="AI114">
        <v>0.23028690531870999</v>
      </c>
      <c r="AJ114">
        <v>14.933489600985</v>
      </c>
      <c r="AK114">
        <v>8.5855139154326992</v>
      </c>
      <c r="AL114">
        <v>2.1883527698787102</v>
      </c>
      <c r="AM114">
        <v>634.44823390068302</v>
      </c>
      <c r="AN114">
        <v>1.7642491911829E-8</v>
      </c>
      <c r="AO114">
        <v>1.83174231842069E-7</v>
      </c>
      <c r="AP114">
        <v>1.86594159112459</v>
      </c>
      <c r="AQ114">
        <v>2.5880264183412E-5</v>
      </c>
      <c r="AR114">
        <v>3.79766823948228E-6</v>
      </c>
      <c r="AS114">
        <v>7.65126791231752</v>
      </c>
      <c r="AT114">
        <v>7.1243568713864196</v>
      </c>
      <c r="AU114">
        <v>1.6406460962976701</v>
      </c>
      <c r="AV114">
        <v>0.22529549482692099</v>
      </c>
      <c r="AW114">
        <v>7.1292529327389798E-3</v>
      </c>
      <c r="AX114">
        <v>0.225295485420445</v>
      </c>
      <c r="AY114">
        <v>9.4064760425283095E-9</v>
      </c>
      <c r="AZ114">
        <v>692257.60600924003</v>
      </c>
      <c r="BA114">
        <v>1.3869814739385401E-5</v>
      </c>
      <c r="BB114">
        <v>4757570.1732619302</v>
      </c>
      <c r="BC114">
        <v>-44614.8853318244</v>
      </c>
      <c r="BD114">
        <v>-0.92905385334919299</v>
      </c>
      <c r="BE114">
        <v>4164058.8</v>
      </c>
      <c r="BF114">
        <v>1.1425319386128601</v>
      </c>
      <c r="BG114">
        <v>1</v>
      </c>
      <c r="BH114">
        <v>-0.25700000000000001</v>
      </c>
      <c r="BI114">
        <v>4.5999999999999999E-2</v>
      </c>
      <c r="BJ114">
        <v>5625</v>
      </c>
      <c r="BK114">
        <v>1.0069058634208301</v>
      </c>
      <c r="BL114">
        <v>143.27885544552899</v>
      </c>
      <c r="BM114">
        <v>4.7575701732619304</v>
      </c>
      <c r="BN114">
        <v>143.27885544552899</v>
      </c>
      <c r="BO114">
        <v>1.0069058634208301</v>
      </c>
      <c r="BP114">
        <v>10666.5219821385</v>
      </c>
      <c r="BQ114">
        <v>1</v>
      </c>
      <c r="BR114">
        <v>0.15240000000000001</v>
      </c>
      <c r="BS114">
        <v>113</v>
      </c>
      <c r="BT114">
        <v>200</v>
      </c>
      <c r="BU114" t="s">
        <v>304</v>
      </c>
      <c r="BV114" t="str">
        <f>"Table "&amp;TRIM(RIGHT(SUBSTITUTE($A114,"_",REPT(" ",50)),50))</f>
        <v>Table 14</v>
      </c>
      <c r="BW114">
        <f>$BR114/$Q114</f>
        <v>80</v>
      </c>
      <c r="BX114" t="str">
        <f>IF($BW114&lt;40,"outside_low",IF($BW114&lt;=100,"short_anchor",IF($BW114&lt;250,"middle",IF($BW114&lt;=400,"long","outside_high"))))</f>
        <v>short_anchor</v>
      </c>
      <c r="BY114" t="str">
        <f>IF($N114&gt;1000,"PASS","FAIL")</f>
        <v>PASS</v>
      </c>
      <c r="BZ114" t="str">
        <f>IF(AND($BW114&gt;=40,$BW114&lt;=400),"PASS","FAIL")</f>
        <v>PASS</v>
      </c>
    </row>
    <row r="115" spans="1:78">
      <c r="A115" t="s">
        <v>269</v>
      </c>
      <c r="B115">
        <v>18960582.556212999</v>
      </c>
      <c r="C115">
        <v>634.44823391832597</v>
      </c>
      <c r="D115">
        <v>149.14958101226799</v>
      </c>
      <c r="E115">
        <v>520.38377569771103</v>
      </c>
      <c r="F115">
        <v>2467301.6327637699</v>
      </c>
      <c r="G115">
        <v>1775044.0267545299</v>
      </c>
      <c r="H115">
        <v>2.5972810943896E-5</v>
      </c>
      <c r="I115">
        <v>5.9480773118925399E-5</v>
      </c>
      <c r="J115">
        <v>0.43661798563056398</v>
      </c>
      <c r="K115">
        <v>16063.580349286</v>
      </c>
      <c r="L115">
        <v>1.6624879026359001E-3</v>
      </c>
      <c r="M115">
        <v>200</v>
      </c>
      <c r="N115">
        <v>2034.345</v>
      </c>
      <c r="O115">
        <v>2.8502295699234199E-6</v>
      </c>
      <c r="P115">
        <v>5.98473400508856E-3</v>
      </c>
      <c r="Q115">
        <v>1.905E-3</v>
      </c>
      <c r="R115">
        <v>0.15240000000000001</v>
      </c>
      <c r="S115">
        <v>4321009.66796875</v>
      </c>
      <c r="T115">
        <v>516.78076663997103</v>
      </c>
      <c r="U115">
        <v>559.09322518435897</v>
      </c>
      <c r="V115">
        <v>0.03</v>
      </c>
      <c r="W115">
        <v>65154.2846837498</v>
      </c>
      <c r="X115">
        <v>2.77604663894368E-2</v>
      </c>
      <c r="Y115">
        <v>6.00187050427395</v>
      </c>
      <c r="Z115">
        <v>6.0018705113914601</v>
      </c>
      <c r="AA115">
        <v>-7.11750747228734E-9</v>
      </c>
      <c r="AB115">
        <v>7.2289880152804102E-6</v>
      </c>
      <c r="AC115">
        <v>776.97529112776999</v>
      </c>
      <c r="AD115">
        <v>1919.0282633735201</v>
      </c>
      <c r="AE115">
        <v>559.09322698196797</v>
      </c>
      <c r="AF115">
        <v>1.79760979790444E-6</v>
      </c>
      <c r="AG115">
        <v>7.3968203348466199E-6</v>
      </c>
      <c r="AH115">
        <v>27.5970229712118</v>
      </c>
      <c r="AI115">
        <v>0.23028690531870999</v>
      </c>
      <c r="AJ115">
        <v>14.902579823272101</v>
      </c>
      <c r="AK115">
        <v>7.3801051030467901</v>
      </c>
      <c r="AL115">
        <v>2.1883527698787102</v>
      </c>
      <c r="AM115">
        <v>634.44823389791998</v>
      </c>
      <c r="AN115">
        <v>2.0405650502652901E-8</v>
      </c>
      <c r="AO115">
        <v>1.6783231956620299E-7</v>
      </c>
      <c r="AP115">
        <v>1.86178372219116</v>
      </c>
      <c r="AQ115">
        <v>2.5995988585451501E-5</v>
      </c>
      <c r="AR115">
        <v>3.7823263272064102E-6</v>
      </c>
      <c r="AS115">
        <v>7.6203581346045697</v>
      </c>
      <c r="AT115">
        <v>7.1041168394303096</v>
      </c>
      <c r="AU115">
        <v>1.63598508197494</v>
      </c>
      <c r="AV115">
        <v>0.22579864021622501</v>
      </c>
      <c r="AW115">
        <v>7.1292529327389798E-3</v>
      </c>
      <c r="AX115">
        <v>0.22579863145642401</v>
      </c>
      <c r="AY115">
        <v>8.7598015785506095E-9</v>
      </c>
      <c r="AZ115">
        <v>692257.60600924003</v>
      </c>
      <c r="BA115">
        <v>1.39629476160939E-5</v>
      </c>
      <c r="BB115">
        <v>4330020.6964092003</v>
      </c>
      <c r="BC115">
        <v>9011.0284404549693</v>
      </c>
      <c r="BD115">
        <v>0.20853988148309199</v>
      </c>
      <c r="BE115">
        <v>3722416.2</v>
      </c>
      <c r="BF115">
        <v>1.1632285224874099</v>
      </c>
      <c r="BG115">
        <v>1</v>
      </c>
      <c r="BH115">
        <v>-0.189</v>
      </c>
      <c r="BI115">
        <v>4.5999999999999999E-2</v>
      </c>
      <c r="BJ115">
        <v>5625</v>
      </c>
      <c r="BK115">
        <v>1.0157406097164601</v>
      </c>
      <c r="BL115">
        <v>117.66746727835501</v>
      </c>
      <c r="BM115">
        <v>4.3300206964092096</v>
      </c>
      <c r="BN115">
        <v>117.66746727835501</v>
      </c>
      <c r="BO115">
        <v>1.0157406097164601</v>
      </c>
      <c r="BP115">
        <v>6032.2354734343298</v>
      </c>
      <c r="BQ115">
        <v>1</v>
      </c>
      <c r="BR115">
        <v>0.15240000000000001</v>
      </c>
      <c r="BS115">
        <v>114</v>
      </c>
      <c r="BT115">
        <v>201</v>
      </c>
      <c r="BU115" t="s">
        <v>304</v>
      </c>
      <c r="BV115" t="str">
        <f>"Table "&amp;TRIM(RIGHT(SUBSTITUTE($A115,"_",REPT(" ",50)),50))</f>
        <v>Table 14</v>
      </c>
      <c r="BW115">
        <f>$BR115/$Q115</f>
        <v>80</v>
      </c>
      <c r="BX115" t="str">
        <f>IF($BW115&lt;40,"outside_low",IF($BW115&lt;=100,"short_anchor",IF($BW115&lt;250,"middle",IF($BW115&lt;=400,"long","outside_high"))))</f>
        <v>short_anchor</v>
      </c>
      <c r="BY115" t="str">
        <f>IF($N115&gt;1000,"PASS","FAIL")</f>
        <v>PASS</v>
      </c>
      <c r="BZ115" t="str">
        <f>IF(AND($BW115&gt;=40,$BW115&lt;=400),"PASS","FAIL")</f>
        <v>PASS</v>
      </c>
    </row>
    <row r="116" spans="1:78">
      <c r="A116" t="s">
        <v>270</v>
      </c>
      <c r="B116">
        <v>18960582.556212999</v>
      </c>
      <c r="C116">
        <v>634.44823391832597</v>
      </c>
      <c r="D116">
        <v>149.14958101226799</v>
      </c>
      <c r="E116">
        <v>520.38377569771103</v>
      </c>
      <c r="F116">
        <v>2467301.6327637699</v>
      </c>
      <c r="G116">
        <v>1775044.0267545299</v>
      </c>
      <c r="H116">
        <v>2.5972810943896E-5</v>
      </c>
      <c r="I116">
        <v>5.9480773118925399E-5</v>
      </c>
      <c r="J116">
        <v>0.43661798563056398</v>
      </c>
      <c r="K116">
        <v>16063.580349286</v>
      </c>
      <c r="L116">
        <v>1.6624879026359001E-3</v>
      </c>
      <c r="M116">
        <v>201</v>
      </c>
      <c r="N116">
        <v>2047.9073000000001</v>
      </c>
      <c r="O116">
        <v>2.8502295699234199E-6</v>
      </c>
      <c r="P116">
        <v>5.98473400508856E-3</v>
      </c>
      <c r="Q116">
        <v>1.905E-3</v>
      </c>
      <c r="R116">
        <v>0.15240000000000001</v>
      </c>
      <c r="S116">
        <v>4816711.42578125</v>
      </c>
      <c r="T116">
        <v>491.16937847279701</v>
      </c>
      <c r="U116">
        <v>538.02351755010397</v>
      </c>
      <c r="V116">
        <v>0.03</v>
      </c>
      <c r="W116">
        <v>65588.6465816415</v>
      </c>
      <c r="X116">
        <v>2.7685474811265799E-2</v>
      </c>
      <c r="Y116">
        <v>6.0099936332252604</v>
      </c>
      <c r="Z116">
        <v>6.0099936385649304</v>
      </c>
      <c r="AA116">
        <v>-5.3396638222125098E-9</v>
      </c>
      <c r="AB116">
        <v>7.1528795247520302E-6</v>
      </c>
      <c r="AC116">
        <v>799.74363238639705</v>
      </c>
      <c r="AD116">
        <v>1929.2107278755</v>
      </c>
      <c r="AE116">
        <v>538.02351956133498</v>
      </c>
      <c r="AF116">
        <v>2.0112302081543E-6</v>
      </c>
      <c r="AG116">
        <v>7.3356250624186598E-6</v>
      </c>
      <c r="AH116">
        <v>27.890662442441201</v>
      </c>
      <c r="AI116">
        <v>0.23150881970289799</v>
      </c>
      <c r="AJ116">
        <v>14.857707680934899</v>
      </c>
      <c r="AK116">
        <v>8.5672401352494205</v>
      </c>
      <c r="AL116">
        <v>2.1883527698787102</v>
      </c>
      <c r="AM116">
        <v>634.44823385733298</v>
      </c>
      <c r="AN116">
        <v>6.09934431849979E-8</v>
      </c>
      <c r="AO116">
        <v>1.8274553766663301E-7</v>
      </c>
      <c r="AP116">
        <v>1.8697207497791799</v>
      </c>
      <c r="AQ116">
        <v>2.5775749346154802E-5</v>
      </c>
      <c r="AR116">
        <v>3.7591853000426502E-6</v>
      </c>
      <c r="AS116">
        <v>7.61392189912248</v>
      </c>
      <c r="AT116">
        <v>7.0998920018595202</v>
      </c>
      <c r="AU116">
        <v>1.64368761736854</v>
      </c>
      <c r="AV116">
        <v>0.22603313241064099</v>
      </c>
      <c r="AW116">
        <v>7.0541944766786199E-3</v>
      </c>
      <c r="AX116">
        <v>0.226033122052754</v>
      </c>
      <c r="AY116">
        <v>1.0357887519907301E-8</v>
      </c>
      <c r="AZ116">
        <v>692257.60600924003</v>
      </c>
      <c r="BA116">
        <v>1.37858818485054E-5</v>
      </c>
      <c r="BB116">
        <v>4775333.5627309103</v>
      </c>
      <c r="BC116">
        <v>-41377.863050335996</v>
      </c>
      <c r="BD116">
        <v>-0.85904799753754602</v>
      </c>
      <c r="BE116">
        <v>4164058.8</v>
      </c>
      <c r="BF116">
        <v>1.14679782205067</v>
      </c>
      <c r="BG116">
        <v>1</v>
      </c>
      <c r="BH116">
        <v>-0.26300000000000001</v>
      </c>
      <c r="BI116">
        <v>4.5999999999999999E-2</v>
      </c>
      <c r="BJ116">
        <v>5625</v>
      </c>
      <c r="BK116">
        <v>1.0069058634208301</v>
      </c>
      <c r="BL116">
        <v>143.27885544552899</v>
      </c>
      <c r="BM116">
        <v>4.7753335627309097</v>
      </c>
      <c r="BN116">
        <v>143.27885544552899</v>
      </c>
      <c r="BO116">
        <v>1.0069058634208301</v>
      </c>
      <c r="BP116">
        <v>10666.5219821385</v>
      </c>
      <c r="BQ116">
        <v>1</v>
      </c>
      <c r="BR116">
        <v>0.15240000000000001</v>
      </c>
      <c r="BS116">
        <v>115</v>
      </c>
      <c r="BT116">
        <v>202</v>
      </c>
      <c r="BU116" t="s">
        <v>304</v>
      </c>
      <c r="BV116" t="str">
        <f>"Table "&amp;TRIM(RIGHT(SUBSTITUTE($A116,"_",REPT(" ",50)),50))</f>
        <v>Table 14</v>
      </c>
      <c r="BW116">
        <f>$BR116/$Q116</f>
        <v>80</v>
      </c>
      <c r="BX116" t="str">
        <f>IF($BW116&lt;40,"outside_low",IF($BW116&lt;=100,"short_anchor",IF($BW116&lt;250,"middle",IF($BW116&lt;=400,"long","outside_high"))))</f>
        <v>short_anchor</v>
      </c>
      <c r="BY116" t="str">
        <f>IF($N116&gt;1000,"PASS","FAIL")</f>
        <v>PASS</v>
      </c>
      <c r="BZ116" t="str">
        <f>IF(AND($BW116&gt;=40,$BW116&lt;=400),"PASS","FAIL")</f>
        <v>PASS</v>
      </c>
    </row>
    <row r="117" spans="1:78">
      <c r="A117" t="s">
        <v>271</v>
      </c>
      <c r="B117">
        <v>18960582.556212999</v>
      </c>
      <c r="C117">
        <v>634.44823391832597</v>
      </c>
      <c r="D117">
        <v>149.14958101226799</v>
      </c>
      <c r="E117">
        <v>520.38377569771103</v>
      </c>
      <c r="F117">
        <v>2467301.6327637699</v>
      </c>
      <c r="G117">
        <v>1775044.0267545299</v>
      </c>
      <c r="H117">
        <v>2.5972810943896E-5</v>
      </c>
      <c r="I117">
        <v>5.9480773118925399E-5</v>
      </c>
      <c r="J117">
        <v>0.43661798563056398</v>
      </c>
      <c r="K117">
        <v>16063.580349286</v>
      </c>
      <c r="L117">
        <v>1.6624879026359001E-3</v>
      </c>
      <c r="M117">
        <v>202</v>
      </c>
      <c r="N117">
        <v>2047.9073000000001</v>
      </c>
      <c r="O117">
        <v>2.8502295699234199E-6</v>
      </c>
      <c r="P117">
        <v>5.98473400508856E-3</v>
      </c>
      <c r="Q117">
        <v>1.905E-3</v>
      </c>
      <c r="R117">
        <v>0.15240000000000001</v>
      </c>
      <c r="S117">
        <v>4315904.39453125</v>
      </c>
      <c r="T117">
        <v>517.88193873595401</v>
      </c>
      <c r="U117">
        <v>559.86452122228798</v>
      </c>
      <c r="V117">
        <v>0.03</v>
      </c>
      <c r="W117">
        <v>65588.6465816415</v>
      </c>
      <c r="X117">
        <v>2.7685474811265799E-2</v>
      </c>
      <c r="Y117">
        <v>6.0099936332252604</v>
      </c>
      <c r="Z117">
        <v>6.0099936385649304</v>
      </c>
      <c r="AA117">
        <v>-5.3396638222125098E-9</v>
      </c>
      <c r="AB117">
        <v>7.1528795247520302E-6</v>
      </c>
      <c r="AC117">
        <v>775.50864310147699</v>
      </c>
      <c r="AD117">
        <v>1929.2107278755</v>
      </c>
      <c r="AE117">
        <v>559.86452122228798</v>
      </c>
      <c r="AF117">
        <v>0</v>
      </c>
      <c r="AG117">
        <v>7.3189814161135601E-6</v>
      </c>
      <c r="AH117">
        <v>27.890662442441201</v>
      </c>
      <c r="AI117">
        <v>0.23150881970289799</v>
      </c>
      <c r="AJ117">
        <v>14.823997338674801</v>
      </c>
      <c r="AK117">
        <v>7.3164147847674696</v>
      </c>
      <c r="AL117">
        <v>2.1883527698787102</v>
      </c>
      <c r="AM117">
        <v>634.44823385372501</v>
      </c>
      <c r="AN117">
        <v>6.4600726545904803E-8</v>
      </c>
      <c r="AO117">
        <v>1.6610189136153501E-7</v>
      </c>
      <c r="AP117">
        <v>1.86513957375978</v>
      </c>
      <c r="AQ117">
        <v>2.59025261998793E-5</v>
      </c>
      <c r="AR117">
        <v>3.7425416537375501E-6</v>
      </c>
      <c r="AS117">
        <v>7.5802115568623698</v>
      </c>
      <c r="AT117">
        <v>7.0777055457055402</v>
      </c>
      <c r="AU117">
        <v>1.63855125709094</v>
      </c>
      <c r="AV117">
        <v>0.226588316668833</v>
      </c>
      <c r="AW117">
        <v>7.0541944766786199E-3</v>
      </c>
      <c r="AX117">
        <v>0.22658830705494201</v>
      </c>
      <c r="AY117">
        <v>9.6138914051913105E-9</v>
      </c>
      <c r="AZ117">
        <v>692257.60600924003</v>
      </c>
      <c r="BA117">
        <v>1.38877146591579E-5</v>
      </c>
      <c r="BB117">
        <v>4308591.0690499004</v>
      </c>
      <c r="BC117">
        <v>-7313.3254813486701</v>
      </c>
      <c r="BD117">
        <v>-0.16945059048609801</v>
      </c>
      <c r="BE117">
        <v>3722416.2</v>
      </c>
      <c r="BF117">
        <v>1.1574716091795201</v>
      </c>
      <c r="BG117">
        <v>1</v>
      </c>
      <c r="BH117">
        <v>-0.187</v>
      </c>
      <c r="BI117">
        <v>4.5999999999999999E-2</v>
      </c>
      <c r="BJ117">
        <v>5625</v>
      </c>
      <c r="BK117">
        <v>1.01622312001427</v>
      </c>
      <c r="BL117">
        <v>116.566295182372</v>
      </c>
      <c r="BM117">
        <v>4.3085910690498999</v>
      </c>
      <c r="BN117">
        <v>116.566295182372</v>
      </c>
      <c r="BO117">
        <v>1.01622312001427</v>
      </c>
      <c r="BP117">
        <v>5862.3975579541202</v>
      </c>
      <c r="BQ117">
        <v>1</v>
      </c>
      <c r="BR117">
        <v>0.15240000000000001</v>
      </c>
      <c r="BS117">
        <v>116</v>
      </c>
      <c r="BT117">
        <v>203</v>
      </c>
      <c r="BU117" t="s">
        <v>304</v>
      </c>
      <c r="BV117" t="str">
        <f>"Table "&amp;TRIM(RIGHT(SUBSTITUTE($A117,"_",REPT(" ",50)),50))</f>
        <v>Table 14</v>
      </c>
      <c r="BW117">
        <f>$BR117/$Q117</f>
        <v>80</v>
      </c>
      <c r="BX117" t="str">
        <f>IF($BW117&lt;40,"outside_low",IF($BW117&lt;=100,"short_anchor",IF($BW117&lt;250,"middle",IF($BW117&lt;=400,"long","outside_high"))))</f>
        <v>short_anchor</v>
      </c>
      <c r="BY117" t="str">
        <f>IF($N117&gt;1000,"PASS","FAIL")</f>
        <v>PASS</v>
      </c>
      <c r="BZ117" t="str">
        <f>IF(AND($BW117&gt;=40,$BW117&lt;=400),"PASS","FAIL")</f>
        <v>PASS</v>
      </c>
    </row>
    <row r="118" spans="1:78">
      <c r="A118" t="s">
        <v>272</v>
      </c>
      <c r="B118">
        <v>18960582.556212999</v>
      </c>
      <c r="C118">
        <v>634.44823391832597</v>
      </c>
      <c r="D118">
        <v>149.14958101226799</v>
      </c>
      <c r="E118">
        <v>520.38377569771103</v>
      </c>
      <c r="F118">
        <v>2467301.6327637699</v>
      </c>
      <c r="G118">
        <v>1775044.0267545299</v>
      </c>
      <c r="H118">
        <v>2.5972810943896E-5</v>
      </c>
      <c r="I118">
        <v>5.9480773118925399E-5</v>
      </c>
      <c r="J118">
        <v>0.43661798563056398</v>
      </c>
      <c r="K118">
        <v>16063.580349286</v>
      </c>
      <c r="L118">
        <v>1.6624879026359001E-3</v>
      </c>
      <c r="M118">
        <v>203</v>
      </c>
      <c r="N118">
        <v>2061.4695999999999</v>
      </c>
      <c r="O118">
        <v>2.8502295699234199E-6</v>
      </c>
      <c r="P118">
        <v>5.98473400508856E-3</v>
      </c>
      <c r="Q118">
        <v>1.905E-3</v>
      </c>
      <c r="R118">
        <v>0.15240000000000001</v>
      </c>
      <c r="S118">
        <v>4086287.79296875</v>
      </c>
      <c r="T118">
        <v>534.05487488333199</v>
      </c>
      <c r="U118">
        <v>573.54237533697403</v>
      </c>
      <c r="V118">
        <v>0.03</v>
      </c>
      <c r="W118">
        <v>66023.008479533193</v>
      </c>
      <c r="X118">
        <v>2.7611290226907802E-2</v>
      </c>
      <c r="Y118">
        <v>6.0180618873112204</v>
      </c>
      <c r="Z118">
        <v>6.0180619341428496</v>
      </c>
      <c r="AA118">
        <v>-4.6831631905774897E-8</v>
      </c>
      <c r="AB118">
        <v>7.0780382335173803E-6</v>
      </c>
      <c r="AC118">
        <v>761.83807756814599</v>
      </c>
      <c r="AD118">
        <v>1939.3833880575601</v>
      </c>
      <c r="AE118">
        <v>573.54237533697301</v>
      </c>
      <c r="AF118">
        <v>0</v>
      </c>
      <c r="AG118">
        <v>7.2337946176495899E-6</v>
      </c>
      <c r="AH118">
        <v>28.185570879174001</v>
      </c>
      <c r="AI118">
        <v>0.23272955755074301</v>
      </c>
      <c r="AJ118">
        <v>14.7287150804093</v>
      </c>
      <c r="AK118">
        <v>6.6209247906200499</v>
      </c>
      <c r="AL118">
        <v>2.1883527698787102</v>
      </c>
      <c r="AM118">
        <v>634.448233936679</v>
      </c>
      <c r="AN118">
        <v>-1.83530346475891E-8</v>
      </c>
      <c r="AO118">
        <v>1.5575638413221001E-7</v>
      </c>
      <c r="AP118">
        <v>1.86603730275959</v>
      </c>
      <c r="AQ118">
        <v>2.5877609382385E-5</v>
      </c>
      <c r="AR118">
        <v>3.6947755008909002E-6</v>
      </c>
      <c r="AS118">
        <v>7.5229251748345103</v>
      </c>
      <c r="AT118">
        <v>7.0397752417076402</v>
      </c>
      <c r="AU118">
        <v>1.6383637772593</v>
      </c>
      <c r="AV118">
        <v>0.22767352550029499</v>
      </c>
      <c r="AW118">
        <v>6.98038573693569E-3</v>
      </c>
      <c r="AX118">
        <v>0.22767351539410299</v>
      </c>
      <c r="AY118">
        <v>1.01061915780409E-8</v>
      </c>
      <c r="AZ118">
        <v>692257.60600924003</v>
      </c>
      <c r="BA118">
        <v>1.38676806428874E-5</v>
      </c>
      <c r="BB118">
        <v>4046071.0865659602</v>
      </c>
      <c r="BC118">
        <v>-40216.706402790704</v>
      </c>
      <c r="BD118">
        <v>-0.98418683265508999</v>
      </c>
      <c r="BE118">
        <v>3438503.1</v>
      </c>
      <c r="BF118">
        <v>1.1766954889661001</v>
      </c>
      <c r="BG118">
        <v>1</v>
      </c>
      <c r="BH118">
        <v>-0.14599999999999999</v>
      </c>
      <c r="BI118">
        <v>4.5999999999999999E-2</v>
      </c>
      <c r="BJ118">
        <v>5625</v>
      </c>
      <c r="BK118">
        <v>1.02405209803871</v>
      </c>
      <c r="BL118">
        <v>100.39335903499401</v>
      </c>
      <c r="BM118">
        <v>4.0460710865659602</v>
      </c>
      <c r="BN118">
        <v>100.39335903499401</v>
      </c>
      <c r="BO118">
        <v>1.02405209803871</v>
      </c>
      <c r="BP118">
        <v>3647.35781552969</v>
      </c>
      <c r="BQ118">
        <v>1</v>
      </c>
      <c r="BR118">
        <v>0.15240000000000001</v>
      </c>
      <c r="BS118">
        <v>117</v>
      </c>
      <c r="BT118">
        <v>204</v>
      </c>
      <c r="BU118" t="s">
        <v>304</v>
      </c>
      <c r="BV118" t="str">
        <f>"Table "&amp;TRIM(RIGHT(SUBSTITUTE($A118,"_",REPT(" ",50)),50))</f>
        <v>Table 14</v>
      </c>
      <c r="BW118">
        <f>$BR118/$Q118</f>
        <v>80</v>
      </c>
      <c r="BX118" t="str">
        <f>IF($BW118&lt;40,"outside_low",IF($BW118&lt;=100,"short_anchor",IF($BW118&lt;250,"middle",IF($BW118&lt;=400,"long","outside_high"))))</f>
        <v>short_anchor</v>
      </c>
      <c r="BY118" t="str">
        <f>IF($N118&gt;1000,"PASS","FAIL")</f>
        <v>PASS</v>
      </c>
      <c r="BZ118" t="str">
        <f>IF(AND($BW118&gt;=40,$BW118&lt;=400),"PASS","FAIL")</f>
        <v>PASS</v>
      </c>
    </row>
    <row r="119" spans="1:78">
      <c r="A119" t="s">
        <v>273</v>
      </c>
      <c r="B119">
        <v>18960582.556212999</v>
      </c>
      <c r="C119">
        <v>634.44823391832597</v>
      </c>
      <c r="D119">
        <v>149.14958101226799</v>
      </c>
      <c r="E119">
        <v>520.38377569771103</v>
      </c>
      <c r="F119">
        <v>2467301.6327637699</v>
      </c>
      <c r="G119">
        <v>1775044.0267545299</v>
      </c>
      <c r="H119">
        <v>2.5972810943896E-5</v>
      </c>
      <c r="I119">
        <v>5.9480773118925399E-5</v>
      </c>
      <c r="J119">
        <v>0.43661798563056398</v>
      </c>
      <c r="K119">
        <v>16063.580349286</v>
      </c>
      <c r="L119">
        <v>1.6624879026359001E-3</v>
      </c>
      <c r="M119">
        <v>204</v>
      </c>
      <c r="N119">
        <v>2075.0319</v>
      </c>
      <c r="O119">
        <v>2.8502295699234199E-6</v>
      </c>
      <c r="P119">
        <v>5.98473400508856E-3</v>
      </c>
      <c r="Q119">
        <v>1.905E-3</v>
      </c>
      <c r="R119">
        <v>0.15240000000000001</v>
      </c>
      <c r="S119">
        <v>4045361.328125</v>
      </c>
      <c r="T119">
        <v>537.92469521286102</v>
      </c>
      <c r="U119">
        <v>576.76120285538502</v>
      </c>
      <c r="V119">
        <v>0.03</v>
      </c>
      <c r="W119">
        <v>66457.370377424799</v>
      </c>
      <c r="X119">
        <v>2.7537897758732399E-2</v>
      </c>
      <c r="Y119">
        <v>6.0260760524703603</v>
      </c>
      <c r="Z119">
        <v>6.0260760849766299</v>
      </c>
      <c r="AA119">
        <v>-3.25062741168836E-8</v>
      </c>
      <c r="AB119">
        <v>7.0044354320592796E-6</v>
      </c>
      <c r="AC119">
        <v>758.30964396818104</v>
      </c>
      <c r="AD119">
        <v>1949.5463069387699</v>
      </c>
      <c r="AE119">
        <v>576.76120285538502</v>
      </c>
      <c r="AF119">
        <v>0</v>
      </c>
      <c r="AG119">
        <v>7.1589062482810904E-6</v>
      </c>
      <c r="AH119">
        <v>28.481745638371301</v>
      </c>
      <c r="AI119">
        <v>0.23394912642465099</v>
      </c>
      <c r="AJ119">
        <v>14.6526186226323</v>
      </c>
      <c r="AK119">
        <v>6.4481868521859296</v>
      </c>
      <c r="AL119">
        <v>2.1883527698787102</v>
      </c>
      <c r="AM119">
        <v>634.44823395139304</v>
      </c>
      <c r="AN119">
        <v>-3.30675220538978E-8</v>
      </c>
      <c r="AO119">
        <v>1.5447081622181101E-7</v>
      </c>
      <c r="AP119">
        <v>1.86939755880115</v>
      </c>
      <c r="AQ119">
        <v>2.5784662602417699E-5</v>
      </c>
      <c r="AR119">
        <v>3.6566885322514502E-6</v>
      </c>
      <c r="AS119">
        <v>7.48439225582801</v>
      </c>
      <c r="AT119">
        <v>7.0140990981447304</v>
      </c>
      <c r="AU119">
        <v>1.6409423566668899</v>
      </c>
      <c r="AV119">
        <v>0.22845520213426099</v>
      </c>
      <c r="AW119">
        <v>6.9077984000852502E-3</v>
      </c>
      <c r="AX119">
        <v>0.22845519977401499</v>
      </c>
      <c r="AY119">
        <v>2.3602461929339602E-9</v>
      </c>
      <c r="AZ119">
        <v>692257.60600924003</v>
      </c>
      <c r="BA119">
        <v>1.3793033205282199E-5</v>
      </c>
      <c r="BB119">
        <v>4034392.4613605998</v>
      </c>
      <c r="BC119">
        <v>-10968.8667643969</v>
      </c>
      <c r="BD119">
        <v>-0.27114677465611903</v>
      </c>
      <c r="BE119">
        <v>3375411.3</v>
      </c>
      <c r="BF119">
        <v>1.19522988542481</v>
      </c>
      <c r="BG119">
        <v>1</v>
      </c>
      <c r="BH119">
        <v>-0.13800000000000001</v>
      </c>
      <c r="BI119">
        <v>4.5999999999999999E-2</v>
      </c>
      <c r="BJ119">
        <v>5625</v>
      </c>
      <c r="BK119">
        <v>1.0260666656645301</v>
      </c>
      <c r="BL119">
        <v>96.523538705464901</v>
      </c>
      <c r="BM119">
        <v>4.0343924613605999</v>
      </c>
      <c r="BN119">
        <v>96.523538705464901</v>
      </c>
      <c r="BO119">
        <v>1.0260666656645301</v>
      </c>
      <c r="BP119">
        <v>3194.9104277881902</v>
      </c>
      <c r="BQ119">
        <v>1</v>
      </c>
      <c r="BR119">
        <v>0.15240000000000001</v>
      </c>
      <c r="BS119">
        <v>118</v>
      </c>
      <c r="BT119">
        <v>205</v>
      </c>
      <c r="BU119" t="s">
        <v>304</v>
      </c>
      <c r="BV119" t="str">
        <f>"Table "&amp;TRIM(RIGHT(SUBSTITUTE($A119,"_",REPT(" ",50)),50))</f>
        <v>Table 14</v>
      </c>
      <c r="BW119">
        <f>$BR119/$Q119</f>
        <v>80</v>
      </c>
      <c r="BX119" t="str">
        <f>IF($BW119&lt;40,"outside_low",IF($BW119&lt;=100,"short_anchor",IF($BW119&lt;250,"middle",IF($BW119&lt;=400,"long","outside_high"))))</f>
        <v>short_anchor</v>
      </c>
      <c r="BY119" t="str">
        <f>IF($N119&gt;1000,"PASS","FAIL")</f>
        <v>PASS</v>
      </c>
      <c r="BZ119" t="str">
        <f>IF(AND($BW119&gt;=40,$BW119&lt;=400),"PASS","FAIL")</f>
        <v>PASS</v>
      </c>
    </row>
    <row r="120" spans="1:78">
      <c r="A120" t="s">
        <v>274</v>
      </c>
      <c r="B120">
        <v>18960582.556212999</v>
      </c>
      <c r="C120">
        <v>634.44823391832597</v>
      </c>
      <c r="D120">
        <v>149.14958101226799</v>
      </c>
      <c r="E120">
        <v>520.38377569771103</v>
      </c>
      <c r="F120">
        <v>2467301.6327637699</v>
      </c>
      <c r="G120">
        <v>1775044.0267545299</v>
      </c>
      <c r="H120">
        <v>2.5972810943896E-5</v>
      </c>
      <c r="I120">
        <v>5.9480773118925399E-5</v>
      </c>
      <c r="J120">
        <v>0.43661798563056398</v>
      </c>
      <c r="K120">
        <v>16063.580349286</v>
      </c>
      <c r="L120">
        <v>1.6624879026359001E-3</v>
      </c>
      <c r="M120">
        <v>205</v>
      </c>
      <c r="N120">
        <v>2685.3353999999999</v>
      </c>
      <c r="O120">
        <v>2.8502295699234199E-6</v>
      </c>
      <c r="P120">
        <v>5.98473400508856E-3</v>
      </c>
      <c r="Q120">
        <v>1.905E-3</v>
      </c>
      <c r="R120">
        <v>0.15240000000000001</v>
      </c>
      <c r="S120">
        <v>4197888.18359375</v>
      </c>
      <c r="T120">
        <v>561.28950888079305</v>
      </c>
      <c r="U120">
        <v>592.43103972782399</v>
      </c>
      <c r="V120">
        <v>0.03</v>
      </c>
      <c r="W120">
        <v>86003.655782549802</v>
      </c>
      <c r="X120">
        <v>2.48783807458107E-2</v>
      </c>
      <c r="Y120">
        <v>6.3399954316979397</v>
      </c>
      <c r="Z120">
        <v>6.3399954657620103</v>
      </c>
      <c r="AA120">
        <v>-3.4064068010763997E-8</v>
      </c>
      <c r="AB120">
        <v>4.6295021533103401E-6</v>
      </c>
      <c r="AC120">
        <v>724.70817306569097</v>
      </c>
      <c r="AD120">
        <v>2398.0209791092798</v>
      </c>
      <c r="AE120">
        <v>592.43103972782399</v>
      </c>
      <c r="AF120">
        <v>0</v>
      </c>
      <c r="AG120">
        <v>4.7606909448245198E-6</v>
      </c>
      <c r="AH120">
        <v>43.092872993623303</v>
      </c>
      <c r="AI120">
        <v>0.28776690823595802</v>
      </c>
      <c r="AJ120">
        <v>11.985550404981399</v>
      </c>
      <c r="AK120">
        <v>5.02996733937223</v>
      </c>
      <c r="AL120">
        <v>2.1883527698787102</v>
      </c>
      <c r="AM120">
        <v>634.44823398433505</v>
      </c>
      <c r="AN120">
        <v>-6.6008851717924699E-8</v>
      </c>
      <c r="AO120">
        <v>1.3118879151418501E-7</v>
      </c>
      <c r="AP120">
        <v>2.00034887888265</v>
      </c>
      <c r="AQ120">
        <v>2.25192177886083E-5</v>
      </c>
      <c r="AR120">
        <v>2.4459398681693502E-6</v>
      </c>
      <c r="AS120">
        <v>6.1579161338686497</v>
      </c>
      <c r="AT120">
        <v>6.0386921517804204</v>
      </c>
      <c r="AU120">
        <v>1.7377357703066001</v>
      </c>
      <c r="AV120">
        <v>0.26261310857604903</v>
      </c>
      <c r="AW120">
        <v>4.5656310031009098E-3</v>
      </c>
      <c r="AX120">
        <v>0.262613104814024</v>
      </c>
      <c r="AY120">
        <v>3.7620252468784096E-9</v>
      </c>
      <c r="AZ120">
        <v>692257.60600924003</v>
      </c>
      <c r="BA120">
        <v>1.1257645116979301E-5</v>
      </c>
      <c r="BB120">
        <v>4197982.8641311498</v>
      </c>
      <c r="BC120">
        <v>94.680537402629895</v>
      </c>
      <c r="BD120">
        <v>2.2554325713739099E-3</v>
      </c>
      <c r="BE120">
        <v>3596232.6</v>
      </c>
      <c r="BF120">
        <v>1.1673279598575299</v>
      </c>
      <c r="BG120">
        <v>1</v>
      </c>
      <c r="BH120">
        <v>-0.104</v>
      </c>
      <c r="BI120">
        <v>4.5999999999999999E-2</v>
      </c>
      <c r="BJ120">
        <v>5625</v>
      </c>
      <c r="BK120">
        <v>1.0378327278381201</v>
      </c>
      <c r="BL120">
        <v>73.158725037532903</v>
      </c>
      <c r="BM120">
        <v>4.1979828641311503</v>
      </c>
      <c r="BN120">
        <v>73.158725037532903</v>
      </c>
      <c r="BO120">
        <v>1.0378327278381201</v>
      </c>
      <c r="BP120">
        <v>1099.5010461147101</v>
      </c>
      <c r="BQ120">
        <v>1</v>
      </c>
      <c r="BR120">
        <v>0.15240000000000001</v>
      </c>
      <c r="BS120">
        <v>119</v>
      </c>
      <c r="BT120">
        <v>206</v>
      </c>
      <c r="BU120" t="s">
        <v>304</v>
      </c>
      <c r="BV120" t="str">
        <f>"Table "&amp;TRIM(RIGHT(SUBSTITUTE($A120,"_",REPT(" ",50)),50))</f>
        <v>Table 14</v>
      </c>
      <c r="BW120">
        <f>$BR120/$Q120</f>
        <v>80</v>
      </c>
      <c r="BX120" t="str">
        <f>IF($BW120&lt;40,"outside_low",IF($BW120&lt;=100,"short_anchor",IF($BW120&lt;250,"middle",IF($BW120&lt;=400,"long","outside_high"))))</f>
        <v>short_anchor</v>
      </c>
      <c r="BY120" t="str">
        <f>IF($N120&gt;1000,"PASS","FAIL")</f>
        <v>PASS</v>
      </c>
      <c r="BZ120" t="str">
        <f>IF(AND($BW120&gt;=40,$BW120&lt;=400),"PASS","FAIL")</f>
        <v>PASS</v>
      </c>
    </row>
    <row r="121" spans="1:78">
      <c r="A121" t="s">
        <v>275</v>
      </c>
      <c r="B121">
        <v>18960582.556212999</v>
      </c>
      <c r="C121">
        <v>634.44823391832597</v>
      </c>
      <c r="D121">
        <v>149.14958101226799</v>
      </c>
      <c r="E121">
        <v>520.38377569771103</v>
      </c>
      <c r="F121">
        <v>2467301.6327637699</v>
      </c>
      <c r="G121">
        <v>1775044.0267545299</v>
      </c>
      <c r="H121">
        <v>2.5972810943896E-5</v>
      </c>
      <c r="I121">
        <v>5.9480773118925399E-5</v>
      </c>
      <c r="J121">
        <v>0.43661798563056398</v>
      </c>
      <c r="K121">
        <v>16063.580349286</v>
      </c>
      <c r="L121">
        <v>1.6624879026359001E-3</v>
      </c>
      <c r="M121">
        <v>206</v>
      </c>
      <c r="N121">
        <v>2698.8977</v>
      </c>
      <c r="O121">
        <v>2.8502295699234199E-6</v>
      </c>
      <c r="P121">
        <v>5.98473400508856E-3</v>
      </c>
      <c r="Q121">
        <v>1.905E-3</v>
      </c>
      <c r="R121">
        <v>0.15240000000000001</v>
      </c>
      <c r="S121">
        <v>4765616.50390625</v>
      </c>
      <c r="T121">
        <v>525.63284033909497</v>
      </c>
      <c r="U121">
        <v>560.80834170491903</v>
      </c>
      <c r="V121">
        <v>0.03</v>
      </c>
      <c r="W121">
        <v>86438.017680441495</v>
      </c>
      <c r="X121">
        <v>2.4830525859102299E-2</v>
      </c>
      <c r="Y121">
        <v>6.3461019016727098</v>
      </c>
      <c r="Z121">
        <v>6.3461019330903401</v>
      </c>
      <c r="AA121">
        <v>-3.1417631163321897E-8</v>
      </c>
      <c r="AB121">
        <v>4.5919242072455102E-6</v>
      </c>
      <c r="AC121">
        <v>749.35777845335599</v>
      </c>
      <c r="AD121">
        <v>2407.8130717556101</v>
      </c>
      <c r="AE121">
        <v>560.80834170491903</v>
      </c>
      <c r="AF121">
        <v>0</v>
      </c>
      <c r="AG121">
        <v>4.73941868228778E-6</v>
      </c>
      <c r="AH121">
        <v>43.445522903344802</v>
      </c>
      <c r="AI121">
        <v>0.28894197728270299</v>
      </c>
      <c r="AJ121">
        <v>11.980718378724699</v>
      </c>
      <c r="AK121">
        <v>6.4045604287223004</v>
      </c>
      <c r="AL121">
        <v>2.1883527698787102</v>
      </c>
      <c r="AM121">
        <v>634.44823405113198</v>
      </c>
      <c r="AN121">
        <v>-1.32805666908098E-7</v>
      </c>
      <c r="AO121">
        <v>1.47494475042275E-7</v>
      </c>
      <c r="AP121">
        <v>2.0114780047610501</v>
      </c>
      <c r="AQ121">
        <v>2.22707180340888E-5</v>
      </c>
      <c r="AR121">
        <v>2.4434565786650299E-6</v>
      </c>
      <c r="AS121">
        <v>6.1767839269048901</v>
      </c>
      <c r="AT121">
        <v>6.0539886791861397</v>
      </c>
      <c r="AU121">
        <v>1.7492514594111499</v>
      </c>
      <c r="AV121">
        <v>0.26222654534990097</v>
      </c>
      <c r="AW121">
        <v>4.5285715029851703E-3</v>
      </c>
      <c r="AX121">
        <v>0.26222653908771398</v>
      </c>
      <c r="AY121">
        <v>6.26218721322402E-9</v>
      </c>
      <c r="AZ121">
        <v>692257.60600924003</v>
      </c>
      <c r="BA121">
        <v>1.10718178281718E-5</v>
      </c>
      <c r="BB121">
        <v>4798972.9838898797</v>
      </c>
      <c r="BC121">
        <v>33356.479983625897</v>
      </c>
      <c r="BD121">
        <v>0.69994049996017305</v>
      </c>
      <c r="BE121">
        <v>4511063.7</v>
      </c>
      <c r="BF121">
        <v>1.063822925819</v>
      </c>
      <c r="BG121">
        <v>1</v>
      </c>
      <c r="BH121">
        <v>-0.20200000000000001</v>
      </c>
      <c r="BI121">
        <v>4.5999999999999999E-2</v>
      </c>
      <c r="BJ121">
        <v>5625</v>
      </c>
      <c r="BK121">
        <v>1.0198214433421799</v>
      </c>
      <c r="BL121">
        <v>108.815393579231</v>
      </c>
      <c r="BM121">
        <v>4.7989729838898798</v>
      </c>
      <c r="BN121">
        <v>108.815393579231</v>
      </c>
      <c r="BO121">
        <v>1.0198214433421799</v>
      </c>
      <c r="BP121">
        <v>4735.5583934644701</v>
      </c>
      <c r="BQ121">
        <v>1</v>
      </c>
      <c r="BR121">
        <v>0.15240000000000001</v>
      </c>
      <c r="BS121">
        <v>120</v>
      </c>
      <c r="BT121">
        <v>207</v>
      </c>
      <c r="BU121" t="s">
        <v>304</v>
      </c>
      <c r="BV121" t="str">
        <f>"Table "&amp;TRIM(RIGHT(SUBSTITUTE($A121,"_",REPT(" ",50)),50))</f>
        <v>Table 14</v>
      </c>
      <c r="BW121">
        <f>$BR121/$Q121</f>
        <v>80</v>
      </c>
      <c r="BX121" t="str">
        <f>IF($BW121&lt;40,"outside_low",IF($BW121&lt;=100,"short_anchor",IF($BW121&lt;250,"middle",IF($BW121&lt;=400,"long","outside_high"))))</f>
        <v>short_anchor</v>
      </c>
      <c r="BY121" t="str">
        <f>IF($N121&gt;1000,"PASS","FAIL")</f>
        <v>PASS</v>
      </c>
      <c r="BZ121" t="str">
        <f>IF(AND($BW121&gt;=40,$BW121&lt;=400),"PASS","FAIL")</f>
        <v>PASS</v>
      </c>
    </row>
    <row r="122" spans="1:78">
      <c r="A122" t="s">
        <v>276</v>
      </c>
      <c r="B122">
        <v>18960582.556212999</v>
      </c>
      <c r="C122">
        <v>634.44823391832597</v>
      </c>
      <c r="D122">
        <v>149.14958101226799</v>
      </c>
      <c r="E122">
        <v>520.38377569771103</v>
      </c>
      <c r="F122">
        <v>2467301.6327637699</v>
      </c>
      <c r="G122">
        <v>1775044.0267545299</v>
      </c>
      <c r="H122">
        <v>2.5972810943896E-5</v>
      </c>
      <c r="I122">
        <v>5.9480773118925399E-5</v>
      </c>
      <c r="J122">
        <v>0.43661798563056398</v>
      </c>
      <c r="K122">
        <v>16063.580349286</v>
      </c>
      <c r="L122">
        <v>1.6624879026359001E-3</v>
      </c>
      <c r="M122">
        <v>207</v>
      </c>
      <c r="N122">
        <v>2726.0223000000001</v>
      </c>
      <c r="O122">
        <v>2.8502295699234199E-6</v>
      </c>
      <c r="P122">
        <v>5.98473400508856E-3</v>
      </c>
      <c r="Q122">
        <v>1.905E-3</v>
      </c>
      <c r="R122">
        <v>0.15240000000000001</v>
      </c>
      <c r="S122">
        <v>5742041.015625</v>
      </c>
      <c r="T122">
        <v>481.73347125662798</v>
      </c>
      <c r="U122">
        <v>523.69434419362403</v>
      </c>
      <c r="V122">
        <v>0.03</v>
      </c>
      <c r="W122">
        <v>87306.741476224794</v>
      </c>
      <c r="X122">
        <v>2.4735969360293E-2</v>
      </c>
      <c r="Y122">
        <v>6.3582197371331297</v>
      </c>
      <c r="Z122">
        <v>6.35821976348383</v>
      </c>
      <c r="AA122">
        <v>-2.63506914066625E-8</v>
      </c>
      <c r="AB122">
        <v>4.5182029201920501E-6</v>
      </c>
      <c r="AC122">
        <v>782.642114464722</v>
      </c>
      <c r="AD122">
        <v>2427.37713909897</v>
      </c>
      <c r="AE122">
        <v>523.69434419362403</v>
      </c>
      <c r="AF122">
        <v>0</v>
      </c>
      <c r="AG122">
        <v>4.6903186997320702E-6</v>
      </c>
      <c r="AH122">
        <v>44.1544020576722</v>
      </c>
      <c r="AI122">
        <v>0.29128970118544001</v>
      </c>
      <c r="AJ122">
        <v>11.9529368890478</v>
      </c>
      <c r="AK122">
        <v>8.2666029836745292</v>
      </c>
      <c r="AL122">
        <v>2.1883527698787102</v>
      </c>
      <c r="AM122">
        <v>634.44823388292298</v>
      </c>
      <c r="AN122">
        <v>3.5403445508563898E-8</v>
      </c>
      <c r="AO122">
        <v>1.72115779540028E-7</v>
      </c>
      <c r="AP122">
        <v>2.0298956509902002</v>
      </c>
      <c r="AQ122">
        <v>2.1868418132789899E-5</v>
      </c>
      <c r="AR122">
        <v>2.4312172396360498E-6</v>
      </c>
      <c r="AS122">
        <v>6.1957807324680898</v>
      </c>
      <c r="AT122">
        <v>6.0693426668307398</v>
      </c>
      <c r="AU122">
        <v>1.7679370118131701</v>
      </c>
      <c r="AV122">
        <v>0.26195863917703299</v>
      </c>
      <c r="AW122">
        <v>4.4558673152316E-3</v>
      </c>
      <c r="AX122">
        <v>0.26195862825280503</v>
      </c>
      <c r="AY122">
        <v>1.09242282997357E-8</v>
      </c>
      <c r="AZ122">
        <v>692257.60600924003</v>
      </c>
      <c r="BA122">
        <v>1.07731735481685E-5</v>
      </c>
      <c r="BB122">
        <v>5755307.2830022397</v>
      </c>
      <c r="BC122">
        <v>13266.2673772424</v>
      </c>
      <c r="BD122">
        <v>0.23103748895458701</v>
      </c>
      <c r="BE122">
        <v>5236619.4000000004</v>
      </c>
      <c r="BF122">
        <v>1.0990501396764201</v>
      </c>
      <c r="BG122">
        <v>1</v>
      </c>
      <c r="BH122">
        <v>-0.376</v>
      </c>
      <c r="BI122">
        <v>4.5999999999999999E-2</v>
      </c>
      <c r="BJ122">
        <v>5625</v>
      </c>
      <c r="BK122">
        <v>1.0048068533957799</v>
      </c>
      <c r="BL122">
        <v>152.71476266169799</v>
      </c>
      <c r="BM122">
        <v>5.7553072830022396</v>
      </c>
      <c r="BN122">
        <v>152.71476266169799</v>
      </c>
      <c r="BO122">
        <v>1.0048068533957799</v>
      </c>
      <c r="BP122">
        <v>12704.6177218829</v>
      </c>
      <c r="BQ122">
        <v>1</v>
      </c>
      <c r="BR122">
        <v>0.15240000000000001</v>
      </c>
      <c r="BS122">
        <v>121</v>
      </c>
      <c r="BT122">
        <v>208</v>
      </c>
      <c r="BU122" t="s">
        <v>304</v>
      </c>
      <c r="BV122" t="str">
        <f>"Table "&amp;TRIM(RIGHT(SUBSTITUTE($A122,"_",REPT(" ",50)),50))</f>
        <v>Table 14</v>
      </c>
      <c r="BW122">
        <f>$BR122/$Q122</f>
        <v>80</v>
      </c>
      <c r="BX122" t="str">
        <f>IF($BW122&lt;40,"outside_low",IF($BW122&lt;=100,"short_anchor",IF($BW122&lt;250,"middle",IF($BW122&lt;=400,"long","outside_high"))))</f>
        <v>short_anchor</v>
      </c>
      <c r="BY122" t="str">
        <f>IF($N122&gt;1000,"PASS","FAIL")</f>
        <v>PASS</v>
      </c>
      <c r="BZ122" t="str">
        <f>IF(AND($BW122&gt;=40,$BW122&lt;=400),"PASS","FAIL")</f>
        <v>PASS</v>
      </c>
    </row>
    <row r="123" spans="1:78">
      <c r="A123" t="s">
        <v>277</v>
      </c>
      <c r="B123">
        <v>18960582.556212999</v>
      </c>
      <c r="C123">
        <v>634.44823391832597</v>
      </c>
      <c r="D123">
        <v>149.14958101226799</v>
      </c>
      <c r="E123">
        <v>520.38377569771103</v>
      </c>
      <c r="F123">
        <v>2467301.6327637699</v>
      </c>
      <c r="G123">
        <v>1775044.0267545299</v>
      </c>
      <c r="H123">
        <v>2.5972810943896E-5</v>
      </c>
      <c r="I123">
        <v>5.9480773118925399E-5</v>
      </c>
      <c r="J123">
        <v>0.43661798563056398</v>
      </c>
      <c r="K123">
        <v>16063.580349286</v>
      </c>
      <c r="L123">
        <v>1.6624879026359001E-3</v>
      </c>
      <c r="M123">
        <v>208</v>
      </c>
      <c r="N123">
        <v>2726.0223000000001</v>
      </c>
      <c r="O123">
        <v>2.8502295699234199E-6</v>
      </c>
      <c r="P123">
        <v>5.98473400508856E-3</v>
      </c>
      <c r="Q123">
        <v>1.905E-3</v>
      </c>
      <c r="R123">
        <v>0.15240000000000001</v>
      </c>
      <c r="S123">
        <v>5726562.01171875</v>
      </c>
      <c r="T123">
        <v>482.30962211684403</v>
      </c>
      <c r="U123">
        <v>524.15737978448999</v>
      </c>
      <c r="V123">
        <v>0.03</v>
      </c>
      <c r="W123">
        <v>87306.741476224794</v>
      </c>
      <c r="X123">
        <v>2.4735969360293E-2</v>
      </c>
      <c r="Y123">
        <v>6.3582197371331297</v>
      </c>
      <c r="Z123">
        <v>6.35821976348383</v>
      </c>
      <c r="AA123">
        <v>-2.63506914066625E-8</v>
      </c>
      <c r="AB123">
        <v>4.5182029201920501E-6</v>
      </c>
      <c r="AC123">
        <v>782.11788869394195</v>
      </c>
      <c r="AD123">
        <v>2427.37713909897</v>
      </c>
      <c r="AE123">
        <v>524.15738161462696</v>
      </c>
      <c r="AF123">
        <v>1.8301367390449701E-6</v>
      </c>
      <c r="AG123">
        <v>4.68897239728106E-6</v>
      </c>
      <c r="AH123">
        <v>44.1544020576722</v>
      </c>
      <c r="AI123">
        <v>0.29128970118544001</v>
      </c>
      <c r="AJ123">
        <v>11.949505934935599</v>
      </c>
      <c r="AK123">
        <v>8.2382139876399396</v>
      </c>
      <c r="AL123">
        <v>2.1883527698787102</v>
      </c>
      <c r="AM123">
        <v>634.44823388210705</v>
      </c>
      <c r="AN123">
        <v>3.62186938218656E-8</v>
      </c>
      <c r="AO123">
        <v>1.7076947708901199E-7</v>
      </c>
      <c r="AP123">
        <v>2.0291811487290801</v>
      </c>
      <c r="AQ123">
        <v>2.1883821178600901E-5</v>
      </c>
      <c r="AR123">
        <v>2.4298709371850298E-6</v>
      </c>
      <c r="AS123">
        <v>6.1923497783558501</v>
      </c>
      <c r="AT123">
        <v>6.0665731172227799</v>
      </c>
      <c r="AU123">
        <v>1.7671302705354499</v>
      </c>
      <c r="AV123">
        <v>0.26205087819363798</v>
      </c>
      <c r="AW123">
        <v>4.4558673152316E-3</v>
      </c>
      <c r="AX123">
        <v>0.26205086744609801</v>
      </c>
      <c r="AY123">
        <v>1.07475398580803E-8</v>
      </c>
      <c r="AZ123">
        <v>692257.60600924003</v>
      </c>
      <c r="BA123">
        <v>1.07845576982159E-5</v>
      </c>
      <c r="BB123">
        <v>5704261.0751226302</v>
      </c>
      <c r="BC123">
        <v>-22300.9365961244</v>
      </c>
      <c r="BD123">
        <v>-0.38942975821248699</v>
      </c>
      <c r="BE123">
        <v>5110435.8</v>
      </c>
      <c r="BF123">
        <v>1.11619855886315</v>
      </c>
      <c r="BG123">
        <v>1</v>
      </c>
      <c r="BH123">
        <v>-0.39300000000000002</v>
      </c>
      <c r="BI123">
        <v>4.5999999999999999E-2</v>
      </c>
      <c r="BJ123">
        <v>5625</v>
      </c>
      <c r="BK123">
        <v>1.00491884480104</v>
      </c>
      <c r="BL123">
        <v>152.138611801482</v>
      </c>
      <c r="BM123">
        <v>5.7042610751226297</v>
      </c>
      <c r="BN123">
        <v>152.138611801482</v>
      </c>
      <c r="BO123">
        <v>1.00491884480104</v>
      </c>
      <c r="BP123">
        <v>12575.068256763499</v>
      </c>
      <c r="BQ123">
        <v>1</v>
      </c>
      <c r="BR123">
        <v>0.15240000000000001</v>
      </c>
      <c r="BS123">
        <v>122</v>
      </c>
      <c r="BT123">
        <v>209</v>
      </c>
      <c r="BU123" t="s">
        <v>304</v>
      </c>
      <c r="BV123" t="str">
        <f>"Table "&amp;TRIM(RIGHT(SUBSTITUTE($A123,"_",REPT(" ",50)),50))</f>
        <v>Table 14</v>
      </c>
      <c r="BW123">
        <f>$BR123/$Q123</f>
        <v>80</v>
      </c>
      <c r="BX123" t="str">
        <f>IF($BW123&lt;40,"outside_low",IF($BW123&lt;=100,"short_anchor",IF($BW123&lt;250,"middle",IF($BW123&lt;=400,"long","outside_high"))))</f>
        <v>short_anchor</v>
      </c>
      <c r="BY123" t="str">
        <f>IF($N123&gt;1000,"PASS","FAIL")</f>
        <v>PASS</v>
      </c>
      <c r="BZ123" t="str">
        <f>IF(AND($BW123&gt;=40,$BW123&lt;=400),"PASS","FAIL")</f>
        <v>PASS</v>
      </c>
    </row>
    <row r="124" spans="1:78">
      <c r="A124" t="s">
        <v>278</v>
      </c>
      <c r="B124">
        <v>18960582.556212999</v>
      </c>
      <c r="C124">
        <v>634.44823391832597</v>
      </c>
      <c r="D124">
        <v>149.14958101226799</v>
      </c>
      <c r="E124">
        <v>520.38377569771103</v>
      </c>
      <c r="F124">
        <v>2467301.6327637699</v>
      </c>
      <c r="G124">
        <v>1775044.0267545299</v>
      </c>
      <c r="H124">
        <v>2.5972810943896E-5</v>
      </c>
      <c r="I124">
        <v>5.9480773118925399E-5</v>
      </c>
      <c r="J124">
        <v>0.43661798563056398</v>
      </c>
      <c r="K124">
        <v>16063.580349286</v>
      </c>
      <c r="L124">
        <v>1.6624879026359001E-3</v>
      </c>
      <c r="M124">
        <v>209</v>
      </c>
      <c r="N124">
        <v>2726.0223000000001</v>
      </c>
      <c r="O124">
        <v>2.8502295699234199E-6</v>
      </c>
      <c r="P124">
        <v>5.98473400508856E-3</v>
      </c>
      <c r="Q124">
        <v>1.905E-3</v>
      </c>
      <c r="R124">
        <v>0.15240000000000001</v>
      </c>
      <c r="S124">
        <v>4254541.015625</v>
      </c>
      <c r="T124">
        <v>559.60722906880403</v>
      </c>
      <c r="U124">
        <v>590.69796047878299</v>
      </c>
      <c r="V124">
        <v>0.03</v>
      </c>
      <c r="W124">
        <v>87306.741476224794</v>
      </c>
      <c r="X124">
        <v>2.4735969360293E-2</v>
      </c>
      <c r="Y124">
        <v>6.3582197371331297</v>
      </c>
      <c r="Z124">
        <v>6.35821976348383</v>
      </c>
      <c r="AA124">
        <v>-2.63506914066625E-8</v>
      </c>
      <c r="AB124">
        <v>4.5182029201920501E-6</v>
      </c>
      <c r="AC124">
        <v>725.20123857111196</v>
      </c>
      <c r="AD124">
        <v>2427.37713909897</v>
      </c>
      <c r="AE124">
        <v>590.69796047878299</v>
      </c>
      <c r="AF124">
        <v>0</v>
      </c>
      <c r="AG124">
        <v>4.6498432246460803E-6</v>
      </c>
      <c r="AH124">
        <v>44.1544020576722</v>
      </c>
      <c r="AI124">
        <v>0.29128970118544001</v>
      </c>
      <c r="AJ124">
        <v>11.849788077585499</v>
      </c>
      <c r="AK124">
        <v>5.0783204303473903</v>
      </c>
      <c r="AL124">
        <v>2.1883527698787102</v>
      </c>
      <c r="AM124">
        <v>634.44823387410895</v>
      </c>
      <c r="AN124">
        <v>4.4217244976607597E-8</v>
      </c>
      <c r="AO124">
        <v>1.3164030445403901E-7</v>
      </c>
      <c r="AP124">
        <v>2.0082656638617502</v>
      </c>
      <c r="AQ124">
        <v>2.2342021703566801E-5</v>
      </c>
      <c r="AR124">
        <v>2.3907417645500599E-6</v>
      </c>
      <c r="AS124">
        <v>6.0926319210057303</v>
      </c>
      <c r="AT124">
        <v>5.9854007964987197</v>
      </c>
      <c r="AU124">
        <v>1.74348560948721</v>
      </c>
      <c r="AV124">
        <v>0.26478005437454</v>
      </c>
      <c r="AW124">
        <v>4.4558673152316E-3</v>
      </c>
      <c r="AX124">
        <v>0.26478004867504101</v>
      </c>
      <c r="AY124">
        <v>5.6994994279690997E-9</v>
      </c>
      <c r="AZ124">
        <v>692257.60600924003</v>
      </c>
      <c r="BA124">
        <v>1.11250329603329E-5</v>
      </c>
      <c r="BB124">
        <v>4262643.9232648201</v>
      </c>
      <c r="BC124">
        <v>8102.9076398201296</v>
      </c>
      <c r="BD124">
        <v>0.190453156052834</v>
      </c>
      <c r="BE124">
        <v>3785508</v>
      </c>
      <c r="BF124">
        <v>1.1260427724006401</v>
      </c>
      <c r="BG124">
        <v>1</v>
      </c>
      <c r="BH124">
        <v>-9.2999999999999999E-2</v>
      </c>
      <c r="BI124">
        <v>4.5999999999999999E-2</v>
      </c>
      <c r="BJ124">
        <v>5625</v>
      </c>
      <c r="BK124">
        <v>1.0370711015047001</v>
      </c>
      <c r="BL124">
        <v>74.841004849521894</v>
      </c>
      <c r="BM124">
        <v>4.2626439232648199</v>
      </c>
      <c r="BN124">
        <v>74.841004849521894</v>
      </c>
      <c r="BO124">
        <v>1.0370711015047001</v>
      </c>
      <c r="BP124">
        <v>1213.89561892441</v>
      </c>
      <c r="BQ124">
        <v>1</v>
      </c>
      <c r="BR124">
        <v>0.15240000000000001</v>
      </c>
      <c r="BS124">
        <v>123</v>
      </c>
      <c r="BT124">
        <v>210</v>
      </c>
      <c r="BU124" t="s">
        <v>304</v>
      </c>
      <c r="BV124" t="str">
        <f>"Table "&amp;TRIM(RIGHT(SUBSTITUTE($A124,"_",REPT(" ",50)),50))</f>
        <v>Table 14</v>
      </c>
      <c r="BW124">
        <f>$BR124/$Q124</f>
        <v>80</v>
      </c>
      <c r="BX124" t="str">
        <f>IF($BW124&lt;40,"outside_low",IF($BW124&lt;=100,"short_anchor",IF($BW124&lt;250,"middle",IF($BW124&lt;=400,"long","outside_high"))))</f>
        <v>short_anchor</v>
      </c>
      <c r="BY124" t="str">
        <f>IF($N124&gt;1000,"PASS","FAIL")</f>
        <v>PASS</v>
      </c>
      <c r="BZ124" t="str">
        <f>IF(AND($BW124&gt;=40,$BW124&lt;=400),"PASS","FAIL")</f>
        <v>PASS</v>
      </c>
    </row>
    <row r="125" spans="1:78">
      <c r="A125" t="s">
        <v>279</v>
      </c>
      <c r="B125">
        <v>18960582.556212999</v>
      </c>
      <c r="C125">
        <v>634.44823391832597</v>
      </c>
      <c r="D125">
        <v>149.14958101226799</v>
      </c>
      <c r="E125">
        <v>520.38377569771103</v>
      </c>
      <c r="F125">
        <v>2467301.6327637699</v>
      </c>
      <c r="G125">
        <v>1775044.0267545299</v>
      </c>
      <c r="H125">
        <v>2.5972810943896E-5</v>
      </c>
      <c r="I125">
        <v>5.9480773118925399E-5</v>
      </c>
      <c r="J125">
        <v>0.43661798563056398</v>
      </c>
      <c r="K125">
        <v>16063.580349286</v>
      </c>
      <c r="L125">
        <v>1.6624879026359001E-3</v>
      </c>
      <c r="M125">
        <v>210</v>
      </c>
      <c r="N125">
        <v>2739.5846000000001</v>
      </c>
      <c r="O125">
        <v>2.8502295699234199E-6</v>
      </c>
      <c r="P125">
        <v>5.98473400508856E-3</v>
      </c>
      <c r="Q125">
        <v>1.905E-3</v>
      </c>
      <c r="R125">
        <v>0.15240000000000001</v>
      </c>
      <c r="S125">
        <v>4970690.91796875</v>
      </c>
      <c r="T125">
        <v>516.17931085542295</v>
      </c>
      <c r="U125">
        <v>552.32359862259602</v>
      </c>
      <c r="V125">
        <v>0.03</v>
      </c>
      <c r="W125">
        <v>87741.103374116501</v>
      </c>
      <c r="X125">
        <v>2.4689257625448699E-2</v>
      </c>
      <c r="Y125">
        <v>6.3642317268426796</v>
      </c>
      <c r="Z125">
        <v>6.3642317508062201</v>
      </c>
      <c r="AA125">
        <v>-2.3963539597105001E-8</v>
      </c>
      <c r="AB125">
        <v>4.4820429169196396E-6</v>
      </c>
      <c r="AC125">
        <v>754.92457190287303</v>
      </c>
      <c r="AD125">
        <v>2437.1492054158398</v>
      </c>
      <c r="AE125">
        <v>552.32359862259602</v>
      </c>
      <c r="AF125">
        <v>0</v>
      </c>
      <c r="AG125">
        <v>4.6327584548578201E-6</v>
      </c>
      <c r="AH125">
        <v>44.510628749939897</v>
      </c>
      <c r="AI125">
        <v>0.29246236703598</v>
      </c>
      <c r="AJ125">
        <v>11.8537780442417</v>
      </c>
      <c r="AK125">
        <v>6.7407432510522298</v>
      </c>
      <c r="AL125">
        <v>2.1883527698787102</v>
      </c>
      <c r="AM125">
        <v>634.448233843666</v>
      </c>
      <c r="AN125">
        <v>7.4660420068539706E-8</v>
      </c>
      <c r="AO125">
        <v>1.5071553793817801E-7</v>
      </c>
      <c r="AP125">
        <v>2.0211407240824202</v>
      </c>
      <c r="AQ125">
        <v>2.2058282266061999E-5</v>
      </c>
      <c r="AR125">
        <v>2.3917369963979999E-6</v>
      </c>
      <c r="AS125">
        <v>6.1197059531076601</v>
      </c>
      <c r="AT125">
        <v>6.0075702424605701</v>
      </c>
      <c r="AU125">
        <v>1.7569882132449399</v>
      </c>
      <c r="AV125">
        <v>0.26415251083748598</v>
      </c>
      <c r="AW125">
        <v>4.42020619519202E-3</v>
      </c>
      <c r="AX125">
        <v>0.26415250194312101</v>
      </c>
      <c r="AY125">
        <v>8.8943656328943599E-9</v>
      </c>
      <c r="AZ125">
        <v>692257.60600924003</v>
      </c>
      <c r="BA125">
        <v>1.09137785425981E-5</v>
      </c>
      <c r="BB125">
        <v>4974785.67330781</v>
      </c>
      <c r="BC125">
        <v>4094.7553390562498</v>
      </c>
      <c r="BD125">
        <v>8.2377991442878898E-2</v>
      </c>
      <c r="BE125">
        <v>4574155.5</v>
      </c>
      <c r="BF125">
        <v>1.0875856042296299</v>
      </c>
      <c r="BG125">
        <v>1</v>
      </c>
      <c r="BH125">
        <v>-0.26700000000000002</v>
      </c>
      <c r="BI125">
        <v>4.5999999999999999E-2</v>
      </c>
      <c r="BJ125">
        <v>5625</v>
      </c>
      <c r="BK125">
        <v>1.01548033342054</v>
      </c>
      <c r="BL125">
        <v>118.268923062903</v>
      </c>
      <c r="BM125">
        <v>4.9747856733078102</v>
      </c>
      <c r="BN125">
        <v>118.268923062903</v>
      </c>
      <c r="BO125">
        <v>1.01548033342054</v>
      </c>
      <c r="BP125">
        <v>6126.0243174266298</v>
      </c>
      <c r="BQ125">
        <v>1</v>
      </c>
      <c r="BR125">
        <v>0.15240000000000001</v>
      </c>
      <c r="BS125">
        <v>124</v>
      </c>
      <c r="BT125">
        <v>211</v>
      </c>
      <c r="BU125" t="s">
        <v>304</v>
      </c>
      <c r="BV125" t="str">
        <f>"Table "&amp;TRIM(RIGHT(SUBSTITUTE($A125,"_",REPT(" ",50)),50))</f>
        <v>Table 14</v>
      </c>
      <c r="BW125">
        <f>$BR125/$Q125</f>
        <v>80</v>
      </c>
      <c r="BX125" t="str">
        <f>IF($BW125&lt;40,"outside_low",IF($BW125&lt;=100,"short_anchor",IF($BW125&lt;250,"middle",IF($BW125&lt;=400,"long","outside_high"))))</f>
        <v>short_anchor</v>
      </c>
      <c r="BY125" t="str">
        <f>IF($N125&gt;1000,"PASS","FAIL")</f>
        <v>PASS</v>
      </c>
      <c r="BZ125" t="str">
        <f>IF(AND($BW125&gt;=40,$BW125&lt;=400),"PASS","FAIL")</f>
        <v>PASS</v>
      </c>
    </row>
    <row r="126" spans="1:78">
      <c r="A126" t="s">
        <v>280</v>
      </c>
      <c r="B126">
        <v>18960582.556212999</v>
      </c>
      <c r="C126">
        <v>634.44823391832597</v>
      </c>
      <c r="D126">
        <v>149.14958101226799</v>
      </c>
      <c r="E126">
        <v>520.38377569771103</v>
      </c>
      <c r="F126">
        <v>2467301.6327637699</v>
      </c>
      <c r="G126">
        <v>1775044.0267545299</v>
      </c>
      <c r="H126">
        <v>2.5972810943896E-5</v>
      </c>
      <c r="I126">
        <v>5.9480773118925399E-5</v>
      </c>
      <c r="J126">
        <v>0.43661798563056398</v>
      </c>
      <c r="K126">
        <v>16063.580349286</v>
      </c>
      <c r="L126">
        <v>1.6624879026359001E-3</v>
      </c>
      <c r="M126">
        <v>211</v>
      </c>
      <c r="N126">
        <v>2766.7091999999998</v>
      </c>
      <c r="O126">
        <v>2.8502295699234199E-6</v>
      </c>
      <c r="P126">
        <v>5.98473400508856E-3</v>
      </c>
      <c r="Q126">
        <v>1.905E-3</v>
      </c>
      <c r="R126">
        <v>0.15240000000000001</v>
      </c>
      <c r="S126">
        <v>4993933.10546875</v>
      </c>
      <c r="T126">
        <v>516.17931085542295</v>
      </c>
      <c r="U126">
        <v>552.13659108680599</v>
      </c>
      <c r="V126">
        <v>0.03</v>
      </c>
      <c r="W126">
        <v>88609.8271698998</v>
      </c>
      <c r="X126">
        <v>2.4596942564935501E-2</v>
      </c>
      <c r="Y126">
        <v>6.3761633767970602</v>
      </c>
      <c r="Z126">
        <v>6.3761633963344897</v>
      </c>
      <c r="AA126">
        <v>-1.95374338929355E-8</v>
      </c>
      <c r="AB126">
        <v>4.4110839093320403E-6</v>
      </c>
      <c r="AC126">
        <v>754.21995850784106</v>
      </c>
      <c r="AD126">
        <v>2456.67362836139</v>
      </c>
      <c r="AE126">
        <v>552.13659265288004</v>
      </c>
      <c r="AF126">
        <v>1.56607325152436E-6</v>
      </c>
      <c r="AG126">
        <v>4.5612322902433903E-6</v>
      </c>
      <c r="AH126">
        <v>45.226650051759599</v>
      </c>
      <c r="AI126">
        <v>0.294805333538392</v>
      </c>
      <c r="AJ126">
        <v>11.764261501597201</v>
      </c>
      <c r="AK126">
        <v>6.7198247764419001</v>
      </c>
      <c r="AL126">
        <v>2.1883527698787102</v>
      </c>
      <c r="AM126">
        <v>634.44823378099898</v>
      </c>
      <c r="AN126">
        <v>1.3732710613112399E-7</v>
      </c>
      <c r="AO126">
        <v>1.5014838091135301E-7</v>
      </c>
      <c r="AP126">
        <v>2.0260625727162802</v>
      </c>
      <c r="AQ126">
        <v>2.1951241488450398E-5</v>
      </c>
      <c r="AR126">
        <v>2.3556903355773702E-6</v>
      </c>
      <c r="AS126">
        <v>6.0757609700773996</v>
      </c>
      <c r="AT126">
        <v>5.9715362197304698</v>
      </c>
      <c r="AU126">
        <v>1.7604407269942299</v>
      </c>
      <c r="AV126">
        <v>0.265621845722054</v>
      </c>
      <c r="AW126">
        <v>4.3502261769821603E-3</v>
      </c>
      <c r="AX126">
        <v>0.265621835307294</v>
      </c>
      <c r="AY126">
        <v>1.04147601098781E-8</v>
      </c>
      <c r="AZ126">
        <v>692257.60600924003</v>
      </c>
      <c r="BA126">
        <v>1.0834434130541699E-5</v>
      </c>
      <c r="BB126">
        <v>4992360.1037208196</v>
      </c>
      <c r="BC126">
        <v>-1573.0017479267001</v>
      </c>
      <c r="BD126">
        <v>-3.1498254275856001E-2</v>
      </c>
      <c r="BE126">
        <v>4479517.8</v>
      </c>
      <c r="BF126">
        <v>1.11448605109256</v>
      </c>
      <c r="BG126">
        <v>1</v>
      </c>
      <c r="BH126">
        <v>-0.28999999999999998</v>
      </c>
      <c r="BI126">
        <v>4.5999999999999999E-2</v>
      </c>
      <c r="BJ126">
        <v>5625</v>
      </c>
      <c r="BK126">
        <v>1.01548033342054</v>
      </c>
      <c r="BL126">
        <v>118.268923062903</v>
      </c>
      <c r="BM126">
        <v>4.9923601037208201</v>
      </c>
      <c r="BN126">
        <v>118.268923062903</v>
      </c>
      <c r="BO126">
        <v>1.01548033342054</v>
      </c>
      <c r="BP126">
        <v>6126.0243174266298</v>
      </c>
      <c r="BQ126">
        <v>1</v>
      </c>
      <c r="BR126">
        <v>0.15240000000000001</v>
      </c>
      <c r="BS126">
        <v>125</v>
      </c>
      <c r="BT126">
        <v>212</v>
      </c>
      <c r="BU126" t="s">
        <v>304</v>
      </c>
      <c r="BV126" t="str">
        <f>"Table "&amp;TRIM(RIGHT(SUBSTITUTE($A126,"_",REPT(" ",50)),50))</f>
        <v>Table 14</v>
      </c>
      <c r="BW126">
        <f>$BR126/$Q126</f>
        <v>80</v>
      </c>
      <c r="BX126" t="str">
        <f>IF($BW126&lt;40,"outside_low",IF($BW126&lt;=100,"short_anchor",IF($BW126&lt;250,"middle",IF($BW126&lt;=400,"long","outside_high"))))</f>
        <v>short_anchor</v>
      </c>
      <c r="BY126" t="str">
        <f>IF($N126&gt;1000,"PASS","FAIL")</f>
        <v>PASS</v>
      </c>
      <c r="BZ126" t="str">
        <f>IF(AND($BW126&gt;=40,$BW126&lt;=400),"PASS","FAIL")</f>
        <v>PASS</v>
      </c>
    </row>
    <row r="127" spans="1:78">
      <c r="A127" t="s">
        <v>281</v>
      </c>
      <c r="B127">
        <v>18960582.556212999</v>
      </c>
      <c r="C127">
        <v>634.44823391832597</v>
      </c>
      <c r="D127">
        <v>149.14958101226799</v>
      </c>
      <c r="E127">
        <v>520.38377569771103</v>
      </c>
      <c r="F127">
        <v>2467301.6327637699</v>
      </c>
      <c r="G127">
        <v>1775044.0267545299</v>
      </c>
      <c r="H127">
        <v>2.5972810943896E-5</v>
      </c>
      <c r="I127">
        <v>5.9480773118925399E-5</v>
      </c>
      <c r="J127">
        <v>0.43661798563056398</v>
      </c>
      <c r="K127">
        <v>16063.580349286</v>
      </c>
      <c r="L127">
        <v>1.6624879026359001E-3</v>
      </c>
      <c r="M127">
        <v>212</v>
      </c>
      <c r="N127">
        <v>3377.0127000000002</v>
      </c>
      <c r="O127">
        <v>2.8502295699234199E-6</v>
      </c>
      <c r="P127">
        <v>5.98473400508856E-3</v>
      </c>
      <c r="Q127">
        <v>1.905E-3</v>
      </c>
      <c r="R127">
        <v>0.15240000000000001</v>
      </c>
      <c r="S127">
        <v>4731005.859375</v>
      </c>
      <c r="T127">
        <v>558.46565244536998</v>
      </c>
      <c r="U127">
        <v>586.37363355857497</v>
      </c>
      <c r="V127">
        <v>0.03</v>
      </c>
      <c r="W127">
        <v>108156.11257502501</v>
      </c>
      <c r="X127">
        <v>2.2842853749086001E-2</v>
      </c>
      <c r="Y127">
        <v>6.6164467317851301</v>
      </c>
      <c r="Z127">
        <v>6.6164467598196204</v>
      </c>
      <c r="AA127">
        <v>-2.8034487620232101E-8</v>
      </c>
      <c r="AB127">
        <v>3.1881425212607502E-6</v>
      </c>
      <c r="AC127">
        <v>715.03770121848095</v>
      </c>
      <c r="AD127">
        <v>2889.6900303443399</v>
      </c>
      <c r="AE127">
        <v>586.37363355857599</v>
      </c>
      <c r="AF127">
        <v>0</v>
      </c>
      <c r="AG127">
        <v>3.3139356947343799E-6</v>
      </c>
      <c r="AH127">
        <v>62.575166256186201</v>
      </c>
      <c r="AI127">
        <v>0.34676809462331698</v>
      </c>
      <c r="AJ127">
        <v>10.05380255987</v>
      </c>
      <c r="AK127">
        <v>4.8038323844938802</v>
      </c>
      <c r="AL127">
        <v>2.1883527698787102</v>
      </c>
      <c r="AM127">
        <v>634.44823423390699</v>
      </c>
      <c r="AN127">
        <v>-3.1558079172100401E-7</v>
      </c>
      <c r="AO127">
        <v>1.2579317347363E-7</v>
      </c>
      <c r="AP127">
        <v>2.1071788156791902</v>
      </c>
      <c r="AQ127">
        <v>2.0293736281311501E-5</v>
      </c>
      <c r="AR127">
        <v>1.7198644341040099E-6</v>
      </c>
      <c r="AS127">
        <v>5.2177166496316598</v>
      </c>
      <c r="AT127">
        <v>5.2102994137739804</v>
      </c>
      <c r="AU127">
        <v>1.8067656001313901</v>
      </c>
      <c r="AV127">
        <v>0.30041321554780898</v>
      </c>
      <c r="AW127">
        <v>3.1441571588781202E-3</v>
      </c>
      <c r="AX127">
        <v>0.30041321375761998</v>
      </c>
      <c r="AY127">
        <v>1.7901889415305999E-9</v>
      </c>
      <c r="AZ127">
        <v>692257.60600924003</v>
      </c>
      <c r="BA127">
        <v>9.6307613432276903E-6</v>
      </c>
      <c r="BB127">
        <v>4705306.6987573998</v>
      </c>
      <c r="BC127">
        <v>-25699.160617603</v>
      </c>
      <c r="BD127">
        <v>-0.54320711877110295</v>
      </c>
      <c r="BE127">
        <v>4258696.5</v>
      </c>
      <c r="BF127">
        <v>1.1048701636186999</v>
      </c>
      <c r="BG127">
        <v>1</v>
      </c>
      <c r="BH127">
        <v>-0.161</v>
      </c>
      <c r="BI127">
        <v>4.5999999999999999E-2</v>
      </c>
      <c r="BJ127">
        <v>5625</v>
      </c>
      <c r="BK127">
        <v>1.03654207365804</v>
      </c>
      <c r="BL127">
        <v>75.982581472955999</v>
      </c>
      <c r="BM127">
        <v>4.7053066987573997</v>
      </c>
      <c r="BN127">
        <v>75.982581472955999</v>
      </c>
      <c r="BO127">
        <v>1.03654207365804</v>
      </c>
      <c r="BP127">
        <v>1294.7461694579199</v>
      </c>
      <c r="BQ127">
        <v>1</v>
      </c>
      <c r="BR127">
        <v>0.15240000000000001</v>
      </c>
      <c r="BS127">
        <v>126</v>
      </c>
      <c r="BT127">
        <v>213</v>
      </c>
      <c r="BU127" t="s">
        <v>304</v>
      </c>
      <c r="BV127" t="str">
        <f>"Table "&amp;TRIM(RIGHT(SUBSTITUTE($A127,"_",REPT(" ",50)),50))</f>
        <v>Table 14</v>
      </c>
      <c r="BW127">
        <f>$BR127/$Q127</f>
        <v>80</v>
      </c>
      <c r="BX127" t="str">
        <f>IF($BW127&lt;40,"outside_low",IF($BW127&lt;=100,"short_anchor",IF($BW127&lt;250,"middle",IF($BW127&lt;=400,"long","outside_high"))))</f>
        <v>short_anchor</v>
      </c>
      <c r="BY127" t="str">
        <f>IF($N127&gt;1000,"PASS","FAIL")</f>
        <v>PASS</v>
      </c>
      <c r="BZ127" t="str">
        <f>IF(AND($BW127&gt;=40,$BW127&lt;=400),"PASS","FAIL")</f>
        <v>PASS</v>
      </c>
    </row>
    <row r="128" spans="1:78">
      <c r="A128" t="s">
        <v>282</v>
      </c>
      <c r="B128">
        <v>18960582.556212999</v>
      </c>
      <c r="C128">
        <v>634.44823391832597</v>
      </c>
      <c r="D128">
        <v>149.14958101226799</v>
      </c>
      <c r="E128">
        <v>520.38377569771103</v>
      </c>
      <c r="F128">
        <v>2467301.6327637699</v>
      </c>
      <c r="G128">
        <v>1775044.0267545299</v>
      </c>
      <c r="H128">
        <v>2.5972810943896E-5</v>
      </c>
      <c r="I128">
        <v>5.9480773118925399E-5</v>
      </c>
      <c r="J128">
        <v>0.43661798563056398</v>
      </c>
      <c r="K128">
        <v>16063.580349286</v>
      </c>
      <c r="L128">
        <v>1.6624879026359001E-3</v>
      </c>
      <c r="M128">
        <v>213</v>
      </c>
      <c r="N128">
        <v>3458.3865000000001</v>
      </c>
      <c r="O128">
        <v>2.8502295699234199E-6</v>
      </c>
      <c r="P128">
        <v>5.98473400508856E-3</v>
      </c>
      <c r="Q128">
        <v>1.905E-3</v>
      </c>
      <c r="R128">
        <v>0.15240000000000001</v>
      </c>
      <c r="S128">
        <v>4873364.2578125</v>
      </c>
      <c r="T128">
        <v>553.48995463629501</v>
      </c>
      <c r="U128">
        <v>581.56128368087195</v>
      </c>
      <c r="V128">
        <v>0.03</v>
      </c>
      <c r="W128">
        <v>110762.283962375</v>
      </c>
      <c r="X128">
        <v>2.2647019765432101E-2</v>
      </c>
      <c r="Y128">
        <v>6.6449921225727904</v>
      </c>
      <c r="Z128">
        <v>6.6449921260745999</v>
      </c>
      <c r="AA128">
        <v>-3.5018077326753899E-9</v>
      </c>
      <c r="AB128">
        <v>3.0661638644763198E-6</v>
      </c>
      <c r="AC128">
        <v>716.97177521950596</v>
      </c>
      <c r="AD128">
        <v>2946.6085378586199</v>
      </c>
      <c r="AE128">
        <v>581.56128489052105</v>
      </c>
      <c r="AF128">
        <v>1.20964921279665E-6</v>
      </c>
      <c r="AG128">
        <v>3.19409369485065E-6</v>
      </c>
      <c r="AH128">
        <v>65.064542253478393</v>
      </c>
      <c r="AI128">
        <v>0.353598419742021</v>
      </c>
      <c r="AJ128">
        <v>9.8810958025903801</v>
      </c>
      <c r="AK128">
        <v>4.9542854726448704</v>
      </c>
      <c r="AL128">
        <v>2.1883527698787102</v>
      </c>
      <c r="AM128">
        <v>634.44823401175904</v>
      </c>
      <c r="AN128">
        <v>-9.3433072834159195E-8</v>
      </c>
      <c r="AO128">
        <v>1.27929830374337E-7</v>
      </c>
      <c r="AP128">
        <v>2.1197887148715702</v>
      </c>
      <c r="AQ128">
        <v>2.0053013392052701E-5</v>
      </c>
      <c r="AR128">
        <v>1.6610117626125001E-6</v>
      </c>
      <c r="AS128">
        <v>5.1384267099187202</v>
      </c>
      <c r="AT128">
        <v>5.1337347252413199</v>
      </c>
      <c r="AU128">
        <v>1.81528048622007</v>
      </c>
      <c r="AV128">
        <v>0.30450822865150001</v>
      </c>
      <c r="AW128">
        <v>3.0238613865274399E-3</v>
      </c>
      <c r="AX128">
        <v>0.30450822681623202</v>
      </c>
      <c r="AY128">
        <v>1.8352672714883099E-9</v>
      </c>
      <c r="AZ128">
        <v>692257.60600924003</v>
      </c>
      <c r="BA128">
        <v>9.4599113823792893E-6</v>
      </c>
      <c r="BB128">
        <v>4871651.8034949396</v>
      </c>
      <c r="BC128">
        <v>-1712.4543175604199</v>
      </c>
      <c r="BD128">
        <v>-3.5139058501838398E-2</v>
      </c>
      <c r="BE128">
        <v>4668793.2</v>
      </c>
      <c r="BF128">
        <v>1.0434499012496301</v>
      </c>
      <c r="BG128">
        <v>1</v>
      </c>
      <c r="BH128">
        <v>-0.156</v>
      </c>
      <c r="BI128">
        <v>4.5999999999999999E-2</v>
      </c>
      <c r="BJ128">
        <v>5625</v>
      </c>
      <c r="BK128">
        <v>1.03413778508881</v>
      </c>
      <c r="BL128">
        <v>80.958279282031</v>
      </c>
      <c r="BM128">
        <v>4.8716518034949399</v>
      </c>
      <c r="BN128">
        <v>80.958279282031</v>
      </c>
      <c r="BO128">
        <v>1.03413778508881</v>
      </c>
      <c r="BP128">
        <v>1677.58064174485</v>
      </c>
      <c r="BQ128">
        <v>1</v>
      </c>
      <c r="BR128">
        <v>0.15240000000000001</v>
      </c>
      <c r="BS128">
        <v>127</v>
      </c>
      <c r="BT128">
        <v>214</v>
      </c>
      <c r="BU128" t="s">
        <v>304</v>
      </c>
      <c r="BV128" t="str">
        <f>"Table "&amp;TRIM(RIGHT(SUBSTITUTE($A128,"_",REPT(" ",50)),50))</f>
        <v>Table 14</v>
      </c>
      <c r="BW128">
        <f>$BR128/$Q128</f>
        <v>80</v>
      </c>
      <c r="BX128" t="str">
        <f>IF($BW128&lt;40,"outside_low",IF($BW128&lt;=100,"short_anchor",IF($BW128&lt;250,"middle",IF($BW128&lt;=400,"long","outside_high"))))</f>
        <v>short_anchor</v>
      </c>
      <c r="BY128" t="str">
        <f>IF($N128&gt;1000,"PASS","FAIL")</f>
        <v>PASS</v>
      </c>
      <c r="BZ128" t="str">
        <f>IF(AND($BW128&gt;=40,$BW128&lt;=400),"PASS","FAIL")</f>
        <v>PASS</v>
      </c>
    </row>
    <row r="129" spans="1:78">
      <c r="A129" t="s">
        <v>283</v>
      </c>
      <c r="B129">
        <v>18960582.556212999</v>
      </c>
      <c r="C129">
        <v>634.44823391832597</v>
      </c>
      <c r="D129">
        <v>149.14958101226799</v>
      </c>
      <c r="E129">
        <v>520.38377569771103</v>
      </c>
      <c r="F129">
        <v>2467301.6327637699</v>
      </c>
      <c r="G129">
        <v>1775044.0267545299</v>
      </c>
      <c r="H129">
        <v>2.5972810943896E-5</v>
      </c>
      <c r="I129">
        <v>5.9480773118925399E-5</v>
      </c>
      <c r="J129">
        <v>0.43661798563056398</v>
      </c>
      <c r="K129">
        <v>16063.580349286</v>
      </c>
      <c r="L129">
        <v>1.6624879026359001E-3</v>
      </c>
      <c r="M129">
        <v>214</v>
      </c>
      <c r="N129">
        <v>3485.5111000000002</v>
      </c>
      <c r="O129">
        <v>2.8502295699234199E-6</v>
      </c>
      <c r="P129">
        <v>5.98473400508856E-3</v>
      </c>
      <c r="Q129">
        <v>1.905E-3</v>
      </c>
      <c r="R129">
        <v>0.15240000000000001</v>
      </c>
      <c r="S129">
        <v>4912585.44921875</v>
      </c>
      <c r="T129">
        <v>552.32824485842298</v>
      </c>
      <c r="U129">
        <v>580.40528195330899</v>
      </c>
      <c r="V129">
        <v>0.03</v>
      </c>
      <c r="W129">
        <v>111631.007758158</v>
      </c>
      <c r="X129">
        <v>2.25833669063405E-2</v>
      </c>
      <c r="Y129">
        <v>6.6543502294361199</v>
      </c>
      <c r="Z129">
        <v>6.6543502370940999</v>
      </c>
      <c r="AA129">
        <v>-7.6579791397079994E-9</v>
      </c>
      <c r="AB129">
        <v>3.0271353797416399E-6</v>
      </c>
      <c r="AC129">
        <v>717.29518062681598</v>
      </c>
      <c r="AD129">
        <v>2965.54283494523</v>
      </c>
      <c r="AE129">
        <v>580.40528195330899</v>
      </c>
      <c r="AF129">
        <v>0</v>
      </c>
      <c r="AG129">
        <v>3.15630907419011E-6</v>
      </c>
      <c r="AH129">
        <v>65.903411407168306</v>
      </c>
      <c r="AI129">
        <v>0.35587057006084599</v>
      </c>
      <c r="AJ129">
        <v>9.8269498790940606</v>
      </c>
      <c r="AK129">
        <v>4.9850507012520202</v>
      </c>
      <c r="AL129">
        <v>2.1883527698787102</v>
      </c>
      <c r="AM129">
        <v>634.44823413601</v>
      </c>
      <c r="AN129">
        <v>-2.1768380520370601E-7</v>
      </c>
      <c r="AO129">
        <v>1.2917369444847E-7</v>
      </c>
      <c r="AP129">
        <v>2.1244537411920899</v>
      </c>
      <c r="AQ129">
        <v>1.9965042424288701E-5</v>
      </c>
      <c r="AR129">
        <v>1.6427413843192901E-6</v>
      </c>
      <c r="AS129">
        <v>5.1145616188305301</v>
      </c>
      <c r="AT129">
        <v>5.1104584535611801</v>
      </c>
      <c r="AU129">
        <v>1.81866176314109</v>
      </c>
      <c r="AV129">
        <v>0.305791978050999</v>
      </c>
      <c r="AW129">
        <v>2.9853713601687201E-3</v>
      </c>
      <c r="AX129">
        <v>0.305791976252898</v>
      </c>
      <c r="AY129">
        <v>1.7981006128486899E-9</v>
      </c>
      <c r="AZ129">
        <v>692257.60600924003</v>
      </c>
      <c r="BA129">
        <v>9.3977298903603401E-6</v>
      </c>
      <c r="BB129">
        <v>4951566.3909877799</v>
      </c>
      <c r="BC129">
        <v>38980.941769030898</v>
      </c>
      <c r="BD129">
        <v>0.79349137377814005</v>
      </c>
      <c r="BE129">
        <v>4542609.5999999996</v>
      </c>
      <c r="BF129">
        <v>1.09002684073661</v>
      </c>
      <c r="BG129">
        <v>1</v>
      </c>
      <c r="BH129">
        <v>-0.186</v>
      </c>
      <c r="BI129">
        <v>4.5999999999999999E-2</v>
      </c>
      <c r="BJ129">
        <v>5625</v>
      </c>
      <c r="BK129">
        <v>1.0335570508341301</v>
      </c>
      <c r="BL129">
        <v>82.119989059903006</v>
      </c>
      <c r="BM129">
        <v>4.9515663909877796</v>
      </c>
      <c r="BN129">
        <v>82.119989059903006</v>
      </c>
      <c r="BO129">
        <v>1.0335570508341301</v>
      </c>
      <c r="BP129">
        <v>1774.09347840635</v>
      </c>
      <c r="BQ129">
        <v>1</v>
      </c>
      <c r="BR129">
        <v>0.15240000000000001</v>
      </c>
      <c r="BS129">
        <v>128</v>
      </c>
      <c r="BT129">
        <v>215</v>
      </c>
      <c r="BU129" t="s">
        <v>304</v>
      </c>
      <c r="BV129" t="str">
        <f>"Table "&amp;TRIM(RIGHT(SUBSTITUTE($A129,"_",REPT(" ",50)),50))</f>
        <v>Table 14</v>
      </c>
      <c r="BW129">
        <f>$BR129/$Q129</f>
        <v>80</v>
      </c>
      <c r="BX129" t="str">
        <f>IF($BW129&lt;40,"outside_low",IF($BW129&lt;=100,"short_anchor",IF($BW129&lt;250,"middle",IF($BW129&lt;=400,"long","outside_high"))))</f>
        <v>short_anchor</v>
      </c>
      <c r="BY129" t="str">
        <f>IF($N129&gt;1000,"PASS","FAIL")</f>
        <v>PASS</v>
      </c>
      <c r="BZ129" t="str">
        <f>IF(AND($BW129&gt;=40,$BW129&lt;=400),"PASS","FAIL")</f>
        <v>PASS</v>
      </c>
    </row>
    <row r="130" spans="1:78">
      <c r="A130" t="s">
        <v>284</v>
      </c>
      <c r="B130">
        <v>18960582.556212999</v>
      </c>
      <c r="C130">
        <v>634.44823391832597</v>
      </c>
      <c r="D130">
        <v>149.14958101226799</v>
      </c>
      <c r="E130">
        <v>520.38377569771103</v>
      </c>
      <c r="F130">
        <v>2467301.6327637699</v>
      </c>
      <c r="G130">
        <v>1775044.0267545299</v>
      </c>
      <c r="H130">
        <v>2.5972810943896E-5</v>
      </c>
      <c r="I130">
        <v>5.9480773118925399E-5</v>
      </c>
      <c r="J130">
        <v>0.43661798563056398</v>
      </c>
      <c r="K130">
        <v>16063.580349286</v>
      </c>
      <c r="L130">
        <v>1.6624879026359001E-3</v>
      </c>
      <c r="M130">
        <v>215</v>
      </c>
      <c r="N130">
        <v>3499.0734000000002</v>
      </c>
      <c r="O130">
        <v>2.8502295699234199E-6</v>
      </c>
      <c r="P130">
        <v>5.98473400508856E-3</v>
      </c>
      <c r="Q130">
        <v>1.905E-3</v>
      </c>
      <c r="R130">
        <v>0.15240000000000001</v>
      </c>
      <c r="S130">
        <v>4948901.3671875</v>
      </c>
      <c r="T130">
        <v>550.74250143598601</v>
      </c>
      <c r="U130">
        <v>578.91746570197495</v>
      </c>
      <c r="V130">
        <v>0.03</v>
      </c>
      <c r="W130">
        <v>112065.36965605</v>
      </c>
      <c r="X130">
        <v>2.2551835812529699E-2</v>
      </c>
      <c r="Y130">
        <v>6.65900053050576</v>
      </c>
      <c r="Z130">
        <v>6.6590005392263896</v>
      </c>
      <c r="AA130">
        <v>-8.7206322163524402E-9</v>
      </c>
      <c r="AB130">
        <v>3.0079143673425098E-6</v>
      </c>
      <c r="AC130">
        <v>718.03069640098295</v>
      </c>
      <c r="AD130">
        <v>2975.0028723136102</v>
      </c>
      <c r="AE130">
        <v>578.91746570197495</v>
      </c>
      <c r="AF130">
        <v>0</v>
      </c>
      <c r="AG130">
        <v>3.1368741028243899E-6</v>
      </c>
      <c r="AH130">
        <v>66.324543837517894</v>
      </c>
      <c r="AI130">
        <v>0.35700579186624798</v>
      </c>
      <c r="AJ130">
        <v>9.7975952398831794</v>
      </c>
      <c r="AK130">
        <v>5.0355742754407</v>
      </c>
      <c r="AL130">
        <v>2.1883527698787102</v>
      </c>
      <c r="AM130">
        <v>634.44823423742605</v>
      </c>
      <c r="AN130">
        <v>-3.19099626722164E-7</v>
      </c>
      <c r="AO130">
        <v>1.2895973548188499E-7</v>
      </c>
      <c r="AP130">
        <v>2.1259871388374001</v>
      </c>
      <c r="AQ130">
        <v>1.9936252684246001E-5</v>
      </c>
      <c r="AR130">
        <v>1.6329169191531401E-6</v>
      </c>
      <c r="AS130">
        <v>5.1001916270132002</v>
      </c>
      <c r="AT130">
        <v>5.0963905647427703</v>
      </c>
      <c r="AU130">
        <v>1.81944094922567</v>
      </c>
      <c r="AV130">
        <v>0.30654618961173502</v>
      </c>
      <c r="AW130">
        <v>2.9664155313961298E-3</v>
      </c>
      <c r="AX130">
        <v>0.30654618782444198</v>
      </c>
      <c r="AY130">
        <v>1.78729303579317E-9</v>
      </c>
      <c r="AZ130">
        <v>692257.60600924003</v>
      </c>
      <c r="BA130">
        <v>9.3774098253238594E-6</v>
      </c>
      <c r="BB130">
        <v>4954076.6420345902</v>
      </c>
      <c r="BC130">
        <v>5175.2748470911802</v>
      </c>
      <c r="BD130">
        <v>0.104574216843451</v>
      </c>
      <c r="BE130">
        <v>4542609.5999999996</v>
      </c>
      <c r="BF130">
        <v>1.0905794418332999</v>
      </c>
      <c r="BG130">
        <v>1</v>
      </c>
      <c r="BH130">
        <v>-0.19900000000000001</v>
      </c>
      <c r="BI130">
        <v>4.5999999999999999E-2</v>
      </c>
      <c r="BJ130">
        <v>5625</v>
      </c>
      <c r="BK130">
        <v>1.03275487729941</v>
      </c>
      <c r="BL130">
        <v>83.705732482339997</v>
      </c>
      <c r="BM130">
        <v>4.9540766420345896</v>
      </c>
      <c r="BN130">
        <v>83.705732482339997</v>
      </c>
      <c r="BO130">
        <v>1.03275487729941</v>
      </c>
      <c r="BP130">
        <v>1910.1910518178699</v>
      </c>
      <c r="BQ130">
        <v>1</v>
      </c>
      <c r="BR130">
        <v>0.15240000000000001</v>
      </c>
      <c r="BS130">
        <v>129</v>
      </c>
      <c r="BT130">
        <v>216</v>
      </c>
      <c r="BU130" t="s">
        <v>304</v>
      </c>
      <c r="BV130" t="str">
        <f>"Table "&amp;TRIM(RIGHT(SUBSTITUTE($A130,"_",REPT(" ",50)),50))</f>
        <v>Table 14</v>
      </c>
      <c r="BW130">
        <f>$BR130/$Q130</f>
        <v>80</v>
      </c>
      <c r="BX130" t="str">
        <f>IF($BW130&lt;40,"outside_low",IF($BW130&lt;=100,"short_anchor",IF($BW130&lt;250,"middle",IF($BW130&lt;=400,"long","outside_high"))))</f>
        <v>short_anchor</v>
      </c>
      <c r="BY130" t="str">
        <f>IF($N130&gt;1000,"PASS","FAIL")</f>
        <v>PASS</v>
      </c>
      <c r="BZ130" t="str">
        <f>IF(AND($BW130&gt;=40,$BW130&lt;=400),"PASS","FAIL")</f>
        <v>PASS</v>
      </c>
    </row>
    <row r="131" spans="1:78">
      <c r="A131" t="s">
        <v>285</v>
      </c>
      <c r="B131">
        <v>18960582.556212999</v>
      </c>
      <c r="C131">
        <v>634.44823391832597</v>
      </c>
      <c r="D131">
        <v>149.14958101226799</v>
      </c>
      <c r="E131">
        <v>520.38377569771103</v>
      </c>
      <c r="F131">
        <v>2467301.6327637699</v>
      </c>
      <c r="G131">
        <v>1775044.0267545299</v>
      </c>
      <c r="H131">
        <v>2.5972810943896E-5</v>
      </c>
      <c r="I131">
        <v>5.9480773118925399E-5</v>
      </c>
      <c r="J131">
        <v>0.43661798563056398</v>
      </c>
      <c r="K131">
        <v>16063.580349286</v>
      </c>
      <c r="L131">
        <v>1.6624879026359001E-3</v>
      </c>
      <c r="M131">
        <v>216</v>
      </c>
      <c r="N131">
        <v>1939.4088999999999</v>
      </c>
      <c r="O131">
        <v>2.8502295699234199E-6</v>
      </c>
      <c r="P131">
        <v>5.98473400508856E-3</v>
      </c>
      <c r="Q131">
        <v>1.905E-3</v>
      </c>
      <c r="R131">
        <v>0.69596000000000002</v>
      </c>
      <c r="S131">
        <v>4757805.95703125</v>
      </c>
      <c r="T131">
        <v>299.02073658241198</v>
      </c>
      <c r="U131">
        <v>522.19508849638601</v>
      </c>
      <c r="V131">
        <v>0.03</v>
      </c>
      <c r="W131">
        <v>62113.751398508197</v>
      </c>
      <c r="X131">
        <v>2.83092601952524E-2</v>
      </c>
      <c r="Y131">
        <v>5.9434106746186597</v>
      </c>
      <c r="Z131">
        <v>5.9434106924163803</v>
      </c>
      <c r="AA131">
        <v>-1.7797724183310499E-8</v>
      </c>
      <c r="AB131">
        <v>7.7998488366138193E-6</v>
      </c>
      <c r="AC131">
        <v>824.76653417045497</v>
      </c>
      <c r="AD131">
        <v>1847.46844965574</v>
      </c>
      <c r="AE131">
        <v>522.19508849638601</v>
      </c>
      <c r="AF131">
        <v>0</v>
      </c>
      <c r="AG131">
        <v>7.9907660087481395E-6</v>
      </c>
      <c r="AH131">
        <v>25.577232648385198</v>
      </c>
      <c r="AI131">
        <v>0.22169959664756</v>
      </c>
      <c r="AJ131">
        <v>15.4988851335892</v>
      </c>
      <c r="AK131">
        <v>9.7343649639911796</v>
      </c>
      <c r="AL131">
        <v>2.1883527698787102</v>
      </c>
      <c r="AM131">
        <v>634.44823391337502</v>
      </c>
      <c r="AN131">
        <v>4.9511754696140997E-9</v>
      </c>
      <c r="AO131">
        <v>1.9091717213432201E-7</v>
      </c>
      <c r="AP131">
        <v>1.8397545141304701</v>
      </c>
      <c r="AQ131">
        <v>2.6622267381288199E-5</v>
      </c>
      <c r="AR131">
        <v>4.0908415904412298E-6</v>
      </c>
      <c r="AS131">
        <v>7.9345939851755398</v>
      </c>
      <c r="AT131">
        <v>7.3061609253977204</v>
      </c>
      <c r="AU131">
        <v>1.6197729302028401</v>
      </c>
      <c r="AV131">
        <v>0.219981583927637</v>
      </c>
      <c r="AW131">
        <v>7.6922378451602397E-3</v>
      </c>
      <c r="AX131">
        <v>0.21998157970625301</v>
      </c>
      <c r="AY131">
        <v>4.2213841311422601E-9</v>
      </c>
      <c r="AZ131">
        <v>692257.60600924003</v>
      </c>
      <c r="BA131">
        <v>1.4470554183622E-5</v>
      </c>
      <c r="BB131">
        <v>4752819.4125141297</v>
      </c>
      <c r="BC131">
        <v>-4986.5445171184801</v>
      </c>
      <c r="BD131">
        <v>-0.104807647940101</v>
      </c>
      <c r="BE131">
        <v>2082029.4</v>
      </c>
      <c r="BF131">
        <v>2.2827820839197202</v>
      </c>
      <c r="BG131">
        <v>1</v>
      </c>
      <c r="BH131">
        <v>-0.113</v>
      </c>
      <c r="BI131">
        <v>4.5999999999999999E-2</v>
      </c>
      <c r="BJ131">
        <v>5625</v>
      </c>
      <c r="BK131">
        <v>1.00000000839947</v>
      </c>
      <c r="BL131">
        <v>335.42749733591398</v>
      </c>
      <c r="BM131">
        <v>4.7528194125141301</v>
      </c>
      <c r="BN131">
        <v>335.42749733591398</v>
      </c>
      <c r="BO131">
        <v>1.00000000839947</v>
      </c>
      <c r="BP131">
        <v>87277.406182161503</v>
      </c>
      <c r="BQ131">
        <v>1</v>
      </c>
      <c r="BR131">
        <v>0.69596000000000002</v>
      </c>
      <c r="BS131">
        <v>130</v>
      </c>
      <c r="BT131">
        <v>217</v>
      </c>
      <c r="BU131" t="s">
        <v>304</v>
      </c>
      <c r="BV131" t="str">
        <f>"Table "&amp;TRIM(RIGHT(SUBSTITUTE($A131,"_",REPT(" ",50)),50))</f>
        <v>Table 14</v>
      </c>
      <c r="BW131">
        <f>$BR131/$Q131</f>
        <v>365.33333333333337</v>
      </c>
      <c r="BX131" t="str">
        <f>IF($BW131&lt;40,"outside_low",IF($BW131&lt;=100,"short_anchor",IF($BW131&lt;250,"middle",IF($BW131&lt;=400,"long","outside_high"))))</f>
        <v>long</v>
      </c>
      <c r="BY131" t="str">
        <f>IF($N131&gt;1000,"PASS","FAIL")</f>
        <v>PASS</v>
      </c>
      <c r="BZ131" t="str">
        <f>IF(AND($BW131&gt;=40,$BW131&lt;=400),"PASS","FAIL")</f>
        <v>PASS</v>
      </c>
    </row>
    <row r="132" spans="1:78">
      <c r="A132" t="s">
        <v>286</v>
      </c>
      <c r="B132">
        <v>18960582.556212999</v>
      </c>
      <c r="C132">
        <v>634.44823391832597</v>
      </c>
      <c r="D132">
        <v>149.14958101226799</v>
      </c>
      <c r="E132">
        <v>520.38377569771103</v>
      </c>
      <c r="F132">
        <v>2467301.6327637699</v>
      </c>
      <c r="G132">
        <v>1775044.0267545299</v>
      </c>
      <c r="H132">
        <v>2.5972810943896E-5</v>
      </c>
      <c r="I132">
        <v>5.9480773118925399E-5</v>
      </c>
      <c r="J132">
        <v>0.43661798563056398</v>
      </c>
      <c r="K132">
        <v>16063.580349286</v>
      </c>
      <c r="L132">
        <v>1.6624879026359001E-3</v>
      </c>
      <c r="M132">
        <v>217</v>
      </c>
      <c r="N132">
        <v>1980.0958000000001</v>
      </c>
      <c r="O132">
        <v>2.8502295699234199E-6</v>
      </c>
      <c r="P132">
        <v>5.98473400508856E-3</v>
      </c>
      <c r="Q132">
        <v>1.905E-3</v>
      </c>
      <c r="R132">
        <v>0.69596000000000002</v>
      </c>
      <c r="S132">
        <v>4869246.34765625</v>
      </c>
      <c r="T132">
        <v>296.26172292177802</v>
      </c>
      <c r="U132">
        <v>519.97022270798595</v>
      </c>
      <c r="V132">
        <v>0.03</v>
      </c>
      <c r="W132">
        <v>63416.837092183203</v>
      </c>
      <c r="X132">
        <v>2.8068795115359198E-2</v>
      </c>
      <c r="Y132">
        <v>5.9688149502597696</v>
      </c>
      <c r="Z132">
        <v>5.96881496562143</v>
      </c>
      <c r="AA132">
        <v>-1.5361651506395901E-8</v>
      </c>
      <c r="AB132">
        <v>7.5467037009651301E-6</v>
      </c>
      <c r="AC132">
        <v>825.31096821103699</v>
      </c>
      <c r="AD132">
        <v>1878.19843314684</v>
      </c>
      <c r="AE132">
        <v>519.97022270798595</v>
      </c>
      <c r="AF132">
        <v>0</v>
      </c>
      <c r="AG132">
        <v>7.7373690447171698E-6</v>
      </c>
      <c r="AH132">
        <v>26.435190279273101</v>
      </c>
      <c r="AI132">
        <v>0.22538725093265999</v>
      </c>
      <c r="AJ132">
        <v>15.2570230094138</v>
      </c>
      <c r="AK132">
        <v>9.8101323771631694</v>
      </c>
      <c r="AL132">
        <v>2.1883527698787102</v>
      </c>
      <c r="AM132">
        <v>634.44823380953005</v>
      </c>
      <c r="AN132">
        <v>1.08795688902319E-7</v>
      </c>
      <c r="AO132">
        <v>1.90665343752041E-7</v>
      </c>
      <c r="AP132">
        <v>1.8519802753051</v>
      </c>
      <c r="AQ132">
        <v>2.6271936251885101E-5</v>
      </c>
      <c r="AR132">
        <v>3.9640171942346103E-6</v>
      </c>
      <c r="AS132">
        <v>7.8164943655417902</v>
      </c>
      <c r="AT132">
        <v>7.2311808159670097</v>
      </c>
      <c r="AU132">
        <v>1.6298159651077999</v>
      </c>
      <c r="AV132">
        <v>0.22216431019730601</v>
      </c>
      <c r="AW132">
        <v>7.4425852386104403E-3</v>
      </c>
      <c r="AX132">
        <v>0.222164303908058</v>
      </c>
      <c r="AY132">
        <v>6.28924856638235E-9</v>
      </c>
      <c r="AZ132">
        <v>692257.60600924003</v>
      </c>
      <c r="BA132">
        <v>1.41858618054433E-5</v>
      </c>
      <c r="BB132">
        <v>4841807.5132353101</v>
      </c>
      <c r="BC132">
        <v>-27438.834420937099</v>
      </c>
      <c r="BD132">
        <v>-0.56351296405745499</v>
      </c>
      <c r="BE132">
        <v>2082029.4</v>
      </c>
      <c r="BF132">
        <v>2.3255231233695901</v>
      </c>
      <c r="BG132">
        <v>1</v>
      </c>
      <c r="BH132">
        <v>-0.17599999999999999</v>
      </c>
      <c r="BI132">
        <v>4.5999999999999999E-2</v>
      </c>
      <c r="BJ132">
        <v>5625</v>
      </c>
      <c r="BK132">
        <v>1.0000000062777199</v>
      </c>
      <c r="BL132">
        <v>338.18651099654801</v>
      </c>
      <c r="BM132">
        <v>4.8418075132353096</v>
      </c>
      <c r="BN132">
        <v>338.18651099654801</v>
      </c>
      <c r="BO132">
        <v>1.0000000062777199</v>
      </c>
      <c r="BP132">
        <v>88915.195340294405</v>
      </c>
      <c r="BQ132">
        <v>1</v>
      </c>
      <c r="BR132">
        <v>0.69596000000000002</v>
      </c>
      <c r="BS132">
        <v>131</v>
      </c>
      <c r="BT132">
        <v>218</v>
      </c>
      <c r="BU132" t="s">
        <v>304</v>
      </c>
      <c r="BV132" t="str">
        <f>"Table "&amp;TRIM(RIGHT(SUBSTITUTE($A132,"_",REPT(" ",50)),50))</f>
        <v>Table 14</v>
      </c>
      <c r="BW132">
        <f>$BR132/$Q132</f>
        <v>365.33333333333337</v>
      </c>
      <c r="BX132" t="str">
        <f>IF($BW132&lt;40,"outside_low",IF($BW132&lt;=100,"short_anchor",IF($BW132&lt;250,"middle",IF($BW132&lt;=400,"long","outside_high"))))</f>
        <v>long</v>
      </c>
      <c r="BY132" t="str">
        <f>IF($N132&gt;1000,"PASS","FAIL")</f>
        <v>PASS</v>
      </c>
      <c r="BZ132" t="str">
        <f>IF(AND($BW132&gt;=40,$BW132&lt;=400),"PASS","FAIL")</f>
        <v>PASS</v>
      </c>
    </row>
    <row r="133" spans="1:78">
      <c r="A133" t="s">
        <v>287</v>
      </c>
      <c r="B133">
        <v>18960582.556212999</v>
      </c>
      <c r="C133">
        <v>634.44823391832597</v>
      </c>
      <c r="D133">
        <v>149.14958101226799</v>
      </c>
      <c r="E133">
        <v>520.38377569771103</v>
      </c>
      <c r="F133">
        <v>2467301.6327637699</v>
      </c>
      <c r="G133">
        <v>1775044.0267545299</v>
      </c>
      <c r="H133">
        <v>2.5972810943896E-5</v>
      </c>
      <c r="I133">
        <v>5.9480773118925399E-5</v>
      </c>
      <c r="J133">
        <v>0.43661798563056398</v>
      </c>
      <c r="K133">
        <v>16063.580349286</v>
      </c>
      <c r="L133">
        <v>1.6624879026359001E-3</v>
      </c>
      <c r="M133">
        <v>218</v>
      </c>
      <c r="N133">
        <v>2183.5302999999999</v>
      </c>
      <c r="O133">
        <v>2.8502295699234199E-6</v>
      </c>
      <c r="P133">
        <v>5.98473400508856E-3</v>
      </c>
      <c r="Q133">
        <v>1.905E-3</v>
      </c>
      <c r="R133">
        <v>0.69596000000000002</v>
      </c>
      <c r="S133">
        <v>5206018.06640625</v>
      </c>
      <c r="T133">
        <v>297.89465084985301</v>
      </c>
      <c r="U133">
        <v>514.79157281219204</v>
      </c>
      <c r="V133">
        <v>0.03</v>
      </c>
      <c r="W133">
        <v>69932.265560558197</v>
      </c>
      <c r="X133">
        <v>2.6977699453061801E-2</v>
      </c>
      <c r="Y133">
        <v>6.0883210266442198</v>
      </c>
      <c r="Z133">
        <v>6.0883210344052801</v>
      </c>
      <c r="AA133">
        <v>-7.7610655679904994E-9</v>
      </c>
      <c r="AB133">
        <v>6.4569900462768704E-6</v>
      </c>
      <c r="AC133">
        <v>818.92667097828996</v>
      </c>
      <c r="AD133">
        <v>2030.5096834251899</v>
      </c>
      <c r="AE133">
        <v>514.79157500145902</v>
      </c>
      <c r="AF133">
        <v>2.1892666381973001E-6</v>
      </c>
      <c r="AG133">
        <v>6.64490275395862E-6</v>
      </c>
      <c r="AH133">
        <v>30.896524059432299</v>
      </c>
      <c r="AI133">
        <v>0.24366487984582999</v>
      </c>
      <c r="AJ133">
        <v>14.165395682238</v>
      </c>
      <c r="AK133">
        <v>9.7092053180152593</v>
      </c>
      <c r="AL133">
        <v>2.1883527698787102</v>
      </c>
      <c r="AM133">
        <v>634.44823397229902</v>
      </c>
      <c r="AN133">
        <v>-5.39735083293635E-8</v>
      </c>
      <c r="AO133">
        <v>1.8791270768175601E-7</v>
      </c>
      <c r="AP133">
        <v>1.9088775339966599</v>
      </c>
      <c r="AQ133">
        <v>2.4729120000877399E-5</v>
      </c>
      <c r="AR133">
        <v>3.4164077308201899E-6</v>
      </c>
      <c r="AS133">
        <v>7.2829910550751498</v>
      </c>
      <c r="AT133">
        <v>6.8777081852133897</v>
      </c>
      <c r="AU133">
        <v>1.6758559385647001</v>
      </c>
      <c r="AV133">
        <v>0.233021595431957</v>
      </c>
      <c r="AW133">
        <v>6.3679058710266996E-3</v>
      </c>
      <c r="AX133">
        <v>0.23302159011141099</v>
      </c>
      <c r="AY133">
        <v>5.3205458649951997E-9</v>
      </c>
      <c r="AZ133">
        <v>692257.60600924003</v>
      </c>
      <c r="BA133">
        <v>1.2954796502372501E-5</v>
      </c>
      <c r="BB133">
        <v>5225369.8981934097</v>
      </c>
      <c r="BC133">
        <v>19351.8317871615</v>
      </c>
      <c r="BD133">
        <v>0.371720411652744</v>
      </c>
      <c r="BE133">
        <v>2397488.4</v>
      </c>
      <c r="BF133">
        <v>2.1795183235061399</v>
      </c>
      <c r="BG133">
        <v>1</v>
      </c>
      <c r="BH133">
        <v>-6.9000000000000006E-2</v>
      </c>
      <c r="BI133">
        <v>4.5999999999999999E-2</v>
      </c>
      <c r="BJ133">
        <v>5625</v>
      </c>
      <c r="BK133">
        <v>1.00000000746077</v>
      </c>
      <c r="BL133">
        <v>336.55358306847302</v>
      </c>
      <c r="BM133">
        <v>5.22536989819341</v>
      </c>
      <c r="BN133">
        <v>336.55358306847302</v>
      </c>
      <c r="BO133">
        <v>1.00000000746077</v>
      </c>
      <c r="BP133">
        <v>87944.027630749697</v>
      </c>
      <c r="BQ133">
        <v>1</v>
      </c>
      <c r="BR133">
        <v>0.69596000000000002</v>
      </c>
      <c r="BS133">
        <v>132</v>
      </c>
      <c r="BT133">
        <v>219</v>
      </c>
      <c r="BU133" t="s">
        <v>304</v>
      </c>
      <c r="BV133" t="str">
        <f>"Table "&amp;TRIM(RIGHT(SUBSTITUTE($A133,"_",REPT(" ",50)),50))</f>
        <v>Table 14</v>
      </c>
      <c r="BW133">
        <f>$BR133/$Q133</f>
        <v>365.33333333333337</v>
      </c>
      <c r="BX133" t="str">
        <f>IF($BW133&lt;40,"outside_low",IF($BW133&lt;=100,"short_anchor",IF($BW133&lt;250,"middle",IF($BW133&lt;=400,"long","outside_high"))))</f>
        <v>long</v>
      </c>
      <c r="BY133" t="str">
        <f>IF($N133&gt;1000,"PASS","FAIL")</f>
        <v>PASS</v>
      </c>
      <c r="BZ133" t="str">
        <f>IF(AND($BW133&gt;=40,$BW133&lt;=400),"PASS","FAIL")</f>
        <v>PASS</v>
      </c>
    </row>
    <row r="134" spans="1:78">
      <c r="A134" t="s">
        <v>288</v>
      </c>
      <c r="B134">
        <v>18960582.556212999</v>
      </c>
      <c r="C134">
        <v>634.44823391832597</v>
      </c>
      <c r="D134">
        <v>149.14958101226799</v>
      </c>
      <c r="E134">
        <v>520.38377569771103</v>
      </c>
      <c r="F134">
        <v>2467301.6327637699</v>
      </c>
      <c r="G134">
        <v>1775044.0267545299</v>
      </c>
      <c r="H134">
        <v>2.5972810943896E-5</v>
      </c>
      <c r="I134">
        <v>5.9480773118925399E-5</v>
      </c>
      <c r="J134">
        <v>0.43661798563056398</v>
      </c>
      <c r="K134">
        <v>16063.580349286</v>
      </c>
      <c r="L134">
        <v>1.6624879026359001E-3</v>
      </c>
      <c r="M134">
        <v>219</v>
      </c>
      <c r="N134">
        <v>2237.7795000000001</v>
      </c>
      <c r="O134">
        <v>2.8502295699234199E-6</v>
      </c>
      <c r="P134">
        <v>5.98473400508856E-3</v>
      </c>
      <c r="Q134">
        <v>1.905E-3</v>
      </c>
      <c r="R134">
        <v>0.69596000000000002</v>
      </c>
      <c r="S134">
        <v>5308802.63671875</v>
      </c>
      <c r="T134">
        <v>297.33158579482898</v>
      </c>
      <c r="U134">
        <v>513.14887331007901</v>
      </c>
      <c r="V134">
        <v>0.03</v>
      </c>
      <c r="W134">
        <v>71669.713152124794</v>
      </c>
      <c r="X134">
        <v>2.6714291734591802E-2</v>
      </c>
      <c r="Y134">
        <v>6.1182633683354597</v>
      </c>
      <c r="Z134">
        <v>6.11826337149511</v>
      </c>
      <c r="AA134">
        <v>-3.1596503191622101E-9</v>
      </c>
      <c r="AB134">
        <v>6.2083362143430397E-6</v>
      </c>
      <c r="AC134">
        <v>817.88575038792499</v>
      </c>
      <c r="AD134">
        <v>2070.7730741799401</v>
      </c>
      <c r="AE134">
        <v>513.14887331007901</v>
      </c>
      <c r="AF134">
        <v>0</v>
      </c>
      <c r="AG134">
        <v>6.3966371299477301E-6</v>
      </c>
      <c r="AH134">
        <v>32.133979447731797</v>
      </c>
      <c r="AI134">
        <v>0.248496560458105</v>
      </c>
      <c r="AJ134">
        <v>13.9065448125936</v>
      </c>
      <c r="AK134">
        <v>9.7128660529817008</v>
      </c>
      <c r="AL134">
        <v>2.1883527698787102</v>
      </c>
      <c r="AM134">
        <v>634.44823382026902</v>
      </c>
      <c r="AN134">
        <v>9.8057398645323701E-8</v>
      </c>
      <c r="AO134">
        <v>1.8830091560469401E-7</v>
      </c>
      <c r="AP134">
        <v>1.9234169597370501</v>
      </c>
      <c r="AQ134">
        <v>2.4356670060905201E-5</v>
      </c>
      <c r="AR134">
        <v>3.2924690227762099E-6</v>
      </c>
      <c r="AS134">
        <v>7.1579592650252204</v>
      </c>
      <c r="AT134">
        <v>6.7911246074786797</v>
      </c>
      <c r="AU134">
        <v>1.6875711066008501</v>
      </c>
      <c r="AV134">
        <v>0.23584585313620199</v>
      </c>
      <c r="AW134">
        <v>6.1226826037029799E-3</v>
      </c>
      <c r="AX134">
        <v>0.235845846039551</v>
      </c>
      <c r="AY134">
        <v>7.0966511833692197E-9</v>
      </c>
      <c r="AZ134">
        <v>692257.60600924003</v>
      </c>
      <c r="BA134">
        <v>1.2663229331322399E-5</v>
      </c>
      <c r="BB134">
        <v>5356726.1385847097</v>
      </c>
      <c r="BC134">
        <v>47923.501865956903</v>
      </c>
      <c r="BD134">
        <v>0.90271771518666499</v>
      </c>
      <c r="BE134">
        <v>2397488.4</v>
      </c>
      <c r="BF134">
        <v>2.2343074271327898</v>
      </c>
      <c r="BG134">
        <v>1</v>
      </c>
      <c r="BH134">
        <v>-0.128</v>
      </c>
      <c r="BI134">
        <v>4.5999999999999999E-2</v>
      </c>
      <c r="BJ134">
        <v>5625</v>
      </c>
      <c r="BK134">
        <v>1.0000000070303099</v>
      </c>
      <c r="BL134">
        <v>337.11664812349699</v>
      </c>
      <c r="BM134">
        <v>5.35672613858471</v>
      </c>
      <c r="BN134">
        <v>337.11664812349699</v>
      </c>
      <c r="BO134">
        <v>1.0000000070303099</v>
      </c>
      <c r="BP134">
        <v>88278.302592141903</v>
      </c>
      <c r="BQ134">
        <v>1</v>
      </c>
      <c r="BR134">
        <v>0.69596000000000002</v>
      </c>
      <c r="BS134">
        <v>133</v>
      </c>
      <c r="BT134">
        <v>220</v>
      </c>
      <c r="BU134" t="s">
        <v>304</v>
      </c>
      <c r="BV134" t="str">
        <f>"Table "&amp;TRIM(RIGHT(SUBSTITUTE($A134,"_",REPT(" ",50)),50))</f>
        <v>Table 14</v>
      </c>
      <c r="BW134">
        <f>$BR134/$Q134</f>
        <v>365.33333333333337</v>
      </c>
      <c r="BX134" t="str">
        <f>IF($BW134&lt;40,"outside_low",IF($BW134&lt;=100,"short_anchor",IF($BW134&lt;250,"middle",IF($BW134&lt;=400,"long","outside_high"))))</f>
        <v>long</v>
      </c>
      <c r="BY134" t="str">
        <f>IF($N134&gt;1000,"PASS","FAIL")</f>
        <v>PASS</v>
      </c>
      <c r="BZ134" t="str">
        <f>IF(AND($BW134&gt;=40,$BW134&lt;=400),"PASS","FAIL")</f>
        <v>PASS</v>
      </c>
    </row>
    <row r="135" spans="1:78">
      <c r="A135" t="s">
        <v>289</v>
      </c>
      <c r="B135">
        <v>18960582.556212999</v>
      </c>
      <c r="C135">
        <v>634.44823391832597</v>
      </c>
      <c r="D135">
        <v>149.14958101226799</v>
      </c>
      <c r="E135">
        <v>520.38377569771103</v>
      </c>
      <c r="F135">
        <v>2467301.6327637699</v>
      </c>
      <c r="G135">
        <v>1775044.0267545299</v>
      </c>
      <c r="H135">
        <v>2.5972810943896E-5</v>
      </c>
      <c r="I135">
        <v>5.9480773118925399E-5</v>
      </c>
      <c r="J135">
        <v>0.43661798563056398</v>
      </c>
      <c r="K135">
        <v>16063.580349286</v>
      </c>
      <c r="L135">
        <v>1.6624879026359001E-3</v>
      </c>
      <c r="M135">
        <v>220</v>
      </c>
      <c r="N135">
        <v>2793.8337999999999</v>
      </c>
      <c r="O135">
        <v>2.8502295699234199E-6</v>
      </c>
      <c r="P135">
        <v>5.98473400508856E-3</v>
      </c>
      <c r="Q135">
        <v>1.905E-3</v>
      </c>
      <c r="R135">
        <v>0.69596000000000002</v>
      </c>
      <c r="S135">
        <v>6217053.22265625</v>
      </c>
      <c r="T135">
        <v>298.45770121924102</v>
      </c>
      <c r="U135">
        <v>500.89519821428598</v>
      </c>
      <c r="V135">
        <v>0.03</v>
      </c>
      <c r="W135">
        <v>89478.550965683098</v>
      </c>
      <c r="X135">
        <v>2.45060735861381E-2</v>
      </c>
      <c r="Y135">
        <v>6.3879739049883204</v>
      </c>
      <c r="Z135">
        <v>6.3879739206029802</v>
      </c>
      <c r="AA135">
        <v>-1.5614659787388499E-8</v>
      </c>
      <c r="AB135">
        <v>4.3418879052211302E-6</v>
      </c>
      <c r="AC135">
        <v>804.34668302558498</v>
      </c>
      <c r="AD135">
        <v>2476.1720656518701</v>
      </c>
      <c r="AE135">
        <v>500.89519821428598</v>
      </c>
      <c r="AF135">
        <v>0</v>
      </c>
      <c r="AG135">
        <v>4.5237365262028603E-6</v>
      </c>
      <c r="AH135">
        <v>45.947420263063499</v>
      </c>
      <c r="AI135">
        <v>0.29714518171461501</v>
      </c>
      <c r="AJ135">
        <v>11.760157499792699</v>
      </c>
      <c r="AK135">
        <v>9.5334112903946906</v>
      </c>
      <c r="AL135">
        <v>2.1883527698787102</v>
      </c>
      <c r="AM135">
        <v>634.44823377511102</v>
      </c>
      <c r="AN135">
        <v>1.43214833769889E-7</v>
      </c>
      <c r="AO135">
        <v>1.8184862098172799E-7</v>
      </c>
      <c r="AP135">
        <v>2.04905578663758</v>
      </c>
      <c r="AQ135">
        <v>2.1461359547889901E-5</v>
      </c>
      <c r="AR135">
        <v>2.3527925735922901E-6</v>
      </c>
      <c r="AS135">
        <v>6.1164506530209</v>
      </c>
      <c r="AT135">
        <v>6.0049098481322298</v>
      </c>
      <c r="AU135">
        <v>1.78433002800313</v>
      </c>
      <c r="AV135">
        <v>0.26472575863444497</v>
      </c>
      <c r="AW135">
        <v>4.2819848388863302E-3</v>
      </c>
      <c r="AX135">
        <v>0.26472575808780702</v>
      </c>
      <c r="AY135">
        <v>5.4663817916633703E-10</v>
      </c>
      <c r="AZ135">
        <v>692257.60600924003</v>
      </c>
      <c r="BA135">
        <v>1.04737800150903E-5</v>
      </c>
      <c r="BB135">
        <v>6254578.5052590799</v>
      </c>
      <c r="BC135">
        <v>37525.282602828003</v>
      </c>
      <c r="BD135">
        <v>0.60358631748684399</v>
      </c>
      <c r="BE135">
        <v>2996860.5</v>
      </c>
      <c r="BF135">
        <v>2.0870435928729698</v>
      </c>
      <c r="BG135">
        <v>1</v>
      </c>
      <c r="BH135">
        <v>-0.11899999999999999</v>
      </c>
      <c r="BI135">
        <v>4.5999999999999999E-2</v>
      </c>
      <c r="BJ135">
        <v>5625</v>
      </c>
      <c r="BK135">
        <v>1.00000000791667</v>
      </c>
      <c r="BL135">
        <v>335.99053269908501</v>
      </c>
      <c r="BM135">
        <v>6.2545785052590803</v>
      </c>
      <c r="BN135">
        <v>335.99053269908501</v>
      </c>
      <c r="BO135">
        <v>1.00000000791667</v>
      </c>
      <c r="BP135">
        <v>87610.395447488103</v>
      </c>
      <c r="BQ135">
        <v>1</v>
      </c>
      <c r="BR135">
        <v>0.69596000000000002</v>
      </c>
      <c r="BS135">
        <v>134</v>
      </c>
      <c r="BT135">
        <v>221</v>
      </c>
      <c r="BU135" t="s">
        <v>304</v>
      </c>
      <c r="BV135" t="str">
        <f>"Table "&amp;TRIM(RIGHT(SUBSTITUTE($A135,"_",REPT(" ",50)),50))</f>
        <v>Table 14</v>
      </c>
      <c r="BW135">
        <f>$BR135/$Q135</f>
        <v>365.33333333333337</v>
      </c>
      <c r="BX135" t="str">
        <f>IF($BW135&lt;40,"outside_low",IF($BW135&lt;=100,"short_anchor",IF($BW135&lt;250,"middle",IF($BW135&lt;=400,"long","outside_high"))))</f>
        <v>long</v>
      </c>
      <c r="BY135" t="str">
        <f>IF($N135&gt;1000,"PASS","FAIL")</f>
        <v>PASS</v>
      </c>
      <c r="BZ135" t="str">
        <f>IF(AND($BW135&gt;=40,$BW135&lt;=400),"PASS","FAIL")</f>
        <v>PASS</v>
      </c>
    </row>
    <row r="136" spans="1:78">
      <c r="A136" t="s">
        <v>290</v>
      </c>
      <c r="B136">
        <v>18960582.556212999</v>
      </c>
      <c r="C136">
        <v>634.44823391832597</v>
      </c>
      <c r="D136">
        <v>149.14958101226799</v>
      </c>
      <c r="E136">
        <v>520.38377569771103</v>
      </c>
      <c r="F136">
        <v>2467301.6327637699</v>
      </c>
      <c r="G136">
        <v>1775044.0267545299</v>
      </c>
      <c r="H136">
        <v>2.5972810943896E-5</v>
      </c>
      <c r="I136">
        <v>5.9480773118925399E-5</v>
      </c>
      <c r="J136">
        <v>0.43661798563056398</v>
      </c>
      <c r="K136">
        <v>16063.580349286</v>
      </c>
      <c r="L136">
        <v>1.6624879026359001E-3</v>
      </c>
      <c r="M136">
        <v>221</v>
      </c>
      <c r="N136">
        <v>2861.6453000000001</v>
      </c>
      <c r="O136">
        <v>2.8502295699234199E-6</v>
      </c>
      <c r="P136">
        <v>5.98473400508856E-3</v>
      </c>
      <c r="Q136">
        <v>1.905E-3</v>
      </c>
      <c r="R136">
        <v>0.69596000000000002</v>
      </c>
      <c r="S136">
        <v>6336169.43359375</v>
      </c>
      <c r="T136">
        <v>297.89465084985301</v>
      </c>
      <c r="U136">
        <v>499.32176043104198</v>
      </c>
      <c r="V136">
        <v>0.03</v>
      </c>
      <c r="W136">
        <v>91650.360455141403</v>
      </c>
      <c r="X136">
        <v>2.4284988303401998E-2</v>
      </c>
      <c r="Y136">
        <v>6.4169853926356204</v>
      </c>
      <c r="Z136">
        <v>6.4169854006844904</v>
      </c>
      <c r="AA136">
        <v>-8.0488700149317099E-9</v>
      </c>
      <c r="AB136">
        <v>4.1762257979177299E-6</v>
      </c>
      <c r="AC136">
        <v>803.22430810619505</v>
      </c>
      <c r="AD136">
        <v>2524.8067203953901</v>
      </c>
      <c r="AE136">
        <v>499.32176246328498</v>
      </c>
      <c r="AF136">
        <v>2.0322430032138102E-6</v>
      </c>
      <c r="AG136">
        <v>4.3579954949598802E-6</v>
      </c>
      <c r="AH136">
        <v>47.770057935032703</v>
      </c>
      <c r="AI136">
        <v>0.30298142933320998</v>
      </c>
      <c r="AJ136">
        <v>11.551807152889801</v>
      </c>
      <c r="AK136">
        <v>9.5327603657751894</v>
      </c>
      <c r="AL136">
        <v>2.1883527698787102</v>
      </c>
      <c r="AM136">
        <v>634.44823371085499</v>
      </c>
      <c r="AN136">
        <v>2.07470748136984E-7</v>
      </c>
      <c r="AO136">
        <v>1.8176969704215001E-7</v>
      </c>
      <c r="AP136">
        <v>2.0626423369883198</v>
      </c>
      <c r="AQ136">
        <v>2.1179560319597302E-5</v>
      </c>
      <c r="AR136">
        <v>2.2698825960010101E-6</v>
      </c>
      <c r="AS136">
        <v>6.0168134728523901</v>
      </c>
      <c r="AT136">
        <v>5.9227889786658601</v>
      </c>
      <c r="AU136">
        <v>1.7944950703951701</v>
      </c>
      <c r="AV136">
        <v>0.26814726659315202</v>
      </c>
      <c r="AW136">
        <v>4.1186082968530501E-3</v>
      </c>
      <c r="AX136">
        <v>0.26814726585485299</v>
      </c>
      <c r="AY136">
        <v>7.3829964364335896E-10</v>
      </c>
      <c r="AZ136">
        <v>692257.60600924003</v>
      </c>
      <c r="BA136">
        <v>1.02681691051304E-5</v>
      </c>
      <c r="BB136">
        <v>6377051.9505705303</v>
      </c>
      <c r="BC136">
        <v>40882.516976779298</v>
      </c>
      <c r="BD136">
        <v>0.64522449099962897</v>
      </c>
      <c r="BE136">
        <v>2776039.2</v>
      </c>
      <c r="BF136">
        <v>2.29717647739648</v>
      </c>
      <c r="BG136">
        <v>1</v>
      </c>
      <c r="BH136">
        <v>-0.33800000000000002</v>
      </c>
      <c r="BI136">
        <v>4.5999999999999999E-2</v>
      </c>
      <c r="BJ136">
        <v>5625</v>
      </c>
      <c r="BK136">
        <v>1.00000000746077</v>
      </c>
      <c r="BL136">
        <v>336.55358306847302</v>
      </c>
      <c r="BM136">
        <v>6.3770519505705296</v>
      </c>
      <c r="BN136">
        <v>336.55358306847302</v>
      </c>
      <c r="BO136">
        <v>1.00000000746077</v>
      </c>
      <c r="BP136">
        <v>87944.027630749697</v>
      </c>
      <c r="BQ136">
        <v>1</v>
      </c>
      <c r="BR136">
        <v>0.69596000000000002</v>
      </c>
      <c r="BS136">
        <v>135</v>
      </c>
      <c r="BT136">
        <v>222</v>
      </c>
      <c r="BU136" t="s">
        <v>304</v>
      </c>
      <c r="BV136" t="str">
        <f>"Table "&amp;TRIM(RIGHT(SUBSTITUTE($A136,"_",REPT(" ",50)),50))</f>
        <v>Table 14</v>
      </c>
      <c r="BW136">
        <f>$BR136/$Q136</f>
        <v>365.33333333333337</v>
      </c>
      <c r="BX136" t="str">
        <f>IF($BW136&lt;40,"outside_low",IF($BW136&lt;=100,"short_anchor",IF($BW136&lt;250,"middle",IF($BW136&lt;=400,"long","outside_high"))))</f>
        <v>long</v>
      </c>
      <c r="BY136" t="str">
        <f>IF($N136&gt;1000,"PASS","FAIL")</f>
        <v>PASS</v>
      </c>
      <c r="BZ136" t="str">
        <f>IF(AND($BW136&gt;=40,$BW136&lt;=400),"PASS","FAIL")</f>
        <v>PASS</v>
      </c>
    </row>
    <row r="137" spans="1:78">
      <c r="A137" t="s">
        <v>291</v>
      </c>
      <c r="B137">
        <v>18960582.556212999</v>
      </c>
      <c r="C137">
        <v>634.44823391832597</v>
      </c>
      <c r="D137">
        <v>149.14958101226799</v>
      </c>
      <c r="E137">
        <v>520.38377569771103</v>
      </c>
      <c r="F137">
        <v>2467301.6327637699</v>
      </c>
      <c r="G137">
        <v>1775044.0267545299</v>
      </c>
      <c r="H137">
        <v>2.5972810943896E-5</v>
      </c>
      <c r="I137">
        <v>5.9480773118925399E-5</v>
      </c>
      <c r="J137">
        <v>0.43661798563056398</v>
      </c>
      <c r="K137">
        <v>16063.580349286</v>
      </c>
      <c r="L137">
        <v>1.6624879026359001E-3</v>
      </c>
      <c r="M137">
        <v>222</v>
      </c>
      <c r="N137">
        <v>3471.9488000000001</v>
      </c>
      <c r="O137">
        <v>2.8502295699234199E-6</v>
      </c>
      <c r="P137">
        <v>5.98473400508856E-3</v>
      </c>
      <c r="Q137">
        <v>1.905E-3</v>
      </c>
      <c r="R137">
        <v>0.69596000000000002</v>
      </c>
      <c r="S137">
        <v>7260546.38671875</v>
      </c>
      <c r="T137">
        <v>299.02073658241198</v>
      </c>
      <c r="U137">
        <v>489.261216608371</v>
      </c>
      <c r="V137">
        <v>0.03</v>
      </c>
      <c r="W137">
        <v>111196.645860266</v>
      </c>
      <c r="X137">
        <v>2.2615094215070301E-2</v>
      </c>
      <c r="Y137">
        <v>6.6496808099286699</v>
      </c>
      <c r="Z137">
        <v>6.6496808158942198</v>
      </c>
      <c r="AA137">
        <v>-5.9655480555420598E-9</v>
      </c>
      <c r="AB137">
        <v>3.0465509744099398E-6</v>
      </c>
      <c r="AC137">
        <v>790.92049267315599</v>
      </c>
      <c r="AD137">
        <v>2956.0780652656899</v>
      </c>
      <c r="AE137">
        <v>489.26121851757603</v>
      </c>
      <c r="AF137">
        <v>1.9092048546554001E-6</v>
      </c>
      <c r="AG137">
        <v>3.2244119592290202E-6</v>
      </c>
      <c r="AH137">
        <v>65.483410582009796</v>
      </c>
      <c r="AI137">
        <v>0.354734780369442</v>
      </c>
      <c r="AJ137">
        <v>10.006943271451201</v>
      </c>
      <c r="AK137">
        <v>9.3449473760680508</v>
      </c>
      <c r="AL137">
        <v>2.1883527698787102</v>
      </c>
      <c r="AM137">
        <v>634.44823399622805</v>
      </c>
      <c r="AN137">
        <v>-7.7901859185658395E-8</v>
      </c>
      <c r="AO137">
        <v>1.7786098481908099E-7</v>
      </c>
      <c r="AP137">
        <v>2.1678555348558701</v>
      </c>
      <c r="AQ137">
        <v>1.9173620190371401E-5</v>
      </c>
      <c r="AR137">
        <v>1.7011364720240501E-6</v>
      </c>
      <c r="AS137">
        <v>5.2794668881614299</v>
      </c>
      <c r="AT137">
        <v>5.2691256223464897</v>
      </c>
      <c r="AU137">
        <v>1.8691421203820799</v>
      </c>
      <c r="AV137">
        <v>0.29871341447379102</v>
      </c>
      <c r="AW137">
        <v>3.0045190866467798E-3</v>
      </c>
      <c r="AX137">
        <v>0.29871341336775997</v>
      </c>
      <c r="AY137">
        <v>1.10603098901763E-9</v>
      </c>
      <c r="AZ137">
        <v>692257.60600924003</v>
      </c>
      <c r="BA137">
        <v>8.8445101078408302E-6</v>
      </c>
      <c r="BB137">
        <v>7244332.8129011896</v>
      </c>
      <c r="BC137">
        <v>-16213.573817558599</v>
      </c>
      <c r="BD137">
        <v>-0.223310656718853</v>
      </c>
      <c r="BE137">
        <v>3533140.8</v>
      </c>
      <c r="BF137">
        <v>2.05039459873809</v>
      </c>
      <c r="BG137">
        <v>1</v>
      </c>
      <c r="BH137">
        <v>-0.23100000000000001</v>
      </c>
      <c r="BI137">
        <v>4.5999999999999999E-2</v>
      </c>
      <c r="BJ137">
        <v>5625</v>
      </c>
      <c r="BK137">
        <v>1.00000000839947</v>
      </c>
      <c r="BL137">
        <v>335.42749733591398</v>
      </c>
      <c r="BM137">
        <v>7.2443328129011899</v>
      </c>
      <c r="BN137">
        <v>335.42749733591398</v>
      </c>
      <c r="BO137">
        <v>1.00000000839947</v>
      </c>
      <c r="BP137">
        <v>87277.406182161503</v>
      </c>
      <c r="BQ137">
        <v>1</v>
      </c>
      <c r="BR137">
        <v>0.69596000000000002</v>
      </c>
      <c r="BS137">
        <v>136</v>
      </c>
      <c r="BT137">
        <v>223</v>
      </c>
      <c r="BU137" t="s">
        <v>304</v>
      </c>
      <c r="BV137" t="str">
        <f>"Table "&amp;TRIM(RIGHT(SUBSTITUTE($A137,"_",REPT(" ",50)),50))</f>
        <v>Table 14</v>
      </c>
      <c r="BW137">
        <f>$BR137/$Q137</f>
        <v>365.33333333333337</v>
      </c>
      <c r="BX137" t="str">
        <f>IF($BW137&lt;40,"outside_low",IF($BW137&lt;=100,"short_anchor",IF($BW137&lt;250,"middle",IF($BW137&lt;=400,"long","outside_high"))))</f>
        <v>long</v>
      </c>
      <c r="BY137" t="str">
        <f>IF($N137&gt;1000,"PASS","FAIL")</f>
        <v>PASS</v>
      </c>
      <c r="BZ137" t="str">
        <f>IF(AND($BW137&gt;=40,$BW137&lt;=400),"PASS","FAIL")</f>
        <v>PASS</v>
      </c>
    </row>
    <row r="138" spans="1:78">
      <c r="A138" t="s">
        <v>292</v>
      </c>
      <c r="B138">
        <v>18960582.556212999</v>
      </c>
      <c r="C138">
        <v>634.44823391832597</v>
      </c>
      <c r="D138">
        <v>149.14958101226799</v>
      </c>
      <c r="E138">
        <v>520.38377569771103</v>
      </c>
      <c r="F138">
        <v>2467301.6327637699</v>
      </c>
      <c r="G138">
        <v>1775044.0267545299</v>
      </c>
      <c r="H138">
        <v>2.5972810943896E-5</v>
      </c>
      <c r="I138">
        <v>5.9480773118925399E-5</v>
      </c>
      <c r="J138">
        <v>0.43661798563056398</v>
      </c>
      <c r="K138">
        <v>16063.580349286</v>
      </c>
      <c r="L138">
        <v>1.6624879026359001E-3</v>
      </c>
      <c r="M138">
        <v>223</v>
      </c>
      <c r="N138">
        <v>3648.2586999999999</v>
      </c>
      <c r="O138">
        <v>2.8502295699234199E-6</v>
      </c>
      <c r="P138">
        <v>5.98473400508856E-3</v>
      </c>
      <c r="Q138">
        <v>1.905E-3</v>
      </c>
      <c r="R138">
        <v>0.69596000000000002</v>
      </c>
      <c r="S138">
        <v>7583984.375</v>
      </c>
      <c r="T138">
        <v>296.26172292177802</v>
      </c>
      <c r="U138">
        <v>485.37357309828798</v>
      </c>
      <c r="V138">
        <v>0.03</v>
      </c>
      <c r="W138">
        <v>116843.35053285801</v>
      </c>
      <c r="X138">
        <v>2.2217391970833899E-2</v>
      </c>
      <c r="Y138">
        <v>6.7089331033772401</v>
      </c>
      <c r="Z138">
        <v>6.7089331074216201</v>
      </c>
      <c r="AA138">
        <v>-4.0443861593075797E-9</v>
      </c>
      <c r="AB138">
        <v>2.8085951652339198E-6</v>
      </c>
      <c r="AC138">
        <v>789.22604441563794</v>
      </c>
      <c r="AD138">
        <v>3078.7579867486702</v>
      </c>
      <c r="AE138">
        <v>485.37357499054798</v>
      </c>
      <c r="AF138">
        <v>1.8922602862403401E-6</v>
      </c>
      <c r="AG138">
        <v>2.9866243458517302E-6</v>
      </c>
      <c r="AH138">
        <v>71.031436209031696</v>
      </c>
      <c r="AI138">
        <v>0.36945659557261701</v>
      </c>
      <c r="AJ138">
        <v>9.6536415309280894</v>
      </c>
      <c r="AK138">
        <v>9.3829056901855008</v>
      </c>
      <c r="AL138">
        <v>2.1883527698787102</v>
      </c>
      <c r="AM138">
        <v>634.448233926184</v>
      </c>
      <c r="AN138">
        <v>-7.8578068496426601E-9</v>
      </c>
      <c r="AO138">
        <v>1.78029180617805E-7</v>
      </c>
      <c r="AP138">
        <v>2.1953056349041602</v>
      </c>
      <c r="AQ138">
        <v>1.86971241202553E-5</v>
      </c>
      <c r="AR138">
        <v>1.5823267632347701E-6</v>
      </c>
      <c r="AS138">
        <v>5.1145419002154302</v>
      </c>
      <c r="AT138">
        <v>5.1104391765883097</v>
      </c>
      <c r="AU138">
        <v>1.88808546006325</v>
      </c>
      <c r="AV138">
        <v>0.30722017484091402</v>
      </c>
      <c r="AW138">
        <v>2.7698462462928501E-3</v>
      </c>
      <c r="AX138">
        <v>0.30722016816675402</v>
      </c>
      <c r="AY138">
        <v>6.6741600579511798E-9</v>
      </c>
      <c r="AZ138">
        <v>692257.60600924003</v>
      </c>
      <c r="BA138">
        <v>8.5168660905257095E-6</v>
      </c>
      <c r="BB138">
        <v>7530136.6604045797</v>
      </c>
      <c r="BC138">
        <v>-53847.714595417499</v>
      </c>
      <c r="BD138">
        <v>-0.71001879662255396</v>
      </c>
      <c r="BE138">
        <v>3533140.8</v>
      </c>
      <c r="BF138">
        <v>2.13128688797361</v>
      </c>
      <c r="BG138">
        <v>1</v>
      </c>
      <c r="BH138">
        <v>-0.35099999999999998</v>
      </c>
      <c r="BI138">
        <v>4.5999999999999999E-2</v>
      </c>
      <c r="BJ138">
        <v>5625</v>
      </c>
      <c r="BK138">
        <v>1.0000000062777199</v>
      </c>
      <c r="BL138">
        <v>338.18651099654801</v>
      </c>
      <c r="BM138">
        <v>7.5301366604045796</v>
      </c>
      <c r="BN138">
        <v>338.18651099654801</v>
      </c>
      <c r="BO138">
        <v>1.0000000062777199</v>
      </c>
      <c r="BP138">
        <v>88915.195340294405</v>
      </c>
      <c r="BQ138">
        <v>1</v>
      </c>
      <c r="BR138">
        <v>0.69596000000000002</v>
      </c>
      <c r="BS138">
        <v>137</v>
      </c>
      <c r="BT138">
        <v>224</v>
      </c>
      <c r="BU138" t="s">
        <v>304</v>
      </c>
      <c r="BV138" t="str">
        <f>"Table "&amp;TRIM(RIGHT(SUBSTITUTE($A138,"_",REPT(" ",50)),50))</f>
        <v>Table 14</v>
      </c>
      <c r="BW138">
        <f>$BR138/$Q138</f>
        <v>365.33333333333337</v>
      </c>
      <c r="BX138" t="str">
        <f>IF($BW138&lt;40,"outside_low",IF($BW138&lt;=100,"short_anchor",IF($BW138&lt;250,"middle",IF($BW138&lt;=400,"long","outside_high"))))</f>
        <v>long</v>
      </c>
      <c r="BY138" t="str">
        <f>IF($N138&gt;1000,"PASS","FAIL")</f>
        <v>PASS</v>
      </c>
      <c r="BZ138" t="str">
        <f>IF(AND($BW138&gt;=40,$BW138&lt;=400),"PASS","FAIL")</f>
        <v>PASS</v>
      </c>
    </row>
    <row r="139" spans="1:78">
      <c r="A139" t="s">
        <v>293</v>
      </c>
      <c r="B139">
        <v>18960582.556212999</v>
      </c>
      <c r="C139">
        <v>634.44823391832597</v>
      </c>
      <c r="D139">
        <v>149.14958101226799</v>
      </c>
      <c r="E139">
        <v>520.38377569771103</v>
      </c>
      <c r="F139">
        <v>2467301.6327637699</v>
      </c>
      <c r="G139">
        <v>1775044.0267545299</v>
      </c>
      <c r="H139">
        <v>2.5972810943896E-5</v>
      </c>
      <c r="I139">
        <v>5.9480773118925399E-5</v>
      </c>
      <c r="J139">
        <v>0.43661798563056398</v>
      </c>
      <c r="K139">
        <v>16063.580349286</v>
      </c>
      <c r="L139">
        <v>1.6624879026359001E-3</v>
      </c>
      <c r="M139">
        <v>224</v>
      </c>
      <c r="N139">
        <v>3783.8816999999999</v>
      </c>
      <c r="O139">
        <v>2.8502295699234199E-6</v>
      </c>
      <c r="P139">
        <v>5.98473400508856E-3</v>
      </c>
      <c r="Q139">
        <v>1.905E-3</v>
      </c>
      <c r="R139">
        <v>0.69596000000000002</v>
      </c>
      <c r="S139">
        <v>7711816.40625</v>
      </c>
      <c r="T139">
        <v>299.58375662661598</v>
      </c>
      <c r="U139">
        <v>484.99073347646299</v>
      </c>
      <c r="V139">
        <v>0.03</v>
      </c>
      <c r="W139">
        <v>121186.96951177499</v>
      </c>
      <c r="X139">
        <v>2.19317029871001E-2</v>
      </c>
      <c r="Y139">
        <v>6.75248801637452</v>
      </c>
      <c r="Z139">
        <v>6.7524880375115002</v>
      </c>
      <c r="AA139">
        <v>-2.1136981942504499E-8</v>
      </c>
      <c r="AB139">
        <v>2.6448802811588901E-6</v>
      </c>
      <c r="AC139">
        <v>785.38104588285</v>
      </c>
      <c r="AD139">
        <v>3172.61310665873</v>
      </c>
      <c r="AE139">
        <v>484.99073533027303</v>
      </c>
      <c r="AF139">
        <v>1.85381043138477E-6</v>
      </c>
      <c r="AG139">
        <v>2.8221505540959399E-6</v>
      </c>
      <c r="AH139">
        <v>75.428196027419105</v>
      </c>
      <c r="AI139">
        <v>0.38071938180923598</v>
      </c>
      <c r="AJ139">
        <v>9.4000964166813308</v>
      </c>
      <c r="AK139">
        <v>9.2542364852633305</v>
      </c>
      <c r="AL139">
        <v>2.1883527698787102</v>
      </c>
      <c r="AM139">
        <v>634.44823376318902</v>
      </c>
      <c r="AN139">
        <v>1.55136604007566E-7</v>
      </c>
      <c r="AO139">
        <v>1.77270272937049E-7</v>
      </c>
      <c r="AP139">
        <v>2.2154987876894601</v>
      </c>
      <c r="AQ139">
        <v>1.8357847674168699E-5</v>
      </c>
      <c r="AR139">
        <v>1.49971041351649E-6</v>
      </c>
      <c r="AS139">
        <v>4.9952765502519796</v>
      </c>
      <c r="AT139">
        <v>4.9952765502519796</v>
      </c>
      <c r="AU139">
        <v>1.90179860017811</v>
      </c>
      <c r="AV139">
        <v>0.31370018751135698</v>
      </c>
      <c r="AW139">
        <v>2.6083900625285599E-3</v>
      </c>
      <c r="AX139">
        <v>0.31370017469267297</v>
      </c>
      <c r="AY139">
        <v>1.28186841696909E-8</v>
      </c>
      <c r="AZ139">
        <v>692257.60600924003</v>
      </c>
      <c r="BA139">
        <v>8.2861014306011008E-6</v>
      </c>
      <c r="BB139">
        <v>7706854.3627184303</v>
      </c>
      <c r="BC139">
        <v>-4962.0435315724499</v>
      </c>
      <c r="BD139">
        <v>-6.43433825466979E-2</v>
      </c>
      <c r="BE139">
        <v>3564686.7</v>
      </c>
      <c r="BF139">
        <v>2.1620004817585898</v>
      </c>
      <c r="BG139">
        <v>1</v>
      </c>
      <c r="BH139">
        <v>-0.38700000000000001</v>
      </c>
      <c r="BI139">
        <v>4.5999999999999999E-2</v>
      </c>
      <c r="BJ139">
        <v>5625</v>
      </c>
      <c r="BK139">
        <v>1.0000000089107</v>
      </c>
      <c r="BL139">
        <v>334.86447729170999</v>
      </c>
      <c r="BM139">
        <v>7.7068543627184303</v>
      </c>
      <c r="BN139">
        <v>334.86447729170999</v>
      </c>
      <c r="BO139">
        <v>1.0000000089107</v>
      </c>
      <c r="BP139">
        <v>86945.059968513306</v>
      </c>
      <c r="BQ139">
        <v>1</v>
      </c>
      <c r="BR139">
        <v>0.69596000000000002</v>
      </c>
      <c r="BS139">
        <v>138</v>
      </c>
      <c r="BT139">
        <v>225</v>
      </c>
      <c r="BU139" t="s">
        <v>304</v>
      </c>
      <c r="BV139" t="str">
        <f>"Table "&amp;TRIM(RIGHT(SUBSTITUTE($A139,"_",REPT(" ",50)),50))</f>
        <v>Table 14</v>
      </c>
      <c r="BW139">
        <f>$BR139/$Q139</f>
        <v>365.33333333333337</v>
      </c>
      <c r="BX139" t="str">
        <f>IF($BW139&lt;40,"outside_low",IF($BW139&lt;=100,"short_anchor",IF($BW139&lt;250,"middle",IF($BW139&lt;=400,"long","outside_high"))))</f>
        <v>long</v>
      </c>
      <c r="BY139" t="str">
        <f>IF($N139&gt;1000,"PASS","FAIL")</f>
        <v>PASS</v>
      </c>
      <c r="BZ139" t="str">
        <f>IF(AND($BW139&gt;=40,$BW139&lt;=400),"PASS","FAIL")</f>
        <v>PASS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8A40-E528-4312-AC4F-ABFAA69CED2D}">
  <dimension ref="A1:F43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38.375" customWidth="1"/>
    <col min="2" max="6" width="13.375" customWidth="1"/>
  </cols>
  <sheetData>
    <row r="1" spans="1:5" ht="20.25">
      <c r="A1" s="10" t="s">
        <v>305</v>
      </c>
    </row>
    <row r="3" spans="1:5">
      <c r="A3" s="11" t="s">
        <v>306</v>
      </c>
    </row>
    <row r="4" spans="1:5">
      <c r="A4" s="9" t="s">
        <v>307</v>
      </c>
      <c r="B4" s="9" t="s">
        <v>303</v>
      </c>
      <c r="C4" s="9" t="s">
        <v>304</v>
      </c>
      <c r="D4" s="9" t="s">
        <v>308</v>
      </c>
    </row>
    <row r="5" spans="1:5">
      <c r="A5" t="s">
        <v>309</v>
      </c>
      <c r="B5">
        <f>COUNTA(STG_added138_noF1!A2:A139)</f>
        <v>138</v>
      </c>
      <c r="C5">
        <f>COUNTA(STG_added138_F1!A2:A139)</f>
        <v>138</v>
      </c>
      <c r="D5">
        <v>138</v>
      </c>
    </row>
    <row r="6" spans="1:5">
      <c r="A6" t="s">
        <v>310</v>
      </c>
      <c r="B6" t="str">
        <f>IF(B5=138,"OK","NG")</f>
        <v>OK</v>
      </c>
      <c r="C6" t="str">
        <f>IF(C5=138,"OK","NG")</f>
        <v>OK</v>
      </c>
    </row>
    <row r="7" spans="1:5">
      <c r="A7" t="s">
        <v>311</v>
      </c>
      <c r="B7" t="str">
        <f>IF(B5=C5,"一致","不一致")</f>
        <v>一致</v>
      </c>
    </row>
    <row r="9" spans="1:5">
      <c r="A9" s="11" t="s">
        <v>312</v>
      </c>
    </row>
    <row r="10" spans="1:5">
      <c r="A10" s="9" t="s">
        <v>313</v>
      </c>
      <c r="B10" s="9" t="s">
        <v>303</v>
      </c>
      <c r="C10" s="9" t="s">
        <v>304</v>
      </c>
      <c r="D10" s="9" t="s">
        <v>314</v>
      </c>
      <c r="E10" s="9" t="s">
        <v>315</v>
      </c>
    </row>
    <row r="11" spans="1:5">
      <c r="A11" t="s">
        <v>316</v>
      </c>
      <c r="B11">
        <f>COUNTIF(STG_added138_noF1!$BV$2:$BV$139,$A11)</f>
        <v>16</v>
      </c>
      <c r="C11">
        <f>COUNTIF(STG_added138_F1!$BV$2:$BV$139,$A11)</f>
        <v>16</v>
      </c>
      <c r="D11">
        <v>16</v>
      </c>
      <c r="E11" t="str">
        <f>IF(AND(B11=$D11,C11=$D11),"OK","NG")</f>
        <v>OK</v>
      </c>
    </row>
    <row r="12" spans="1:5">
      <c r="A12" t="s">
        <v>317</v>
      </c>
      <c r="B12">
        <f>COUNTIF(STG_added138_noF1!$BV$2:$BV$139,$A12)</f>
        <v>30</v>
      </c>
      <c r="C12">
        <f>COUNTIF(STG_added138_F1!$BV$2:$BV$139,$A12)</f>
        <v>30</v>
      </c>
      <c r="D12">
        <v>30</v>
      </c>
      <c r="E12" t="str">
        <f>IF(AND(B12=$D12,C12=$D12),"OK","NG")</f>
        <v>OK</v>
      </c>
    </row>
    <row r="13" spans="1:5">
      <c r="A13" t="s">
        <v>318</v>
      </c>
      <c r="B13">
        <f>COUNTIF(STG_added138_noF1!$BV$2:$BV$139,$A13)</f>
        <v>30</v>
      </c>
      <c r="C13">
        <f>COUNTIF(STG_added138_F1!$BV$2:$BV$139,$A13)</f>
        <v>30</v>
      </c>
      <c r="D13">
        <v>30</v>
      </c>
      <c r="E13" t="str">
        <f>IF(AND(B13=$D13,C13=$D13),"OK","NG")</f>
        <v>OK</v>
      </c>
    </row>
    <row r="14" spans="1:5">
      <c r="A14" t="s">
        <v>319</v>
      </c>
      <c r="B14">
        <f>COUNTIF(STG_added138_noF1!$BV$2:$BV$139,$A14)</f>
        <v>30</v>
      </c>
      <c r="C14">
        <f>COUNTIF(STG_added138_F1!$BV$2:$BV$139,$A14)</f>
        <v>30</v>
      </c>
      <c r="D14">
        <v>30</v>
      </c>
      <c r="E14" t="str">
        <f>IF(AND(B14=$D14,C14=$D14),"OK","NG")</f>
        <v>OK</v>
      </c>
    </row>
    <row r="15" spans="1:5">
      <c r="A15" t="s">
        <v>320</v>
      </c>
      <c r="B15">
        <f>COUNTIF(STG_added138_noF1!$BV$2:$BV$139,$A15)</f>
        <v>2</v>
      </c>
      <c r="C15">
        <f>COUNTIF(STG_added138_F1!$BV$2:$BV$139,$A15)</f>
        <v>2</v>
      </c>
      <c r="D15">
        <v>2</v>
      </c>
      <c r="E15" t="str">
        <f>IF(AND(B15=$D15,C15=$D15),"OK","NG")</f>
        <v>OK</v>
      </c>
    </row>
    <row r="16" spans="1:5">
      <c r="A16" t="s">
        <v>321</v>
      </c>
      <c r="B16">
        <f>COUNTIF(STG_added138_noF1!$BV$2:$BV$139,$A16)</f>
        <v>30</v>
      </c>
      <c r="C16">
        <f>COUNTIF(STG_added138_F1!$BV$2:$BV$139,$A16)</f>
        <v>30</v>
      </c>
      <c r="D16">
        <v>30</v>
      </c>
      <c r="E16" t="str">
        <f>IF(AND(B16=$D16,C16=$D16),"OK","NG")</f>
        <v>OK</v>
      </c>
    </row>
    <row r="17" spans="1:5">
      <c r="A17" s="9" t="s">
        <v>322</v>
      </c>
      <c r="B17">
        <f>SUM(B11:B16)</f>
        <v>138</v>
      </c>
      <c r="C17">
        <f>SUM(C11:C16)</f>
        <v>138</v>
      </c>
      <c r="D17">
        <f>SUM(D11:D16)</f>
        <v>138</v>
      </c>
      <c r="E17" t="str">
        <f>IF(AND(B17=138,C17=138),"OK","NG")</f>
        <v>OK</v>
      </c>
    </row>
    <row r="19" spans="1:5">
      <c r="A19" s="11" t="s">
        <v>323</v>
      </c>
    </row>
    <row r="20" spans="1:5">
      <c r="A20" s="9" t="s">
        <v>324</v>
      </c>
      <c r="B20" s="9" t="s">
        <v>303</v>
      </c>
      <c r="C20" s="9" t="s">
        <v>304</v>
      </c>
      <c r="D20" s="9" t="s">
        <v>325</v>
      </c>
    </row>
    <row r="21" spans="1:5">
      <c r="A21" t="s">
        <v>326</v>
      </c>
      <c r="B21">
        <f>COUNTIF(STG_added138_noF1!$BX$2:$BX$139,$A21)</f>
        <v>0</v>
      </c>
      <c r="C21">
        <f>COUNTIF(STG_added138_F1!$BX$2:$BX$139,$A21)</f>
        <v>0</v>
      </c>
      <c r="D21" t="s">
        <v>327</v>
      </c>
    </row>
    <row r="22" spans="1:5">
      <c r="A22" t="s">
        <v>328</v>
      </c>
      <c r="B22">
        <f>COUNTIF(STG_added138_noF1!$BX$2:$BX$139,$A22)</f>
        <v>86</v>
      </c>
      <c r="C22">
        <f>COUNTIF(STG_added138_F1!$BX$2:$BX$139,$A22)</f>
        <v>86</v>
      </c>
      <c r="D22" t="s">
        <v>329</v>
      </c>
    </row>
    <row r="23" spans="1:5">
      <c r="A23" t="s">
        <v>330</v>
      </c>
      <c r="B23">
        <f>COUNTIF(STG_added138_noF1!$BX$2:$BX$139,$A23)</f>
        <v>16</v>
      </c>
      <c r="C23">
        <f>COUNTIF(STG_added138_F1!$BX$2:$BX$139,$A23)</f>
        <v>16</v>
      </c>
      <c r="D23" t="s">
        <v>331</v>
      </c>
    </row>
    <row r="24" spans="1:5">
      <c r="A24" t="s">
        <v>332</v>
      </c>
      <c r="B24">
        <f>COUNTIF(STG_added138_noF1!$BX$2:$BX$139,$A24)</f>
        <v>36</v>
      </c>
      <c r="C24">
        <f>COUNTIF(STG_added138_F1!$BX$2:$BX$139,$A24)</f>
        <v>36</v>
      </c>
      <c r="D24" t="s">
        <v>333</v>
      </c>
    </row>
    <row r="25" spans="1:5">
      <c r="A25" t="s">
        <v>334</v>
      </c>
      <c r="B25">
        <f>COUNTIF(STG_added138_noF1!$BX$2:$BX$139,$A25)</f>
        <v>0</v>
      </c>
      <c r="C25">
        <f>COUNTIF(STG_added138_F1!$BX$2:$BX$139,$A25)</f>
        <v>0</v>
      </c>
      <c r="D25" t="s">
        <v>335</v>
      </c>
    </row>
    <row r="26" spans="1:5">
      <c r="A26" s="9" t="s">
        <v>322</v>
      </c>
      <c r="B26">
        <f>SUM(B21:B25)</f>
        <v>138</v>
      </c>
      <c r="C26">
        <f>SUM(C21:C25)</f>
        <v>138</v>
      </c>
    </row>
    <row r="28" spans="1:5">
      <c r="A28" s="11" t="s">
        <v>336</v>
      </c>
    </row>
    <row r="29" spans="1:5">
      <c r="A29" t="s">
        <v>337</v>
      </c>
      <c r="B29">
        <f>COUNTIF(STG_added138_noF1!$N$2:$N$139,"&lt;=1000")</f>
        <v>0</v>
      </c>
      <c r="C29">
        <f>COUNTIF(STG_added138_F1!$N$2:$N$139,"&lt;=1000")</f>
        <v>0</v>
      </c>
      <c r="D29" t="str">
        <f>IF(AND(B29=0,C29=0),"混入なし OK","混入あり NG")</f>
        <v>混入なし OK</v>
      </c>
    </row>
    <row r="31" spans="1:5">
      <c r="A31" s="11" t="s">
        <v>338</v>
      </c>
    </row>
    <row r="32" spans="1:5">
      <c r="A32" t="s">
        <v>339</v>
      </c>
      <c r="B32">
        <f>COUNTBLANK(STG_added138_noF1!$T$2:$T$139)</f>
        <v>0</v>
      </c>
      <c r="C32">
        <f>COUNTBLANK(STG_added138_F1!$T$2:$T$139)</f>
        <v>0</v>
      </c>
      <c r="D32" t="str">
        <f>IF(AND(B32=0,C32=0),"欠損なし OK","欠損あり NG")</f>
        <v>欠損なし OK</v>
      </c>
    </row>
    <row r="34" spans="1:6">
      <c r="A34" s="11" t="s">
        <v>340</v>
      </c>
    </row>
    <row r="35" spans="1:6">
      <c r="A35" s="9" t="s">
        <v>341</v>
      </c>
      <c r="B35" s="9" t="s">
        <v>342</v>
      </c>
      <c r="C35" s="9" t="s">
        <v>343</v>
      </c>
      <c r="D35" s="9" t="s">
        <v>344</v>
      </c>
      <c r="E35" s="9" t="s">
        <v>345</v>
      </c>
      <c r="F35" s="9" t="s">
        <v>315</v>
      </c>
    </row>
    <row r="36" spans="1:6">
      <c r="A36" t="s">
        <v>346</v>
      </c>
      <c r="B36">
        <f>COUNTBLANK(STG_added138_noF1!$BB$2:$BB$139)</f>
        <v>0</v>
      </c>
      <c r="C36" cm="1">
        <f t="array" ref="C36">SUMPRODUCT(--ISERROR(STG_added138_noF1!$BB$2:$BB$139))</f>
        <v>0</v>
      </c>
      <c r="D36">
        <f>COUNTBLANK(STG_added138_F1!$BB$2:$BB$139)</f>
        <v>0</v>
      </c>
      <c r="E36" cm="1">
        <f t="array" ref="E36">SUMPRODUCT(--ISERROR(STG_added138_F1!$BB$2:$BB$139))</f>
        <v>0</v>
      </c>
      <c r="F36" t="str">
        <f>IF(SUM(B36:E36)=0,"OK","NG")</f>
        <v>OK</v>
      </c>
    </row>
    <row r="37" spans="1:6">
      <c r="A37" t="s">
        <v>347</v>
      </c>
      <c r="B37">
        <f>COUNTBLANK(STG_added138_noF1!$BF$2:$BF$139)</f>
        <v>0</v>
      </c>
      <c r="C37" cm="1">
        <f t="array" ref="C37">SUMPRODUCT(--ISERROR(STG_added138_noF1!$BF$2:$BF$139))</f>
        <v>0</v>
      </c>
      <c r="D37">
        <f>COUNTBLANK(STG_added138_F1!$BF$2:$BF$139)</f>
        <v>0</v>
      </c>
      <c r="E37" cm="1">
        <f t="array" ref="E37">SUMPRODUCT(--ISERROR(STG_added138_F1!$BF$2:$BF$139))</f>
        <v>0</v>
      </c>
      <c r="F37" t="str">
        <f>IF(SUM(B37:E37)=0,"OK","NG")</f>
        <v>OK</v>
      </c>
    </row>
    <row r="38" spans="1:6">
      <c r="A38" t="s">
        <v>348</v>
      </c>
      <c r="B38">
        <f>COUNTBLANK(STG_added138_noF1!$BH$2:$BH$139)</f>
        <v>0</v>
      </c>
      <c r="C38" cm="1">
        <f t="array" ref="C38">SUMPRODUCT(--ISERROR(STG_added138_noF1!$BH$2:$BH$139))</f>
        <v>0</v>
      </c>
      <c r="D38">
        <f>COUNTBLANK(STG_added138_F1!$BH$2:$BH$139)</f>
        <v>0</v>
      </c>
      <c r="E38" cm="1">
        <f t="array" ref="E38">SUMPRODUCT(--ISERROR(STG_added138_F1!$BH$2:$BH$139))</f>
        <v>0</v>
      </c>
      <c r="F38" t="str">
        <f>IF(SUM(B38:E38)=0,"OK","NG")</f>
        <v>OK</v>
      </c>
    </row>
    <row r="40" spans="1:6">
      <c r="A40" s="11" t="s">
        <v>349</v>
      </c>
    </row>
    <row r="41" spans="1:6">
      <c r="A41" t="s">
        <v>350</v>
      </c>
      <c r="B41" cm="1">
        <f t="array" ref="B41">SUMPRODUCT(--(STG_added138_noF1!$A$2:$A$139=STG_added138_F1!$A$2:$A$139))</f>
        <v>138</v>
      </c>
      <c r="D41" t="s">
        <v>351</v>
      </c>
    </row>
    <row r="42" spans="1:6">
      <c r="A42" t="s">
        <v>352</v>
      </c>
      <c r="B42" cm="1">
        <f t="array" ref="B42">SUMPRODUCT(--(COUNTIF(STG_added138_F1!$A$2:$A$139,STG_added138_noF1!$A$2:$A$139)=0))</f>
        <v>0</v>
      </c>
      <c r="D42" t="s">
        <v>353</v>
      </c>
    </row>
    <row r="43" spans="1:6">
      <c r="A43" s="9" t="s">
        <v>354</v>
      </c>
      <c r="B43" s="9" t="str">
        <f>IF(AND(B41=138,B42=0),"1対1一致 OK","不一致 NG")</f>
        <v>1対1一致 OK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00_STAGING_README</vt:lpstr>
      <vt:lpstr>00_STAGING_LOG</vt:lpstr>
      <vt:lpstr>SRC_tm_r123_noF1_T8_14</vt:lpstr>
      <vt:lpstr>SRC_tm_r124_F1_T8_14</vt:lpstr>
      <vt:lpstr>STG_added138_noF1</vt:lpstr>
      <vt:lpstr>STG_added138_F1</vt:lpstr>
      <vt:lpstr>STG_added138_diag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櫻井　征太郎（sakurai seitaro）</dc:creator>
  <cp:lastModifiedBy>櫻井　征太郎（sakurai seitaro）</cp:lastModifiedBy>
  <dcterms:created xsi:type="dcterms:W3CDTF">2015-06-05T18:19:34Z</dcterms:created>
  <dcterms:modified xsi:type="dcterms:W3CDTF">2026-06-15T00:34:49Z</dcterms:modified>
</cp:coreProperties>
</file>