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inssfs10\安全防災研究共用\共用ファイル\５文献\気液二相流勉強会資料\2026_櫻井自習および研究資料\Celata計算\バンドルの計算方法整理\"/>
    </mc:Choice>
  </mc:AlternateContent>
  <xr:revisionPtr revIDLastSave="0" documentId="13_ncr:1_{AFCB4A7A-414C-4908-871A-E9315EB4DFA7}" xr6:coauthVersionLast="47" xr6:coauthVersionMax="47" xr10:uidLastSave="{00000000-0000-0000-0000-000000000000}"/>
  <bookViews>
    <workbookView xWindow="-120" yWindow="-120" windowWidth="29040" windowHeight="15720" activeTab="1" xr2:uid="{23DF57E3-7808-446C-9563-F8D076520737}"/>
  </bookViews>
  <sheets>
    <sheet name="非一様加熱を一様加熱に補正108" sheetId="1" r:id="rId1"/>
    <sheet name="108_Fform_check" sheetId="2" r:id="rId2"/>
    <sheet name="README_Fform" sheetId="3" r:id="rId3"/>
  </sheets>
  <definedNames>
    <definedName name="L_tot">非一様加熱を一様加熱に補正108!$D$8</definedName>
    <definedName name="半径方向の出力">非一様加熱を一様加熱に補正108!$D$4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2" l="1"/>
  <c r="P2" i="2" s="1"/>
  <c r="O2" i="2"/>
  <c r="R2" i="2" s="1"/>
  <c r="G5" i="2"/>
  <c r="G6" i="2"/>
  <c r="G7" i="2"/>
  <c r="G8" i="2"/>
  <c r="G9" i="2"/>
  <c r="G10" i="2"/>
  <c r="G11" i="2"/>
  <c r="G12" i="2"/>
  <c r="G17" i="2"/>
  <c r="G18" i="2"/>
  <c r="G19" i="2"/>
  <c r="G20" i="2"/>
  <c r="G21" i="2"/>
  <c r="G22" i="2"/>
  <c r="G23" i="2"/>
  <c r="G24" i="2"/>
  <c r="G29" i="2"/>
  <c r="F2" i="2"/>
  <c r="F3" i="2"/>
  <c r="F4" i="2"/>
  <c r="F5" i="2"/>
  <c r="F6" i="2"/>
  <c r="F7" i="2"/>
  <c r="F8" i="2"/>
  <c r="H8" i="2" s="1"/>
  <c r="F13" i="2"/>
  <c r="F14" i="2"/>
  <c r="F15" i="2"/>
  <c r="F16" i="2"/>
  <c r="F17" i="2"/>
  <c r="F18" i="2"/>
  <c r="F19" i="2"/>
  <c r="F20" i="2"/>
  <c r="H20" i="2" s="1"/>
  <c r="F25" i="2"/>
  <c r="F26" i="2"/>
  <c r="F27" i="2"/>
  <c r="H27" i="2" s="1"/>
  <c r="F28" i="2"/>
  <c r="H28" i="2" s="1"/>
  <c r="F29" i="2"/>
  <c r="E2" i="2"/>
  <c r="G2" i="2" s="1"/>
  <c r="E3" i="2"/>
  <c r="G3" i="2" s="1"/>
  <c r="H3" i="2" s="1"/>
  <c r="E4" i="2"/>
  <c r="G4" i="2" s="1"/>
  <c r="H4" i="2" s="1"/>
  <c r="E5" i="2"/>
  <c r="E6" i="2"/>
  <c r="E7" i="2"/>
  <c r="E8" i="2"/>
  <c r="E9" i="2"/>
  <c r="E10" i="2"/>
  <c r="E11" i="2"/>
  <c r="E12" i="2"/>
  <c r="E13" i="2"/>
  <c r="G13" i="2" s="1"/>
  <c r="E14" i="2"/>
  <c r="G14" i="2" s="1"/>
  <c r="H14" i="2" s="1"/>
  <c r="E15" i="2"/>
  <c r="G15" i="2" s="1"/>
  <c r="E16" i="2"/>
  <c r="G16" i="2" s="1"/>
  <c r="E17" i="2"/>
  <c r="E18" i="2"/>
  <c r="E19" i="2"/>
  <c r="E20" i="2"/>
  <c r="E21" i="2"/>
  <c r="E22" i="2"/>
  <c r="E23" i="2"/>
  <c r="E24" i="2"/>
  <c r="E25" i="2"/>
  <c r="G25" i="2" s="1"/>
  <c r="E26" i="2"/>
  <c r="G26" i="2" s="1"/>
  <c r="E27" i="2"/>
  <c r="G27" i="2" s="1"/>
  <c r="E28" i="2"/>
  <c r="G28" i="2" s="1"/>
  <c r="E29" i="2"/>
  <c r="D2" i="2"/>
  <c r="D3" i="2"/>
  <c r="D4" i="2"/>
  <c r="D5" i="2"/>
  <c r="D6" i="2"/>
  <c r="D7" i="2"/>
  <c r="D8" i="2"/>
  <c r="D9" i="2"/>
  <c r="F9" i="2" s="1"/>
  <c r="D10" i="2"/>
  <c r="F10" i="2" s="1"/>
  <c r="D11" i="2"/>
  <c r="F11" i="2" s="1"/>
  <c r="D12" i="2"/>
  <c r="F12" i="2" s="1"/>
  <c r="D13" i="2"/>
  <c r="D14" i="2"/>
  <c r="D15" i="2"/>
  <c r="D16" i="2"/>
  <c r="D17" i="2"/>
  <c r="D18" i="2"/>
  <c r="D19" i="2"/>
  <c r="D20" i="2"/>
  <c r="D21" i="2"/>
  <c r="F21" i="2" s="1"/>
  <c r="D22" i="2"/>
  <c r="F22" i="2" s="1"/>
  <c r="D23" i="2"/>
  <c r="F23" i="2" s="1"/>
  <c r="D24" i="2"/>
  <c r="F24" i="2" s="1"/>
  <c r="D25" i="2"/>
  <c r="D26" i="2"/>
  <c r="D27" i="2"/>
  <c r="D28" i="2"/>
  <c r="D29" i="2"/>
  <c r="B3" i="2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Q2" i="2" l="1"/>
  <c r="S2" i="2" s="1"/>
  <c r="H26" i="2"/>
  <c r="H2" i="2"/>
  <c r="H15" i="2"/>
  <c r="H16" i="2"/>
  <c r="H12" i="2"/>
  <c r="H23" i="2"/>
  <c r="H11" i="2"/>
  <c r="H22" i="2"/>
  <c r="H10" i="2"/>
  <c r="H29" i="2"/>
  <c r="H17" i="2"/>
  <c r="H5" i="2"/>
  <c r="H21" i="2"/>
  <c r="H9" i="2"/>
  <c r="H19" i="2"/>
  <c r="H7" i="2"/>
  <c r="H18" i="2"/>
  <c r="H6" i="2"/>
  <c r="H25" i="2"/>
  <c r="H13" i="2"/>
  <c r="H24" i="2"/>
  <c r="F29" i="1"/>
  <c r="H29" i="1" s="1"/>
  <c r="I29" i="1" s="1"/>
  <c r="E29" i="1"/>
  <c r="B29" i="1"/>
  <c r="F28" i="1"/>
  <c r="H28" i="1" s="1"/>
  <c r="E28" i="1"/>
  <c r="G27" i="1" s="1"/>
  <c r="B28" i="1"/>
  <c r="F27" i="1"/>
  <c r="H27" i="1" s="1"/>
  <c r="E27" i="1"/>
  <c r="B27" i="1"/>
  <c r="F26" i="1"/>
  <c r="H26" i="1" s="1"/>
  <c r="E26" i="1"/>
  <c r="G25" i="1" s="1"/>
  <c r="I25" i="1" s="1"/>
  <c r="B26" i="1"/>
  <c r="F25" i="1"/>
  <c r="H25" i="1" s="1"/>
  <c r="E25" i="1"/>
  <c r="B25" i="1"/>
  <c r="F24" i="1"/>
  <c r="H24" i="1" s="1"/>
  <c r="E24" i="1"/>
  <c r="G23" i="1" s="1"/>
  <c r="B24" i="1"/>
  <c r="F23" i="1"/>
  <c r="H23" i="1" s="1"/>
  <c r="E23" i="1"/>
  <c r="B23" i="1"/>
  <c r="F22" i="1"/>
  <c r="H22" i="1" s="1"/>
  <c r="E22" i="1"/>
  <c r="G21" i="1" s="1"/>
  <c r="I21" i="1" s="1"/>
  <c r="B22" i="1"/>
  <c r="F21" i="1"/>
  <c r="H21" i="1" s="1"/>
  <c r="E21" i="1"/>
  <c r="B21" i="1"/>
  <c r="F20" i="1"/>
  <c r="H20" i="1" s="1"/>
  <c r="E20" i="1"/>
  <c r="G19" i="1" s="1"/>
  <c r="B20" i="1"/>
  <c r="F19" i="1"/>
  <c r="H19" i="1" s="1"/>
  <c r="E19" i="1"/>
  <c r="B19" i="1"/>
  <c r="F18" i="1"/>
  <c r="H18" i="1" s="1"/>
  <c r="E18" i="1"/>
  <c r="G17" i="1" s="1"/>
  <c r="I17" i="1" s="1"/>
  <c r="B18" i="1"/>
  <c r="F17" i="1"/>
  <c r="H17" i="1" s="1"/>
  <c r="E17" i="1"/>
  <c r="B17" i="1"/>
  <c r="F16" i="1"/>
  <c r="H16" i="1" s="1"/>
  <c r="E16" i="1"/>
  <c r="G15" i="1" s="1"/>
  <c r="B16" i="1"/>
  <c r="F15" i="1"/>
  <c r="H15" i="1" s="1"/>
  <c r="E15" i="1"/>
  <c r="B15" i="1"/>
  <c r="F14" i="1"/>
  <c r="H14" i="1" s="1"/>
  <c r="E14" i="1"/>
  <c r="G13" i="1" s="1"/>
  <c r="I13" i="1" s="1"/>
  <c r="B14" i="1"/>
  <c r="F13" i="1"/>
  <c r="H13" i="1" s="1"/>
  <c r="E13" i="1"/>
  <c r="B13" i="1"/>
  <c r="F12" i="1"/>
  <c r="H12" i="1" s="1"/>
  <c r="E12" i="1"/>
  <c r="G11" i="1" s="1"/>
  <c r="B12" i="1"/>
  <c r="F11" i="1"/>
  <c r="H11" i="1" s="1"/>
  <c r="E11" i="1"/>
  <c r="B11" i="1"/>
  <c r="F10" i="1"/>
  <c r="H10" i="1" s="1"/>
  <c r="E10" i="1"/>
  <c r="G9" i="1" s="1"/>
  <c r="I9" i="1" s="1"/>
  <c r="B10" i="1"/>
  <c r="F9" i="1"/>
  <c r="H9" i="1" s="1"/>
  <c r="E9" i="1"/>
  <c r="B9" i="1"/>
  <c r="F8" i="1"/>
  <c r="H7" i="1" s="1"/>
  <c r="E8" i="1"/>
  <c r="G7" i="1" s="1"/>
  <c r="I7" i="1" s="1"/>
  <c r="D8" i="1"/>
  <c r="B8" i="1"/>
  <c r="F7" i="1"/>
  <c r="E7" i="1"/>
  <c r="B7" i="1"/>
  <c r="F6" i="1"/>
  <c r="H5" i="1" s="1"/>
  <c r="E6" i="1"/>
  <c r="G5" i="1" s="1"/>
  <c r="I5" i="1" s="1"/>
  <c r="B6" i="1"/>
  <c r="F5" i="1"/>
  <c r="E5" i="1"/>
  <c r="B5" i="1"/>
  <c r="F4" i="1"/>
  <c r="H3" i="1" s="1"/>
  <c r="E4" i="1"/>
  <c r="G3" i="1" s="1"/>
  <c r="I3" i="1" s="1"/>
  <c r="B4" i="1"/>
  <c r="F3" i="1"/>
  <c r="E3" i="1"/>
  <c r="B3" i="1"/>
  <c r="G2" i="1"/>
  <c r="F2" i="1"/>
  <c r="H2" i="1" s="1"/>
  <c r="E2" i="1"/>
  <c r="B2" i="1"/>
  <c r="I19" i="1" l="1"/>
  <c r="I2" i="1"/>
  <c r="I11" i="1"/>
  <c r="I23" i="1"/>
  <c r="I15" i="1"/>
  <c r="I27" i="1"/>
  <c r="G4" i="1"/>
  <c r="G6" i="1"/>
  <c r="H6" i="1"/>
  <c r="G10" i="1"/>
  <c r="I10" i="1" s="1"/>
  <c r="G12" i="1"/>
  <c r="I12" i="1" s="1"/>
  <c r="G14" i="1"/>
  <c r="I14" i="1" s="1"/>
  <c r="G18" i="1"/>
  <c r="I18" i="1" s="1"/>
  <c r="G20" i="1"/>
  <c r="I20" i="1" s="1"/>
  <c r="G22" i="1"/>
  <c r="I22" i="1" s="1"/>
  <c r="G24" i="1"/>
  <c r="I24" i="1" s="1"/>
  <c r="G26" i="1"/>
  <c r="I26" i="1" s="1"/>
  <c r="G28" i="1"/>
  <c r="I28" i="1" s="1"/>
  <c r="H4" i="1"/>
  <c r="G8" i="1"/>
  <c r="G16" i="1"/>
  <c r="I16" i="1" s="1"/>
  <c r="H8" i="1"/>
  <c r="I8" i="1" l="1"/>
  <c r="I6" i="1"/>
  <c r="I4" i="1"/>
  <c r="L4" i="1"/>
  <c r="L2" i="1"/>
</calcChain>
</file>

<file path=xl/sharedStrings.xml><?xml version="1.0" encoding="utf-8"?>
<sst xmlns="http://schemas.openxmlformats.org/spreadsheetml/2006/main" count="53" uniqueCount="53">
  <si>
    <t>出力分布のX軸</t>
    <rPh sb="0" eb="4">
      <t>シュツリョクブンプ</t>
    </rPh>
    <rPh sb="6" eb="7">
      <t>ジク</t>
    </rPh>
    <phoneticPr fontId="4"/>
  </si>
  <si>
    <t>全長96inを掛ける</t>
    <rPh sb="0" eb="2">
      <t>ゼンチョウ</t>
    </rPh>
    <rPh sb="7" eb="8">
      <t>カ</t>
    </rPh>
    <phoneticPr fontId="4"/>
  </si>
  <si>
    <t>出力分布のY軸</t>
    <rPh sb="0" eb="4">
      <t>シュツリョクブンプ</t>
    </rPh>
    <rPh sb="6" eb="7">
      <t>ジク</t>
    </rPh>
    <phoneticPr fontId="4"/>
  </si>
  <si>
    <t>A列：z[m]</t>
    <rPh sb="1" eb="2">
      <t>レツ</t>
    </rPh>
    <phoneticPr fontId="4"/>
  </si>
  <si>
    <t>B列：q'' [MW/m²]</t>
    <rPh sb="1" eb="2">
      <t>レツ</t>
    </rPh>
    <phoneticPr fontId="4"/>
  </si>
  <si>
    <t>C列：Δz</t>
    <rPh sb="1" eb="2">
      <t>レツ</t>
    </rPh>
    <phoneticPr fontId="5"/>
  </si>
  <si>
    <t>D列：平均出力</t>
    <rPh sb="1" eb="2">
      <t>レツ</t>
    </rPh>
    <rPh sb="3" eb="5">
      <t>ヘイキン</t>
    </rPh>
    <rPh sb="5" eb="7">
      <t>シュツリョク</t>
    </rPh>
    <phoneticPr fontId="5"/>
  </si>
  <si>
    <t>E列：Δ出力</t>
    <rPh sb="1" eb="2">
      <t>レツ</t>
    </rPh>
    <rPh sb="4" eb="6">
      <t>シュツリョク</t>
    </rPh>
    <phoneticPr fontId="5"/>
  </si>
  <si>
    <t>TEST_No</t>
    <phoneticPr fontId="5"/>
  </si>
  <si>
    <t>q"eq</t>
    <phoneticPr fontId="5"/>
  </si>
  <si>
    <t>70in</t>
    <phoneticPr fontId="5"/>
  </si>
  <si>
    <t>半径方向の出力</t>
    <rPh sb="0" eb="4">
      <t>ハンケイホウコウ</t>
    </rPh>
    <rPh sb="5" eb="7">
      <t>シュツリョク</t>
    </rPh>
    <phoneticPr fontId="4"/>
  </si>
  <si>
    <t>76in</t>
    <phoneticPr fontId="5"/>
  </si>
  <si>
    <t>実験値のCHFはDNB位置の値</t>
    <rPh sb="0" eb="2">
      <t>ジッケン</t>
    </rPh>
    <rPh sb="2" eb="3">
      <t>アタイ</t>
    </rPh>
    <rPh sb="11" eb="13">
      <t>イチ</t>
    </rPh>
    <rPh sb="14" eb="15">
      <t>アタイ</t>
    </rPh>
    <phoneticPr fontId="5"/>
  </si>
  <si>
    <t>管長[m]</t>
    <rPh sb="0" eb="2">
      <t>カンチョウ</t>
    </rPh>
    <phoneticPr fontId="5"/>
  </si>
  <si>
    <t>70inと76inの２種類</t>
    <rPh sb="11" eb="13">
      <t>シュルイ</t>
    </rPh>
    <phoneticPr fontId="5"/>
  </si>
  <si>
    <t>No108はいらない数値を消して見やすくした。20251104</t>
    <rPh sb="10" eb="12">
      <t>スウチ</t>
    </rPh>
    <rPh sb="13" eb="14">
      <t>ケ</t>
    </rPh>
    <rPh sb="16" eb="17">
      <t>ミ</t>
    </rPh>
    <phoneticPr fontId="5"/>
  </si>
  <si>
    <t>目的：</t>
  </si>
  <si>
    <t>DNB位置の局所熱流束 q_M = Qave × axial × radial を、</t>
  </si>
  <si>
    <t>修正後F_form：</t>
  </si>
  <si>
    <t>108 F_form確認</t>
  </si>
  <si>
    <t>DNB位置までの等価一様加熱へ換算する係数を確認する。</t>
  </si>
  <si>
    <t>Blue_area：</t>
  </si>
  <si>
    <t>入口からDNB位置付近までの軸方向分布 f(x) の積分面積。</t>
  </si>
  <si>
    <t>旧F_form = Blue_area として使っていた。</t>
  </si>
  <si>
    <t>Orange_area：</t>
  </si>
  <si>
    <t>DNB位置の軸方向係数 f_DNB を、</t>
  </si>
  <si>
    <t>入口からDNB位置まで一様に与えた場合の面積。</t>
  </si>
  <si>
    <t>Orange_area = x_DNB × f_DNB</t>
  </si>
  <si>
    <t>F_form_corrected = Blue_area / Orange_area</t>
  </si>
  <si>
    <t>注意：</t>
  </si>
  <si>
    <t>Qaveと半径方向係数は、比を取ると相殺されるため、</t>
  </si>
  <si>
    <t>F_form_correctedには入れない。</t>
  </si>
  <si>
    <t>x_raw</t>
  </si>
  <si>
    <t>z_in</t>
  </si>
  <si>
    <t>f_axial</t>
    <phoneticPr fontId="5"/>
  </si>
  <si>
    <t>dx</t>
    <phoneticPr fontId="5"/>
  </si>
  <si>
    <t>f_avg</t>
    <phoneticPr fontId="5"/>
  </si>
  <si>
    <t>area_seg</t>
    <phoneticPr fontId="5"/>
  </si>
  <si>
    <t>Case</t>
  </si>
  <si>
    <t>DNB_location_in</t>
  </si>
  <si>
    <t>x_DNB</t>
  </si>
  <si>
    <t>f_DNB</t>
  </si>
  <si>
    <t>Blue_area</t>
  </si>
  <si>
    <t>Orange_area</t>
  </si>
  <si>
    <t>F_form_corrected</t>
  </si>
  <si>
    <t>F_form_old</t>
  </si>
  <si>
    <t>old/corrected</t>
  </si>
  <si>
    <t>note</t>
  </si>
  <si>
    <t>108_70in</t>
    <phoneticPr fontId="5"/>
  </si>
  <si>
    <t>x_to</t>
    <phoneticPr fontId="5"/>
  </si>
  <si>
    <t>f_to</t>
    <phoneticPr fontId="5"/>
  </si>
  <si>
    <t>Blue_end_x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</si>
</sst>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</font>
    <font>
      <sz val="11"/>
      <color theme="1"/>
      <name val="游ゴシック"/>
      <family val="2"/>
      <scheme val="minor"/>
    </font>
    <font>
      <sz val="11"/>
      <color theme="0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6"/>
      <name val="ＭＳ Ｐゴシック"/>
      <family val="2"/>
      <charset val="128"/>
    </font>
    <font>
      <b/>
      <sz val="11"/>
      <color theme="0"/>
      <name val="游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0" fillId="3" borderId="1" xfId="0" applyFill="1" applyBorder="1">
      <alignment vertical="center"/>
    </xf>
    <xf numFmtId="0" fontId="0" fillId="0" borderId="4" xfId="0" applyBorder="1">
      <alignment vertical="center"/>
    </xf>
    <xf numFmtId="0" fontId="0" fillId="0" borderId="2" xfId="0" applyBorder="1">
      <alignment vertical="center"/>
    </xf>
    <xf numFmtId="0" fontId="0" fillId="3" borderId="0" xfId="0" applyFill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0" fontId="0" fillId="0" borderId="1" xfId="0" applyBorder="1">
      <alignment vertical="center"/>
    </xf>
    <xf numFmtId="0" fontId="1" fillId="0" borderId="1" xfId="1" applyBorder="1"/>
    <xf numFmtId="0" fontId="0" fillId="0" borderId="5" xfId="0" applyBorder="1">
      <alignment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標準" xfId="0" builtinId="0"/>
    <cellStyle name="標準 3" xfId="1" xr:uid="{65189609-6785-40E1-8B2C-EE6CFEF5BA75}"/>
  </cellStyles>
  <dxfs count="16"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2"/>
        <scheme val="minor"/>
      </font>
      <fill>
        <patternFill patternType="solid">
          <fgColor indexed="64"/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95250</xdr:rowOff>
    </xdr:from>
    <xdr:to>
      <xdr:col>17</xdr:col>
      <xdr:colOff>363754</xdr:colOff>
      <xdr:row>58</xdr:row>
      <xdr:rowOff>140762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9F2CF2-03F4-4A07-B59E-3568F39FA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95700"/>
          <a:ext cx="12022354" cy="63891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EB23F6-C463-4CC8-B754-DAB604076107}" name="テーブル13" displayName="テーブル13" ref="E1:I29" totalsRowShown="0" headerRowDxfId="8" headerRowBorderDxfId="7" tableBorderDxfId="6" totalsRowBorderDxfId="5" headerRowCellStyle="標準 3">
  <autoFilter ref="E1:I29" xr:uid="{FED85BF6-53F5-4C40-A38C-0970C49D804F}"/>
  <tableColumns count="5">
    <tableColumn id="1" xr3:uid="{F9C199F3-32A3-493D-BA84-28C1788CA0AC}" name="A列：z[m]" dataDxfId="4">
      <calculatedColumnFormula>A2</calculatedColumnFormula>
    </tableColumn>
    <tableColumn id="2" xr3:uid="{114F8698-EF3A-4FFB-8964-A85DFC60AE13}" name="B列：q'' [MW/m²]" dataDxfId="3">
      <calculatedColumnFormula>C2</calculatedColumnFormula>
    </tableColumn>
    <tableColumn id="7" xr3:uid="{EFF338BC-90FE-4D05-9A15-D4746E6B8E21}" name="C列：Δz" dataDxfId="2">
      <calculatedColumnFormula>E3-テーブル13[[#This Row],[A列：z'[m']]]</calculatedColumnFormula>
    </tableColumn>
    <tableColumn id="8" xr3:uid="{C2E31892-1DF9-4FA6-8EF7-41101C2436E7}" name="D列：平均出力" dataDxfId="1">
      <calculatedColumnFormula>(F2+F3)/2</calculatedColumnFormula>
    </tableColumn>
    <tableColumn id="9" xr3:uid="{8A75DBCC-24D4-4F4C-8889-2E5BC4545B0C}" name="E列：Δ出力" dataDxfId="0">
      <calculatedColumnFormula>テーブル13[[#This Row],[C列：Δz]]*テーブル13[[#This Row],[D列：平均出力]]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0989E7-EE09-4DEB-BC43-FBBA0DDD2173}" name="テーブル2" displayName="テーブル2" ref="A1:H29" totalsRowShown="0">
  <autoFilter ref="A1:H29" xr:uid="{1A0989E7-EE09-4DEB-BC43-FBBA0DDD21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A16BB6-05C8-4837-AB41-E5529ED81378}" name="x_raw"/>
    <tableColumn id="2" xr3:uid="{29865D8C-7D1E-47FB-83FF-F401A9FAAAE6}" name="z_in" dataDxfId="15">
      <calculatedColumnFormula>A2*96</calculatedColumnFormula>
    </tableColumn>
    <tableColumn id="3" xr3:uid="{473BEE61-CEEE-496D-952C-834BF0DD8DE0}" name="f_axial" dataDxfId="14"/>
    <tableColumn id="8" xr3:uid="{8A1C2B4C-AD49-46A1-A1E0-5E26D89F5847}" name="x_to" dataDxfId="13">
      <calculatedColumnFormula>A3</calculatedColumnFormula>
    </tableColumn>
    <tableColumn id="7" xr3:uid="{1908F6A1-9AD7-4ECC-9A92-76A29DB4E7E5}" name="f_to" dataDxfId="12">
      <calculatedColumnFormula>C3</calculatedColumnFormula>
    </tableColumn>
    <tableColumn id="4" xr3:uid="{9ACC7CAE-7872-4519-B3FA-0CF1BED3CB9C}" name="dx" dataDxfId="11">
      <calculatedColumnFormula>D2-A2</calculatedColumnFormula>
    </tableColumn>
    <tableColumn id="5" xr3:uid="{91F782F8-F748-4764-B902-092A9781F12A}" name="f_avg" dataDxfId="10">
      <calculatedColumnFormula>(C2+E2)/2</calculatedColumnFormula>
    </tableColumn>
    <tableColumn id="6" xr3:uid="{42BA4F70-949C-4B5A-94C2-298FC27983B5}" name="area_seg" dataDxfId="9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159D-F1AD-46CE-8D28-AC73771A06B7}">
  <sheetPr codeName="Sheet5111">
    <tabColor rgb="FFFFFF00"/>
  </sheetPr>
  <dimension ref="A1:L29"/>
  <sheetViews>
    <sheetView workbookViewId="0">
      <selection activeCell="I2" sqref="I2:I21"/>
    </sheetView>
  </sheetViews>
  <sheetFormatPr defaultRowHeight="13.5" x14ac:dyDescent="0.15"/>
  <cols>
    <col min="1" max="1" width="14.375" bestFit="1" customWidth="1"/>
    <col min="2" max="2" width="17.125" bestFit="1" customWidth="1"/>
    <col min="3" max="3" width="14.375" bestFit="1" customWidth="1"/>
    <col min="4" max="4" width="15.125" bestFit="1" customWidth="1"/>
    <col min="5" max="5" width="12.875" bestFit="1" customWidth="1"/>
    <col min="6" max="6" width="20.875" bestFit="1" customWidth="1"/>
    <col min="7" max="7" width="11.625" bestFit="1" customWidth="1"/>
    <col min="8" max="8" width="17" bestFit="1" customWidth="1"/>
    <col min="9" max="9" width="14.625" bestFit="1" customWidth="1"/>
  </cols>
  <sheetData>
    <row r="1" spans="1:12" ht="18.75" x14ac:dyDescent="0.4">
      <c r="A1" s="1" t="s">
        <v>0</v>
      </c>
      <c r="B1" s="1" t="s">
        <v>1</v>
      </c>
      <c r="C1" s="1" t="s">
        <v>2</v>
      </c>
      <c r="D1" s="2"/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K1" t="s">
        <v>8</v>
      </c>
      <c r="L1" t="s">
        <v>9</v>
      </c>
    </row>
    <row r="2" spans="1:12" ht="18.75" x14ac:dyDescent="0.4">
      <c r="A2" s="4">
        <v>0</v>
      </c>
      <c r="B2" s="5">
        <f>A2*96*0.0254</f>
        <v>0</v>
      </c>
      <c r="C2" s="5">
        <v>0.35799999999999998</v>
      </c>
      <c r="D2" s="6"/>
      <c r="E2" s="6">
        <f t="shared" ref="E2:E29" si="0">A2</f>
        <v>0</v>
      </c>
      <c r="F2" s="7">
        <f>C2</f>
        <v>0.35799999999999998</v>
      </c>
      <c r="G2" s="7">
        <f>E3-テーブル13[[#This Row],[A列：z'[m']]]</f>
        <v>5.1999999999999998E-2</v>
      </c>
      <c r="H2" s="7">
        <f>(F2+F3)/2</f>
        <v>0.35849999999999999</v>
      </c>
      <c r="I2" s="7">
        <f>テーブル13[[#This Row],[C列：Δz]]*テーブル13[[#This Row],[D列：平均出力]]</f>
        <v>1.8641999999999999E-2</v>
      </c>
      <c r="K2" t="s">
        <v>10</v>
      </c>
      <c r="L2" s="8">
        <f>SUM(I2:I21)</f>
        <v>0.7551739999999999</v>
      </c>
    </row>
    <row r="3" spans="1:12" ht="18.75" x14ac:dyDescent="0.4">
      <c r="A3" s="4">
        <v>5.1999999999999998E-2</v>
      </c>
      <c r="B3" s="5">
        <f t="shared" ref="B3:B29" si="1">A3*96*0.0254</f>
        <v>0.12679679999999999</v>
      </c>
      <c r="C3" s="5">
        <v>0.35899999999999999</v>
      </c>
      <c r="D3" s="2" t="s">
        <v>11</v>
      </c>
      <c r="E3" s="6">
        <f t="shared" si="0"/>
        <v>5.1999999999999998E-2</v>
      </c>
      <c r="F3" s="6">
        <f t="shared" ref="F3:F29" si="2">C3</f>
        <v>0.35899999999999999</v>
      </c>
      <c r="G3" s="6">
        <f>E4-テーブル13[[#This Row],[A列：z'[m']]]</f>
        <v>5.1999999999999998E-2</v>
      </c>
      <c r="H3" s="6">
        <f t="shared" ref="H3:H29" si="3">(F3+F4)/2</f>
        <v>0.3795</v>
      </c>
      <c r="I3" s="6">
        <f>テーブル13[[#This Row],[C列：Δz]]*テーブル13[[#This Row],[D列：平均出力]]</f>
        <v>1.9733999999999998E-2</v>
      </c>
    </row>
    <row r="4" spans="1:12" ht="18.75" x14ac:dyDescent="0.4">
      <c r="A4" s="4">
        <v>0.104</v>
      </c>
      <c r="B4" s="5">
        <f t="shared" si="1"/>
        <v>0.25359359999999997</v>
      </c>
      <c r="C4" s="5">
        <v>0.4</v>
      </c>
      <c r="D4" s="6">
        <v>1.145</v>
      </c>
      <c r="E4" s="6">
        <f t="shared" si="0"/>
        <v>0.104</v>
      </c>
      <c r="F4" s="6">
        <f t="shared" si="2"/>
        <v>0.4</v>
      </c>
      <c r="G4" s="6">
        <f>E5-テーブル13[[#This Row],[A列：z'[m']]]</f>
        <v>5.2000000000000005E-2</v>
      </c>
      <c r="H4" s="6">
        <f t="shared" si="3"/>
        <v>0.42900000000000005</v>
      </c>
      <c r="I4" s="6">
        <f>テーブル13[[#This Row],[C列：Δz]]*テーブル13[[#This Row],[D列：平均出力]]</f>
        <v>2.2308000000000005E-2</v>
      </c>
      <c r="K4" t="s">
        <v>12</v>
      </c>
      <c r="L4" s="8">
        <f>SUM(I2:I23)</f>
        <v>0.86274899999999988</v>
      </c>
    </row>
    <row r="5" spans="1:12" ht="18.75" x14ac:dyDescent="0.4">
      <c r="A5" s="4">
        <v>0.156</v>
      </c>
      <c r="B5" s="5">
        <f t="shared" si="1"/>
        <v>0.38039039999999996</v>
      </c>
      <c r="C5" s="5">
        <v>0.45800000000000002</v>
      </c>
      <c r="D5" s="9"/>
      <c r="E5" s="6">
        <f t="shared" si="0"/>
        <v>0.156</v>
      </c>
      <c r="F5" s="6">
        <f t="shared" si="2"/>
        <v>0.45800000000000002</v>
      </c>
      <c r="G5" s="6">
        <f>E6-テーブル13[[#This Row],[A列：z'[m']]]</f>
        <v>5.1999999999999991E-2</v>
      </c>
      <c r="H5" s="6">
        <f t="shared" si="3"/>
        <v>0.51249999999999996</v>
      </c>
      <c r="I5" s="6">
        <f>テーブル13[[#This Row],[C列：Δz]]*テーブル13[[#This Row],[D列：平均出力]]</f>
        <v>2.6649999999999993E-2</v>
      </c>
    </row>
    <row r="6" spans="1:12" ht="18.75" x14ac:dyDescent="0.4">
      <c r="A6" s="4">
        <v>0.20799999999999999</v>
      </c>
      <c r="B6" s="5">
        <f t="shared" si="1"/>
        <v>0.50718719999999995</v>
      </c>
      <c r="C6" s="5">
        <v>0.56699999999999995</v>
      </c>
      <c r="D6" s="10"/>
      <c r="E6" s="6">
        <f t="shared" si="0"/>
        <v>0.20799999999999999</v>
      </c>
      <c r="F6" s="6">
        <f t="shared" si="2"/>
        <v>0.56699999999999995</v>
      </c>
      <c r="G6" s="6">
        <f>E7-テーブル13[[#This Row],[A列：z'[m']]]</f>
        <v>5.2000000000000018E-2</v>
      </c>
      <c r="H6" s="6">
        <f t="shared" si="3"/>
        <v>0.625</v>
      </c>
      <c r="I6" s="6">
        <f>テーブル13[[#This Row],[C列：Δz]]*テーブル13[[#This Row],[D列：平均出力]]</f>
        <v>3.2500000000000015E-2</v>
      </c>
      <c r="K6" t="s">
        <v>13</v>
      </c>
    </row>
    <row r="7" spans="1:12" ht="18.75" x14ac:dyDescent="0.4">
      <c r="A7" s="4">
        <v>0.26</v>
      </c>
      <c r="B7" s="5">
        <f t="shared" si="1"/>
        <v>0.63398399999999999</v>
      </c>
      <c r="C7" s="5">
        <v>0.68300000000000005</v>
      </c>
      <c r="D7" s="9" t="s">
        <v>14</v>
      </c>
      <c r="E7" s="6">
        <f t="shared" si="0"/>
        <v>0.26</v>
      </c>
      <c r="F7" s="6">
        <f t="shared" si="2"/>
        <v>0.68300000000000005</v>
      </c>
      <c r="G7" s="6">
        <f>E8-テーブル13[[#This Row],[A列：z'[m']]]</f>
        <v>5.2999999999999992E-2</v>
      </c>
      <c r="H7" s="6">
        <f t="shared" si="3"/>
        <v>0.75800000000000001</v>
      </c>
      <c r="I7" s="6">
        <f>テーブル13[[#This Row],[C列：Δz]]*テーブル13[[#This Row],[D列：平均出力]]</f>
        <v>4.0173999999999994E-2</v>
      </c>
    </row>
    <row r="8" spans="1:12" ht="18.75" x14ac:dyDescent="0.4">
      <c r="A8" s="4">
        <v>0.313</v>
      </c>
      <c r="B8" s="5">
        <f t="shared" si="1"/>
        <v>0.76321919999999999</v>
      </c>
      <c r="C8" s="5">
        <v>0.83299999999999996</v>
      </c>
      <c r="D8" s="10">
        <f>B21</f>
        <v>1.7775935999999999</v>
      </c>
      <c r="E8" s="6">
        <f t="shared" si="0"/>
        <v>0.313</v>
      </c>
      <c r="F8" s="6">
        <f t="shared" si="2"/>
        <v>0.83299999999999996</v>
      </c>
      <c r="G8" s="6">
        <f>E9-テーブル13[[#This Row],[A列：z'[m']]]</f>
        <v>5.1999999999999991E-2</v>
      </c>
      <c r="H8" s="6">
        <f t="shared" si="3"/>
        <v>0.91249999999999998</v>
      </c>
      <c r="I8" s="6">
        <f>テーブル13[[#This Row],[C列：Δz]]*テーブル13[[#This Row],[D列：平均出力]]</f>
        <v>4.7449999999999992E-2</v>
      </c>
    </row>
    <row r="9" spans="1:12" ht="18.75" x14ac:dyDescent="0.4">
      <c r="A9" s="4">
        <v>0.36499999999999999</v>
      </c>
      <c r="B9" s="5">
        <f t="shared" si="1"/>
        <v>0.89001599999999992</v>
      </c>
      <c r="C9" s="5">
        <v>0.99199999999999999</v>
      </c>
      <c r="D9" s="11">
        <v>1.9043903999999998</v>
      </c>
      <c r="E9" s="6">
        <f t="shared" si="0"/>
        <v>0.36499999999999999</v>
      </c>
      <c r="F9" s="6">
        <f t="shared" si="2"/>
        <v>0.99199999999999999</v>
      </c>
      <c r="G9" s="6">
        <f>E10-テーブル13[[#This Row],[A列：z'[m']]]</f>
        <v>5.1999999999999991E-2</v>
      </c>
      <c r="H9" s="6">
        <f t="shared" si="3"/>
        <v>1.0625</v>
      </c>
      <c r="I9" s="6">
        <f>テーブル13[[#This Row],[C列：Δz]]*テーブル13[[#This Row],[D列：平均出力]]</f>
        <v>5.5249999999999994E-2</v>
      </c>
    </row>
    <row r="10" spans="1:12" ht="18.75" x14ac:dyDescent="0.4">
      <c r="A10" s="4">
        <v>0.41699999999999998</v>
      </c>
      <c r="B10" s="5">
        <f t="shared" si="1"/>
        <v>1.0168127999999999</v>
      </c>
      <c r="C10" s="5">
        <v>1.133</v>
      </c>
      <c r="D10" t="s">
        <v>15</v>
      </c>
      <c r="E10" s="6">
        <f t="shared" si="0"/>
        <v>0.41699999999999998</v>
      </c>
      <c r="F10" s="6">
        <f t="shared" si="2"/>
        <v>1.133</v>
      </c>
      <c r="G10" s="6">
        <f>E11-テーブル13[[#This Row],[A列：z'[m']]]</f>
        <v>5.1999999999999991E-2</v>
      </c>
      <c r="H10" s="6">
        <f t="shared" si="3"/>
        <v>1.1955</v>
      </c>
      <c r="I10" s="6">
        <f>テーブル13[[#This Row],[C列：Δz]]*テーブル13[[#This Row],[D列：平均出力]]</f>
        <v>6.2165999999999992E-2</v>
      </c>
      <c r="K10" t="s">
        <v>16</v>
      </c>
    </row>
    <row r="11" spans="1:12" ht="18.75" x14ac:dyDescent="0.4">
      <c r="A11" s="4">
        <v>0.46899999999999997</v>
      </c>
      <c r="B11" s="5">
        <f t="shared" si="1"/>
        <v>1.1436096</v>
      </c>
      <c r="C11" s="5">
        <v>1.258</v>
      </c>
      <c r="E11" s="6">
        <f t="shared" si="0"/>
        <v>0.46899999999999997</v>
      </c>
      <c r="F11" s="6">
        <f t="shared" si="2"/>
        <v>1.258</v>
      </c>
      <c r="G11" s="6">
        <f>E12-テーブル13[[#This Row],[A列：z'[m']]]</f>
        <v>2.6000000000000023E-2</v>
      </c>
      <c r="H11" s="6">
        <f t="shared" si="3"/>
        <v>1.2814999999999999</v>
      </c>
      <c r="I11" s="6">
        <f>テーブル13[[#This Row],[C列：Δz]]*テーブル13[[#This Row],[D列：平均出力]]</f>
        <v>3.3319000000000029E-2</v>
      </c>
    </row>
    <row r="12" spans="1:12" ht="18.75" x14ac:dyDescent="0.4">
      <c r="A12" s="4">
        <v>0.495</v>
      </c>
      <c r="B12" s="5">
        <f t="shared" si="1"/>
        <v>1.2070079999999999</v>
      </c>
      <c r="C12" s="5">
        <v>1.3049999999999999</v>
      </c>
      <c r="E12" s="6">
        <f t="shared" si="0"/>
        <v>0.495</v>
      </c>
      <c r="F12" s="6">
        <f t="shared" si="2"/>
        <v>1.3049999999999999</v>
      </c>
      <c r="G12" s="6">
        <f>E13-テーブル13[[#This Row],[A列：z'[m']]]</f>
        <v>2.6000000000000023E-2</v>
      </c>
      <c r="H12" s="6">
        <f t="shared" si="3"/>
        <v>1.3275000000000001</v>
      </c>
      <c r="I12" s="6">
        <f>テーブル13[[#This Row],[C列：Δz]]*テーブル13[[#This Row],[D列：平均出力]]</f>
        <v>3.4515000000000032E-2</v>
      </c>
    </row>
    <row r="13" spans="1:12" ht="18.75" x14ac:dyDescent="0.4">
      <c r="A13" s="4">
        <v>0.52100000000000002</v>
      </c>
      <c r="B13" s="5">
        <f t="shared" si="1"/>
        <v>1.2704064000000002</v>
      </c>
      <c r="C13" s="5">
        <v>1.35</v>
      </c>
      <c r="E13" s="6">
        <f t="shared" si="0"/>
        <v>0.52100000000000002</v>
      </c>
      <c r="F13" s="6">
        <f t="shared" si="2"/>
        <v>1.35</v>
      </c>
      <c r="G13" s="6">
        <f>E14-テーブル13[[#This Row],[A列：z'[m']]]</f>
        <v>2.6000000000000023E-2</v>
      </c>
      <c r="H13" s="6">
        <f t="shared" si="3"/>
        <v>1.38</v>
      </c>
      <c r="I13" s="6">
        <f>テーブル13[[#This Row],[C列：Δz]]*テーブル13[[#This Row],[D列：平均出力]]</f>
        <v>3.588000000000003E-2</v>
      </c>
    </row>
    <row r="14" spans="1:12" ht="18.75" x14ac:dyDescent="0.4">
      <c r="A14" s="4">
        <v>0.54700000000000004</v>
      </c>
      <c r="B14" s="5">
        <f t="shared" si="1"/>
        <v>1.3338048</v>
      </c>
      <c r="C14" s="5">
        <v>1.41</v>
      </c>
      <c r="E14" s="6">
        <f t="shared" si="0"/>
        <v>0.54700000000000004</v>
      </c>
      <c r="F14" s="6">
        <f t="shared" si="2"/>
        <v>1.41</v>
      </c>
      <c r="G14" s="6">
        <f>E15-テーブル13[[#This Row],[A列：z'[m']]]</f>
        <v>2.5999999999999912E-2</v>
      </c>
      <c r="H14" s="6">
        <f t="shared" si="3"/>
        <v>1.4384999999999999</v>
      </c>
      <c r="I14" s="6">
        <f>テーブル13[[#This Row],[C列：Δz]]*テーブル13[[#This Row],[D列：平均出力]]</f>
        <v>3.7400999999999872E-2</v>
      </c>
    </row>
    <row r="15" spans="1:12" ht="18.75" x14ac:dyDescent="0.4">
      <c r="A15" s="4">
        <v>0.57299999999999995</v>
      </c>
      <c r="B15" s="5">
        <f t="shared" si="1"/>
        <v>1.3972031999999999</v>
      </c>
      <c r="C15" s="5">
        <v>1.4670000000000001</v>
      </c>
      <c r="E15" s="6">
        <f t="shared" si="0"/>
        <v>0.57299999999999995</v>
      </c>
      <c r="F15" s="6">
        <f t="shared" si="2"/>
        <v>1.4670000000000001</v>
      </c>
      <c r="G15" s="6">
        <f>E16-テーブル13[[#This Row],[A列：z'[m']]]</f>
        <v>2.6000000000000023E-2</v>
      </c>
      <c r="H15" s="6">
        <f t="shared" si="3"/>
        <v>1.4944999999999999</v>
      </c>
      <c r="I15" s="6">
        <f>テーブル13[[#This Row],[C列：Δz]]*テーブル13[[#This Row],[D列：平均出力]]</f>
        <v>3.885700000000003E-2</v>
      </c>
    </row>
    <row r="16" spans="1:12" ht="18.75" x14ac:dyDescent="0.4">
      <c r="A16" s="4">
        <v>0.59899999999999998</v>
      </c>
      <c r="B16" s="5">
        <f t="shared" si="1"/>
        <v>1.4606015999999999</v>
      </c>
      <c r="C16" s="5">
        <v>1.522</v>
      </c>
      <c r="E16" s="6">
        <f t="shared" si="0"/>
        <v>0.59899999999999998</v>
      </c>
      <c r="F16" s="6">
        <f t="shared" si="2"/>
        <v>1.522</v>
      </c>
      <c r="G16" s="6">
        <f>E17-テーブル13[[#This Row],[A列：z'[m']]]</f>
        <v>2.6000000000000023E-2</v>
      </c>
      <c r="H16" s="6">
        <f t="shared" si="3"/>
        <v>1.5569999999999999</v>
      </c>
      <c r="I16" s="6">
        <f>テーブル13[[#This Row],[C列：Δz]]*テーブル13[[#This Row],[D列：平均出力]]</f>
        <v>4.0482000000000032E-2</v>
      </c>
    </row>
    <row r="17" spans="1:9" ht="18.75" x14ac:dyDescent="0.4">
      <c r="A17" s="4">
        <v>0.625</v>
      </c>
      <c r="B17" s="5">
        <f t="shared" si="1"/>
        <v>1.524</v>
      </c>
      <c r="C17" s="5">
        <v>1.5920000000000001</v>
      </c>
      <c r="E17" s="6">
        <f t="shared" si="0"/>
        <v>0.625</v>
      </c>
      <c r="F17" s="6">
        <f t="shared" si="2"/>
        <v>1.5920000000000001</v>
      </c>
      <c r="G17" s="6">
        <f>E18-テーブル13[[#This Row],[A列：z'[m']]]</f>
        <v>2.6000000000000023E-2</v>
      </c>
      <c r="H17" s="6">
        <f t="shared" si="3"/>
        <v>1.6160000000000001</v>
      </c>
      <c r="I17" s="6">
        <f>テーブル13[[#This Row],[C列：Δz]]*テーブル13[[#This Row],[D列：平均出力]]</f>
        <v>4.2016000000000039E-2</v>
      </c>
    </row>
    <row r="18" spans="1:9" ht="18.75" x14ac:dyDescent="0.4">
      <c r="A18" s="4">
        <v>0.65100000000000002</v>
      </c>
      <c r="B18" s="5">
        <f t="shared" si="1"/>
        <v>1.5873984000000001</v>
      </c>
      <c r="C18" s="5">
        <v>1.64</v>
      </c>
      <c r="E18" s="6">
        <f t="shared" si="0"/>
        <v>0.65100000000000002</v>
      </c>
      <c r="F18" s="6">
        <f t="shared" si="2"/>
        <v>1.64</v>
      </c>
      <c r="G18" s="6">
        <f>E19-テーブル13[[#This Row],[A列：z'[m']]]</f>
        <v>2.6000000000000023E-2</v>
      </c>
      <c r="H18" s="6">
        <f t="shared" si="3"/>
        <v>1.6484999999999999</v>
      </c>
      <c r="I18" s="6">
        <f>テーブル13[[#This Row],[C列：Δz]]*テーブル13[[#This Row],[D列：平均出力]]</f>
        <v>4.2861000000000031E-2</v>
      </c>
    </row>
    <row r="19" spans="1:9" ht="18.75" x14ac:dyDescent="0.4">
      <c r="A19" s="4">
        <v>0.67700000000000005</v>
      </c>
      <c r="B19" s="5">
        <f t="shared" si="1"/>
        <v>1.6507968</v>
      </c>
      <c r="C19" s="5">
        <v>1.657</v>
      </c>
      <c r="E19" s="6">
        <f t="shared" si="0"/>
        <v>0.67700000000000005</v>
      </c>
      <c r="F19" s="6">
        <f t="shared" si="2"/>
        <v>1.657</v>
      </c>
      <c r="G19" s="6">
        <f>E20-テーブル13[[#This Row],[A列：z'[m']]]</f>
        <v>2.5999999999999912E-2</v>
      </c>
      <c r="H19" s="6">
        <f t="shared" si="3"/>
        <v>1.6484999999999999</v>
      </c>
      <c r="I19" s="6">
        <f>テーブル13[[#This Row],[C列：Δz]]*テーブル13[[#This Row],[D列：平均出力]]</f>
        <v>4.2860999999999851E-2</v>
      </c>
    </row>
    <row r="20" spans="1:9" ht="18.75" x14ac:dyDescent="0.4">
      <c r="A20" s="4">
        <v>0.70299999999999996</v>
      </c>
      <c r="B20" s="5">
        <f t="shared" si="1"/>
        <v>1.7141951999999998</v>
      </c>
      <c r="C20" s="5">
        <v>1.64</v>
      </c>
      <c r="E20" s="6">
        <f t="shared" si="0"/>
        <v>0.70299999999999996</v>
      </c>
      <c r="F20" s="6">
        <f t="shared" si="2"/>
        <v>1.64</v>
      </c>
      <c r="G20" s="6">
        <f>E21-テーブル13[[#This Row],[A列：z'[m']]]</f>
        <v>2.6000000000000023E-2</v>
      </c>
      <c r="H20" s="6">
        <f t="shared" si="3"/>
        <v>1.6114999999999999</v>
      </c>
      <c r="I20" s="6">
        <f>テーブル13[[#This Row],[C列：Δz]]*テーブル13[[#This Row],[D列：平均出力]]</f>
        <v>4.1899000000000033E-2</v>
      </c>
    </row>
    <row r="21" spans="1:9" ht="18.75" x14ac:dyDescent="0.4">
      <c r="A21" s="4">
        <v>0.72899999999999998</v>
      </c>
      <c r="B21" s="5">
        <f t="shared" si="1"/>
        <v>1.7775935999999999</v>
      </c>
      <c r="C21" s="5">
        <v>1.583</v>
      </c>
      <c r="E21" s="6">
        <f t="shared" si="0"/>
        <v>0.72899999999999998</v>
      </c>
      <c r="F21" s="6">
        <f t="shared" si="2"/>
        <v>1.583</v>
      </c>
      <c r="G21" s="6">
        <f>E22-テーブル13[[#This Row],[A列：z'[m']]]</f>
        <v>2.6000000000000023E-2</v>
      </c>
      <c r="H21" s="6">
        <f t="shared" si="3"/>
        <v>1.5465</v>
      </c>
      <c r="I21" s="6">
        <f>テーブル13[[#This Row],[C列：Δz]]*テーブル13[[#This Row],[D列：平均出力]]</f>
        <v>4.0209000000000036E-2</v>
      </c>
    </row>
    <row r="22" spans="1:9" ht="18.75" x14ac:dyDescent="0.4">
      <c r="A22" s="12">
        <v>0.755</v>
      </c>
      <c r="B22" s="11">
        <f t="shared" si="1"/>
        <v>1.840992</v>
      </c>
      <c r="C22" s="11">
        <v>1.51</v>
      </c>
      <c r="E22" s="6">
        <f t="shared" si="0"/>
        <v>0.755</v>
      </c>
      <c r="F22" s="6">
        <f t="shared" si="2"/>
        <v>1.51</v>
      </c>
      <c r="G22" s="6">
        <f>E23-テーブル13[[#This Row],[A列：z'[m']]]</f>
        <v>2.6000000000000023E-2</v>
      </c>
      <c r="H22" s="6">
        <f t="shared" si="3"/>
        <v>1.4715</v>
      </c>
      <c r="I22" s="6">
        <f>テーブル13[[#This Row],[C列：Δz]]*テーブル13[[#This Row],[D列：平均出力]]</f>
        <v>3.8259000000000036E-2</v>
      </c>
    </row>
    <row r="23" spans="1:9" ht="18.75" x14ac:dyDescent="0.4">
      <c r="A23" s="12">
        <v>0.78100000000000003</v>
      </c>
      <c r="B23" s="11">
        <f t="shared" si="1"/>
        <v>1.9043903999999998</v>
      </c>
      <c r="C23" s="11">
        <v>1.4330000000000001</v>
      </c>
      <c r="E23" s="6">
        <f t="shared" si="0"/>
        <v>0.78100000000000003</v>
      </c>
      <c r="F23" s="6">
        <f t="shared" si="2"/>
        <v>1.4330000000000001</v>
      </c>
      <c r="G23" s="6">
        <f>E24-テーブル13[[#This Row],[A列：z'[m']]]</f>
        <v>5.1999999999999935E-2</v>
      </c>
      <c r="H23" s="6">
        <f t="shared" si="3"/>
        <v>1.3330000000000002</v>
      </c>
      <c r="I23" s="6">
        <f>テーブル13[[#This Row],[C列：Δz]]*テーブル13[[#This Row],[D列：平均出力]]</f>
        <v>6.9315999999999919E-2</v>
      </c>
    </row>
    <row r="24" spans="1:9" ht="18.75" x14ac:dyDescent="0.4">
      <c r="A24" s="12">
        <v>0.83299999999999996</v>
      </c>
      <c r="B24" s="11">
        <f t="shared" si="1"/>
        <v>2.0311871999999997</v>
      </c>
      <c r="C24" s="11">
        <v>1.2330000000000001</v>
      </c>
      <c r="E24" s="6">
        <f t="shared" si="0"/>
        <v>0.83299999999999996</v>
      </c>
      <c r="F24" s="6">
        <f t="shared" si="2"/>
        <v>1.2330000000000001</v>
      </c>
      <c r="G24" s="6">
        <f>E25-テーブル13[[#This Row],[A列：z'[m']]]</f>
        <v>5.2000000000000046E-2</v>
      </c>
      <c r="H24" s="6">
        <f t="shared" si="3"/>
        <v>1.113</v>
      </c>
      <c r="I24" s="6">
        <f>テーブル13[[#This Row],[C列：Δz]]*テーブル13[[#This Row],[D列：平均出力]]</f>
        <v>5.7876000000000052E-2</v>
      </c>
    </row>
    <row r="25" spans="1:9" ht="18.75" x14ac:dyDescent="0.4">
      <c r="A25" s="12">
        <v>0.88500000000000001</v>
      </c>
      <c r="B25" s="11">
        <f t="shared" si="1"/>
        <v>2.1579839999999999</v>
      </c>
      <c r="C25" s="11">
        <v>0.99299999999999999</v>
      </c>
      <c r="E25" s="6">
        <f t="shared" si="0"/>
        <v>0.88500000000000001</v>
      </c>
      <c r="F25" s="6">
        <f t="shared" si="2"/>
        <v>0.99299999999999999</v>
      </c>
      <c r="G25" s="6">
        <f>E26-テーブル13[[#This Row],[A列：z'[m']]]</f>
        <v>2.6000000000000023E-2</v>
      </c>
      <c r="H25" s="6">
        <f t="shared" si="3"/>
        <v>0.90399999999999991</v>
      </c>
      <c r="I25" s="6">
        <f>テーブル13[[#This Row],[C列：Δz]]*テーブル13[[#This Row],[D列：平均出力]]</f>
        <v>2.3504000000000018E-2</v>
      </c>
    </row>
    <row r="26" spans="1:9" ht="18.75" x14ac:dyDescent="0.4">
      <c r="A26" s="12">
        <v>0.91100000000000003</v>
      </c>
      <c r="B26" s="11">
        <f t="shared" si="1"/>
        <v>2.2213824</v>
      </c>
      <c r="C26" s="11">
        <v>0.81499999999999995</v>
      </c>
      <c r="E26" s="6">
        <f t="shared" si="0"/>
        <v>0.91100000000000003</v>
      </c>
      <c r="F26" s="6">
        <f t="shared" si="2"/>
        <v>0.81499999999999995</v>
      </c>
      <c r="G26" s="6">
        <f>E27-テーブル13[[#This Row],[A列：z'[m']]]</f>
        <v>2.6999999999999913E-2</v>
      </c>
      <c r="H26" s="6">
        <f t="shared" si="3"/>
        <v>0.72399999999999998</v>
      </c>
      <c r="I26" s="6">
        <f>テーブル13[[#This Row],[C列：Δz]]*テーブル13[[#This Row],[D列：平均出力]]</f>
        <v>1.9547999999999937E-2</v>
      </c>
    </row>
    <row r="27" spans="1:9" ht="18.75" x14ac:dyDescent="0.4">
      <c r="A27" s="12">
        <v>0.93799999999999994</v>
      </c>
      <c r="B27" s="11">
        <f t="shared" si="1"/>
        <v>2.2872192</v>
      </c>
      <c r="C27" s="11">
        <v>0.63300000000000001</v>
      </c>
      <c r="E27" s="6">
        <f t="shared" si="0"/>
        <v>0.93799999999999994</v>
      </c>
      <c r="F27" s="6">
        <f t="shared" si="2"/>
        <v>0.63300000000000001</v>
      </c>
      <c r="G27" s="6">
        <f>E28-テーブル13[[#This Row],[A列：z'[m']]]</f>
        <v>2.5000000000000022E-2</v>
      </c>
      <c r="H27" s="6">
        <f t="shared" si="3"/>
        <v>0.57650000000000001</v>
      </c>
      <c r="I27" s="6">
        <f>テーブル13[[#This Row],[C列：Δz]]*テーブル13[[#This Row],[D列：平均出力]]</f>
        <v>1.4412500000000014E-2</v>
      </c>
    </row>
    <row r="28" spans="1:9" ht="18.75" x14ac:dyDescent="0.4">
      <c r="A28" s="12">
        <v>0.96299999999999997</v>
      </c>
      <c r="B28" s="11">
        <f t="shared" si="1"/>
        <v>2.3481791999999997</v>
      </c>
      <c r="C28" s="11">
        <v>0.52</v>
      </c>
      <c r="E28" s="6">
        <f t="shared" si="0"/>
        <v>0.96299999999999997</v>
      </c>
      <c r="F28" s="6">
        <f t="shared" si="2"/>
        <v>0.52</v>
      </c>
      <c r="G28" s="6">
        <f>E29-テーブル13[[#This Row],[A列：z'[m']]]</f>
        <v>3.7000000000000033E-2</v>
      </c>
      <c r="H28" s="6">
        <f t="shared" si="3"/>
        <v>0.44350000000000001</v>
      </c>
      <c r="I28" s="6">
        <f>テーブル13[[#This Row],[C列：Δz]]*テーブル13[[#This Row],[D列：平均出力]]</f>
        <v>1.6409500000000014E-2</v>
      </c>
    </row>
    <row r="29" spans="1:9" ht="18.75" x14ac:dyDescent="0.4">
      <c r="A29" s="12">
        <v>1</v>
      </c>
      <c r="B29" s="11">
        <f t="shared" si="1"/>
        <v>2.4383999999999997</v>
      </c>
      <c r="C29" s="11">
        <v>0.36699999999999999</v>
      </c>
      <c r="E29" s="13">
        <f t="shared" si="0"/>
        <v>1</v>
      </c>
      <c r="F29" s="13">
        <f t="shared" si="2"/>
        <v>0.36699999999999999</v>
      </c>
      <c r="G29" s="13">
        <v>0</v>
      </c>
      <c r="H29" s="13">
        <f t="shared" si="3"/>
        <v>0.1835</v>
      </c>
      <c r="I29" s="13">
        <f>テーブル13[[#This Row],[C列：Δz]]*テーブル13[[#This Row],[D列：平均出力]]</f>
        <v>0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BCBD3-4EBF-4C19-A42D-0939142D9363}">
  <sheetPr codeName="Sheet1"/>
  <dimension ref="A1:T29"/>
  <sheetViews>
    <sheetView tabSelected="1" workbookViewId="0">
      <selection activeCell="Q3" sqref="Q3"/>
    </sheetView>
  </sheetViews>
  <sheetFormatPr defaultRowHeight="13.5" x14ac:dyDescent="0.15"/>
  <cols>
    <col min="8" max="8" width="10.5" customWidth="1"/>
    <col min="10" max="10" width="8.5" bestFit="1" customWidth="1"/>
    <col min="11" max="11" width="14.625" bestFit="1" customWidth="1"/>
    <col min="12" max="12" width="6.75" bestFit="1" customWidth="1"/>
    <col min="13" max="13" width="12.75" bestFit="1" customWidth="1"/>
    <col min="14" max="14" width="12.75" customWidth="1"/>
    <col min="15" max="15" width="9.125" bestFit="1" customWidth="1"/>
    <col min="16" max="16" width="11.375" bestFit="1" customWidth="1"/>
    <col min="17" max="17" width="15.625" bestFit="1" customWidth="1"/>
    <col min="18" max="18" width="9.625" bestFit="1" customWidth="1"/>
    <col min="19" max="19" width="12.75" bestFit="1" customWidth="1"/>
    <col min="20" max="20" width="5.125" bestFit="1" customWidth="1"/>
    <col min="21" max="21" width="18" customWidth="1"/>
  </cols>
  <sheetData>
    <row r="1" spans="1:20" x14ac:dyDescent="0.15">
      <c r="A1" t="s">
        <v>33</v>
      </c>
      <c r="B1" t="s">
        <v>34</v>
      </c>
      <c r="C1" t="s">
        <v>35</v>
      </c>
      <c r="D1" t="s">
        <v>50</v>
      </c>
      <c r="E1" t="s">
        <v>51</v>
      </c>
      <c r="F1" t="s">
        <v>36</v>
      </c>
      <c r="G1" t="s">
        <v>37</v>
      </c>
      <c r="H1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52</v>
      </c>
      <c r="O1" s="14" t="s">
        <v>43</v>
      </c>
      <c r="P1" s="14" t="s">
        <v>44</v>
      </c>
      <c r="Q1" s="14" t="s">
        <v>45</v>
      </c>
      <c r="R1" s="14" t="s">
        <v>46</v>
      </c>
      <c r="S1" s="14" t="s">
        <v>47</v>
      </c>
      <c r="T1" s="14" t="s">
        <v>48</v>
      </c>
    </row>
    <row r="2" spans="1:20" x14ac:dyDescent="0.15">
      <c r="A2">
        <v>0</v>
      </c>
      <c r="B2">
        <f t="shared" ref="B2:B29" si="0">A2*96</f>
        <v>0</v>
      </c>
      <c r="C2">
        <v>0.35799999999999998</v>
      </c>
      <c r="D2">
        <f t="shared" ref="D2:D29" si="1">A3</f>
        <v>5.1999999999999998E-2</v>
      </c>
      <c r="E2">
        <f t="shared" ref="E2:E29" si="2">C3</f>
        <v>0.35899999999999999</v>
      </c>
      <c r="F2">
        <f t="shared" ref="F2:F29" si="3">D2-A2</f>
        <v>5.1999999999999998E-2</v>
      </c>
      <c r="G2">
        <f t="shared" ref="G2:G29" si="4">(C2+E2)/2</f>
        <v>0.35849999999999999</v>
      </c>
      <c r="H2">
        <f>F2*G2</f>
        <v>1.8641999999999999E-2</v>
      </c>
      <c r="J2" t="s">
        <v>49</v>
      </c>
      <c r="K2">
        <v>70</v>
      </c>
      <c r="L2">
        <f xml:space="preserve"> K2/96</f>
        <v>0.72916666666666663</v>
      </c>
      <c r="M2">
        <v>1.582795299</v>
      </c>
      <c r="N2">
        <v>0.72899999999999998</v>
      </c>
      <c r="O2">
        <f>SUM(H2:H21)</f>
        <v>0.7551739999999999</v>
      </c>
      <c r="P2">
        <f>L2*M2</f>
        <v>1.1541215721875</v>
      </c>
      <c r="Q2">
        <f>O2/P2</f>
        <v>0.65432794793763149</v>
      </c>
      <c r="R2">
        <f>O2</f>
        <v>0.7551739999999999</v>
      </c>
      <c r="S2">
        <f>R2/Q2</f>
        <v>1.1541215721875</v>
      </c>
    </row>
    <row r="3" spans="1:20" x14ac:dyDescent="0.15">
      <c r="A3">
        <v>5.1999999999999998E-2</v>
      </c>
      <c r="B3">
        <f>A3*96</f>
        <v>4.992</v>
      </c>
      <c r="C3">
        <v>0.35899999999999999</v>
      </c>
      <c r="D3">
        <f t="shared" si="1"/>
        <v>0.104</v>
      </c>
      <c r="E3">
        <f t="shared" si="2"/>
        <v>0.4</v>
      </c>
      <c r="F3">
        <f t="shared" si="3"/>
        <v>5.1999999999999998E-2</v>
      </c>
      <c r="G3">
        <f t="shared" si="4"/>
        <v>0.3795</v>
      </c>
      <c r="H3">
        <f t="shared" ref="H3:H29" si="5">F3*G3</f>
        <v>1.9733999999999998E-2</v>
      </c>
      <c r="Q3">
        <v>0.760494</v>
      </c>
    </row>
    <row r="4" spans="1:20" x14ac:dyDescent="0.15">
      <c r="A4">
        <v>0.104</v>
      </c>
      <c r="B4">
        <f t="shared" si="0"/>
        <v>9.984</v>
      </c>
      <c r="C4">
        <v>0.4</v>
      </c>
      <c r="D4">
        <f t="shared" si="1"/>
        <v>0.156</v>
      </c>
      <c r="E4">
        <f t="shared" si="2"/>
        <v>0.45800000000000002</v>
      </c>
      <c r="F4">
        <f t="shared" si="3"/>
        <v>5.2000000000000005E-2</v>
      </c>
      <c r="G4">
        <f t="shared" si="4"/>
        <v>0.42900000000000005</v>
      </c>
      <c r="H4">
        <f t="shared" si="5"/>
        <v>2.2308000000000005E-2</v>
      </c>
    </row>
    <row r="5" spans="1:20" x14ac:dyDescent="0.15">
      <c r="A5">
        <v>0.156</v>
      </c>
      <c r="B5">
        <f t="shared" si="0"/>
        <v>14.975999999999999</v>
      </c>
      <c r="C5">
        <v>0.45800000000000002</v>
      </c>
      <c r="D5">
        <f t="shared" si="1"/>
        <v>0.20799999999999999</v>
      </c>
      <c r="E5">
        <f t="shared" si="2"/>
        <v>0.56699999999999995</v>
      </c>
      <c r="F5">
        <f t="shared" si="3"/>
        <v>5.1999999999999991E-2</v>
      </c>
      <c r="G5">
        <f t="shared" si="4"/>
        <v>0.51249999999999996</v>
      </c>
      <c r="H5">
        <f t="shared" si="5"/>
        <v>2.6649999999999993E-2</v>
      </c>
      <c r="J5" s="15"/>
      <c r="K5" s="15"/>
    </row>
    <row r="6" spans="1:20" x14ac:dyDescent="0.15">
      <c r="A6">
        <v>0.20799999999999999</v>
      </c>
      <c r="B6">
        <f t="shared" si="0"/>
        <v>19.968</v>
      </c>
      <c r="C6">
        <v>0.56699999999999995</v>
      </c>
      <c r="D6">
        <f t="shared" si="1"/>
        <v>0.26</v>
      </c>
      <c r="E6">
        <f t="shared" si="2"/>
        <v>0.68300000000000005</v>
      </c>
      <c r="F6">
        <f t="shared" si="3"/>
        <v>5.2000000000000018E-2</v>
      </c>
      <c r="G6">
        <f t="shared" si="4"/>
        <v>0.625</v>
      </c>
      <c r="H6">
        <f t="shared" si="5"/>
        <v>3.2500000000000015E-2</v>
      </c>
      <c r="J6" s="14"/>
      <c r="K6" s="14"/>
    </row>
    <row r="7" spans="1:20" x14ac:dyDescent="0.15">
      <c r="A7">
        <v>0.26</v>
      </c>
      <c r="B7">
        <f t="shared" si="0"/>
        <v>24.96</v>
      </c>
      <c r="C7">
        <v>0.68300000000000005</v>
      </c>
      <c r="D7">
        <f t="shared" si="1"/>
        <v>0.313</v>
      </c>
      <c r="E7">
        <f t="shared" si="2"/>
        <v>0.83299999999999996</v>
      </c>
      <c r="F7">
        <f t="shared" si="3"/>
        <v>5.2999999999999992E-2</v>
      </c>
      <c r="G7">
        <f t="shared" si="4"/>
        <v>0.75800000000000001</v>
      </c>
      <c r="H7">
        <f t="shared" si="5"/>
        <v>4.0173999999999994E-2</v>
      </c>
      <c r="J7" s="14"/>
      <c r="K7" s="14"/>
    </row>
    <row r="8" spans="1:20" x14ac:dyDescent="0.15">
      <c r="A8">
        <v>0.313</v>
      </c>
      <c r="B8">
        <f t="shared" si="0"/>
        <v>30.048000000000002</v>
      </c>
      <c r="C8">
        <v>0.83299999999999996</v>
      </c>
      <c r="D8">
        <f t="shared" si="1"/>
        <v>0.36499999999999999</v>
      </c>
      <c r="E8">
        <f t="shared" si="2"/>
        <v>0.99199999999999999</v>
      </c>
      <c r="F8">
        <f t="shared" si="3"/>
        <v>5.1999999999999991E-2</v>
      </c>
      <c r="G8">
        <f t="shared" si="4"/>
        <v>0.91249999999999998</v>
      </c>
      <c r="H8">
        <f t="shared" si="5"/>
        <v>4.7449999999999992E-2</v>
      </c>
      <c r="J8" s="14"/>
      <c r="K8" s="14"/>
    </row>
    <row r="9" spans="1:20" x14ac:dyDescent="0.15">
      <c r="A9">
        <v>0.36499999999999999</v>
      </c>
      <c r="B9">
        <f t="shared" si="0"/>
        <v>35.04</v>
      </c>
      <c r="C9">
        <v>0.99199999999999999</v>
      </c>
      <c r="D9">
        <f t="shared" si="1"/>
        <v>0.41699999999999998</v>
      </c>
      <c r="E9">
        <f t="shared" si="2"/>
        <v>1.133</v>
      </c>
      <c r="F9">
        <f t="shared" si="3"/>
        <v>5.1999999999999991E-2</v>
      </c>
      <c r="G9">
        <f t="shared" si="4"/>
        <v>1.0625</v>
      </c>
      <c r="H9">
        <f t="shared" si="5"/>
        <v>5.5249999999999994E-2</v>
      </c>
      <c r="J9" s="14"/>
      <c r="K9" s="14"/>
    </row>
    <row r="10" spans="1:20" x14ac:dyDescent="0.15">
      <c r="A10">
        <v>0.41699999999999998</v>
      </c>
      <c r="B10">
        <f t="shared" si="0"/>
        <v>40.031999999999996</v>
      </c>
      <c r="C10">
        <v>1.133</v>
      </c>
      <c r="D10">
        <f t="shared" si="1"/>
        <v>0.46899999999999997</v>
      </c>
      <c r="E10">
        <f t="shared" si="2"/>
        <v>1.258</v>
      </c>
      <c r="F10">
        <f t="shared" si="3"/>
        <v>5.1999999999999991E-2</v>
      </c>
      <c r="G10">
        <f t="shared" si="4"/>
        <v>1.1955</v>
      </c>
      <c r="H10">
        <f t="shared" si="5"/>
        <v>6.2165999999999992E-2</v>
      </c>
      <c r="J10" s="14"/>
      <c r="K10" s="14"/>
    </row>
    <row r="11" spans="1:20" x14ac:dyDescent="0.15">
      <c r="A11">
        <v>0.46899999999999997</v>
      </c>
      <c r="B11">
        <f t="shared" si="0"/>
        <v>45.024000000000001</v>
      </c>
      <c r="C11">
        <v>1.258</v>
      </c>
      <c r="D11">
        <f t="shared" si="1"/>
        <v>0.495</v>
      </c>
      <c r="E11">
        <f t="shared" si="2"/>
        <v>1.3049999999999999</v>
      </c>
      <c r="F11">
        <f t="shared" si="3"/>
        <v>2.6000000000000023E-2</v>
      </c>
      <c r="G11">
        <f t="shared" si="4"/>
        <v>1.2814999999999999</v>
      </c>
      <c r="H11">
        <f t="shared" si="5"/>
        <v>3.3319000000000029E-2</v>
      </c>
      <c r="J11" s="14"/>
      <c r="K11" s="14"/>
    </row>
    <row r="12" spans="1:20" x14ac:dyDescent="0.15">
      <c r="A12">
        <v>0.495</v>
      </c>
      <c r="B12">
        <f t="shared" si="0"/>
        <v>47.519999999999996</v>
      </c>
      <c r="C12">
        <v>1.3049999999999999</v>
      </c>
      <c r="D12">
        <f t="shared" si="1"/>
        <v>0.52100000000000002</v>
      </c>
      <c r="E12">
        <f t="shared" si="2"/>
        <v>1.35</v>
      </c>
      <c r="F12">
        <f t="shared" si="3"/>
        <v>2.6000000000000023E-2</v>
      </c>
      <c r="G12">
        <f t="shared" si="4"/>
        <v>1.3275000000000001</v>
      </c>
      <c r="H12">
        <f t="shared" si="5"/>
        <v>3.4515000000000032E-2</v>
      </c>
      <c r="J12" s="14"/>
      <c r="K12" s="14"/>
    </row>
    <row r="13" spans="1:20" x14ac:dyDescent="0.15">
      <c r="A13">
        <v>0.52100000000000002</v>
      </c>
      <c r="B13">
        <f t="shared" si="0"/>
        <v>50.016000000000005</v>
      </c>
      <c r="C13">
        <v>1.35</v>
      </c>
      <c r="D13">
        <f t="shared" si="1"/>
        <v>0.54700000000000004</v>
      </c>
      <c r="E13">
        <f t="shared" si="2"/>
        <v>1.41</v>
      </c>
      <c r="F13">
        <f t="shared" si="3"/>
        <v>2.6000000000000023E-2</v>
      </c>
      <c r="G13">
        <f t="shared" si="4"/>
        <v>1.38</v>
      </c>
      <c r="H13">
        <f t="shared" si="5"/>
        <v>3.588000000000003E-2</v>
      </c>
      <c r="J13" s="14"/>
      <c r="K13" s="14"/>
      <c r="M13">
        <v>1.1541215721875</v>
      </c>
    </row>
    <row r="14" spans="1:20" x14ac:dyDescent="0.15">
      <c r="A14">
        <v>0.54700000000000004</v>
      </c>
      <c r="B14">
        <f t="shared" si="0"/>
        <v>52.512</v>
      </c>
      <c r="C14">
        <v>1.41</v>
      </c>
      <c r="D14">
        <f t="shared" si="1"/>
        <v>0.57299999999999995</v>
      </c>
      <c r="E14">
        <f t="shared" si="2"/>
        <v>1.4670000000000001</v>
      </c>
      <c r="F14">
        <f t="shared" si="3"/>
        <v>2.5999999999999912E-2</v>
      </c>
      <c r="G14">
        <f t="shared" si="4"/>
        <v>1.4384999999999999</v>
      </c>
      <c r="H14">
        <f t="shared" si="5"/>
        <v>3.7400999999999872E-2</v>
      </c>
      <c r="J14" s="14"/>
      <c r="K14" s="14"/>
    </row>
    <row r="15" spans="1:20" x14ac:dyDescent="0.15">
      <c r="A15">
        <v>0.57299999999999995</v>
      </c>
      <c r="B15">
        <f t="shared" si="0"/>
        <v>55.007999999999996</v>
      </c>
      <c r="C15">
        <v>1.4670000000000001</v>
      </c>
      <c r="D15">
        <f t="shared" si="1"/>
        <v>0.59899999999999998</v>
      </c>
      <c r="E15">
        <f t="shared" si="2"/>
        <v>1.522</v>
      </c>
      <c r="F15">
        <f t="shared" si="3"/>
        <v>2.6000000000000023E-2</v>
      </c>
      <c r="G15">
        <f t="shared" si="4"/>
        <v>1.4944999999999999</v>
      </c>
      <c r="H15">
        <f t="shared" si="5"/>
        <v>3.885700000000003E-2</v>
      </c>
      <c r="J15" s="14"/>
      <c r="K15" s="14"/>
    </row>
    <row r="16" spans="1:20" x14ac:dyDescent="0.15">
      <c r="A16">
        <v>0.59899999999999998</v>
      </c>
      <c r="B16">
        <f t="shared" si="0"/>
        <v>57.503999999999998</v>
      </c>
      <c r="C16">
        <v>1.522</v>
      </c>
      <c r="D16">
        <f t="shared" si="1"/>
        <v>0.625</v>
      </c>
      <c r="E16">
        <f t="shared" si="2"/>
        <v>1.5920000000000001</v>
      </c>
      <c r="F16">
        <f t="shared" si="3"/>
        <v>2.6000000000000023E-2</v>
      </c>
      <c r="G16">
        <f t="shared" si="4"/>
        <v>1.5569999999999999</v>
      </c>
      <c r="H16">
        <f t="shared" si="5"/>
        <v>4.0482000000000032E-2</v>
      </c>
    </row>
    <row r="17" spans="1:8" x14ac:dyDescent="0.15">
      <c r="A17">
        <v>0.625</v>
      </c>
      <c r="B17">
        <f t="shared" si="0"/>
        <v>60</v>
      </c>
      <c r="C17">
        <v>1.5920000000000001</v>
      </c>
      <c r="D17">
        <f t="shared" si="1"/>
        <v>0.65100000000000002</v>
      </c>
      <c r="E17">
        <f t="shared" si="2"/>
        <v>1.64</v>
      </c>
      <c r="F17">
        <f t="shared" si="3"/>
        <v>2.6000000000000023E-2</v>
      </c>
      <c r="G17">
        <f t="shared" si="4"/>
        <v>1.6160000000000001</v>
      </c>
      <c r="H17">
        <f t="shared" si="5"/>
        <v>4.2016000000000039E-2</v>
      </c>
    </row>
    <row r="18" spans="1:8" x14ac:dyDescent="0.15">
      <c r="A18">
        <v>0.65100000000000002</v>
      </c>
      <c r="B18">
        <f t="shared" si="0"/>
        <v>62.496000000000002</v>
      </c>
      <c r="C18">
        <v>1.64</v>
      </c>
      <c r="D18">
        <f t="shared" si="1"/>
        <v>0.67700000000000005</v>
      </c>
      <c r="E18">
        <f t="shared" si="2"/>
        <v>1.657</v>
      </c>
      <c r="F18">
        <f t="shared" si="3"/>
        <v>2.6000000000000023E-2</v>
      </c>
      <c r="G18">
        <f t="shared" si="4"/>
        <v>1.6484999999999999</v>
      </c>
      <c r="H18">
        <f t="shared" si="5"/>
        <v>4.2861000000000031E-2</v>
      </c>
    </row>
    <row r="19" spans="1:8" x14ac:dyDescent="0.15">
      <c r="A19">
        <v>0.67700000000000005</v>
      </c>
      <c r="B19">
        <f t="shared" si="0"/>
        <v>64.992000000000004</v>
      </c>
      <c r="C19">
        <v>1.657</v>
      </c>
      <c r="D19">
        <f t="shared" si="1"/>
        <v>0.70299999999999996</v>
      </c>
      <c r="E19">
        <f t="shared" si="2"/>
        <v>1.64</v>
      </c>
      <c r="F19">
        <f t="shared" si="3"/>
        <v>2.5999999999999912E-2</v>
      </c>
      <c r="G19">
        <f t="shared" si="4"/>
        <v>1.6484999999999999</v>
      </c>
      <c r="H19">
        <f t="shared" si="5"/>
        <v>4.2860999999999851E-2</v>
      </c>
    </row>
    <row r="20" spans="1:8" x14ac:dyDescent="0.15">
      <c r="A20">
        <v>0.70299999999999996</v>
      </c>
      <c r="B20">
        <f t="shared" si="0"/>
        <v>67.488</v>
      </c>
      <c r="C20">
        <v>1.64</v>
      </c>
      <c r="D20">
        <f t="shared" si="1"/>
        <v>0.72899999999999998</v>
      </c>
      <c r="E20">
        <f t="shared" si="2"/>
        <v>1.583</v>
      </c>
      <c r="F20">
        <f t="shared" si="3"/>
        <v>2.6000000000000023E-2</v>
      </c>
      <c r="G20">
        <f t="shared" si="4"/>
        <v>1.6114999999999999</v>
      </c>
      <c r="H20">
        <f t="shared" si="5"/>
        <v>4.1899000000000033E-2</v>
      </c>
    </row>
    <row r="21" spans="1:8" x14ac:dyDescent="0.15">
      <c r="A21">
        <v>0.72899999999999998</v>
      </c>
      <c r="B21">
        <f t="shared" si="0"/>
        <v>69.983999999999995</v>
      </c>
      <c r="C21">
        <v>1.583</v>
      </c>
      <c r="D21">
        <f t="shared" si="1"/>
        <v>0.755</v>
      </c>
      <c r="E21">
        <f t="shared" si="2"/>
        <v>1.51</v>
      </c>
      <c r="F21">
        <f t="shared" si="3"/>
        <v>2.6000000000000023E-2</v>
      </c>
      <c r="G21">
        <f t="shared" si="4"/>
        <v>1.5465</v>
      </c>
      <c r="H21">
        <f t="shared" si="5"/>
        <v>4.0209000000000036E-2</v>
      </c>
    </row>
    <row r="22" spans="1:8" x14ac:dyDescent="0.15">
      <c r="A22">
        <v>0.755</v>
      </c>
      <c r="B22">
        <f t="shared" si="0"/>
        <v>72.48</v>
      </c>
      <c r="C22">
        <v>1.51</v>
      </c>
      <c r="D22">
        <f t="shared" si="1"/>
        <v>0.78100000000000003</v>
      </c>
      <c r="E22">
        <f t="shared" si="2"/>
        <v>1.4330000000000001</v>
      </c>
      <c r="F22">
        <f t="shared" si="3"/>
        <v>2.6000000000000023E-2</v>
      </c>
      <c r="G22">
        <f t="shared" si="4"/>
        <v>1.4715</v>
      </c>
      <c r="H22">
        <f t="shared" si="5"/>
        <v>3.8259000000000036E-2</v>
      </c>
    </row>
    <row r="23" spans="1:8" x14ac:dyDescent="0.15">
      <c r="A23">
        <v>0.78100000000000003</v>
      </c>
      <c r="B23">
        <f t="shared" si="0"/>
        <v>74.975999999999999</v>
      </c>
      <c r="C23">
        <v>1.4330000000000001</v>
      </c>
      <c r="D23">
        <f t="shared" si="1"/>
        <v>0.83299999999999996</v>
      </c>
      <c r="E23">
        <f t="shared" si="2"/>
        <v>1.2330000000000001</v>
      </c>
      <c r="F23">
        <f t="shared" si="3"/>
        <v>5.1999999999999935E-2</v>
      </c>
      <c r="G23">
        <f t="shared" si="4"/>
        <v>1.3330000000000002</v>
      </c>
      <c r="H23">
        <f t="shared" si="5"/>
        <v>6.9315999999999919E-2</v>
      </c>
    </row>
    <row r="24" spans="1:8" x14ac:dyDescent="0.15">
      <c r="A24">
        <v>0.83299999999999996</v>
      </c>
      <c r="B24">
        <f t="shared" si="0"/>
        <v>79.967999999999989</v>
      </c>
      <c r="C24">
        <v>1.2330000000000001</v>
      </c>
      <c r="D24">
        <f t="shared" si="1"/>
        <v>0.88500000000000001</v>
      </c>
      <c r="E24">
        <f t="shared" si="2"/>
        <v>0.99299999999999999</v>
      </c>
      <c r="F24">
        <f t="shared" si="3"/>
        <v>5.2000000000000046E-2</v>
      </c>
      <c r="G24">
        <f t="shared" si="4"/>
        <v>1.113</v>
      </c>
      <c r="H24">
        <f t="shared" si="5"/>
        <v>5.7876000000000052E-2</v>
      </c>
    </row>
    <row r="25" spans="1:8" x14ac:dyDescent="0.15">
      <c r="A25">
        <v>0.88500000000000001</v>
      </c>
      <c r="B25">
        <f t="shared" si="0"/>
        <v>84.960000000000008</v>
      </c>
      <c r="C25">
        <v>0.99299999999999999</v>
      </c>
      <c r="D25">
        <f t="shared" si="1"/>
        <v>0.91100000000000003</v>
      </c>
      <c r="E25">
        <f t="shared" si="2"/>
        <v>0.81499999999999995</v>
      </c>
      <c r="F25">
        <f t="shared" si="3"/>
        <v>2.6000000000000023E-2</v>
      </c>
      <c r="G25">
        <f t="shared" si="4"/>
        <v>0.90399999999999991</v>
      </c>
      <c r="H25">
        <f t="shared" si="5"/>
        <v>2.3504000000000018E-2</v>
      </c>
    </row>
    <row r="26" spans="1:8" x14ac:dyDescent="0.15">
      <c r="A26">
        <v>0.91100000000000003</v>
      </c>
      <c r="B26">
        <f t="shared" si="0"/>
        <v>87.456000000000003</v>
      </c>
      <c r="C26">
        <v>0.81499999999999995</v>
      </c>
      <c r="D26">
        <f t="shared" si="1"/>
        <v>0.93799999999999994</v>
      </c>
      <c r="E26">
        <f t="shared" si="2"/>
        <v>0.63300000000000001</v>
      </c>
      <c r="F26">
        <f t="shared" si="3"/>
        <v>2.6999999999999913E-2</v>
      </c>
      <c r="G26">
        <f t="shared" si="4"/>
        <v>0.72399999999999998</v>
      </c>
      <c r="H26">
        <f t="shared" si="5"/>
        <v>1.9547999999999937E-2</v>
      </c>
    </row>
    <row r="27" spans="1:8" x14ac:dyDescent="0.15">
      <c r="A27">
        <v>0.93799999999999994</v>
      </c>
      <c r="B27">
        <f t="shared" si="0"/>
        <v>90.048000000000002</v>
      </c>
      <c r="C27">
        <v>0.63300000000000001</v>
      </c>
      <c r="D27">
        <f t="shared" si="1"/>
        <v>0.96299999999999997</v>
      </c>
      <c r="E27">
        <f t="shared" si="2"/>
        <v>0.52</v>
      </c>
      <c r="F27">
        <f t="shared" si="3"/>
        <v>2.5000000000000022E-2</v>
      </c>
      <c r="G27">
        <f t="shared" si="4"/>
        <v>0.57650000000000001</v>
      </c>
      <c r="H27">
        <f t="shared" si="5"/>
        <v>1.4412500000000014E-2</v>
      </c>
    </row>
    <row r="28" spans="1:8" x14ac:dyDescent="0.15">
      <c r="A28">
        <v>0.96299999999999997</v>
      </c>
      <c r="B28">
        <f t="shared" si="0"/>
        <v>92.447999999999993</v>
      </c>
      <c r="C28">
        <v>0.52</v>
      </c>
      <c r="D28">
        <f t="shared" si="1"/>
        <v>1</v>
      </c>
      <c r="E28">
        <f t="shared" si="2"/>
        <v>0.36699999999999999</v>
      </c>
      <c r="F28">
        <f t="shared" si="3"/>
        <v>3.7000000000000033E-2</v>
      </c>
      <c r="G28">
        <f t="shared" si="4"/>
        <v>0.44350000000000001</v>
      </c>
      <c r="H28">
        <f t="shared" si="5"/>
        <v>1.6409500000000014E-2</v>
      </c>
    </row>
    <row r="29" spans="1:8" x14ac:dyDescent="0.15">
      <c r="A29">
        <v>1</v>
      </c>
      <c r="B29">
        <f t="shared" si="0"/>
        <v>96</v>
      </c>
      <c r="C29">
        <v>0.36699999999999999</v>
      </c>
      <c r="D29">
        <f t="shared" si="1"/>
        <v>0</v>
      </c>
      <c r="E29">
        <f t="shared" si="2"/>
        <v>0</v>
      </c>
      <c r="F29">
        <f t="shared" si="3"/>
        <v>-1</v>
      </c>
      <c r="G29">
        <f t="shared" si="4"/>
        <v>0.1835</v>
      </c>
      <c r="H29">
        <f t="shared" si="5"/>
        <v>-0.1835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90D7-C2CE-4E9E-B12F-96F38BC73743}">
  <sheetPr codeName="Sheet2"/>
  <dimension ref="A1:A21"/>
  <sheetViews>
    <sheetView topLeftCell="A7" workbookViewId="0">
      <selection activeCell="K63" sqref="K63"/>
    </sheetView>
  </sheetViews>
  <sheetFormatPr defaultRowHeight="13.5" x14ac:dyDescent="0.15"/>
  <sheetData>
    <row r="1" spans="1:1" x14ac:dyDescent="0.15">
      <c r="A1" t="s">
        <v>20</v>
      </c>
    </row>
    <row r="3" spans="1:1" x14ac:dyDescent="0.15">
      <c r="A3" t="s">
        <v>17</v>
      </c>
    </row>
    <row r="4" spans="1:1" x14ac:dyDescent="0.15">
      <c r="A4" t="s">
        <v>18</v>
      </c>
    </row>
    <row r="5" spans="1:1" x14ac:dyDescent="0.15">
      <c r="A5" t="s">
        <v>21</v>
      </c>
    </row>
    <row r="7" spans="1:1" x14ac:dyDescent="0.15">
      <c r="A7" t="s">
        <v>22</v>
      </c>
    </row>
    <row r="8" spans="1:1" x14ac:dyDescent="0.15">
      <c r="A8" t="s">
        <v>23</v>
      </c>
    </row>
    <row r="9" spans="1:1" x14ac:dyDescent="0.15">
      <c r="A9" t="s">
        <v>24</v>
      </c>
    </row>
    <row r="11" spans="1:1" x14ac:dyDescent="0.15">
      <c r="A11" t="s">
        <v>25</v>
      </c>
    </row>
    <row r="12" spans="1:1" x14ac:dyDescent="0.15">
      <c r="A12" t="s">
        <v>26</v>
      </c>
    </row>
    <row r="13" spans="1:1" x14ac:dyDescent="0.15">
      <c r="A13" t="s">
        <v>27</v>
      </c>
    </row>
    <row r="14" spans="1:1" x14ac:dyDescent="0.15">
      <c r="A14" t="s">
        <v>28</v>
      </c>
    </row>
    <row r="16" spans="1:1" x14ac:dyDescent="0.15">
      <c r="A16" t="s">
        <v>19</v>
      </c>
    </row>
    <row r="17" spans="1:1" x14ac:dyDescent="0.15">
      <c r="A17" t="s">
        <v>29</v>
      </c>
    </row>
    <row r="19" spans="1:1" x14ac:dyDescent="0.15">
      <c r="A19" t="s">
        <v>30</v>
      </c>
    </row>
    <row r="20" spans="1:1" x14ac:dyDescent="0.15">
      <c r="A20" t="s">
        <v>31</v>
      </c>
    </row>
    <row r="21" spans="1:1" x14ac:dyDescent="0.15">
      <c r="A21" t="s">
        <v>32</v>
      </c>
    </row>
  </sheetData>
  <phoneticPr fontId="5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非一様加熱を一様加熱に補正108</vt:lpstr>
      <vt:lpstr>108_Fform_check</vt:lpstr>
      <vt:lpstr>README_Fform</vt:lpstr>
      <vt:lpstr>L_tot</vt:lpstr>
      <vt:lpstr>半径方向の出力</vt:lpstr>
    </vt:vector>
  </TitlesOfParts>
  <Company>株式会社原子力安全システム研究所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櫻井　征太郎（sakurai seitaro）</dc:creator>
  <cp:lastModifiedBy>櫻井　征太郎（sakurai seitaro）</cp:lastModifiedBy>
  <dcterms:created xsi:type="dcterms:W3CDTF">2026-05-07T10:18:07Z</dcterms:created>
  <dcterms:modified xsi:type="dcterms:W3CDTF">2026-05-19T09:32:12Z</dcterms:modified>
</cp:coreProperties>
</file>