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3"/>
  <bookViews>
    <workbookView visibility="visible" minimized="0" showHorizontalScroll="1" showVerticalScroll="1" showSheetTabs="1" xWindow="-120" yWindow="-120" windowWidth="29040" windowHeight="15720" tabRatio="497" firstSheet="0" activeTab="4" autoFilterDateGrouping="1"/>
  </bookViews>
  <sheets>
    <sheet name="SatProp" sheetId="1" state="visible" r:id="rId1"/>
    <sheet name="Cp_T_low" sheetId="2" state="visible" r:id="rId2"/>
    <sheet name="Cp_T_mid" sheetId="3" state="visible" r:id="rId3"/>
    <sheet name="Cp_T_high" sheetId="4" state="visible" r:id="rId4"/>
    <sheet name="tm" sheetId="5" state="visible" r:id="rId5"/>
    <sheet name="Log" sheetId="6" state="visible" r:id="rId6"/>
    <sheet name="TM_import_log" sheetId="7" state="visible" r:id="rId7"/>
  </sheets>
  <definedNames>
    <definedName name="L_tot">#REF!</definedName>
    <definedName name="半径方向の出力">#REF!</definedName>
    <definedName name="solver_adj" localSheetId="4" hidden="1">tm!$AP$225</definedName>
    <definedName name="solver_cvg" localSheetId="4" hidden="1">0.00000001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tm!#REF!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tm!$AY$225</definedName>
    <definedName name="solver_pre" localSheetId="4" hidden="1">0.00000001</definedName>
    <definedName name="solver_rbv" localSheetId="4" hidden="1">2</definedName>
    <definedName name="solver_rel1" localSheetId="4" hidden="1">3</definedName>
    <definedName name="solver_rhs1" localSheetId="4" hidden="1">0.01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</definedName>
    <definedName name="solver_ver" localSheetId="4" hidden="1">3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.00_ "/>
    <numFmt numFmtId="165" formatCode="0.00000_ "/>
  </numFmts>
  <fonts count="11">
    <font>
      <name val="ＭＳ Ｐゴシック"/>
      <charset val="128"/>
      <family val="2"/>
      <color theme="1"/>
      <sz val="11"/>
    </font>
    <font>
      <name val="ＭＳ Ｐゴシック"/>
      <charset val="128"/>
      <family val="2"/>
      <sz val="6"/>
    </font>
    <font>
      <name val="ＭＳ Ｐゴシック"/>
      <charset val="128"/>
      <family val="3"/>
      <sz val="11"/>
    </font>
    <font>
      <name val="游ゴシック"/>
      <family val="2"/>
      <color theme="1"/>
      <sz val="11"/>
      <scheme val="minor"/>
    </font>
    <font>
      <name val="ＭＳ Ｐゴシック"/>
      <charset val="128"/>
      <family val="2"/>
      <sz val="11"/>
    </font>
    <font>
      <name val="ＭＳ Ｐゴシック"/>
      <charset val="128"/>
      <family val="3"/>
      <color rgb="FFFF0000"/>
      <sz val="11"/>
    </font>
    <font>
      <name val="ＭＳ Ｐゴシック"/>
      <charset val="128"/>
      <family val="2"/>
      <color theme="1"/>
      <sz val="11"/>
    </font>
    <font>
      <name val="Calibri"/>
      <family val="2"/>
      <sz val="11"/>
    </font>
    <font>
      <name val="ＭＳ Ｐゴシック"/>
      <charset val="128"/>
      <family val="3"/>
      <b val="1"/>
      <color rgb="FFFFFFFF"/>
      <sz val="11"/>
    </font>
    <font>
      <name val="ＭＳ Ｐゴシック"/>
      <charset val="128"/>
      <family val="3"/>
      <b val="1"/>
      <sz val="11"/>
    </font>
    <font>
      <name val="ＭＳ Ｐゴシック"/>
      <charset val="128"/>
      <family val="2"/>
      <b val="1"/>
      <color theme="1"/>
      <sz val="11"/>
    </font>
  </fonts>
  <fills count="13">
    <fill>
      <patternFill/>
    </fill>
    <fill>
      <patternFill patternType="gray125"/>
    </fill>
    <fill>
      <patternFill patternType="solid">
        <fgColor theme="3" tint="0.8999908444471572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7">
    <xf numFmtId="0" fontId="6" fillId="0" borderId="0" applyAlignment="1">
      <alignment vertical="center"/>
    </xf>
    <xf numFmtId="0" fontId="2" fillId="0" borderId="0"/>
    <xf numFmtId="0" fontId="3" fillId="0" borderId="0"/>
    <xf numFmtId="0" fontId="6" fillId="0" borderId="0" applyAlignment="1">
      <alignment vertical="center"/>
    </xf>
    <xf numFmtId="0" fontId="7" fillId="0" borderId="0"/>
    <xf numFmtId="0" fontId="2" fillId="0" borderId="0"/>
    <xf numFmtId="0" fontId="2" fillId="0" borderId="0"/>
  </cellStyleXfs>
  <cellXfs count="39"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0" fillId="3" borderId="0" applyAlignment="1" pivotButton="0" quotePrefix="0" xfId="0">
      <alignment vertical="center"/>
    </xf>
    <xf numFmtId="0" fontId="0" fillId="4" borderId="0" applyAlignment="1" pivotButton="0" quotePrefix="0" xfId="0">
      <alignment vertical="center"/>
    </xf>
    <xf numFmtId="0" fontId="0" fillId="5" borderId="0" applyAlignment="1" pivotButton="0" quotePrefix="0" xfId="0">
      <alignment vertical="center"/>
    </xf>
    <xf numFmtId="0" fontId="0" fillId="5" borderId="0" applyAlignment="1" pivotButton="0" quotePrefix="0" xfId="0">
      <alignment vertical="center" wrapText="1"/>
    </xf>
    <xf numFmtId="0" fontId="0" fillId="6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49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7" borderId="0" applyAlignment="1" pivotButton="0" quotePrefix="0" xfId="0">
      <alignment vertical="center"/>
    </xf>
    <xf numFmtId="164" fontId="2" fillId="0" borderId="0" pivotButton="0" quotePrefix="0" xfId="1"/>
    <xf numFmtId="0" fontId="0" fillId="8" borderId="0" applyAlignment="1" pivotButton="0" quotePrefix="0" xfId="0">
      <alignment vertical="center"/>
    </xf>
    <xf numFmtId="165" fontId="0" fillId="0" borderId="0" applyAlignment="1" pivotButton="0" quotePrefix="0" xfId="0">
      <alignment vertical="center"/>
    </xf>
    <xf numFmtId="1" fontId="0" fillId="0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4" fillId="9" borderId="0" applyAlignment="1" pivotButton="0" quotePrefix="0" xfId="0">
      <alignment vertical="center"/>
    </xf>
    <xf numFmtId="0" fontId="0" fillId="10" borderId="0" applyAlignment="1" pivotButton="0" quotePrefix="0" xfId="0">
      <alignment vertical="center"/>
    </xf>
    <xf numFmtId="2" fontId="0" fillId="10" borderId="0" applyAlignment="1" pivotButton="0" quotePrefix="0" xfId="0">
      <alignment vertical="center"/>
    </xf>
    <xf numFmtId="1" fontId="0" fillId="10" borderId="0" applyAlignment="1" pivotButton="0" quotePrefix="0" xfId="0">
      <alignment vertical="center"/>
    </xf>
    <xf numFmtId="49" fontId="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5" fillId="0" borderId="0" pivotButton="0" quotePrefix="0" xfId="0"/>
    <xf numFmtId="11" fontId="5" fillId="0" borderId="0" applyAlignment="1" pivotButton="0" quotePrefix="0" xfId="0">
      <alignment vertical="center"/>
    </xf>
    <xf numFmtId="1" fontId="5" fillId="0" borderId="0" applyAlignment="1" pivotButton="0" quotePrefix="0" xfId="0">
      <alignment vertical="center"/>
    </xf>
    <xf numFmtId="164" fontId="5" fillId="0" borderId="0" pivotButton="0" quotePrefix="0" xfId="1"/>
    <xf numFmtId="165" fontId="5" fillId="0" borderId="0" applyAlignment="1" pivotButton="0" quotePrefix="0" xfId="0">
      <alignment vertical="center"/>
    </xf>
    <xf numFmtId="1" fontId="5" fillId="10" borderId="0" applyAlignment="1" pivotButton="0" quotePrefix="0" xfId="0">
      <alignment vertical="center"/>
    </xf>
    <xf numFmtId="2" fontId="5" fillId="10" borderId="0" applyAlignment="1" pivotButton="0" quotePrefix="0" xfId="0">
      <alignment vertical="center"/>
    </xf>
    <xf numFmtId="0" fontId="5" fillId="9" borderId="0" applyAlignment="1" pivotButton="0" quotePrefix="0" xfId="0">
      <alignment vertical="center"/>
    </xf>
    <xf numFmtId="0" fontId="8" fillId="11" borderId="0" applyAlignment="1" pivotButton="0" quotePrefix="0" xfId="0">
      <alignment horizontal="center"/>
    </xf>
    <xf numFmtId="0" fontId="9" fillId="12" borderId="0" pivotButton="0" quotePrefix="0" xfId="0"/>
    <xf numFmtId="22" fontId="0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/>
    </xf>
    <xf numFmtId="164" fontId="5" fillId="0" borderId="0" pivotButton="0" quotePrefix="0" xfId="1"/>
    <xf numFmtId="165" fontId="5" fillId="0" borderId="0" applyAlignment="1" pivotButton="0" quotePrefix="0" xfId="0">
      <alignment vertical="center"/>
    </xf>
    <xf numFmtId="164" fontId="2" fillId="0" borderId="0" pivotButton="0" quotePrefix="0" xfId="1"/>
    <xf numFmtId="165" fontId="0" fillId="0" borderId="0" applyAlignment="1" pivotButton="0" quotePrefix="0" xfId="0">
      <alignment vertical="center"/>
    </xf>
  </cellXfs>
  <cellStyles count="7">
    <cellStyle name="標準" xfId="0" builtinId="0"/>
    <cellStyle name="標準 2" xfId="1"/>
    <cellStyle name="標準 3" xfId="2"/>
    <cellStyle name="標準 2 2" xfId="3"/>
    <cellStyle name="標準 4" xfId="4"/>
    <cellStyle name="標準 2 3" xfId="5"/>
    <cellStyle name="標準 2 4" xfId="6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76" formatCode="0.00_ "/>
    </dxf>
    <dxf>
      <numFmt numFmtId="1" formatCode="0"/>
      <fill>
        <patternFill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alignment horizontal="general" vertical="botto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tables/table1.xml><?xml version="1.0" encoding="utf-8"?>
<table xmlns="http://schemas.openxmlformats.org/spreadsheetml/2006/main" id="1" name="テーブル2" displayName="テーブル2" ref="A1:BR237" headerRowCount="1" totalsRowShown="0">
  <autoFilter ref="A1:BR225"/>
  <tableColumns count="70">
    <tableColumn id="1" name="No_TableNo" dataDxfId="40"/>
    <tableColumn id="2" name="P"/>
    <tableColumn id="3" name="Ts" dataDxfId="39">
      <calculatedColumnFormula array="1">TsatFromP(テーブル2[[#This Row],[P]])</calculatedColumnFormula>
    </tableColumn>
    <tableColumn id="4" name="rhoG" dataDxfId="38">
      <calculatedColumnFormula array="1">RhoGFromP(テーブル2[[#This Row],[P]])</calculatedColumnFormula>
    </tableColumn>
    <tableColumn id="5" name="rhoL" dataDxfId="37">
      <calculatedColumnFormula array="1">RhoFFromP(テーブル2[[#This Row],[P]])</calculatedColumnFormula>
    </tableColumn>
    <tableColumn id="6" name="HG" dataDxfId="36">
      <calculatedColumnFormula array="1">HgFromP(テーブル2[[#This Row],[P]])</calculatedColumnFormula>
    </tableColumn>
    <tableColumn id="7" name="HL" dataDxfId="35">
      <calculatedColumnFormula array="1">HfFromP(テーブル2[[#This Row],[P]])</calculatedColumnFormula>
    </tableColumn>
    <tableColumn id="8" name="muG" dataDxfId="34">
      <calculatedColumnFormula array="1">MuGFromP(テーブル2[[#This Row],[P]])</calculatedColumnFormula>
    </tableColumn>
    <tableColumn id="9" name="muL" dataDxfId="33">
      <calculatedColumnFormula array="1">MuFFromP(テーブル2[[#This Row],[P]])</calculatedColumnFormula>
    </tableColumn>
    <tableColumn id="10" name="KL" dataDxfId="32">
      <calculatedColumnFormula array="1">KfFromP(テーブル2[[#This Row],[P]])</calculatedColumnFormula>
    </tableColumn>
    <tableColumn id="11" name="CPL" dataDxfId="31">
      <calculatedColumnFormula array="1">CpFFromP(テーブル2[[#This Row],[P]])</calculatedColumnFormula>
    </tableColumn>
    <tableColumn id="12" name="sigma" dataDxfId="30">
      <calculatedColumnFormula array="1">SigmaFromP(テーブル2[[#This Row],[P]])</calculatedColumnFormula>
    </tableColumn>
    <tableColumn id="13" name="No" dataDxfId="29"/>
    <tableColumn id="14" name="G"/>
    <tableColumn id="15" name="A" dataDxfId="28"/>
    <tableColumn id="16" name="Pw" dataDxfId="27"/>
    <tableColumn id="17" name="DH"/>
    <tableColumn id="18" name="L_DNB"/>
    <tableColumn id="19" name="q_in" dataDxfId="26"/>
    <tableColumn id="20" name="Tin"/>
    <tableColumn id="21" name="Tf" dataDxfId="25" dataCellStyle="標準 2">
      <calculatedColumnFormula>+T2+BG2*S2*テーブル2[[#This Row],[Pw]]*R2/(N2*O2*K2)</calculatedColumnFormula>
    </tableColumn>
    <tableColumn id="22" name="f(beta)"/>
    <tableColumn id="23" name="Re" dataDxfId="24">
      <calculatedColumnFormula>+N2*Q2/I2</calculatedColumnFormula>
    </tableColumn>
    <tableColumn id="24" name="f"/>
    <tableColumn id="25" name="f_left">
      <calculatedColumnFormula>IF(X2&gt;0,1/X2^0.5,1)</calculatedColumnFormula>
    </tableColumn>
    <tableColumn id="26" name="f_rihgt" dataDxfId="23">
      <calculatedColumnFormula>IF(X2&gt;0,1.14-2*LOG((0.72*L2*E2)/(X2*Q2*N2^2)+9.35/(W2*X2^0.5)),0)</calculatedColumnFormula>
    </tableColumn>
    <tableColumn id="27" name="f_balance">
      <calculatedColumnFormula>+Y2-Z2</calculatedColumnFormula>
    </tableColumn>
    <tableColumn id="28" name="DB" dataDxfId="22">
      <calculatedColumnFormula>32/X2*L2*V2*E2/N2^2</calculatedColumnFormula>
    </tableColumn>
    <tableColumn id="29" name="Tw"/>
    <tableColumn id="30" name="y_plus">
      <calculatedColumnFormula>+Q2/2*AI2/I2*E2</calculatedColumnFormula>
    </tableColumn>
    <tableColumn id="31" name="Tm" dataDxfId="21">
      <calculatedColumnFormula>+gettm2(AD2,AC2,AK2,AL2,テーブル2[[#This Row],[Fcorr]])</calculatedColumnFormula>
    </tableColumn>
    <tableColumn id="32" name="Tw_balance" dataDxfId="20">
      <calculatedColumnFormula>+AE2-U2</calculatedColumnFormula>
    </tableColumn>
    <tableColumn id="33" name="y_star"/>
    <tableColumn id="34" name="tauw">
      <calculatedColumnFormula>+X2*N2^2/(8*E2)</calculatedColumnFormula>
    </tableColumn>
    <tableColumn id="35" name="Utau">
      <calculatedColumnFormula>+(AH2/E2)^0.5</calculatedColumnFormula>
    </tableColumn>
    <tableColumn id="36" name="y_plus2">
      <calculatedColumnFormula>+AG2*AI2/I2*E2</calculatedColumnFormula>
    </tableColumn>
    <tableColumn id="37" name="Q" dataDxfId="19">
      <calculatedColumnFormula array="1">+S2*テーブル2[[#This Row],[F_form]]/(E2*CpFromTP((テーブル2[[#This Row],[Tin]]+テーブル2[[#This Row],[Tf]])/2,テーブル2[[#This Row],[P]])*AI2)</calculatedColumnFormula>
    </tableColumn>
    <tableColumn id="38" name="Pr">
      <calculatedColumnFormula>+K2*I2/J2</calculatedColumnFormula>
    </tableColumn>
    <tableColumn id="39" name="T(y_plus)">
      <calculatedColumnFormula>+gettyp(AC2,AJ2,AK2,AL2)</calculatedColumnFormula>
    </tableColumn>
    <tableColumn id="40" name="y_star_balance" dataDxfId="18">
      <calculatedColumnFormula>+C2-AM2</calculatedColumnFormula>
    </tableColumn>
    <tableColumn id="41" name="delta">
      <calculatedColumnFormula>+AG2-AB2</calculatedColumnFormula>
    </tableColumn>
    <tableColumn id="42" name="UB"/>
    <tableColumn id="43" name="LB" dataDxfId="17">
      <calculatedColumnFormula>2*PI()*L2*(D2+E2)/(D2*E2*AP2^2)</calculatedColumnFormula>
    </tableColumn>
    <tableColumn id="44" name="YB">
      <calculatedColumnFormula>+AO2+AB2/2</calculatedColumnFormula>
    </tableColumn>
    <tableColumn id="45" name="YB_plus">
      <calculatedColumnFormula>+AR2*AI2/I2*E2</calculatedColumnFormula>
    </tableColumn>
    <tableColumn id="46" name="Karman_UB">
      <calculatedColumnFormula>+getublp(AS2)</calculatedColumnFormula>
    </tableColumn>
    <tableColumn id="47" name="UBL">
      <calculatedColumnFormula>+AT2*AI2</calculatedColumnFormula>
    </tableColumn>
    <tableColumn id="48" name="UB_left">
      <calculatedColumnFormula>+AP2-AU2</calculatedColumnFormula>
    </tableColumn>
    <tableColumn id="49" name="CD">
      <calculatedColumnFormula>2/3*AB2/(L2/(9.8*(E2-D2)))^0.5</calculatedColumnFormula>
    </tableColumn>
    <tableColumn id="50" name="UB_right">
      <calculatedColumnFormula>+(2*AQ2*9.8*(E2-D2)/(E2*AW2))^0.5</calculatedColumnFormula>
    </tableColumn>
    <tableColumn id="51" name="UB_balance">
      <calculatedColumnFormula>+AV2-AX2</calculatedColumnFormula>
    </tableColumn>
    <tableColumn id="52" name="HG-HL">
      <calculatedColumnFormula>+F2-G2</calculatedColumnFormula>
    </tableColumn>
    <tableColumn id="53" name="LB/UB" dataDxfId="16">
      <calculatedColumnFormula>+AQ2/AP2</calculatedColumnFormula>
    </tableColumn>
    <tableColumn id="54" name="q_P" dataDxfId="15">
      <calculatedColumnFormula>+E2*AO2*AZ2/BA2</calculatedColumnFormula>
    </tableColumn>
    <tableColumn id="55" name="dq_chf" dataDxfId="14">
      <calculatedColumnFormula>BB2-S2</calculatedColumnFormula>
    </tableColumn>
    <tableColumn id="56" name="dq_ratio" dataDxfId="13">
      <calculatedColumnFormula>+(BB2-S2)/S2*100</calculatedColumnFormula>
    </tableColumn>
    <tableColumn id="57" name="q_M" dataDxfId="12"/>
    <tableColumn id="58" name="PM_ratio" dataDxfId="11">
      <calculatedColumnFormula>テーブル2[[#This Row],[q_P]]/テーブル2[[#This Row],[q_M]]</calculatedColumnFormula>
    </tableColumn>
    <tableColumn id="59" name="F_form"/>
    <tableColumn id="64" name="x_Mes" dataDxfId="10"/>
    <tableColumn id="65" name="A_corr" dataDxfId="9"/>
    <tableColumn id="66" name="σ_corr" dataDxfId="8"/>
    <tableColumn id="67" name="Fcorr" dataDxfId="7"/>
    <tableColumn id="68" name="Tsub" dataDxfId="6">
      <calculatedColumnFormula>テーブル2[[#This Row],[Ts]]-テーブル2[[#This Row],[Tin]]</calculatedColumnFormula>
    </tableColumn>
    <tableColumn id="70" name="q_P_MW" dataDxfId="5">
      <calculatedColumnFormula>テーブル2[[#This Row],[q_P]]*0.000001</calculatedColumnFormula>
    </tableColumn>
    <tableColumn id="77" name="Tsub2" dataDxfId="4">
      <calculatedColumnFormula>テーブル2[[#This Row],[Tsub]]</calculatedColumnFormula>
    </tableColumn>
    <tableColumn id="78" name="Fcorr2" dataDxfId="3">
      <calculatedColumnFormula>テーブル2[[#This Row],[Fcorr]]</calculatedColumnFormula>
    </tableColumn>
    <tableColumn id="79" name="(Tsub-40)^2" dataDxfId="2">
      <calculatedColumnFormula>(テーブル2[[#This Row],[Tsub]]-40)^2</calculatedColumnFormula>
    </tableColumn>
    <tableColumn id="88" name="F2" dataDxfId="1"/>
    <tableColumn id="60" name="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ws_SatProp">
    <outlinePr summaryBelow="1" summaryRight="1"/>
    <pageSetUpPr/>
  </sheetPr>
  <dimension ref="A1:M50"/>
  <sheetViews>
    <sheetView workbookViewId="0">
      <pane ySplit="1" topLeftCell="A11" activePane="bottomLeft" state="frozen"/>
      <selection pane="bottomLeft" activeCell="C24" sqref="C24"/>
    </sheetView>
  </sheetViews>
  <sheetFormatPr baseColWidth="8" defaultRowHeight="13.5"/>
  <cols>
    <col width="14" customWidth="1" style="10" min="1" max="11"/>
    <col width="18" customWidth="1" style="10" min="13" max="13"/>
    <col width="40" customWidth="1" style="10" min="14" max="14"/>
  </cols>
  <sheetData>
    <row r="1">
      <c r="A1" s="31" t="inlineStr">
        <is>
          <t>P_Pa</t>
        </is>
      </c>
      <c r="B1" s="31" t="inlineStr">
        <is>
          <t>Tsat_K</t>
        </is>
      </c>
      <c r="C1" s="31" t="inlineStr">
        <is>
          <t>rho_f</t>
        </is>
      </c>
      <c r="D1" s="31" t="inlineStr">
        <is>
          <t>rho_g</t>
        </is>
      </c>
      <c r="E1" s="31" t="inlineStr">
        <is>
          <t>h_f</t>
        </is>
      </c>
      <c r="F1" s="31" t="inlineStr">
        <is>
          <t>h_g</t>
        </is>
      </c>
      <c r="G1" s="31" t="inlineStr">
        <is>
          <t>mu_f</t>
        </is>
      </c>
      <c r="H1" s="31" t="inlineStr">
        <is>
          <t>mu_g</t>
        </is>
      </c>
      <c r="I1" s="31" t="inlineStr">
        <is>
          <t>k_f</t>
        </is>
      </c>
      <c r="J1" s="31" t="inlineStr">
        <is>
          <t>cp_f</t>
        </is>
      </c>
      <c r="K1" s="31" t="inlineStr">
        <is>
          <t>sigma</t>
        </is>
      </c>
      <c r="M1" s="32" t="inlineStr">
        <is>
          <t>使い方</t>
        </is>
      </c>
    </row>
    <row r="2">
      <c r="A2" s="0" t="n">
        <v>100000</v>
      </c>
      <c r="B2" s="0" t="n">
        <v>372.7559288971232</v>
      </c>
      <c r="C2" s="0" t="n">
        <v>958.6315057778091</v>
      </c>
      <c r="D2" s="0" t="n">
        <v>0.5903439801089505</v>
      </c>
      <c r="E2" s="0" t="n">
        <v>417503.9108336549</v>
      </c>
      <c r="F2" s="0" t="n">
        <v>2674947.677468994</v>
      </c>
      <c r="G2" s="0" t="n">
        <v>0.0002827505416379224</v>
      </c>
      <c r="H2" s="0" t="n">
        <v>1.221846401589725e-05</v>
      </c>
      <c r="I2" s="0" t="n">
        <v>0.6770606385275674</v>
      </c>
      <c r="J2" s="0" t="n">
        <v>4215.222877065493</v>
      </c>
      <c r="K2" s="0" t="n">
        <v>0.05899724863253407</v>
      </c>
      <c r="M2" s="0" t="inlineStr">
        <is>
          <t>1) CoolPropが使えるPCで再計算 2) A:Kをコピーして値貼り付け 3) CoolProp依存を外す</t>
        </is>
      </c>
    </row>
    <row r="3">
      <c r="A3" s="0" t="n">
        <v>103421.4</v>
      </c>
      <c r="B3" s="0" t="n">
        <v>373.6990552174476</v>
      </c>
      <c r="C3" s="0" t="n">
        <v>957.9543351917582</v>
      </c>
      <c r="D3" s="0" t="n">
        <v>0.6092143298546598</v>
      </c>
      <c r="E3" s="0" t="n">
        <v>421482.4778579964</v>
      </c>
      <c r="F3" s="0" t="n">
        <v>2676435.378999241</v>
      </c>
      <c r="G3" s="0" t="n">
        <v>0.0002799683230577603</v>
      </c>
      <c r="H3" s="0" t="n">
        <v>1.225122449534131e-05</v>
      </c>
      <c r="I3" s="0" t="n">
        <v>0.6774159650051749</v>
      </c>
      <c r="J3" s="0" t="n">
        <v>4216.307473494043</v>
      </c>
      <c r="K3" s="0" t="n">
        <v>0.05881365002656615</v>
      </c>
    </row>
    <row r="4">
      <c r="A4" s="0" t="n">
        <v>6825812.4</v>
      </c>
      <c r="B4" s="0" t="n">
        <v>557.2787096403002</v>
      </c>
      <c r="C4" s="0" t="n">
        <v>742.8451179033405</v>
      </c>
      <c r="D4" s="0" t="n">
        <v>35.51232833959427</v>
      </c>
      <c r="E4" s="0" t="n">
        <v>1258626.471362983</v>
      </c>
      <c r="F4" s="0" t="n">
        <v>2774863.217291651</v>
      </c>
      <c r="G4" s="0" t="n">
        <v>9.192802672673857e-05</v>
      </c>
      <c r="H4" s="0" t="n">
        <v>1.881241813640291e-05</v>
      </c>
      <c r="I4" s="0" t="n">
        <v>0.5754790839945444</v>
      </c>
      <c r="J4" s="0" t="n">
        <v>5367.884836269513</v>
      </c>
      <c r="K4" s="0" t="n">
        <v>0.01785290901535152</v>
      </c>
    </row>
    <row r="5">
      <c r="A5" s="0" t="n">
        <v>6860286.2</v>
      </c>
      <c r="B5" s="0" t="n">
        <v>557.6177912536558</v>
      </c>
      <c r="C5" s="0" t="n">
        <v>742.2255513503549</v>
      </c>
      <c r="D5" s="0" t="n">
        <v>35.71211350032817</v>
      </c>
      <c r="E5" s="0" t="n">
        <v>1260424.220291215</v>
      </c>
      <c r="F5" s="0" t="n">
        <v>2774425.980690739</v>
      </c>
      <c r="G5" s="0" t="n">
        <v>9.179579653719597e-05</v>
      </c>
      <c r="H5" s="0" t="n">
        <v>1.882769900431104e-05</v>
      </c>
      <c r="I5" s="0" t="n">
        <v>0.5750165022375279</v>
      </c>
      <c r="J5" s="0" t="n">
        <v>5374.682995109599</v>
      </c>
      <c r="K5" s="0" t="n">
        <v>0.01777445835040356</v>
      </c>
    </row>
    <row r="6">
      <c r="A6" s="0" t="n">
        <v>6894760</v>
      </c>
      <c r="B6" s="0" t="n">
        <v>557.9555727067815</v>
      </c>
      <c r="C6" s="0" t="n">
        <v>741.6069116754932</v>
      </c>
      <c r="D6" s="0" t="n">
        <v>35.91221897416231</v>
      </c>
      <c r="E6" s="0" t="n">
        <v>1262216.960210474</v>
      </c>
      <c r="F6" s="0" t="n">
        <v>2773986.354767262</v>
      </c>
      <c r="G6" s="0" t="n">
        <v>9.166421053641044e-05</v>
      </c>
      <c r="H6" s="0" t="n">
        <v>1.884296239458781e-05</v>
      </c>
      <c r="I6" s="0" t="n">
        <v>0.574554638211538</v>
      </c>
      <c r="J6" s="0" t="n">
        <v>5381.504896084675</v>
      </c>
      <c r="K6" s="0" t="n">
        <v>0.0176963343994432</v>
      </c>
    </row>
    <row r="7">
      <c r="A7" s="0" t="n">
        <v>6929233.8</v>
      </c>
      <c r="B7" s="0" t="n">
        <v>558.2920653739174</v>
      </c>
      <c r="C7" s="0" t="n">
        <v>740.9891866139973</v>
      </c>
      <c r="D7" s="0" t="n">
        <v>36.1126462725747</v>
      </c>
      <c r="E7" s="0" t="n">
        <v>1264004.741035256</v>
      </c>
      <c r="F7" s="0" t="n">
        <v>2773544.350730871</v>
      </c>
      <c r="G7" s="0" t="n">
        <v>9.153326082961846e-05</v>
      </c>
      <c r="H7" s="0" t="n">
        <v>1.885820876143721e-05</v>
      </c>
      <c r="I7" s="0" t="n">
        <v>0.5740934862446089</v>
      </c>
      <c r="J7" s="0" t="n">
        <v>5388.350741924212</v>
      </c>
      <c r="K7" s="0" t="n">
        <v>0.01761853454647808</v>
      </c>
    </row>
    <row r="8">
      <c r="A8" s="0" t="n">
        <v>6963707.600000001</v>
      </c>
      <c r="B8" s="0" t="n">
        <v>558.6272804716901</v>
      </c>
      <c r="C8" s="0" t="n">
        <v>740.3723640380463</v>
      </c>
      <c r="D8" s="0" t="n">
        <v>36.31339691312984</v>
      </c>
      <c r="E8" s="0" t="n">
        <v>1265787.612025535</v>
      </c>
      <c r="F8" s="0" t="n">
        <v>2773099.979559397</v>
      </c>
      <c r="G8" s="0" t="n">
        <v>9.140293964919984e-05</v>
      </c>
      <c r="H8" s="0" t="n">
        <v>1.887343855447061e-05</v>
      </c>
      <c r="I8" s="0" t="n">
        <v>0.573633040714139</v>
      </c>
      <c r="J8" s="0" t="n">
        <v>5395.220736630292</v>
      </c>
      <c r="K8" s="0" t="n">
        <v>0.01754105621109315</v>
      </c>
    </row>
    <row r="9">
      <c r="A9" s="0" t="n">
        <v>6998181.4</v>
      </c>
      <c r="B9" s="0" t="n">
        <v>558.9612290620645</v>
      </c>
      <c r="C9" s="0" t="n">
        <v>739.7564319540618</v>
      </c>
      <c r="D9" s="0" t="n">
        <v>36.51447241957777</v>
      </c>
      <c r="E9" s="0" t="n">
        <v>1267565.621799264</v>
      </c>
      <c r="F9" s="0" t="n">
        <v>2772653.252002889</v>
      </c>
      <c r="G9" s="0" t="n">
        <v>9.127323935194205e-05</v>
      </c>
      <c r="H9" s="0" t="n">
        <v>1.888865221881094e-05</v>
      </c>
      <c r="I9" s="0" t="n">
        <v>0.5731732960461943</v>
      </c>
      <c r="J9" s="0" t="n">
        <v>5402.115085499097</v>
      </c>
      <c r="K9" s="0" t="n">
        <v>0.0174638968477998</v>
      </c>
    </row>
    <row r="10">
      <c r="A10" s="0" t="n">
        <v>7000000</v>
      </c>
      <c r="B10" s="0" t="n">
        <v>558.9788109268001</v>
      </c>
      <c r="C10" s="0" t="n">
        <v>739.723964125214</v>
      </c>
      <c r="D10" s="0" t="n">
        <v>36.52508882685193</v>
      </c>
      <c r="E10" s="0" t="n">
        <v>1267659.283264344</v>
      </c>
      <c r="F10" s="0" t="n">
        <v>2772629.620505983</v>
      </c>
      <c r="G10" s="0" t="n">
        <v>9.126641435573984e-05</v>
      </c>
      <c r="H10" s="0" t="n">
        <v>1.888945434737929e-05</v>
      </c>
      <c r="I10" s="0" t="n">
        <v>0.5731490624436735</v>
      </c>
      <c r="J10" s="0" t="n">
        <v>5402.479463996782</v>
      </c>
      <c r="K10" s="0" t="n">
        <v>0.0174598352611367</v>
      </c>
    </row>
    <row r="11">
      <c r="A11" s="0" t="n">
        <v>7032655.2</v>
      </c>
      <c r="B11" s="0" t="n">
        <v>559.2939220552254</v>
      </c>
      <c r="C11" s="0" t="n">
        <v>739.1413785000815</v>
      </c>
      <c r="D11" s="0" t="n">
        <v>36.71587432195347</v>
      </c>
      <c r="E11" s="0" t="n">
        <v>1269338.818344589</v>
      </c>
      <c r="F11" s="0" t="n">
        <v>2772204.178587558</v>
      </c>
      <c r="G11" s="0" t="n">
        <v>9.114415241637543e-05</v>
      </c>
      <c r="H11" s="0" t="n">
        <v>1.890385019519451e-05</v>
      </c>
      <c r="I11" s="0" t="n">
        <v>0.5727142467148485</v>
      </c>
      <c r="J11" s="0" t="n">
        <v>5409.033995142949</v>
      </c>
      <c r="K11" s="0" t="n">
        <v>0.01738705394539957</v>
      </c>
    </row>
    <row r="12">
      <c r="A12" s="0" t="n">
        <v>7067129</v>
      </c>
      <c r="B12" s="0" t="n">
        <v>559.6253702123939</v>
      </c>
      <c r="C12" s="0" t="n">
        <v>738.5271919431989</v>
      </c>
      <c r="D12" s="0" t="n">
        <v>36.91760415667519</v>
      </c>
      <c r="E12" s="0" t="n">
        <v>1271107.249031776</v>
      </c>
      <c r="F12" s="0" t="n">
        <v>2771752.769619614</v>
      </c>
      <c r="G12" s="0" t="n">
        <v>9.101567144018142e-05</v>
      </c>
      <c r="H12" s="0" t="n">
        <v>1.891903292007065e-05</v>
      </c>
      <c r="I12" s="0" t="n">
        <v>0.5722558872415161</v>
      </c>
      <c r="J12" s="0" t="n">
        <v>5415.97767351223</v>
      </c>
      <c r="K12" s="0" t="n">
        <v>0.01731052502636267</v>
      </c>
    </row>
    <row r="13">
      <c r="A13" s="0" t="n">
        <v>7101602.8</v>
      </c>
      <c r="B13" s="0" t="n">
        <v>559.955584148575</v>
      </c>
      <c r="C13" s="0" t="n">
        <v>737.9138606770317</v>
      </c>
      <c r="D13" s="0" t="n">
        <v>37.11966346664406</v>
      </c>
      <c r="E13" s="0" t="n">
        <v>1272870.960624882</v>
      </c>
      <c r="F13" s="0" t="n">
        <v>2771299.035189011</v>
      </c>
      <c r="G13" s="0" t="n">
        <v>9.088778913766019e-05</v>
      </c>
      <c r="H13" s="0" t="n">
        <v>1.893420082569913e-05</v>
      </c>
      <c r="I13" s="0" t="n">
        <v>0.571798212194301</v>
      </c>
      <c r="J13" s="0" t="n">
        <v>5422.94632991775</v>
      </c>
      <c r="K13" s="0" t="n">
        <v>0.01723430764622115</v>
      </c>
    </row>
    <row r="14">
      <c r="A14" s="0" t="n">
        <v>7342919.4</v>
      </c>
      <c r="B14" s="0" t="n">
        <v>562.2333856815696</v>
      </c>
      <c r="C14" s="0" t="n">
        <v>733.6435404795178</v>
      </c>
      <c r="D14" s="0" t="n">
        <v>38.54343495424207</v>
      </c>
      <c r="E14" s="0" t="n">
        <v>1285088.613158894</v>
      </c>
      <c r="F14" s="0" t="n">
        <v>2768058.585006239</v>
      </c>
      <c r="G14" s="0" t="n">
        <v>9.000878726542369e-05</v>
      </c>
      <c r="H14" s="0" t="n">
        <v>1.903999669928265e-05</v>
      </c>
      <c r="I14" s="0" t="n">
        <v>0.5686132040304022</v>
      </c>
      <c r="J14" s="0" t="n">
        <v>5472.44418793313</v>
      </c>
      <c r="K14" s="0" t="n">
        <v>0.01670931041408495</v>
      </c>
    </row>
    <row r="15">
      <c r="A15" t="n">
        <v>10273187.93</v>
      </c>
      <c r="B15" t="n">
        <v>586.1343034613038</v>
      </c>
      <c r="C15" t="n">
        <v>683.8798808659872</v>
      </c>
      <c r="D15" t="n">
        <v>57.35243534403548</v>
      </c>
      <c r="E15" t="n">
        <v>1419800.701559933</v>
      </c>
      <c r="F15" t="n">
        <v>2720431.325857149</v>
      </c>
      <c r="G15" t="n">
        <v>8.096989142362345e-05</v>
      </c>
      <c r="H15" t="n">
        <v>2.031530529879835e-05</v>
      </c>
      <c r="I15" t="n">
        <v>0.5320097403176529</v>
      </c>
      <c r="J15" t="n">
        <v>6204.910707246412</v>
      </c>
      <c r="K15" t="n">
        <v>0.0113056928900078</v>
      </c>
    </row>
    <row r="16">
      <c r="A16" t="n">
        <v>10376609.285</v>
      </c>
      <c r="B16" t="n">
        <v>586.8759119145376</v>
      </c>
      <c r="C16" t="n">
        <v>682.1615480764169</v>
      </c>
      <c r="D16" t="n">
        <v>58.07608511847995</v>
      </c>
      <c r="E16" t="n">
        <v>1424210.780827801</v>
      </c>
      <c r="F16" t="n">
        <v>2718482.232956228</v>
      </c>
      <c r="G16" t="n">
        <v>8.069015561035158e-05</v>
      </c>
      <c r="H16" t="n">
        <v>2.036134428728635e-05</v>
      </c>
      <c r="I16" t="n">
        <v>0.530771972446937</v>
      </c>
      <c r="J16" t="n">
        <v>6236.535064444485</v>
      </c>
      <c r="K16" t="n">
        <v>0.01114199646546294</v>
      </c>
    </row>
    <row r="17">
      <c r="A17" t="n">
        <v>10411083.07</v>
      </c>
      <c r="B17" t="n">
        <v>587.1218415356097</v>
      </c>
      <c r="C17" t="n">
        <v>681.5889437258458</v>
      </c>
      <c r="D17" t="n">
        <v>58.31834741686195</v>
      </c>
      <c r="E17" t="n">
        <v>1425676.915181059</v>
      </c>
      <c r="F17" t="n">
        <v>2717828.483466493</v>
      </c>
      <c r="G17" t="n">
        <v>8.059733613016151e-05</v>
      </c>
      <c r="H17" t="n">
        <v>2.037672417065808e-05</v>
      </c>
      <c r="I17" t="n">
        <v>0.530360011804662</v>
      </c>
      <c r="J17" t="n">
        <v>6247.187801401494</v>
      </c>
      <c r="K17" t="n">
        <v>0.01108777748646122</v>
      </c>
    </row>
    <row r="18">
      <c r="A18" t="n">
        <v>10445556.855</v>
      </c>
      <c r="B18" t="n">
        <v>587.3671405635383</v>
      </c>
      <c r="C18" t="n">
        <v>681.0164156251443</v>
      </c>
      <c r="D18" t="n">
        <v>58.56113711330066</v>
      </c>
      <c r="E18" t="n">
        <v>1427141.134712551</v>
      </c>
      <c r="F18" t="n">
        <v>2717172.704888461</v>
      </c>
      <c r="G18" t="n">
        <v>8.050472582743532e-05</v>
      </c>
      <c r="H18" t="n">
        <v>2.039212133323165e-05</v>
      </c>
      <c r="I18" t="n">
        <v>0.5299483608372746</v>
      </c>
      <c r="J18" t="n">
        <v>6257.897019692088</v>
      </c>
      <c r="K18" t="n">
        <v>0.01103373036943443</v>
      </c>
    </row>
    <row r="19">
      <c r="A19" t="n">
        <v>10652399.565</v>
      </c>
      <c r="B19" t="n">
        <v>588.8258889765095</v>
      </c>
      <c r="C19" t="n">
        <v>677.5825015864292</v>
      </c>
      <c r="D19" t="n">
        <v>60.0291064650504</v>
      </c>
      <c r="E19" t="n">
        <v>1435887.271926542</v>
      </c>
      <c r="F19" t="n">
        <v>2713195.303165792</v>
      </c>
      <c r="G19" t="n">
        <v>7.995333480447857e-05</v>
      </c>
      <c r="H19" t="n">
        <v>2.048488413123789e-05</v>
      </c>
      <c r="I19" t="n">
        <v>0.5274848046035251</v>
      </c>
      <c r="J19" t="n">
        <v>6323.36756051145</v>
      </c>
      <c r="K19" t="n">
        <v>0.01071301140756829</v>
      </c>
    </row>
    <row r="20">
      <c r="A20" t="n">
        <v>10790294.705</v>
      </c>
      <c r="B20" t="n">
        <v>589.7862139913685</v>
      </c>
      <c r="C20" t="n">
        <v>675.2939686299162</v>
      </c>
      <c r="D20" t="n">
        <v>61.0186576980413</v>
      </c>
      <c r="E20" t="n">
        <v>1441682.042663497</v>
      </c>
      <c r="F20" t="n">
        <v>2710502.831333783</v>
      </c>
      <c r="G20" t="n">
        <v>7.958965259573883e-05</v>
      </c>
      <c r="H20" t="n">
        <v>2.054711008012266e-05</v>
      </c>
      <c r="I20" t="n">
        <v>0.5258482835312857</v>
      </c>
      <c r="J20" t="n">
        <v>6368.211489078882</v>
      </c>
      <c r="K20" t="n">
        <v>0.01050253506811907</v>
      </c>
    </row>
    <row r="21">
      <c r="A21" t="n">
        <v>12341615.03</v>
      </c>
      <c r="B21" t="n">
        <v>599.9799801328129</v>
      </c>
      <c r="C21" t="n">
        <v>649.4652101094947</v>
      </c>
      <c r="D21" t="n">
        <v>72.8165211354779</v>
      </c>
      <c r="E21" t="n">
        <v>1505230.716295641</v>
      </c>
      <c r="F21" t="n">
        <v>2677886.670586206</v>
      </c>
      <c r="G21" t="n">
        <v>7.567526943882543e-05</v>
      </c>
      <c r="H21" t="n">
        <v>2.1274764991597e-05</v>
      </c>
      <c r="I21" t="n">
        <v>0.5077101608697546</v>
      </c>
      <c r="J21" t="n">
        <v>6951.82535769017</v>
      </c>
      <c r="K21" t="n">
        <v>0.008304570485373161</v>
      </c>
    </row>
    <row r="22">
      <c r="A22" t="n">
        <v>12376088.815</v>
      </c>
      <c r="B22" t="n">
        <v>600.1948144628825</v>
      </c>
      <c r="C22" t="n">
        <v>648.8871379513338</v>
      </c>
      <c r="D22" t="n">
        <v>73.093943284834</v>
      </c>
      <c r="E22" t="n">
        <v>1506614.761468477</v>
      </c>
      <c r="F22" t="n">
        <v>2677111.482847343</v>
      </c>
      <c r="G22" t="n">
        <v>7.559131012025252e-05</v>
      </c>
      <c r="H22" t="n">
        <v>2.129164065422077e-05</v>
      </c>
      <c r="I22" t="n">
        <v>0.5073119294135883</v>
      </c>
      <c r="J22" t="n">
        <v>6966.747327197736</v>
      </c>
      <c r="K22" t="n">
        <v>0.008259037100616849</v>
      </c>
    </row>
    <row r="23">
      <c r="A23" t="n">
        <v>12410562.6</v>
      </c>
      <c r="B23" t="n">
        <v>600.4091781537427</v>
      </c>
      <c r="C23" t="n">
        <v>648.3087878720418</v>
      </c>
      <c r="D23" t="n">
        <v>73.37209044233261</v>
      </c>
      <c r="E23" t="n">
        <v>1507997.823518037</v>
      </c>
      <c r="F23" t="n">
        <v>2676334.009514213</v>
      </c>
      <c r="G23" t="n">
        <v>7.550745706951252e-05</v>
      </c>
      <c r="H23" t="n">
        <v>2.130855264065437e-05</v>
      </c>
      <c r="I23" t="n">
        <v>0.5069138770920962</v>
      </c>
      <c r="J23" t="n">
        <v>6981.7690086139</v>
      </c>
      <c r="K23" t="n">
        <v>0.008213639133320285</v>
      </c>
    </row>
    <row r="24">
      <c r="A24" t="n">
        <v>12445036.385</v>
      </c>
      <c r="B24" t="n">
        <v>600.6230733877911</v>
      </c>
      <c r="C24" t="n">
        <v>647.7301532459188</v>
      </c>
      <c r="D24" t="n">
        <v>73.65096699650779</v>
      </c>
      <c r="E24" t="n">
        <v>1509379.917457577</v>
      </c>
      <c r="F24" t="n">
        <v>2675554.243321041</v>
      </c>
      <c r="G24" t="n">
        <v>7.542370875497005e-05</v>
      </c>
      <c r="H24" t="n">
        <v>2.132550133754978e-05</v>
      </c>
      <c r="I24" t="n">
        <v>0.5065160021494741</v>
      </c>
      <c r="J24" t="n">
        <v>6996.89152788073</v>
      </c>
      <c r="K24" t="n">
        <v>0.008168376097773333</v>
      </c>
    </row>
    <row r="25">
      <c r="A25" t="n">
        <v>12479510.17</v>
      </c>
      <c r="B25" t="n">
        <v>600.8365023302473</v>
      </c>
      <c r="C25" t="n">
        <v>647.1512274162724</v>
      </c>
      <c r="D25" t="n">
        <v>73.93057737590975</v>
      </c>
      <c r="E25" t="n">
        <v>1510761.058288175</v>
      </c>
      <c r="F25" t="n">
        <v>2674772.176894574</v>
      </c>
      <c r="G25" t="n">
        <v>7.534006365000163e-05</v>
      </c>
      <c r="H25" t="n">
        <v>2.1342487134157e-05</v>
      </c>
      <c r="I25" t="n">
        <v>0.5061183028518906</v>
      </c>
      <c r="J25" t="n">
        <v>7012.116029155643</v>
      </c>
      <c r="K25" t="n">
        <v>0.008123247512621692</v>
      </c>
    </row>
    <row r="26">
      <c r="A26" t="n">
        <v>12513983.955</v>
      </c>
      <c r="B26" t="n">
        <v>601.0494671293255</v>
      </c>
      <c r="C26" t="n">
        <v>646.5720036943716</v>
      </c>
      <c r="D26" t="n">
        <v>74.21092604963241</v>
      </c>
      <c r="E26" t="n">
        <v>1512141.261000498</v>
      </c>
      <c r="F26" t="n">
        <v>2673987.802753131</v>
      </c>
      <c r="G26" t="n">
        <v>7.525652023277775e-05</v>
      </c>
      <c r="H26" t="n">
        <v>2.135951042237069e-05</v>
      </c>
      <c r="I26" t="n">
        <v>0.5057207774877909</v>
      </c>
      <c r="J26" t="n">
        <v>7027.443675198268</v>
      </c>
      <c r="K26" t="n">
        <v>0.008078252900830243</v>
      </c>
    </row>
    <row r="27">
      <c r="A27" t="n">
        <v>12582931.525</v>
      </c>
      <c r="B27" t="n">
        <v>601.4740128062333</v>
      </c>
      <c r="C27" t="n">
        <v>645.412635652356</v>
      </c>
      <c r="D27" t="n">
        <v>74.77385636232491</v>
      </c>
      <c r="E27" t="n">
        <v>1514898.911991924</v>
      </c>
      <c r="F27" t="n">
        <v>2672412.100850907</v>
      </c>
      <c r="G27" t="n">
        <v>7.50897323969185e-05</v>
      </c>
      <c r="H27" t="n">
        <v>2.139367105470583e-05</v>
      </c>
      <c r="I27" t="n">
        <v>0.5049262418271959</v>
      </c>
      <c r="J27" t="n">
        <v>7058.413148019863</v>
      </c>
      <c r="K27" t="n">
        <v>0.007988663710560276</v>
      </c>
    </row>
    <row r="28">
      <c r="A28" s="0" t="n">
        <v>13789520</v>
      </c>
      <c r="B28" s="0" t="n">
        <v>608.621106065763</v>
      </c>
      <c r="C28" s="0" t="n">
        <v>624.8662749483865</v>
      </c>
      <c r="D28" s="0" t="n">
        <v>85.1478935815794</v>
      </c>
      <c r="E28" s="0" t="n">
        <v>1562686.974025783</v>
      </c>
      <c r="F28" s="0" t="n">
        <v>2643264.389866509</v>
      </c>
      <c r="G28" s="0" t="n">
        <v>7.222325269024983e-05</v>
      </c>
      <c r="H28" s="0" t="n">
        <v>2.201959404273351e-05</v>
      </c>
      <c r="I28" s="0" t="n">
        <v>0.4911212487937569</v>
      </c>
      <c r="J28" s="0" t="n">
        <v>7679.75163967041</v>
      </c>
      <c r="K28" s="0" t="n">
        <v>0.006503638288888455</v>
      </c>
    </row>
    <row r="29">
      <c r="A29" t="n">
        <v>14375568.345</v>
      </c>
      <c r="B29" t="n">
        <v>611.9138627043679</v>
      </c>
      <c r="C29" t="n">
        <v>614.647861386357</v>
      </c>
      <c r="D29" t="n">
        <v>90.58888284333061</v>
      </c>
      <c r="E29" t="n">
        <v>1585699.507241174</v>
      </c>
      <c r="F29" t="n">
        <v>2627949.097315686</v>
      </c>
      <c r="G29" t="n">
        <v>7.085488162994449e-05</v>
      </c>
      <c r="H29" t="n">
        <v>2.234660014050572e-05</v>
      </c>
      <c r="I29" t="n">
        <v>0.4844761764960906</v>
      </c>
      <c r="J29" t="n">
        <v>8050.158266711443</v>
      </c>
      <c r="K29" t="n">
        <v>0.005835828437562089</v>
      </c>
    </row>
    <row r="30">
      <c r="A30" t="n">
        <v>14410042.13</v>
      </c>
      <c r="B30" t="n">
        <v>612.1041752665946</v>
      </c>
      <c r="C30" t="n">
        <v>614.0404752706733</v>
      </c>
      <c r="D30" t="n">
        <v>90.91818200054931</v>
      </c>
      <c r="E30" t="n">
        <v>1587051.743777507</v>
      </c>
      <c r="F30" t="n">
        <v>2627022.586135034</v>
      </c>
      <c r="G30" t="n">
        <v>7.077463318897818e-05</v>
      </c>
      <c r="H30" t="n">
        <v>2.236639022389293e-05</v>
      </c>
      <c r="I30" t="n">
        <v>0.4840864465582857</v>
      </c>
      <c r="J30" t="n">
        <v>8073.715705180938</v>
      </c>
      <c r="K30" t="n">
        <v>0.005797580748261162</v>
      </c>
    </row>
    <row r="31">
      <c r="A31" t="n">
        <v>14444515.915</v>
      </c>
      <c r="B31" t="n">
        <v>612.2941214121385</v>
      </c>
      <c r="C31" t="n">
        <v>613.4323240241945</v>
      </c>
      <c r="D31" t="n">
        <v>91.24855569891184</v>
      </c>
      <c r="E31" t="n">
        <v>1588403.928984249</v>
      </c>
      <c r="F31" t="n">
        <v>2626093.134566842</v>
      </c>
      <c r="G31" t="n">
        <v>7.069440185061589e-05</v>
      </c>
      <c r="H31" t="n">
        <v>2.238624579377306e-05</v>
      </c>
      <c r="I31" t="n">
        <v>0.4836968477543824</v>
      </c>
      <c r="J31" t="n">
        <v>8097.488584981124</v>
      </c>
      <c r="K31" t="n">
        <v>0.005759446282610096</v>
      </c>
    </row>
    <row r="32">
      <c r="A32" t="n">
        <v>14478989.7</v>
      </c>
      <c r="B32" t="n">
        <v>612.4837025512954</v>
      </c>
      <c r="C32" t="n">
        <v>612.8233966904331</v>
      </c>
      <c r="D32" t="n">
        <v>91.58001197883296</v>
      </c>
      <c r="E32" t="n">
        <v>1589756.080898311</v>
      </c>
      <c r="F32" t="n">
        <v>2625160.726484098</v>
      </c>
      <c r="G32" t="n">
        <v>7.061418597751519e-05</v>
      </c>
      <c r="H32" t="n">
        <v>2.240616749994459e-05</v>
      </c>
      <c r="I32" t="n">
        <v>0.4833073807847746</v>
      </c>
      <c r="J32" t="n">
        <v>8121.480201185434</v>
      </c>
      <c r="K32" t="n">
        <v>0.005721424763628464</v>
      </c>
    </row>
    <row r="33">
      <c r="A33" t="n">
        <v>14513463.485</v>
      </c>
      <c r="B33" t="n">
        <v>612.6729200846174</v>
      </c>
      <c r="C33" t="n">
        <v>612.2136821782778</v>
      </c>
      <c r="D33" t="n">
        <v>91.91255897533145</v>
      </c>
      <c r="E33" t="n">
        <v>1591108.217691361</v>
      </c>
      <c r="F33" t="n">
        <v>2624225.345541741</v>
      </c>
      <c r="G33" t="n">
        <v>7.053398392243067e-05</v>
      </c>
      <c r="H33" t="n">
        <v>2.242615599936998e-05</v>
      </c>
      <c r="I33" t="n">
        <v>0.4829180464298919</v>
      </c>
      <c r="J33" t="n">
        <v>8145.69391619442</v>
      </c>
      <c r="K33" t="n">
        <v>0.005683515917280233</v>
      </c>
    </row>
    <row r="34">
      <c r="A34" t="n">
        <v>14547937.27</v>
      </c>
      <c r="B34" t="n">
        <v>612.8617754030106</v>
      </c>
      <c r="C34" t="n">
        <v>611.6031692592142</v>
      </c>
      <c r="D34" t="n">
        <v>92.24620491959489</v>
      </c>
      <c r="E34" t="n">
        <v>1592460.357673506</v>
      </c>
      <c r="F34" t="n">
        <v>2623286.975173406</v>
      </c>
      <c r="G34" t="n">
        <v>7.045379402789491e-05</v>
      </c>
      <c r="H34" t="n">
        <v>2.244621195630449e-05</v>
      </c>
      <c r="I34" t="n">
        <v>0.482528845552468</v>
      </c>
      <c r="J34" t="n">
        <v>8170.133161316754</v>
      </c>
      <c r="K34" t="n">
        <v>0.005645719472459692</v>
      </c>
    </row>
    <row r="35">
      <c r="A35" t="n">
        <v>14582411.055</v>
      </c>
      <c r="B35" t="n">
        <v>613.0502698878137</v>
      </c>
      <c r="C35" t="n">
        <v>610.9918465644622</v>
      </c>
      <c r="D35" t="n">
        <v>92.58095814060322</v>
      </c>
      <c r="E35" t="n">
        <v>1593812.519296919</v>
      </c>
      <c r="F35" t="n">
        <v>2622345.598587861</v>
      </c>
      <c r="G35" t="n">
        <v>7.037361462589101e-05</v>
      </c>
      <c r="H35" t="n">
        <v>2.246633604242734e-05</v>
      </c>
      <c r="I35" t="n">
        <v>0.482139779099871</v>
      </c>
      <c r="J35" t="n">
        <v>8194.801438395132</v>
      </c>
      <c r="K35" t="n">
        <v>0.005608035160981506</v>
      </c>
    </row>
    <row r="36">
      <c r="A36" t="n">
        <v>14651358.625</v>
      </c>
      <c r="B36" t="n">
        <v>613.4261818346945</v>
      </c>
      <c r="C36" t="n">
        <v>609.7667256540985</v>
      </c>
      <c r="D36" t="n">
        <v>93.25382022763198</v>
      </c>
      <c r="E36" t="n">
        <v>1596516.982009178</v>
      </c>
      <c r="F36" t="n">
        <v>2620453.758454822</v>
      </c>
      <c r="G36" t="n">
        <v>7.021328057269819e-05</v>
      </c>
      <c r="H36" t="n">
        <v>2.250679132688216e-05</v>
      </c>
      <c r="I36" t="n">
        <v>0.4813620536964257</v>
      </c>
      <c r="J36" t="n">
        <v>8244.839458487519</v>
      </c>
      <c r="K36" t="n">
        <v>0.005533001879842598</v>
      </c>
    </row>
    <row r="37">
      <c r="A37" t="n">
        <v>14927148.905</v>
      </c>
      <c r="B37" t="n">
        <v>614.9156661127455</v>
      </c>
      <c r="C37" t="n">
        <v>604.8314746089461</v>
      </c>
      <c r="D37" t="n">
        <v>95.99129627600891</v>
      </c>
      <c r="E37" t="n">
        <v>1607339.494512367</v>
      </c>
      <c r="F37" t="n">
        <v>2612762.628626758</v>
      </c>
      <c r="G37" t="n">
        <v>6.957202252288149e-05</v>
      </c>
      <c r="H37" t="n">
        <v>2.267147736390745e-05</v>
      </c>
      <c r="I37" t="n">
        <v>0.4782567819706741</v>
      </c>
      <c r="J37" t="n">
        <v>8454.905267185064</v>
      </c>
      <c r="K37" t="n">
        <v>0.005237302445570131</v>
      </c>
    </row>
    <row r="38">
      <c r="A38" s="0" t="n">
        <v>15000000</v>
      </c>
      <c r="B38" s="0" t="n">
        <v>615.3053921917787</v>
      </c>
      <c r="C38" s="0" t="n">
        <v>603.5179799734697</v>
      </c>
      <c r="D38" s="0" t="n">
        <v>96.72710122513141</v>
      </c>
      <c r="E38" s="0" t="n">
        <v>1610200.397490829</v>
      </c>
      <c r="F38" s="0" t="n">
        <v>2610697.118738072</v>
      </c>
      <c r="G38" s="0" t="n">
        <v>6.940257665174289e-05</v>
      </c>
      <c r="H38" s="0" t="n">
        <v>2.271577678039826e-05</v>
      </c>
      <c r="I38" s="0" t="n">
        <v>0.4774380884472956</v>
      </c>
      <c r="J38" s="0" t="n">
        <v>8513.220045053227</v>
      </c>
      <c r="K38" s="0" t="n">
        <v>0.005160366068717798</v>
      </c>
    </row>
    <row r="39">
      <c r="A39" t="n">
        <v>15202939.185</v>
      </c>
      <c r="B39" t="n">
        <v>616.3829877379588</v>
      </c>
      <c r="C39" t="n">
        <v>599.8356868470805</v>
      </c>
      <c r="D39" t="n">
        <v>98.8059869905658</v>
      </c>
      <c r="E39" t="n">
        <v>1618177.117580774</v>
      </c>
      <c r="F39" t="n">
        <v>2604866.169635641</v>
      </c>
      <c r="G39" t="n">
        <v>6.893020605980822e-05</v>
      </c>
      <c r="H39" t="n">
        <v>2.284103358945794e-05</v>
      </c>
      <c r="I39" t="n">
        <v>0.4751612263588578</v>
      </c>
      <c r="J39" t="n">
        <v>8682.456333268559</v>
      </c>
      <c r="K39" t="n">
        <v>0.004948603832296446</v>
      </c>
    </row>
    <row r="40">
      <c r="A40" t="n">
        <v>15237412.97</v>
      </c>
      <c r="B40" t="n">
        <v>616.5648767202272</v>
      </c>
      <c r="C40" t="n">
        <v>599.2066093804692</v>
      </c>
      <c r="D40" t="n">
        <v>99.16350411145154</v>
      </c>
      <c r="E40" t="n">
        <v>1619533.414090933</v>
      </c>
      <c r="F40" t="n">
        <v>2603864.157358925</v>
      </c>
      <c r="G40" t="n">
        <v>6.884989257769253e-05</v>
      </c>
      <c r="H40" t="n">
        <v>2.286259068560477e-05</v>
      </c>
      <c r="I40" t="n">
        <v>0.4747750265816222</v>
      </c>
      <c r="J40" t="n">
        <v>8712.24875975252</v>
      </c>
      <c r="K40" t="n">
        <v>0.004913002910320205</v>
      </c>
    </row>
    <row r="41">
      <c r="A41" t="n">
        <v>16409521.66</v>
      </c>
      <c r="B41" t="n">
        <v>622.5571784258506</v>
      </c>
      <c r="C41" t="n">
        <v>577.0692361218839</v>
      </c>
      <c r="D41" t="n">
        <v>112.170339554738</v>
      </c>
      <c r="E41" t="n">
        <v>1666062.182517911</v>
      </c>
      <c r="F41" t="n">
        <v>2567609.160161545</v>
      </c>
      <c r="G41" t="n">
        <v>6.608999447780528e-05</v>
      </c>
      <c r="H41" t="n">
        <v>2.365144484786513e-05</v>
      </c>
      <c r="I41" t="n">
        <v>0.4617815186656826</v>
      </c>
      <c r="J41" t="n">
        <v>9956.621565798408</v>
      </c>
      <c r="K41" t="n">
        <v>0.003765233179677297</v>
      </c>
    </row>
    <row r="42">
      <c r="A42" t="n">
        <v>16512943.015</v>
      </c>
      <c r="B42" t="n">
        <v>623.0687648164117</v>
      </c>
      <c r="C42" t="n">
        <v>575.0324095995477</v>
      </c>
      <c r="D42" t="n">
        <v>113.4071254865684</v>
      </c>
      <c r="E42" t="n">
        <v>1670225.602711223</v>
      </c>
      <c r="F42" t="n">
        <v>2564185.687557247</v>
      </c>
      <c r="G42" t="n">
        <v>6.584209057069572e-05</v>
      </c>
      <c r="H42" t="n">
        <v>2.372703712674797e-05</v>
      </c>
      <c r="I42" t="n">
        <v>0.4606529406969195</v>
      </c>
      <c r="J42" t="n">
        <v>10093.6783111325</v>
      </c>
      <c r="K42" t="n">
        <v>0.003669690567035393</v>
      </c>
    </row>
    <row r="43">
      <c r="A43" t="n">
        <v>16547416.8</v>
      </c>
      <c r="B43" t="n">
        <v>623.2387013331364</v>
      </c>
      <c r="C43" t="n">
        <v>574.3498871111304</v>
      </c>
      <c r="D43" t="n">
        <v>113.8230037101513</v>
      </c>
      <c r="E43" t="n">
        <v>1671616.280799323</v>
      </c>
      <c r="F43" t="n">
        <v>2563035.577914008</v>
      </c>
      <c r="G43" t="n">
        <v>6.575923155740318e-05</v>
      </c>
      <c r="H43" t="n">
        <v>2.375248241101449e-05</v>
      </c>
      <c r="I43" t="n">
        <v>0.4602776548493975</v>
      </c>
      <c r="J43" t="n">
        <v>10140.60046011718</v>
      </c>
      <c r="K43" t="n">
        <v>0.003638046158632387</v>
      </c>
    </row>
    <row r="44">
      <c r="A44" s="0" t="n">
        <v>16581890.585</v>
      </c>
      <c r="B44" s="0" t="n">
        <v>623.408343292007</v>
      </c>
      <c r="C44" s="0" t="n">
        <v>573.6655311976971</v>
      </c>
      <c r="D44" s="0" t="n">
        <v>114.2407208927054</v>
      </c>
      <c r="E44" s="0" t="n">
        <v>1673008.452885706</v>
      </c>
      <c r="F44" s="0" t="n">
        <v>2561880.926064556</v>
      </c>
      <c r="G44" s="0" t="n">
        <v>6.567625548679871e-05</v>
      </c>
      <c r="H44" s="0" t="n">
        <v>2.377805406893512e-05</v>
      </c>
      <c r="I44" s="0" t="n">
        <v>0.4599028461125329</v>
      </c>
      <c r="J44" s="0" t="n">
        <v>10188.16161807299</v>
      </c>
      <c r="K44" s="0" t="n">
        <v>0.003606503138335334</v>
      </c>
    </row>
    <row r="45">
      <c r="A45" s="0" t="n">
        <v>16616364.37</v>
      </c>
      <c r="B45" s="0" t="n">
        <v>623.5776916334659</v>
      </c>
      <c r="C45" s="0" t="n">
        <v>572.9793153012131</v>
      </c>
      <c r="D45" s="0" t="n">
        <v>114.6602959973746</v>
      </c>
      <c r="E45" s="0" t="n">
        <v>1674402.154677412</v>
      </c>
      <c r="F45" s="0" t="n">
        <v>2560721.691284928</v>
      </c>
      <c r="G45" s="0" t="n">
        <v>6.559315938668894e-05</v>
      </c>
      <c r="H45" s="0" t="n">
        <v>2.380375376834677e-05</v>
      </c>
      <c r="I45" s="0" t="n">
        <v>0.4595285294690518</v>
      </c>
      <c r="J45" s="0" t="n">
        <v>10236.37466877429</v>
      </c>
      <c r="K45" s="0" t="n">
        <v>0.003575061404803361</v>
      </c>
    </row>
    <row r="46">
      <c r="A46" s="0" t="n">
        <v>16616364.37</v>
      </c>
      <c r="B46" s="0" t="n">
        <v>623.5776916334659</v>
      </c>
      <c r="C46" s="0" t="n">
        <v>572.9793153012131</v>
      </c>
      <c r="D46" s="0" t="n">
        <v>114.6602959973746</v>
      </c>
      <c r="E46" s="0" t="n">
        <v>1674402.154677412</v>
      </c>
      <c r="F46" s="0" t="n">
        <v>2560721.691284928</v>
      </c>
      <c r="G46" s="0" t="n">
        <v>6.559315938668894e-05</v>
      </c>
      <c r="H46" s="0" t="n">
        <v>2.380375376834677e-05</v>
      </c>
      <c r="I46" s="0" t="n">
        <v>0.4595285294690518</v>
      </c>
      <c r="J46" s="0" t="n">
        <v>10236.37466877429</v>
      </c>
      <c r="K46" s="0" t="n">
        <v>0.003575061404803361</v>
      </c>
    </row>
    <row r="47">
      <c r="A47" s="0" t="n">
        <v>16650838.155</v>
      </c>
      <c r="B47" s="0" t="n">
        <v>623.7467472920838</v>
      </c>
      <c r="C47" s="0" t="n">
        <v>572.2912124574495</v>
      </c>
      <c r="D47" s="0" t="n">
        <v>115.0817483052288</v>
      </c>
      <c r="E47" s="0" t="n">
        <v>1675797.422369329</v>
      </c>
      <c r="F47" s="0" t="n">
        <v>2559557.832139941</v>
      </c>
      <c r="G47" s="0" t="n">
        <v>6.550994025028822e-05</v>
      </c>
      <c r="H47" s="0" t="n">
        <v>2.382958290431109e-05</v>
      </c>
      <c r="I47" s="0" t="n">
        <v>0.4591547204301588</v>
      </c>
      <c r="J47" s="0" t="n">
        <v>10285.25280614435</v>
      </c>
      <c r="K47" s="0" t="n">
        <v>0.003543720859750224</v>
      </c>
    </row>
    <row r="48">
      <c r="A48" t="n">
        <v>16719785.725</v>
      </c>
      <c r="B48" t="n">
        <v>624.0839842699282</v>
      </c>
      <c r="C48" t="n">
        <v>570.9092360058894</v>
      </c>
      <c r="D48" t="n">
        <v>115.9303632899213</v>
      </c>
      <c r="E48" t="n">
        <v>1678592.802720657</v>
      </c>
      <c r="F48" t="n">
        <v>2557216.071355292</v>
      </c>
      <c r="G48" t="n">
        <v>6.534312066627566e-05</v>
      </c>
      <c r="H48" t="n">
        <v>2.388163570393067e-05</v>
      </c>
      <c r="I48" t="n">
        <v>0.458408689954162</v>
      </c>
      <c r="J48" t="n">
        <v>10385.05871703126</v>
      </c>
      <c r="K48" t="n">
        <v>0.003481342957341093</v>
      </c>
    </row>
    <row r="49">
      <c r="A49" t="n">
        <v>17236893.2329209</v>
      </c>
      <c r="B49" t="n">
        <v>626.577235837968</v>
      </c>
      <c r="C49" t="n">
        <v>560.26337686439</v>
      </c>
      <c r="D49" t="n">
        <v>122.583590976701</v>
      </c>
      <c r="E49" t="n">
        <v>1699798.64659754</v>
      </c>
      <c r="F49" t="n">
        <v>2538890.64548072</v>
      </c>
      <c r="G49" t="n">
        <v>6.40660055085254e-05</v>
      </c>
      <c r="H49" t="n">
        <v>2.42908906283262e-05</v>
      </c>
      <c r="I49" t="n">
        <v>0.452884810527584</v>
      </c>
      <c r="J49" t="n">
        <v>11219.5153726489</v>
      </c>
      <c r="K49" t="n">
        <v>0.00302925386118211</v>
      </c>
    </row>
    <row r="50">
      <c r="A50" t="n">
        <v>18960582.556213</v>
      </c>
      <c r="B50" t="n">
        <v>634.448233918326</v>
      </c>
      <c r="C50" t="n">
        <v>520.383775697711</v>
      </c>
      <c r="D50" t="n">
        <v>149.149581012268</v>
      </c>
      <c r="E50" t="n">
        <v>1775044.02675453</v>
      </c>
      <c r="F50" t="n">
        <v>2467301.63276377</v>
      </c>
      <c r="G50" t="n">
        <v>5.94807731189254e-05</v>
      </c>
      <c r="H50" t="n">
        <v>2.5972810943896e-05</v>
      </c>
      <c r="I50" t="n">
        <v>0.436617985630564</v>
      </c>
      <c r="J50" t="n">
        <v>16063.580349286</v>
      </c>
      <c r="K50" t="n">
        <v>0.0016624879026359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ws_CpLow">
    <outlinePr summaryBelow="1" summaryRight="1"/>
    <pageSetUpPr/>
  </sheetPr>
  <dimension ref="A1:D337"/>
  <sheetViews>
    <sheetView workbookViewId="0">
      <pane ySplit="1" topLeftCell="A2" activePane="bottomLeft" state="frozen"/>
      <selection pane="bottomLeft" activeCell="B2" sqref="B2:B337"/>
    </sheetView>
  </sheetViews>
  <sheetFormatPr baseColWidth="8" defaultRowHeight="13.5"/>
  <cols>
    <col width="12" customWidth="1" style="10" min="1" max="1"/>
    <col width="14" customWidth="1" style="10" min="2" max="2"/>
    <col width="18" customWidth="1" style="10" min="4" max="4"/>
    <col width="40" customWidth="1" style="10" min="5" max="5"/>
  </cols>
  <sheetData>
    <row r="1">
      <c r="A1" s="31" t="inlineStr">
        <is>
          <t>T_K</t>
        </is>
      </c>
      <c r="B1" s="31" t="inlineStr">
        <is>
          <t>cp</t>
        </is>
      </c>
      <c r="D1" s="32" t="inlineStr">
        <is>
          <t>使い方</t>
        </is>
      </c>
    </row>
    <row r="2">
      <c r="A2" s="0" t="n">
        <v>278</v>
      </c>
      <c r="B2" s="0" t="n">
        <v>4205.401433761239</v>
      </c>
      <c r="D2" s="0" t="inlineStr">
        <is>
          <t>1) CoolPropが使えるPCで再計算 2) A:Bをコピーして値貼り付け 3) CoolProp依存を外す</t>
        </is>
      </c>
    </row>
    <row r="3">
      <c r="A3" s="0" t="n">
        <v>279</v>
      </c>
      <c r="B3" s="0" t="n">
        <v>4203.089090966399</v>
      </c>
    </row>
    <row r="4">
      <c r="A4" s="0" t="n">
        <v>280</v>
      </c>
      <c r="B4" s="0" t="n">
        <v>4200.94474253001</v>
      </c>
    </row>
    <row r="5">
      <c r="A5" s="0" t="n">
        <v>281</v>
      </c>
      <c r="B5" s="0" t="n">
        <v>4198.956811085588</v>
      </c>
    </row>
    <row r="6">
      <c r="A6" s="0" t="n">
        <v>282</v>
      </c>
      <c r="B6" s="0" t="n">
        <v>4197.114692327981</v>
      </c>
    </row>
    <row r="7">
      <c r="A7" s="0" t="n">
        <v>283</v>
      </c>
      <c r="B7" s="0" t="n">
        <v>4195.408650612813</v>
      </c>
    </row>
    <row r="8">
      <c r="A8" s="0" t="n">
        <v>284</v>
      </c>
      <c r="B8" s="0" t="n">
        <v>4193.82972831809</v>
      </c>
    </row>
    <row r="9">
      <c r="A9" s="0" t="n">
        <v>285</v>
      </c>
      <c r="B9" s="0" t="n">
        <v>4192.369666967129</v>
      </c>
    </row>
    <row r="10">
      <c r="A10" s="0" t="n">
        <v>286</v>
      </c>
      <c r="B10" s="0" t="n">
        <v>4191.020838432381</v>
      </c>
    </row>
    <row r="11">
      <c r="A11" s="0" t="n">
        <v>287</v>
      </c>
      <c r="B11" s="0" t="n">
        <v>4189.776184724316</v>
      </c>
    </row>
    <row r="12">
      <c r="A12" s="0" t="n">
        <v>288</v>
      </c>
      <c r="B12" s="0" t="n">
        <v>4188.6291652342</v>
      </c>
    </row>
    <row r="13">
      <c r="A13" s="0" t="n">
        <v>289</v>
      </c>
      <c r="B13" s="0" t="n">
        <v>4187.573710304634</v>
      </c>
    </row>
    <row r="14">
      <c r="A14" s="0" t="n">
        <v>290</v>
      </c>
      <c r="B14" s="0" t="n">
        <v>4186.604180276848</v>
      </c>
    </row>
    <row r="15">
      <c r="A15" s="0" t="n">
        <v>291</v>
      </c>
      <c r="B15" s="0" t="n">
        <v>4185.715329273417</v>
      </c>
    </row>
    <row r="16">
      <c r="A16" s="0" t="n">
        <v>292</v>
      </c>
      <c r="B16" s="0" t="n">
        <v>4184.902273054911</v>
      </c>
    </row>
    <row r="17">
      <c r="A17" s="0" t="n">
        <v>293</v>
      </c>
      <c r="B17" s="0" t="n">
        <v>4184.160460366967</v>
      </c>
    </row>
    <row r="18">
      <c r="A18" s="0" t="n">
        <v>294</v>
      </c>
      <c r="B18" s="0" t="n">
        <v>4183.485647400011</v>
      </c>
    </row>
    <row r="19">
      <c r="A19" s="0" t="n">
        <v>295</v>
      </c>
      <c r="B19" s="0" t="n">
        <v>4182.873874852606</v>
      </c>
    </row>
    <row r="20">
      <c r="A20" s="0" t="n">
        <v>296</v>
      </c>
      <c r="B20" s="0" t="n">
        <v>4182.321447329909</v>
      </c>
    </row>
    <row r="21">
      <c r="A21" s="0" t="n">
        <v>297</v>
      </c>
      <c r="B21" s="0" t="n">
        <v>4181.824914729621</v>
      </c>
    </row>
    <row r="22">
      <c r="A22" s="0" t="n">
        <v>298</v>
      </c>
      <c r="B22" s="0" t="n">
        <v>4181.381055425165</v>
      </c>
    </row>
    <row r="23">
      <c r="A23" s="0" t="n">
        <v>299</v>
      </c>
      <c r="B23" s="0" t="n">
        <v>4180.986860944821</v>
      </c>
    </row>
    <row r="24">
      <c r="A24" s="0" t="n">
        <v>300</v>
      </c>
      <c r="B24" s="0" t="n">
        <v>4180.639522022376</v>
      </c>
    </row>
    <row r="25">
      <c r="A25" s="0" t="n">
        <v>301</v>
      </c>
      <c r="B25" s="0" t="n">
        <v>4180.336415879762</v>
      </c>
    </row>
    <row r="26">
      <c r="A26" s="0" t="n">
        <v>302</v>
      </c>
      <c r="B26" s="0" t="n">
        <v>4180.075094478491</v>
      </c>
    </row>
    <row r="27">
      <c r="A27" s="0" t="n">
        <v>303</v>
      </c>
      <c r="B27" s="0" t="n">
        <v>4179.853273800931</v>
      </c>
    </row>
    <row r="28">
      <c r="A28" s="0" t="n">
        <v>304</v>
      </c>
      <c r="B28" s="0" t="n">
        <v>4179.668823861761</v>
      </c>
    </row>
    <row r="29">
      <c r="A29" s="0" t="n">
        <v>305</v>
      </c>
      <c r="B29" s="0" t="n">
        <v>4179.519759553518</v>
      </c>
    </row>
    <row r="30">
      <c r="A30" s="0" t="n">
        <v>306</v>
      </c>
      <c r="B30" s="0" t="n">
        <v>4179.404232096324</v>
      </c>
    </row>
    <row r="31">
      <c r="A31" s="0" t="n">
        <v>307</v>
      </c>
      <c r="B31" s="0" t="n">
        <v>4179.320521096854</v>
      </c>
    </row>
    <row r="32">
      <c r="A32" s="0" t="n">
        <v>308</v>
      </c>
      <c r="B32" s="0" t="n">
        <v>4179.267027150768</v>
      </c>
    </row>
    <row r="33">
      <c r="A33" s="0" t="n">
        <v>309</v>
      </c>
      <c r="B33" s="0" t="n">
        <v>4179.242264917074</v>
      </c>
    </row>
    <row r="34">
      <c r="A34" s="0" t="n">
        <v>310</v>
      </c>
      <c r="B34" s="0" t="n">
        <v>4179.244856647047</v>
      </c>
    </row>
    <row r="35">
      <c r="A35" s="0" t="n">
        <v>311</v>
      </c>
      <c r="B35" s="0" t="n">
        <v>4179.273526102197</v>
      </c>
    </row>
    <row r="36">
      <c r="A36" s="0" t="n">
        <v>312</v>
      </c>
      <c r="B36" s="0" t="n">
        <v>4179.32709284333</v>
      </c>
    </row>
    <row r="37">
      <c r="A37" s="0" t="n">
        <v>313</v>
      </c>
      <c r="B37" s="0" t="n">
        <v>4179.404466861114</v>
      </c>
    </row>
    <row r="38">
      <c r="A38" s="0" t="n">
        <v>314</v>
      </c>
      <c r="B38" s="0" t="n">
        <v>4179.504643504451</v>
      </c>
    </row>
    <row r="39">
      <c r="A39" s="0" t="n">
        <v>315</v>
      </c>
      <c r="B39" s="0" t="n">
        <v>4179.626698706815</v>
      </c>
    </row>
    <row r="40">
      <c r="A40" s="0" t="n">
        <v>316</v>
      </c>
      <c r="B40" s="0" t="n">
        <v>4179.769784470672</v>
      </c>
    </row>
    <row r="41">
      <c r="A41" s="0" t="n">
        <v>317</v>
      </c>
      <c r="B41" s="0" t="n">
        <v>4179.933124600622</v>
      </c>
    </row>
    <row r="42">
      <c r="A42" s="0" t="n">
        <v>318</v>
      </c>
      <c r="B42" s="0" t="n">
        <v>4180.11601066703</v>
      </c>
    </row>
    <row r="43">
      <c r="A43" s="0" t="n">
        <v>319</v>
      </c>
      <c r="B43" s="0" t="n">
        <v>4180.317798178156</v>
      </c>
    </row>
    <row r="44">
      <c r="A44" s="0" t="n">
        <v>320</v>
      </c>
      <c r="B44" s="0" t="n">
        <v>4180.53790296368</v>
      </c>
    </row>
    <row r="45">
      <c r="A45" s="0" t="n">
        <v>321</v>
      </c>
      <c r="B45" s="0" t="n">
        <v>4180.775797739228</v>
      </c>
    </row>
    <row r="46">
      <c r="A46" s="0" t="n">
        <v>322</v>
      </c>
      <c r="B46" s="0" t="n">
        <v>4181.031008851532</v>
      </c>
    </row>
    <row r="47">
      <c r="A47" s="0" t="n">
        <v>323</v>
      </c>
      <c r="B47" s="0" t="n">
        <v>4181.303113188254</v>
      </c>
    </row>
    <row r="48">
      <c r="A48" s="0" t="n">
        <v>324</v>
      </c>
      <c r="B48" s="0" t="n">
        <v>4181.591735252078</v>
      </c>
    </row>
    <row r="49">
      <c r="A49" s="0" t="n">
        <v>325</v>
      </c>
      <c r="B49" s="0" t="n">
        <v>4181.896544381109</v>
      </c>
    </row>
    <row r="50">
      <c r="A50" s="0" t="n">
        <v>326</v>
      </c>
      <c r="B50" s="0" t="n">
        <v>4182.217252105638</v>
      </c>
    </row>
    <row r="51">
      <c r="A51" s="0" t="n">
        <v>327</v>
      </c>
      <c r="B51" s="0" t="n">
        <v>4182.553609653885</v>
      </c>
    </row>
    <row r="52">
      <c r="A52" s="0" t="n">
        <v>328</v>
      </c>
      <c r="B52" s="0" t="n">
        <v>4182.905405571021</v>
      </c>
    </row>
    <row r="53">
      <c r="A53" s="0" t="n">
        <v>329</v>
      </c>
      <c r="B53" s="0" t="n">
        <v>4183.272463468151</v>
      </c>
    </row>
    <row r="54">
      <c r="A54" s="0" t="n">
        <v>330</v>
      </c>
      <c r="B54" s="0" t="n">
        <v>4183.65463988514</v>
      </c>
    </row>
    <row r="55">
      <c r="A55" s="0" t="n">
        <v>331</v>
      </c>
      <c r="B55" s="0" t="n">
        <v>4184.051822264687</v>
      </c>
    </row>
    <row r="56">
      <c r="A56" s="0" t="n">
        <v>332</v>
      </c>
      <c r="B56" s="0" t="n">
        <v>4184.463927027908</v>
      </c>
    </row>
    <row r="57">
      <c r="A57" s="0" t="n">
        <v>333</v>
      </c>
      <c r="B57" s="0" t="n">
        <v>4184.890897755797</v>
      </c>
    </row>
    <row r="58">
      <c r="A58" s="0" t="n">
        <v>334</v>
      </c>
      <c r="B58" s="0" t="n">
        <v>4185.332703462162</v>
      </c>
    </row>
    <row r="59">
      <c r="A59" s="0" t="n">
        <v>335</v>
      </c>
      <c r="B59" s="0" t="n">
        <v>4185.789336959278</v>
      </c>
    </row>
    <row r="60">
      <c r="A60" s="0" t="n">
        <v>336</v>
      </c>
      <c r="B60" s="0" t="n">
        <v>4186.26081331012</v>
      </c>
    </row>
    <row r="61">
      <c r="A61" s="0" t="n">
        <v>337</v>
      </c>
      <c r="B61" s="0" t="n">
        <v>4186.747168365565</v>
      </c>
    </row>
    <row r="62">
      <c r="A62" s="0" t="n">
        <v>338</v>
      </c>
      <c r="B62" s="0" t="n">
        <v>4187.248457376695</v>
      </c>
    </row>
    <row r="63">
      <c r="A63" s="0" t="n">
        <v>339</v>
      </c>
      <c r="B63" s="0" t="n">
        <v>4187.764753694078</v>
      </c>
    </row>
    <row r="64">
      <c r="A64" s="0" t="n">
        <v>340</v>
      </c>
      <c r="B64" s="0" t="n">
        <v>4188.296147516714</v>
      </c>
    </row>
    <row r="65">
      <c r="A65" s="0" t="n">
        <v>341</v>
      </c>
      <c r="B65" s="0" t="n">
        <v>4188.84274474162</v>
      </c>
    </row>
    <row r="66">
      <c r="A66" s="0" t="n">
        <v>342</v>
      </c>
      <c r="B66" s="0" t="n">
        <v>4189.404665843786</v>
      </c>
    </row>
    <row r="67">
      <c r="A67" s="0" t="n">
        <v>343</v>
      </c>
      <c r="B67" s="0" t="n">
        <v>4189.982044863611</v>
      </c>
    </row>
    <row r="68">
      <c r="A68" s="0" t="n">
        <v>344</v>
      </c>
      <c r="B68" s="0" t="n">
        <v>4190.575028406658</v>
      </c>
    </row>
    <row r="69">
      <c r="A69" s="0" t="n">
        <v>345</v>
      </c>
      <c r="B69" s="0" t="n">
        <v>4191.183774731011</v>
      </c>
    </row>
    <row r="70">
      <c r="A70" s="0" t="n">
        <v>346</v>
      </c>
      <c r="B70" s="0" t="n">
        <v>4191.808452885498</v>
      </c>
    </row>
    <row r="71">
      <c r="A71" s="0" t="n">
        <v>347</v>
      </c>
      <c r="B71" s="0" t="n">
        <v>4192.449241891482</v>
      </c>
    </row>
    <row r="72">
      <c r="A72" s="0" t="n">
        <v>348</v>
      </c>
      <c r="B72" s="0" t="n">
        <v>4193.106329984073</v>
      </c>
    </row>
    <row r="73">
      <c r="A73" s="0" t="n">
        <v>349</v>
      </c>
      <c r="B73" s="0" t="n">
        <v>4193.7799138949</v>
      </c>
    </row>
    <row r="74">
      <c r="A74" s="0" t="n">
        <v>350</v>
      </c>
      <c r="B74" s="0" t="n">
        <v>4194.470198182707</v>
      </c>
    </row>
    <row r="75">
      <c r="A75" s="0" t="n">
        <v>351</v>
      </c>
      <c r="B75" s="0" t="n">
        <v>4195.177394606997</v>
      </c>
    </row>
    <row r="76">
      <c r="A76" s="0" t="n">
        <v>352</v>
      </c>
      <c r="B76" s="0" t="n">
        <v>4195.901721543424</v>
      </c>
    </row>
    <row r="77">
      <c r="A77" s="0" t="n">
        <v>353</v>
      </c>
      <c r="B77" s="0" t="n">
        <v>4196.643403437833</v>
      </c>
    </row>
    <row r="78">
      <c r="A78" s="0" t="n">
        <v>354</v>
      </c>
      <c r="B78" s="0" t="n">
        <v>4197.402670298242</v>
      </c>
    </row>
    <row r="79">
      <c r="A79" s="0" t="n">
        <v>355</v>
      </c>
      <c r="B79" s="0" t="n">
        <v>4198.179757222747</v>
      </c>
    </row>
    <row r="80">
      <c r="A80" s="0" t="n">
        <v>356</v>
      </c>
      <c r="B80" s="0" t="n">
        <v>4198.974903961044</v>
      </c>
    </row>
    <row r="81">
      <c r="A81" s="0" t="n">
        <v>357</v>
      </c>
      <c r="B81" s="0" t="n">
        <v>4199.788354508254</v>
      </c>
    </row>
    <row r="82">
      <c r="A82" s="0" t="n">
        <v>358</v>
      </c>
      <c r="B82" s="0" t="n">
        <v>4200.620356730853</v>
      </c>
    </row>
    <row r="83">
      <c r="A83" s="0" t="n">
        <v>359</v>
      </c>
      <c r="B83" s="0" t="n">
        <v>4201.471162019468</v>
      </c>
    </row>
    <row r="84">
      <c r="A84" s="0" t="n">
        <v>360</v>
      </c>
      <c r="B84" s="0" t="n">
        <v>4202.3410249721</v>
      </c>
    </row>
    <row r="85">
      <c r="A85" s="0" t="n">
        <v>361</v>
      </c>
      <c r="B85" s="0" t="n">
        <v>4203.230203102262</v>
      </c>
    </row>
    <row r="86">
      <c r="A86" s="0" t="n">
        <v>362</v>
      </c>
      <c r="B86" s="0" t="n">
        <v>4204.138956573778</v>
      </c>
    </row>
    <row r="87">
      <c r="A87" s="0" t="n">
        <v>363</v>
      </c>
      <c r="B87" s="0" t="n">
        <v>4205.06754795764</v>
      </c>
    </row>
    <row r="88">
      <c r="A88" s="0" t="n">
        <v>364</v>
      </c>
      <c r="B88" s="0" t="n">
        <v>4206.016242012572</v>
      </c>
    </row>
    <row r="89">
      <c r="A89" s="0" t="n">
        <v>365</v>
      </c>
      <c r="B89" s="0" t="n">
        <v>4206.985305488222</v>
      </c>
    </row>
    <row r="90">
      <c r="A90" s="0" t="n">
        <v>366</v>
      </c>
      <c r="B90" s="0" t="n">
        <v>4207.975006946981</v>
      </c>
    </row>
    <row r="91">
      <c r="A91" s="0" t="n">
        <v>367</v>
      </c>
      <c r="B91" s="0" t="n">
        <v>4208.985616606595</v>
      </c>
    </row>
    <row r="92">
      <c r="A92" s="0" t="n">
        <v>368</v>
      </c>
      <c r="B92" s="0" t="n">
        <v>4210.017406201256</v>
      </c>
    </row>
    <row r="93">
      <c r="A93" s="0" t="n">
        <v>369</v>
      </c>
      <c r="B93" s="0" t="n">
        <v>4211.070648859392</v>
      </c>
    </row>
    <row r="94">
      <c r="A94" s="0" t="n">
        <v>370</v>
      </c>
      <c r="B94" s="0" t="n">
        <v>4212.145618999022</v>
      </c>
    </row>
    <row r="95">
      <c r="A95" s="0" t="n">
        <v>371</v>
      </c>
      <c r="B95" s="0" t="n">
        <v>4213.242592238245</v>
      </c>
    </row>
    <row r="96">
      <c r="A96" s="0" t="n">
        <v>372</v>
      </c>
      <c r="B96" s="0" t="n">
        <v>4214.361845321011</v>
      </c>
    </row>
    <row r="97">
      <c r="A97" s="0" t="n">
        <v>373</v>
      </c>
      <c r="B97" s="0" t="n">
        <v>2077.308373601027</v>
      </c>
    </row>
    <row r="98">
      <c r="A98" s="0" t="n">
        <v>374</v>
      </c>
      <c r="B98" s="0" t="n">
        <v>2072.815573463342</v>
      </c>
    </row>
    <row r="99">
      <c r="A99" s="0" t="n">
        <v>375</v>
      </c>
      <c r="B99" s="0" t="n">
        <v>2068.592779124813</v>
      </c>
    </row>
    <row r="100">
      <c r="A100" s="0" t="n">
        <v>376</v>
      </c>
      <c r="B100" s="0" t="n">
        <v>2064.612552659063</v>
      </c>
    </row>
    <row r="101">
      <c r="A101" s="0" t="n">
        <v>377</v>
      </c>
      <c r="B101" s="0" t="n">
        <v>2060.851112989804</v>
      </c>
    </row>
    <row r="102">
      <c r="A102" s="0" t="n">
        <v>378</v>
      </c>
      <c r="B102" s="0" t="n">
        <v>2057.287806256259</v>
      </c>
    </row>
    <row r="103">
      <c r="A103" s="0" t="n">
        <v>379</v>
      </c>
      <c r="B103" s="0" t="n">
        <v>2053.904655530855</v>
      </c>
    </row>
    <row r="104">
      <c r="A104" s="0" t="n">
        <v>380</v>
      </c>
      <c r="B104" s="0" t="n">
        <v>2050.685977720205</v>
      </c>
    </row>
    <row r="105">
      <c r="A105" s="0" t="n">
        <v>381</v>
      </c>
      <c r="B105" s="0" t="n">
        <v>2047.618057389227</v>
      </c>
    </row>
    <row r="106">
      <c r="A106" s="0" t="n">
        <v>382</v>
      </c>
      <c r="B106" s="0" t="n">
        <v>2044.688868849843</v>
      </c>
    </row>
    <row r="107">
      <c r="A107" s="0" t="n">
        <v>383</v>
      </c>
      <c r="B107" s="0" t="n">
        <v>2041.887839201191</v>
      </c>
    </row>
    <row r="108">
      <c r="A108" s="0" t="n">
        <v>384</v>
      </c>
      <c r="B108" s="0" t="n">
        <v>2039.205646139779</v>
      </c>
    </row>
    <row r="109">
      <c r="A109" s="0" t="n">
        <v>385</v>
      </c>
      <c r="B109" s="0" t="n">
        <v>2036.634045310466</v>
      </c>
    </row>
    <row r="110">
      <c r="A110" s="0" t="n">
        <v>386</v>
      </c>
      <c r="B110" s="0" t="n">
        <v>2034.165722771757</v>
      </c>
    </row>
    <row r="111">
      <c r="A111" s="0" t="n">
        <v>387</v>
      </c>
      <c r="B111" s="0" t="n">
        <v>2031.794168825627</v>
      </c>
    </row>
    <row r="112">
      <c r="A112" s="0" t="n">
        <v>388</v>
      </c>
      <c r="B112" s="0" t="n">
        <v>2029.513570033398</v>
      </c>
    </row>
    <row r="113">
      <c r="A113" s="0" t="n">
        <v>389</v>
      </c>
      <c r="B113" s="0" t="n">
        <v>2027.318716721567</v>
      </c>
    </row>
    <row r="114">
      <c r="A114" s="0" t="n">
        <v>390</v>
      </c>
      <c r="B114" s="0" t="n">
        <v>2025.204923689402</v>
      </c>
    </row>
    <row r="115">
      <c r="A115" s="0" t="n">
        <v>391</v>
      </c>
      <c r="B115" s="0" t="n">
        <v>2023.167962175012</v>
      </c>
    </row>
    <row r="116">
      <c r="A116" s="0" t="n">
        <v>392</v>
      </c>
      <c r="B116" s="0" t="n">
        <v>2021.204001428619</v>
      </c>
    </row>
    <row r="117">
      <c r="A117" s="0" t="n">
        <v>393</v>
      </c>
      <c r="B117" s="0" t="n">
        <v>2019.309558489017</v>
      </c>
    </row>
    <row r="118">
      <c r="A118" s="0" t="n">
        <v>394</v>
      </c>
      <c r="B118" s="0" t="n">
        <v>2017.481454968846</v>
      </c>
    </row>
    <row r="119">
      <c r="A119" s="0" t="n">
        <v>395</v>
      </c>
      <c r="B119" s="0" t="n">
        <v>2015.716779831947</v>
      </c>
    </row>
    <row r="120">
      <c r="A120" s="0" t="n">
        <v>396</v>
      </c>
      <c r="B120" s="0" t="n">
        <v>2014.012857296929</v>
      </c>
    </row>
    <row r="121">
      <c r="A121" s="0" t="n">
        <v>397</v>
      </c>
      <c r="B121" s="0" t="n">
        <v>2012.367219129082</v>
      </c>
    </row>
    <row r="122">
      <c r="A122" s="0" t="n">
        <v>398</v>
      </c>
      <c r="B122" s="0" t="n">
        <v>2010.777580691493</v>
      </c>
    </row>
    <row r="123">
      <c r="A123" s="0" t="n">
        <v>399</v>
      </c>
      <c r="B123" s="0" t="n">
        <v>2009.241820218688</v>
      </c>
    </row>
    <row r="124">
      <c r="A124" s="0" t="n">
        <v>400</v>
      </c>
      <c r="B124" s="0" t="n">
        <v>2007.757960854688</v>
      </c>
    </row>
    <row r="125">
      <c r="A125" s="0" t="n">
        <v>401</v>
      </c>
      <c r="B125" s="0" t="n">
        <v>2006.324155064246</v>
      </c>
    </row>
    <row r="126">
      <c r="A126" s="0" t="n">
        <v>402</v>
      </c>
      <c r="B126" s="0" t="n">
        <v>2004.938671082972</v>
      </c>
    </row>
    <row r="127">
      <c r="A127" s="0" t="n">
        <v>403</v>
      </c>
      <c r="B127" s="0" t="n">
        <v>2003.599881120514</v>
      </c>
    </row>
    <row r="128">
      <c r="A128" s="0" t="n">
        <v>404</v>
      </c>
      <c r="B128" s="0" t="n">
        <v>2002.306251072269</v>
      </c>
    </row>
    <row r="129">
      <c r="A129" s="0" t="n">
        <v>405</v>
      </c>
      <c r="B129" s="0" t="n">
        <v>2001.056331530382</v>
      </c>
    </row>
    <row r="130">
      <c r="A130" s="0" t="n">
        <v>406</v>
      </c>
      <c r="B130" s="0" t="n">
        <v>1999.848749914725</v>
      </c>
    </row>
    <row r="131">
      <c r="A131" s="0" t="n">
        <v>407</v>
      </c>
      <c r="B131" s="0" t="n">
        <v>1998.682203570322</v>
      </c>
    </row>
    <row r="132">
      <c r="A132" s="0" t="n">
        <v>408</v>
      </c>
      <c r="B132" s="0" t="n">
        <v>1997.555453699463</v>
      </c>
    </row>
    <row r="133">
      <c r="A133" s="0" t="n">
        <v>409</v>
      </c>
      <c r="B133" s="0" t="n">
        <v>1996.467320015524</v>
      </c>
    </row>
    <row r="134">
      <c r="A134" s="0" t="n">
        <v>410</v>
      </c>
      <c r="B134" s="0" t="n">
        <v>1995.416676021483</v>
      </c>
    </row>
    <row r="135">
      <c r="A135" s="0" t="n">
        <v>411</v>
      </c>
      <c r="B135" s="0" t="n">
        <v>1994.402444829765</v>
      </c>
    </row>
    <row r="136">
      <c r="A136" s="0" t="n">
        <v>412</v>
      </c>
      <c r="B136" s="0" t="n">
        <v>1993.423595451799</v>
      </c>
    </row>
    <row r="137">
      <c r="A137" s="0" t="n">
        <v>413</v>
      </c>
      <c r="B137" s="0" t="n">
        <v>1992.479139495615</v>
      </c>
    </row>
    <row r="138">
      <c r="A138" s="0" t="n">
        <v>414</v>
      </c>
      <c r="B138" s="0" t="n">
        <v>1991.568128218455</v>
      </c>
    </row>
    <row r="139">
      <c r="A139" s="0" t="n">
        <v>415</v>
      </c>
      <c r="B139" s="0" t="n">
        <v>1990.689649888657</v>
      </c>
    </row>
    <row r="140">
      <c r="A140" s="0" t="n">
        <v>416</v>
      </c>
      <c r="B140" s="0" t="n">
        <v>1989.842827417439</v>
      </c>
    </row>
    <row r="141">
      <c r="A141" s="0" t="n">
        <v>417</v>
      </c>
      <c r="B141" s="0" t="n">
        <v>1989.026816226533</v>
      </c>
    </row>
    <row r="142">
      <c r="A142" s="0" t="n">
        <v>418</v>
      </c>
      <c r="B142" s="0" t="n">
        <v>1988.240802322345</v>
      </c>
    </row>
    <row r="143">
      <c r="A143" s="0" t="n">
        <v>419</v>
      </c>
      <c r="B143" s="0" t="n">
        <v>1987.484000551226</v>
      </c>
    </row>
    <row r="144">
      <c r="A144" s="0" t="n">
        <v>420</v>
      </c>
      <c r="B144" s="0" t="n">
        <v>1986.755653013921</v>
      </c>
    </row>
    <row r="145">
      <c r="A145" s="0" t="n">
        <v>421</v>
      </c>
      <c r="B145" s="0" t="n">
        <v>1986.055027620163</v>
      </c>
    </row>
    <row r="146">
      <c r="A146" s="0" t="n">
        <v>422</v>
      </c>
      <c r="B146" s="0" t="n">
        <v>1985.381416766939</v>
      </c>
    </row>
    <row r="147">
      <c r="A147" s="0" t="n">
        <v>423</v>
      </c>
      <c r="B147" s="0" t="n">
        <v>1984.734136126118</v>
      </c>
    </row>
    <row r="148">
      <c r="A148" s="0" t="n">
        <v>424</v>
      </c>
      <c r="B148" s="0" t="n">
        <v>1984.11252352902</v>
      </c>
    </row>
    <row r="149">
      <c r="A149" s="0" t="n">
        <v>425</v>
      </c>
      <c r="B149" s="0" t="n">
        <v>1983.515937937111</v>
      </c>
    </row>
    <row r="150">
      <c r="A150" s="0" t="n">
        <v>426</v>
      </c>
      <c r="B150" s="0" t="n">
        <v>1982.943758489427</v>
      </c>
    </row>
    <row r="151">
      <c r="A151" s="0" t="n">
        <v>427</v>
      </c>
      <c r="B151" s="0" t="n">
        <v>1982.395383618501</v>
      </c>
    </row>
    <row r="152">
      <c r="A152" s="0" t="n">
        <v>428</v>
      </c>
      <c r="B152" s="0" t="n">
        <v>1981.870230227627</v>
      </c>
    </row>
    <row r="153">
      <c r="A153" s="0" t="n">
        <v>429</v>
      </c>
      <c r="B153" s="0" t="n">
        <v>1981.367732923222</v>
      </c>
    </row>
    <row r="154">
      <c r="A154" s="0" t="n">
        <v>430</v>
      </c>
      <c r="B154" s="0" t="n">
        <v>1980.887343296746</v>
      </c>
    </row>
    <row r="155">
      <c r="A155" s="0" t="n">
        <v>431</v>
      </c>
      <c r="B155" s="0" t="n">
        <v>1980.428529251421</v>
      </c>
    </row>
    <row r="156">
      <c r="A156" s="0" t="n">
        <v>432</v>
      </c>
      <c r="B156" s="0" t="n">
        <v>1979.990774369461</v>
      </c>
    </row>
    <row r="157">
      <c r="A157" s="0" t="n">
        <v>433</v>
      </c>
      <c r="B157" s="0" t="n">
        <v>1979.573577316132</v>
      </c>
    </row>
    <row r="158">
      <c r="A158" s="0" t="n">
        <v>434</v>
      </c>
      <c r="B158" s="0" t="n">
        <v>1979.176451277326</v>
      </c>
    </row>
    <row r="159">
      <c r="A159" s="0" t="n">
        <v>435</v>
      </c>
      <c r="B159" s="0" t="n">
        <v>1978.798923427758</v>
      </c>
    </row>
    <row r="160">
      <c r="A160" s="0" t="n">
        <v>436</v>
      </c>
      <c r="B160" s="0" t="n">
        <v>1978.440534427203</v>
      </c>
    </row>
    <row r="161">
      <c r="A161" s="0" t="n">
        <v>437</v>
      </c>
      <c r="B161" s="0" t="n">
        <v>1978.100837942506</v>
      </c>
    </row>
    <row r="162">
      <c r="A162" s="0" t="n">
        <v>438</v>
      </c>
      <c r="B162" s="0" t="n">
        <v>1977.779400193307</v>
      </c>
    </row>
    <row r="163">
      <c r="A163" s="0" t="n">
        <v>439</v>
      </c>
      <c r="B163" s="0" t="n">
        <v>1977.4757995197</v>
      </c>
    </row>
    <row r="164">
      <c r="A164" s="0" t="n">
        <v>440</v>
      </c>
      <c r="B164" s="0" t="n">
        <v>1977.189625970178</v>
      </c>
    </row>
    <row r="165">
      <c r="A165" s="0" t="n">
        <v>441</v>
      </c>
      <c r="B165" s="0" t="n">
        <v>1976.920480908439</v>
      </c>
    </row>
    <row r="166">
      <c r="A166" s="0" t="n">
        <v>442</v>
      </c>
      <c r="B166" s="0" t="n">
        <v>1976.667976637726</v>
      </c>
    </row>
    <row r="167">
      <c r="A167" s="0" t="n">
        <v>443</v>
      </c>
      <c r="B167" s="0" t="n">
        <v>1976.431736041551</v>
      </c>
    </row>
    <row r="168">
      <c r="A168" s="0" t="n">
        <v>444</v>
      </c>
      <c r="B168" s="0" t="n">
        <v>1976.21139223972</v>
      </c>
    </row>
    <row r="169">
      <c r="A169" s="0" t="n">
        <v>445</v>
      </c>
      <c r="B169" s="0" t="n">
        <v>1976.006588258719</v>
      </c>
    </row>
    <row r="170">
      <c r="A170" s="0" t="n">
        <v>446</v>
      </c>
      <c r="B170" s="0" t="n">
        <v>1975.816976715572</v>
      </c>
    </row>
    <row r="171">
      <c r="A171" s="0" t="n">
        <v>447</v>
      </c>
      <c r="B171" s="0" t="n">
        <v>1975.642219514405</v>
      </c>
    </row>
    <row r="172">
      <c r="A172" s="0" t="n">
        <v>448</v>
      </c>
      <c r="B172" s="0" t="n">
        <v>1975.481987554954</v>
      </c>
    </row>
    <row r="173">
      <c r="A173" s="0" t="n">
        <v>449</v>
      </c>
      <c r="B173" s="0" t="n">
        <v>1975.335960452386</v>
      </c>
    </row>
    <row r="174">
      <c r="A174" s="0" t="n">
        <v>450</v>
      </c>
      <c r="B174" s="0" t="n">
        <v>1975.203826267822</v>
      </c>
    </row>
    <row r="175">
      <c r="A175" s="0" t="n">
        <v>451</v>
      </c>
      <c r="B175" s="0" t="n">
        <v>1975.085281248978</v>
      </c>
    </row>
    <row r="176">
      <c r="A176" s="0" t="n">
        <v>452</v>
      </c>
      <c r="B176" s="0" t="n">
        <v>1974.980029580442</v>
      </c>
    </row>
    <row r="177">
      <c r="A177" s="0" t="n">
        <v>453</v>
      </c>
      <c r="B177" s="0" t="n">
        <v>1974.88778314308</v>
      </c>
    </row>
    <row r="178">
      <c r="A178" s="0" t="n">
        <v>454</v>
      </c>
      <c r="B178" s="0" t="n">
        <v>1974.808261282158</v>
      </c>
    </row>
    <row r="179">
      <c r="A179" s="0" t="n">
        <v>455</v>
      </c>
      <c r="B179" s="0" t="n">
        <v>1974.741190583738</v>
      </c>
    </row>
    <row r="180">
      <c r="A180" s="0" t="n">
        <v>456</v>
      </c>
      <c r="B180" s="0" t="n">
        <v>1974.686304658994</v>
      </c>
    </row>
    <row r="181">
      <c r="A181" s="0" t="n">
        <v>457</v>
      </c>
      <c r="B181" s="0" t="n">
        <v>1974.643343936065</v>
      </c>
    </row>
    <row r="182">
      <c r="A182" s="0" t="n">
        <v>458</v>
      </c>
      <c r="B182" s="0" t="n">
        <v>1974.612055459137</v>
      </c>
    </row>
    <row r="183">
      <c r="A183" s="0" t="n">
        <v>459</v>
      </c>
      <c r="B183" s="0" t="n">
        <v>1974.592192694415</v>
      </c>
    </row>
    <row r="184">
      <c r="A184" s="0" t="n">
        <v>460</v>
      </c>
      <c r="B184" s="0" t="n">
        <v>1974.583515342713</v>
      </c>
    </row>
    <row r="185">
      <c r="A185" s="0" t="n">
        <v>461</v>
      </c>
      <c r="B185" s="0" t="n">
        <v>1974.58578915837</v>
      </c>
    </row>
    <row r="186">
      <c r="A186" s="0" t="n">
        <v>462</v>
      </c>
      <c r="B186" s="0" t="n">
        <v>1974.59878577424</v>
      </c>
    </row>
    <row r="187">
      <c r="A187" s="0" t="n">
        <v>463</v>
      </c>
      <c r="B187" s="0" t="n">
        <v>1974.622282532501</v>
      </c>
    </row>
    <row r="188">
      <c r="A188" s="0" t="n">
        <v>464</v>
      </c>
      <c r="B188" s="0" t="n">
        <v>1974.656062321062</v>
      </c>
    </row>
    <row r="189">
      <c r="A189" s="0" t="n">
        <v>465</v>
      </c>
      <c r="B189" s="0" t="n">
        <v>1974.699913415338</v>
      </c>
    </row>
    <row r="190">
      <c r="A190" s="0" t="n">
        <v>466</v>
      </c>
      <c r="B190" s="0" t="n">
        <v>1974.753629325189</v>
      </c>
    </row>
    <row r="191">
      <c r="A191" s="0" t="n">
        <v>467</v>
      </c>
      <c r="B191" s="0" t="n">
        <v>1974.817008646819</v>
      </c>
    </row>
    <row r="192">
      <c r="A192" s="0" t="n">
        <v>468</v>
      </c>
      <c r="B192" s="0" t="n">
        <v>1974.889854919455</v>
      </c>
    </row>
    <row r="193">
      <c r="A193" s="0" t="n">
        <v>469</v>
      </c>
      <c r="B193" s="0" t="n">
        <v>1974.971976486617</v>
      </c>
    </row>
    <row r="194">
      <c r="A194" s="0" t="n">
        <v>470</v>
      </c>
      <c r="B194" s="0" t="n">
        <v>1975.063186361817</v>
      </c>
    </row>
    <row r="195">
      <c r="A195" s="0" t="n">
        <v>471</v>
      </c>
      <c r="B195" s="0" t="n">
        <v>1975.163302098515</v>
      </c>
    </row>
    <row r="196">
      <c r="A196" s="0" t="n">
        <v>472</v>
      </c>
      <c r="B196" s="0" t="n">
        <v>1975.272145664185</v>
      </c>
    </row>
    <row r="197">
      <c r="A197" s="0" t="n">
        <v>473</v>
      </c>
      <c r="B197" s="0" t="n">
        <v>1975.389543318334</v>
      </c>
    </row>
    <row r="198">
      <c r="A198" s="0" t="n">
        <v>474</v>
      </c>
      <c r="B198" s="0" t="n">
        <v>1975.515325494343</v>
      </c>
    </row>
    <row r="199">
      <c r="A199" s="0" t="n">
        <v>475</v>
      </c>
      <c r="B199" s="0" t="n">
        <v>1975.649326684977</v>
      </c>
    </row>
    <row r="200">
      <c r="A200" s="0" t="n">
        <v>476</v>
      </c>
      <c r="B200" s="0" t="n">
        <v>1975.791385331453</v>
      </c>
    </row>
    <row r="201">
      <c r="A201" s="0" t="n">
        <v>477</v>
      </c>
      <c r="B201" s="0" t="n">
        <v>1975.941343715927</v>
      </c>
    </row>
    <row r="202">
      <c r="A202" s="0" t="n">
        <v>478</v>
      </c>
      <c r="B202" s="0" t="n">
        <v>1976.099047857291</v>
      </c>
    </row>
    <row r="203">
      <c r="A203" s="0" t="n">
        <v>479</v>
      </c>
      <c r="B203" s="0" t="n">
        <v>1976.264347410152</v>
      </c>
    </row>
    <row r="204">
      <c r="A204" s="0" t="n">
        <v>480</v>
      </c>
      <c r="B204" s="0" t="n">
        <v>1976.437095566899</v>
      </c>
    </row>
    <row r="205">
      <c r="A205" s="0" t="n">
        <v>481</v>
      </c>
      <c r="B205" s="0" t="n">
        <v>1976.61714896274</v>
      </c>
    </row>
    <row r="206">
      <c r="A206" s="0" t="n">
        <v>482</v>
      </c>
      <c r="B206" s="0" t="n">
        <v>1976.804367583615</v>
      </c>
    </row>
    <row r="207">
      <c r="A207" s="0" t="n">
        <v>483</v>
      </c>
      <c r="B207" s="0" t="n">
        <v>1976.99861467688</v>
      </c>
    </row>
    <row r="208">
      <c r="A208" s="0" t="n">
        <v>484</v>
      </c>
      <c r="B208" s="0" t="n">
        <v>1977.199756664681</v>
      </c>
    </row>
    <row r="209">
      <c r="A209" s="0" t="n">
        <v>485</v>
      </c>
      <c r="B209" s="0" t="n">
        <v>1977.407663059913</v>
      </c>
    </row>
    <row r="210">
      <c r="A210" s="0" t="n">
        <v>486</v>
      </c>
      <c r="B210" s="0" t="n">
        <v>1977.622206384683</v>
      </c>
    </row>
    <row r="211">
      <c r="A211" s="0" t="n">
        <v>487</v>
      </c>
      <c r="B211" s="0" t="n">
        <v>1977.843262091204</v>
      </c>
    </row>
    <row r="212">
      <c r="A212" s="0" t="n">
        <v>488</v>
      </c>
      <c r="B212" s="0" t="n">
        <v>1978.070708485022</v>
      </c>
    </row>
    <row r="213">
      <c r="A213" s="0" t="n">
        <v>489</v>
      </c>
      <c r="B213" s="0" t="n">
        <v>1978.304426650511</v>
      </c>
    </row>
    <row r="214">
      <c r="A214" s="0" t="n">
        <v>490</v>
      </c>
      <c r="B214" s="0" t="n">
        <v>1978.544300378558</v>
      </c>
    </row>
    <row r="215">
      <c r="A215" s="0" t="n">
        <v>491</v>
      </c>
      <c r="B215" s="0" t="n">
        <v>1978.790216096369</v>
      </c>
    </row>
    <row r="216">
      <c r="A216" s="0" t="n">
        <v>492</v>
      </c>
      <c r="B216" s="0" t="n">
        <v>1979.042062799314</v>
      </c>
    </row>
    <row r="217">
      <c r="A217" s="0" t="n">
        <v>493</v>
      </c>
      <c r="B217" s="0" t="n">
        <v>1979.29973198477</v>
      </c>
    </row>
    <row r="218">
      <c r="A218" s="0" t="n">
        <v>494</v>
      </c>
      <c r="B218" s="0" t="n">
        <v>1979.563117587871</v>
      </c>
    </row>
    <row r="219">
      <c r="A219" s="0" t="n">
        <v>495</v>
      </c>
      <c r="B219" s="0" t="n">
        <v>1979.832115919121</v>
      </c>
    </row>
    <row r="220">
      <c r="A220" s="0" t="n">
        <v>496</v>
      </c>
      <c r="B220" s="0" t="n">
        <v>1980.106625603801</v>
      </c>
    </row>
    <row r="221">
      <c r="A221" s="0" t="n">
        <v>497</v>
      </c>
      <c r="B221" s="0" t="n">
        <v>1980.386547523116</v>
      </c>
    </row>
    <row r="222">
      <c r="A222" s="0" t="n">
        <v>498</v>
      </c>
      <c r="B222" s="0" t="n">
        <v>1980.67178475703</v>
      </c>
    </row>
    <row r="223">
      <c r="A223" s="0" t="n">
        <v>499</v>
      </c>
      <c r="B223" s="0" t="n">
        <v>1980.962242528725</v>
      </c>
    </row>
    <row r="224">
      <c r="A224" s="0" t="n">
        <v>500</v>
      </c>
      <c r="B224" s="0" t="n">
        <v>1981.257828150648</v>
      </c>
    </row>
    <row r="225">
      <c r="A225" s="0" t="n">
        <v>501</v>
      </c>
      <c r="B225" s="0" t="n">
        <v>1981.558450972078</v>
      </c>
    </row>
    <row r="226">
      <c r="A226" s="0" t="n">
        <v>502</v>
      </c>
      <c r="B226" s="0" t="n">
        <v>1981.86402232818</v>
      </c>
    </row>
    <row r="227">
      <c r="A227" s="0" t="n">
        <v>503</v>
      </c>
      <c r="B227" s="0" t="n">
        <v>1982.174455490491</v>
      </c>
    </row>
    <row r="228">
      <c r="A228" s="0" t="n">
        <v>504</v>
      </c>
      <c r="B228" s="0" t="n">
        <v>1982.489665618801</v>
      </c>
    </row>
    <row r="229">
      <c r="A229" s="0" t="n">
        <v>505</v>
      </c>
      <c r="B229" s="0" t="n">
        <v>1982.80956971437</v>
      </c>
    </row>
    <row r="230">
      <c r="A230" s="0" t="n">
        <v>506</v>
      </c>
      <c r="B230" s="0" t="n">
        <v>1983.134086574463</v>
      </c>
    </row>
    <row r="231">
      <c r="A231" s="0" t="n">
        <v>507</v>
      </c>
      <c r="B231" s="0" t="n">
        <v>1983.463136748136</v>
      </c>
    </row>
    <row r="232">
      <c r="A232" s="0" t="n">
        <v>508</v>
      </c>
      <c r="B232" s="0" t="n">
        <v>1983.796642493259</v>
      </c>
    </row>
    <row r="233">
      <c r="A233" s="0" t="n">
        <v>509</v>
      </c>
      <c r="B233" s="0" t="n">
        <v>1984.134527734717</v>
      </c>
    </row>
    <row r="234">
      <c r="A234" s="0" t="n">
        <v>510</v>
      </c>
      <c r="B234" s="0" t="n">
        <v>1984.476718023772</v>
      </c>
    </row>
    <row r="235">
      <c r="A235" s="0" t="n">
        <v>511</v>
      </c>
      <c r="B235" s="0" t="n">
        <v>1984.823140498526</v>
      </c>
    </row>
    <row r="236">
      <c r="A236" s="0" t="n">
        <v>512</v>
      </c>
      <c r="B236" s="0" t="n">
        <v>1985.173723845484</v>
      </c>
    </row>
    <row r="237">
      <c r="A237" s="0" t="n">
        <v>513</v>
      </c>
      <c r="B237" s="0" t="n">
        <v>1985.528398262152</v>
      </c>
    </row>
    <row r="238">
      <c r="A238" s="0" t="n">
        <v>514</v>
      </c>
      <c r="B238" s="0" t="n">
        <v>1985.887095420661</v>
      </c>
    </row>
    <row r="239">
      <c r="A239" s="0" t="n">
        <v>515</v>
      </c>
      <c r="B239" s="0" t="n">
        <v>1986.249748432368</v>
      </c>
    </row>
    <row r="240">
      <c r="A240" s="0" t="n">
        <v>516</v>
      </c>
      <c r="B240" s="0" t="n">
        <v>1986.616291813419</v>
      </c>
    </row>
    <row r="241">
      <c r="A241" s="0" t="n">
        <v>517</v>
      </c>
      <c r="B241" s="0" t="n">
        <v>1986.986661451249</v>
      </c>
    </row>
    <row r="242">
      <c r="A242" s="0" t="n">
        <v>518</v>
      </c>
      <c r="B242" s="0" t="n">
        <v>1987.36079457196</v>
      </c>
    </row>
    <row r="243">
      <c r="A243" s="0" t="n">
        <v>519</v>
      </c>
      <c r="B243" s="0" t="n">
        <v>1987.738629708591</v>
      </c>
    </row>
    <row r="244">
      <c r="A244" s="0" t="n">
        <v>520</v>
      </c>
      <c r="B244" s="0" t="n">
        <v>1988.120106670234</v>
      </c>
    </row>
    <row r="245">
      <c r="A245" s="0" t="n">
        <v>521</v>
      </c>
      <c r="B245" s="0" t="n">
        <v>1988.505166511954</v>
      </c>
    </row>
    <row r="246">
      <c r="A246" s="0" t="n">
        <v>522</v>
      </c>
      <c r="B246" s="0" t="n">
        <v>1988.89375150553</v>
      </c>
    </row>
    <row r="247">
      <c r="A247" s="0" t="n">
        <v>523</v>
      </c>
      <c r="B247" s="0" t="n">
        <v>1989.285805110953</v>
      </c>
    </row>
    <row r="248">
      <c r="A248" s="0" t="n">
        <v>524</v>
      </c>
      <c r="B248" s="0" t="n">
        <v>1989.681271948688</v>
      </c>
    </row>
    <row r="249">
      <c r="A249" s="0" t="n">
        <v>525</v>
      </c>
      <c r="B249" s="0" t="n">
        <v>1990.080097772649</v>
      </c>
    </row>
    <row r="250">
      <c r="A250" s="0" t="n">
        <v>526</v>
      </c>
      <c r="B250" s="0" t="n">
        <v>1990.482229443898</v>
      </c>
    </row>
    <row r="251">
      <c r="A251" s="0" t="n">
        <v>527</v>
      </c>
      <c r="B251" s="0" t="n">
        <v>1990.88761490502</v>
      </c>
    </row>
    <row r="252">
      <c r="A252" s="0" t="n">
        <v>528</v>
      </c>
      <c r="B252" s="0" t="n">
        <v>1991.296203155174</v>
      </c>
    </row>
    <row r="253">
      <c r="A253" s="0" t="n">
        <v>529</v>
      </c>
      <c r="B253" s="0" t="n">
        <v>1991.707944225779</v>
      </c>
    </row>
    <row r="254">
      <c r="A254" s="0" t="n">
        <v>530</v>
      </c>
      <c r="B254" s="0" t="n">
        <v>1992.122789156841</v>
      </c>
    </row>
    <row r="255">
      <c r="A255" s="0" t="n">
        <v>531</v>
      </c>
      <c r="B255" s="0" t="n">
        <v>1992.540689973886</v>
      </c>
    </row>
    <row r="256">
      <c r="A256" s="0" t="n">
        <v>532</v>
      </c>
      <c r="B256" s="0" t="n">
        <v>1992.961599665483</v>
      </c>
    </row>
    <row r="257">
      <c r="A257" s="0" t="n">
        <v>533</v>
      </c>
      <c r="B257" s="0" t="n">
        <v>1993.385472161352</v>
      </c>
    </row>
    <row r="258">
      <c r="A258" s="0" t="n">
        <v>534</v>
      </c>
      <c r="B258" s="0" t="n">
        <v>1993.812262311013</v>
      </c>
    </row>
    <row r="259">
      <c r="A259" s="0" t="n">
        <v>535</v>
      </c>
      <c r="B259" s="0" t="n">
        <v>1994.241925863008</v>
      </c>
    </row>
    <row r="260">
      <c r="A260" s="0" t="n">
        <v>536</v>
      </c>
      <c r="B260" s="0" t="n">
        <v>1994.67441944462</v>
      </c>
    </row>
    <row r="261">
      <c r="A261" s="0" t="n">
        <v>537</v>
      </c>
      <c r="B261" s="0" t="n">
        <v>1995.109700542125</v>
      </c>
    </row>
    <row r="262">
      <c r="A262" s="0" t="n">
        <v>538</v>
      </c>
      <c r="B262" s="0" t="n">
        <v>1995.547727481535</v>
      </c>
    </row>
    <row r="263">
      <c r="A263" s="0" t="n">
        <v>539</v>
      </c>
      <c r="B263" s="0" t="n">
        <v>1995.988459409828</v>
      </c>
    </row>
    <row r="264">
      <c r="A264" s="0" t="n">
        <v>540</v>
      </c>
      <c r="B264" s="0" t="n">
        <v>1996.431856276648</v>
      </c>
    </row>
    <row r="265">
      <c r="A265" s="0" t="n">
        <v>541</v>
      </c>
      <c r="B265" s="0" t="n">
        <v>1996.877878816457</v>
      </c>
    </row>
    <row r="266">
      <c r="A266" s="0" t="n">
        <v>542</v>
      </c>
      <c r="B266" s="0" t="n">
        <v>1997.326488531146</v>
      </c>
    </row>
    <row r="267">
      <c r="A267" s="0" t="n">
        <v>543</v>
      </c>
      <c r="B267" s="0" t="n">
        <v>1997.777647673062</v>
      </c>
    </row>
    <row r="268">
      <c r="A268" s="0" t="n">
        <v>544</v>
      </c>
      <c r="B268" s="0" t="n">
        <v>1998.231319228463</v>
      </c>
    </row>
    <row r="269">
      <c r="A269" s="0" t="n">
        <v>545</v>
      </c>
      <c r="B269" s="0" t="n">
        <v>1998.687466901386</v>
      </c>
    </row>
    <row r="270">
      <c r="A270" s="0" t="n">
        <v>546</v>
      </c>
      <c r="B270" s="0" t="n">
        <v>1999.146055097901</v>
      </c>
    </row>
    <row r="271">
      <c r="A271" s="0" t="n">
        <v>547</v>
      </c>
      <c r="B271" s="0" t="n">
        <v>1999.607048910763</v>
      </c>
    </row>
    <row r="272">
      <c r="A272" s="0" t="n">
        <v>548</v>
      </c>
      <c r="B272" s="0" t="n">
        <v>2000.070414104428</v>
      </c>
    </row>
    <row r="273">
      <c r="A273" s="0" t="n">
        <v>549</v>
      </c>
      <c r="B273" s="0" t="n">
        <v>2000.536117100449</v>
      </c>
    </row>
    <row r="274">
      <c r="A274" s="0" t="n">
        <v>550</v>
      </c>
      <c r="B274" s="0" t="n">
        <v>2001.00412496321</v>
      </c>
    </row>
    <row r="275">
      <c r="A275" s="0" t="n">
        <v>551</v>
      </c>
      <c r="B275" s="0" t="n">
        <v>2001.474405386022</v>
      </c>
    </row>
    <row r="276">
      <c r="A276" s="0" t="n">
        <v>552</v>
      </c>
      <c r="B276" s="0" t="n">
        <v>2001.946926677542</v>
      </c>
    </row>
    <row r="277">
      <c r="A277" s="0" t="n">
        <v>553</v>
      </c>
      <c r="B277" s="0" t="n">
        <v>2002.421657748527</v>
      </c>
    </row>
    <row r="278">
      <c r="A278" s="0" t="n">
        <v>554</v>
      </c>
      <c r="B278" s="0" t="n">
        <v>2002.898568098905</v>
      </c>
    </row>
    <row r="279">
      <c r="A279" s="0" t="n">
        <v>555</v>
      </c>
      <c r="B279" s="0" t="n">
        <v>2003.377627805153</v>
      </c>
    </row>
    <row r="280">
      <c r="A280" s="0" t="n">
        <v>556</v>
      </c>
      <c r="B280" s="0" t="n">
        <v>2003.858807507979</v>
      </c>
    </row>
    <row r="281">
      <c r="A281" s="0" t="n">
        <v>557</v>
      </c>
      <c r="B281" s="0" t="n">
        <v>2004.342078400295</v>
      </c>
    </row>
    <row r="282">
      <c r="A282" s="0" t="n">
        <v>558</v>
      </c>
      <c r="B282" s="0" t="n">
        <v>2004.827412215476</v>
      </c>
    </row>
    <row r="283">
      <c r="A283" s="0" t="n">
        <v>559</v>
      </c>
      <c r="B283" s="0" t="n">
        <v>2005.314781215898</v>
      </c>
    </row>
    <row r="284">
      <c r="A284" s="0" t="n">
        <v>560</v>
      </c>
      <c r="B284" s="0" t="n">
        <v>2005.804158181747</v>
      </c>
    </row>
    <row r="285">
      <c r="A285" s="0" t="n">
        <v>561</v>
      </c>
      <c r="B285" s="0" t="n">
        <v>2006.295516400086</v>
      </c>
    </row>
    <row r="286">
      <c r="A286" s="0" t="n">
        <v>562</v>
      </c>
      <c r="B286" s="0" t="n">
        <v>2006.788829654183</v>
      </c>
    </row>
    <row r="287">
      <c r="A287" s="0" t="n">
        <v>563</v>
      </c>
      <c r="B287" s="0" t="n">
        <v>2007.284072213088</v>
      </c>
    </row>
    <row r="288">
      <c r="A288" s="0" t="n">
        <v>564</v>
      </c>
      <c r="B288" s="0" t="n">
        <v>2007.781218821452</v>
      </c>
    </row>
    <row r="289">
      <c r="A289" s="0" t="n">
        <v>565</v>
      </c>
      <c r="B289" s="0" t="n">
        <v>2008.28024468958</v>
      </c>
    </row>
    <row r="290">
      <c r="A290" s="0" t="n">
        <v>566</v>
      </c>
      <c r="B290" s="0" t="n">
        <v>2008.781125483722</v>
      </c>
    </row>
    <row r="291">
      <c r="A291" s="0" t="n">
        <v>567</v>
      </c>
      <c r="B291" s="0" t="n">
        <v>2009.283837316575</v>
      </c>
    </row>
    <row r="292">
      <c r="A292" s="0" t="n">
        <v>568</v>
      </c>
      <c r="B292" s="0" t="n">
        <v>2009.788356738017</v>
      </c>
    </row>
    <row r="293">
      <c r="A293" s="0" t="n">
        <v>569</v>
      </c>
      <c r="B293" s="0" t="n">
        <v>2010.294660726048</v>
      </c>
    </row>
    <row r="294">
      <c r="A294" s="0" t="n">
        <v>570</v>
      </c>
      <c r="B294" s="0" t="n">
        <v>2010.802726677935</v>
      </c>
    </row>
    <row r="295">
      <c r="A295" s="0" t="n">
        <v>571</v>
      </c>
      <c r="B295" s="0" t="n">
        <v>2011.312532401566</v>
      </c>
    </row>
    <row r="296">
      <c r="A296" s="0" t="n">
        <v>572</v>
      </c>
      <c r="B296" s="0" t="n">
        <v>2011.824056106996</v>
      </c>
    </row>
    <row r="297">
      <c r="A297" s="0" t="n">
        <v>573</v>
      </c>
      <c r="B297" s="0" t="n">
        <v>2012.33727639818</v>
      </c>
    </row>
    <row r="298">
      <c r="A298" s="0" t="n">
        <v>574</v>
      </c>
      <c r="B298" s="0" t="n">
        <v>2012.85217226491</v>
      </c>
    </row>
    <row r="299">
      <c r="A299" s="0" t="n">
        <v>575</v>
      </c>
      <c r="B299" s="0" t="n">
        <v>2013.368723074909</v>
      </c>
    </row>
    <row r="300">
      <c r="A300" s="0" t="n">
        <v>576</v>
      </c>
      <c r="B300" s="0" t="n">
        <v>2013.886908566127</v>
      </c>
    </row>
    <row r="301">
      <c r="A301" s="0" t="n">
        <v>577</v>
      </c>
      <c r="B301" s="0" t="n">
        <v>2014.406708839192</v>
      </c>
    </row>
    <row r="302">
      <c r="A302" s="0" t="n">
        <v>578</v>
      </c>
      <c r="B302" s="0" t="n">
        <v>2014.928104350037</v>
      </c>
    </row>
    <row r="303">
      <c r="A303" s="0" t="n">
        <v>579</v>
      </c>
      <c r="B303" s="0" t="n">
        <v>2015.451075902693</v>
      </c>
    </row>
    <row r="304">
      <c r="A304" s="0" t="n">
        <v>580</v>
      </c>
      <c r="B304" s="0" t="n">
        <v>2015.975604642235</v>
      </c>
    </row>
    <row r="305">
      <c r="A305" s="0" t="n">
        <v>581</v>
      </c>
      <c r="B305" s="0" t="n">
        <v>2016.501672047895</v>
      </c>
    </row>
    <row r="306">
      <c r="A306" s="0" t="n">
        <v>582</v>
      </c>
      <c r="B306" s="0" t="n">
        <v>2017.029259926315</v>
      </c>
    </row>
    <row r="307">
      <c r="A307" s="0" t="n">
        <v>583</v>
      </c>
      <c r="B307" s="0" t="n">
        <v>2017.558350404955</v>
      </c>
    </row>
    <row r="308">
      <c r="A308" s="0" t="n">
        <v>584</v>
      </c>
      <c r="B308" s="0" t="n">
        <v>2018.088925925649</v>
      </c>
    </row>
    <row r="309">
      <c r="A309" s="0" t="n">
        <v>585</v>
      </c>
      <c r="B309" s="0" t="n">
        <v>2018.620969238291</v>
      </c>
    </row>
    <row r="310">
      <c r="A310" s="0" t="n">
        <v>586</v>
      </c>
      <c r="B310" s="0" t="n">
        <v>2019.154463394675</v>
      </c>
    </row>
    <row r="311">
      <c r="A311" s="0" t="n">
        <v>587</v>
      </c>
      <c r="B311" s="0" t="n">
        <v>2019.68939174245</v>
      </c>
    </row>
    <row r="312">
      <c r="A312" s="0" t="n">
        <v>588</v>
      </c>
      <c r="B312" s="0" t="n">
        <v>2020.225737919224</v>
      </c>
    </row>
    <row r="313">
      <c r="A313" s="0" t="n">
        <v>589</v>
      </c>
      <c r="B313" s="0" t="n">
        <v>2020.763485846783</v>
      </c>
    </row>
    <row r="314">
      <c r="A314" s="0" t="n">
        <v>590</v>
      </c>
      <c r="B314" s="0" t="n">
        <v>2021.302619725441</v>
      </c>
    </row>
    <row r="315">
      <c r="A315" s="0" t="n">
        <v>591</v>
      </c>
      <c r="B315" s="0" t="n">
        <v>2021.84312402851</v>
      </c>
    </row>
    <row r="316">
      <c r="A316" s="0" t="n">
        <v>592</v>
      </c>
      <c r="B316" s="0" t="n">
        <v>2022.38498349689</v>
      </c>
    </row>
    <row r="317">
      <c r="A317" s="0" t="n">
        <v>593</v>
      </c>
      <c r="B317" s="0" t="n">
        <v>2022.928183133768</v>
      </c>
    </row>
    <row r="318">
      <c r="A318" s="0" t="n">
        <v>594</v>
      </c>
      <c r="B318" s="0" t="n">
        <v>2023.472708199444</v>
      </c>
    </row>
    <row r="319">
      <c r="A319" s="0" t="n">
        <v>595</v>
      </c>
      <c r="B319" s="0" t="n">
        <v>2024.01854420625</v>
      </c>
    </row>
    <row r="320">
      <c r="A320" s="0" t="n">
        <v>596</v>
      </c>
      <c r="B320" s="0" t="n">
        <v>2024.565676913591</v>
      </c>
    </row>
    <row r="321">
      <c r="A321" s="0" t="n">
        <v>597</v>
      </c>
      <c r="B321" s="0" t="n">
        <v>2025.114092323083</v>
      </c>
    </row>
    <row r="322">
      <c r="A322" s="0" t="n">
        <v>598</v>
      </c>
      <c r="B322" s="0" t="n">
        <v>2025.6637766738</v>
      </c>
    </row>
    <row r="323">
      <c r="A323" s="0" t="n">
        <v>599</v>
      </c>
      <c r="B323" s="0" t="n">
        <v>2026.214716437611</v>
      </c>
    </row>
    <row r="324">
      <c r="A324" s="0" t="n">
        <v>600</v>
      </c>
      <c r="B324" s="0" t="n">
        <v>2026.766898314622</v>
      </c>
    </row>
    <row r="325">
      <c r="A325" s="0" t="n">
        <v>601</v>
      </c>
      <c r="B325" s="0" t="n">
        <v>2027.320309228718</v>
      </c>
    </row>
    <row r="326">
      <c r="A326" s="0" t="n">
        <v>602</v>
      </c>
      <c r="B326" s="0" t="n">
        <v>2027.874936323185</v>
      </c>
    </row>
    <row r="327">
      <c r="A327" s="0" t="n">
        <v>603</v>
      </c>
      <c r="B327" s="0" t="n">
        <v>2028.430766956437</v>
      </c>
    </row>
    <row r="328">
      <c r="A328" s="0" t="n">
        <v>604</v>
      </c>
      <c r="B328" s="0" t="n">
        <v>2028.98778869782</v>
      </c>
    </row>
    <row r="329">
      <c r="A329" s="0" t="n">
        <v>605</v>
      </c>
      <c r="B329" s="0" t="n">
        <v>2029.545989323513</v>
      </c>
    </row>
    <row r="330">
      <c r="A330" s="0" t="n">
        <v>606</v>
      </c>
      <c r="B330" s="0" t="n">
        <v>2030.105356812504</v>
      </c>
    </row>
    <row r="331">
      <c r="A331" s="0" t="n">
        <v>607</v>
      </c>
      <c r="B331" s="0" t="n">
        <v>2030.665879342656</v>
      </c>
    </row>
    <row r="332">
      <c r="A332" s="0" t="n">
        <v>608</v>
      </c>
      <c r="B332" s="0" t="n">
        <v>2031.227545286858</v>
      </c>
    </row>
    <row r="333">
      <c r="A333" s="0" t="n">
        <v>609</v>
      </c>
      <c r="B333" s="0" t="n">
        <v>2031.790343209234</v>
      </c>
    </row>
    <row r="334">
      <c r="A334" s="0" t="n">
        <v>610</v>
      </c>
      <c r="B334" s="0" t="n">
        <v>2032.35426186146</v>
      </c>
    </row>
    <row r="335">
      <c r="A335" s="0" t="n">
        <v>611</v>
      </c>
      <c r="B335" s="0" t="n">
        <v>2032.919290179129</v>
      </c>
    </row>
    <row r="336">
      <c r="A336" s="0" t="n">
        <v>612</v>
      </c>
      <c r="B336" s="0" t="n">
        <v>2033.485417278207</v>
      </c>
    </row>
    <row r="337">
      <c r="A337" s="0" t="n">
        <v>613</v>
      </c>
      <c r="B337" s="0" t="n">
        <v>2034.052632451554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ws_CpMid">
    <outlinePr summaryBelow="1" summaryRight="1"/>
    <pageSetUpPr/>
  </sheetPr>
  <dimension ref="A1:D337"/>
  <sheetViews>
    <sheetView workbookViewId="0">
      <pane ySplit="1" topLeftCell="A83" activePane="bottomLeft" state="frozen"/>
      <selection pane="bottomLeft" activeCell="E119" sqref="E119"/>
    </sheetView>
  </sheetViews>
  <sheetFormatPr baseColWidth="8" defaultRowHeight="13.5"/>
  <cols>
    <col width="12" customWidth="1" style="10" min="1" max="1"/>
    <col width="14" customWidth="1" style="10" min="2" max="2"/>
    <col width="18" customWidth="1" style="10" min="4" max="4"/>
    <col width="40" customWidth="1" style="10" min="5" max="5"/>
  </cols>
  <sheetData>
    <row r="1">
      <c r="A1" s="31" t="inlineStr">
        <is>
          <t>T_K</t>
        </is>
      </c>
      <c r="B1" s="31" t="inlineStr">
        <is>
          <t>cp</t>
        </is>
      </c>
      <c r="D1" s="32" t="inlineStr">
        <is>
          <t>使い方</t>
        </is>
      </c>
    </row>
    <row r="2">
      <c r="A2" s="0" t="n">
        <v>278</v>
      </c>
      <c r="B2" s="0" t="n">
        <v>4176.592315078005</v>
      </c>
      <c r="D2" s="0" t="inlineStr">
        <is>
          <t>1) CoolPropが使えるPCで再計算 2) A:Bをコピーして値貼り付け 3) CoolProp依存を外す</t>
        </is>
      </c>
    </row>
    <row r="3">
      <c r="A3" s="0" t="n">
        <v>279</v>
      </c>
      <c r="B3" s="0" t="n">
        <v>4175.020200564598</v>
      </c>
    </row>
    <row r="4">
      <c r="A4" s="0" t="n">
        <v>280</v>
      </c>
      <c r="B4" s="0" t="n">
        <v>4173.573809336016</v>
      </c>
    </row>
    <row r="5">
      <c r="A5" s="0" t="n">
        <v>281</v>
      </c>
      <c r="B5" s="0" t="n">
        <v>4172.244633073367</v>
      </c>
    </row>
    <row r="6">
      <c r="A6" s="0" t="n">
        <v>282</v>
      </c>
      <c r="B6" s="0" t="n">
        <v>4171.024855544302</v>
      </c>
    </row>
    <row r="7">
      <c r="A7" s="0" t="n">
        <v>283</v>
      </c>
      <c r="B7" s="0" t="n">
        <v>4169.907278442662</v>
      </c>
    </row>
    <row r="8">
      <c r="A8" s="0" t="n">
        <v>284</v>
      </c>
      <c r="B8" s="0" t="n">
        <v>4168.885257324324</v>
      </c>
    </row>
    <row r="9">
      <c r="A9" s="0" t="n">
        <v>285</v>
      </c>
      <c r="B9" s="0" t="n">
        <v>4167.952646125387</v>
      </c>
    </row>
    <row r="10">
      <c r="A10" s="0" t="n">
        <v>286</v>
      </c>
      <c r="B10" s="0" t="n">
        <v>4167.103748962048</v>
      </c>
    </row>
    <row r="11">
      <c r="A11" s="0" t="n">
        <v>287</v>
      </c>
      <c r="B11" s="0" t="n">
        <v>4166.333278160307</v>
      </c>
    </row>
    <row r="12">
      <c r="A12" s="0" t="n">
        <v>288</v>
      </c>
      <c r="B12" s="0" t="n">
        <v>4165.636317586398</v>
      </c>
    </row>
    <row r="13">
      <c r="A13" s="0" t="n">
        <v>289</v>
      </c>
      <c r="B13" s="0" t="n">
        <v>4165.008290509196</v>
      </c>
    </row>
    <row r="14">
      <c r="A14" s="0" t="n">
        <v>290</v>
      </c>
      <c r="B14" s="0" t="n">
        <v>4164.444931325217</v>
      </c>
    </row>
    <row r="15">
      <c r="A15" s="0" t="n">
        <v>291</v>
      </c>
      <c r="B15" s="0" t="n">
        <v>4163.942260606749</v>
      </c>
    </row>
    <row r="16">
      <c r="A16" s="0" t="n">
        <v>292</v>
      </c>
      <c r="B16" s="0" t="n">
        <v>4163.49656299658</v>
      </c>
    </row>
    <row r="17">
      <c r="A17" s="0" t="n">
        <v>293</v>
      </c>
      <c r="B17" s="0" t="n">
        <v>4163.104367550813</v>
      </c>
    </row>
    <row r="18">
      <c r="A18" s="0" t="n">
        <v>294</v>
      </c>
      <c r="B18" s="0" t="n">
        <v>4162.762430162919</v>
      </c>
    </row>
    <row r="19">
      <c r="A19" s="0" t="n">
        <v>295</v>
      </c>
      <c r="B19" s="0" t="n">
        <v>4162.46771782779</v>
      </c>
    </row>
    <row r="20">
      <c r="A20" s="0" t="n">
        <v>296</v>
      </c>
      <c r="B20" s="0" t="n">
        <v>4162.217394453522</v>
      </c>
    </row>
    <row r="21">
      <c r="A21" s="0" t="n">
        <v>297</v>
      </c>
      <c r="B21" s="0" t="n">
        <v>4162.00880804655</v>
      </c>
    </row>
    <row r="22">
      <c r="A22" s="0" t="n">
        <v>298</v>
      </c>
      <c r="B22" s="0" t="n">
        <v>4161.839479053471</v>
      </c>
    </row>
    <row r="23">
      <c r="A23" s="0" t="n">
        <v>299</v>
      </c>
      <c r="B23" s="0" t="n">
        <v>4161.707089757382</v>
      </c>
    </row>
    <row r="24">
      <c r="A24" s="0" t="n">
        <v>300</v>
      </c>
      <c r="B24" s="0" t="n">
        <v>4161.609474542448</v>
      </c>
    </row>
    <row r="25">
      <c r="A25" s="0" t="n">
        <v>301</v>
      </c>
      <c r="B25" s="0" t="n">
        <v>4161.544610966461</v>
      </c>
    </row>
    <row r="26">
      <c r="A26" s="0" t="n">
        <v>302</v>
      </c>
      <c r="B26" s="0" t="n">
        <v>4161.510611510912</v>
      </c>
    </row>
    <row r="27">
      <c r="A27" s="0" t="n">
        <v>303</v>
      </c>
      <c r="B27" s="0" t="n">
        <v>4161.505715946711</v>
      </c>
    </row>
    <row r="28">
      <c r="A28" s="0" t="n">
        <v>304</v>
      </c>
      <c r="B28" s="0" t="n">
        <v>4161.52828423832</v>
      </c>
    </row>
    <row r="29">
      <c r="A29" s="0" t="n">
        <v>305</v>
      </c>
      <c r="B29" s="0" t="n">
        <v>4161.576789934711</v>
      </c>
    </row>
    <row r="30">
      <c r="A30" s="0" t="n">
        <v>306</v>
      </c>
      <c r="B30" s="0" t="n">
        <v>4161.649813976343</v>
      </c>
    </row>
    <row r="31">
      <c r="A31" s="0" t="n">
        <v>307</v>
      </c>
      <c r="B31" s="0" t="n">
        <v>4161.746038909824</v>
      </c>
    </row>
    <row r="32">
      <c r="A32" s="0" t="n">
        <v>308</v>
      </c>
      <c r="B32" s="0" t="n">
        <v>4161.864243434436</v>
      </c>
    </row>
    <row r="33">
      <c r="A33" s="0" t="n">
        <v>309</v>
      </c>
      <c r="B33" s="0" t="n">
        <v>4162.003297264612</v>
      </c>
    </row>
    <row r="34">
      <c r="A34" s="0" t="n">
        <v>310</v>
      </c>
      <c r="B34" s="0" t="n">
        <v>4162.162156298134</v>
      </c>
    </row>
    <row r="35">
      <c r="A35" s="0" t="n">
        <v>311</v>
      </c>
      <c r="B35" s="0" t="n">
        <v>4162.339858027185</v>
      </c>
    </row>
    <row r="36">
      <c r="A36" s="0" t="n">
        <v>312</v>
      </c>
      <c r="B36" s="0" t="n">
        <v>4162.535517203984</v>
      </c>
    </row>
    <row r="37">
      <c r="A37" s="0" t="n">
        <v>313</v>
      </c>
      <c r="B37" s="0" t="n">
        <v>4162.748321725821</v>
      </c>
    </row>
    <row r="38">
      <c r="A38" s="0" t="n">
        <v>314</v>
      </c>
      <c r="B38" s="0" t="n">
        <v>4162.977528732541</v>
      </c>
    </row>
    <row r="39">
      <c r="A39" s="0" t="n">
        <v>315</v>
      </c>
      <c r="B39" s="0" t="n">
        <v>4163.222460890463</v>
      </c>
    </row>
    <row r="40">
      <c r="A40" s="0" t="n">
        <v>316</v>
      </c>
      <c r="B40" s="0" t="n">
        <v>4163.482502863286</v>
      </c>
    </row>
    <row r="41">
      <c r="A41" s="0" t="n">
        <v>317</v>
      </c>
      <c r="B41" s="0" t="n">
        <v>4163.75709795049</v>
      </c>
    </row>
    <row r="42">
      <c r="A42" s="0" t="n">
        <v>318</v>
      </c>
      <c r="B42" s="0" t="n">
        <v>4164.04574488944</v>
      </c>
    </row>
    <row r="43">
      <c r="A43" s="0" t="n">
        <v>319</v>
      </c>
      <c r="B43" s="0" t="n">
        <v>4164.34799480003</v>
      </c>
    </row>
    <row r="44">
      <c r="A44" s="0" t="n">
        <v>320</v>
      </c>
      <c r="B44" s="0" t="n">
        <v>4164.663448280513</v>
      </c>
    </row>
    <row r="45">
      <c r="A45" s="0" t="n">
        <v>321</v>
      </c>
      <c r="B45" s="0" t="n">
        <v>4164.991752636739</v>
      </c>
    </row>
    <row r="46">
      <c r="A46" s="0" t="n">
        <v>322</v>
      </c>
      <c r="B46" s="0" t="n">
        <v>4165.332599240988</v>
      </c>
    </row>
    <row r="47">
      <c r="A47" s="0" t="n">
        <v>323</v>
      </c>
      <c r="B47" s="0" t="n">
        <v>4165.685721012281</v>
      </c>
    </row>
    <row r="48">
      <c r="A48" s="0" t="n">
        <v>324</v>
      </c>
      <c r="B48" s="0" t="n">
        <v>4166.050890013592</v>
      </c>
    </row>
    <row r="49">
      <c r="A49" s="0" t="n">
        <v>325</v>
      </c>
      <c r="B49" s="0" t="n">
        <v>4166.427915167738</v>
      </c>
    </row>
    <row r="50">
      <c r="A50" s="0" t="n">
        <v>326</v>
      </c>
      <c r="B50" s="0" t="n">
        <v>4166.816640073067</v>
      </c>
    </row>
    <row r="51">
      <c r="A51" s="0" t="n">
        <v>327</v>
      </c>
      <c r="B51" s="0" t="n">
        <v>4167.216940926018</v>
      </c>
    </row>
    <row r="52">
      <c r="A52" s="0" t="n">
        <v>328</v>
      </c>
      <c r="B52" s="0" t="n">
        <v>4167.628724542732</v>
      </c>
    </row>
    <row r="53">
      <c r="A53" s="0" t="n">
        <v>329</v>
      </c>
      <c r="B53" s="0" t="n">
        <v>4168.051926474661</v>
      </c>
    </row>
    <row r="54">
      <c r="A54" s="0" t="n">
        <v>330</v>
      </c>
      <c r="B54" s="0" t="n">
        <v>4168.486509214839</v>
      </c>
    </row>
    <row r="55">
      <c r="A55" s="0" t="n">
        <v>331</v>
      </c>
      <c r="B55" s="0" t="n">
        <v>4168.932460493877</v>
      </c>
    </row>
    <row r="56">
      <c r="A56" s="0" t="n">
        <v>332</v>
      </c>
      <c r="B56" s="0" t="n">
        <v>4169.389791653725</v>
      </c>
    </row>
    <row r="57">
      <c r="A57" s="0" t="n">
        <v>333</v>
      </c>
      <c r="B57" s="0" t="n">
        <v>4169.858536113741</v>
      </c>
    </row>
    <row r="58">
      <c r="A58" s="0" t="n">
        <v>334</v>
      </c>
      <c r="B58" s="0" t="n">
        <v>4170.338747898072</v>
      </c>
    </row>
    <row r="59">
      <c r="A59" s="0" t="n">
        <v>335</v>
      </c>
      <c r="B59" s="0" t="n">
        <v>4170.830500253561</v>
      </c>
    </row>
    <row r="60">
      <c r="A60" s="0" t="n">
        <v>336</v>
      </c>
      <c r="B60" s="0" t="n">
        <v>4171.333884328183</v>
      </c>
    </row>
    <row r="61">
      <c r="A61" s="0" t="n">
        <v>337</v>
      </c>
      <c r="B61" s="0" t="n">
        <v>4171.849007922975</v>
      </c>
    </row>
    <row r="62">
      <c r="A62" s="0" t="n">
        <v>338</v>
      </c>
      <c r="B62" s="0" t="n">
        <v>4172.375994308276</v>
      </c>
    </row>
    <row r="63">
      <c r="A63" s="0" t="n">
        <v>339</v>
      </c>
      <c r="B63" s="0" t="n">
        <v>4172.914981103505</v>
      </c>
    </row>
    <row r="64">
      <c r="A64" s="0" t="n">
        <v>340</v>
      </c>
      <c r="B64" s="0" t="n">
        <v>4173.466119218684</v>
      </c>
    </row>
    <row r="65">
      <c r="A65" s="0" t="n">
        <v>341</v>
      </c>
      <c r="B65" s="0" t="n">
        <v>4174.029571853733</v>
      </c>
    </row>
    <row r="66">
      <c r="A66" s="0" t="n">
        <v>342</v>
      </c>
      <c r="B66" s="0" t="n">
        <v>4174.605513550818</v>
      </c>
    </row>
    <row r="67">
      <c r="A67" s="0" t="n">
        <v>343</v>
      </c>
      <c r="B67" s="0" t="n">
        <v>4175.194129306109</v>
      </c>
    </row>
    <row r="68">
      <c r="A68" s="0" t="n">
        <v>344</v>
      </c>
      <c r="B68" s="0" t="n">
        <v>4175.795613726556</v>
      </c>
    </row>
    <row r="69">
      <c r="A69" s="0" t="n">
        <v>345</v>
      </c>
      <c r="B69" s="0" t="n">
        <v>4176.410170241642</v>
      </c>
    </row>
    <row r="70">
      <c r="A70" s="0" t="n">
        <v>346</v>
      </c>
      <c r="B70" s="0" t="n">
        <v>4177.038010358583</v>
      </c>
    </row>
    <row r="71">
      <c r="A71" s="0" t="n">
        <v>347</v>
      </c>
      <c r="B71" s="0" t="n">
        <v>4177.679352962071</v>
      </c>
    </row>
    <row r="72">
      <c r="A72" s="0" t="n">
        <v>348</v>
      </c>
      <c r="B72" s="0" t="n">
        <v>4178.334423659897</v>
      </c>
    </row>
    <row r="73">
      <c r="A73" s="0" t="n">
        <v>349</v>
      </c>
      <c r="B73" s="0" t="n">
        <v>4179.003454169567</v>
      </c>
    </row>
    <row r="74">
      <c r="A74" s="0" t="n">
        <v>350</v>
      </c>
      <c r="B74" s="0" t="n">
        <v>4179.686681741607</v>
      </c>
    </row>
    <row r="75">
      <c r="A75" s="0" t="n">
        <v>351</v>
      </c>
      <c r="B75" s="0" t="n">
        <v>4180.38434862332</v>
      </c>
    </row>
    <row r="76">
      <c r="A76" s="0" t="n">
        <v>352</v>
      </c>
      <c r="B76" s="0" t="n">
        <v>4181.096701557756</v>
      </c>
    </row>
    <row r="77">
      <c r="A77" s="0" t="n">
        <v>353</v>
      </c>
      <c r="B77" s="0" t="n">
        <v>4181.823991316327</v>
      </c>
    </row>
    <row r="78">
      <c r="A78" s="0" t="n">
        <v>354</v>
      </c>
      <c r="B78" s="0" t="n">
        <v>4182.566472265446</v>
      </c>
    </row>
    <row r="79">
      <c r="A79" s="0" t="n">
        <v>355</v>
      </c>
      <c r="B79" s="0" t="n">
        <v>4183.324401963456</v>
      </c>
    </row>
    <row r="80">
      <c r="A80" s="0" t="n">
        <v>356</v>
      </c>
      <c r="B80" s="0" t="n">
        <v>4184.098040787226</v>
      </c>
    </row>
    <row r="81">
      <c r="A81" s="0" t="n">
        <v>357</v>
      </c>
      <c r="B81" s="0" t="n">
        <v>4184.887651589203</v>
      </c>
    </row>
    <row r="82">
      <c r="A82" s="0" t="n">
        <v>358</v>
      </c>
      <c r="B82" s="0" t="n">
        <v>4185.693499378146</v>
      </c>
    </row>
    <row r="83">
      <c r="A83" s="0" t="n">
        <v>359</v>
      </c>
      <c r="B83" s="0" t="n">
        <v>4186.515851029604</v>
      </c>
    </row>
    <row r="84">
      <c r="A84" s="0" t="n">
        <v>360</v>
      </c>
      <c r="B84" s="0" t="n">
        <v>4187.35497501692</v>
      </c>
    </row>
    <row r="85">
      <c r="A85" s="0" t="n">
        <v>361</v>
      </c>
      <c r="B85" s="0" t="n">
        <v>4188.211141168278</v>
      </c>
    </row>
    <row r="86">
      <c r="A86" s="0" t="n">
        <v>362</v>
      </c>
      <c r="B86" s="0" t="n">
        <v>4189.08462044522</v>
      </c>
    </row>
    <row r="87">
      <c r="A87" s="0" t="n">
        <v>363</v>
      </c>
      <c r="B87" s="0" t="n">
        <v>4189.975684743035</v>
      </c>
    </row>
    <row r="88">
      <c r="A88" s="0" t="n">
        <v>364</v>
      </c>
      <c r="B88" s="0" t="n">
        <v>4190.884606707651</v>
      </c>
    </row>
    <row r="89">
      <c r="A89" s="0" t="n">
        <v>365</v>
      </c>
      <c r="B89" s="0" t="n">
        <v>4191.811659577789</v>
      </c>
    </row>
    <row r="90">
      <c r="A90" s="0" t="n">
        <v>366</v>
      </c>
      <c r="B90" s="0" t="n">
        <v>4192.757117038242</v>
      </c>
    </row>
    <row r="91">
      <c r="A91" s="0" t="n">
        <v>367</v>
      </c>
      <c r="B91" s="0" t="n">
        <v>4193.721253095981</v>
      </c>
    </row>
    <row r="92">
      <c r="A92" s="0" t="n">
        <v>368</v>
      </c>
      <c r="B92" s="0" t="n">
        <v>4194.704341969193</v>
      </c>
    </row>
    <row r="93">
      <c r="A93" s="0" t="n">
        <v>369</v>
      </c>
      <c r="B93" s="0" t="n">
        <v>4195.706657992269</v>
      </c>
    </row>
    <row r="94">
      <c r="A94" s="0" t="n">
        <v>370</v>
      </c>
      <c r="B94" s="0" t="n">
        <v>4196.728475536954</v>
      </c>
    </row>
    <row r="95">
      <c r="A95" s="0" t="n">
        <v>371</v>
      </c>
      <c r="B95" s="0" t="n">
        <v>4197.770068945251</v>
      </c>
    </row>
    <row r="96">
      <c r="A96" s="0" t="n">
        <v>372</v>
      </c>
      <c r="B96" s="0" t="n">
        <v>4198.831712476454</v>
      </c>
    </row>
    <row r="97">
      <c r="A97" s="0" t="n">
        <v>373</v>
      </c>
      <c r="B97" s="0" t="n">
        <v>4199.913680266408</v>
      </c>
    </row>
    <row r="98">
      <c r="A98" s="0" t="n">
        <v>374</v>
      </c>
      <c r="B98" s="0" t="n">
        <v>4201.01624629948</v>
      </c>
    </row>
    <row r="99">
      <c r="A99" s="0" t="n">
        <v>375</v>
      </c>
      <c r="B99" s="0" t="n">
        <v>4202.13968438893</v>
      </c>
    </row>
    <row r="100">
      <c r="A100" s="0" t="n">
        <v>376</v>
      </c>
      <c r="B100" s="0" t="n">
        <v>4203.28426817131</v>
      </c>
    </row>
    <row r="101">
      <c r="A101" s="0" t="n">
        <v>377</v>
      </c>
      <c r="B101" s="0" t="n">
        <v>4204.450271108164</v>
      </c>
    </row>
    <row r="102">
      <c r="A102" s="0" t="n">
        <v>378</v>
      </c>
      <c r="B102" s="0" t="n">
        <v>4205.637966497959</v>
      </c>
    </row>
    <row r="103">
      <c r="A103" s="0" t="n">
        <v>379</v>
      </c>
      <c r="B103" s="0" t="n">
        <v>4206.847627497434</v>
      </c>
    </row>
    <row r="104">
      <c r="A104" s="0" t="n">
        <v>380</v>
      </c>
      <c r="B104" s="0" t="n">
        <v>4208.079527150438</v>
      </c>
    </row>
    <row r="105">
      <c r="A105" s="0" t="n">
        <v>381</v>
      </c>
      <c r="B105" s="0" t="n">
        <v>4209.333938425145</v>
      </c>
    </row>
    <row r="106">
      <c r="A106" s="0" t="n">
        <v>382</v>
      </c>
      <c r="B106" s="0" t="n">
        <v>4210.611134259516</v>
      </c>
    </row>
    <row r="107">
      <c r="A107" s="0" t="n">
        <v>383</v>
      </c>
      <c r="B107" s="0" t="n">
        <v>4211.911387612078</v>
      </c>
    </row>
    <row r="108">
      <c r="A108" s="0" t="n">
        <v>384</v>
      </c>
      <c r="B108" s="0" t="n">
        <v>4213.234971521233</v>
      </c>
    </row>
    <row r="109">
      <c r="A109" s="0" t="n">
        <v>385</v>
      </c>
      <c r="B109" s="0" t="n">
        <v>4214.582159169675</v>
      </c>
    </row>
    <row r="110">
      <c r="A110" s="0" t="n">
        <v>386</v>
      </c>
      <c r="B110" s="0" t="n">
        <v>4215.953223955851</v>
      </c>
    </row>
    <row r="111">
      <c r="A111" s="0" t="n">
        <v>387</v>
      </c>
      <c r="B111" s="0" t="n">
        <v>4217.348439570617</v>
      </c>
    </row>
    <row r="112">
      <c r="A112" s="0" t="n">
        <v>388</v>
      </c>
      <c r="B112" s="0" t="n">
        <v>4218.768080078447</v>
      </c>
    </row>
    <row r="113">
      <c r="A113" s="0" t="n">
        <v>389</v>
      </c>
      <c r="B113" s="0" t="n">
        <v>4220.212420005487</v>
      </c>
    </row>
    <row r="114">
      <c r="A114" s="0" t="n">
        <v>390</v>
      </c>
      <c r="B114" s="0" t="n">
        <v>4221.681734431711</v>
      </c>
    </row>
    <row r="115">
      <c r="A115" s="0" t="n">
        <v>391</v>
      </c>
      <c r="B115" s="0" t="n">
        <v>4223.176299086603</v>
      </c>
    </row>
    <row r="116">
      <c r="A116" s="0" t="n">
        <v>392</v>
      </c>
      <c r="B116" s="0" t="n">
        <v>4224.696390451225</v>
      </c>
    </row>
    <row r="117">
      <c r="A117" s="0" t="n">
        <v>393</v>
      </c>
      <c r="B117" s="0" t="n">
        <v>4226.242285863314</v>
      </c>
    </row>
    <row r="118">
      <c r="A118" s="0" t="n">
        <v>394</v>
      </c>
      <c r="B118" s="0" t="n">
        <v>4227.814263626002</v>
      </c>
    </row>
    <row r="119">
      <c r="A119" s="0" t="n">
        <v>395</v>
      </c>
      <c r="B119" s="0" t="n">
        <v>4229.412603121754</v>
      </c>
    </row>
    <row r="120">
      <c r="A120" s="0" t="n">
        <v>396</v>
      </c>
      <c r="B120" s="0" t="n">
        <v>4231.037584928431</v>
      </c>
    </row>
    <row r="121">
      <c r="A121" s="0" t="n">
        <v>397</v>
      </c>
      <c r="B121" s="0" t="n">
        <v>4232.689490940028</v>
      </c>
    </row>
    <row r="122">
      <c r="A122" s="0" t="n">
        <v>398</v>
      </c>
      <c r="B122" s="0" t="n">
        <v>4234.368604490267</v>
      </c>
    </row>
    <row r="123">
      <c r="A123" s="0" t="n">
        <v>399</v>
      </c>
      <c r="B123" s="0" t="n">
        <v>4236.075210479368</v>
      </c>
    </row>
    <row r="124">
      <c r="A124" s="0" t="n">
        <v>400</v>
      </c>
      <c r="B124" s="0" t="n">
        <v>4237.809595504722</v>
      </c>
    </row>
    <row r="125">
      <c r="A125" s="0" t="n">
        <v>401</v>
      </c>
      <c r="B125" s="0" t="n">
        <v>4239.572047993423</v>
      </c>
    </row>
    <row r="126">
      <c r="A126" s="0" t="n">
        <v>402</v>
      </c>
      <c r="B126" s="0" t="n">
        <v>4241.362858338798</v>
      </c>
    </row>
    <row r="127">
      <c r="A127" s="0" t="n">
        <v>403</v>
      </c>
      <c r="B127" s="0" t="n">
        <v>4243.182319039667</v>
      </c>
    </row>
    <row r="128">
      <c r="A128" s="0" t="n">
        <v>404</v>
      </c>
      <c r="B128" s="0" t="n">
        <v>4245.030724842244</v>
      </c>
    </row>
    <row r="129">
      <c r="A129" s="0" t="n">
        <v>405</v>
      </c>
      <c r="B129" s="0" t="n">
        <v>4246.908372884353</v>
      </c>
    </row>
    <row r="130">
      <c r="A130" s="0" t="n">
        <v>406</v>
      </c>
      <c r="B130" s="0" t="n">
        <v>4248.815562844143</v>
      </c>
    </row>
    <row r="131">
      <c r="A131" s="0" t="n">
        <v>407</v>
      </c>
      <c r="B131" s="0" t="n">
        <v>4250.752597089574</v>
      </c>
    </row>
    <row r="132">
      <c r="A132" s="0" t="n">
        <v>408</v>
      </c>
      <c r="B132" s="0" t="n">
        <v>4252.719780831695</v>
      </c>
    </row>
    <row r="133">
      <c r="A133" s="0" t="n">
        <v>409</v>
      </c>
      <c r="B133" s="0" t="n">
        <v>4254.717422280639</v>
      </c>
    </row>
    <row r="134">
      <c r="A134" s="0" t="n">
        <v>410</v>
      </c>
      <c r="B134" s="0" t="n">
        <v>4256.745832804003</v>
      </c>
    </row>
    <row r="135">
      <c r="A135" s="0" t="n">
        <v>411</v>
      </c>
      <c r="B135" s="0" t="n">
        <v>4258.805327088183</v>
      </c>
    </row>
    <row r="136">
      <c r="A136" s="0" t="n">
        <v>412</v>
      </c>
      <c r="B136" s="0" t="n">
        <v>4260.89622330262</v>
      </c>
    </row>
    <row r="137">
      <c r="A137" s="0" t="n">
        <v>413</v>
      </c>
      <c r="B137" s="0" t="n">
        <v>4263.018843266659</v>
      </c>
    </row>
    <row r="138">
      <c r="A138" s="0" t="n">
        <v>414</v>
      </c>
      <c r="B138" s="0" t="n">
        <v>4265.173512619116</v>
      </c>
    </row>
    <row r="139">
      <c r="A139" s="0" t="n">
        <v>415</v>
      </c>
      <c r="B139" s="0" t="n">
        <v>4267.360560991276</v>
      </c>
    </row>
    <row r="140">
      <c r="A140" s="0" t="n">
        <v>416</v>
      </c>
      <c r="B140" s="0" t="n">
        <v>4269.580322182194</v>
      </c>
    </row>
    <row r="141">
      <c r="A141" s="0" t="n">
        <v>417</v>
      </c>
      <c r="B141" s="0" t="n">
        <v>4271.833134337563</v>
      </c>
    </row>
    <row r="142">
      <c r="A142" s="0" t="n">
        <v>418</v>
      </c>
      <c r="B142" s="0" t="n">
        <v>4274.11934013154</v>
      </c>
    </row>
    <row r="143">
      <c r="A143" s="0" t="n">
        <v>419</v>
      </c>
      <c r="B143" s="0" t="n">
        <v>4276.439286951437</v>
      </c>
    </row>
    <row r="144">
      <c r="A144" s="0" t="n">
        <v>420</v>
      </c>
      <c r="B144" s="0" t="n">
        <v>4278.793327086234</v>
      </c>
    </row>
    <row r="145">
      <c r="A145" s="0" t="n">
        <v>421</v>
      </c>
      <c r="B145" s="0" t="n">
        <v>4281.181817918243</v>
      </c>
    </row>
    <row r="146">
      <c r="A146" s="0" t="n">
        <v>422</v>
      </c>
      <c r="B146" s="0" t="n">
        <v>4283.60512211789</v>
      </c>
    </row>
    <row r="147">
      <c r="A147" s="0" t="n">
        <v>423</v>
      </c>
      <c r="B147" s="0" t="n">
        <v>4286.063607843005</v>
      </c>
    </row>
    <row r="148">
      <c r="A148" s="0" t="n">
        <v>424</v>
      </c>
      <c r="B148" s="0" t="n">
        <v>4288.557648940965</v>
      </c>
    </row>
    <row r="149">
      <c r="A149" s="0" t="n">
        <v>425</v>
      </c>
      <c r="B149" s="0" t="n">
        <v>4291.087625155251</v>
      </c>
    </row>
    <row r="150">
      <c r="A150" s="0" t="n">
        <v>426</v>
      </c>
      <c r="B150" s="0" t="n">
        <v>4293.653922335969</v>
      </c>
    </row>
    <row r="151">
      <c r="A151" s="0" t="n">
        <v>427</v>
      </c>
      <c r="B151" s="0" t="n">
        <v>4296.256932654354</v>
      </c>
    </row>
    <row r="152">
      <c r="A152" s="0" t="n">
        <v>428</v>
      </c>
      <c r="B152" s="0" t="n">
        <v>4298.897054821885</v>
      </c>
    </row>
    <row r="153">
      <c r="A153" s="0" t="n">
        <v>429</v>
      </c>
      <c r="B153" s="0" t="n">
        <v>4301.574694313849</v>
      </c>
    </row>
    <row r="154">
      <c r="A154" s="0" t="n">
        <v>430</v>
      </c>
      <c r="B154" s="0" t="n">
        <v>4304.290263597626</v>
      </c>
    </row>
    <row r="155">
      <c r="A155" s="0" t="n">
        <v>431</v>
      </c>
      <c r="B155" s="0" t="n">
        <v>4307.044182365627</v>
      </c>
    </row>
    <row r="156">
      <c r="A156" s="0" t="n">
        <v>432</v>
      </c>
      <c r="B156" s="0" t="n">
        <v>4309.836877774054</v>
      </c>
    </row>
    <row r="157">
      <c r="A157" s="0" t="n">
        <v>433</v>
      </c>
      <c r="B157" s="0" t="n">
        <v>4312.668784686173</v>
      </c>
    </row>
    <row r="158">
      <c r="A158" s="0" t="n">
        <v>434</v>
      </c>
      <c r="B158" s="0" t="n">
        <v>4315.540345921781</v>
      </c>
    </row>
    <row r="159">
      <c r="A159" s="0" t="n">
        <v>435</v>
      </c>
      <c r="B159" s="0" t="n">
        <v>4318.452012512046</v>
      </c>
    </row>
    <row r="160">
      <c r="A160" s="0" t="n">
        <v>436</v>
      </c>
      <c r="B160" s="0" t="n">
        <v>4321.404243960639</v>
      </c>
    </row>
    <row r="161">
      <c r="A161" s="0" t="n">
        <v>437</v>
      </c>
      <c r="B161" s="0" t="n">
        <v>4324.397508511292</v>
      </c>
    </row>
    <row r="162">
      <c r="A162" s="0" t="n">
        <v>438</v>
      </c>
      <c r="B162" s="0" t="n">
        <v>4327.432283421556</v>
      </c>
    </row>
    <row r="163">
      <c r="A163" s="0" t="n">
        <v>439</v>
      </c>
      <c r="B163" s="0" t="n">
        <v>4330.509055243713</v>
      </c>
    </row>
    <row r="164">
      <c r="A164" s="0" t="n">
        <v>440</v>
      </c>
      <c r="B164" s="0" t="n">
        <v>4333.628320113007</v>
      </c>
    </row>
    <row r="165">
      <c r="A165" s="0" t="n">
        <v>441</v>
      </c>
      <c r="B165" s="0" t="n">
        <v>4336.790584042923</v>
      </c>
    </row>
    <row r="166">
      <c r="A166" s="0" t="n">
        <v>442</v>
      </c>
      <c r="B166" s="0" t="n">
        <v>4339.996363228647</v>
      </c>
    </row>
    <row r="167">
      <c r="A167" s="0" t="n">
        <v>443</v>
      </c>
      <c r="B167" s="0" t="n">
        <v>4343.24618435882</v>
      </c>
    </row>
    <row r="168">
      <c r="A168" s="0" t="n">
        <v>444</v>
      </c>
      <c r="B168" s="0" t="n">
        <v>4346.540584935126</v>
      </c>
    </row>
    <row r="169">
      <c r="A169" s="0" t="n">
        <v>445</v>
      </c>
      <c r="B169" s="0" t="n">
        <v>4349.880113601772</v>
      </c>
    </row>
    <row r="170">
      <c r="A170" s="0" t="n">
        <v>446</v>
      </c>
      <c r="B170" s="0" t="n">
        <v>4353.265330483381</v>
      </c>
    </row>
    <row r="171">
      <c r="A171" s="0" t="n">
        <v>447</v>
      </c>
      <c r="B171" s="0" t="n">
        <v>4356.696807533198</v>
      </c>
    </row>
    <row r="172">
      <c r="A172" s="0" t="n">
        <v>448</v>
      </c>
      <c r="B172" s="0" t="n">
        <v>4360.175128891167</v>
      </c>
    </row>
    <row r="173">
      <c r="A173" s="0" t="n">
        <v>449</v>
      </c>
      <c r="B173" s="0" t="n">
        <v>4363.700891252654</v>
      </c>
    </row>
    <row r="174">
      <c r="A174" s="0" t="n">
        <v>450</v>
      </c>
      <c r="B174" s="0" t="n">
        <v>4367.274704248337</v>
      </c>
    </row>
    <row r="175">
      <c r="A175" s="0" t="n">
        <v>451</v>
      </c>
      <c r="B175" s="0" t="n">
        <v>4370.897190835416</v>
      </c>
    </row>
    <row r="176">
      <c r="A176" s="0" t="n">
        <v>452</v>
      </c>
      <c r="B176" s="0" t="n">
        <v>4374.568987701393</v>
      </c>
    </row>
    <row r="177">
      <c r="A177" s="0" t="n">
        <v>453</v>
      </c>
      <c r="B177" s="0" t="n">
        <v>4378.290745679898</v>
      </c>
    </row>
    <row r="178">
      <c r="A178" s="0" t="n">
        <v>454</v>
      </c>
      <c r="B178" s="0" t="n">
        <v>4382.063130180253</v>
      </c>
    </row>
    <row r="179">
      <c r="A179" s="0" t="n">
        <v>455</v>
      </c>
      <c r="B179" s="0" t="n">
        <v>4385.886821630395</v>
      </c>
    </row>
    <row r="180">
      <c r="A180" s="0" t="n">
        <v>456</v>
      </c>
      <c r="B180" s="0" t="n">
        <v>4389.7625159346</v>
      </c>
    </row>
    <row r="181">
      <c r="A181" s="0" t="n">
        <v>457</v>
      </c>
      <c r="B181" s="0" t="n">
        <v>4393.690924946075</v>
      </c>
    </row>
    <row r="182">
      <c r="A182" s="0" t="n">
        <v>458</v>
      </c>
      <c r="B182" s="0" t="n">
        <v>4397.672776955351</v>
      </c>
    </row>
    <row r="183">
      <c r="A183" s="0" t="n">
        <v>459</v>
      </c>
      <c r="B183" s="0" t="n">
        <v>4401.708817195197</v>
      </c>
    </row>
    <row r="184">
      <c r="A184" s="0" t="n">
        <v>460</v>
      </c>
      <c r="B184" s="0" t="n">
        <v>4405.799808362754</v>
      </c>
    </row>
    <row r="185">
      <c r="A185" s="0" t="n">
        <v>461</v>
      </c>
      <c r="B185" s="0" t="n">
        <v>4409.946531159799</v>
      </c>
    </row>
    <row r="186">
      <c r="A186" s="0" t="n">
        <v>462</v>
      </c>
      <c r="B186" s="0" t="n">
        <v>4414.149784851953</v>
      </c>
    </row>
    <row r="187">
      <c r="A187" s="0" t="n">
        <v>463</v>
      </c>
      <c r="B187" s="0" t="n">
        <v>4418.410387847211</v>
      </c>
    </row>
    <row r="188">
      <c r="A188" s="0" t="n">
        <v>464</v>
      </c>
      <c r="B188" s="0" t="n">
        <v>4422.7291782957</v>
      </c>
    </row>
    <row r="189">
      <c r="A189" s="0" t="n">
        <v>465</v>
      </c>
      <c r="B189" s="0" t="n">
        <v>4427.107014710836</v>
      </c>
    </row>
    <row r="190">
      <c r="A190" s="0" t="n">
        <v>466</v>
      </c>
      <c r="B190" s="0" t="n">
        <v>4431.54477661302</v>
      </c>
    </row>
    <row r="191">
      <c r="A191" s="0" t="n">
        <v>467</v>
      </c>
      <c r="B191" s="0" t="n">
        <v>4436.043365197243</v>
      </c>
    </row>
    <row r="192">
      <c r="A192" s="0" t="n">
        <v>468</v>
      </c>
      <c r="B192" s="0" t="n">
        <v>4440.603704025507</v>
      </c>
    </row>
    <row r="193">
      <c r="A193" s="0" t="n">
        <v>469</v>
      </c>
      <c r="B193" s="0" t="n">
        <v>4445.226739745221</v>
      </c>
    </row>
    <row r="194">
      <c r="A194" s="0" t="n">
        <v>470</v>
      </c>
      <c r="B194" s="0" t="n">
        <v>4449.913442835061</v>
      </c>
    </row>
    <row r="195">
      <c r="A195" s="0" t="n">
        <v>471</v>
      </c>
      <c r="B195" s="0" t="n">
        <v>4454.664808378944</v>
      </c>
    </row>
    <row r="196">
      <c r="A196" s="0" t="n">
        <v>472</v>
      </c>
      <c r="B196" s="0" t="n">
        <v>4459.481856870565</v>
      </c>
    </row>
    <row r="197">
      <c r="A197" s="0" t="n">
        <v>473</v>
      </c>
      <c r="B197" s="0" t="n">
        <v>4464.365635049125</v>
      </c>
    </row>
    <row r="198">
      <c r="A198" s="0" t="n">
        <v>474</v>
      </c>
      <c r="B198" s="0" t="n">
        <v>4469.317216767803</v>
      </c>
    </row>
    <row r="199">
      <c r="A199" s="0" t="n">
        <v>475</v>
      </c>
      <c r="B199" s="0" t="n">
        <v>4474.337703897263</v>
      </c>
    </row>
    <row r="200">
      <c r="A200" s="0" t="n">
        <v>476</v>
      </c>
      <c r="B200" s="0" t="n">
        <v>4479.428227264988</v>
      </c>
    </row>
    <row r="201">
      <c r="A201" s="0" t="n">
        <v>477</v>
      </c>
      <c r="B201" s="0" t="n">
        <v>4484.589947632981</v>
      </c>
    </row>
    <row r="202">
      <c r="A202" s="0" t="n">
        <v>478</v>
      </c>
      <c r="B202" s="0" t="n">
        <v>4489.824056715601</v>
      </c>
    </row>
    <row r="203">
      <c r="A203" s="0" t="n">
        <v>479</v>
      </c>
      <c r="B203" s="0" t="n">
        <v>4495.131778238959</v>
      </c>
    </row>
    <row r="204">
      <c r="A204" s="0" t="n">
        <v>480</v>
      </c>
      <c r="B204" s="0" t="n">
        <v>4500.514369044933</v>
      </c>
    </row>
    <row r="205">
      <c r="A205" s="0" t="n">
        <v>481</v>
      </c>
      <c r="B205" s="0" t="n">
        <v>4505.973120241311</v>
      </c>
    </row>
    <row r="206">
      <c r="A206" s="0" t="n">
        <v>482</v>
      </c>
      <c r="B206" s="0" t="n">
        <v>4511.509358400755</v>
      </c>
    </row>
    <row r="207">
      <c r="A207" s="0" t="n">
        <v>483</v>
      </c>
      <c r="B207" s="0" t="n">
        <v>4517.124446811104</v>
      </c>
    </row>
    <row r="208">
      <c r="A208" s="0" t="n">
        <v>484</v>
      </c>
      <c r="B208" s="0" t="n">
        <v>4522.819786779565</v>
      </c>
    </row>
    <row r="209">
      <c r="A209" s="0" t="n">
        <v>485</v>
      </c>
      <c r="B209" s="0" t="n">
        <v>4528.59681899383</v>
      </c>
    </row>
    <row r="210">
      <c r="A210" s="0" t="n">
        <v>486</v>
      </c>
      <c r="B210" s="0" t="n">
        <v>4534.457024942677</v>
      </c>
    </row>
    <row r="211">
      <c r="A211" s="0" t="n">
        <v>487</v>
      </c>
      <c r="B211" s="0" t="n">
        <v>4540.401928399803</v>
      </c>
    </row>
    <row r="212">
      <c r="A212" s="0" t="n">
        <v>488</v>
      </c>
      <c r="B212" s="0" t="n">
        <v>4546.433096973976</v>
      </c>
    </row>
    <row r="213">
      <c r="A213" s="0" t="n">
        <v>489</v>
      </c>
      <c r="B213" s="0" t="n">
        <v>4552.552143728679</v>
      </c>
    </row>
    <row r="214">
      <c r="A214" s="0" t="n">
        <v>490</v>
      </c>
      <c r="B214" s="0" t="n">
        <v>4558.760728875992</v>
      </c>
    </row>
    <row r="215">
      <c r="A215" s="0" t="n">
        <v>491</v>
      </c>
      <c r="B215" s="0" t="n">
        <v>4565.060561547644</v>
      </c>
    </row>
    <row r="216">
      <c r="A216" s="0" t="n">
        <v>492</v>
      </c>
      <c r="B216" s="0" t="n">
        <v>4571.453401648462</v>
      </c>
    </row>
    <row r="217">
      <c r="A217" s="0" t="n">
        <v>493</v>
      </c>
      <c r="B217" s="0" t="n">
        <v>4577.941061796108</v>
      </c>
    </row>
    <row r="218">
      <c r="A218" s="0" t="n">
        <v>494</v>
      </c>
      <c r="B218" s="0" t="n">
        <v>4584.525409352088</v>
      </c>
    </row>
    <row r="219">
      <c r="A219" s="0" t="n">
        <v>495</v>
      </c>
      <c r="B219" s="0" t="n">
        <v>4591.208368549799</v>
      </c>
    </row>
    <row r="220">
      <c r="A220" s="0" t="n">
        <v>496</v>
      </c>
      <c r="B220" s="0" t="n">
        <v>4597.991922723882</v>
      </c>
    </row>
    <row r="221">
      <c r="A221" s="0" t="n">
        <v>497</v>
      </c>
      <c r="B221" s="0" t="n">
        <v>4604.878116647968</v>
      </c>
    </row>
    <row r="222">
      <c r="A222" s="0" t="n">
        <v>498</v>
      </c>
      <c r="B222" s="0" t="n">
        <v>4611.86905898621</v>
      </c>
    </row>
    <row r="223">
      <c r="A223" s="0" t="n">
        <v>499</v>
      </c>
      <c r="B223" s="0" t="n">
        <v>4618.966924865732</v>
      </c>
    </row>
    <row r="224">
      <c r="A224" s="0" t="n">
        <v>500</v>
      </c>
      <c r="B224" s="0" t="n">
        <v>4626.173958576821</v>
      </c>
    </row>
    <row r="225">
      <c r="A225" s="0" t="n">
        <v>501</v>
      </c>
      <c r="B225" s="0" t="n">
        <v>4633.492476408501</v>
      </c>
    </row>
    <row r="226">
      <c r="A226" s="0" t="n">
        <v>502</v>
      </c>
      <c r="B226" s="0" t="n">
        <v>4640.924869627616</v>
      </c>
    </row>
    <row r="227">
      <c r="A227" s="0" t="n">
        <v>503</v>
      </c>
      <c r="B227" s="0" t="n">
        <v>4648.473607610085</v>
      </c>
    </row>
    <row r="228">
      <c r="A228" s="0" t="n">
        <v>504</v>
      </c>
      <c r="B228" s="0" t="n">
        <v>4656.141241133546</v>
      </c>
    </row>
    <row r="229">
      <c r="A229" s="0" t="n">
        <v>505</v>
      </c>
      <c r="B229" s="0" t="n">
        <v>4663.93040584142</v>
      </c>
    </row>
    <row r="230">
      <c r="A230" s="0" t="n">
        <v>506</v>
      </c>
      <c r="B230" s="0" t="n">
        <v>4671.843825888735</v>
      </c>
    </row>
    <row r="231">
      <c r="A231" s="0" t="n">
        <v>507</v>
      </c>
      <c r="B231" s="0" t="n">
        <v>4679.884317781211</v>
      </c>
    </row>
    <row r="232">
      <c r="A232" s="0" t="n">
        <v>508</v>
      </c>
      <c r="B232" s="0" t="n">
        <v>4688.054794420249</v>
      </c>
    </row>
    <row r="233">
      <c r="A233" s="0" t="n">
        <v>509</v>
      </c>
      <c r="B233" s="0" t="n">
        <v>4696.358269365939</v>
      </c>
    </row>
    <row r="234">
      <c r="A234" s="0" t="n">
        <v>510</v>
      </c>
      <c r="B234" s="0" t="n">
        <v>4704.797861333258</v>
      </c>
    </row>
    <row r="235">
      <c r="A235" s="0" t="n">
        <v>511</v>
      </c>
      <c r="B235" s="0" t="n">
        <v>4713.37679893558</v>
      </c>
    </row>
    <row r="236">
      <c r="A236" s="0" t="n">
        <v>512</v>
      </c>
      <c r="B236" s="0" t="n">
        <v>4722.098425692543</v>
      </c>
    </row>
    <row r="237">
      <c r="A237" s="0" t="n">
        <v>513</v>
      </c>
      <c r="B237" s="0" t="n">
        <v>4730.966205319194</v>
      </c>
    </row>
    <row r="238">
      <c r="A238" s="0" t="n">
        <v>514</v>
      </c>
      <c r="B238" s="0" t="n">
        <v>4739.983727315546</v>
      </c>
    </row>
    <row r="239">
      <c r="A239" s="0" t="n">
        <v>515</v>
      </c>
      <c r="B239" s="0" t="n">
        <v>4749.154712876553</v>
      </c>
    </row>
    <row r="240">
      <c r="A240" s="0" t="n">
        <v>516</v>
      </c>
      <c r="B240" s="0" t="n">
        <v>4758.483021145171</v>
      </c>
    </row>
    <row r="241">
      <c r="A241" s="0" t="n">
        <v>517</v>
      </c>
      <c r="B241" s="0" t="n">
        <v>4767.972655830536</v>
      </c>
    </row>
    <row r="242">
      <c r="A242" s="0" t="n">
        <v>518</v>
      </c>
      <c r="B242" s="0" t="n">
        <v>4777.627772218892</v>
      </c>
    </row>
    <row r="243">
      <c r="A243" s="0" t="n">
        <v>519</v>
      </c>
      <c r="B243" s="0" t="n">
        <v>4787.452684602873</v>
      </c>
    </row>
    <row r="244">
      <c r="A244" s="0" t="n">
        <v>520</v>
      </c>
      <c r="B244" s="0" t="n">
        <v>4797.451874160299</v>
      </c>
    </row>
    <row r="245">
      <c r="A245" s="0" t="n">
        <v>521</v>
      </c>
      <c r="B245" s="0" t="n">
        <v>4807.629997314408</v>
      </c>
    </row>
    <row r="246">
      <c r="A246" s="0" t="n">
        <v>522</v>
      </c>
      <c r="B246" s="0" t="n">
        <v>4817.99189461039</v>
      </c>
    </row>
    <row r="247">
      <c r="A247" s="0" t="n">
        <v>523</v>
      </c>
      <c r="B247" s="0" t="n">
        <v>4828.542600146322</v>
      </c>
    </row>
    <row r="248">
      <c r="A248" s="0" t="n">
        <v>524</v>
      </c>
      <c r="B248" s="0" t="n">
        <v>4839.287351600147</v>
      </c>
    </row>
    <row r="249">
      <c r="A249" s="0" t="n">
        <v>525</v>
      </c>
      <c r="B249" s="0" t="n">
        <v>4850.231600896998</v>
      </c>
    </row>
    <row r="250">
      <c r="A250" s="0" t="n">
        <v>526</v>
      </c>
      <c r="B250" s="0" t="n">
        <v>4861.381025565939</v>
      </c>
    </row>
    <row r="251">
      <c r="A251" s="0" t="n">
        <v>527</v>
      </c>
      <c r="B251" s="0" t="n">
        <v>4872.741540839599</v>
      </c>
    </row>
    <row r="252">
      <c r="A252" s="0" t="n">
        <v>528</v>
      </c>
      <c r="B252" s="0" t="n">
        <v>4884.319312553872</v>
      </c>
    </row>
    <row r="253">
      <c r="A253" s="0" t="n">
        <v>529</v>
      </c>
      <c r="B253" s="0" t="n">
        <v>4896.120770911505</v>
      </c>
    </row>
    <row r="254">
      <c r="A254" s="0" t="n">
        <v>530</v>
      </c>
      <c r="B254" s="0" t="n">
        <v>4908.152625178504</v>
      </c>
    </row>
    <row r="255">
      <c r="A255" s="0" t="n">
        <v>531</v>
      </c>
      <c r="B255" s="0" t="n">
        <v>4920.421879388758</v>
      </c>
    </row>
    <row r="256">
      <c r="A256" s="0" t="n">
        <v>532</v>
      </c>
      <c r="B256" s="0" t="n">
        <v>4932.935849139258</v>
      </c>
    </row>
    <row r="257">
      <c r="A257" s="0" t="n">
        <v>533</v>
      </c>
      <c r="B257" s="0" t="n">
        <v>4945.702179567293</v>
      </c>
    </row>
    <row r="258">
      <c r="A258" s="0" t="n">
        <v>534</v>
      </c>
      <c r="B258" s="0" t="n">
        <v>4958.728864608089</v>
      </c>
    </row>
    <row r="259">
      <c r="A259" s="0" t="n">
        <v>535</v>
      </c>
      <c r="B259" s="0" t="n">
        <v>4972.024267642364</v>
      </c>
    </row>
    <row r="260">
      <c r="A260" s="0" t="n">
        <v>536</v>
      </c>
      <c r="B260" s="0" t="n">
        <v>4985.597143654268</v>
      </c>
    </row>
    <row r="261">
      <c r="A261" s="0" t="n">
        <v>537</v>
      </c>
      <c r="B261" s="0" t="n">
        <v>4999.456663031264</v>
      </c>
    </row>
    <row r="262">
      <c r="A262" s="0" t="n">
        <v>538</v>
      </c>
      <c r="B262" s="0" t="n">
        <v>5013.612437151951</v>
      </c>
    </row>
    <row r="263">
      <c r="A263" s="0" t="n">
        <v>539</v>
      </c>
      <c r="B263" s="0" t="n">
        <v>5028.074545923308</v>
      </c>
    </row>
    <row r="264">
      <c r="A264" s="0" t="n">
        <v>540</v>
      </c>
      <c r="B264" s="0" t="n">
        <v>5042.853567444225</v>
      </c>
    </row>
    <row r="265">
      <c r="A265" s="0" t="n">
        <v>541</v>
      </c>
      <c r="B265" s="0" t="n">
        <v>5057.96060999316</v>
      </c>
    </row>
    <row r="266">
      <c r="A266" s="0" t="n">
        <v>542</v>
      </c>
      <c r="B266" s="0" t="n">
        <v>5073.407346558351</v>
      </c>
    </row>
    <row r="267">
      <c r="A267" s="0" t="n">
        <v>543</v>
      </c>
      <c r="B267" s="0" t="n">
        <v>5089.206052152757</v>
      </c>
    </row>
    <row r="268">
      <c r="A268" s="0" t="n">
        <v>544</v>
      </c>
      <c r="B268" s="0" t="n">
        <v>5105.369644183529</v>
      </c>
    </row>
    <row r="269">
      <c r="A269" s="0" t="n">
        <v>545</v>
      </c>
      <c r="B269" s="0" t="n">
        <v>5121.911726176964</v>
      </c>
    </row>
    <row r="270">
      <c r="A270" s="0" t="n">
        <v>546</v>
      </c>
      <c r="B270" s="0" t="n">
        <v>5138.846635193438</v>
      </c>
    </row>
    <row r="271">
      <c r="A271" s="0" t="n">
        <v>547</v>
      </c>
      <c r="B271" s="0" t="n">
        <v>5156.189493308042</v>
      </c>
    </row>
    <row r="272">
      <c r="A272" s="0" t="n">
        <v>548</v>
      </c>
      <c r="B272" s="0" t="n">
        <v>5173.956263575255</v>
      </c>
    </row>
    <row r="273">
      <c r="A273" s="0" t="n">
        <v>549</v>
      </c>
      <c r="B273" s="0" t="n">
        <v>5192.163810948873</v>
      </c>
    </row>
    <row r="274">
      <c r="A274" s="0" t="n">
        <v>550</v>
      </c>
      <c r="B274" s="0" t="n">
        <v>5210.829968685776</v>
      </c>
    </row>
    <row r="275">
      <c r="A275" s="0" t="n">
        <v>551</v>
      </c>
      <c r="B275" s="0" t="n">
        <v>5229.973610828641</v>
      </c>
    </row>
    <row r="276">
      <c r="A276" s="0" t="n">
        <v>552</v>
      </c>
      <c r="B276" s="0" t="n">
        <v>5249.614731438757</v>
      </c>
    </row>
    <row r="277">
      <c r="A277" s="0" t="n">
        <v>553</v>
      </c>
      <c r="B277" s="0" t="n">
        <v>5269.774531338201</v>
      </c>
    </row>
    <row r="278">
      <c r="A278" s="0" t="n">
        <v>554</v>
      </c>
      <c r="B278" s="0" t="n">
        <v>5290.475513220993</v>
      </c>
    </row>
    <row r="279">
      <c r="A279" s="0" t="n">
        <v>555</v>
      </c>
      <c r="B279" s="0" t="n">
        <v>5311.741586109574</v>
      </c>
    </row>
    <row r="280">
      <c r="A280" s="0" t="n">
        <v>556</v>
      </c>
      <c r="B280" s="0" t="n">
        <v>5333.598180266858</v>
      </c>
    </row>
    <row r="281">
      <c r="A281" s="0" t="n">
        <v>557</v>
      </c>
      <c r="B281" s="0" t="n">
        <v>5356.072373831504</v>
      </c>
    </row>
    <row r="282">
      <c r="A282" s="0" t="n">
        <v>558</v>
      </c>
      <c r="B282" s="0" t="n">
        <v>5379.193032624369</v>
      </c>
    </row>
    <row r="283">
      <c r="A283" s="0" t="n">
        <v>559</v>
      </c>
      <c r="B283" s="0" t="n">
        <v>5354.114003500809</v>
      </c>
    </row>
    <row r="284">
      <c r="A284" s="0" t="n">
        <v>560</v>
      </c>
      <c r="B284" s="0" t="n">
        <v>5242.127123257707</v>
      </c>
    </row>
    <row r="285">
      <c r="A285" s="0" t="n">
        <v>561</v>
      </c>
      <c r="B285" s="0" t="n">
        <v>5138.512602165213</v>
      </c>
    </row>
    <row r="286">
      <c r="A286" s="0" t="n">
        <v>562</v>
      </c>
      <c r="B286" s="0" t="n">
        <v>5042.282951224406</v>
      </c>
    </row>
    <row r="287">
      <c r="A287" s="0" t="n">
        <v>563</v>
      </c>
      <c r="B287" s="0" t="n">
        <v>4952.598873584444</v>
      </c>
    </row>
    <row r="288">
      <c r="A288" s="0" t="n">
        <v>564</v>
      </c>
      <c r="B288" s="0" t="n">
        <v>4868.743262077764</v>
      </c>
    </row>
    <row r="289">
      <c r="A289" s="0" t="n">
        <v>565</v>
      </c>
      <c r="B289" s="0" t="n">
        <v>4790.100384758843</v>
      </c>
    </row>
    <row r="290">
      <c r="A290" s="0" t="n">
        <v>566</v>
      </c>
      <c r="B290" s="0" t="n">
        <v>4716.139096101804</v>
      </c>
    </row>
    <row r="291">
      <c r="A291" s="0" t="n">
        <v>567</v>
      </c>
      <c r="B291" s="0" t="n">
        <v>4646.399200793418</v>
      </c>
    </row>
    <row r="292">
      <c r="A292" s="0" t="n">
        <v>568</v>
      </c>
      <c r="B292" s="0" t="n">
        <v>4580.480307299298</v>
      </c>
    </row>
    <row r="293">
      <c r="A293" s="0" t="n">
        <v>569</v>
      </c>
      <c r="B293" s="0" t="n">
        <v>4518.032663012018</v>
      </c>
    </row>
    <row r="294">
      <c r="A294" s="0" t="n">
        <v>570</v>
      </c>
      <c r="B294" s="0" t="n">
        <v>4458.749577786733</v>
      </c>
    </row>
    <row r="295">
      <c r="A295" s="0" t="n">
        <v>571</v>
      </c>
      <c r="B295" s="0" t="n">
        <v>4402.361129073665</v>
      </c>
    </row>
    <row r="296">
      <c r="A296" s="0" t="n">
        <v>572</v>
      </c>
      <c r="B296" s="0" t="n">
        <v>4348.628907403349</v>
      </c>
    </row>
    <row r="297">
      <c r="A297" s="0" t="n">
        <v>573</v>
      </c>
      <c r="B297" s="0" t="n">
        <v>4297.341611147006</v>
      </c>
    </row>
    <row r="298">
      <c r="A298" s="0" t="n">
        <v>574</v>
      </c>
      <c r="B298" s="0" t="n">
        <v>4248.31133819218</v>
      </c>
    </row>
    <row r="299">
      <c r="A299" s="0" t="n">
        <v>575</v>
      </c>
      <c r="B299" s="0" t="n">
        <v>4201.370452286921</v>
      </c>
    </row>
    <row r="300">
      <c r="A300" s="0" t="n">
        <v>576</v>
      </c>
      <c r="B300" s="0" t="n">
        <v>4156.368925396821</v>
      </c>
    </row>
    <row r="301">
      <c r="A301" s="0" t="n">
        <v>577</v>
      </c>
      <c r="B301" s="0" t="n">
        <v>4113.172076027136</v>
      </c>
    </row>
    <row r="302">
      <c r="A302" s="0" t="n">
        <v>578</v>
      </c>
      <c r="B302" s="0" t="n">
        <v>4071.658638231416</v>
      </c>
    </row>
    <row r="303">
      <c r="A303" s="0" t="n">
        <v>579</v>
      </c>
      <c r="B303" s="0" t="n">
        <v>4031.719107821497</v>
      </c>
    </row>
    <row r="304">
      <c r="A304" s="0" t="n">
        <v>580</v>
      </c>
      <c r="B304" s="0" t="n">
        <v>3993.254309077939</v>
      </c>
    </row>
    <row r="305">
      <c r="A305" s="0" t="n">
        <v>581</v>
      </c>
      <c r="B305" s="0" t="n">
        <v>3956.174224255479</v>
      </c>
    </row>
    <row r="306">
      <c r="A306" s="0" t="n">
        <v>582</v>
      </c>
      <c r="B306" s="0" t="n">
        <v>3920.396852088755</v>
      </c>
    </row>
    <row r="307">
      <c r="A307" s="0" t="n">
        <v>583</v>
      </c>
      <c r="B307" s="0" t="n">
        <v>3885.847351758895</v>
      </c>
    </row>
    <row r="308">
      <c r="A308" s="0" t="n">
        <v>584</v>
      </c>
      <c r="B308" s="0" t="n">
        <v>3852.45723182608</v>
      </c>
    </row>
    <row r="309">
      <c r="A309" s="0" t="n">
        <v>585</v>
      </c>
      <c r="B309" s="0" t="n">
        <v>3820.163658013927</v>
      </c>
    </row>
    <row r="310">
      <c r="A310" s="0" t="n">
        <v>586</v>
      </c>
      <c r="B310" s="0" t="n">
        <v>3788.908849110862</v>
      </c>
    </row>
    <row r="311">
      <c r="A311" s="0" t="n">
        <v>587</v>
      </c>
      <c r="B311" s="0" t="n">
        <v>3758.63954850947</v>
      </c>
    </row>
    <row r="312">
      <c r="A312" s="0" t="n">
        <v>588</v>
      </c>
      <c r="B312" s="0" t="n">
        <v>3729.306560829843</v>
      </c>
    </row>
    <row r="313">
      <c r="A313" s="0" t="n">
        <v>589</v>
      </c>
      <c r="B313" s="0" t="n">
        <v>3700.864344677769</v>
      </c>
    </row>
    <row r="314">
      <c r="A314" s="0" t="n">
        <v>590</v>
      </c>
      <c r="B314" s="0" t="n">
        <v>3673.270653929297</v>
      </c>
    </row>
    <row r="315">
      <c r="A315" s="0" t="n">
        <v>591</v>
      </c>
      <c r="B315" s="0" t="n">
        <v>3646.486221057681</v>
      </c>
    </row>
    <row r="316">
      <c r="A316" s="0" t="n">
        <v>592</v>
      </c>
      <c r="B316" s="0" t="n">
        <v>3620.474476963815</v>
      </c>
    </row>
    <row r="317">
      <c r="A317" s="0" t="n">
        <v>593</v>
      </c>
      <c r="B317" s="0" t="n">
        <v>3595.201302567606</v>
      </c>
    </row>
    <row r="318">
      <c r="A318" s="0" t="n">
        <v>594</v>
      </c>
      <c r="B318" s="0" t="n">
        <v>3570.634808091248</v>
      </c>
    </row>
    <row r="319">
      <c r="A319" s="0" t="n">
        <v>595</v>
      </c>
      <c r="B319" s="0" t="n">
        <v>3546.745136535216</v>
      </c>
    </row>
    <row r="320">
      <c r="A320" s="0" t="n">
        <v>596</v>
      </c>
      <c r="B320" s="0" t="n">
        <v>3523.504288332067</v>
      </c>
    </row>
    <row r="321">
      <c r="A321" s="0" t="n">
        <v>597</v>
      </c>
      <c r="B321" s="0" t="n">
        <v>3500.885964575039</v>
      </c>
    </row>
    <row r="322">
      <c r="A322" s="0" t="n">
        <v>598</v>
      </c>
      <c r="B322" s="0" t="n">
        <v>3478.86542656973</v>
      </c>
    </row>
    <row r="323">
      <c r="A323" s="0" t="n">
        <v>599</v>
      </c>
      <c r="B323" s="0" t="n">
        <v>3457.419369757273</v>
      </c>
    </row>
    <row r="324">
      <c r="A324" s="0" t="n">
        <v>600</v>
      </c>
      <c r="B324" s="0" t="n">
        <v>3436.525810314559</v>
      </c>
    </row>
    <row r="325">
      <c r="A325" s="0" t="n">
        <v>601</v>
      </c>
      <c r="B325" s="0" t="n">
        <v>3416.163982957461</v>
      </c>
    </row>
    <row r="326">
      <c r="A326" s="0" t="n">
        <v>602</v>
      </c>
      <c r="B326" s="0" t="n">
        <v>3396.314248662576</v>
      </c>
    </row>
    <row r="327">
      <c r="A327" s="0" t="n">
        <v>603</v>
      </c>
      <c r="B327" s="0" t="n">
        <v>3376.958011186254</v>
      </c>
    </row>
    <row r="328">
      <c r="A328" s="0" t="n">
        <v>604</v>
      </c>
      <c r="B328" s="0" t="n">
        <v>3358.077641400391</v>
      </c>
    </row>
    <row r="329">
      <c r="A329" s="0" t="n">
        <v>605</v>
      </c>
      <c r="B329" s="0" t="n">
        <v>3339.656408586146</v>
      </c>
    </row>
    <row r="330">
      <c r="A330" s="0" t="n">
        <v>606</v>
      </c>
      <c r="B330" s="0" t="n">
        <v>3321.678417932079</v>
      </c>
    </row>
    <row r="331">
      <c r="A331" s="0" t="n">
        <v>607</v>
      </c>
      <c r="B331" s="0" t="n">
        <v>3304.128553574425</v>
      </c>
    </row>
    <row r="332">
      <c r="A332" s="0" t="n">
        <v>608</v>
      </c>
      <c r="B332" s="0" t="n">
        <v>3286.992426596584</v>
      </c>
    </row>
    <row r="333">
      <c r="A333" s="0" t="n">
        <v>609</v>
      </c>
      <c r="B333" s="0" t="n">
        <v>3270.256327473801</v>
      </c>
    </row>
    <row r="334">
      <c r="A334" s="0" t="n">
        <v>610</v>
      </c>
      <c r="B334" s="0" t="n">
        <v>3253.907182509164</v>
      </c>
    </row>
    <row r="335">
      <c r="A335" s="0" t="n">
        <v>611</v>
      </c>
      <c r="B335" s="0" t="n">
        <v>3237.932513859351</v>
      </c>
    </row>
    <row r="336">
      <c r="A336" s="0" t="n">
        <v>612</v>
      </c>
      <c r="B336" s="0" t="n">
        <v>3222.320402794533</v>
      </c>
    </row>
    <row r="337">
      <c r="A337" s="0" t="n">
        <v>613</v>
      </c>
      <c r="B337" s="0" t="n">
        <v>3207.059455876715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ws_CpHigh">
    <outlinePr summaryBelow="1" summaryRight="1"/>
    <pageSetUpPr/>
  </sheetPr>
  <dimension ref="A1:D337"/>
  <sheetViews>
    <sheetView workbookViewId="0">
      <pane ySplit="1" topLeftCell="A308" activePane="bottomLeft" state="frozen"/>
      <selection pane="bottomLeft" activeCell="F17" sqref="F17"/>
    </sheetView>
  </sheetViews>
  <sheetFormatPr baseColWidth="8" defaultRowHeight="13.5"/>
  <cols>
    <col width="12" customWidth="1" style="10" min="1" max="1"/>
    <col width="14" customWidth="1" style="10" min="2" max="2"/>
    <col width="18" customWidth="1" style="10" min="4" max="4"/>
    <col width="40" customWidth="1" style="10" min="5" max="5"/>
  </cols>
  <sheetData>
    <row r="1">
      <c r="A1" s="31" t="inlineStr">
        <is>
          <t>T_K</t>
        </is>
      </c>
      <c r="B1" s="31" t="inlineStr">
        <is>
          <t>cp</t>
        </is>
      </c>
      <c r="D1" s="32" t="inlineStr">
        <is>
          <t>使い方</t>
        </is>
      </c>
    </row>
    <row r="2">
      <c r="A2" s="0" t="n">
        <v>278</v>
      </c>
      <c r="B2" s="0" t="n">
        <v>4145.499025983334</v>
      </c>
      <c r="D2" s="0" t="inlineStr">
        <is>
          <t>1) CoolPropが使えるPCで再計算 2) A:Bをコピーして値貼り付け 3) CoolProp依存を外す</t>
        </is>
      </c>
    </row>
    <row r="3">
      <c r="A3" s="0" t="n">
        <v>279</v>
      </c>
      <c r="B3" s="0" t="n">
        <v>4144.691115891647</v>
      </c>
    </row>
    <row r="4">
      <c r="A4" s="0" t="n">
        <v>280</v>
      </c>
      <c r="B4" s="0" t="n">
        <v>4143.966248822986</v>
      </c>
    </row>
    <row r="5">
      <c r="A5" s="0" t="n">
        <v>281</v>
      </c>
      <c r="B5" s="0" t="n">
        <v>4143.318927928689</v>
      </c>
    </row>
    <row r="6">
      <c r="A6" s="0" t="n">
        <v>282</v>
      </c>
      <c r="B6" s="0" t="n">
        <v>4142.744079788421</v>
      </c>
    </row>
    <row r="7">
      <c r="A7" s="0" t="n">
        <v>283</v>
      </c>
      <c r="B7" s="0" t="n">
        <v>4142.237008648694</v>
      </c>
    </row>
    <row r="8">
      <c r="A8" s="0" t="n">
        <v>284</v>
      </c>
      <c r="B8" s="0" t="n">
        <v>4141.793357329969</v>
      </c>
    </row>
    <row r="9">
      <c r="A9" s="0" t="n">
        <v>285</v>
      </c>
      <c r="B9" s="0" t="n">
        <v>4141.409073730549</v>
      </c>
    </row>
    <row r="10">
      <c r="A10" s="0" t="n">
        <v>286</v>
      </c>
      <c r="B10" s="0" t="n">
        <v>4141.080382077559</v>
      </c>
    </row>
    <row r="11">
      <c r="A11" s="0" t="n">
        <v>287</v>
      </c>
      <c r="B11" s="0" t="n">
        <v>4140.80375813002</v>
      </c>
    </row>
    <row r="12">
      <c r="A12" s="0" t="n">
        <v>288</v>
      </c>
      <c r="B12" s="0" t="n">
        <v>4140.575907760838</v>
      </c>
    </row>
    <row r="13">
      <c r="A13" s="0" t="n">
        <v>289</v>
      </c>
      <c r="B13" s="0" t="n">
        <v>4140.393748323684</v>
      </c>
    </row>
    <row r="14">
      <c r="A14" s="0" t="n">
        <v>290</v>
      </c>
      <c r="B14" s="0" t="n">
        <v>4140.254392430316</v>
      </c>
    </row>
    <row r="15">
      <c r="A15" s="0" t="n">
        <v>291</v>
      </c>
      <c r="B15" s="0" t="n">
        <v>4140.155133717047</v>
      </c>
    </row>
    <row r="16">
      <c r="A16" s="0" t="n">
        <v>292</v>
      </c>
      <c r="B16" s="0" t="n">
        <v>4140.093434321502</v>
      </c>
    </row>
    <row r="17">
      <c r="A17" s="0" t="n">
        <v>293</v>
      </c>
      <c r="B17" s="0" t="n">
        <v>4140.066913765872</v>
      </c>
    </row>
    <row r="18">
      <c r="A18" s="0" t="n">
        <v>294</v>
      </c>
      <c r="B18" s="0" t="n">
        <v>4140.073339072591</v>
      </c>
    </row>
    <row r="19">
      <c r="A19" s="0" t="n">
        <v>295</v>
      </c>
      <c r="B19" s="0" t="n">
        <v>4140.110615908663</v>
      </c>
    </row>
    <row r="20">
      <c r="A20" s="0" t="n">
        <v>296</v>
      </c>
      <c r="B20" s="0" t="n">
        <v>4140.176780575032</v>
      </c>
    </row>
    <row r="21">
      <c r="A21" s="0" t="n">
        <v>297</v>
      </c>
      <c r="B21" s="0" t="n">
        <v>4140.269992769762</v>
      </c>
    </row>
    <row r="22">
      <c r="A22" s="0" t="n">
        <v>298</v>
      </c>
      <c r="B22" s="0" t="n">
        <v>4140.388528952717</v>
      </c>
    </row>
    <row r="23">
      <c r="A23" s="0" t="n">
        <v>299</v>
      </c>
      <c r="B23" s="0" t="n">
        <v>4140.53077627162</v>
      </c>
    </row>
    <row r="24">
      <c r="A24" s="0" t="n">
        <v>300</v>
      </c>
      <c r="B24" s="0" t="n">
        <v>4140.695226938242</v>
      </c>
    </row>
    <row r="25">
      <c r="A25" s="0" t="n">
        <v>301</v>
      </c>
      <c r="B25" s="0" t="n">
        <v>4140.880473010747</v>
      </c>
    </row>
    <row r="26">
      <c r="A26" s="0" t="n">
        <v>302</v>
      </c>
      <c r="B26" s="0" t="n">
        <v>4141.085201527671</v>
      </c>
    </row>
    <row r="27">
      <c r="A27" s="0" t="n">
        <v>303</v>
      </c>
      <c r="B27" s="0" t="n">
        <v>4141.308189922424</v>
      </c>
    </row>
    <row r="28">
      <c r="A28" s="0" t="n">
        <v>304</v>
      </c>
      <c r="B28" s="0" t="n">
        <v>4141.548301729581</v>
      </c>
    </row>
    <row r="29">
      <c r="A29" s="0" t="n">
        <v>305</v>
      </c>
      <c r="B29" s="0" t="n">
        <v>4141.804482503567</v>
      </c>
    </row>
    <row r="30">
      <c r="A30" s="0" t="n">
        <v>306</v>
      </c>
      <c r="B30" s="0" t="n">
        <v>4142.075755954213</v>
      </c>
    </row>
    <row r="31">
      <c r="A31" s="0" t="n">
        <v>307</v>
      </c>
      <c r="B31" s="0" t="n">
        <v>4142.36122026692</v>
      </c>
    </row>
    <row r="32">
      <c r="A32" s="0" t="n">
        <v>308</v>
      </c>
      <c r="B32" s="0" t="n">
        <v>4142.660044590619</v>
      </c>
    </row>
    <row r="33">
      <c r="A33" s="0" t="n">
        <v>309</v>
      </c>
      <c r="B33" s="0" t="n">
        <v>4142.971465679023</v>
      </c>
    </row>
    <row r="34">
      <c r="A34" s="0" t="n">
        <v>310</v>
      </c>
      <c r="B34" s="0" t="n">
        <v>4143.294784669133</v>
      </c>
    </row>
    <row r="35">
      <c r="A35" s="0" t="n">
        <v>311</v>
      </c>
      <c r="B35" s="0" t="n">
        <v>4143.629364000059</v>
      </c>
    </row>
    <row r="36">
      <c r="A36" s="0" t="n">
        <v>312</v>
      </c>
      <c r="B36" s="0" t="n">
        <v>4143.974624440555</v>
      </c>
    </row>
    <row r="37">
      <c r="A37" s="0" t="n">
        <v>313</v>
      </c>
      <c r="B37" s="0" t="n">
        <v>4144.330042240573</v>
      </c>
    </row>
    <row r="38">
      <c r="A38" s="0" t="n">
        <v>314</v>
      </c>
      <c r="B38" s="0" t="n">
        <v>4144.695146387246</v>
      </c>
    </row>
    <row r="39">
      <c r="A39" s="0" t="n">
        <v>315</v>
      </c>
      <c r="B39" s="0" t="n">
        <v>4145.069515964162</v>
      </c>
    </row>
    <row r="40">
      <c r="A40" s="0" t="n">
        <v>316</v>
      </c>
      <c r="B40" s="0" t="n">
        <v>4145.452777612141</v>
      </c>
    </row>
    <row r="41">
      <c r="A41" s="0" t="n">
        <v>317</v>
      </c>
      <c r="B41" s="0" t="n">
        <v>4145.844603074806</v>
      </c>
    </row>
    <row r="42">
      <c r="A42" s="0" t="n">
        <v>318</v>
      </c>
      <c r="B42" s="0" t="n">
        <v>4146.244706853516</v>
      </c>
    </row>
    <row r="43">
      <c r="A43" s="0" t="n">
        <v>319</v>
      </c>
      <c r="B43" s="0" t="n">
        <v>4146.652843931057</v>
      </c>
    </row>
    <row r="44">
      <c r="A44" s="0" t="n">
        <v>320</v>
      </c>
      <c r="B44" s="0" t="n">
        <v>4147.068807593406</v>
      </c>
    </row>
    <row r="45">
      <c r="A45" s="0" t="n">
        <v>321</v>
      </c>
      <c r="B45" s="0" t="n">
        <v>4147.492427333604</v>
      </c>
    </row>
    <row r="46">
      <c r="A46" s="0" t="n">
        <v>322</v>
      </c>
      <c r="B46" s="0" t="n">
        <v>4147.92356682851</v>
      </c>
    </row>
    <row r="47">
      <c r="A47" s="0" t="n">
        <v>323</v>
      </c>
      <c r="B47" s="0" t="n">
        <v>4148.362122004938</v>
      </c>
    </row>
    <row r="48">
      <c r="A48" s="0" t="n">
        <v>324</v>
      </c>
      <c r="B48" s="0" t="n">
        <v>4148.808019175596</v>
      </c>
    </row>
    <row r="49">
      <c r="A49" s="0" t="n">
        <v>325</v>
      </c>
      <c r="B49" s="0" t="n">
        <v>4149.261213253821</v>
      </c>
    </row>
    <row r="50">
      <c r="A50" s="0" t="n">
        <v>326</v>
      </c>
      <c r="B50" s="0" t="n">
        <v>4149.721686037957</v>
      </c>
    </row>
    <row r="51">
      <c r="A51" s="0" t="n">
        <v>327</v>
      </c>
      <c r="B51" s="0" t="n">
        <v>4150.189444570971</v>
      </c>
    </row>
    <row r="52">
      <c r="A52" s="0" t="n">
        <v>328</v>
      </c>
      <c r="B52" s="0" t="n">
        <v>4150.664519564647</v>
      </c>
    </row>
    <row r="53">
      <c r="A53" s="0" t="n">
        <v>329</v>
      </c>
      <c r="B53" s="0" t="n">
        <v>4151.146963898689</v>
      </c>
    </row>
    <row r="54">
      <c r="A54" s="0" t="n">
        <v>330</v>
      </c>
      <c r="B54" s="0" t="n">
        <v>4151.636851176878</v>
      </c>
    </row>
    <row r="55">
      <c r="A55" s="0" t="n">
        <v>331</v>
      </c>
      <c r="B55" s="0" t="n">
        <v>4152.134274354999</v>
      </c>
    </row>
    <row r="56">
      <c r="A56" s="0" t="n">
        <v>332</v>
      </c>
      <c r="B56" s="0" t="n">
        <v>4152.639344426475</v>
      </c>
    </row>
    <row r="57">
      <c r="A57" s="0" t="n">
        <v>333</v>
      </c>
      <c r="B57" s="0" t="n">
        <v>4153.152189172028</v>
      </c>
    </row>
    <row r="58">
      <c r="A58" s="0" t="n">
        <v>334</v>
      </c>
      <c r="B58" s="0" t="n">
        <v>4153.672951965738</v>
      </c>
    </row>
    <row r="59">
      <c r="A59" s="0" t="n">
        <v>335</v>
      </c>
      <c r="B59" s="0" t="n">
        <v>4154.201790639686</v>
      </c>
    </row>
    <row r="60">
      <c r="A60" s="0" t="n">
        <v>336</v>
      </c>
      <c r="B60" s="0" t="n">
        <v>4154.738876402908</v>
      </c>
    </row>
    <row r="61">
      <c r="A61" s="0" t="n">
        <v>337</v>
      </c>
      <c r="B61" s="0" t="n">
        <v>4155.284392817329</v>
      </c>
    </row>
    <row r="62">
      <c r="A62" s="0" t="n">
        <v>338</v>
      </c>
      <c r="B62" s="0" t="n">
        <v>4155.838534821724</v>
      </c>
    </row>
    <row r="63">
      <c r="A63" s="0" t="n">
        <v>339</v>
      </c>
      <c r="B63" s="0" t="n">
        <v>4156.401507808088</v>
      </c>
    </row>
    <row r="64">
      <c r="A64" s="0" t="n">
        <v>340</v>
      </c>
      <c r="B64" s="0" t="n">
        <v>4156.97352674639</v>
      </c>
    </row>
    <row r="65">
      <c r="A65" s="0" t="n">
        <v>341</v>
      </c>
      <c r="B65" s="0" t="n">
        <v>4157.55481535965</v>
      </c>
    </row>
    <row r="66">
      <c r="A66" s="0" t="n">
        <v>342</v>
      </c>
      <c r="B66" s="0" t="n">
        <v>4158.145605336258</v>
      </c>
    </row>
    <row r="67">
      <c r="A67" s="0" t="n">
        <v>343</v>
      </c>
      <c r="B67" s="0" t="n">
        <v>4158.746135595112</v>
      </c>
    </row>
    <row r="68">
      <c r="A68" s="0" t="n">
        <v>344</v>
      </c>
      <c r="B68" s="0" t="n">
        <v>4159.356651588389</v>
      </c>
    </row>
    <row r="69">
      <c r="A69" s="0" t="n">
        <v>345</v>
      </c>
      <c r="B69" s="0" t="n">
        <v>4159.977404644051</v>
      </c>
    </row>
    <row r="70">
      <c r="A70" s="0" t="n">
        <v>346</v>
      </c>
      <c r="B70" s="0" t="n">
        <v>4160.608651352368</v>
      </c>
    </row>
    <row r="71">
      <c r="A71" s="0" t="n">
        <v>347</v>
      </c>
      <c r="B71" s="0" t="n">
        <v>4161.250652982788</v>
      </c>
    </row>
    <row r="72">
      <c r="A72" s="0" t="n">
        <v>348</v>
      </c>
      <c r="B72" s="0" t="n">
        <v>4161.903674944602</v>
      </c>
    </row>
    <row r="73">
      <c r="A73" s="0" t="n">
        <v>349</v>
      </c>
      <c r="B73" s="0" t="n">
        <v>4162.567986276081</v>
      </c>
    </row>
    <row r="74">
      <c r="A74" s="0" t="n">
        <v>350</v>
      </c>
      <c r="B74" s="0" t="n">
        <v>4163.243859170421</v>
      </c>
    </row>
    <row r="75">
      <c r="A75" s="0" t="n">
        <v>351</v>
      </c>
      <c r="B75" s="0" t="n">
        <v>4163.93156853216</v>
      </c>
    </row>
    <row r="76">
      <c r="A76" s="0" t="n">
        <v>352</v>
      </c>
      <c r="B76" s="0" t="n">
        <v>4164.631391564882</v>
      </c>
    </row>
    <row r="77">
      <c r="A77" s="0" t="n">
        <v>353</v>
      </c>
      <c r="B77" s="0" t="n">
        <v>4165.343607386843</v>
      </c>
    </row>
    <row r="78">
      <c r="A78" s="0" t="n">
        <v>354</v>
      </c>
      <c r="B78" s="0" t="n">
        <v>4166.068496675938</v>
      </c>
    </row>
    <row r="79">
      <c r="A79" s="0" t="n">
        <v>355</v>
      </c>
      <c r="B79" s="0" t="n">
        <v>4166.80634134082</v>
      </c>
    </row>
    <row r="80">
      <c r="A80" s="0" t="n">
        <v>356</v>
      </c>
      <c r="B80" s="0" t="n">
        <v>4167.557424217273</v>
      </c>
    </row>
    <row r="81">
      <c r="A81" s="0" t="n">
        <v>357</v>
      </c>
      <c r="B81" s="0" t="n">
        <v>4168.32202878905</v>
      </c>
    </row>
    <row r="82">
      <c r="A82" s="0" t="n">
        <v>358</v>
      </c>
      <c r="B82" s="0" t="n">
        <v>4169.100438931739</v>
      </c>
    </row>
    <row r="83">
      <c r="A83" s="0" t="n">
        <v>359</v>
      </c>
      <c r="B83" s="0" t="n">
        <v>4169.892938679264</v>
      </c>
    </row>
    <row r="84">
      <c r="A84" s="0" t="n">
        <v>360</v>
      </c>
      <c r="B84" s="0" t="n">
        <v>4170.699812011399</v>
      </c>
    </row>
    <row r="85">
      <c r="A85" s="0" t="n">
        <v>361</v>
      </c>
      <c r="B85" s="0" t="n">
        <v>4171.521342660388</v>
      </c>
    </row>
    <row r="86">
      <c r="A86" s="0" t="n">
        <v>362</v>
      </c>
      <c r="B86" s="0" t="n">
        <v>4172.35781393754</v>
      </c>
    </row>
    <row r="87">
      <c r="A87" s="0" t="n">
        <v>363</v>
      </c>
      <c r="B87" s="0" t="n">
        <v>4173.209508578139</v>
      </c>
    </row>
    <row r="88">
      <c r="A88" s="0" t="n">
        <v>364</v>
      </c>
      <c r="B88" s="0" t="n">
        <v>4174.076708602372</v>
      </c>
    </row>
    <row r="89">
      <c r="A89" s="0" t="n">
        <v>365</v>
      </c>
      <c r="B89" s="0" t="n">
        <v>4174.959695194048</v>
      </c>
    </row>
    <row r="90">
      <c r="A90" s="0" t="n">
        <v>366</v>
      </c>
      <c r="B90" s="0" t="n">
        <v>4175.858748593568</v>
      </c>
    </row>
    <row r="91">
      <c r="A91" s="0" t="n">
        <v>367</v>
      </c>
      <c r="B91" s="0" t="n">
        <v>4176.774148006924</v>
      </c>
    </row>
    <row r="92">
      <c r="A92" s="0" t="n">
        <v>368</v>
      </c>
      <c r="B92" s="0" t="n">
        <v>4177.70617152714</v>
      </c>
    </row>
    <row r="93">
      <c r="A93" s="0" t="n">
        <v>369</v>
      </c>
      <c r="B93" s="0" t="n">
        <v>4178.655096070296</v>
      </c>
    </row>
    <row r="94">
      <c r="A94" s="0" t="n">
        <v>370</v>
      </c>
      <c r="B94" s="0" t="n">
        <v>4179.621197322189</v>
      </c>
    </row>
    <row r="95">
      <c r="A95" s="0" t="n">
        <v>371</v>
      </c>
      <c r="B95" s="0" t="n">
        <v>4180.604749700152</v>
      </c>
    </row>
    <row r="96">
      <c r="A96" s="0" t="n">
        <v>372</v>
      </c>
      <c r="B96" s="0" t="n">
        <v>4181.606026321499</v>
      </c>
    </row>
    <row r="97">
      <c r="A97" s="0" t="n">
        <v>373</v>
      </c>
      <c r="B97" s="0" t="n">
        <v>4182.625298986855</v>
      </c>
    </row>
    <row r="98">
      <c r="A98" s="0" t="n">
        <v>374</v>
      </c>
      <c r="B98" s="0" t="n">
        <v>4183.662838170073</v>
      </c>
    </row>
    <row r="99">
      <c r="A99" s="0" t="n">
        <v>375</v>
      </c>
      <c r="B99" s="0" t="n">
        <v>4184.718913020203</v>
      </c>
    </row>
    <row r="100">
      <c r="A100" s="0" t="n">
        <v>376</v>
      </c>
      <c r="B100" s="0" t="n">
        <v>4185.793791369814</v>
      </c>
    </row>
    <row r="101">
      <c r="A101" s="0" t="n">
        <v>377</v>
      </c>
      <c r="B101" s="0" t="n">
        <v>4186.88773975435</v>
      </c>
    </row>
    <row r="102">
      <c r="A102" s="0" t="n">
        <v>378</v>
      </c>
      <c r="B102" s="0" t="n">
        <v>4188.001023436505</v>
      </c>
    </row>
    <row r="103">
      <c r="A103" s="0" t="n">
        <v>379</v>
      </c>
      <c r="B103" s="0" t="n">
        <v>4189.133906440653</v>
      </c>
    </row>
    <row r="104">
      <c r="A104" s="0" t="n">
        <v>380</v>
      </c>
      <c r="B104" s="0" t="n">
        <v>4190.286651592737</v>
      </c>
    </row>
    <row r="105">
      <c r="A105" s="0" t="n">
        <v>381</v>
      </c>
      <c r="B105" s="0" t="n">
        <v>4191.459520566448</v>
      </c>
    </row>
    <row r="106">
      <c r="A106" s="0" t="n">
        <v>382</v>
      </c>
      <c r="B106" s="0" t="n">
        <v>4192.652773936936</v>
      </c>
    </row>
    <row r="107">
      <c r="A107" s="0" t="n">
        <v>383</v>
      </c>
      <c r="B107" s="0" t="n">
        <v>4193.86667123913</v>
      </c>
    </row>
    <row r="108">
      <c r="A108" s="0" t="n">
        <v>384</v>
      </c>
      <c r="B108" s="0" t="n">
        <v>4195.101471031998</v>
      </c>
    </row>
    <row r="109">
      <c r="A109" s="0" t="n">
        <v>385</v>
      </c>
      <c r="B109" s="0" t="n">
        <v>4196.357430968152</v>
      </c>
    </row>
    <row r="110">
      <c r="A110" s="0" t="n">
        <v>386</v>
      </c>
      <c r="B110" s="0" t="n">
        <v>4197.634807867221</v>
      </c>
    </row>
    <row r="111">
      <c r="A111" s="0" t="n">
        <v>387</v>
      </c>
      <c r="B111" s="0" t="n">
        <v>4198.933857795244</v>
      </c>
    </row>
    <row r="112">
      <c r="A112" s="0" t="n">
        <v>388</v>
      </c>
      <c r="B112" s="0" t="n">
        <v>4200.254836147333</v>
      </c>
    </row>
    <row r="113">
      <c r="A113" s="0" t="n">
        <v>389</v>
      </c>
      <c r="B113" s="0" t="n">
        <v>4201.597997734178</v>
      </c>
    </row>
    <row r="114">
      <c r="A114" s="0" t="n">
        <v>390</v>
      </c>
      <c r="B114" s="0" t="n">
        <v>4202.963596873141</v>
      </c>
    </row>
    <row r="115">
      <c r="A115" s="0" t="n">
        <v>391</v>
      </c>
      <c r="B115" s="0" t="n">
        <v>4204.351887482204</v>
      </c>
    </row>
    <row r="116">
      <c r="A116" s="0" t="n">
        <v>392</v>
      </c>
      <c r="B116" s="0" t="n">
        <v>4205.763123176906</v>
      </c>
    </row>
    <row r="117">
      <c r="A117" s="0" t="n">
        <v>393</v>
      </c>
      <c r="B117" s="0" t="n">
        <v>4207.197557371684</v>
      </c>
    </row>
    <row r="118">
      <c r="A118" s="0" t="n">
        <v>394</v>
      </c>
      <c r="B118" s="0" t="n">
        <v>4208.655443382735</v>
      </c>
    </row>
    <row r="119">
      <c r="A119" s="0" t="n">
        <v>395</v>
      </c>
      <c r="B119" s="0" t="n">
        <v>4210.137034534514</v>
      </c>
    </row>
    <row r="120">
      <c r="A120" s="0" t="n">
        <v>396</v>
      </c>
      <c r="B120" s="0" t="n">
        <v>4211.642584268462</v>
      </c>
    </row>
    <row r="121">
      <c r="A121" s="0" t="n">
        <v>397</v>
      </c>
      <c r="B121" s="0" t="n">
        <v>4213.172346253881</v>
      </c>
    </row>
    <row r="122">
      <c r="A122" s="0" t="n">
        <v>398</v>
      </c>
      <c r="B122" s="0" t="n">
        <v>4214.726574502537</v>
      </c>
    </row>
    <row r="123">
      <c r="A123" s="0" t="n">
        <v>399</v>
      </c>
      <c r="B123" s="0" t="n">
        <v>4216.305523483421</v>
      </c>
    </row>
    <row r="124">
      <c r="A124" s="0" t="n">
        <v>400</v>
      </c>
      <c r="B124" s="0" t="n">
        <v>4217.909448241154</v>
      </c>
    </row>
    <row r="125">
      <c r="A125" s="0" t="n">
        <v>401</v>
      </c>
      <c r="B125" s="0" t="n">
        <v>4219.538604516051</v>
      </c>
    </row>
    <row r="126">
      <c r="A126" s="0" t="n">
        <v>402</v>
      </c>
      <c r="B126" s="0" t="n">
        <v>4221.193248865306</v>
      </c>
    </row>
    <row r="127">
      <c r="A127" s="0" t="n">
        <v>403</v>
      </c>
      <c r="B127" s="0" t="n">
        <v>4222.873638787521</v>
      </c>
    </row>
    <row r="128">
      <c r="A128" s="0" t="n">
        <v>404</v>
      </c>
      <c r="B128" s="0" t="n">
        <v>4224.580032847503</v>
      </c>
    </row>
    <row r="129">
      <c r="A129" s="0" t="n">
        <v>405</v>
      </c>
      <c r="B129" s="0" t="n">
        <v>4226.31269080374</v>
      </c>
    </row>
    <row r="130">
      <c r="A130" s="0" t="n">
        <v>406</v>
      </c>
      <c r="B130" s="0" t="n">
        <v>4228.071873737205</v>
      </c>
    </row>
    <row r="131">
      <c r="A131" s="0" t="n">
        <v>407</v>
      </c>
      <c r="B131" s="0" t="n">
        <v>4229.857844181253</v>
      </c>
    </row>
    <row r="132">
      <c r="A132" s="0" t="n">
        <v>408</v>
      </c>
      <c r="B132" s="0" t="n">
        <v>4231.670866254747</v>
      </c>
    </row>
    <row r="133">
      <c r="A133" s="0" t="n">
        <v>409</v>
      </c>
      <c r="B133" s="0" t="n">
        <v>4233.511205794514</v>
      </c>
    </row>
    <row r="134">
      <c r="A134" s="0" t="n">
        <v>410</v>
      </c>
      <c r="B134" s="0" t="n">
        <v>4235.379130491197</v>
      </c>
    </row>
    <row r="135">
      <c r="A135" s="0" t="n">
        <v>411</v>
      </c>
      <c r="B135" s="0" t="n">
        <v>4237.274910025573</v>
      </c>
    </row>
    <row r="136">
      <c r="A136" s="0" t="n">
        <v>412</v>
      </c>
      <c r="B136" s="0" t="n">
        <v>4239.198816207123</v>
      </c>
    </row>
    <row r="137">
      <c r="A137" s="0" t="n">
        <v>413</v>
      </c>
      <c r="B137" s="0" t="n">
        <v>4241.151123113279</v>
      </c>
    </row>
    <row r="138">
      <c r="A138" s="0" t="n">
        <v>414</v>
      </c>
      <c r="B138" s="0" t="n">
        <v>4243.132107231268</v>
      </c>
    </row>
    <row r="139">
      <c r="A139" s="0" t="n">
        <v>415</v>
      </c>
      <c r="B139" s="0" t="n">
        <v>4245.142047600611</v>
      </c>
    </row>
    <row r="140">
      <c r="A140" s="0" t="n">
        <v>416</v>
      </c>
      <c r="B140" s="0" t="n">
        <v>4247.181225957803</v>
      </c>
    </row>
    <row r="141">
      <c r="A141" s="0" t="n">
        <v>417</v>
      </c>
      <c r="B141" s="0" t="n">
        <v>4249.249926882266</v>
      </c>
    </row>
    <row r="142">
      <c r="A142" s="0" t="n">
        <v>418</v>
      </c>
      <c r="B142" s="0" t="n">
        <v>4251.348437944191</v>
      </c>
    </row>
    <row r="143">
      <c r="A143" s="0" t="n">
        <v>419</v>
      </c>
      <c r="B143" s="0" t="n">
        <v>4253.477049854272</v>
      </c>
    </row>
    <row r="144">
      <c r="A144" s="0" t="n">
        <v>420</v>
      </c>
      <c r="B144" s="0" t="n">
        <v>4255.636056614567</v>
      </c>
    </row>
    <row r="145">
      <c r="A145" s="0" t="n">
        <v>421</v>
      </c>
      <c r="B145" s="0" t="n">
        <v>4257.825755671677</v>
      </c>
    </row>
    <row r="146">
      <c r="A146" s="0" t="n">
        <v>422</v>
      </c>
      <c r="B146" s="0" t="n">
        <v>4260.046448071849</v>
      </c>
    </row>
    <row r="147">
      <c r="A147" s="0" t="n">
        <v>423</v>
      </c>
      <c r="B147" s="0" t="n">
        <v>4262.298438617808</v>
      </c>
    </row>
    <row r="148">
      <c r="A148" s="0" t="n">
        <v>424</v>
      </c>
      <c r="B148" s="0" t="n">
        <v>4264.582036027692</v>
      </c>
    </row>
    <row r="149">
      <c r="A149" s="0" t="n">
        <v>425</v>
      </c>
      <c r="B149" s="0" t="n">
        <v>4266.897553096011</v>
      </c>
    </row>
    <row r="150">
      <c r="A150" s="0" t="n">
        <v>426</v>
      </c>
      <c r="B150" s="0" t="n">
        <v>4269.245306857078</v>
      </c>
    </row>
    <row r="151">
      <c r="A151" s="0" t="n">
        <v>427</v>
      </c>
      <c r="B151" s="0" t="n">
        <v>4271.625618750313</v>
      </c>
    </row>
    <row r="152">
      <c r="A152" s="0" t="n">
        <v>428</v>
      </c>
      <c r="B152" s="0" t="n">
        <v>4274.038814788328</v>
      </c>
    </row>
    <row r="153">
      <c r="A153" s="0" t="n">
        <v>429</v>
      </c>
      <c r="B153" s="0" t="n">
        <v>4276.485225727188</v>
      </c>
    </row>
    <row r="154">
      <c r="A154" s="0" t="n">
        <v>430</v>
      </c>
      <c r="B154" s="0" t="n">
        <v>4278.965187239637</v>
      </c>
    </row>
    <row r="155">
      <c r="A155" s="0" t="n">
        <v>431</v>
      </c>
      <c r="B155" s="0" t="n">
        <v>4281.479040090367</v>
      </c>
    </row>
    <row r="156">
      <c r="A156" s="0" t="n">
        <v>432</v>
      </c>
      <c r="B156" s="0" t="n">
        <v>4284.027130315209</v>
      </c>
    </row>
    <row r="157">
      <c r="A157" s="0" t="n">
        <v>433</v>
      </c>
      <c r="B157" s="0" t="n">
        <v>4286.609809401996</v>
      </c>
    </row>
    <row r="158">
      <c r="A158" s="0" t="n">
        <v>434</v>
      </c>
      <c r="B158" s="0" t="n">
        <v>4289.227434475768</v>
      </c>
    </row>
    <row r="159">
      <c r="A159" s="0" t="n">
        <v>435</v>
      </c>
      <c r="B159" s="0" t="n">
        <v>4291.880368486144</v>
      </c>
    </row>
    <row r="160">
      <c r="A160" s="0" t="n">
        <v>436</v>
      </c>
      <c r="B160" s="0" t="n">
        <v>4294.568980398996</v>
      </c>
    </row>
    <row r="161">
      <c r="A161" s="0" t="n">
        <v>437</v>
      </c>
      <c r="B161" s="0" t="n">
        <v>4297.293645391046</v>
      </c>
    </row>
    <row r="162">
      <c r="A162" s="0" t="n">
        <v>438</v>
      </c>
      <c r="B162" s="0" t="n">
        <v>4300.054745048375</v>
      </c>
    </row>
    <row r="163">
      <c r="A163" s="0" t="n">
        <v>439</v>
      </c>
      <c r="B163" s="0" t="n">
        <v>4302.85266756897</v>
      </c>
    </row>
    <row r="164">
      <c r="A164" s="0" t="n">
        <v>440</v>
      </c>
      <c r="B164" s="0" t="n">
        <v>4305.687807969048</v>
      </c>
    </row>
    <row r="165">
      <c r="A165" s="0" t="n">
        <v>441</v>
      </c>
      <c r="B165" s="0" t="n">
        <v>4308.560568293915</v>
      </c>
    </row>
    <row r="166">
      <c r="A166" s="0" t="n">
        <v>442</v>
      </c>
      <c r="B166" s="0" t="n">
        <v>4311.471357832911</v>
      </c>
    </row>
    <row r="167">
      <c r="A167" s="0" t="n">
        <v>443</v>
      </c>
      <c r="B167" s="0" t="n">
        <v>4314.420593339411</v>
      </c>
    </row>
    <row r="168">
      <c r="A168" s="0" t="n">
        <v>444</v>
      </c>
      <c r="B168" s="0" t="n">
        <v>4317.408699255238</v>
      </c>
    </row>
    <row r="169">
      <c r="A169" s="0" t="n">
        <v>445</v>
      </c>
      <c r="B169" s="0" t="n">
        <v>4320.436107940474</v>
      </c>
    </row>
    <row r="170">
      <c r="A170" s="0" t="n">
        <v>446</v>
      </c>
      <c r="B170" s="0" t="n">
        <v>4323.503259908407</v>
      </c>
    </row>
    <row r="171">
      <c r="A171" s="0" t="n">
        <v>447</v>
      </c>
      <c r="B171" s="0" t="n">
        <v>4326.610604066095</v>
      </c>
    </row>
    <row r="172">
      <c r="A172" s="0" t="n">
        <v>448</v>
      </c>
      <c r="B172" s="0" t="n">
        <v>4329.758597960444</v>
      </c>
    </row>
    <row r="173">
      <c r="A173" s="0" t="n">
        <v>449</v>
      </c>
      <c r="B173" s="0" t="n">
        <v>4332.947708030764</v>
      </c>
    </row>
    <row r="174">
      <c r="A174" s="0" t="n">
        <v>450</v>
      </c>
      <c r="B174" s="0" t="n">
        <v>4336.178409867148</v>
      </c>
    </row>
    <row r="175">
      <c r="A175" s="0" t="n">
        <v>451</v>
      </c>
      <c r="B175" s="0" t="n">
        <v>4339.451188475814</v>
      </c>
    </row>
    <row r="176">
      <c r="A176" s="0" t="n">
        <v>452</v>
      </c>
      <c r="B176" s="0" t="n">
        <v>4342.766538551014</v>
      </c>
    </row>
    <row r="177">
      <c r="A177" s="0" t="n">
        <v>453</v>
      </c>
      <c r="B177" s="0" t="n">
        <v>4346.12496475439</v>
      </c>
    </row>
    <row r="178">
      <c r="A178" s="0" t="n">
        <v>454</v>
      </c>
      <c r="B178" s="0" t="n">
        <v>4349.526982001459</v>
      </c>
    </row>
    <row r="179">
      <c r="A179" s="0" t="n">
        <v>455</v>
      </c>
      <c r="B179" s="0" t="n">
        <v>4352.973115756343</v>
      </c>
    </row>
    <row r="180">
      <c r="A180" s="0" t="n">
        <v>456</v>
      </c>
      <c r="B180" s="0" t="n">
        <v>4356.463902334242</v>
      </c>
    </row>
    <row r="181">
      <c r="A181" s="0" t="n">
        <v>457</v>
      </c>
      <c r="B181" s="0" t="n">
        <v>4359.999889212776</v>
      </c>
    </row>
    <row r="182">
      <c r="A182" s="0" t="n">
        <v>458</v>
      </c>
      <c r="B182" s="0" t="n">
        <v>4363.581635351827</v>
      </c>
    </row>
    <row r="183">
      <c r="A183" s="0" t="n">
        <v>459</v>
      </c>
      <c r="B183" s="0" t="n">
        <v>4367.209711523157</v>
      </c>
    </row>
    <row r="184">
      <c r="A184" s="0" t="n">
        <v>460</v>
      </c>
      <c r="B184" s="0" t="n">
        <v>4370.884700649034</v>
      </c>
    </row>
    <row r="185">
      <c r="A185" s="0" t="n">
        <v>461</v>
      </c>
      <c r="B185" s="0" t="n">
        <v>4374.607198151792</v>
      </c>
    </row>
    <row r="186">
      <c r="A186" s="0" t="n">
        <v>462</v>
      </c>
      <c r="B186" s="0" t="n">
        <v>4378.377812313208</v>
      </c>
    </row>
    <row r="187">
      <c r="A187" s="0" t="n">
        <v>463</v>
      </c>
      <c r="B187" s="0" t="n">
        <v>4382.197164645115</v>
      </c>
    </row>
    <row r="188">
      <c r="A188" s="0" t="n">
        <v>464</v>
      </c>
      <c r="B188" s="0" t="n">
        <v>4386.065890271828</v>
      </c>
    </row>
    <row r="189">
      <c r="A189" s="0" t="n">
        <v>465</v>
      </c>
      <c r="B189" s="0" t="n">
        <v>4389.984638324097</v>
      </c>
    </row>
    <row r="190">
      <c r="A190" s="0" t="n">
        <v>466</v>
      </c>
      <c r="B190" s="0" t="n">
        <v>4393.954072345879</v>
      </c>
    </row>
    <row r="191">
      <c r="A191" s="0" t="n">
        <v>467</v>
      </c>
      <c r="B191" s="0" t="n">
        <v>4397.974870714076</v>
      </c>
    </row>
    <row r="192">
      <c r="A192" s="0" t="n">
        <v>468</v>
      </c>
      <c r="B192" s="0" t="n">
        <v>4402.047727071819</v>
      </c>
    </row>
    <row r="193">
      <c r="A193" s="0" t="n">
        <v>469</v>
      </c>
      <c r="B193" s="0" t="n">
        <v>4406.1733507764</v>
      </c>
    </row>
    <row r="194">
      <c r="A194" s="0" t="n">
        <v>470</v>
      </c>
      <c r="B194" s="0" t="n">
        <v>4410.35246736162</v>
      </c>
    </row>
    <row r="195">
      <c r="A195" s="0" t="n">
        <v>471</v>
      </c>
      <c r="B195" s="0" t="n">
        <v>4414.585819015886</v>
      </c>
    </row>
    <row r="196">
      <c r="A196" s="0" t="n">
        <v>472</v>
      </c>
      <c r="B196" s="0" t="n">
        <v>4418.874165076628</v>
      </c>
    </row>
    <row r="197">
      <c r="A197" s="0" t="n">
        <v>473</v>
      </c>
      <c r="B197" s="0" t="n">
        <v>4423.218282541631</v>
      </c>
    </row>
    <row r="198">
      <c r="A198" s="0" t="n">
        <v>474</v>
      </c>
      <c r="B198" s="0" t="n">
        <v>4427.618966597943</v>
      </c>
    </row>
    <row r="199">
      <c r="A199" s="0" t="n">
        <v>475</v>
      </c>
      <c r="B199" s="0" t="n">
        <v>4432.077031169491</v>
      </c>
    </row>
    <row r="200">
      <c r="A200" s="0" t="n">
        <v>476</v>
      </c>
      <c r="B200" s="0" t="n">
        <v>4436.593309484088</v>
      </c>
    </row>
    <row r="201">
      <c r="A201" s="0" t="n">
        <v>477</v>
      </c>
      <c r="B201" s="0" t="n">
        <v>4441.168654660496</v>
      </c>
    </row>
    <row r="202">
      <c r="A202" s="0" t="n">
        <v>478</v>
      </c>
      <c r="B202" s="0" t="n">
        <v>4445.803940316668</v>
      </c>
    </row>
    <row r="203">
      <c r="A203" s="0" t="n">
        <v>479</v>
      </c>
      <c r="B203" s="0" t="n">
        <v>4450.500061200343</v>
      </c>
    </row>
    <row r="204">
      <c r="A204" s="0" t="n">
        <v>480</v>
      </c>
      <c r="B204" s="0" t="n">
        <v>4455.257933842545</v>
      </c>
    </row>
    <row r="205">
      <c r="A205" s="0" t="n">
        <v>481</v>
      </c>
      <c r="B205" s="0" t="n">
        <v>4460.078497235298</v>
      </c>
    </row>
    <row r="206">
      <c r="A206" s="0" t="n">
        <v>482</v>
      </c>
      <c r="B206" s="0" t="n">
        <v>4464.962713534846</v>
      </c>
    </row>
    <row r="207">
      <c r="A207" s="0" t="n">
        <v>483</v>
      </c>
      <c r="B207" s="0" t="n">
        <v>4469.911568791121</v>
      </c>
    </row>
    <row r="208">
      <c r="A208" s="0" t="n">
        <v>484</v>
      </c>
      <c r="B208" s="0" t="n">
        <v>4474.926073705254</v>
      </c>
    </row>
    <row r="209">
      <c r="A209" s="0" t="n">
        <v>485</v>
      </c>
      <c r="B209" s="0" t="n">
        <v>4480.007264415756</v>
      </c>
    </row>
    <row r="210">
      <c r="A210" s="0" t="n">
        <v>486</v>
      </c>
      <c r="B210" s="0" t="n">
        <v>4485.156203315463</v>
      </c>
    </row>
    <row r="211">
      <c r="A211" s="0" t="n">
        <v>487</v>
      </c>
      <c r="B211" s="0" t="n">
        <v>4490.373979900088</v>
      </c>
    </row>
    <row r="212">
      <c r="A212" s="0" t="n">
        <v>488</v>
      </c>
      <c r="B212" s="0" t="n">
        <v>4495.661711650342</v>
      </c>
    </row>
    <row r="213">
      <c r="A213" s="0" t="n">
        <v>489</v>
      </c>
      <c r="B213" s="0" t="n">
        <v>4501.020544948801</v>
      </c>
    </row>
    <row r="214">
      <c r="A214" s="0" t="n">
        <v>490</v>
      </c>
      <c r="B214" s="0" t="n">
        <v>4506.451656033641</v>
      </c>
    </row>
    <row r="215">
      <c r="A215" s="0" t="n">
        <v>491</v>
      </c>
      <c r="B215" s="0" t="n">
        <v>4511.956251990792</v>
      </c>
    </row>
    <row r="216">
      <c r="A216" s="0" t="n">
        <v>492</v>
      </c>
      <c r="B216" s="0" t="n">
        <v>4517.535571786156</v>
      </c>
    </row>
    <row r="217">
      <c r="A217" s="0" t="n">
        <v>493</v>
      </c>
      <c r="B217" s="0" t="n">
        <v>4523.190887340547</v>
      </c>
    </row>
    <row r="218">
      <c r="A218" s="0" t="n">
        <v>494</v>
      </c>
      <c r="B218" s="0" t="n">
        <v>4528.923504648603</v>
      </c>
    </row>
    <row r="219">
      <c r="A219" s="0" t="n">
        <v>495</v>
      </c>
      <c r="B219" s="0" t="n">
        <v>4534.734764944585</v>
      </c>
    </row>
    <row r="220">
      <c r="A220" s="0" t="n">
        <v>496</v>
      </c>
      <c r="B220" s="0" t="n">
        <v>4540.626045916911</v>
      </c>
    </row>
    <row r="221">
      <c r="A221" s="0" t="n">
        <v>497</v>
      </c>
      <c r="B221" s="0" t="n">
        <v>4546.598762974198</v>
      </c>
    </row>
    <row r="222">
      <c r="A222" s="0" t="n">
        <v>498</v>
      </c>
      <c r="B222" s="0" t="n">
        <v>4552.654370565259</v>
      </c>
    </row>
    <row r="223">
      <c r="A223" s="0" t="n">
        <v>499</v>
      </c>
      <c r="B223" s="0" t="n">
        <v>4558.794363555735</v>
      </c>
    </row>
    <row r="224">
      <c r="A224" s="0" t="n">
        <v>500</v>
      </c>
      <c r="B224" s="0" t="n">
        <v>4565.020278664565</v>
      </c>
    </row>
    <row r="225">
      <c r="A225" s="0" t="n">
        <v>501</v>
      </c>
      <c r="B225" s="0" t="n">
        <v>4571.333695963055</v>
      </c>
    </row>
    <row r="226">
      <c r="A226" s="0" t="n">
        <v>502</v>
      </c>
      <c r="B226" s="0" t="n">
        <v>4577.736240440056</v>
      </c>
    </row>
    <row r="227">
      <c r="A227" s="0" t="n">
        <v>503</v>
      </c>
      <c r="B227" s="0" t="n">
        <v>4584.22958363658</v>
      </c>
    </row>
    <row r="228">
      <c r="A228" s="0" t="n">
        <v>504</v>
      </c>
      <c r="B228" s="0" t="n">
        <v>4590.815445353524</v>
      </c>
    </row>
    <row r="229">
      <c r="A229" s="0" t="n">
        <v>505</v>
      </c>
      <c r="B229" s="0" t="n">
        <v>4597.495595436439</v>
      </c>
    </row>
    <row r="230">
      <c r="A230" s="0" t="n">
        <v>506</v>
      </c>
      <c r="B230" s="0" t="n">
        <v>4604.271855641474</v>
      </c>
    </row>
    <row r="231">
      <c r="A231" s="0" t="n">
        <v>507</v>
      </c>
      <c r="B231" s="0" t="n">
        <v>4611.146101586973</v>
      </c>
    </row>
    <row r="232">
      <c r="A232" s="0" t="n">
        <v>508</v>
      </c>
      <c r="B232" s="0" t="n">
        <v>4618.12026479494</v>
      </c>
    </row>
    <row r="233">
      <c r="A233" s="0" t="n">
        <v>509</v>
      </c>
      <c r="B233" s="0" t="n">
        <v>4625.196334828054</v>
      </c>
    </row>
    <row r="234">
      <c r="A234" s="0" t="n">
        <v>510</v>
      </c>
      <c r="B234" s="0" t="n">
        <v>4632.3763615268</v>
      </c>
    </row>
    <row r="235">
      <c r="A235" s="0" t="n">
        <v>511</v>
      </c>
      <c r="B235" s="0" t="n">
        <v>4639.662457352727</v>
      </c>
    </row>
    <row r="236">
      <c r="A236" s="0" t="n">
        <v>512</v>
      </c>
      <c r="B236" s="0" t="n">
        <v>4647.056799843424</v>
      </c>
    </row>
    <row r="237">
      <c r="A237" s="0" t="n">
        <v>513</v>
      </c>
      <c r="B237" s="0" t="n">
        <v>4654.561634186088</v>
      </c>
    </row>
    <row r="238">
      <c r="A238" s="0" t="n">
        <v>514</v>
      </c>
      <c r="B238" s="0" t="n">
        <v>4662.179275915792</v>
      </c>
    </row>
    <row r="239">
      <c r="A239" s="0" t="n">
        <v>515</v>
      </c>
      <c r="B239" s="0" t="n">
        <v>4669.912113746135</v>
      </c>
    </row>
    <row r="240">
      <c r="A240" s="0" t="n">
        <v>516</v>
      </c>
      <c r="B240" s="0" t="n">
        <v>4677.76261253964</v>
      </c>
    </row>
    <row r="241">
      <c r="A241" s="0" t="n">
        <v>517</v>
      </c>
      <c r="B241" s="0" t="n">
        <v>4685.733316426064</v>
      </c>
    </row>
    <row r="242">
      <c r="A242" s="0" t="n">
        <v>518</v>
      </c>
      <c r="B242" s="0" t="n">
        <v>4693.826852077808</v>
      </c>
    </row>
    <row r="243">
      <c r="A243" s="0" t="n">
        <v>519</v>
      </c>
      <c r="B243" s="0" t="n">
        <v>4702.045932150932</v>
      </c>
    </row>
    <row r="244">
      <c r="A244" s="0" t="n">
        <v>520</v>
      </c>
      <c r="B244" s="0" t="n">
        <v>4710.393358902586</v>
      </c>
    </row>
    <row r="245">
      <c r="A245" s="0" t="n">
        <v>521</v>
      </c>
      <c r="B245" s="0" t="n">
        <v>4718.872027994846</v>
      </c>
    </row>
    <row r="246">
      <c r="A246" s="0" t="n">
        <v>522</v>
      </c>
      <c r="B246" s="0" t="n">
        <v>4727.484932496624</v>
      </c>
    </row>
    <row r="247">
      <c r="A247" s="0" t="n">
        <v>523</v>
      </c>
      <c r="B247" s="0" t="n">
        <v>4736.235167096045</v>
      </c>
    </row>
    <row r="248">
      <c r="A248" s="0" t="n">
        <v>524</v>
      </c>
      <c r="B248" s="0" t="n">
        <v>4745.125932535802</v>
      </c>
    </row>
    <row r="249">
      <c r="A249" s="0" t="n">
        <v>525</v>
      </c>
      <c r="B249" s="0" t="n">
        <v>4754.160540286117</v>
      </c>
    </row>
    <row r="250">
      <c r="A250" s="0" t="n">
        <v>526</v>
      </c>
      <c r="B250" s="0" t="n">
        <v>4763.342417469798</v>
      </c>
    </row>
    <row r="251">
      <c r="A251" s="0" t="n">
        <v>527</v>
      </c>
      <c r="B251" s="0" t="n">
        <v>4772.675112055991</v>
      </c>
    </row>
    <row r="252">
      <c r="A252" s="0" t="n">
        <v>528</v>
      </c>
      <c r="B252" s="0" t="n">
        <v>4782.162298339352</v>
      </c>
    </row>
    <row r="253">
      <c r="A253" s="0" t="n">
        <v>529</v>
      </c>
      <c r="B253" s="0" t="n">
        <v>4791.807782723949</v>
      </c>
    </row>
    <row r="254">
      <c r="A254" s="0" t="n">
        <v>530</v>
      </c>
      <c r="B254" s="0" t="n">
        <v>4801.615509831313</v>
      </c>
    </row>
    <row r="255">
      <c r="A255" s="0" t="n">
        <v>531</v>
      </c>
      <c r="B255" s="0" t="n">
        <v>4811.589568954354</v>
      </c>
    </row>
    <row r="256">
      <c r="A256" s="0" t="n">
        <v>532</v>
      </c>
      <c r="B256" s="0" t="n">
        <v>4821.734200880767</v>
      </c>
    </row>
    <row r="257">
      <c r="A257" s="0" t="n">
        <v>533</v>
      </c>
      <c r="B257" s="0" t="n">
        <v>4832.053805109846</v>
      </c>
    </row>
    <row r="258">
      <c r="A258" s="0" t="n">
        <v>534</v>
      </c>
      <c r="B258" s="0" t="n">
        <v>4842.552947491187</v>
      </c>
    </row>
    <row r="259">
      <c r="A259" s="0" t="n">
        <v>535</v>
      </c>
      <c r="B259" s="0" t="n">
        <v>4853.236368313024</v>
      </c>
    </row>
    <row r="260">
      <c r="A260" s="0" t="n">
        <v>536</v>
      </c>
      <c r="B260" s="0" t="n">
        <v>4864.108990872333</v>
      </c>
    </row>
    <row r="261">
      <c r="A261" s="0" t="n">
        <v>537</v>
      </c>
      <c r="B261" s="0" t="n">
        <v>4875.17593056089</v>
      </c>
    </row>
    <row r="262">
      <c r="A262" s="0" t="n">
        <v>538</v>
      </c>
      <c r="B262" s="0" t="n">
        <v>4886.442504503136</v>
      </c>
    </row>
    <row r="263">
      <c r="A263" s="0" t="n">
        <v>539</v>
      </c>
      <c r="B263" s="0" t="n">
        <v>4897.914241787233</v>
      </c>
    </row>
    <row r="264">
      <c r="A264" s="0" t="n">
        <v>540</v>
      </c>
      <c r="B264" s="0" t="n">
        <v>4909.596894330924</v>
      </c>
    </row>
    <row r="265">
      <c r="A265" s="0" t="n">
        <v>541</v>
      </c>
      <c r="B265" s="0" t="n">
        <v>4921.496448430189</v>
      </c>
    </row>
    <row r="266">
      <c r="A266" s="0" t="n">
        <v>542</v>
      </c>
      <c r="B266" s="0" t="n">
        <v>4933.619137041105</v>
      </c>
    </row>
    <row r="267">
      <c r="A267" s="0" t="n">
        <v>543</v>
      </c>
      <c r="B267" s="0" t="n">
        <v>4945.971452850329</v>
      </c>
    </row>
    <row r="268">
      <c r="A268" s="0" t="n">
        <v>544</v>
      </c>
      <c r="B268" s="0" t="n">
        <v>4958.56016219475</v>
      </c>
    </row>
    <row r="269">
      <c r="A269" s="0" t="n">
        <v>545</v>
      </c>
      <c r="B269" s="0" t="n">
        <v>4971.392319895078</v>
      </c>
    </row>
    <row r="270">
      <c r="A270" s="0" t="n">
        <v>546</v>
      </c>
      <c r="B270" s="0" t="n">
        <v>4984.475285075895</v>
      </c>
    </row>
    <row r="271">
      <c r="A271" s="0" t="n">
        <v>547</v>
      </c>
      <c r="B271" s="0" t="n">
        <v>4997.816738049332</v>
      </c>
    </row>
    <row r="272">
      <c r="A272" s="0" t="n">
        <v>548</v>
      </c>
      <c r="B272" s="0" t="n">
        <v>5011.424698348084</v>
      </c>
    </row>
    <row r="273">
      <c r="A273" s="0" t="n">
        <v>549</v>
      </c>
      <c r="B273" s="0" t="n">
        <v>5025.307544000836</v>
      </c>
    </row>
    <row r="274">
      <c r="A274" s="0" t="n">
        <v>550</v>
      </c>
      <c r="B274" s="0" t="n">
        <v>5039.474032151756</v>
      </c>
    </row>
    <row r="275">
      <c r="A275" s="0" t="n">
        <v>551</v>
      </c>
      <c r="B275" s="0" t="n">
        <v>5053.933321137016</v>
      </c>
    </row>
    <row r="276">
      <c r="A276" s="0" t="n">
        <v>552</v>
      </c>
      <c r="B276" s="0" t="n">
        <v>5068.694994139541</v>
      </c>
    </row>
    <row r="277">
      <c r="A277" s="0" t="n">
        <v>553</v>
      </c>
      <c r="B277" s="0" t="n">
        <v>5083.769084558285</v>
      </c>
    </row>
    <row r="278">
      <c r="A278" s="0" t="n">
        <v>554</v>
      </c>
      <c r="B278" s="0" t="n">
        <v>5099.166103239322</v>
      </c>
    </row>
    <row r="279">
      <c r="A279" s="0" t="n">
        <v>555</v>
      </c>
      <c r="B279" s="0" t="n">
        <v>5114.897067732983</v>
      </c>
    </row>
    <row r="280">
      <c r="A280" s="0" t="n">
        <v>556</v>
      </c>
      <c r="B280" s="0" t="n">
        <v>5130.973533756786</v>
      </c>
    </row>
    <row r="281">
      <c r="A281" s="0" t="n">
        <v>557</v>
      </c>
      <c r="B281" s="0" t="n">
        <v>5147.407629063192</v>
      </c>
    </row>
    <row r="282">
      <c r="A282" s="0" t="n">
        <v>558</v>
      </c>
      <c r="B282" s="0" t="n">
        <v>5164.212089932832</v>
      </c>
    </row>
    <row r="283">
      <c r="A283" s="0" t="n">
        <v>559</v>
      </c>
      <c r="B283" s="0" t="n">
        <v>5181.40030053662</v>
      </c>
    </row>
    <row r="284">
      <c r="A284" s="0" t="n">
        <v>560</v>
      </c>
      <c r="B284" s="0" t="n">
        <v>5198.986335437326</v>
      </c>
    </row>
    <row r="285">
      <c r="A285" s="0" t="n">
        <v>561</v>
      </c>
      <c r="B285" s="0" t="n">
        <v>5216.985005531252</v>
      </c>
    </row>
    <row r="286">
      <c r="A286" s="0" t="n">
        <v>562</v>
      </c>
      <c r="B286" s="0" t="n">
        <v>5235.411907764258</v>
      </c>
    </row>
    <row r="287">
      <c r="A287" s="0" t="n">
        <v>563</v>
      </c>
      <c r="B287" s="0" t="n">
        <v>5254.283478994667</v>
      </c>
    </row>
    <row r="288">
      <c r="A288" s="0" t="n">
        <v>564</v>
      </c>
      <c r="B288" s="0" t="n">
        <v>5273.617054419772</v>
      </c>
    </row>
    <row r="289">
      <c r="A289" s="0" t="n">
        <v>565</v>
      </c>
      <c r="B289" s="0" t="n">
        <v>5293.430931029881</v>
      </c>
    </row>
    <row r="290">
      <c r="A290" s="0" t="n">
        <v>566</v>
      </c>
      <c r="B290" s="0" t="n">
        <v>5313.74443661273</v>
      </c>
    </row>
    <row r="291">
      <c r="A291" s="0" t="n">
        <v>567</v>
      </c>
      <c r="B291" s="0" t="n">
        <v>5334.578004892674</v>
      </c>
    </row>
    <row r="292">
      <c r="A292" s="0" t="n">
        <v>568</v>
      </c>
      <c r="B292" s="0" t="n">
        <v>5355.953257462683</v>
      </c>
    </row>
    <row r="293">
      <c r="A293" s="0" t="n">
        <v>569</v>
      </c>
      <c r="B293" s="0" t="n">
        <v>5377.893093251364</v>
      </c>
    </row>
    <row r="294">
      <c r="A294" s="0" t="n">
        <v>570</v>
      </c>
      <c r="B294" s="0" t="n">
        <v>5400.421786362843</v>
      </c>
    </row>
    <row r="295">
      <c r="A295" s="0" t="n">
        <v>571</v>
      </c>
      <c r="B295" s="0" t="n">
        <v>5423.565093236712</v>
      </c>
    </row>
    <row r="296">
      <c r="A296" s="0" t="n">
        <v>572</v>
      </c>
      <c r="B296" s="0" t="n">
        <v>5447.350370204848</v>
      </c>
    </row>
    <row r="297">
      <c r="A297" s="0" t="n">
        <v>573</v>
      </c>
      <c r="B297" s="0" t="n">
        <v>5471.806702667576</v>
      </c>
    </row>
    <row r="298">
      <c r="A298" s="0" t="n">
        <v>574</v>
      </c>
      <c r="B298" s="0" t="n">
        <v>5496.965047282433</v>
      </c>
    </row>
    <row r="299">
      <c r="A299" s="0" t="n">
        <v>575</v>
      </c>
      <c r="B299" s="0" t="n">
        <v>5522.858388760031</v>
      </c>
    </row>
    <row r="300">
      <c r="A300" s="0" t="n">
        <v>576</v>
      </c>
      <c r="B300" s="0" t="n">
        <v>5549.521913090368</v>
      </c>
    </row>
    <row r="301">
      <c r="A301" s="0" t="n">
        <v>577</v>
      </c>
      <c r="B301" s="0" t="n">
        <v>5576.993199297774</v>
      </c>
    </row>
    <row r="302">
      <c r="A302" s="0" t="n">
        <v>578</v>
      </c>
      <c r="B302" s="0" t="n">
        <v>5605.312432139051</v>
      </c>
    </row>
    <row r="303">
      <c r="A303" s="0" t="n">
        <v>579</v>
      </c>
      <c r="B303" s="0" t="n">
        <v>5634.522638537644</v>
      </c>
    </row>
    <row r="304">
      <c r="A304" s="0" t="n">
        <v>580</v>
      </c>
      <c r="B304" s="0" t="n">
        <v>5664.669950987794</v>
      </c>
    </row>
    <row r="305">
      <c r="A305" s="0" t="n">
        <v>581</v>
      </c>
      <c r="B305" s="0" t="n">
        <v>5695.803901693954</v>
      </c>
    </row>
    <row r="306">
      <c r="A306" s="0" t="n">
        <v>582</v>
      </c>
      <c r="B306" s="0" t="n">
        <v>5727.977751832362</v>
      </c>
    </row>
    <row r="307">
      <c r="A307" s="0" t="n">
        <v>583</v>
      </c>
      <c r="B307" s="0" t="n">
        <v>5761.248861077172</v>
      </c>
    </row>
    <row r="308">
      <c r="A308" s="0" t="n">
        <v>584</v>
      </c>
      <c r="B308" s="0" t="n">
        <v>5795.679103428792</v>
      </c>
    </row>
    <row r="309">
      <c r="A309" s="0" t="n">
        <v>585</v>
      </c>
      <c r="B309" s="0" t="n">
        <v>5831.335336467625</v>
      </c>
    </row>
    <row r="310">
      <c r="A310" s="0" t="n">
        <v>586</v>
      </c>
      <c r="B310" s="0" t="n">
        <v>5868.289932466493</v>
      </c>
    </row>
    <row r="311">
      <c r="A311" s="0" t="n">
        <v>587</v>
      </c>
      <c r="B311" s="0" t="n">
        <v>5906.621381389302</v>
      </c>
    </row>
    <row r="312">
      <c r="A312" s="0" t="n">
        <v>588</v>
      </c>
      <c r="B312" s="0" t="n">
        <v>5946.414977744828</v>
      </c>
    </row>
    <row r="313">
      <c r="A313" s="0" t="n">
        <v>589</v>
      </c>
      <c r="B313" s="0" t="n">
        <v>5987.76360565218</v>
      </c>
    </row>
    <row r="314">
      <c r="A314" s="0" t="n">
        <v>590</v>
      </c>
      <c r="B314" s="0" t="n">
        <v>6030.768639411715</v>
      </c>
    </row>
    <row r="315">
      <c r="A315" s="0" t="n">
        <v>591</v>
      </c>
      <c r="B315" s="0" t="n">
        <v>6075.540980514969</v>
      </c>
    </row>
    <row r="316">
      <c r="A316" s="0" t="n">
        <v>592</v>
      </c>
      <c r="B316" s="0" t="n">
        <v>6122.20225656372</v>
      </c>
    </row>
    <row r="317">
      <c r="A317" s="0" t="n">
        <v>593</v>
      </c>
      <c r="B317" s="0" t="n">
        <v>6170.886213246385</v>
      </c>
    </row>
    <row r="318">
      <c r="A318" s="0" t="n">
        <v>594</v>
      </c>
      <c r="B318" s="0" t="n">
        <v>6221.740337673734</v>
      </c>
    </row>
    <row r="319">
      <c r="A319" s="0" t="n">
        <v>595</v>
      </c>
      <c r="B319" s="0" t="n">
        <v>6274.927760451424</v>
      </c>
    </row>
    <row r="320">
      <c r="A320" s="0" t="n">
        <v>596</v>
      </c>
      <c r="B320" s="0" t="n">
        <v>6330.629495433832</v>
      </c>
    </row>
    <row r="321">
      <c r="A321" s="0" t="n">
        <v>597</v>
      </c>
      <c r="B321" s="0" t="n">
        <v>6389.047090980969</v>
      </c>
    </row>
    <row r="322">
      <c r="A322" s="0" t="n">
        <v>598</v>
      </c>
      <c r="B322" s="0" t="n">
        <v>6450.405785780249</v>
      </c>
    </row>
    <row r="323">
      <c r="A323" s="0" t="n">
        <v>599</v>
      </c>
      <c r="B323" s="0" t="n">
        <v>6514.958287396599</v>
      </c>
    </row>
    <row r="324">
      <c r="A324" s="0" t="n">
        <v>600</v>
      </c>
      <c r="B324" s="0" t="n">
        <v>6582.989324721113</v>
      </c>
    </row>
    <row r="325">
      <c r="A325" s="0" t="n">
        <v>601</v>
      </c>
      <c r="B325" s="0" t="n">
        <v>6654.821169282455</v>
      </c>
    </row>
    <row r="326">
      <c r="A326" s="0" t="n">
        <v>602</v>
      </c>
      <c r="B326" s="0" t="n">
        <v>6730.820379035651</v>
      </c>
    </row>
    <row r="327">
      <c r="A327" s="0" t="n">
        <v>603</v>
      </c>
      <c r="B327" s="0" t="n">
        <v>6811.406097611312</v>
      </c>
    </row>
    <row r="328">
      <c r="A328" s="0" t="n">
        <v>604</v>
      </c>
      <c r="B328" s="0" t="n">
        <v>6897.06035058621</v>
      </c>
    </row>
    <row r="329">
      <c r="A329" s="0" t="n">
        <v>605</v>
      </c>
      <c r="B329" s="0" t="n">
        <v>6988.340930679999</v>
      </c>
    </row>
    <row r="330">
      <c r="A330" s="0" t="n">
        <v>606</v>
      </c>
      <c r="B330" s="0" t="n">
        <v>7085.897674673674</v>
      </c>
    </row>
    <row r="331">
      <c r="A331" s="0" t="n">
        <v>607</v>
      </c>
      <c r="B331" s="0" t="n">
        <v>7190.493234913407</v>
      </c>
    </row>
    <row r="332">
      <c r="A332" s="0" t="n">
        <v>608</v>
      </c>
      <c r="B332" s="0" t="n">
        <v>7303.0298819307</v>
      </c>
    </row>
    <row r="333">
      <c r="A333" s="0" t="n">
        <v>609</v>
      </c>
      <c r="B333" s="0" t="n">
        <v>7424.584512297345</v>
      </c>
    </row>
    <row r="334">
      <c r="A334" s="0" t="n">
        <v>610</v>
      </c>
      <c r="B334" s="0" t="n">
        <v>7556.45499121439</v>
      </c>
    </row>
    <row r="335">
      <c r="A335" s="0" t="n">
        <v>611</v>
      </c>
      <c r="B335" s="0" t="n">
        <v>7700.222421342392</v>
      </c>
    </row>
    <row r="336">
      <c r="A336" s="0" t="n">
        <v>612</v>
      </c>
      <c r="B336" s="0" t="n">
        <v>7857.83621997513</v>
      </c>
    </row>
    <row r="337">
      <c r="A337" s="0" t="n">
        <v>613</v>
      </c>
      <c r="B337" s="0" t="n">
        <v>8031.732571448347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ws_tm">
    <outlinePr summaryBelow="1" summaryRight="1"/>
    <pageSetUpPr/>
  </sheetPr>
  <dimension ref="A1:BR237"/>
  <sheetViews>
    <sheetView tabSelected="1" topLeftCell="A204" zoomScaleNormal="100" workbookViewId="0">
      <selection activeCell="I229" sqref="I229"/>
    </sheetView>
  </sheetViews>
  <sheetFormatPr baseColWidth="8" defaultRowHeight="13.5"/>
  <cols>
    <col width="23.75" customWidth="1" style="10" min="1" max="1"/>
    <col width="10.625" customWidth="1" style="10" min="2" max="2"/>
    <col width="12.75" customWidth="1" style="10" min="3" max="3"/>
    <col width="13.875" customWidth="1" style="10" min="4" max="10"/>
    <col width="15" customWidth="1" style="10" min="11" max="12"/>
    <col width="10.625" customWidth="1" style="10" min="13" max="13"/>
    <col width="12" customWidth="1" style="10" min="14" max="14"/>
    <col width="14.25" customWidth="1" style="10" min="15" max="16"/>
    <col width="10.625" customWidth="1" style="10" min="17" max="17"/>
    <col width="14.25" customWidth="1" style="10" min="18" max="18"/>
    <col width="25.5" bestFit="1" customWidth="1" style="10" min="19" max="19"/>
    <col width="14.25" customWidth="1" style="10" min="20" max="20"/>
    <col width="15.75" customWidth="1" style="10" min="21" max="21"/>
    <col width="13.125" customWidth="1" style="10" min="22" max="23"/>
    <col width="32.125" customWidth="1" style="10" min="24" max="24"/>
    <col width="9.75" customWidth="1" style="10" min="25" max="25"/>
    <col width="32.125" customWidth="1" style="10" min="26" max="26"/>
    <col width="10.5" customWidth="1" style="10" min="27" max="27"/>
    <col width="20" customWidth="1" style="10" min="28" max="28"/>
    <col width="10.625" customWidth="1" style="10" min="29" max="31"/>
    <col width="20.625" customWidth="1" style="10" min="32" max="32"/>
    <col width="27.25" customWidth="1" style="10" min="33" max="33"/>
    <col width="20" customWidth="1" style="10" min="34" max="38"/>
    <col width="21" customWidth="1" style="10" min="39" max="39"/>
    <col width="20" customWidth="1" style="10" min="40" max="41"/>
    <col width="15.875" customWidth="1" style="10" min="42" max="42"/>
    <col width="16.5" customWidth="1" style="10" min="43" max="43"/>
    <col width="11.625" customWidth="1" style="10" min="44" max="44"/>
    <col width="18.125" customWidth="1" style="10" min="45" max="45"/>
    <col width="19.375" customWidth="1" style="10" min="46" max="46"/>
    <col width="18.125" customWidth="1" style="10" min="47" max="47"/>
    <col width="13" customWidth="1" style="10" min="48" max="48"/>
    <col width="19" customWidth="1" style="10" min="49" max="49"/>
    <col width="18.125" customWidth="1" style="10" min="50" max="50"/>
    <col width="13.75" customWidth="1" style="10" min="51" max="51"/>
    <col width="16.75" customWidth="1" style="10" min="52" max="52"/>
    <col width="12.875" bestFit="1" customWidth="1" style="10" min="53" max="53"/>
    <col width="20.625" bestFit="1" customWidth="1" style="10" min="54" max="54"/>
    <col width="13.875" customWidth="1" style="10" min="55" max="55"/>
    <col width="15.625" customWidth="1" style="10" min="56" max="56"/>
    <col width="13.875" customWidth="1" style="10" min="57" max="57"/>
    <col width="12.625" customWidth="1" style="10" min="58" max="58"/>
    <col width="9.125" bestFit="1" customWidth="1" style="10" min="59" max="60"/>
    <col width="12.875" bestFit="1" customWidth="1" style="10" min="61" max="61"/>
    <col width="9.125" bestFit="1" customWidth="1" style="10" min="62" max="62"/>
    <col width="11.5" customWidth="1" style="10" min="63" max="63"/>
    <col width="12.75" bestFit="1" customWidth="1" style="10" min="64" max="64"/>
    <col width="12.875" bestFit="1" customWidth="1" style="10" min="65" max="65"/>
    <col width="12.75" bestFit="1" customWidth="1" style="10" min="66" max="67"/>
    <col width="15.375" bestFit="1" customWidth="1" style="10" min="68" max="68"/>
    <col width="12" customWidth="1" style="10" min="69" max="69"/>
  </cols>
  <sheetData>
    <row r="1" ht="61.5" customHeight="1" s="10">
      <c r="A1" s="0" t="inlineStr">
        <is>
          <t>No_TableNo</t>
        </is>
      </c>
      <c r="B1" s="0" t="inlineStr">
        <is>
          <t>P</t>
        </is>
      </c>
      <c r="C1" s="2" t="inlineStr">
        <is>
          <t>Ts</t>
        </is>
      </c>
      <c r="D1" s="2" t="inlineStr">
        <is>
          <t>rhoG</t>
        </is>
      </c>
      <c r="E1" s="2" t="inlineStr">
        <is>
          <t>rhoL</t>
        </is>
      </c>
      <c r="F1" s="2" t="inlineStr">
        <is>
          <t>HG</t>
        </is>
      </c>
      <c r="G1" s="2" t="inlineStr">
        <is>
          <t>HL</t>
        </is>
      </c>
      <c r="H1" s="2" t="inlineStr">
        <is>
          <t>muG</t>
        </is>
      </c>
      <c r="I1" s="2" t="inlineStr">
        <is>
          <t>muL</t>
        </is>
      </c>
      <c r="J1" s="2" t="inlineStr">
        <is>
          <t>KL</t>
        </is>
      </c>
      <c r="K1" s="2" t="inlineStr">
        <is>
          <t>CPL</t>
        </is>
      </c>
      <c r="L1" s="2" t="inlineStr">
        <is>
          <t>sigma</t>
        </is>
      </c>
      <c r="M1" s="3" t="inlineStr">
        <is>
          <t>No</t>
        </is>
      </c>
      <c r="N1" s="3" t="inlineStr">
        <is>
          <t>G</t>
        </is>
      </c>
      <c r="O1" s="3" t="inlineStr">
        <is>
          <t>A</t>
        </is>
      </c>
      <c r="P1" s="3" t="inlineStr">
        <is>
          <t>Pw</t>
        </is>
      </c>
      <c r="Q1" s="3" t="inlineStr">
        <is>
          <t>DH</t>
        </is>
      </c>
      <c r="R1" s="3" t="inlineStr">
        <is>
          <t>L_DNB</t>
        </is>
      </c>
      <c r="S1" s="13" t="inlineStr">
        <is>
          <t>q_in</t>
        </is>
      </c>
      <c r="T1" s="3" t="inlineStr">
        <is>
          <t>Tin</t>
        </is>
      </c>
      <c r="U1" s="3" t="inlineStr">
        <is>
          <t>Tf</t>
        </is>
      </c>
      <c r="V1" s="4" t="inlineStr">
        <is>
          <t>f(beta)</t>
        </is>
      </c>
      <c r="W1" s="4" t="inlineStr">
        <is>
          <t>Re</t>
        </is>
      </c>
      <c r="X1" s="4" t="inlineStr">
        <is>
          <t>f</t>
        </is>
      </c>
      <c r="Y1" s="4" t="inlineStr">
        <is>
          <t>f_left</t>
        </is>
      </c>
      <c r="Z1" s="4" t="inlineStr">
        <is>
          <t>f_rihgt</t>
        </is>
      </c>
      <c r="AA1" s="4" t="inlineStr">
        <is>
          <t>f_balance</t>
        </is>
      </c>
      <c r="AB1" s="4" t="inlineStr">
        <is>
          <t>DB</t>
        </is>
      </c>
      <c r="AC1" s="11" t="inlineStr">
        <is>
          <t>Tw</t>
        </is>
      </c>
      <c r="AD1" s="11" t="inlineStr">
        <is>
          <t>y_plus</t>
        </is>
      </c>
      <c r="AE1" s="11" t="inlineStr">
        <is>
          <t>Tm</t>
        </is>
      </c>
      <c r="AF1" s="11" t="inlineStr">
        <is>
          <t>Tw_balance</t>
        </is>
      </c>
      <c r="AG1" s="6" t="inlineStr">
        <is>
          <t>y_star</t>
        </is>
      </c>
      <c r="AH1" s="6" t="inlineStr">
        <is>
          <t>tauw</t>
        </is>
      </c>
      <c r="AI1" s="6" t="inlineStr">
        <is>
          <t>Utau</t>
        </is>
      </c>
      <c r="AJ1" s="5" t="inlineStr">
        <is>
          <t>y_plus2</t>
        </is>
      </c>
      <c r="AK1" s="5" t="inlineStr">
        <is>
          <t>Q</t>
        </is>
      </c>
      <c r="AL1" s="5" t="inlineStr">
        <is>
          <t>Pr</t>
        </is>
      </c>
      <c r="AM1" s="5" t="inlineStr">
        <is>
          <t>T(y_plus)</t>
        </is>
      </c>
      <c r="AN1" s="5" t="inlineStr">
        <is>
          <t>y_star_balance</t>
        </is>
      </c>
      <c r="AO1" s="7" t="inlineStr">
        <is>
          <t>delta</t>
        </is>
      </c>
      <c r="AP1" s="3" t="inlineStr">
        <is>
          <t>UB</t>
        </is>
      </c>
      <c r="AQ1" s="3" t="inlineStr">
        <is>
          <t>LB</t>
        </is>
      </c>
      <c r="AR1" s="3" t="inlineStr">
        <is>
          <t>YB</t>
        </is>
      </c>
      <c r="AS1" s="3" t="inlineStr">
        <is>
          <t>YB_plus</t>
        </is>
      </c>
      <c r="AT1" s="3" t="inlineStr">
        <is>
          <t>Karman_UB</t>
        </is>
      </c>
      <c r="AU1" s="3" t="inlineStr">
        <is>
          <t>UBL</t>
        </is>
      </c>
      <c r="AV1" s="3" t="inlineStr">
        <is>
          <t>UB_left</t>
        </is>
      </c>
      <c r="AW1" s="3" t="inlineStr">
        <is>
          <t>CD</t>
        </is>
      </c>
      <c r="AX1" s="3" t="inlineStr">
        <is>
          <t>UB_right</t>
        </is>
      </c>
      <c r="AY1" s="3" t="inlineStr">
        <is>
          <t>UB_balance</t>
        </is>
      </c>
      <c r="AZ1" s="1" t="inlineStr">
        <is>
          <t>HG-HL</t>
        </is>
      </c>
      <c r="BA1" s="0" t="inlineStr">
        <is>
          <t>LB/UB</t>
        </is>
      </c>
      <c r="BB1" s="0" t="inlineStr">
        <is>
          <t>q_P</t>
        </is>
      </c>
      <c r="BC1" s="18" t="inlineStr">
        <is>
          <t>dq_chf</t>
        </is>
      </c>
      <c r="BD1" s="18" t="inlineStr">
        <is>
          <t>dq_ratio</t>
        </is>
      </c>
      <c r="BE1" s="0" t="inlineStr">
        <is>
          <t>q_M</t>
        </is>
      </c>
      <c r="BF1" s="17" t="inlineStr">
        <is>
          <t>PM_ratio</t>
        </is>
      </c>
      <c r="BG1" s="0" t="inlineStr">
        <is>
          <t>F_form</t>
        </is>
      </c>
      <c r="BH1" s="0" t="inlineStr">
        <is>
          <t>x_Mes</t>
        </is>
      </c>
      <c r="BI1" s="0" t="inlineStr">
        <is>
          <t>A_corr</t>
        </is>
      </c>
      <c r="BJ1" s="0" t="inlineStr">
        <is>
          <t>σ_corr</t>
        </is>
      </c>
      <c r="BK1" s="0" t="inlineStr">
        <is>
          <t>Fcorr</t>
        </is>
      </c>
      <c r="BL1" s="0" t="inlineStr">
        <is>
          <t>Tsub</t>
        </is>
      </c>
      <c r="BM1" s="0" t="inlineStr">
        <is>
          <t>q_P_MW</t>
        </is>
      </c>
      <c r="BN1" s="0" t="inlineStr">
        <is>
          <t>Tsub2</t>
        </is>
      </c>
      <c r="BO1" s="0" t="inlineStr">
        <is>
          <t>Fcorr2</t>
        </is>
      </c>
      <c r="BP1" s="0" t="inlineStr">
        <is>
          <t>(Tsub-40)^2</t>
        </is>
      </c>
      <c r="BQ1" s="0" t="inlineStr">
        <is>
          <t>F2</t>
        </is>
      </c>
      <c r="BR1" s="0" t="inlineStr">
        <is>
          <t>L</t>
        </is>
      </c>
    </row>
    <row r="2">
      <c r="A2" s="21" t="inlineStr">
        <is>
          <t>9.01_10</t>
        </is>
      </c>
      <c r="B2" s="22" t="n">
        <v>13789520</v>
      </c>
      <c r="C2" s="22">
        <f t="array" ref="C2">TsatFromP(テーブル2[[#This Row],[P]])</f>
        <v/>
      </c>
      <c r="D2" s="22">
        <f t="array" ref="D2">RhoGFromP(テーブル2[[#This Row],[P]])</f>
        <v/>
      </c>
      <c r="E2" s="22">
        <f t="array" ref="E2">RhoFFromP(テーブル2[[#This Row],[P]])</f>
        <v/>
      </c>
      <c r="F2" s="22">
        <f t="array" ref="F2">HgFromP(テーブル2[[#This Row],[P]])</f>
        <v/>
      </c>
      <c r="G2" s="22">
        <f t="array" ref="G2">HfFromP(テーブル2[[#This Row],[P]])</f>
        <v/>
      </c>
      <c r="H2" s="22">
        <f t="array" ref="H2">MuGFromP(テーブル2[[#This Row],[P]])</f>
        <v/>
      </c>
      <c r="I2" s="22">
        <f t="array" ref="I2">MuFFromP(テーブル2[[#This Row],[P]])</f>
        <v/>
      </c>
      <c r="J2" s="22">
        <f t="array" ref="J2">KfFromP(テーブル2[[#This Row],[P]])</f>
        <v/>
      </c>
      <c r="K2" s="22">
        <f t="array" ref="K2">CpFFromP(テーブル2[[#This Row],[P]])</f>
        <v/>
      </c>
      <c r="L2" s="22">
        <f t="array" ref="L2">SigmaFromP(テーブル2[[#This Row],[P]])</f>
        <v/>
      </c>
      <c r="M2" s="23" t="n">
        <v>1</v>
      </c>
      <c r="N2" s="22" t="n">
        <v>2440.8</v>
      </c>
      <c r="O2" s="24" t="n">
        <v>2.850229569923424e-06</v>
      </c>
      <c r="P2" s="24" t="n">
        <v>0.005984734005088555</v>
      </c>
      <c r="Q2" s="24" t="n">
        <v>0.001905</v>
      </c>
      <c r="R2" s="22" t="n">
        <v>0.1524</v>
      </c>
      <c r="S2" s="25" t="n">
        <v>4124066.34765625</v>
      </c>
      <c r="T2" s="22" t="n">
        <v>499.95139682144</v>
      </c>
      <c r="U2" s="35">
        <f>+T2+BG2*S2*テーブル2[[#This Row],[Pw]]*R2/(N2*O2*K2)</f>
        <v/>
      </c>
      <c r="V2" s="22" t="n">
        <v>0.03</v>
      </c>
      <c r="W2" s="24">
        <f>+N2*Q2/I2</f>
        <v/>
      </c>
      <c r="X2" s="22" t="n">
        <v>0.03526893093705516</v>
      </c>
      <c r="Y2" s="22">
        <f>IF(X2&gt;0,1/X2^0.5,1)</f>
        <v/>
      </c>
      <c r="Z2" s="22">
        <f>IF(X2&gt;0,1.14-2*LOG((0.72*L2*E2)/(X2*Q2*N2^2)+9.35/(W2*X2^0.5)),0)</f>
        <v/>
      </c>
      <c r="AA2" s="22">
        <f>+Y2-Z2</f>
        <v/>
      </c>
      <c r="AB2" s="22">
        <f>32/X2*L2*V2*E2/N2^2</f>
        <v/>
      </c>
      <c r="AC2" s="22" t="n">
        <v>692.2233776361046</v>
      </c>
      <c r="AD2" s="22">
        <f>+Q2/2*AI2/I2*E2</f>
        <v/>
      </c>
      <c r="AE2" s="22">
        <f>+gettm2(AD2,AC2,AK2,AL2,テーブル2[[#This Row],[Fcorr]])</f>
        <v/>
      </c>
      <c r="AF2" s="36">
        <f>+AE2-U2</f>
        <v/>
      </c>
      <c r="AG2" s="22" t="n">
        <v>1.865086821501242e-05</v>
      </c>
      <c r="AH2" s="22">
        <f>+X2*N2^2/(8*E2)</f>
        <v/>
      </c>
      <c r="AI2" s="22">
        <f>+(AH2/E2)^0.5</f>
        <v/>
      </c>
      <c r="AJ2" s="22">
        <f>+AG2*AI2/I2*E2</f>
        <v/>
      </c>
      <c r="AK2" s="22">
        <f t="array" ref="AK2">+S2*テーブル2[[#This Row],[F_form]]/(E2*CpFromTP((テーブル2[[#This Row],[Tin]]+テーブル2[[#This Row],[Tf]])/2,テーブル2[[#This Row],[P]])*AI2)</f>
        <v/>
      </c>
      <c r="AL2" s="22">
        <f>+K2*I2/J2</f>
        <v/>
      </c>
      <c r="AM2" s="22">
        <f>+gettyp(AC2,AJ2,AK2,AL2)</f>
        <v/>
      </c>
      <c r="AN2" s="22">
        <f>+C2-AM2</f>
        <v/>
      </c>
      <c r="AO2" s="22">
        <f>+AG2-AB2</f>
        <v/>
      </c>
      <c r="AP2" s="22" t="n">
        <v>3.423805501945982</v>
      </c>
      <c r="AQ2" s="22">
        <f>2*PI()*L2*(D2+E2)/(D2*E2*AP2^2)</f>
        <v/>
      </c>
      <c r="AR2" s="22">
        <f>+AO2+AB2/2</f>
        <v/>
      </c>
      <c r="AS2" s="22">
        <f>+AR2*AI2/I2*E2</f>
        <v/>
      </c>
      <c r="AT2" s="22">
        <f>+getublp(AS2)</f>
        <v/>
      </c>
      <c r="AU2" s="22">
        <f>+AT2*AI2</f>
        <v/>
      </c>
      <c r="AV2" s="22">
        <f>+AP2-AU2</f>
        <v/>
      </c>
      <c r="AW2" s="22">
        <f>2/3*AB2/(L2/(9.8*(E2-D2)))^0.5</f>
        <v/>
      </c>
      <c r="AX2" s="22">
        <f>+(2*AQ2*9.8*(E2-D2)/(E2*AW2))^0.5</f>
        <v/>
      </c>
      <c r="AY2" s="22">
        <f>+AV2-AX2</f>
        <v/>
      </c>
      <c r="AZ2" s="22">
        <f>+F2-G2</f>
        <v/>
      </c>
      <c r="BA2" s="22">
        <f>+AQ2/AP2</f>
        <v/>
      </c>
      <c r="BB2" s="25">
        <f>+E2*AO2*AZ2/BA2</f>
        <v/>
      </c>
      <c r="BC2" s="28">
        <f>BB2-S2</f>
        <v/>
      </c>
      <c r="BD2" s="29">
        <f>+(BB2-S2)/S2*100</f>
        <v/>
      </c>
      <c r="BE2" s="25" t="n">
        <v>4038400</v>
      </c>
      <c r="BF2" s="30">
        <f>テーブル2[[#This Row],[q_P]]/テーブル2[[#This Row],[q_M]]</f>
        <v/>
      </c>
      <c r="BG2" s="22" t="n">
        <v>1</v>
      </c>
      <c r="BH2" s="22" t="n">
        <v>-0.05</v>
      </c>
      <c r="BI2" s="22" t="n">
        <v>0.046</v>
      </c>
      <c r="BJ2" s="22" t="n">
        <v>5625</v>
      </c>
      <c r="BK2" s="22" t="n">
        <v>1</v>
      </c>
      <c r="BL2" s="22">
        <f>テーブル2[[#This Row],[Ts]]-テーブル2[[#This Row],[Tin]]</f>
        <v/>
      </c>
      <c r="BM2" s="22">
        <f>テーブル2[[#This Row],[q_P]]*0.000001</f>
        <v/>
      </c>
      <c r="BN2" s="22">
        <f>テーブル2[[#This Row],[Tsub]]</f>
        <v/>
      </c>
      <c r="BO2" s="22">
        <f>テーブル2[[#This Row],[Fcorr]]</f>
        <v/>
      </c>
      <c r="BP2" s="22">
        <f>(テーブル2[[#This Row],[Tsub]]-40)^2</f>
        <v/>
      </c>
      <c r="BQ2" t="n">
        <v>1</v>
      </c>
      <c r="BR2" s="0" t="n">
        <v>0.1524</v>
      </c>
    </row>
    <row r="3">
      <c r="A3" s="9" t="inlineStr">
        <is>
          <t>10.01_10</t>
        </is>
      </c>
      <c r="B3" s="0" t="n">
        <v>13789520</v>
      </c>
      <c r="C3" s="22">
        <f t="array" ref="C3">TsatFromP(テーブル2[[#This Row],[P]])</f>
        <v/>
      </c>
      <c r="D3" s="0">
        <f t="array" ref="D3">RhoGFromP(テーブル2[[#This Row],[P]])</f>
        <v/>
      </c>
      <c r="E3" s="0">
        <f t="array" ref="E3">RhoFFromP(テーブル2[[#This Row],[P]])</f>
        <v/>
      </c>
      <c r="F3" s="0">
        <f t="array" ref="F3">HgFromP(テーブル2[[#This Row],[P]])</f>
        <v/>
      </c>
      <c r="G3" s="0">
        <f t="array" ref="G3">HfFromP(テーブル2[[#This Row],[P]])</f>
        <v/>
      </c>
      <c r="H3" s="0">
        <f t="array" ref="H3">MuGFromP(テーブル2[[#This Row],[P]])</f>
        <v/>
      </c>
      <c r="I3" s="0">
        <f t="array" ref="I3">MuFFromP(テーブル2[[#This Row],[P]])</f>
        <v/>
      </c>
      <c r="J3" s="0">
        <f t="array" ref="J3">KfFromP(テーブル2[[#This Row],[P]])</f>
        <v/>
      </c>
      <c r="K3" s="0">
        <f t="array" ref="K3">CpFFromP(テーブル2[[#This Row],[P]])</f>
        <v/>
      </c>
      <c r="L3" s="0">
        <f t="array" ref="L3">SigmaFromP(テーブル2[[#This Row],[P]])</f>
        <v/>
      </c>
      <c r="M3" s="0" t="n">
        <v>2</v>
      </c>
      <c r="N3" s="0" t="n">
        <v>2454.36</v>
      </c>
      <c r="O3" s="8" t="n">
        <v>2.850229569923424e-06</v>
      </c>
      <c r="P3" s="8" t="n">
        <v>0.005984734005088555</v>
      </c>
      <c r="Q3" s="8" t="n">
        <v>0.001905</v>
      </c>
      <c r="R3" s="0" t="n">
        <v>0.1524</v>
      </c>
      <c r="S3" s="15" t="n">
        <v>4160719.62890625</v>
      </c>
      <c r="T3" s="0" t="n">
        <v>499.391496084252</v>
      </c>
      <c r="U3" s="37">
        <f>+T3+BG3*S3*テーブル2[[#This Row],[Pw]]*R3/(N3*O3*K3)</f>
        <v/>
      </c>
      <c r="V3" s="0" t="n">
        <v>0.03</v>
      </c>
      <c r="W3" s="8">
        <f>+N3*Q3/I3</f>
        <v/>
      </c>
      <c r="X3" s="0" t="n">
        <v>0.0351764833109403</v>
      </c>
      <c r="Y3" s="0">
        <f>IF(X3&gt;0,1/X3^0.5,1)</f>
        <v/>
      </c>
      <c r="Z3" s="0">
        <f>IF(X3&gt;0,1.14-2*LOG((0.72*L3*E3)/(X3*Q3*N3^2)+9.35/(W3*X3^0.5)),0)</f>
        <v/>
      </c>
      <c r="AA3" s="0">
        <f>+Y3-Z3</f>
        <v/>
      </c>
      <c r="AB3" s="0">
        <f>32/X3*L3*V3*E3/N3^2</f>
        <v/>
      </c>
      <c r="AC3" s="0" t="n">
        <v>692.6378803127811</v>
      </c>
      <c r="AD3" s="0">
        <f>+Q3/2*AI3/I3*E3</f>
        <v/>
      </c>
      <c r="AE3" s="0">
        <f>+gettm2(AD3,AC3,AK3,AL3,テーブル2[[#This Row],[Fcorr]])</f>
        <v/>
      </c>
      <c r="AF3" s="38">
        <f>+AE3-U3</f>
        <v/>
      </c>
      <c r="AG3" s="0" t="n">
        <v>1.849456800360023e-05</v>
      </c>
      <c r="AH3" s="0">
        <f>+X3*N3^2/(8*E3)</f>
        <v/>
      </c>
      <c r="AI3" s="0">
        <f>+(AH3/E3)^0.5</f>
        <v/>
      </c>
      <c r="AJ3" s="0">
        <f>+AG3*AI3/I3*E3</f>
        <v/>
      </c>
      <c r="AK3" s="0">
        <f t="array" ref="AK3">+S3*テーブル2[[#This Row],[F_form]]/(E3*CpFromTP((テーブル2[[#This Row],[Tin]]+テーブル2[[#This Row],[Tf]])/2,テーブル2[[#This Row],[P]])*AI3)</f>
        <v/>
      </c>
      <c r="AL3" s="0">
        <f>+K3*I3/J3</f>
        <v/>
      </c>
      <c r="AM3" s="0">
        <f>+gettyp(AC3,AJ3,AK3,AL3)</f>
        <v/>
      </c>
      <c r="AN3" s="0">
        <f>+C3-AM3</f>
        <v/>
      </c>
      <c r="AO3" s="0">
        <f>+AG3-AB3</f>
        <v/>
      </c>
      <c r="AP3" s="0" t="n">
        <v>3.432253069941613</v>
      </c>
      <c r="AQ3" s="0">
        <f>2*PI()*L3*(D3+E3)/(D3*E3*AP3^2)</f>
        <v/>
      </c>
      <c r="AR3" s="0">
        <f>+AO3+AB3/2</f>
        <v/>
      </c>
      <c r="AS3" s="0">
        <f>+AR3*AI3/I3*E3</f>
        <v/>
      </c>
      <c r="AT3" s="0">
        <f>+getublp(AS3)</f>
        <v/>
      </c>
      <c r="AU3" s="0">
        <f>+AT3*AI3</f>
        <v/>
      </c>
      <c r="AV3" s="0">
        <f>+AP3-AU3</f>
        <v/>
      </c>
      <c r="AW3" s="0">
        <f>2/3*AB3/(L3/(9.8*(E3-D3)))^0.5</f>
        <v/>
      </c>
      <c r="AX3" s="0">
        <f>+(2*AQ3*9.8*(E3-D3)/(E3*AW3))^0.5</f>
        <v/>
      </c>
      <c r="AY3" s="0">
        <f>+AV3-AX3</f>
        <v/>
      </c>
      <c r="AZ3" s="0">
        <f>+F3-G3</f>
        <v/>
      </c>
      <c r="BA3" s="0">
        <f>+AQ3/AP3</f>
        <v/>
      </c>
      <c r="BB3" s="15">
        <f>+E3*AO3*AZ3/BA3</f>
        <v/>
      </c>
      <c r="BC3" s="20">
        <f>BB3-S3</f>
        <v/>
      </c>
      <c r="BD3" s="19">
        <f>+(BB3-S3)/S3*100</f>
        <v/>
      </c>
      <c r="BE3" s="15" t="n">
        <v>4038400</v>
      </c>
      <c r="BF3" s="16">
        <f>テーブル2[[#This Row],[q_P]]/テーブル2[[#This Row],[q_M]]</f>
        <v/>
      </c>
      <c r="BG3" s="0" t="n">
        <v>1</v>
      </c>
      <c r="BH3" s="0" t="n">
        <v>-0.055</v>
      </c>
      <c r="BI3" s="0" t="n">
        <v>0.046</v>
      </c>
      <c r="BJ3" s="0" t="n">
        <v>5625</v>
      </c>
      <c r="BK3" s="22" t="n">
        <v>1</v>
      </c>
      <c r="BL3" s="0">
        <f>テーブル2[[#This Row],[Ts]]-テーブル2[[#This Row],[Tin]]</f>
        <v/>
      </c>
      <c r="BM3" s="0">
        <f>テーブル2[[#This Row],[q_P]]*0.000001</f>
        <v/>
      </c>
      <c r="BN3" s="0">
        <f>テーブル2[[#This Row],[Tsub]]</f>
        <v/>
      </c>
      <c r="BO3" s="0">
        <f>テーブル2[[#This Row],[Fcorr]]</f>
        <v/>
      </c>
      <c r="BP3" s="0">
        <f>(テーブル2[[#This Row],[Tsub]]-40)^2</f>
        <v/>
      </c>
      <c r="BQ3" t="n">
        <v>1</v>
      </c>
      <c r="BR3" s="0" t="n">
        <v>0.1524</v>
      </c>
    </row>
    <row r="4">
      <c r="A4" s="9" t="inlineStr">
        <is>
          <t>11.01_10</t>
        </is>
      </c>
      <c r="B4" s="0" t="n">
        <v>13789520</v>
      </c>
      <c r="C4" s="22">
        <f t="array" ref="C4">TsatFromP(テーブル2[[#This Row],[P]])</f>
        <v/>
      </c>
      <c r="D4" s="0">
        <f t="array" ref="D4">RhoGFromP(テーブル2[[#This Row],[P]])</f>
        <v/>
      </c>
      <c r="E4" s="0">
        <f t="array" ref="E4">RhoFFromP(テーブル2[[#This Row],[P]])</f>
        <v/>
      </c>
      <c r="F4" s="0">
        <f t="array" ref="F4">HgFromP(テーブル2[[#This Row],[P]])</f>
        <v/>
      </c>
      <c r="G4" s="0">
        <f t="array" ref="G4">HfFromP(テーブル2[[#This Row],[P]])</f>
        <v/>
      </c>
      <c r="H4" s="0">
        <f t="array" ref="H4">MuGFromP(テーブル2[[#This Row],[P]])</f>
        <v/>
      </c>
      <c r="I4" s="0">
        <f t="array" ref="I4">MuFFromP(テーブル2[[#This Row],[P]])</f>
        <v/>
      </c>
      <c r="J4" s="0">
        <f t="array" ref="J4">KfFromP(テーブル2[[#This Row],[P]])</f>
        <v/>
      </c>
      <c r="K4" s="0">
        <f t="array" ref="K4">CpFFromP(テーブル2[[#This Row],[P]])</f>
        <v/>
      </c>
      <c r="L4" s="0">
        <f t="array" ref="L4">SigmaFromP(テーブル2[[#This Row],[P]])</f>
        <v/>
      </c>
      <c r="M4" s="23" t="n">
        <v>3</v>
      </c>
      <c r="N4" s="0" t="n">
        <v>3037.44</v>
      </c>
      <c r="O4" s="8" t="n">
        <v>2.850229569923424e-06</v>
      </c>
      <c r="P4" s="8" t="n">
        <v>0.005984734005088555</v>
      </c>
      <c r="Q4" s="8" t="n">
        <v>0.001905</v>
      </c>
      <c r="R4" s="0" t="n">
        <v>0.1524</v>
      </c>
      <c r="S4" s="15" t="n">
        <v>5012464.74609375</v>
      </c>
      <c r="T4" s="0" t="n">
        <v>495.511455370578</v>
      </c>
      <c r="U4" s="37">
        <f>+T4+BG4*S4*テーブル2[[#This Row],[Pw]]*R4/(N4*O4*K4)</f>
        <v/>
      </c>
      <c r="V4" s="0" t="n">
        <v>0.03</v>
      </c>
      <c r="W4" s="8">
        <f>+N4*Q4/I4</f>
        <v/>
      </c>
      <c r="X4" s="0" t="n">
        <v>0.03186950053592998</v>
      </c>
      <c r="Y4" s="0">
        <f>IF(X4&gt;0,1/X4^0.5,1)</f>
        <v/>
      </c>
      <c r="Z4" s="0">
        <f>IF(X4&gt;0,1.14-2*LOG((0.72*L4*E4)/(X4*Q4*N4^2)+9.35/(W4*X4^0.5)),0)</f>
        <v/>
      </c>
      <c r="AA4" s="0">
        <f>+Y4-Z4</f>
        <v/>
      </c>
      <c r="AB4" s="0">
        <f>32/X4*L4*V4*E4/N4^2</f>
        <v/>
      </c>
      <c r="AC4" s="0" t="n">
        <v>693.2185081824994</v>
      </c>
      <c r="AD4" s="0">
        <f>+Q4/2*AI4/I4*E4</f>
        <v/>
      </c>
      <c r="AE4" s="0">
        <f>+gettm2(AD4,AC4,AK4,AL4,テーブル2[[#This Row],[Fcorr]])</f>
        <v/>
      </c>
      <c r="AF4" s="38">
        <f>+AE4-U4</f>
        <v/>
      </c>
      <c r="AG4" s="0" t="n">
        <v>1.334359523851514e-05</v>
      </c>
      <c r="AH4" s="0">
        <f>+X4*N4^2/(8*E4)</f>
        <v/>
      </c>
      <c r="AI4" s="0">
        <f>+(AH4/E4)^0.5</f>
        <v/>
      </c>
      <c r="AJ4" s="0">
        <f>+AG4*AI4/I4*E4</f>
        <v/>
      </c>
      <c r="AK4" s="0">
        <f t="array" ref="AK4">+S4*テーブル2[[#This Row],[F_form]]/(E4*CpFromTP((テーブル2[[#This Row],[Tin]]+テーブル2[[#This Row],[Tf]])/2,テーブル2[[#This Row],[P]])*AI4)</f>
        <v/>
      </c>
      <c r="AL4" s="0">
        <f>+K4*I4/J4</f>
        <v/>
      </c>
      <c r="AM4" s="0">
        <f>+gettyp(AC4,AJ4,AK4,AL4)</f>
        <v/>
      </c>
      <c r="AN4" s="0">
        <f>+C4-AM4</f>
        <v/>
      </c>
      <c r="AO4" s="0">
        <f>+AG4-AB4</f>
        <v/>
      </c>
      <c r="AP4" s="0" t="n">
        <v>3.767375737232408</v>
      </c>
      <c r="AQ4" s="0">
        <f>2*PI()*L4*(D4+E4)/(D4*E4*AP4^2)</f>
        <v/>
      </c>
      <c r="AR4" s="0">
        <f>+AO4+AB4/2</f>
        <v/>
      </c>
      <c r="AS4" s="0">
        <f>+AR4*AI4/I4*E4</f>
        <v/>
      </c>
      <c r="AT4" s="0">
        <f>+getublp(AS4)</f>
        <v/>
      </c>
      <c r="AU4" s="0">
        <f>+AT4*AI4</f>
        <v/>
      </c>
      <c r="AV4" s="0">
        <f>+AP4-AU4</f>
        <v/>
      </c>
      <c r="AW4" s="0">
        <f>2/3*AB4/(L4/(9.8*(E4-D4)))^0.5</f>
        <v/>
      </c>
      <c r="AX4" s="0">
        <f>+(2*AQ4*9.8*(E4-D4)/(E4*AW4))^0.5</f>
        <v/>
      </c>
      <c r="AY4" s="0">
        <f>+AV4-AX4</f>
        <v/>
      </c>
      <c r="AZ4" s="0">
        <f>+F4-G4</f>
        <v/>
      </c>
      <c r="BA4" s="0">
        <f>+AQ4/AP4</f>
        <v/>
      </c>
      <c r="BB4" s="15">
        <f>+E4*AO4*AZ4/BA4</f>
        <v/>
      </c>
      <c r="BC4" s="20">
        <f>BB4-S4</f>
        <v/>
      </c>
      <c r="BD4" s="19">
        <f>+(BB4-S4)/S4*100</f>
        <v/>
      </c>
      <c r="BE4" s="15" t="n">
        <v>5395049.999999999</v>
      </c>
      <c r="BF4" s="16">
        <f>テーブル2[[#This Row],[q_P]]/テーブル2[[#This Row],[q_M]]</f>
        <v/>
      </c>
      <c r="BG4" s="0" t="n">
        <v>1</v>
      </c>
      <c r="BH4" s="0" t="n">
        <v>-0.033</v>
      </c>
      <c r="BI4" s="0" t="n">
        <v>0.046</v>
      </c>
      <c r="BJ4" s="0" t="n">
        <v>5625</v>
      </c>
      <c r="BK4" s="22" t="n">
        <v>1</v>
      </c>
      <c r="BL4" s="0">
        <f>テーブル2[[#This Row],[Ts]]-テーブル2[[#This Row],[Tin]]</f>
        <v/>
      </c>
      <c r="BM4" s="0">
        <f>テーブル2[[#This Row],[q_P]]*0.000001</f>
        <v/>
      </c>
      <c r="BN4" s="0">
        <f>テーブル2[[#This Row],[Tsub]]</f>
        <v/>
      </c>
      <c r="BO4" s="0">
        <f>テーブル2[[#This Row],[Fcorr]]</f>
        <v/>
      </c>
      <c r="BP4" s="0">
        <f>(テーブル2[[#This Row],[Tsub]]-40)^2</f>
        <v/>
      </c>
      <c r="BQ4" t="n">
        <v>1</v>
      </c>
      <c r="BR4" s="0" t="n">
        <v>0.1524</v>
      </c>
    </row>
    <row r="5">
      <c r="A5" s="9" t="inlineStr">
        <is>
          <t>12.01_10</t>
        </is>
      </c>
      <c r="B5" s="0" t="n">
        <v>13789520</v>
      </c>
      <c r="C5" s="22">
        <f t="array" ref="C5">TsatFromP(テーブル2[[#This Row],[P]])</f>
        <v/>
      </c>
      <c r="D5" s="0">
        <f t="array" ref="D5">RhoGFromP(テーブル2[[#This Row],[P]])</f>
        <v/>
      </c>
      <c r="E5" s="0">
        <f t="array" ref="E5">RhoFFromP(テーブル2[[#This Row],[P]])</f>
        <v/>
      </c>
      <c r="F5" s="0">
        <f t="array" ref="F5">HgFromP(テーブル2[[#This Row],[P]])</f>
        <v/>
      </c>
      <c r="G5" s="0">
        <f t="array" ref="G5">HfFromP(テーブル2[[#This Row],[P]])</f>
        <v/>
      </c>
      <c r="H5" s="0">
        <f t="array" ref="H5">MuGFromP(テーブル2[[#This Row],[P]])</f>
        <v/>
      </c>
      <c r="I5" s="0">
        <f t="array" ref="I5">MuFFromP(テーブル2[[#This Row],[P]])</f>
        <v/>
      </c>
      <c r="J5" s="0">
        <f t="array" ref="J5">KfFromP(テーブル2[[#This Row],[P]])</f>
        <v/>
      </c>
      <c r="K5" s="0">
        <f t="array" ref="K5">CpFFromP(テーブル2[[#This Row],[P]])</f>
        <v/>
      </c>
      <c r="L5" s="0">
        <f t="array" ref="L5">SigmaFromP(テーブル2[[#This Row],[P]])</f>
        <v/>
      </c>
      <c r="M5" s="0" t="n">
        <v>4</v>
      </c>
      <c r="N5" s="0" t="n">
        <v>3118.8</v>
      </c>
      <c r="O5" s="8" t="n">
        <v>2.850229569923424e-06</v>
      </c>
      <c r="P5" s="8" t="n">
        <v>0.005984734005088555</v>
      </c>
      <c r="Q5" s="8" t="n">
        <v>0.001905</v>
      </c>
      <c r="R5" s="0" t="n">
        <v>0.1524</v>
      </c>
      <c r="S5" s="15" t="n">
        <v>6642123.14453125</v>
      </c>
      <c r="T5" s="0" t="n">
        <v>458.882857903603</v>
      </c>
      <c r="U5" s="37">
        <f>+T5+BG5*S5*テーブル2[[#This Row],[Pw]]*R5/(N5*O5*K5)</f>
        <v/>
      </c>
      <c r="V5" s="0" t="n">
        <v>0.03</v>
      </c>
      <c r="W5" s="8">
        <f>+N5*Q5/I5</f>
        <v/>
      </c>
      <c r="X5" s="0" t="n">
        <v>0.03149113990230715</v>
      </c>
      <c r="Y5" s="0">
        <f>IF(X5&gt;0,1/X5^0.5,1)</f>
        <v/>
      </c>
      <c r="Z5" s="0">
        <f>IF(X5&gt;0,1.14-2*LOG((0.72*L5*E5)/(X5*Q5*N5^2)+9.35/(W5*X5^0.5)),0)</f>
        <v/>
      </c>
      <c r="AA5" s="0">
        <f>+Y5-Z5</f>
        <v/>
      </c>
      <c r="AB5" s="0">
        <f>32/X5*L5*V5*E5/N5^2</f>
        <v/>
      </c>
      <c r="AC5" s="0" t="n">
        <v>723.2499465016743</v>
      </c>
      <c r="AD5" s="0">
        <f>+Q5/2*AI5/I5*E5</f>
        <v/>
      </c>
      <c r="AE5" s="0">
        <f>+gettm2(AD5,AC5,AK5,AL5,テーブル2[[#This Row],[Fcorr]])</f>
        <v/>
      </c>
      <c r="AF5" s="38">
        <f>+AE5-U5</f>
        <v/>
      </c>
      <c r="AG5" s="0" t="n">
        <v>1.283282309073698e-05</v>
      </c>
      <c r="AH5" s="0">
        <f>+X5*N5^2/(8*E5)</f>
        <v/>
      </c>
      <c r="AI5" s="0">
        <f>+(AH5/E5)^0.5</f>
        <v/>
      </c>
      <c r="AJ5" s="0">
        <f>+AG5*AI5/I5*E5</f>
        <v/>
      </c>
      <c r="AK5" s="0">
        <f t="array" ref="AK5">+S5*テーブル2[[#This Row],[F_form]]/(E5*CpFromTP((テーブル2[[#This Row],[Tin]]+テーブル2[[#This Row],[Tf]])/2,テーブル2[[#This Row],[P]])*AI5)</f>
        <v/>
      </c>
      <c r="AL5" s="0">
        <f>+K5*I5/J5</f>
        <v/>
      </c>
      <c r="AM5" s="0">
        <f>+gettyp(AC5,AJ5,AK5,AL5)</f>
        <v/>
      </c>
      <c r="AN5" s="0">
        <f>+C5-AM5</f>
        <v/>
      </c>
      <c r="AO5" s="0">
        <f>+AG5-AB5</f>
        <v/>
      </c>
      <c r="AP5" s="0" t="n">
        <v>3.81543682821206</v>
      </c>
      <c r="AQ5" s="0">
        <f>2*PI()*L5*(D5+E5)/(D5*E5*AP5^2)</f>
        <v/>
      </c>
      <c r="AR5" s="0">
        <f>+AO5+AB5/2</f>
        <v/>
      </c>
      <c r="AS5" s="0">
        <f>+AR5*AI5/I5*E5</f>
        <v/>
      </c>
      <c r="AT5" s="0">
        <f>+getublp(AS5)</f>
        <v/>
      </c>
      <c r="AU5" s="0">
        <f>+AT5*AI5</f>
        <v/>
      </c>
      <c r="AV5" s="0">
        <f>+AP5-AU5</f>
        <v/>
      </c>
      <c r="AW5" s="0">
        <f>2/3*AB5/(L5/(9.8*(E5-D5)))^0.5</f>
        <v/>
      </c>
      <c r="AX5" s="0">
        <f>+(2*AQ5*9.8*(E5-D5)/(E5*AW5))^0.5</f>
        <v/>
      </c>
      <c r="AY5" s="0">
        <f>+AV5-AX5</f>
        <v/>
      </c>
      <c r="AZ5" s="0">
        <f>+F5-G5</f>
        <v/>
      </c>
      <c r="BA5" s="0">
        <f>+AQ5/AP5</f>
        <v/>
      </c>
      <c r="BB5" s="15">
        <f>+E5*AO5*AZ5/BA5</f>
        <v/>
      </c>
      <c r="BC5" s="20">
        <f>BB5-S5</f>
        <v/>
      </c>
      <c r="BD5" s="19">
        <f>+(BB5-S5)/S5*100</f>
        <v/>
      </c>
      <c r="BE5" s="15" t="n">
        <v>6688600</v>
      </c>
      <c r="BF5" s="16">
        <f>テーブル2[[#This Row],[q_P]]/テーブル2[[#This Row],[q_M]]</f>
        <v/>
      </c>
      <c r="BG5" s="0" t="n">
        <v>1</v>
      </c>
      <c r="BH5" s="0" t="n">
        <v>-0.075</v>
      </c>
      <c r="BI5" s="0" t="n">
        <v>0.046</v>
      </c>
      <c r="BJ5" s="0" t="n">
        <v>5625</v>
      </c>
      <c r="BK5" s="22" t="n">
        <v>1</v>
      </c>
      <c r="BL5" s="0">
        <f>テーブル2[[#This Row],[Ts]]-テーブル2[[#This Row],[Tin]]</f>
        <v/>
      </c>
      <c r="BM5" s="0">
        <f>テーブル2[[#This Row],[q_P]]*0.000001</f>
        <v/>
      </c>
      <c r="BN5" s="0">
        <f>テーブル2[[#This Row],[Tsub]]</f>
        <v/>
      </c>
      <c r="BO5" s="0">
        <f>テーブル2[[#This Row],[Fcorr]]</f>
        <v/>
      </c>
      <c r="BP5" s="0">
        <f>(テーブル2[[#This Row],[Tsub]]-40)^2</f>
        <v/>
      </c>
      <c r="BQ5" t="n">
        <v>1</v>
      </c>
      <c r="BR5" s="0" t="n">
        <v>0.1524</v>
      </c>
    </row>
    <row r="6">
      <c r="A6" s="9" t="inlineStr">
        <is>
          <t>13.01_10</t>
        </is>
      </c>
      <c r="B6" s="0" t="n">
        <v>13789520</v>
      </c>
      <c r="C6" s="22">
        <f t="array" ref="C6">TsatFromP(テーブル2[[#This Row],[P]])</f>
        <v/>
      </c>
      <c r="D6" s="0">
        <f t="array" ref="D6">RhoGFromP(テーブル2[[#This Row],[P]])</f>
        <v/>
      </c>
      <c r="E6" s="0">
        <f t="array" ref="E6">RhoFFromP(テーブル2[[#This Row],[P]])</f>
        <v/>
      </c>
      <c r="F6" s="0">
        <f t="array" ref="F6">HgFromP(テーブル2[[#This Row],[P]])</f>
        <v/>
      </c>
      <c r="G6" s="0">
        <f t="array" ref="G6">HfFromP(テーブル2[[#This Row],[P]])</f>
        <v/>
      </c>
      <c r="H6" s="0">
        <f t="array" ref="H6">MuGFromP(テーブル2[[#This Row],[P]])</f>
        <v/>
      </c>
      <c r="I6" s="0">
        <f t="array" ref="I6">MuFFromP(テーブル2[[#This Row],[P]])</f>
        <v/>
      </c>
      <c r="J6" s="0">
        <f t="array" ref="J6">KfFromP(テーブル2[[#This Row],[P]])</f>
        <v/>
      </c>
      <c r="K6" s="0">
        <f t="array" ref="K6">CpFFromP(テーブル2[[#This Row],[P]])</f>
        <v/>
      </c>
      <c r="L6" s="0">
        <f t="array" ref="L6">SigmaFromP(テーブル2[[#This Row],[P]])</f>
        <v/>
      </c>
      <c r="M6" s="23" t="n">
        <v>5</v>
      </c>
      <c r="N6" s="0" t="n">
        <v>3118.8</v>
      </c>
      <c r="O6" s="8" t="n">
        <v>2.850229569923424e-06</v>
      </c>
      <c r="P6" s="8" t="n">
        <v>0.005984734005088555</v>
      </c>
      <c r="Q6" s="8" t="n">
        <v>0.001905</v>
      </c>
      <c r="R6" s="0" t="n">
        <v>0.1524</v>
      </c>
      <c r="S6" s="15" t="n">
        <v>5270594.08203125</v>
      </c>
      <c r="T6" s="0" t="n">
        <v>491.663081105773</v>
      </c>
      <c r="U6" s="37">
        <f>+T6+BG6*S6*テーブル2[[#This Row],[Pw]]*R6/(N6*O6*K6)</f>
        <v/>
      </c>
      <c r="V6" s="0" t="n">
        <v>0.03</v>
      </c>
      <c r="W6" s="8">
        <f>+N6*Q6/I6</f>
        <v/>
      </c>
      <c r="X6" s="0" t="n">
        <v>0.03149113990230715</v>
      </c>
      <c r="Y6" s="0">
        <f>IF(X6&gt;0,1/X6^0.5,1)</f>
        <v/>
      </c>
      <c r="Z6" s="0">
        <f>IF(X6&gt;0,1.14-2*LOG((0.72*L6*E6)/(X6*Q6*N6^2)+9.35/(W6*X6^0.5)),0)</f>
        <v/>
      </c>
      <c r="AA6" s="0">
        <f>+Y6-Z6</f>
        <v/>
      </c>
      <c r="AB6" s="0">
        <f>32/X6*L6*V6*E6/N6^2</f>
        <v/>
      </c>
      <c r="AC6" s="0" t="n">
        <v>696.0209146623129</v>
      </c>
      <c r="AD6" s="0">
        <f>+Q6/2*AI6/I6*E6</f>
        <v/>
      </c>
      <c r="AE6" s="0">
        <f>+gettm2(AD6,AC6,AK6,AL6,テーブル2[[#This Row],[Fcorr]])</f>
        <v/>
      </c>
      <c r="AF6" s="38">
        <f>+AE6-U6</f>
        <v/>
      </c>
      <c r="AG6" s="0" t="n">
        <v>1.28131235952552e-05</v>
      </c>
      <c r="AH6" s="0">
        <f>+X6*N6^2/(8*E6)</f>
        <v/>
      </c>
      <c r="AI6" s="0">
        <f>+(AH6/E6)^0.5</f>
        <v/>
      </c>
      <c r="AJ6" s="0">
        <f>+AG6*AI6/I6*E6</f>
        <v/>
      </c>
      <c r="AK6" s="0">
        <f t="array" ref="AK6">+S6*テーブル2[[#This Row],[F_form]]/(E6*CpFromTP((テーブル2[[#This Row],[Tin]]+テーブル2[[#This Row],[Tf]])/2,テーブル2[[#This Row],[P]])*AI6)</f>
        <v/>
      </c>
      <c r="AL6" s="0">
        <f>+K6*I6/J6</f>
        <v/>
      </c>
      <c r="AM6" s="0">
        <f>+gettyp(AC6,AJ6,AK6,AL6)</f>
        <v/>
      </c>
      <c r="AN6" s="0">
        <f>+C6-AM6</f>
        <v/>
      </c>
      <c r="AO6" s="0">
        <f>+AG6-AB6</f>
        <v/>
      </c>
      <c r="AP6" s="0" t="n">
        <v>3.810993757265144</v>
      </c>
      <c r="AQ6" s="0">
        <f>2*PI()*L6*(D6+E6)/(D6*E6*AP6^2)</f>
        <v/>
      </c>
      <c r="AR6" s="0">
        <f>+AO6+AB6/2</f>
        <v/>
      </c>
      <c r="AS6" s="0">
        <f>+AR6*AI6/I6*E6</f>
        <v/>
      </c>
      <c r="AT6" s="0">
        <f>+getublp(AS6)</f>
        <v/>
      </c>
      <c r="AU6" s="0">
        <f>+AT6*AI6</f>
        <v/>
      </c>
      <c r="AV6" s="0">
        <f>+AP6-AU6</f>
        <v/>
      </c>
      <c r="AW6" s="0">
        <f>2/3*AB6/(L6/(9.8*(E6-D6)))^0.5</f>
        <v/>
      </c>
      <c r="AX6" s="0">
        <f>+(2*AQ6*9.8*(E6-D6)/(E6*AW6))^0.5</f>
        <v/>
      </c>
      <c r="AY6" s="0">
        <f>+AV6-AX6</f>
        <v/>
      </c>
      <c r="AZ6" s="0">
        <f>+F6-G6</f>
        <v/>
      </c>
      <c r="BA6" s="0">
        <f>+AQ6/AP6</f>
        <v/>
      </c>
      <c r="BB6" s="15">
        <f>+E6*AO6*AZ6/BA6</f>
        <v/>
      </c>
      <c r="BC6" s="20">
        <f>BB6-S6</f>
        <v/>
      </c>
      <c r="BD6" s="19">
        <f>+(BB6-S6)/S6*100</f>
        <v/>
      </c>
      <c r="BE6" s="15" t="n">
        <v>5678999.999999999</v>
      </c>
      <c r="BF6" s="16">
        <f>テーブル2[[#This Row],[q_P]]/テーブル2[[#This Row],[q_M]]</f>
        <v/>
      </c>
      <c r="BG6" s="0" t="n">
        <v>1</v>
      </c>
      <c r="BH6" s="0" t="n">
        <v>-0.036</v>
      </c>
      <c r="BI6" s="0" t="n">
        <v>0.046</v>
      </c>
      <c r="BJ6" s="0" t="n">
        <v>5625</v>
      </c>
      <c r="BK6" s="22" t="n">
        <v>1</v>
      </c>
      <c r="BL6" s="0">
        <f>テーブル2[[#This Row],[Ts]]-テーブル2[[#This Row],[Tin]]</f>
        <v/>
      </c>
      <c r="BM6" s="0">
        <f>テーブル2[[#This Row],[q_P]]*0.000001</f>
        <v/>
      </c>
      <c r="BN6" s="0">
        <f>テーブル2[[#This Row],[Tsub]]</f>
        <v/>
      </c>
      <c r="BO6" s="0">
        <f>テーブル2[[#This Row],[Fcorr]]</f>
        <v/>
      </c>
      <c r="BP6" s="0">
        <f>(テーブル2[[#This Row],[Tsub]]-40)^2</f>
        <v/>
      </c>
      <c r="BQ6" t="n">
        <v>1</v>
      </c>
      <c r="BR6" s="0" t="n">
        <v>0.1524</v>
      </c>
    </row>
    <row r="7">
      <c r="A7" s="9" t="inlineStr">
        <is>
          <t>14.01_10</t>
        </is>
      </c>
      <c r="B7" s="0" t="n">
        <v>13789520</v>
      </c>
      <c r="C7" s="22">
        <f t="array" ref="C7">TsatFromP(テーブル2[[#This Row],[P]])</f>
        <v/>
      </c>
      <c r="D7" s="0">
        <f t="array" ref="D7">RhoGFromP(テーブル2[[#This Row],[P]])</f>
        <v/>
      </c>
      <c r="E7" s="0">
        <f t="array" ref="E7">RhoFFromP(テーブル2[[#This Row],[P]])</f>
        <v/>
      </c>
      <c r="F7" s="0">
        <f t="array" ref="F7">HgFromP(テーブル2[[#This Row],[P]])</f>
        <v/>
      </c>
      <c r="G7" s="0">
        <f t="array" ref="G7">HfFromP(テーブル2[[#This Row],[P]])</f>
        <v/>
      </c>
      <c r="H7" s="0">
        <f t="array" ref="H7">MuGFromP(テーブル2[[#This Row],[P]])</f>
        <v/>
      </c>
      <c r="I7" s="0">
        <f t="array" ref="I7">MuFFromP(テーブル2[[#This Row],[P]])</f>
        <v/>
      </c>
      <c r="J7" s="0">
        <f t="array" ref="J7">KfFromP(テーブル2[[#This Row],[P]])</f>
        <v/>
      </c>
      <c r="K7" s="0">
        <f t="array" ref="K7">CpFFromP(テーブル2[[#This Row],[P]])</f>
        <v/>
      </c>
      <c r="L7" s="0">
        <f t="array" ref="L7">SigmaFromP(テーブル2[[#This Row],[P]])</f>
        <v/>
      </c>
      <c r="M7" s="0" t="n">
        <v>6</v>
      </c>
      <c r="N7" s="0" t="n">
        <v>3118.8</v>
      </c>
      <c r="O7" s="8" t="n">
        <v>2.850229569923424e-06</v>
      </c>
      <c r="P7" s="8" t="n">
        <v>0.005984734005088555</v>
      </c>
      <c r="Q7" s="8" t="n">
        <v>0.001905</v>
      </c>
      <c r="R7" s="0" t="n">
        <v>0.1524</v>
      </c>
      <c r="S7" s="15" t="n">
        <v>5246751.89453125</v>
      </c>
      <c r="T7" s="0" t="n">
        <v>492.228685863177</v>
      </c>
      <c r="U7" s="37">
        <f>+T7+BG7*S7*テーブル2[[#This Row],[Pw]]*R7/(N7*O7*K7)</f>
        <v/>
      </c>
      <c r="V7" s="0" t="n">
        <v>0.03</v>
      </c>
      <c r="W7" s="8">
        <f>+N7*Q7/I7</f>
        <v/>
      </c>
      <c r="X7" s="0" t="n">
        <v>0.03149113990230715</v>
      </c>
      <c r="Y7" s="0">
        <f>IF(X7&gt;0,1/X7^0.5,1)</f>
        <v/>
      </c>
      <c r="Z7" s="0">
        <f>IF(X7&gt;0,1.14-2*LOG((0.72*L7*E7)/(X7*Q7*N7^2)+9.35/(W7*X7^0.5)),0)</f>
        <v/>
      </c>
      <c r="AA7" s="0">
        <f>+Y7-Z7</f>
        <v/>
      </c>
      <c r="AB7" s="0">
        <f>32/X7*L7*V7*E7/N7^2</f>
        <v/>
      </c>
      <c r="AC7" s="0" t="n">
        <v>695.5549980977036</v>
      </c>
      <c r="AD7" s="0">
        <f>+Q7/2*AI7/I7*E7</f>
        <v/>
      </c>
      <c r="AE7" s="0">
        <f>+gettm2(AD7,AC7,AK7,AL7,テーブル2[[#This Row],[Fcorr]])</f>
        <v/>
      </c>
      <c r="AF7" s="38">
        <f>+AE7-U7</f>
        <v/>
      </c>
      <c r="AG7" s="0" t="n">
        <v>1.28125044438581e-05</v>
      </c>
      <c r="AH7" s="0">
        <f>+X7*N7^2/(8*E7)</f>
        <v/>
      </c>
      <c r="AI7" s="0">
        <f>+(AH7/E7)^0.5</f>
        <v/>
      </c>
      <c r="AJ7" s="0">
        <f>+AG7*AI7/I7*E7</f>
        <v/>
      </c>
      <c r="AK7" s="0">
        <f t="array" ref="AK7">+S7*テーブル2[[#This Row],[F_form]]/(E7*CpFromTP((テーブル2[[#This Row],[Tin]]+テーブル2[[#This Row],[Tf]])/2,テーブル2[[#This Row],[P]])*AI7)</f>
        <v/>
      </c>
      <c r="AL7" s="0">
        <f>+K7*I7/J7</f>
        <v/>
      </c>
      <c r="AM7" s="0">
        <f>+gettyp(AC7,AJ7,AK7,AL7)</f>
        <v/>
      </c>
      <c r="AN7" s="0">
        <f>+C7-AM7</f>
        <v/>
      </c>
      <c r="AO7" s="0">
        <f>+AG7-AB7</f>
        <v/>
      </c>
      <c r="AP7" s="0" t="n">
        <v>3.81085390416788</v>
      </c>
      <c r="AQ7" s="0">
        <f>2*PI()*L7*(D7+E7)/(D7*E7*AP7^2)</f>
        <v/>
      </c>
      <c r="AR7" s="0">
        <f>+AO7+AB7/2</f>
        <v/>
      </c>
      <c r="AS7" s="0">
        <f>+AR7*AI7/I7*E7</f>
        <v/>
      </c>
      <c r="AT7" s="0">
        <f>+getublp(AS7)</f>
        <v/>
      </c>
      <c r="AU7" s="0">
        <f>+AT7*AI7</f>
        <v/>
      </c>
      <c r="AV7" s="0">
        <f>+AP7-AU7</f>
        <v/>
      </c>
      <c r="AW7" s="0">
        <f>2/3*AB7/(L7/(9.8*(E7-D7)))^0.5</f>
        <v/>
      </c>
      <c r="AX7" s="0">
        <f>+(2*AQ7*9.8*(E7-D7)/(E7*AW7))^0.5</f>
        <v/>
      </c>
      <c r="AY7" s="0">
        <f>+AV7-AX7</f>
        <v/>
      </c>
      <c r="AZ7" s="0">
        <f>+F7-G7</f>
        <v/>
      </c>
      <c r="BA7" s="0">
        <f>+AQ7/AP7</f>
        <v/>
      </c>
      <c r="BB7" s="15">
        <f>+E7*AO7*AZ7/BA7</f>
        <v/>
      </c>
      <c r="BC7" s="20">
        <f>BB7-S7</f>
        <v/>
      </c>
      <c r="BD7" s="19">
        <f>+(BB7-S7)/S7*100</f>
        <v/>
      </c>
      <c r="BE7" s="15" t="n">
        <v>5521249.999999999</v>
      </c>
      <c r="BF7" s="16">
        <f>テーブル2[[#This Row],[q_P]]/テーブル2[[#This Row],[q_M]]</f>
        <v/>
      </c>
      <c r="BG7" s="0" t="n">
        <v>1</v>
      </c>
      <c r="BH7" s="0" t="n">
        <v>-0.048</v>
      </c>
      <c r="BI7" s="0" t="n">
        <v>0.046</v>
      </c>
      <c r="BJ7" s="0" t="n">
        <v>5625</v>
      </c>
      <c r="BK7" s="22" t="n">
        <v>1</v>
      </c>
      <c r="BL7" s="0">
        <f>テーブル2[[#This Row],[Ts]]-テーブル2[[#This Row],[Tin]]</f>
        <v/>
      </c>
      <c r="BM7" s="0">
        <f>テーブル2[[#This Row],[q_P]]*0.000001</f>
        <v/>
      </c>
      <c r="BN7" s="0">
        <f>テーブル2[[#This Row],[Tsub]]</f>
        <v/>
      </c>
      <c r="BO7" s="0">
        <f>テーブル2[[#This Row],[Fcorr]]</f>
        <v/>
      </c>
      <c r="BP7" s="0">
        <f>(テーブル2[[#This Row],[Tsub]]-40)^2</f>
        <v/>
      </c>
      <c r="BQ7" t="n">
        <v>1</v>
      </c>
      <c r="BR7" s="0" t="n">
        <v>0.1524</v>
      </c>
    </row>
    <row r="8">
      <c r="A8" s="9" t="inlineStr">
        <is>
          <t>15.01_10</t>
        </is>
      </c>
      <c r="B8" s="0" t="n">
        <v>13789520</v>
      </c>
      <c r="C8" s="22">
        <f t="array" ref="C8">TsatFromP(テーブル2[[#This Row],[P]])</f>
        <v/>
      </c>
      <c r="D8" s="0">
        <f t="array" ref="D8">RhoGFromP(テーブル2[[#This Row],[P]])</f>
        <v/>
      </c>
      <c r="E8" s="0">
        <f t="array" ref="E8">RhoFFromP(テーブル2[[#This Row],[P]])</f>
        <v/>
      </c>
      <c r="F8" s="0">
        <f t="array" ref="F8">HgFromP(テーブル2[[#This Row],[P]])</f>
        <v/>
      </c>
      <c r="G8" s="0">
        <f t="array" ref="G8">HfFromP(テーブル2[[#This Row],[P]])</f>
        <v/>
      </c>
      <c r="H8" s="0">
        <f t="array" ref="H8">MuGFromP(テーブル2[[#This Row],[P]])</f>
        <v/>
      </c>
      <c r="I8" s="0">
        <f t="array" ref="I8">MuFFromP(テーブル2[[#This Row],[P]])</f>
        <v/>
      </c>
      <c r="J8" s="0">
        <f t="array" ref="J8">KfFromP(テーブル2[[#This Row],[P]])</f>
        <v/>
      </c>
      <c r="K8" s="0">
        <f t="array" ref="K8">CpFFromP(テーブル2[[#This Row],[P]])</f>
        <v/>
      </c>
      <c r="L8" s="0">
        <f t="array" ref="L8">SigmaFromP(テーブル2[[#This Row],[P]])</f>
        <v/>
      </c>
      <c r="M8" s="23" t="n">
        <v>7</v>
      </c>
      <c r="N8" s="0" t="n">
        <v>3132.36</v>
      </c>
      <c r="O8" s="8" t="n">
        <v>2.850229569923424e-06</v>
      </c>
      <c r="P8" s="8" t="n">
        <v>0.005984734005088555</v>
      </c>
      <c r="Q8" s="8" t="n">
        <v>0.001905</v>
      </c>
      <c r="R8" s="0" t="n">
        <v>0.1524</v>
      </c>
      <c r="S8" s="15" t="n">
        <v>6662660.05859375</v>
      </c>
      <c r="T8" s="0" t="n">
        <v>458.882857903603</v>
      </c>
      <c r="U8" s="37">
        <f>+T8+BG8*S8*テーブル2[[#This Row],[Pw]]*R8/(N8*O8*K8)</f>
        <v/>
      </c>
      <c r="V8" s="0" t="n">
        <v>0.03</v>
      </c>
      <c r="W8" s="8">
        <f>+N8*Q8/I8</f>
        <v/>
      </c>
      <c r="X8" s="0" t="n">
        <v>0.03142966681495419</v>
      </c>
      <c r="Y8" s="0">
        <f>IF(X8&gt;0,1/X8^0.5,1)</f>
        <v/>
      </c>
      <c r="Z8" s="0">
        <f>IF(X8&gt;0,1.14-2*LOG((0.72*L8*E8)/(X8*Q8*N8^2)+9.35/(W8*X8^0.5)),0)</f>
        <v/>
      </c>
      <c r="AA8" s="0">
        <f>+Y8-Z8</f>
        <v/>
      </c>
      <c r="AB8" s="0">
        <f>32/X8*L8*V8*E8/N8^2</f>
        <v/>
      </c>
      <c r="AC8" s="0" t="n">
        <v>723.1676681076377</v>
      </c>
      <c r="AD8" s="0">
        <f>+Q8/2*AI8/I8*E8</f>
        <v/>
      </c>
      <c r="AE8" s="0">
        <f>+gettm2(AD8,AC8,AK8,AL8,テーブル2[[#This Row],[Fcorr]])</f>
        <v/>
      </c>
      <c r="AF8" s="38">
        <f>+AE8-U8</f>
        <v/>
      </c>
      <c r="AG8" s="0" t="n">
        <v>1.274836500029821e-05</v>
      </c>
      <c r="AH8" s="0">
        <f>+X8*N8^2/(8*E8)</f>
        <v/>
      </c>
      <c r="AI8" s="0">
        <f>+(AH8/E8)^0.5</f>
        <v/>
      </c>
      <c r="AJ8" s="0">
        <f>+AG8*AI8/I8*E8</f>
        <v/>
      </c>
      <c r="AK8" s="0">
        <f t="array" ref="AK8">+S8*テーブル2[[#This Row],[F_form]]/(E8*CpFromTP((テーブル2[[#This Row],[Tin]]+テーブル2[[#This Row],[Tf]])/2,テーブル2[[#This Row],[P]])*AI8)</f>
        <v/>
      </c>
      <c r="AL8" s="0">
        <f>+K8*I8/J8</f>
        <v/>
      </c>
      <c r="AM8" s="0">
        <f>+gettyp(AC8,AJ8,AK8,AL8)</f>
        <v/>
      </c>
      <c r="AN8" s="0">
        <f>+C8-AM8</f>
        <v/>
      </c>
      <c r="AO8" s="0">
        <f>+AG8-AB8</f>
        <v/>
      </c>
      <c r="AP8" s="0" t="n">
        <v>3.82281842954635</v>
      </c>
      <c r="AQ8" s="0">
        <f>2*PI()*L8*(D8+E8)/(D8*E8*AP8^2)</f>
        <v/>
      </c>
      <c r="AR8" s="0">
        <f>+AO8+AB8/2</f>
        <v/>
      </c>
      <c r="AS8" s="0">
        <f>+AR8*AI8/I8*E8</f>
        <v/>
      </c>
      <c r="AT8" s="0">
        <f>+getublp(AS8)</f>
        <v/>
      </c>
      <c r="AU8" s="0">
        <f>+AT8*AI8</f>
        <v/>
      </c>
      <c r="AV8" s="0">
        <f>+AP8-AU8</f>
        <v/>
      </c>
      <c r="AW8" s="0">
        <f>2/3*AB8/(L8/(9.8*(E8-D8)))^0.5</f>
        <v/>
      </c>
      <c r="AX8" s="0">
        <f>+(2*AQ8*9.8*(E8-D8)/(E8*AW8))^0.5</f>
        <v/>
      </c>
      <c r="AY8" s="0">
        <f>+AV8-AX8</f>
        <v/>
      </c>
      <c r="AZ8" s="0">
        <f>+F8-G8</f>
        <v/>
      </c>
      <c r="BA8" s="0">
        <f>+AQ8/AP8</f>
        <v/>
      </c>
      <c r="BB8" s="15">
        <f>+E8*AO8*AZ8/BA8</f>
        <v/>
      </c>
      <c r="BC8" s="20">
        <f>BB8-S8</f>
        <v/>
      </c>
      <c r="BD8" s="19">
        <f>+(BB8-S8)/S8*100</f>
        <v/>
      </c>
      <c r="BE8" s="15" t="n">
        <v>6751700</v>
      </c>
      <c r="BF8" s="16">
        <f>テーブル2[[#This Row],[q_P]]/テーブル2[[#This Row],[q_M]]</f>
        <v/>
      </c>
      <c r="BG8" s="0" t="n">
        <v>1</v>
      </c>
      <c r="BH8" s="0" t="n">
        <v>-0.07099999999999999</v>
      </c>
      <c r="BI8" s="0" t="n">
        <v>0.046</v>
      </c>
      <c r="BJ8" s="0" t="n">
        <v>5625</v>
      </c>
      <c r="BK8" s="22" t="n">
        <v>1</v>
      </c>
      <c r="BL8" s="0">
        <f>テーブル2[[#This Row],[Ts]]-テーブル2[[#This Row],[Tin]]</f>
        <v/>
      </c>
      <c r="BM8" s="0">
        <f>テーブル2[[#This Row],[q_P]]*0.000001</f>
        <v/>
      </c>
      <c r="BN8" s="0">
        <f>テーブル2[[#This Row],[Tsub]]</f>
        <v/>
      </c>
      <c r="BO8" s="0">
        <f>テーブル2[[#This Row],[Fcorr]]</f>
        <v/>
      </c>
      <c r="BP8" s="0">
        <f>(テーブル2[[#This Row],[Tsub]]-40)^2</f>
        <v/>
      </c>
      <c r="BQ8" t="n">
        <v>1</v>
      </c>
      <c r="BR8" s="0" t="n">
        <v>0.1524</v>
      </c>
    </row>
    <row r="9">
      <c r="A9" s="9" t="inlineStr">
        <is>
          <t>16.01_10</t>
        </is>
      </c>
      <c r="B9" s="0" t="n">
        <v>13789520</v>
      </c>
      <c r="C9" s="22">
        <f t="array" ref="C9">TsatFromP(テーブル2[[#This Row],[P]])</f>
        <v/>
      </c>
      <c r="D9" s="0">
        <f t="array" ref="D9">RhoGFromP(テーブル2[[#This Row],[P]])</f>
        <v/>
      </c>
      <c r="E9" s="0">
        <f t="array" ref="E9">RhoFFromP(テーブル2[[#This Row],[P]])</f>
        <v/>
      </c>
      <c r="F9" s="0">
        <f t="array" ref="F9">HgFromP(テーブル2[[#This Row],[P]])</f>
        <v/>
      </c>
      <c r="G9" s="0">
        <f t="array" ref="G9">HfFromP(テーブル2[[#This Row],[P]])</f>
        <v/>
      </c>
      <c r="H9" s="0">
        <f t="array" ref="H9">MuGFromP(テーブル2[[#This Row],[P]])</f>
        <v/>
      </c>
      <c r="I9" s="0">
        <f t="array" ref="I9">MuFFromP(テーブル2[[#This Row],[P]])</f>
        <v/>
      </c>
      <c r="J9" s="0">
        <f t="array" ref="J9">KfFromP(テーブル2[[#This Row],[P]])</f>
        <v/>
      </c>
      <c r="K9" s="0">
        <f t="array" ref="K9">CpFFromP(テーブル2[[#This Row],[P]])</f>
        <v/>
      </c>
      <c r="L9" s="0">
        <f t="array" ref="L9">SigmaFromP(テーブル2[[#This Row],[P]])</f>
        <v/>
      </c>
      <c r="M9" s="0" t="n">
        <v>8</v>
      </c>
      <c r="N9" s="0" t="n">
        <v>3145.92</v>
      </c>
      <c r="O9" s="8" t="n">
        <v>2.850229569923424e-06</v>
      </c>
      <c r="P9" s="8" t="n">
        <v>0.005984734005088555</v>
      </c>
      <c r="Q9" s="8" t="n">
        <v>0.001905</v>
      </c>
      <c r="R9" s="0" t="n">
        <v>0.1524</v>
      </c>
      <c r="S9" s="15" t="n">
        <v>3751771.91421875</v>
      </c>
      <c r="T9" s="0" t="n">
        <v>527.873770788711</v>
      </c>
      <c r="U9" s="37">
        <f>+T9+BG9*S9*テーブル2[[#This Row],[Pw]]*R9/(N9*O9*K9)</f>
        <v/>
      </c>
      <c r="V9" s="0" t="n">
        <v>0.03</v>
      </c>
      <c r="W9" s="8">
        <f>+N9*Q9/I9</f>
        <v/>
      </c>
      <c r="X9" s="0" t="n">
        <v>0.03136863302905341</v>
      </c>
      <c r="Y9" s="0">
        <f>IF(X9&gt;0,1/X9^0.5,1)</f>
        <v/>
      </c>
      <c r="Z9" s="0">
        <f>IF(X9&gt;0,1.14-2*LOG((0.72*L9*E9)/(X9*Q9*N9^2)+9.35/(W9*X9^0.5)),0)</f>
        <v/>
      </c>
      <c r="AA9" s="0">
        <f>+Y9-Z9</f>
        <v/>
      </c>
      <c r="AB9" s="0">
        <f>32/X9*L9*V9*E9/N9^2</f>
        <v/>
      </c>
      <c r="AC9" s="0" t="n">
        <v>666.5919983963502</v>
      </c>
      <c r="AD9" s="0">
        <f>+Q9/2*AI9/I9*E9</f>
        <v/>
      </c>
      <c r="AE9" s="0">
        <f>+gettm2(AD9,AC9,AK9,AL9,テーブル2[[#This Row],[Fcorr]])</f>
        <v/>
      </c>
      <c r="AF9" s="38">
        <f>+AE9-U9</f>
        <v/>
      </c>
      <c r="AG9" s="0" t="n">
        <v>1.262070038134585e-05</v>
      </c>
      <c r="AH9" s="0">
        <f>+X9*N9^2/(8*E9)</f>
        <v/>
      </c>
      <c r="AI9" s="0">
        <f>+(AH9/E9)^0.5</f>
        <v/>
      </c>
      <c r="AJ9" s="0">
        <f>+AG9*AI9/I9*E9</f>
        <v/>
      </c>
      <c r="AK9" s="0">
        <f t="array" ref="AK9">+S9*テーブル2[[#This Row],[F_form]]/(E9*CpFromTP((テーブル2[[#This Row],[Tin]]+テーブル2[[#This Row],[Tf]])/2,テーブル2[[#This Row],[P]])*AI9)</f>
        <v/>
      </c>
      <c r="AL9" s="0">
        <f>+K9*I9/J9</f>
        <v/>
      </c>
      <c r="AM9" s="0">
        <f>+gettyp(AC9,AJ9,AK9,AL9)</f>
        <v/>
      </c>
      <c r="AN9" s="0">
        <f>+C9-AM9</f>
        <v/>
      </c>
      <c r="AO9" s="0">
        <f>+AG9-AB9</f>
        <v/>
      </c>
      <c r="AP9" s="0" t="n">
        <v>3.820014327797439</v>
      </c>
      <c r="AQ9" s="0">
        <f>2*PI()*L9*(D9+E9)/(D9*E9*AP9^2)</f>
        <v/>
      </c>
      <c r="AR9" s="0">
        <f>+AO9+AB9/2</f>
        <v/>
      </c>
      <c r="AS9" s="0">
        <f>+AR9*AI9/I9*E9</f>
        <v/>
      </c>
      <c r="AT9" s="0">
        <f>+getublp(AS9)</f>
        <v/>
      </c>
      <c r="AU9" s="0">
        <f>+AT9*AI9</f>
        <v/>
      </c>
      <c r="AV9" s="0">
        <f>+AP9-AU9</f>
        <v/>
      </c>
      <c r="AW9" s="0">
        <f>2/3*AB9/(L9/(9.8*(E9-D9)))^0.5</f>
        <v/>
      </c>
      <c r="AX9" s="0">
        <f>+(2*AQ9*9.8*(E9-D9)/(E9*AW9))^0.5</f>
        <v/>
      </c>
      <c r="AY9" s="0">
        <f>+AV9-AX9</f>
        <v/>
      </c>
      <c r="AZ9" s="0">
        <f>+F9-G9</f>
        <v/>
      </c>
      <c r="BA9" s="0">
        <f>+AQ9/AP9</f>
        <v/>
      </c>
      <c r="BB9" s="15">
        <f>+E9*AO9*AZ9/BA9</f>
        <v/>
      </c>
      <c r="BC9" s="20">
        <f>BB9-S9</f>
        <v/>
      </c>
      <c r="BD9" s="19">
        <f>+(BB9-S9)/S9*100</f>
        <v/>
      </c>
      <c r="BE9" s="15" t="n">
        <v>4164600</v>
      </c>
      <c r="BF9" s="16">
        <f>テーブル2[[#This Row],[q_P]]/テーブル2[[#This Row],[q_M]]</f>
        <v/>
      </c>
      <c r="BG9" s="0" t="n">
        <v>1</v>
      </c>
      <c r="BH9" s="0" t="n">
        <v>-0.027</v>
      </c>
      <c r="BI9" s="0" t="n">
        <v>0.046</v>
      </c>
      <c r="BJ9" s="0" t="n">
        <v>5625</v>
      </c>
      <c r="BK9" s="22" t="n">
        <v>1</v>
      </c>
      <c r="BL9" s="0">
        <f>テーブル2[[#This Row],[Ts]]-テーブル2[[#This Row],[Tin]]</f>
        <v/>
      </c>
      <c r="BM9" s="0">
        <f>テーブル2[[#This Row],[q_P]]*0.000001</f>
        <v/>
      </c>
      <c r="BN9" s="0">
        <f>テーブル2[[#This Row],[Tsub]]</f>
        <v/>
      </c>
      <c r="BO9" s="0">
        <f>テーブル2[[#This Row],[Fcorr]]</f>
        <v/>
      </c>
      <c r="BP9" s="0">
        <f>(テーブル2[[#This Row],[Tsub]]-40)^2</f>
        <v/>
      </c>
      <c r="BQ9" t="n">
        <v>1</v>
      </c>
      <c r="BR9" s="0" t="n">
        <v>0.1524</v>
      </c>
    </row>
    <row r="10">
      <c r="A10" s="9" t="inlineStr">
        <is>
          <t>17.01_10</t>
        </is>
      </c>
      <c r="B10" s="0" t="n">
        <v>13789520</v>
      </c>
      <c r="C10" s="22">
        <f t="array" ref="C10">TsatFromP(テーブル2[[#This Row],[P]])</f>
        <v/>
      </c>
      <c r="D10" s="0">
        <f t="array" ref="D10">RhoGFromP(テーブル2[[#This Row],[P]])</f>
        <v/>
      </c>
      <c r="E10" s="0">
        <f t="array" ref="E10">RhoFFromP(テーブル2[[#This Row],[P]])</f>
        <v/>
      </c>
      <c r="F10" s="0">
        <f t="array" ref="F10">HgFromP(テーブル2[[#This Row],[P]])</f>
        <v/>
      </c>
      <c r="G10" s="0">
        <f t="array" ref="G10">HfFromP(テーブル2[[#This Row],[P]])</f>
        <v/>
      </c>
      <c r="H10" s="0">
        <f t="array" ref="H10">MuGFromP(テーブル2[[#This Row],[P]])</f>
        <v/>
      </c>
      <c r="I10" s="0">
        <f t="array" ref="I10">MuFFromP(テーブル2[[#This Row],[P]])</f>
        <v/>
      </c>
      <c r="J10" s="0">
        <f t="array" ref="J10">KfFromP(テーブル2[[#This Row],[P]])</f>
        <v/>
      </c>
      <c r="K10" s="0">
        <f t="array" ref="K10">CpFFromP(テーブル2[[#This Row],[P]])</f>
        <v/>
      </c>
      <c r="L10" s="0">
        <f t="array" ref="L10">SigmaFromP(テーブル2[[#This Row],[P]])</f>
        <v/>
      </c>
      <c r="M10" s="23" t="n">
        <v>9</v>
      </c>
      <c r="N10" s="0" t="n">
        <v>3145.92</v>
      </c>
      <c r="O10" s="8" t="n">
        <v>2.850229569923424e-06</v>
      </c>
      <c r="P10" s="8" t="n">
        <v>0.005984734005088555</v>
      </c>
      <c r="Q10" s="8" t="n">
        <v>0.001905</v>
      </c>
      <c r="R10" s="0" t="n">
        <v>0.1524</v>
      </c>
      <c r="S10" s="15" t="n">
        <v>3535281.83984375</v>
      </c>
      <c r="T10" s="0" t="n">
        <v>532.848711118157</v>
      </c>
      <c r="U10" s="37">
        <f>+T10+BG10*S10*テーブル2[[#This Row],[Pw]]*R10/(N10*O10*K10)</f>
        <v/>
      </c>
      <c r="V10" s="0" t="n">
        <v>0.03</v>
      </c>
      <c r="W10" s="8">
        <f>+N10*Q10/I10</f>
        <v/>
      </c>
      <c r="X10" s="0" t="n">
        <v>0.03136863302905341</v>
      </c>
      <c r="Y10" s="0">
        <f>IF(X10&gt;0,1/X10^0.5,1)</f>
        <v/>
      </c>
      <c r="Z10" s="0">
        <f>IF(X10&gt;0,1.14-2*LOG((0.72*L10*E10)/(X10*Q10*N10^2)+9.35/(W10*X10^0.5)),0)</f>
        <v/>
      </c>
      <c r="AA10" s="0">
        <f>+Y10-Z10</f>
        <v/>
      </c>
      <c r="AB10" s="0">
        <f>32/X10*L10*V10*E10/N10^2</f>
        <v/>
      </c>
      <c r="AC10" s="0" t="n">
        <v>662.6522221749711</v>
      </c>
      <c r="AD10" s="0">
        <f>+Q10/2*AI10/I10*E10</f>
        <v/>
      </c>
      <c r="AE10" s="0">
        <f>+gettm2(AD10,AC10,AK10,AL10,テーブル2[[#This Row],[Fcorr]])</f>
        <v/>
      </c>
      <c r="AF10" s="38">
        <f>+AE10-U10</f>
        <v/>
      </c>
      <c r="AG10" s="0" t="n">
        <v>1.261786754789715e-05</v>
      </c>
      <c r="AH10" s="0">
        <f>+X10*N10^2/(8*E10)</f>
        <v/>
      </c>
      <c r="AI10" s="0">
        <f>+(AH10/E10)^0.5</f>
        <v/>
      </c>
      <c r="AJ10" s="0">
        <f>+AG10*AI10/I10*E10</f>
        <v/>
      </c>
      <c r="AK10" s="0">
        <f t="array" ref="AK10">+S10*テーブル2[[#This Row],[F_form]]/(E10*CpFromTP((テーブル2[[#This Row],[Tin]]+テーブル2[[#This Row],[Tf]])/2,テーブル2[[#This Row],[P]])*AI10)</f>
        <v/>
      </c>
      <c r="AL10" s="0">
        <f>+K10*I10/J10</f>
        <v/>
      </c>
      <c r="AM10" s="0">
        <f>+gettyp(AC10,AJ10,AK10,AL10)</f>
        <v/>
      </c>
      <c r="AN10" s="0">
        <f>+C10-AM10</f>
        <v/>
      </c>
      <c r="AO10" s="0">
        <f>+AG10-AB10</f>
        <v/>
      </c>
      <c r="AP10" s="0" t="n">
        <v>3.819359194570187</v>
      </c>
      <c r="AQ10" s="0">
        <f>2*PI()*L10*(D10+E10)/(D10*E10*AP10^2)</f>
        <v/>
      </c>
      <c r="AR10" s="0">
        <f>+AO10+AB10/2</f>
        <v/>
      </c>
      <c r="AS10" s="0">
        <f>+AR10*AI10/I10*E10</f>
        <v/>
      </c>
      <c r="AT10" s="0">
        <f>+getublp(AS10)</f>
        <v/>
      </c>
      <c r="AU10" s="0">
        <f>+AT10*AI10</f>
        <v/>
      </c>
      <c r="AV10" s="0">
        <f>+AP10-AU10</f>
        <v/>
      </c>
      <c r="AW10" s="0">
        <f>2/3*AB10/(L10/(9.8*(E10-D10)))^0.5</f>
        <v/>
      </c>
      <c r="AX10" s="0">
        <f>+(2*AQ10*9.8*(E10-D10)/(E10*AW10))^0.5</f>
        <v/>
      </c>
      <c r="AY10" s="0">
        <f>+AV10-AX10</f>
        <v/>
      </c>
      <c r="AZ10" s="0">
        <f>+F10-G10</f>
        <v/>
      </c>
      <c r="BA10" s="0">
        <f>+AQ10/AP10</f>
        <v/>
      </c>
      <c r="BB10" s="15">
        <f>+E10*AO10*AZ10/BA10</f>
        <v/>
      </c>
      <c r="BC10" s="20">
        <f>BB10-S10</f>
        <v/>
      </c>
      <c r="BD10" s="19">
        <f>+(BB10-S10)/S10*100</f>
        <v/>
      </c>
      <c r="BE10" s="15" t="n">
        <v>3943750</v>
      </c>
      <c r="BF10" s="16">
        <f>テーブル2[[#This Row],[q_P]]/テーブル2[[#This Row],[q_M]]</f>
        <v/>
      </c>
      <c r="BG10" s="0" t="n">
        <v>1</v>
      </c>
      <c r="BH10" s="0" t="n">
        <v>-0.026</v>
      </c>
      <c r="BI10" s="0" t="n">
        <v>0.046</v>
      </c>
      <c r="BJ10" s="0" t="n">
        <v>5625</v>
      </c>
      <c r="BK10" s="22" t="n">
        <v>1</v>
      </c>
      <c r="BL10" s="0">
        <f>テーブル2[[#This Row],[Ts]]-テーブル2[[#This Row],[Tin]]</f>
        <v/>
      </c>
      <c r="BM10" s="0">
        <f>テーブル2[[#This Row],[q_P]]*0.000001</f>
        <v/>
      </c>
      <c r="BN10" s="0">
        <f>テーブル2[[#This Row],[Tsub]]</f>
        <v/>
      </c>
      <c r="BO10" s="0">
        <f>テーブル2[[#This Row],[Fcorr]]</f>
        <v/>
      </c>
      <c r="BP10" s="0">
        <f>(テーブル2[[#This Row],[Tsub]]-40)^2</f>
        <v/>
      </c>
      <c r="BQ10" t="n">
        <v>1</v>
      </c>
      <c r="BR10" s="0" t="n">
        <v>0.1524</v>
      </c>
    </row>
    <row r="11">
      <c r="A11" s="9" t="inlineStr">
        <is>
          <t>18.01_10</t>
        </is>
      </c>
      <c r="B11" s="0" t="n">
        <v>13789520</v>
      </c>
      <c r="C11" s="22">
        <f t="array" ref="C11">TsatFromP(テーブル2[[#This Row],[P]])</f>
        <v/>
      </c>
      <c r="D11" s="0">
        <f t="array" ref="D11">RhoGFromP(テーブル2[[#This Row],[P]])</f>
        <v/>
      </c>
      <c r="E11" s="0">
        <f t="array" ref="E11">RhoFFromP(テーブル2[[#This Row],[P]])</f>
        <v/>
      </c>
      <c r="F11" s="0">
        <f t="array" ref="F11">HgFromP(テーブル2[[#This Row],[P]])</f>
        <v/>
      </c>
      <c r="G11" s="0">
        <f t="array" ref="G11">HfFromP(テーブル2[[#This Row],[P]])</f>
        <v/>
      </c>
      <c r="H11" s="0">
        <f t="array" ref="H11">MuGFromP(テーブル2[[#This Row],[P]])</f>
        <v/>
      </c>
      <c r="I11" s="0">
        <f t="array" ref="I11">MuFFromP(テーブル2[[#This Row],[P]])</f>
        <v/>
      </c>
      <c r="J11" s="0">
        <f t="array" ref="J11">KfFromP(テーブル2[[#This Row],[P]])</f>
        <v/>
      </c>
      <c r="K11" s="0">
        <f t="array" ref="K11">CpFFromP(テーブル2[[#This Row],[P]])</f>
        <v/>
      </c>
      <c r="L11" s="0">
        <f t="array" ref="L11">SigmaFromP(テーブル2[[#This Row],[P]])</f>
        <v/>
      </c>
      <c r="M11" s="0" t="n">
        <v>10</v>
      </c>
      <c r="N11" s="0" t="n">
        <v>3634.08</v>
      </c>
      <c r="O11" s="8" t="n">
        <v>2.850229569923424e-06</v>
      </c>
      <c r="P11" s="8" t="n">
        <v>0.005984734005088555</v>
      </c>
      <c r="Q11" s="8" t="n">
        <v>0.001905</v>
      </c>
      <c r="R11" s="0" t="n">
        <v>0.1524</v>
      </c>
      <c r="S11" s="15" t="n">
        <v>3515012.92578125</v>
      </c>
      <c r="T11" s="0" t="n">
        <v>541.317752432616</v>
      </c>
      <c r="U11" s="37">
        <f>+T11+BG11*S11*テーブル2[[#This Row],[Pw]]*R11/(N11*O11*K11)</f>
        <v/>
      </c>
      <c r="V11" s="0" t="n">
        <v>0.03</v>
      </c>
      <c r="W11" s="8">
        <f>+N11*Q11/I11</f>
        <v/>
      </c>
      <c r="X11" s="0" t="n">
        <v>0.02942613318173885</v>
      </c>
      <c r="Y11" s="0">
        <f>IF(X11&gt;0,1/X11^0.5,1)</f>
        <v/>
      </c>
      <c r="Z11" s="0">
        <f>IF(X11&gt;0,1.14-2*LOG((0.72*L11*E11)/(X11*Q11*N11^2)+9.35/(W11*X11^0.5)),0)</f>
        <v/>
      </c>
      <c r="AA11" s="0">
        <f>+Y11-Z11</f>
        <v/>
      </c>
      <c r="AB11" s="0">
        <f>32/X11*L11*V11*E11/N11^2</f>
        <v/>
      </c>
      <c r="AC11" s="0" t="n">
        <v>654.950663538346</v>
      </c>
      <c r="AD11" s="0">
        <f>+Q11/2*AI11/I11*E11</f>
        <v/>
      </c>
      <c r="AE11" s="0">
        <f>+gettm2(AD11,AC11,AK11,AL11,テーブル2[[#This Row],[Fcorr]])</f>
        <v/>
      </c>
      <c r="AF11" s="38">
        <f>+AE11-U11</f>
        <v/>
      </c>
      <c r="AG11" s="0" t="n">
        <v>1.008132119404897e-05</v>
      </c>
      <c r="AH11" s="0">
        <f>+X11*N11^2/(8*E11)</f>
        <v/>
      </c>
      <c r="AI11" s="0">
        <f>+(AH11/E11)^0.5</f>
        <v/>
      </c>
      <c r="AJ11" s="0">
        <f>+AG11*AI11/I11*E11</f>
        <v/>
      </c>
      <c r="AK11" s="0">
        <f t="array" ref="AK11">+S11*テーブル2[[#This Row],[F_form]]/(E11*CpFromTP((テーブル2[[#This Row],[Tin]]+テーブル2[[#This Row],[Tf]])/2,テーブル2[[#This Row],[P]])*AI11)</f>
        <v/>
      </c>
      <c r="AL11" s="0">
        <f>+K11*I11/J11</f>
        <v/>
      </c>
      <c r="AM11" s="0">
        <f>+gettyp(AC11,AJ11,AK11,AL11)</f>
        <v/>
      </c>
      <c r="AN11" s="0">
        <f>+C11-AM11</f>
        <v/>
      </c>
      <c r="AO11" s="0">
        <f>+AG11-AB11</f>
        <v/>
      </c>
      <c r="AP11" s="0" t="n">
        <v>4.056757832610319</v>
      </c>
      <c r="AQ11" s="0">
        <f>2*PI()*L11*(D11+E11)/(D11*E11*AP11^2)</f>
        <v/>
      </c>
      <c r="AR11" s="0">
        <f>+AO11+AB11/2</f>
        <v/>
      </c>
      <c r="AS11" s="0">
        <f>+AR11*AI11/I11*E11</f>
        <v/>
      </c>
      <c r="AT11" s="0">
        <f>+getublp(AS11)</f>
        <v/>
      </c>
      <c r="AU11" s="0">
        <f>+AT11*AI11</f>
        <v/>
      </c>
      <c r="AV11" s="0">
        <f>+AP11-AU11</f>
        <v/>
      </c>
      <c r="AW11" s="0">
        <f>2/3*AB11/(L11/(9.8*(E11-D11)))^0.5</f>
        <v/>
      </c>
      <c r="AX11" s="0">
        <f>+(2*AQ11*9.8*(E11-D11)/(E11*AW11))^0.5</f>
        <v/>
      </c>
      <c r="AY11" s="0">
        <f>+AV11-AX11</f>
        <v/>
      </c>
      <c r="AZ11" s="16">
        <f>+F11-G11</f>
        <v/>
      </c>
      <c r="BA11" s="16">
        <f>+AQ11/AP11</f>
        <v/>
      </c>
      <c r="BB11" s="15">
        <f>+E11*AO11*AZ11/BA11</f>
        <v/>
      </c>
      <c r="BC11" s="20">
        <f>BB11-S11</f>
        <v/>
      </c>
      <c r="BD11" s="19">
        <f>+(BB11-S11)/S11*100</f>
        <v/>
      </c>
      <c r="BE11" s="15" t="n">
        <v>4417000</v>
      </c>
      <c r="BF11" s="16">
        <f>テーブル2[[#This Row],[q_P]]/テーブル2[[#This Row],[q_M]]</f>
        <v/>
      </c>
      <c r="BG11" s="0" t="n">
        <v>1</v>
      </c>
      <c r="BH11" s="0" t="n">
        <v>0.001</v>
      </c>
      <c r="BI11" s="0" t="n">
        <v>0.046</v>
      </c>
      <c r="BJ11" s="0" t="n">
        <v>5625</v>
      </c>
      <c r="BK11" s="22" t="n">
        <v>1</v>
      </c>
      <c r="BL11" s="0">
        <f>テーブル2[[#This Row],[Ts]]-テーブル2[[#This Row],[Tin]]</f>
        <v/>
      </c>
      <c r="BM11" s="0">
        <f>テーブル2[[#This Row],[q_P]]*0.000001</f>
        <v/>
      </c>
      <c r="BN11" s="0">
        <f>テーブル2[[#This Row],[Tsub]]</f>
        <v/>
      </c>
      <c r="BO11" s="0">
        <f>テーブル2[[#This Row],[Fcorr]]</f>
        <v/>
      </c>
      <c r="BP11" s="0">
        <f>(テーブル2[[#This Row],[Tsub]]-40)^2</f>
        <v/>
      </c>
      <c r="BQ11" t="n">
        <v>1</v>
      </c>
      <c r="BR11" s="0" t="n">
        <v>0.1524</v>
      </c>
    </row>
    <row r="12">
      <c r="A12" s="9" t="inlineStr">
        <is>
          <t>19.01_10</t>
        </is>
      </c>
      <c r="B12" s="0" t="n">
        <v>13789520</v>
      </c>
      <c r="C12" s="22">
        <f t="array" ref="C12">TsatFromP(テーブル2[[#This Row],[P]])</f>
        <v/>
      </c>
      <c r="D12" s="0">
        <f t="array" ref="D12">RhoGFromP(テーブル2[[#This Row],[P]])</f>
        <v/>
      </c>
      <c r="E12" s="0">
        <f t="array" ref="E12">RhoFFromP(テーブル2[[#This Row],[P]])</f>
        <v/>
      </c>
      <c r="F12" s="0">
        <f t="array" ref="F12">HgFromP(テーブル2[[#This Row],[P]])</f>
        <v/>
      </c>
      <c r="G12" s="0">
        <f t="array" ref="G12">HfFromP(テーブル2[[#This Row],[P]])</f>
        <v/>
      </c>
      <c r="H12" s="0">
        <f t="array" ref="H12">MuGFromP(テーブル2[[#This Row],[P]])</f>
        <v/>
      </c>
      <c r="I12" s="0">
        <f t="array" ref="I12">MuFFromP(テーブル2[[#This Row],[P]])</f>
        <v/>
      </c>
      <c r="J12" s="0">
        <f t="array" ref="J12">KfFromP(テーブル2[[#This Row],[P]])</f>
        <v/>
      </c>
      <c r="K12" s="0">
        <f t="array" ref="K12">CpFFromP(テーブル2[[#This Row],[P]])</f>
        <v/>
      </c>
      <c r="L12" s="0">
        <f t="array" ref="L12">SigmaFromP(テーブル2[[#This Row],[P]])</f>
        <v/>
      </c>
      <c r="M12" s="23" t="n">
        <v>11</v>
      </c>
      <c r="N12" s="0" t="n">
        <v>3851.04</v>
      </c>
      <c r="O12" s="8" t="n">
        <v>2.850229569923424e-06</v>
      </c>
      <c r="P12" s="8" t="n">
        <v>0.005984734005088555</v>
      </c>
      <c r="Q12" s="8" t="n">
        <v>0.001905</v>
      </c>
      <c r="R12" s="0" t="n">
        <v>0.1524</v>
      </c>
      <c r="S12" s="15" t="n">
        <v>4025857.05078125</v>
      </c>
      <c r="T12" s="0" t="n">
        <v>534.000312747477</v>
      </c>
      <c r="U12" s="37">
        <f>+T12+BG12*S12*テーブル2[[#This Row],[Pw]]*R12/(N12*O12*K12)</f>
        <v/>
      </c>
      <c r="V12" s="0" t="n">
        <v>0.03</v>
      </c>
      <c r="W12" s="8">
        <f>+N12*Q12/I12</f>
        <v/>
      </c>
      <c r="X12" s="0" t="n">
        <v>0.02869484323396514</v>
      </c>
      <c r="Y12" s="0">
        <f>IF(X12&gt;0,1/X12^0.5,1)</f>
        <v/>
      </c>
      <c r="Z12" s="0">
        <f>IF(X12&gt;0,1.14-2*LOG((0.72*L12*E12)/(X12*Q12*N12^2)+9.35/(W12*X12^0.5)),0)</f>
        <v/>
      </c>
      <c r="AA12" s="0">
        <f>+Y12-Z12</f>
        <v/>
      </c>
      <c r="AB12" s="0">
        <f>32/X12*L12*V12*E12/N12^2</f>
        <v/>
      </c>
      <c r="AC12" s="0" t="n">
        <v>659.7460726169525</v>
      </c>
      <c r="AD12" s="0">
        <f>+Q12/2*AI12/I12*E12</f>
        <v/>
      </c>
      <c r="AE12" s="0">
        <f>+gettm2(AD12,AC12,AK12,AL12,テーブル2[[#This Row],[Fcorr]])</f>
        <v/>
      </c>
      <c r="AF12" s="38">
        <f>+AE12-U12</f>
        <v/>
      </c>
      <c r="AG12" s="0" t="n">
        <v>9.212497610821769e-06</v>
      </c>
      <c r="AH12" s="0">
        <f>+X12*N12^2/(8*E12)</f>
        <v/>
      </c>
      <c r="AI12" s="0">
        <f>+(AH12/E12)^0.5</f>
        <v/>
      </c>
      <c r="AJ12" s="0">
        <f>+AG12*AI12/I12*E12</f>
        <v/>
      </c>
      <c r="AK12" s="0">
        <f t="array" ref="AK12">+S12*テーブル2[[#This Row],[F_form]]/(E12*CpFromTP((テーブル2[[#This Row],[Tin]]+テーブル2[[#This Row],[Tf]])/2,テーブル2[[#This Row],[P]])*AI12)</f>
        <v/>
      </c>
      <c r="AL12" s="0">
        <f>+K12*I12/J12</f>
        <v/>
      </c>
      <c r="AM12" s="0">
        <f>+gettyp(AC12,AJ12,AK12,AL12)</f>
        <v/>
      </c>
      <c r="AN12" s="0">
        <f>+C12-AM12</f>
        <v/>
      </c>
      <c r="AO12" s="0">
        <f>+AG12-AB12</f>
        <v/>
      </c>
      <c r="AP12" s="0" t="n">
        <v>4.156282946799594</v>
      </c>
      <c r="AQ12" s="0">
        <f>2*PI()*L12*(D12+E12)/(D12*E12*AP12^2)</f>
        <v/>
      </c>
      <c r="AR12" s="0">
        <f>+AO12+AB12/2</f>
        <v/>
      </c>
      <c r="AS12" s="0">
        <f>+AR12*AI12/I12*E12</f>
        <v/>
      </c>
      <c r="AT12" s="0">
        <f>+getublp(AS12)</f>
        <v/>
      </c>
      <c r="AU12" s="0">
        <f>+AT12*AI12</f>
        <v/>
      </c>
      <c r="AV12" s="0">
        <f>+AP12-AU12</f>
        <v/>
      </c>
      <c r="AW12" s="0">
        <f>2/3*AB12/(L12/(9.8*(E12-D12)))^0.5</f>
        <v/>
      </c>
      <c r="AX12" s="0">
        <f>+(2*AQ12*9.8*(E12-D12)/(E12*AW12))^0.5</f>
        <v/>
      </c>
      <c r="AY12" s="0">
        <f>+AV12-AX12</f>
        <v/>
      </c>
      <c r="AZ12" s="0">
        <f>+F12-G12</f>
        <v/>
      </c>
      <c r="BA12" s="0">
        <f>+AQ12/AP12</f>
        <v/>
      </c>
      <c r="BB12" s="15">
        <f>+E12*AO12*AZ12/BA12</f>
        <v/>
      </c>
      <c r="BC12" s="20">
        <f>BB12-S12</f>
        <v/>
      </c>
      <c r="BD12" s="19">
        <f>+(BB12-S12)/S12*100</f>
        <v/>
      </c>
      <c r="BE12" s="15" t="n">
        <v>4858700</v>
      </c>
      <c r="BF12" s="16">
        <f>テーブル2[[#This Row],[q_P]]/テーブル2[[#This Row],[q_M]]</f>
        <v/>
      </c>
      <c r="BG12" s="0" t="n">
        <v>1</v>
      </c>
      <c r="BH12" s="0" t="n">
        <v>-0.018</v>
      </c>
      <c r="BI12" s="0" t="n">
        <v>0.046</v>
      </c>
      <c r="BJ12" s="0" t="n">
        <v>5625</v>
      </c>
      <c r="BK12" s="22" t="n">
        <v>1</v>
      </c>
      <c r="BL12" s="0">
        <f>テーブル2[[#This Row],[Ts]]-テーブル2[[#This Row],[Tin]]</f>
        <v/>
      </c>
      <c r="BM12" s="0">
        <f>テーブル2[[#This Row],[q_P]]*0.000001</f>
        <v/>
      </c>
      <c r="BN12" s="0">
        <f>テーブル2[[#This Row],[Tsub]]</f>
        <v/>
      </c>
      <c r="BO12" s="0">
        <f>テーブル2[[#This Row],[Fcorr]]</f>
        <v/>
      </c>
      <c r="BP12" s="0">
        <f>(テーブル2[[#This Row],[Tsub]]-40)^2</f>
        <v/>
      </c>
      <c r="BQ12" t="n">
        <v>1</v>
      </c>
      <c r="BR12" s="0" t="n">
        <v>0.1524</v>
      </c>
    </row>
    <row r="13">
      <c r="A13" s="9" t="inlineStr">
        <is>
          <t>20.01_10</t>
        </is>
      </c>
      <c r="B13" s="0" t="n">
        <v>13789520</v>
      </c>
      <c r="C13" s="22">
        <f t="array" ref="C13">TsatFromP(テーブル2[[#This Row],[P]])</f>
        <v/>
      </c>
      <c r="D13" s="0">
        <f t="array" ref="D13">RhoGFromP(テーブル2[[#This Row],[P]])</f>
        <v/>
      </c>
      <c r="E13" s="0">
        <f t="array" ref="E13">RhoFFromP(テーブル2[[#This Row],[P]])</f>
        <v/>
      </c>
      <c r="F13" s="0">
        <f t="array" ref="F13">HgFromP(テーブル2[[#This Row],[P]])</f>
        <v/>
      </c>
      <c r="G13" s="0">
        <f t="array" ref="G13">HfFromP(テーブル2[[#This Row],[P]])</f>
        <v/>
      </c>
      <c r="H13" s="0">
        <f t="array" ref="H13">MuGFromP(テーブル2[[#This Row],[P]])</f>
        <v/>
      </c>
      <c r="I13" s="0">
        <f t="array" ref="I13">MuFFromP(テーブル2[[#This Row],[P]])</f>
        <v/>
      </c>
      <c r="J13" s="0">
        <f t="array" ref="J13">KfFromP(テーブル2[[#This Row],[P]])</f>
        <v/>
      </c>
      <c r="K13" s="0">
        <f t="array" ref="K13">CpFFromP(テーブル2[[#This Row],[P]])</f>
        <v/>
      </c>
      <c r="L13" s="0">
        <f t="array" ref="L13">SigmaFromP(テーブル2[[#This Row],[P]])</f>
        <v/>
      </c>
      <c r="M13" s="0" t="n">
        <v>12</v>
      </c>
      <c r="N13" s="0" t="n">
        <v>3905.28</v>
      </c>
      <c r="O13" s="8" t="n">
        <v>2.850229569923424e-06</v>
      </c>
      <c r="P13" s="8" t="n">
        <v>0.005984734005088555</v>
      </c>
      <c r="Q13" s="8" t="n">
        <v>0.001905</v>
      </c>
      <c r="R13" s="0" t="n">
        <v>0.1524</v>
      </c>
      <c r="S13" s="15" t="n">
        <v>4119595.80078125</v>
      </c>
      <c r="T13" s="0" t="n">
        <v>532.848711118157</v>
      </c>
      <c r="U13" s="37">
        <f>+T13+BG13*S13*テーブル2[[#This Row],[Pw]]*R13/(N13*O13*K13)</f>
        <v/>
      </c>
      <c r="V13" s="0" t="n">
        <v>0.03</v>
      </c>
      <c r="W13" s="8">
        <f>+N13*Q13/I13</f>
        <v/>
      </c>
      <c r="X13" s="0" t="n">
        <v>0.0285224803085561</v>
      </c>
      <c r="Y13" s="0">
        <f>IF(X13&gt;0,1/X13^0.5,1)</f>
        <v/>
      </c>
      <c r="Z13" s="0">
        <f>IF(X13&gt;0,1.14-2*LOG((0.72*L13*E13)/(X13*Q13*N13^2)+9.35/(W13*X13^0.5)),0)</f>
        <v/>
      </c>
      <c r="AA13" s="0">
        <f>+Y13-Z13</f>
        <v/>
      </c>
      <c r="AB13" s="0">
        <f>32/X13*L13*V13*E13/N13^2</f>
        <v/>
      </c>
      <c r="AC13" s="0" t="n">
        <v>660.3296774603897</v>
      </c>
      <c r="AD13" s="0">
        <f>+Q13/2*AI13/I13*E13</f>
        <v/>
      </c>
      <c r="AE13" s="0">
        <f>+gettm2(AD13,AC13,AK13,AL13,テーブル2[[#This Row],[Fcorr]])</f>
        <v/>
      </c>
      <c r="AF13" s="38">
        <f>+AE13-U13</f>
        <v/>
      </c>
      <c r="AG13" s="0" t="n">
        <v>9.014007581604214e-06</v>
      </c>
      <c r="AH13" s="0">
        <f>+X13*N13^2/(8*E13)</f>
        <v/>
      </c>
      <c r="AI13" s="0">
        <f>+(AH13/E13)^0.5</f>
        <v/>
      </c>
      <c r="AJ13" s="0">
        <f>+AG13*AI13/I13*E13</f>
        <v/>
      </c>
      <c r="AK13" s="0">
        <f t="array" ref="AK13">+S13*テーブル2[[#This Row],[F_form]]/(E13*CpFromTP((テーブル2[[#This Row],[Tin]]+テーブル2[[#This Row],[Tf]])/2,テーブル2[[#This Row],[P]])*AI13)</f>
        <v/>
      </c>
      <c r="AL13" s="0">
        <f>+K13*I13/J13</f>
        <v/>
      </c>
      <c r="AM13" s="0">
        <f>+gettyp(AC13,AJ13,AK13,AL13)</f>
        <v/>
      </c>
      <c r="AN13" s="0">
        <f>+C13-AM13</f>
        <v/>
      </c>
      <c r="AO13" s="0">
        <f>+AG13-AB13</f>
        <v/>
      </c>
      <c r="AP13" s="0" t="n">
        <v>4.180465300539183</v>
      </c>
      <c r="AQ13" s="0">
        <f>2*PI()*L13*(D13+E13)/(D13*E13*AP13^2)</f>
        <v/>
      </c>
      <c r="AR13" s="0">
        <f>+AO13+AB13/2</f>
        <v/>
      </c>
      <c r="AS13" s="0">
        <f>+AR13*AI13/I13*E13</f>
        <v/>
      </c>
      <c r="AT13" s="0">
        <f>+getublp(AS13)</f>
        <v/>
      </c>
      <c r="AU13" s="0">
        <f>+AT13*AI13</f>
        <v/>
      </c>
      <c r="AV13" s="0">
        <f>+AP13-AU13</f>
        <v/>
      </c>
      <c r="AW13" s="0">
        <f>2/3*AB13/(L13/(9.8*(E13-D13)))^0.5</f>
        <v/>
      </c>
      <c r="AX13" s="0">
        <f>+(2*AQ13*9.8*(E13-D13)/(E13*AW13))^0.5</f>
        <v/>
      </c>
      <c r="AY13" s="0">
        <f>+AV13-AX13</f>
        <v/>
      </c>
      <c r="AZ13" s="0">
        <f>+F13-G13</f>
        <v/>
      </c>
      <c r="BA13" s="0">
        <f>+AQ13/AP13</f>
        <v/>
      </c>
      <c r="BB13" s="15">
        <f>+E13*AO13*AZ13/BA13</f>
        <v/>
      </c>
      <c r="BC13" s="20">
        <f>BB13-S13</f>
        <v/>
      </c>
      <c r="BD13" s="19">
        <f>+(BB13-S13)/S13*100</f>
        <v/>
      </c>
      <c r="BE13" s="15" t="n">
        <v>4890250</v>
      </c>
      <c r="BF13" s="16">
        <f>テーブル2[[#This Row],[q_P]]/テーブル2[[#This Row],[q_M]]</f>
        <v/>
      </c>
      <c r="BG13" s="0" t="n">
        <v>1</v>
      </c>
      <c r="BH13" s="0" t="n">
        <v>-0.026</v>
      </c>
      <c r="BI13" s="0" t="n">
        <v>0.046</v>
      </c>
      <c r="BJ13" s="0" t="n">
        <v>5625</v>
      </c>
      <c r="BK13" s="22" t="n">
        <v>1</v>
      </c>
      <c r="BL13" s="0">
        <f>テーブル2[[#This Row],[Ts]]-テーブル2[[#This Row],[Tin]]</f>
        <v/>
      </c>
      <c r="BM13" s="0">
        <f>テーブル2[[#This Row],[q_P]]*0.000001</f>
        <v/>
      </c>
      <c r="BN13" s="0">
        <f>テーブル2[[#This Row],[Tsub]]</f>
        <v/>
      </c>
      <c r="BO13" s="0">
        <f>テーブル2[[#This Row],[Fcorr]]</f>
        <v/>
      </c>
      <c r="BP13" s="0">
        <f>(テーブル2[[#This Row],[Tsub]]-40)^2</f>
        <v/>
      </c>
      <c r="BQ13" t="n">
        <v>1</v>
      </c>
      <c r="BR13" s="0" t="n">
        <v>0.1524</v>
      </c>
    </row>
    <row r="14">
      <c r="A14" s="9" t="inlineStr">
        <is>
          <t>21.01_10</t>
        </is>
      </c>
      <c r="B14" s="0" t="n">
        <v>13789520</v>
      </c>
      <c r="C14" s="22">
        <f t="array" ref="C14">TsatFromP(テーブル2[[#This Row],[P]])</f>
        <v/>
      </c>
      <c r="D14" s="0">
        <f t="array" ref="D14">RhoGFromP(テーブル2[[#This Row],[P]])</f>
        <v/>
      </c>
      <c r="E14" s="0">
        <f t="array" ref="E14">RhoFFromP(テーブル2[[#This Row],[P]])</f>
        <v/>
      </c>
      <c r="F14" s="0">
        <f t="array" ref="F14">HgFromP(テーブル2[[#This Row],[P]])</f>
        <v/>
      </c>
      <c r="G14" s="0">
        <f t="array" ref="G14">HfFromP(テーブル2[[#This Row],[P]])</f>
        <v/>
      </c>
      <c r="H14" s="0">
        <f t="array" ref="H14">MuGFromP(テーブル2[[#This Row],[P]])</f>
        <v/>
      </c>
      <c r="I14" s="0">
        <f t="array" ref="I14">MuFFromP(テーブル2[[#This Row],[P]])</f>
        <v/>
      </c>
      <c r="J14" s="0">
        <f t="array" ref="J14">KfFromP(テーブル2[[#This Row],[P]])</f>
        <v/>
      </c>
      <c r="K14" s="0">
        <f t="array" ref="K14">CpFFromP(テーブル2[[#This Row],[P]])</f>
        <v/>
      </c>
      <c r="L14" s="0">
        <f t="array" ref="L14">SigmaFromP(テーブル2[[#This Row],[P]])</f>
        <v/>
      </c>
      <c r="M14" s="23" t="n">
        <v>13</v>
      </c>
      <c r="N14" s="0" t="n">
        <v>3918.84</v>
      </c>
      <c r="O14" s="8" t="n">
        <v>2.850229569923424e-06</v>
      </c>
      <c r="P14" s="8" t="n">
        <v>0.005984734005088555</v>
      </c>
      <c r="Q14" s="8" t="n">
        <v>0.001905</v>
      </c>
      <c r="R14" s="0" t="n">
        <v>0.1524</v>
      </c>
      <c r="S14" s="15" t="n">
        <v>4409098.14453125</v>
      </c>
      <c r="T14" s="0" t="n">
        <v>527.290806405812</v>
      </c>
      <c r="U14" s="37">
        <f>+T14+BG14*S14*テーブル2[[#This Row],[Pw]]*R14/(N14*O14*K14)</f>
        <v/>
      </c>
      <c r="V14" s="0" t="n">
        <v>0.03</v>
      </c>
      <c r="W14" s="8">
        <f>+N14*Q14/I14</f>
        <v/>
      </c>
      <c r="X14" s="0" t="n">
        <v>0.02848000064394542</v>
      </c>
      <c r="Y14" s="0">
        <f>IF(X14&gt;0,1/X14^0.5,1)</f>
        <v/>
      </c>
      <c r="Z14" s="0">
        <f>IF(X14&gt;0,1.14-2*LOG((0.72*L14*E14)/(X14*Q14*N14^2)+9.35/(W14*X14^0.5)),0)</f>
        <v/>
      </c>
      <c r="AA14" s="0">
        <f>+Y14-Z14</f>
        <v/>
      </c>
      <c r="AB14" s="0">
        <f>32/X14*L14*V14*E14/N14^2</f>
        <v/>
      </c>
      <c r="AC14" s="0" t="n">
        <v>664.4469181911891</v>
      </c>
      <c r="AD14" s="0">
        <f>+Q14/2*AI14/I14*E14</f>
        <v/>
      </c>
      <c r="AE14" s="0">
        <f>+gettm2(AD14,AC14,AK14,AL14,テーブル2[[#This Row],[Fcorr]])</f>
        <v/>
      </c>
      <c r="AF14" s="38">
        <f>+AE14-U14</f>
        <v/>
      </c>
      <c r="AG14" s="0" t="n">
        <v>8.968291922801532e-06</v>
      </c>
      <c r="AH14" s="0">
        <f>+X14*N14^2/(8*E14)</f>
        <v/>
      </c>
      <c r="AI14" s="0">
        <f>+(AH14/E14)^0.5</f>
        <v/>
      </c>
      <c r="AJ14" s="0">
        <f>+AG14*AI14/I14*E14</f>
        <v/>
      </c>
      <c r="AK14" s="0">
        <f t="array" ref="AK14">+S14*テーブル2[[#This Row],[F_form]]/(E14*CpFromTP((テーブル2[[#This Row],[Tin]]+テーブル2[[#This Row],[Tf]])/2,テーブル2[[#This Row],[P]])*AI14)</f>
        <v/>
      </c>
      <c r="AL14" s="0">
        <f>+K14*I14/J14</f>
        <v/>
      </c>
      <c r="AM14" s="0">
        <f>+gettyp(AC14,AJ14,AK14,AL14)</f>
        <v/>
      </c>
      <c r="AN14" s="0">
        <f>+C14-AM14</f>
        <v/>
      </c>
      <c r="AO14" s="0">
        <f>+AG14-AB14</f>
        <v/>
      </c>
      <c r="AP14" s="0" t="n">
        <v>4.187563471692153</v>
      </c>
      <c r="AQ14" s="0">
        <f>2*PI()*L14*(D14+E14)/(D14*E14*AP14^2)</f>
        <v/>
      </c>
      <c r="AR14" s="0">
        <f>+AO14+AB14/2</f>
        <v/>
      </c>
      <c r="AS14" s="0">
        <f>+AR14*AI14/I14*E14</f>
        <v/>
      </c>
      <c r="AT14" s="0">
        <f>+getublp(AS14)</f>
        <v/>
      </c>
      <c r="AU14" s="0">
        <f>+AT14*AI14</f>
        <v/>
      </c>
      <c r="AV14" s="0">
        <f>+AP14-AU14</f>
        <v/>
      </c>
      <c r="AW14" s="0">
        <f>2/3*AB14/(L14/(9.8*(E14-D14)))^0.5</f>
        <v/>
      </c>
      <c r="AX14" s="0">
        <f>+(2*AQ14*9.8*(E14-D14)/(E14*AW14))^0.5</f>
        <v/>
      </c>
      <c r="AY14" s="0">
        <f>+AV14-AX14</f>
        <v/>
      </c>
      <c r="AZ14" s="0">
        <f>+F14-G14</f>
        <v/>
      </c>
      <c r="BA14" s="0">
        <f>+AQ14/AP14</f>
        <v/>
      </c>
      <c r="BB14" s="15">
        <f>+E14*AO14*AZ14/BA14</f>
        <v/>
      </c>
      <c r="BC14" s="20">
        <f>BB14-S14</f>
        <v/>
      </c>
      <c r="BD14" s="19">
        <f>+(BB14-S14)/S14*100</f>
        <v/>
      </c>
      <c r="BE14" s="15" t="n">
        <v>5426600</v>
      </c>
      <c r="BF14" s="16">
        <f>テーブル2[[#This Row],[q_P]]/テーブル2[[#This Row],[q_M]]</f>
        <v/>
      </c>
      <c r="BG14" s="0" t="n">
        <v>1</v>
      </c>
      <c r="BH14" s="0" t="n">
        <v>-0.012</v>
      </c>
      <c r="BI14" s="0" t="n">
        <v>0.046</v>
      </c>
      <c r="BJ14" s="0" t="n">
        <v>5625</v>
      </c>
      <c r="BK14" s="22" t="n">
        <v>1</v>
      </c>
      <c r="BL14" s="0">
        <f>テーブル2[[#This Row],[Ts]]-テーブル2[[#This Row],[Tin]]</f>
        <v/>
      </c>
      <c r="BM14" s="0">
        <f>テーブル2[[#This Row],[q_P]]*0.000001</f>
        <v/>
      </c>
      <c r="BN14" s="0">
        <f>テーブル2[[#This Row],[Tsub]]</f>
        <v/>
      </c>
      <c r="BO14" s="0">
        <f>テーブル2[[#This Row],[Fcorr]]</f>
        <v/>
      </c>
      <c r="BP14" s="0">
        <f>(テーブル2[[#This Row],[Tsub]]-40)^2</f>
        <v/>
      </c>
      <c r="BQ14" t="n">
        <v>1</v>
      </c>
      <c r="BR14" s="0" t="n">
        <v>0.1524</v>
      </c>
    </row>
    <row r="15">
      <c r="A15" s="9" t="inlineStr">
        <is>
          <t>51.01_10</t>
        </is>
      </c>
      <c r="B15" s="0" t="n">
        <v>13789520</v>
      </c>
      <c r="C15" s="22">
        <f t="array" ref="C15">TsatFromP(テーブル2[[#This Row],[P]])</f>
        <v/>
      </c>
      <c r="D15" s="0">
        <f t="array" ref="D15">RhoGFromP(テーブル2[[#This Row],[P]])</f>
        <v/>
      </c>
      <c r="E15" s="0">
        <f t="array" ref="E15">RhoFFromP(テーブル2[[#This Row],[P]])</f>
        <v/>
      </c>
      <c r="F15" s="0">
        <f t="array" ref="F15">HgFromP(テーブル2[[#This Row],[P]])</f>
        <v/>
      </c>
      <c r="G15" s="0">
        <f t="array" ref="G15">HfFromP(テーブル2[[#This Row],[P]])</f>
        <v/>
      </c>
      <c r="H15" s="0">
        <f t="array" ref="H15">MuGFromP(テーブル2[[#This Row],[P]])</f>
        <v/>
      </c>
      <c r="I15" s="0">
        <f t="array" ref="I15">MuFFromP(テーブル2[[#This Row],[P]])</f>
        <v/>
      </c>
      <c r="J15" s="0">
        <f t="array" ref="J15">KfFromP(テーブル2[[#This Row],[P]])</f>
        <v/>
      </c>
      <c r="K15" s="0">
        <f t="array" ref="K15">CpFFromP(テーブル2[[#This Row],[P]])</f>
        <v/>
      </c>
      <c r="L15" s="0">
        <f t="array" ref="L15">SigmaFromP(テーブル2[[#This Row],[P]])</f>
        <v/>
      </c>
      <c r="M15" s="0" t="n">
        <v>14</v>
      </c>
      <c r="N15" s="0" t="n">
        <v>2752.68</v>
      </c>
      <c r="O15" s="8" t="n">
        <v>1.641732232275892e-05</v>
      </c>
      <c r="P15" s="8" t="n">
        <v>0.01436336161221253</v>
      </c>
      <c r="Q15" s="8" t="n">
        <v>0.004572</v>
      </c>
      <c r="R15" s="0" t="n">
        <v>0.295275</v>
      </c>
      <c r="S15" s="15" t="n">
        <v>321774.0625127499</v>
      </c>
      <c r="T15" s="0" t="n">
        <v>601.931879121089</v>
      </c>
      <c r="U15" s="37">
        <f>+T15+BG15*S15*テーブル2[[#This Row],[Pw]]*R15/(N15*O15*K15)</f>
        <v/>
      </c>
      <c r="V15" s="0" t="n">
        <v>0.03</v>
      </c>
      <c r="W15" s="8">
        <f>+N15*Q15/I15</f>
        <v/>
      </c>
      <c r="X15" s="0" t="n">
        <v>0.02715857319403637</v>
      </c>
      <c r="Y15" s="0">
        <f>IF(X15&gt;0,1/X15^0.5,1)</f>
        <v/>
      </c>
      <c r="Z15" s="0">
        <f>IF(X15&gt;0,1.14-2*LOG((0.72*L15*E15)/(X15*Q15*N15^2)+9.35/(W15*X15^0.5)),0)</f>
        <v/>
      </c>
      <c r="AA15" s="0">
        <f>+Y15-Z15</f>
        <v/>
      </c>
      <c r="AB15" s="0">
        <f>32/X15*L15*V15*E15/N15^2</f>
        <v/>
      </c>
      <c r="AC15" s="0" t="n">
        <v>613.2711557366672</v>
      </c>
      <c r="AD15" s="0">
        <f>+Q15/2*AI15/I15*E15</f>
        <v/>
      </c>
      <c r="AE15" s="0">
        <f>+gettm2(AD15,AC15,AK15,AL15,テーブル2[[#This Row],[Fcorr]])</f>
        <v/>
      </c>
      <c r="AF15" s="38">
        <f>+AE15-U15</f>
        <v/>
      </c>
      <c r="AG15" s="0" t="n">
        <v>1.896478839885297e-05</v>
      </c>
      <c r="AH15" s="0">
        <f>+X15*N15^2/(8*E15)</f>
        <v/>
      </c>
      <c r="AI15" s="0">
        <f>+(AH15/E15)^0.5</f>
        <v/>
      </c>
      <c r="AJ15" s="0">
        <f>+AG15*AI15/I15*E15</f>
        <v/>
      </c>
      <c r="AK15" s="0">
        <f t="array" ref="AK15">+S15*テーブル2[[#This Row],[F_form]]/(E15*CpFromTP((テーブル2[[#This Row],[Tin]]+テーブル2[[#This Row],[Tf]])/2,テーブル2[[#This Row],[P]])*AI15)</f>
        <v/>
      </c>
      <c r="AL15" s="0">
        <f>+K15*I15/J15</f>
        <v/>
      </c>
      <c r="AM15" s="0">
        <f>+gettyp(AC15,AJ15,AK15,AL15)</f>
        <v/>
      </c>
      <c r="AN15" s="0">
        <f>+C15-AM15</f>
        <v/>
      </c>
      <c r="AO15" s="0">
        <f>+AG15-AB15</f>
        <v/>
      </c>
      <c r="AP15" s="0" t="n">
        <v>3.393513956439537</v>
      </c>
      <c r="AQ15" s="0">
        <f>2*PI()*L15*(D15+E15)/(D15*E15*AP15^2)</f>
        <v/>
      </c>
      <c r="AR15" s="0">
        <f>+AO15+AB15/2</f>
        <v/>
      </c>
      <c r="AS15" s="0">
        <f>+AR15*AI15/I15*E15</f>
        <v/>
      </c>
      <c r="AT15" s="0">
        <f>+getublp(AS15)</f>
        <v/>
      </c>
      <c r="AU15" s="0">
        <f>+AT15*AI15</f>
        <v/>
      </c>
      <c r="AV15" s="0">
        <f>+AP15-AU15</f>
        <v/>
      </c>
      <c r="AW15" s="0">
        <f>2/3*AB15/(L15/(9.8*(E15-D15)))^0.5</f>
        <v/>
      </c>
      <c r="AX15" s="0">
        <f>+(2*AQ15*9.8*(E15-D15)/(E15*AW15))^0.5</f>
        <v/>
      </c>
      <c r="AY15" s="0">
        <f>+AV15-AX15</f>
        <v/>
      </c>
      <c r="AZ15" s="0">
        <f>+F15-G15</f>
        <v/>
      </c>
      <c r="BA15" s="0">
        <f>+AQ15/AP15</f>
        <v/>
      </c>
      <c r="BB15" s="15">
        <f>+E15*AO15*AZ15/BA15</f>
        <v/>
      </c>
      <c r="BC15" s="20">
        <f>BB15-S15</f>
        <v/>
      </c>
      <c r="BD15" s="19">
        <f>+(BB15-S15)/S15*100</f>
        <v/>
      </c>
      <c r="BE15" s="15" t="n">
        <v>2075990</v>
      </c>
      <c r="BF15" s="16">
        <f>テーブル2[[#This Row],[q_P]]/テーブル2[[#This Row],[q_M]]</f>
        <v/>
      </c>
      <c r="BG15" s="0" t="n">
        <v>1</v>
      </c>
      <c r="BH15" s="0" t="n">
        <v>0.137</v>
      </c>
      <c r="BI15" s="0" t="n">
        <v>0.046</v>
      </c>
      <c r="BJ15" s="0" t="n">
        <v>5625</v>
      </c>
      <c r="BK15" s="22" t="n">
        <v>1</v>
      </c>
      <c r="BL15" s="0">
        <f>テーブル2[[#This Row],[Ts]]-テーブル2[[#This Row],[Tin]]</f>
        <v/>
      </c>
      <c r="BM15" s="0">
        <f>テーブル2[[#This Row],[q_P]]*0.000001</f>
        <v/>
      </c>
      <c r="BN15" s="0">
        <f>テーブル2[[#This Row],[Tsub]]</f>
        <v/>
      </c>
      <c r="BO15" s="0">
        <f>テーブル2[[#This Row],[Fcorr]]</f>
        <v/>
      </c>
      <c r="BP15" s="0">
        <f>(テーブル2[[#This Row],[Tsub]]-40)^2</f>
        <v/>
      </c>
      <c r="BQ15" t="n">
        <v>1</v>
      </c>
      <c r="BR15" s="0" t="n">
        <v>0.295275</v>
      </c>
    </row>
    <row r="16">
      <c r="A16" s="9" t="inlineStr">
        <is>
          <t>52.01_10</t>
        </is>
      </c>
      <c r="B16" s="0" t="n">
        <v>13789520</v>
      </c>
      <c r="C16" s="22">
        <f t="array" ref="C16">TsatFromP(テーブル2[[#This Row],[P]])</f>
        <v/>
      </c>
      <c r="D16" s="0">
        <f t="array" ref="D16">RhoGFromP(テーブル2[[#This Row],[P]])</f>
        <v/>
      </c>
      <c r="E16" s="0">
        <f t="array" ref="E16">RhoFFromP(テーブル2[[#This Row],[P]])</f>
        <v/>
      </c>
      <c r="F16" s="0">
        <f t="array" ref="F16">HgFromP(テーブル2[[#This Row],[P]])</f>
        <v/>
      </c>
      <c r="G16" s="0">
        <f t="array" ref="G16">HfFromP(テーブル2[[#This Row],[P]])</f>
        <v/>
      </c>
      <c r="H16" s="0">
        <f t="array" ref="H16">MuGFromP(テーブル2[[#This Row],[P]])</f>
        <v/>
      </c>
      <c r="I16" s="0">
        <f t="array" ref="I16">MuFFromP(テーブル2[[#This Row],[P]])</f>
        <v/>
      </c>
      <c r="J16" s="0">
        <f t="array" ref="J16">KfFromP(テーブル2[[#This Row],[P]])</f>
        <v/>
      </c>
      <c r="K16" s="0">
        <f t="array" ref="K16">CpFFromP(テーブル2[[#This Row],[P]])</f>
        <v/>
      </c>
      <c r="L16" s="0">
        <f t="array" ref="L16">SigmaFromP(テーブル2[[#This Row],[P]])</f>
        <v/>
      </c>
      <c r="M16" s="23" t="n">
        <v>15</v>
      </c>
      <c r="N16" s="0" t="n">
        <v>3403.56</v>
      </c>
      <c r="O16" s="8" t="n">
        <v>1.641732232275892e-05</v>
      </c>
      <c r="P16" s="8" t="n">
        <v>0.01436336161221253</v>
      </c>
      <c r="Q16" s="8" t="n">
        <v>0.004572</v>
      </c>
      <c r="R16" s="0" t="n">
        <v>0.295275</v>
      </c>
      <c r="S16" s="15" t="n">
        <v>786572.31796875</v>
      </c>
      <c r="T16" s="0" t="n">
        <v>594.229320052566</v>
      </c>
      <c r="U16" s="37">
        <f>+T16+BG16*S16*テーブル2[[#This Row],[Pw]]*R16/(N16*O16*K16)</f>
        <v/>
      </c>
      <c r="V16" s="0" t="n">
        <v>0.03</v>
      </c>
      <c r="W16" s="8">
        <f>+N16*Q16/I16</f>
        <v/>
      </c>
      <c r="X16" s="0" t="n">
        <v>0.02484356213309724</v>
      </c>
      <c r="Y16" s="0">
        <f>IF(X16&gt;0,1/X16^0.5,1)</f>
        <v/>
      </c>
      <c r="Z16" s="0">
        <f>IF(X16&gt;0,1.14-2*LOG((0.72*L16*E16)/(X16*Q16*N16^2)+9.35/(W16*X16^0.5)),0)</f>
        <v/>
      </c>
      <c r="AA16" s="0">
        <f>+Y16-Z16</f>
        <v/>
      </c>
      <c r="AB16" s="0">
        <f>32/X16*L16*V16*E16/N16^2</f>
        <v/>
      </c>
      <c r="AC16" s="0" t="n">
        <v>618.6053822042858</v>
      </c>
      <c r="AD16" s="0">
        <f>+Q16/2*AI16/I16*E16</f>
        <v/>
      </c>
      <c r="AE16" s="0">
        <f>+gettm2(AD16,AC16,AK16,AL16,テーブル2[[#This Row],[Fcorr]])</f>
        <v/>
      </c>
      <c r="AF16" s="38">
        <f>+AE16-U16</f>
        <v/>
      </c>
      <c r="AG16" s="0" t="n">
        <v>1.356822086096796e-05</v>
      </c>
      <c r="AH16" s="0">
        <f>+X16*N16^2/(8*E16)</f>
        <v/>
      </c>
      <c r="AI16" s="0">
        <f>+(AH16/E16)^0.5</f>
        <v/>
      </c>
      <c r="AJ16" s="0">
        <f>+AG16*AI16/I16*E16</f>
        <v/>
      </c>
      <c r="AK16" s="0">
        <f t="array" ref="AK16">+S16*テーブル2[[#This Row],[F_form]]/(E16*CpFromTP((テーブル2[[#This Row],[Tin]]+テーブル2[[#This Row],[Tf]])/2,テーブル2[[#This Row],[P]])*AI16)</f>
        <v/>
      </c>
      <c r="AL16" s="0">
        <f>+K16*I16/J16</f>
        <v/>
      </c>
      <c r="AM16" s="0">
        <f>+gettyp(AC16,AJ16,AK16,AL16)</f>
        <v/>
      </c>
      <c r="AN16" s="0">
        <f>+C16-AM16</f>
        <v/>
      </c>
      <c r="AO16" s="0">
        <f>+AG16-AB16</f>
        <v/>
      </c>
      <c r="AP16" s="0" t="n">
        <v>3.731819110214282</v>
      </c>
      <c r="AQ16" s="0">
        <f>2*PI()*L16*(D16+E16)/(D16*E16*AP16^2)</f>
        <v/>
      </c>
      <c r="AR16" s="0">
        <f>+AO16+AB16/2</f>
        <v/>
      </c>
      <c r="AS16" s="0">
        <f>+AR16*AI16/I16*E16</f>
        <v/>
      </c>
      <c r="AT16" s="0">
        <f>+getublp(AS16)</f>
        <v/>
      </c>
      <c r="AU16" s="0">
        <f>+AT16*AI16</f>
        <v/>
      </c>
      <c r="AV16" s="0">
        <f>+AP16-AU16</f>
        <v/>
      </c>
      <c r="AW16" s="0">
        <f>2/3*AB16/(L16/(9.8*(E16-D16)))^0.5</f>
        <v/>
      </c>
      <c r="AX16" s="0">
        <f>+(2*AQ16*9.8*(E16-D16)/(E16*AW16))^0.5</f>
        <v/>
      </c>
      <c r="AY16" s="0">
        <f>+AV16-AX16</f>
        <v/>
      </c>
      <c r="AZ16" s="0">
        <f>+F16-G16</f>
        <v/>
      </c>
      <c r="BA16" s="0">
        <f>+AQ16/AP16</f>
        <v/>
      </c>
      <c r="BB16" s="15">
        <f>+E16*AO16*AZ16/BA16</f>
        <v/>
      </c>
      <c r="BC16" s="20">
        <f>BB16-S16</f>
        <v/>
      </c>
      <c r="BD16" s="19">
        <f>+(BB16-S16)/S16*100</f>
        <v/>
      </c>
      <c r="BE16" s="15" t="n">
        <v>2161175</v>
      </c>
      <c r="BF16" s="16">
        <f>テーブル2[[#This Row],[q_P]]/テーブル2[[#This Row],[q_M]]</f>
        <v/>
      </c>
      <c r="BG16" s="0" t="n">
        <v>1</v>
      </c>
      <c r="BH16" s="0" t="n">
        <v>0.061</v>
      </c>
      <c r="BI16" s="0" t="n">
        <v>0.046</v>
      </c>
      <c r="BJ16" s="0" t="n">
        <v>5625</v>
      </c>
      <c r="BK16" s="22" t="n">
        <v>1</v>
      </c>
      <c r="BL16" s="0">
        <f>テーブル2[[#This Row],[Ts]]-テーブル2[[#This Row],[Tin]]</f>
        <v/>
      </c>
      <c r="BM16" s="0">
        <f>テーブル2[[#This Row],[q_P]]*0.000001</f>
        <v/>
      </c>
      <c r="BN16" s="0">
        <f>テーブル2[[#This Row],[Tsub]]</f>
        <v/>
      </c>
      <c r="BO16" s="0">
        <f>テーブル2[[#This Row],[Fcorr]]</f>
        <v/>
      </c>
      <c r="BP16" s="0">
        <f>(テーブル2[[#This Row],[Tsub]]-40)^2</f>
        <v/>
      </c>
      <c r="BQ16" t="n">
        <v>1</v>
      </c>
      <c r="BR16" s="0" t="n">
        <v>0.295275</v>
      </c>
    </row>
    <row r="17">
      <c r="A17" s="9" t="inlineStr">
        <is>
          <t>53.01_10</t>
        </is>
      </c>
      <c r="B17" s="0" t="n">
        <v>13789520</v>
      </c>
      <c r="C17" s="22">
        <f t="array" ref="C17">TsatFromP(テーブル2[[#This Row],[P]])</f>
        <v/>
      </c>
      <c r="D17" s="0">
        <f t="array" ref="D17">RhoGFromP(テーブル2[[#This Row],[P]])</f>
        <v/>
      </c>
      <c r="E17" s="0">
        <f t="array" ref="E17">RhoFFromP(テーブル2[[#This Row],[P]])</f>
        <v/>
      </c>
      <c r="F17" s="0">
        <f t="array" ref="F17">HgFromP(テーブル2[[#This Row],[P]])</f>
        <v/>
      </c>
      <c r="G17" s="0">
        <f t="array" ref="G17">HfFromP(テーブル2[[#This Row],[P]])</f>
        <v/>
      </c>
      <c r="H17" s="0">
        <f t="array" ref="H17">MuGFromP(テーブル2[[#This Row],[P]])</f>
        <v/>
      </c>
      <c r="I17" s="0">
        <f t="array" ref="I17">MuFFromP(テーブル2[[#This Row],[P]])</f>
        <v/>
      </c>
      <c r="J17" s="0">
        <f t="array" ref="J17">KfFromP(テーブル2[[#This Row],[P]])</f>
        <v/>
      </c>
      <c r="K17" s="0">
        <f t="array" ref="K17">CpFFromP(テーブル2[[#This Row],[P]])</f>
        <v/>
      </c>
      <c r="L17" s="0">
        <f t="array" ref="L17">SigmaFromP(テーブル2[[#This Row],[P]])</f>
        <v/>
      </c>
      <c r="M17" s="0" t="n">
        <v>16</v>
      </c>
      <c r="N17" s="0" t="n">
        <v>3403.56</v>
      </c>
      <c r="O17" s="8" t="n">
        <v>1.641732232275892e-05</v>
      </c>
      <c r="P17" s="8" t="n">
        <v>0.01436336161221253</v>
      </c>
      <c r="Q17" s="8" t="n">
        <v>0.004572</v>
      </c>
      <c r="R17" s="0" t="n">
        <v>0.295275</v>
      </c>
      <c r="S17" s="15" t="n">
        <v>344955.48828125</v>
      </c>
      <c r="T17" s="0" t="n">
        <v>602.501369966837</v>
      </c>
      <c r="U17" s="37">
        <f>+T17+BG17*S17*テーブル2[[#This Row],[Pw]]*R17/(N17*O17*K17)</f>
        <v/>
      </c>
      <c r="V17" s="0" t="n">
        <v>0.03</v>
      </c>
      <c r="W17" s="8">
        <f>+N17*Q17/I17</f>
        <v/>
      </c>
      <c r="X17" s="0" t="n">
        <v>0.02484356213309724</v>
      </c>
      <c r="Y17" s="0">
        <f>IF(X17&gt;0,1/X17^0.5,1)</f>
        <v/>
      </c>
      <c r="Z17" s="0">
        <f>IF(X17&gt;0,1.14-2*LOG((0.72*L17*E17)/(X17*Q17*N17^2)+9.35/(W17*X17^0.5)),0)</f>
        <v/>
      </c>
      <c r="AA17" s="0">
        <f>+Y17-Z17</f>
        <v/>
      </c>
      <c r="AB17" s="0">
        <f>32/X17*L17*V17*E17/N17^2</f>
        <v/>
      </c>
      <c r="AC17" s="0" t="n">
        <v>612.7094915474828</v>
      </c>
      <c r="AD17" s="0">
        <f>+Q17/2*AI17/I17*E17</f>
        <v/>
      </c>
      <c r="AE17" s="0">
        <f>+gettm2(AD17,AC17,AK17,AL17,テーブル2[[#This Row],[Fcorr]])</f>
        <v/>
      </c>
      <c r="AF17" s="38">
        <f>+AE17-U17</f>
        <v/>
      </c>
      <c r="AG17" s="0" t="n">
        <v>1.356148258474825e-05</v>
      </c>
      <c r="AH17" s="0">
        <f>+X17*N17^2/(8*E17)</f>
        <v/>
      </c>
      <c r="AI17" s="0">
        <f>+(AH17/E17)^0.5</f>
        <v/>
      </c>
      <c r="AJ17" s="0">
        <f>+AG17*AI17/I17*E17</f>
        <v/>
      </c>
      <c r="AK17" s="0">
        <f t="array" ref="AK17">+S17*テーブル2[[#This Row],[F_form]]/(E17*CpFromTP((テーブル2[[#This Row],[Tin]]+テーブル2[[#This Row],[Tf]])/2,テーブル2[[#This Row],[P]])*AI17)</f>
        <v/>
      </c>
      <c r="AL17" s="0">
        <f>+K17*I17/J17</f>
        <v/>
      </c>
      <c r="AM17" s="0">
        <f>+gettyp(AC17,AJ17,AK17,AL17)</f>
        <v/>
      </c>
      <c r="AN17" s="0">
        <f>+C17-AM17</f>
        <v/>
      </c>
      <c r="AO17" s="0">
        <f>+AG17-AB17</f>
        <v/>
      </c>
      <c r="AP17" s="0" t="n">
        <v>3.73041933663582</v>
      </c>
      <c r="AQ17" s="0">
        <f>2*PI()*L17*(D17+E17)/(D17*E17*AP17^2)</f>
        <v/>
      </c>
      <c r="AR17" s="0">
        <f>+AO17+AB17/2</f>
        <v/>
      </c>
      <c r="AS17" s="0">
        <f>+AR17*AI17/I17*E17</f>
        <v/>
      </c>
      <c r="AT17" s="0">
        <f>+getublp(AS17)</f>
        <v/>
      </c>
      <c r="AU17" s="0">
        <f>+AT17*AI17</f>
        <v/>
      </c>
      <c r="AV17" s="0">
        <f>+AP17-AU17</f>
        <v/>
      </c>
      <c r="AW17" s="0">
        <f>2/3*AB17/(L17/(9.8*(E17-D17)))^0.5</f>
        <v/>
      </c>
      <c r="AX17" s="0">
        <f>+(2*AQ17*9.8*(E17-D17)/(E17*AW17))^0.5</f>
        <v/>
      </c>
      <c r="AY17" s="0">
        <f>+AV17-AX17</f>
        <v/>
      </c>
      <c r="AZ17" s="0">
        <f>+F17-G17</f>
        <v/>
      </c>
      <c r="BA17" s="0">
        <f>+AQ17/AP17</f>
        <v/>
      </c>
      <c r="BB17" s="15">
        <f>+E17*AO17*AZ17/BA17</f>
        <v/>
      </c>
      <c r="BC17" s="20">
        <f>BB17-S17</f>
        <v/>
      </c>
      <c r="BD17" s="19">
        <f>+(BB17-S17)/S17*100</f>
        <v/>
      </c>
      <c r="BE17" s="15" t="n">
        <v>1687925</v>
      </c>
      <c r="BF17" s="16">
        <f>テーブル2[[#This Row],[q_P]]/テーブル2[[#This Row],[q_M]]</f>
        <v/>
      </c>
      <c r="BG17" s="0" t="n">
        <v>1</v>
      </c>
      <c r="BH17" s="0" t="n">
        <v>0.079</v>
      </c>
      <c r="BI17" s="0" t="n">
        <v>0.046</v>
      </c>
      <c r="BJ17" s="0" t="n">
        <v>5625</v>
      </c>
      <c r="BK17" s="22" t="n">
        <v>1</v>
      </c>
      <c r="BL17" s="0">
        <f>テーブル2[[#This Row],[Ts]]-テーブル2[[#This Row],[Tin]]</f>
        <v/>
      </c>
      <c r="BM17" s="0">
        <f>テーブル2[[#This Row],[q_P]]*0.000001</f>
        <v/>
      </c>
      <c r="BN17" s="0">
        <f>テーブル2[[#This Row],[Tsub]]</f>
        <v/>
      </c>
      <c r="BO17" s="0">
        <f>テーブル2[[#This Row],[Fcorr]]</f>
        <v/>
      </c>
      <c r="BP17" s="0">
        <f>(テーブル2[[#This Row],[Tsub]]-40)^2</f>
        <v/>
      </c>
      <c r="BQ17" t="n">
        <v>1</v>
      </c>
      <c r="BR17" s="0" t="n">
        <v>0.295275</v>
      </c>
    </row>
    <row r="18">
      <c r="A18" s="9" t="inlineStr">
        <is>
          <t>54.01_10</t>
        </is>
      </c>
      <c r="B18" s="0" t="n">
        <v>13789520</v>
      </c>
      <c r="C18" s="22">
        <f t="array" ref="C18">TsatFromP(テーブル2[[#This Row],[P]])</f>
        <v/>
      </c>
      <c r="D18" s="0">
        <f t="array" ref="D18">RhoGFromP(テーブル2[[#This Row],[P]])</f>
        <v/>
      </c>
      <c r="E18" s="0">
        <f t="array" ref="E18">RhoFFromP(テーブル2[[#This Row],[P]])</f>
        <v/>
      </c>
      <c r="F18" s="0">
        <f t="array" ref="F18">HgFromP(テーブル2[[#This Row],[P]])</f>
        <v/>
      </c>
      <c r="G18" s="0">
        <f t="array" ref="G18">HfFromP(テーブル2[[#This Row],[P]])</f>
        <v/>
      </c>
      <c r="H18" s="0">
        <f t="array" ref="H18">MuGFromP(テーブル2[[#This Row],[P]])</f>
        <v/>
      </c>
      <c r="I18" s="0">
        <f t="array" ref="I18">MuFFromP(テーブル2[[#This Row],[P]])</f>
        <v/>
      </c>
      <c r="J18" s="0">
        <f t="array" ref="J18">KfFromP(テーブル2[[#This Row],[P]])</f>
        <v/>
      </c>
      <c r="K18" s="0">
        <f t="array" ref="K18">CpFFromP(テーブル2[[#This Row],[P]])</f>
        <v/>
      </c>
      <c r="L18" s="0">
        <f t="array" ref="L18">SigmaFromP(テーブル2[[#This Row],[P]])</f>
        <v/>
      </c>
      <c r="M18" s="23" t="n">
        <v>17</v>
      </c>
      <c r="N18" s="0" t="n">
        <v>3403.56</v>
      </c>
      <c r="O18" s="8" t="n">
        <v>1.641732232275892e-05</v>
      </c>
      <c r="P18" s="8" t="n">
        <v>0.01436336161221253</v>
      </c>
      <c r="Q18" s="8" t="n">
        <v>0.004572</v>
      </c>
      <c r="R18" s="0" t="n">
        <v>0.295275</v>
      </c>
      <c r="S18" s="15" t="n">
        <v>376168.39453125</v>
      </c>
      <c r="T18" s="0" t="n">
        <v>601.931879121089</v>
      </c>
      <c r="U18" s="37">
        <f>+T18+BG18*S18*テーブル2[[#This Row],[Pw]]*R18/(N18*O18*K18)</f>
        <v/>
      </c>
      <c r="V18" s="0" t="n">
        <v>0.03</v>
      </c>
      <c r="W18" s="8">
        <f>+N18*Q18/I18</f>
        <v/>
      </c>
      <c r="X18" s="0" t="n">
        <v>0.02484356213309724</v>
      </c>
      <c r="Y18" s="0">
        <f>IF(X18&gt;0,1/X18^0.5,1)</f>
        <v/>
      </c>
      <c r="Z18" s="0">
        <f>IF(X18&gt;0,1.14-2*LOG((0.72*L18*E18)/(X18*Q18*N18^2)+9.35/(W18*X18^0.5)),0)</f>
        <v/>
      </c>
      <c r="AA18" s="0">
        <f>+Y18-Z18</f>
        <v/>
      </c>
      <c r="AB18" s="0">
        <f>32/X18*L18*V18*E18/N18^2</f>
        <v/>
      </c>
      <c r="AC18" s="0" t="n">
        <v>613.1032535741986</v>
      </c>
      <c r="AD18" s="0">
        <f>+Q18/2*AI18/I18*E18</f>
        <v/>
      </c>
      <c r="AE18" s="0">
        <f>+gettm2(AD18,AC18,AK18,AL18,テーブル2[[#This Row],[Fcorr]])</f>
        <v/>
      </c>
      <c r="AF18" s="38">
        <f>+AE18-U18</f>
        <v/>
      </c>
      <c r="AG18" s="0" t="n">
        <v>1.356198476616838e-05</v>
      </c>
      <c r="AH18" s="0">
        <f>+X18*N18^2/(8*E18)</f>
        <v/>
      </c>
      <c r="AI18" s="0">
        <f>+(AH18/E18)^0.5</f>
        <v/>
      </c>
      <c r="AJ18" s="0">
        <f>+AG18*AI18/I18*E18</f>
        <v/>
      </c>
      <c r="AK18" s="0">
        <f t="array" ref="AK18">+S18*テーブル2[[#This Row],[F_form]]/(E18*CpFromTP((テーブル2[[#This Row],[Tin]]+テーブル2[[#This Row],[Tf]])/2,テーブル2[[#This Row],[P]])*AI18)</f>
        <v/>
      </c>
      <c r="AL18" s="0">
        <f>+K18*I18/J18</f>
        <v/>
      </c>
      <c r="AM18" s="0">
        <f>+gettyp(AC18,AJ18,AK18,AL18)</f>
        <v/>
      </c>
      <c r="AN18" s="0">
        <f>+C18-AM18</f>
        <v/>
      </c>
      <c r="AO18" s="0">
        <f>+AG18-AB18</f>
        <v/>
      </c>
      <c r="AP18" s="0" t="n">
        <v>3.73052370477831</v>
      </c>
      <c r="AQ18" s="0">
        <f>2*PI()*L18*(D18+E18)/(D18*E18*AP18^2)</f>
        <v/>
      </c>
      <c r="AR18" s="0">
        <f>+AO18+AB18/2</f>
        <v/>
      </c>
      <c r="AS18" s="0">
        <f>+AR18*AI18/I18*E18</f>
        <v/>
      </c>
      <c r="AT18" s="0">
        <f>+getublp(AS18)</f>
        <v/>
      </c>
      <c r="AU18" s="0">
        <f>+AT18*AI18</f>
        <v/>
      </c>
      <c r="AV18" s="0">
        <f>+AP18-AU18</f>
        <v/>
      </c>
      <c r="AW18" s="0">
        <f>2/3*AB18/(L18/(9.8*(E18-D18)))^0.5</f>
        <v/>
      </c>
      <c r="AX18" s="0">
        <f>+(2*AQ18*9.8*(E18-D18)/(E18*AW18))^0.5</f>
        <v/>
      </c>
      <c r="AY18" s="0">
        <f>+AV18-AX18</f>
        <v/>
      </c>
      <c r="AZ18" s="0">
        <f>+F18-G18</f>
        <v/>
      </c>
      <c r="BA18" s="0">
        <f>+AQ18/AP18</f>
        <v/>
      </c>
      <c r="BB18" s="15">
        <f>+E18*AO18*AZ18/BA18</f>
        <v/>
      </c>
      <c r="BC18" s="20">
        <f>BB18-S18</f>
        <v/>
      </c>
      <c r="BD18" s="19">
        <f>+(BB18-S18)/S18*100</f>
        <v/>
      </c>
      <c r="BE18" s="15" t="n">
        <v>1687925</v>
      </c>
      <c r="BF18" s="16">
        <f>テーブル2[[#This Row],[q_P]]/テーブル2[[#This Row],[q_M]]</f>
        <v/>
      </c>
      <c r="BG18" s="0" t="n">
        <v>1</v>
      </c>
      <c r="BH18" s="0" t="n">
        <v>0.075</v>
      </c>
      <c r="BI18" s="0" t="n">
        <v>0.046</v>
      </c>
      <c r="BJ18" s="0" t="n">
        <v>5625</v>
      </c>
      <c r="BK18" s="22" t="n">
        <v>1</v>
      </c>
      <c r="BL18" s="0">
        <f>テーブル2[[#This Row],[Ts]]-テーブル2[[#This Row],[Tin]]</f>
        <v/>
      </c>
      <c r="BM18" s="0">
        <f>テーブル2[[#This Row],[q_P]]*0.000001</f>
        <v/>
      </c>
      <c r="BN18" s="0">
        <f>テーブル2[[#This Row],[Tsub]]</f>
        <v/>
      </c>
      <c r="BO18" s="0">
        <f>テーブル2[[#This Row],[Fcorr]]</f>
        <v/>
      </c>
      <c r="BP18" s="0">
        <f>(テーブル2[[#This Row],[Tsub]]-40)^2</f>
        <v/>
      </c>
      <c r="BQ18" t="n">
        <v>1</v>
      </c>
      <c r="BR18" s="0" t="n">
        <v>0.295275</v>
      </c>
    </row>
    <row r="19">
      <c r="A19" s="9" t="inlineStr">
        <is>
          <t>55.01_10</t>
        </is>
      </c>
      <c r="B19" s="0" t="n">
        <v>13789520</v>
      </c>
      <c r="C19" s="22">
        <f t="array" ref="C19">TsatFromP(テーブル2[[#This Row],[P]])</f>
        <v/>
      </c>
      <c r="D19" s="0">
        <f t="array" ref="D19">RhoGFromP(テーブル2[[#This Row],[P]])</f>
        <v/>
      </c>
      <c r="E19" s="0">
        <f t="array" ref="E19">RhoFFromP(テーブル2[[#This Row],[P]])</f>
        <v/>
      </c>
      <c r="F19" s="0">
        <f t="array" ref="F19">HgFromP(テーブル2[[#This Row],[P]])</f>
        <v/>
      </c>
      <c r="G19" s="0">
        <f t="array" ref="G19">HfFromP(テーブル2[[#This Row],[P]])</f>
        <v/>
      </c>
      <c r="H19" s="0">
        <f t="array" ref="H19">MuGFromP(テーブル2[[#This Row],[P]])</f>
        <v/>
      </c>
      <c r="I19" s="0">
        <f t="array" ref="I19">MuFFromP(テーブル2[[#This Row],[P]])</f>
        <v/>
      </c>
      <c r="J19" s="0">
        <f t="array" ref="J19">KfFromP(テーブル2[[#This Row],[P]])</f>
        <v/>
      </c>
      <c r="K19" s="0">
        <f t="array" ref="K19">CpFFromP(テーブル2[[#This Row],[P]])</f>
        <v/>
      </c>
      <c r="L19" s="0">
        <f t="array" ref="L19">SigmaFromP(テーブル2[[#This Row],[P]])</f>
        <v/>
      </c>
      <c r="M19" s="0" t="n">
        <v>18</v>
      </c>
      <c r="N19" s="0" t="n">
        <v>3403.56</v>
      </c>
      <c r="O19" s="8" t="n">
        <v>1.641732232275892e-05</v>
      </c>
      <c r="P19" s="8" t="n">
        <v>0.01436336161221253</v>
      </c>
      <c r="Q19" s="8" t="n">
        <v>0.004572</v>
      </c>
      <c r="R19" s="0" t="n">
        <v>0.295275</v>
      </c>
      <c r="S19" s="15" t="n">
        <v>699206.40234375</v>
      </c>
      <c r="T19" s="0" t="n">
        <v>595.900815618213</v>
      </c>
      <c r="U19" s="37">
        <f>+T19+BG19*S19*テーブル2[[#This Row],[Pw]]*R19/(N19*O19*K19)</f>
        <v/>
      </c>
      <c r="V19" s="0" t="n">
        <v>0.03</v>
      </c>
      <c r="W19" s="8">
        <f>+N19*Q19/I19</f>
        <v/>
      </c>
      <c r="X19" s="0" t="n">
        <v>0.02484356213309724</v>
      </c>
      <c r="Y19" s="0">
        <f>IF(X19&gt;0,1/X19^0.5,1)</f>
        <v/>
      </c>
      <c r="Z19" s="0">
        <f>IF(X19&gt;0,1.14-2*LOG((0.72*L19*E19)/(X19*Q19*N19^2)+9.35/(W19*X19^0.5)),0)</f>
        <v/>
      </c>
      <c r="AA19" s="0">
        <f>+Y19-Z19</f>
        <v/>
      </c>
      <c r="AB19" s="0">
        <f>32/X19*L19*V19*E19/N19^2</f>
        <v/>
      </c>
      <c r="AC19" s="0" t="n">
        <v>617.3859744528365</v>
      </c>
      <c r="AD19" s="0">
        <f>+Q19/2*AI19/I19*E19</f>
        <v/>
      </c>
      <c r="AE19" s="0">
        <f>+gettm2(AD19,AC19,AK19,AL19,テーブル2[[#This Row],[Fcorr]])</f>
        <v/>
      </c>
      <c r="AF19" s="38">
        <f>+AE19-U19</f>
        <v/>
      </c>
      <c r="AG19" s="0" t="n">
        <v>1.356691482087402e-05</v>
      </c>
      <c r="AH19" s="0">
        <f>+X19*N19^2/(8*E19)</f>
        <v/>
      </c>
      <c r="AI19" s="0">
        <f>+(AH19/E19)^0.5</f>
        <v/>
      </c>
      <c r="AJ19" s="0">
        <f>+AG19*AI19/I19*E19</f>
        <v/>
      </c>
      <c r="AK19" s="0">
        <f t="array" ref="AK19">+S19*テーブル2[[#This Row],[F_form]]/(E19*CpFromTP((テーブル2[[#This Row],[Tin]]+テーブル2[[#This Row],[Tf]])/2,テーブル2[[#This Row],[P]])*AI19)</f>
        <v/>
      </c>
      <c r="AL19" s="0">
        <f>+K19*I19/J19</f>
        <v/>
      </c>
      <c r="AM19" s="0">
        <f>+gettyp(AC19,AJ19,AK19,AL19)</f>
        <v/>
      </c>
      <c r="AN19" s="0">
        <f>+C19-AM19</f>
        <v/>
      </c>
      <c r="AO19" s="0">
        <f>+AG19-AB19</f>
        <v/>
      </c>
      <c r="AP19" s="0" t="n">
        <v>3.731547897299797</v>
      </c>
      <c r="AQ19" s="0">
        <f>2*PI()*L19*(D19+E19)/(D19*E19*AP19^2)</f>
        <v/>
      </c>
      <c r="AR19" s="0">
        <f>+AO19+AB19/2</f>
        <v/>
      </c>
      <c r="AS19" s="0">
        <f>+AR19*AI19/I19*E19</f>
        <v/>
      </c>
      <c r="AT19" s="0">
        <f>+getublp(AS19)</f>
        <v/>
      </c>
      <c r="AU19" s="0">
        <f>+AT19*AI19</f>
        <v/>
      </c>
      <c r="AV19" s="0">
        <f>+AP19-AU19</f>
        <v/>
      </c>
      <c r="AW19" s="0">
        <f>2/3*AB19/(L19/(9.8*(E19-D19)))^0.5</f>
        <v/>
      </c>
      <c r="AX19" s="0">
        <f>+(2*AQ19*9.8*(E19-D19)/(E19*AW19))^0.5</f>
        <v/>
      </c>
      <c r="AY19" s="0">
        <f>+AV19-AX19</f>
        <v/>
      </c>
      <c r="AZ19" s="0">
        <f>+F19-G19</f>
        <v/>
      </c>
      <c r="BA19" s="0">
        <f>+AQ19/AP19</f>
        <v/>
      </c>
      <c r="BB19" s="15">
        <f>+E19*AO19*AZ19/BA19</f>
        <v/>
      </c>
      <c r="BC19" s="20">
        <f>BB19-S19</f>
        <v/>
      </c>
      <c r="BD19" s="19">
        <f>+(BB19-S19)/S19*100</f>
        <v/>
      </c>
      <c r="BE19" s="15" t="n">
        <v>2665975</v>
      </c>
      <c r="BF19" s="16">
        <f>テーブル2[[#This Row],[q_P]]/テーブル2[[#This Row],[q_M]]</f>
        <v/>
      </c>
      <c r="BG19" s="0" t="n">
        <v>1</v>
      </c>
      <c r="BH19" s="0" t="n">
        <v>0.107</v>
      </c>
      <c r="BI19" s="0" t="n">
        <v>0.046</v>
      </c>
      <c r="BJ19" s="0" t="n">
        <v>5625</v>
      </c>
      <c r="BK19" s="22" t="n">
        <v>1</v>
      </c>
      <c r="BL19" s="0">
        <f>テーブル2[[#This Row],[Ts]]-テーブル2[[#This Row],[Tin]]</f>
        <v/>
      </c>
      <c r="BM19" s="0">
        <f>テーブル2[[#This Row],[q_P]]*0.000001</f>
        <v/>
      </c>
      <c r="BN19" s="0">
        <f>テーブル2[[#This Row],[Tsub]]</f>
        <v/>
      </c>
      <c r="BO19" s="0">
        <f>テーブル2[[#This Row],[Fcorr]]</f>
        <v/>
      </c>
      <c r="BP19" s="0">
        <f>(テーブル2[[#This Row],[Tsub]]-40)^2</f>
        <v/>
      </c>
      <c r="BQ19" t="n">
        <v>1</v>
      </c>
      <c r="BR19" s="0" t="n">
        <v>0.295275</v>
      </c>
    </row>
    <row r="20">
      <c r="A20" s="9" t="inlineStr">
        <is>
          <t>56.01_10</t>
        </is>
      </c>
      <c r="B20" s="0" t="n">
        <v>13789520</v>
      </c>
      <c r="C20" s="22">
        <f t="array" ref="C20">TsatFromP(テーブル2[[#This Row],[P]])</f>
        <v/>
      </c>
      <c r="D20" s="0">
        <f t="array" ref="D20">RhoGFromP(テーブル2[[#This Row],[P]])</f>
        <v/>
      </c>
      <c r="E20" s="0">
        <f t="array" ref="E20">RhoFFromP(テーブル2[[#This Row],[P]])</f>
        <v/>
      </c>
      <c r="F20" s="0">
        <f t="array" ref="F20">HgFromP(テーブル2[[#This Row],[P]])</f>
        <v/>
      </c>
      <c r="G20" s="0">
        <f t="array" ref="G20">HfFromP(テーブル2[[#This Row],[P]])</f>
        <v/>
      </c>
      <c r="H20" s="0">
        <f t="array" ref="H20">MuGFromP(テーブル2[[#This Row],[P]])</f>
        <v/>
      </c>
      <c r="I20" s="0">
        <f t="array" ref="I20">MuFFromP(テーブル2[[#This Row],[P]])</f>
        <v/>
      </c>
      <c r="J20" s="0">
        <f t="array" ref="J20">KfFromP(テーブル2[[#This Row],[P]])</f>
        <v/>
      </c>
      <c r="K20" s="0">
        <f t="array" ref="K20">CpFFromP(テーブル2[[#This Row],[P]])</f>
        <v/>
      </c>
      <c r="L20" s="0">
        <f t="array" ref="L20">SigmaFromP(テーブル2[[#This Row],[P]])</f>
        <v/>
      </c>
      <c r="M20" s="23" t="n">
        <v>19</v>
      </c>
      <c r="N20" s="0" t="n">
        <v>3444.24</v>
      </c>
      <c r="O20" s="8" t="n">
        <v>1.641732232275892e-05</v>
      </c>
      <c r="P20" s="8" t="n">
        <v>0.01436336161221253</v>
      </c>
      <c r="Q20" s="8" t="n">
        <v>0.004572</v>
      </c>
      <c r="R20" s="0" t="n">
        <v>0.295275</v>
      </c>
      <c r="S20" s="15" t="n">
        <v>822223.73046875</v>
      </c>
      <c r="T20" s="0" t="n">
        <v>593.678471419052</v>
      </c>
      <c r="U20" s="37">
        <f>+T20+BG20*S20*テーブル2[[#This Row],[Pw]]*R20/(N20*O20*K20)</f>
        <v/>
      </c>
      <c r="V20" s="0" t="n">
        <v>0.03</v>
      </c>
      <c r="W20" s="8">
        <f>+N20*Q20/I20</f>
        <v/>
      </c>
      <c r="X20" s="0" t="n">
        <v>0.02472265374327982</v>
      </c>
      <c r="Y20" s="0">
        <f>IF(X20&gt;0,1/X20^0.5,1)</f>
        <v/>
      </c>
      <c r="Z20" s="0">
        <f>IF(X20&gt;0,1.14-2*LOG((0.72*L20*E20)/(X20*Q20*N20^2)+9.35/(W20*X20^0.5)),0)</f>
        <v/>
      </c>
      <c r="AA20" s="0">
        <f>+Y20-Z20</f>
        <v/>
      </c>
      <c r="AB20" s="0">
        <f>32/X20*L20*V20*E20/N20^2</f>
        <v/>
      </c>
      <c r="AC20" s="0" t="n">
        <v>618.9864557867676</v>
      </c>
      <c r="AD20" s="0">
        <f>+Q20/2*AI20/I20*E20</f>
        <v/>
      </c>
      <c r="AE20" s="0">
        <f>+gettm2(AD20,AC20,AK20,AL20,テーブル2[[#This Row],[Fcorr]])</f>
        <v/>
      </c>
      <c r="AF20" s="38">
        <f>+AE20-U20</f>
        <v/>
      </c>
      <c r="AG20" s="0" t="n">
        <v>1.331513511611841e-05</v>
      </c>
      <c r="AH20" s="0">
        <f>+X20*N20^2/(8*E20)</f>
        <v/>
      </c>
      <c r="AI20" s="0">
        <f>+(AH20/E20)^0.5</f>
        <v/>
      </c>
      <c r="AJ20" s="0">
        <f>+AG20*AI20/I20*E20</f>
        <v/>
      </c>
      <c r="AK20" s="0">
        <f t="array" ref="AK20">+S20*テーブル2[[#This Row],[F_form]]/(E20*CpFromTP((テーブル2[[#This Row],[Tin]]+テーブル2[[#This Row],[Tf]])/2,テーブル2[[#This Row],[P]])*AI20)</f>
        <v/>
      </c>
      <c r="AL20" s="0">
        <f>+K20*I20/J20</f>
        <v/>
      </c>
      <c r="AM20" s="0">
        <f>+gettyp(AC20,AJ20,AK20,AL20)</f>
        <v/>
      </c>
      <c r="AN20" s="0">
        <f>+C20-AM20</f>
        <v/>
      </c>
      <c r="AO20" s="0">
        <f>+AG20-AB20</f>
        <v/>
      </c>
      <c r="AP20" s="0" t="n">
        <v>3.751420092835532</v>
      </c>
      <c r="AQ20" s="0">
        <f>2*PI()*L20*(D20+E20)/(D20*E20*AP20^2)</f>
        <v/>
      </c>
      <c r="AR20" s="0">
        <f>+AO20+AB20/2</f>
        <v/>
      </c>
      <c r="AS20" s="0">
        <f>+AR20*AI20/I20*E20</f>
        <v/>
      </c>
      <c r="AT20" s="0">
        <f>+getublp(AS20)</f>
        <v/>
      </c>
      <c r="AU20" s="0">
        <f>+AT20*AI20</f>
        <v/>
      </c>
      <c r="AV20" s="0">
        <f>+AP20-AU20</f>
        <v/>
      </c>
      <c r="AW20" s="0">
        <f>2/3*AB20/(L20/(9.8*(E20-D20)))^0.5</f>
        <v/>
      </c>
      <c r="AX20" s="0">
        <f>+(2*AQ20*9.8*(E20-D20)/(E20*AW20))^0.5</f>
        <v/>
      </c>
      <c r="AY20" s="0">
        <f>+AV20-AX20</f>
        <v/>
      </c>
      <c r="AZ20" s="0">
        <f>+F20-G20</f>
        <v/>
      </c>
      <c r="BA20" s="0">
        <f>+AQ20/AP20</f>
        <v/>
      </c>
      <c r="BB20" s="15">
        <f>+E20*AO20*AZ20/BA20</f>
        <v/>
      </c>
      <c r="BC20" s="20">
        <f>BB20-S20</f>
        <v/>
      </c>
      <c r="BD20" s="19">
        <f>+(BB20-S20)/S20*100</f>
        <v/>
      </c>
      <c r="BE20" s="15" t="n">
        <v>2688060</v>
      </c>
      <c r="BF20" s="16">
        <f>テーブル2[[#This Row],[q_P]]/テーブル2[[#This Row],[q_M]]</f>
        <v/>
      </c>
      <c r="BG20" s="0" t="n">
        <v>1</v>
      </c>
      <c r="BH20" s="0" t="n">
        <v>0.093</v>
      </c>
      <c r="BI20" s="0" t="n">
        <v>0.046</v>
      </c>
      <c r="BJ20" s="0" t="n">
        <v>5625</v>
      </c>
      <c r="BK20" s="22" t="n">
        <v>1</v>
      </c>
      <c r="BL20" s="0">
        <f>テーブル2[[#This Row],[Ts]]-テーブル2[[#This Row],[Tin]]</f>
        <v/>
      </c>
      <c r="BM20" s="0">
        <f>テーブル2[[#This Row],[q_P]]*0.000001</f>
        <v/>
      </c>
      <c r="BN20" s="0">
        <f>テーブル2[[#This Row],[Tsub]]</f>
        <v/>
      </c>
      <c r="BO20" s="0">
        <f>テーブル2[[#This Row],[Fcorr]]</f>
        <v/>
      </c>
      <c r="BP20" s="0">
        <f>(テーブル2[[#This Row],[Tsub]]-40)^2</f>
        <v/>
      </c>
      <c r="BQ20" t="n">
        <v>1</v>
      </c>
      <c r="BR20" s="0" t="n">
        <v>0.295275</v>
      </c>
    </row>
    <row r="21">
      <c r="A21" s="9" t="inlineStr">
        <is>
          <t>57.01_10</t>
        </is>
      </c>
      <c r="B21" s="0" t="n">
        <v>13789520</v>
      </c>
      <c r="C21" s="22">
        <f t="array" ref="C21">TsatFromP(テーブル2[[#This Row],[P]])</f>
        <v/>
      </c>
      <c r="D21" s="0">
        <f t="array" ref="D21">RhoGFromP(テーブル2[[#This Row],[P]])</f>
        <v/>
      </c>
      <c r="E21" s="0">
        <f t="array" ref="E21">RhoFFromP(テーブル2[[#This Row],[P]])</f>
        <v/>
      </c>
      <c r="F21" s="0">
        <f t="array" ref="F21">HgFromP(テーブル2[[#This Row],[P]])</f>
        <v/>
      </c>
      <c r="G21" s="0">
        <f t="array" ref="G21">HfFromP(テーブル2[[#This Row],[P]])</f>
        <v/>
      </c>
      <c r="H21" s="0">
        <f t="array" ref="H21">MuGFromP(テーブル2[[#This Row],[P]])</f>
        <v/>
      </c>
      <c r="I21" s="0">
        <f t="array" ref="I21">MuFFromP(テーブル2[[#This Row],[P]])</f>
        <v/>
      </c>
      <c r="J21" s="0">
        <f t="array" ref="J21">KfFromP(テーブル2[[#This Row],[P]])</f>
        <v/>
      </c>
      <c r="K21" s="0">
        <f t="array" ref="K21">CpFFromP(テーブル2[[#This Row],[P]])</f>
        <v/>
      </c>
      <c r="L21" s="0">
        <f t="array" ref="L21">SigmaFromP(テーブル2[[#This Row],[P]])</f>
        <v/>
      </c>
      <c r="M21" s="0" t="n">
        <v>20</v>
      </c>
      <c r="N21" s="0" t="n">
        <v>3444.24</v>
      </c>
      <c r="O21" s="8" t="n">
        <v>1.641732232275892e-05</v>
      </c>
      <c r="P21" s="8" t="n">
        <v>0.01436336161221253</v>
      </c>
      <c r="Q21" s="8" t="n">
        <v>0.004572</v>
      </c>
      <c r="R21" s="0" t="n">
        <v>0.295275</v>
      </c>
      <c r="S21" s="15" t="n">
        <v>851135.68359375</v>
      </c>
      <c r="T21" s="0" t="n">
        <v>593.124827445662</v>
      </c>
      <c r="U21" s="37">
        <f>+T21+BG21*S21*テーブル2[[#This Row],[Pw]]*R21/(N21*O21*K21)</f>
        <v/>
      </c>
      <c r="V21" s="0" t="n">
        <v>0.03</v>
      </c>
      <c r="W21" s="8">
        <f>+N21*Q21/I21</f>
        <v/>
      </c>
      <c r="X21" s="0" t="n">
        <v>0.02472265374327982</v>
      </c>
      <c r="Y21" s="0">
        <f>IF(X21&gt;0,1/X21^0.5,1)</f>
        <v/>
      </c>
      <c r="Z21" s="0">
        <f>IF(X21&gt;0,1.14-2*LOG((0.72*L21*E21)/(X21*Q21*N21^2)+9.35/(W21*X21^0.5)),0)</f>
        <v/>
      </c>
      <c r="AA21" s="0">
        <f>+Y21-Z21</f>
        <v/>
      </c>
      <c r="AB21" s="0">
        <f>32/X21*L21*V21*E21/N21^2</f>
        <v/>
      </c>
      <c r="AC21" s="0" t="n">
        <v>619.3933749532657</v>
      </c>
      <c r="AD21" s="0">
        <f>+Q21/2*AI21/I21*E21</f>
        <v/>
      </c>
      <c r="AE21" s="0">
        <f>+gettm2(AD21,AC21,AK21,AL21,テーブル2[[#This Row],[Fcorr]])</f>
        <v/>
      </c>
      <c r="AF21" s="38">
        <f>+AE21-U21</f>
        <v/>
      </c>
      <c r="AG21" s="0" t="n">
        <v>1.331554278630199e-05</v>
      </c>
      <c r="AH21" s="0">
        <f>+X21*N21^2/(8*E21)</f>
        <v/>
      </c>
      <c r="AI21" s="0">
        <f>+(AH21/E21)^0.5</f>
        <v/>
      </c>
      <c r="AJ21" s="0">
        <f>+AG21*AI21/I21*E21</f>
        <v/>
      </c>
      <c r="AK21" s="0">
        <f t="array" ref="AK21">+S21*テーブル2[[#This Row],[F_form]]/(E21*CpFromTP((テーブル2[[#This Row],[Tin]]+テーブル2[[#This Row],[Tf]])/2,テーブル2[[#This Row],[P]])*AI21)</f>
        <v/>
      </c>
      <c r="AL21" s="0">
        <f>+K21*I21/J21</f>
        <v/>
      </c>
      <c r="AM21" s="0">
        <f>+gettyp(AC21,AJ21,AK21,AL21)</f>
        <v/>
      </c>
      <c r="AN21" s="0">
        <f>+C21-AM21</f>
        <v/>
      </c>
      <c r="AO21" s="0">
        <f>+AG21-AB21</f>
        <v/>
      </c>
      <c r="AP21" s="0" t="n">
        <v>3.751507168481838</v>
      </c>
      <c r="AQ21" s="0">
        <f>2*PI()*L21*(D21+E21)/(D21*E21*AP21^2)</f>
        <v/>
      </c>
      <c r="AR21" s="0">
        <f>+AO21+AB21/2</f>
        <v/>
      </c>
      <c r="AS21" s="0">
        <f>+AR21*AI21/I21*E21</f>
        <v/>
      </c>
      <c r="AT21" s="0">
        <f>+getublp(AS21)</f>
        <v/>
      </c>
      <c r="AU21" s="0">
        <f>+AT21*AI21</f>
        <v/>
      </c>
      <c r="AV21" s="0">
        <f>+AP21-AU21</f>
        <v/>
      </c>
      <c r="AW21" s="0">
        <f>2/3*AB21/(L21/(9.8*(E21-D21)))^0.5</f>
        <v/>
      </c>
      <c r="AX21" s="0">
        <f>+(2*AQ21*9.8*(E21-D21)/(E21*AW21))^0.5</f>
        <v/>
      </c>
      <c r="AY21" s="0">
        <f>+AV21-AX21</f>
        <v/>
      </c>
      <c r="AZ21" s="0">
        <f>+F21-G21</f>
        <v/>
      </c>
      <c r="BA21" s="0">
        <f>+AQ21/AP21</f>
        <v/>
      </c>
      <c r="BB21" s="15">
        <f>+E21*AO21*AZ21/BA21</f>
        <v/>
      </c>
      <c r="BC21" s="20">
        <f>BB21-S21</f>
        <v/>
      </c>
      <c r="BD21" s="19">
        <f>+(BB21-S21)/S21*100</f>
        <v/>
      </c>
      <c r="BE21" s="15" t="n">
        <v>2722765</v>
      </c>
      <c r="BF21" s="16">
        <f>テーブル2[[#This Row],[q_P]]/テーブル2[[#This Row],[q_M]]</f>
        <v/>
      </c>
      <c r="BG21" s="0" t="n">
        <v>1</v>
      </c>
      <c r="BH21" s="0" t="n">
        <v>0.092</v>
      </c>
      <c r="BI21" s="0" t="n">
        <v>0.046</v>
      </c>
      <c r="BJ21" s="0" t="n">
        <v>5625</v>
      </c>
      <c r="BK21" s="22" t="n">
        <v>1</v>
      </c>
      <c r="BL21" s="0">
        <f>テーブル2[[#This Row],[Ts]]-テーブル2[[#This Row],[Tin]]</f>
        <v/>
      </c>
      <c r="BM21" s="0">
        <f>テーブル2[[#This Row],[q_P]]*0.000001</f>
        <v/>
      </c>
      <c r="BN21" s="0">
        <f>テーブル2[[#This Row],[Tsub]]</f>
        <v/>
      </c>
      <c r="BO21" s="0">
        <f>テーブル2[[#This Row],[Fcorr]]</f>
        <v/>
      </c>
      <c r="BP21" s="0">
        <f>(テーブル2[[#This Row],[Tsub]]-40)^2</f>
        <v/>
      </c>
      <c r="BQ21" t="n">
        <v>1</v>
      </c>
      <c r="BR21" s="0" t="n">
        <v>0.295275</v>
      </c>
    </row>
    <row r="22">
      <c r="A22" s="9" t="inlineStr">
        <is>
          <t>58.01_10</t>
        </is>
      </c>
      <c r="B22" s="0" t="n">
        <v>13789520</v>
      </c>
      <c r="C22" s="22">
        <f t="array" ref="C22">TsatFromP(テーブル2[[#This Row],[P]])</f>
        <v/>
      </c>
      <c r="D22" s="0">
        <f t="array" ref="D22">RhoGFromP(テーブル2[[#This Row],[P]])</f>
        <v/>
      </c>
      <c r="E22" s="0">
        <f t="array" ref="E22">RhoFFromP(テーブル2[[#This Row],[P]])</f>
        <v/>
      </c>
      <c r="F22" s="0">
        <f t="array" ref="F22">HgFromP(テーブル2[[#This Row],[P]])</f>
        <v/>
      </c>
      <c r="G22" s="0">
        <f t="array" ref="G22">HfFromP(テーブル2[[#This Row],[P]])</f>
        <v/>
      </c>
      <c r="H22" s="0">
        <f t="array" ref="H22">MuGFromP(テーブル2[[#This Row],[P]])</f>
        <v/>
      </c>
      <c r="I22" s="0">
        <f t="array" ref="I22">MuFFromP(テーブル2[[#This Row],[P]])</f>
        <v/>
      </c>
      <c r="J22" s="0">
        <f t="array" ref="J22">KfFromP(テーブル2[[#This Row],[P]])</f>
        <v/>
      </c>
      <c r="K22" s="0">
        <f t="array" ref="K22">CpFFromP(テーブル2[[#This Row],[P]])</f>
        <v/>
      </c>
      <c r="L22" s="0">
        <f t="array" ref="L22">SigmaFromP(テーブル2[[#This Row],[P]])</f>
        <v/>
      </c>
      <c r="M22" s="23" t="n">
        <v>21</v>
      </c>
      <c r="N22" s="0" t="n">
        <v>3444.24</v>
      </c>
      <c r="O22" s="8" t="n">
        <v>1.641732232275892e-05</v>
      </c>
      <c r="P22" s="8" t="n">
        <v>0.01436336161221253</v>
      </c>
      <c r="Q22" s="8" t="n">
        <v>0.004572</v>
      </c>
      <c r="R22" s="0" t="n">
        <v>0.295275</v>
      </c>
      <c r="S22" s="15" t="n">
        <v>648098.73046875</v>
      </c>
      <c r="T22" s="0" t="n">
        <v>596.9761364817959</v>
      </c>
      <c r="U22" s="37">
        <f>+T22+BG22*S22*テーブル2[[#This Row],[Pw]]*R22/(N22*O22*K22)</f>
        <v/>
      </c>
      <c r="V22" s="0" t="n">
        <v>0.03</v>
      </c>
      <c r="W22" s="8">
        <f>+N22*Q22/I22</f>
        <v/>
      </c>
      <c r="X22" s="0" t="n">
        <v>0.02472265374327982</v>
      </c>
      <c r="Y22" s="0">
        <f>IF(X22&gt;0,1/X22^0.5,1)</f>
        <v/>
      </c>
      <c r="Z22" s="0">
        <f>IF(X22&gt;0,1.14-2*LOG((0.72*L22*E22)/(X22*Q22*N22^2)+9.35/(W22*X22^0.5)),0)</f>
        <v/>
      </c>
      <c r="AA22" s="0">
        <f>+Y22-Z22</f>
        <v/>
      </c>
      <c r="AB22" s="0">
        <f>32/X22*L22*V22*E22/N22^2</f>
        <v/>
      </c>
      <c r="AC22" s="0" t="n">
        <v>616.5909514383216</v>
      </c>
      <c r="AD22" s="0">
        <f>+Q22/2*AI22/I22*E22</f>
        <v/>
      </c>
      <c r="AE22" s="0">
        <f>+gettm2(AD22,AC22,AK22,AL22,テーブル2[[#This Row],[Fcorr]])</f>
        <v/>
      </c>
      <c r="AF22" s="38">
        <f>+AE22-U22</f>
        <v/>
      </c>
      <c r="AG22" s="0" t="n">
        <v>1.33124789146586e-05</v>
      </c>
      <c r="AH22" s="0">
        <f>+X22*N22^2/(8*E22)</f>
        <v/>
      </c>
      <c r="AI22" s="0">
        <f>+(AH22/E22)^0.5</f>
        <v/>
      </c>
      <c r="AJ22" s="0">
        <f>+AG22*AI22/I22*E22</f>
        <v/>
      </c>
      <c r="AK22" s="0">
        <f t="array" ref="AK22">+S22*テーブル2[[#This Row],[F_form]]/(E22*CpFromTP((テーブル2[[#This Row],[Tin]]+テーブル2[[#This Row],[Tf]])/2,テーブル2[[#This Row],[P]])*AI22)</f>
        <v/>
      </c>
      <c r="AL22" s="0">
        <f>+K22*I22/J22</f>
        <v/>
      </c>
      <c r="AM22" s="0">
        <f>+gettyp(AC22,AJ22,AK22,AL22)</f>
        <v/>
      </c>
      <c r="AN22" s="0">
        <f>+C22-AM22</f>
        <v/>
      </c>
      <c r="AO22" s="0">
        <f>+AG22-AB22</f>
        <v/>
      </c>
      <c r="AP22" s="0" t="n">
        <v>3.750852622392843</v>
      </c>
      <c r="AQ22" s="0">
        <f>2*PI()*L22*(D22+E22)/(D22*E22*AP22^2)</f>
        <v/>
      </c>
      <c r="AR22" s="0">
        <f>+AO22+AB22/2</f>
        <v/>
      </c>
      <c r="AS22" s="0">
        <f>+AR22*AI22/I22*E22</f>
        <v/>
      </c>
      <c r="AT22" s="0">
        <f>+getublp(AS22)</f>
        <v/>
      </c>
      <c r="AU22" s="0">
        <f>+AT22*AI22</f>
        <v/>
      </c>
      <c r="AV22" s="0">
        <f>+AP22-AU22</f>
        <v/>
      </c>
      <c r="AW22" s="0">
        <f>2/3*AB22/(L22/(9.8*(E22-D22)))^0.5</f>
        <v/>
      </c>
      <c r="AX22" s="0">
        <f>+(2*AQ22*9.8*(E22-D22)/(E22*AW22))^0.5</f>
        <v/>
      </c>
      <c r="AY22" s="0">
        <f>+AV22-AX22</f>
        <v/>
      </c>
      <c r="AZ22" s="0">
        <f>+F22-G22</f>
        <v/>
      </c>
      <c r="BA22" s="0">
        <f>+AQ22/AP22</f>
        <v/>
      </c>
      <c r="BB22" s="15">
        <f>+E22*AO22*AZ22/BA22</f>
        <v/>
      </c>
      <c r="BC22" s="20">
        <f>BB22-S22</f>
        <v/>
      </c>
      <c r="BD22" s="19">
        <f>+(BB22-S22)/S22*100</f>
        <v/>
      </c>
      <c r="BE22" s="15" t="n">
        <v>2126470</v>
      </c>
      <c r="BF22" s="16">
        <f>テーブル2[[#This Row],[q_P]]/テーブル2[[#This Row],[q_M]]</f>
        <v/>
      </c>
      <c r="BG22" s="0" t="n">
        <v>1</v>
      </c>
      <c r="BH22" s="0" t="n">
        <v>0.073</v>
      </c>
      <c r="BI22" s="0" t="n">
        <v>0.046</v>
      </c>
      <c r="BJ22" s="0" t="n">
        <v>5625</v>
      </c>
      <c r="BK22" s="22" t="n">
        <v>1</v>
      </c>
      <c r="BL22" s="0">
        <f>テーブル2[[#This Row],[Ts]]-テーブル2[[#This Row],[Tin]]</f>
        <v/>
      </c>
      <c r="BM22" s="0">
        <f>テーブル2[[#This Row],[q_P]]*0.000001</f>
        <v/>
      </c>
      <c r="BN22" s="0">
        <f>テーブル2[[#This Row],[Tsub]]</f>
        <v/>
      </c>
      <c r="BO22" s="0">
        <f>テーブル2[[#This Row],[Fcorr]]</f>
        <v/>
      </c>
      <c r="BP22" s="0">
        <f>(テーブル2[[#This Row],[Tsub]]-40)^2</f>
        <v/>
      </c>
      <c r="BQ22" t="n">
        <v>1</v>
      </c>
      <c r="BR22" s="0" t="n">
        <v>0.295275</v>
      </c>
    </row>
    <row r="23">
      <c r="A23" s="9" t="inlineStr">
        <is>
          <t>59.01_10</t>
        </is>
      </c>
      <c r="B23" s="0" t="n">
        <v>13789520</v>
      </c>
      <c r="C23" s="22">
        <f t="array" ref="C23">TsatFromP(テーブル2[[#This Row],[P]])</f>
        <v/>
      </c>
      <c r="D23" s="0">
        <f t="array" ref="D23">RhoGFromP(テーブル2[[#This Row],[P]])</f>
        <v/>
      </c>
      <c r="E23" s="0">
        <f t="array" ref="E23">RhoFFromP(テーブル2[[#This Row],[P]])</f>
        <v/>
      </c>
      <c r="F23" s="0">
        <f t="array" ref="F23">HgFromP(テーブル2[[#This Row],[P]])</f>
        <v/>
      </c>
      <c r="G23" s="0">
        <f t="array" ref="G23">HfFromP(テーブル2[[#This Row],[P]])</f>
        <v/>
      </c>
      <c r="H23" s="0">
        <f t="array" ref="H23">MuGFromP(テーブル2[[#This Row],[P]])</f>
        <v/>
      </c>
      <c r="I23" s="0">
        <f t="array" ref="I23">MuFFromP(テーブル2[[#This Row],[P]])</f>
        <v/>
      </c>
      <c r="J23" s="0">
        <f t="array" ref="J23">KfFromP(テーブル2[[#This Row],[P]])</f>
        <v/>
      </c>
      <c r="K23" s="0">
        <f t="array" ref="K23">CpFFromP(テーブル2[[#This Row],[P]])</f>
        <v/>
      </c>
      <c r="L23" s="0">
        <f t="array" ref="L23">SigmaFromP(テーブル2[[#This Row],[P]])</f>
        <v/>
      </c>
      <c r="M23" s="0" t="n">
        <v>22</v>
      </c>
      <c r="N23" s="0" t="n">
        <v>3444.24</v>
      </c>
      <c r="O23" s="8" t="n">
        <v>1.641732232275892e-05</v>
      </c>
      <c r="P23" s="8" t="n">
        <v>0.01436336161221253</v>
      </c>
      <c r="Q23" s="8" t="n">
        <v>0.004572</v>
      </c>
      <c r="R23" s="0" t="n">
        <v>0.295275</v>
      </c>
      <c r="S23" s="15" t="n">
        <v>676646.38671875</v>
      </c>
      <c r="T23" s="0" t="n">
        <v>596.439958239725</v>
      </c>
      <c r="U23" s="37">
        <f>+T23+BG23*S23*テーブル2[[#This Row],[Pw]]*R23/(N23*O23*K23)</f>
        <v/>
      </c>
      <c r="V23" s="0" t="n">
        <v>0.03</v>
      </c>
      <c r="W23" s="8">
        <f>+N23*Q23/I23</f>
        <v/>
      </c>
      <c r="X23" s="0" t="n">
        <v>0.02472265374327982</v>
      </c>
      <c r="Y23" s="0">
        <f>IF(X23&gt;0,1/X23^0.5,1)</f>
        <v/>
      </c>
      <c r="Z23" s="0">
        <f>IF(X23&gt;0,1.14-2*LOG((0.72*L23*E23)/(X23*Q23*N23^2)+9.35/(W23*X23^0.5)),0)</f>
        <v/>
      </c>
      <c r="AA23" s="0">
        <f>+Y23-Z23</f>
        <v/>
      </c>
      <c r="AB23" s="0">
        <f>32/X23*L23*V23*E23/N23^2</f>
        <v/>
      </c>
      <c r="AC23" s="0" t="n">
        <v>616.9769290615086</v>
      </c>
      <c r="AD23" s="0">
        <f>+Q23/2*AI23/I23*E23</f>
        <v/>
      </c>
      <c r="AE23" s="0">
        <f>+gettm2(AD23,AC23,AK23,AL23,テーブル2[[#This Row],[Fcorr]])</f>
        <v/>
      </c>
      <c r="AF23" s="38">
        <f>+AE23-U23</f>
        <v/>
      </c>
      <c r="AG23" s="0" t="n">
        <v>1.331278461813644e-05</v>
      </c>
      <c r="AH23" s="0">
        <f>+X23*N23^2/(8*E23)</f>
        <v/>
      </c>
      <c r="AI23" s="0">
        <f>+(AH23/E23)^0.5</f>
        <v/>
      </c>
      <c r="AJ23" s="0">
        <f>+AG23*AI23/I23*E23</f>
        <v/>
      </c>
      <c r="AK23" s="0">
        <f t="array" ref="AK23">+S23*テーブル2[[#This Row],[F_form]]/(E23*CpFromTP((テーブル2[[#This Row],[Tin]]+テーブル2[[#This Row],[Tf]])/2,テーブル2[[#This Row],[P]])*AI23)</f>
        <v/>
      </c>
      <c r="AL23" s="0">
        <f>+K23*I23/J23</f>
        <v/>
      </c>
      <c r="AM23" s="0">
        <f>+gettyp(AC23,AJ23,AK23,AL23)</f>
        <v/>
      </c>
      <c r="AN23" s="0">
        <f>+C23-AM23</f>
        <v/>
      </c>
      <c r="AO23" s="0">
        <f>+AG23-AB23</f>
        <v/>
      </c>
      <c r="AP23" s="0" t="n">
        <v>3.750917943734871</v>
      </c>
      <c r="AQ23" s="0">
        <f>2*PI()*L23*(D23+E23)/(D23*E23*AP23^2)</f>
        <v/>
      </c>
      <c r="AR23" s="0">
        <f>+AO23+AB23/2</f>
        <v/>
      </c>
      <c r="AS23" s="0">
        <f>+AR23*AI23/I23*E23</f>
        <v/>
      </c>
      <c r="AT23" s="0">
        <f>+getublp(AS23)</f>
        <v/>
      </c>
      <c r="AU23" s="0">
        <f>+AT23*AI23</f>
        <v/>
      </c>
      <c r="AV23" s="0">
        <f>+AP23-AU23</f>
        <v/>
      </c>
      <c r="AW23" s="0">
        <f>2/3*AB23/(L23/(9.8*(E23-D23)))^0.5</f>
        <v/>
      </c>
      <c r="AX23" s="0">
        <f>+(2*AQ23*9.8*(E23-D23)/(E23*AW23))^0.5</f>
        <v/>
      </c>
      <c r="AY23" s="0">
        <f>+AV23-AX23</f>
        <v/>
      </c>
      <c r="AZ23" s="0">
        <f>+F23-G23</f>
        <v/>
      </c>
      <c r="BA23" s="0">
        <f>+AQ23/AP23</f>
        <v/>
      </c>
      <c r="BB23" s="15">
        <f>+E23*AO23*AZ23/BA23</f>
        <v/>
      </c>
      <c r="BC23" s="20">
        <f>BB23-S23</f>
        <v/>
      </c>
      <c r="BD23" s="19">
        <f>+(BB23-S23)/S23*100</f>
        <v/>
      </c>
      <c r="BE23" s="15" t="n">
        <v>2148555</v>
      </c>
      <c r="BF23" s="16">
        <f>テーブル2[[#This Row],[q_P]]/テーブル2[[#This Row],[q_M]]</f>
        <v/>
      </c>
      <c r="BG23" s="0" t="n">
        <v>1</v>
      </c>
      <c r="BH23" s="0" t="n">
        <v>0.07199999999999999</v>
      </c>
      <c r="BI23" s="0" t="n">
        <v>0.046</v>
      </c>
      <c r="BJ23" s="0" t="n">
        <v>5625</v>
      </c>
      <c r="BK23" s="22" t="n">
        <v>1</v>
      </c>
      <c r="BL23" s="0">
        <f>テーブル2[[#This Row],[Ts]]-テーブル2[[#This Row],[Tin]]</f>
        <v/>
      </c>
      <c r="BM23" s="0">
        <f>テーブル2[[#This Row],[q_P]]*0.000001</f>
        <v/>
      </c>
      <c r="BN23" s="0">
        <f>テーブル2[[#This Row],[Tsub]]</f>
        <v/>
      </c>
      <c r="BO23" s="0">
        <f>テーブル2[[#This Row],[Fcorr]]</f>
        <v/>
      </c>
      <c r="BP23" s="0">
        <f>(テーブル2[[#This Row],[Tsub]]-40)^2</f>
        <v/>
      </c>
      <c r="BQ23" t="n">
        <v>1</v>
      </c>
      <c r="BR23" s="0" t="n">
        <v>0.295275</v>
      </c>
    </row>
    <row r="24">
      <c r="A24" s="9" t="inlineStr">
        <is>
          <t>60.01_10</t>
        </is>
      </c>
      <c r="B24" s="0" t="n">
        <v>13789520</v>
      </c>
      <c r="C24" s="22">
        <f t="array" ref="C24">TsatFromP(テーブル2[[#This Row],[P]])</f>
        <v/>
      </c>
      <c r="D24" s="0">
        <f t="array" ref="D24">RhoGFromP(テーブル2[[#This Row],[P]])</f>
        <v/>
      </c>
      <c r="E24" s="0">
        <f t="array" ref="E24">RhoFFromP(テーブル2[[#This Row],[P]])</f>
        <v/>
      </c>
      <c r="F24" s="0">
        <f t="array" ref="F24">HgFromP(テーブル2[[#This Row],[P]])</f>
        <v/>
      </c>
      <c r="G24" s="0">
        <f t="array" ref="G24">HfFromP(テーブル2[[#This Row],[P]])</f>
        <v/>
      </c>
      <c r="H24" s="0">
        <f t="array" ref="H24">MuGFromP(テーブル2[[#This Row],[P]])</f>
        <v/>
      </c>
      <c r="I24" s="0">
        <f t="array" ref="I24">MuFFromP(テーブル2[[#This Row],[P]])</f>
        <v/>
      </c>
      <c r="J24" s="0">
        <f t="array" ref="J24">KfFromP(テーブル2[[#This Row],[P]])</f>
        <v/>
      </c>
      <c r="K24" s="0">
        <f t="array" ref="K24">CpFFromP(テーブル2[[#This Row],[P]])</f>
        <v/>
      </c>
      <c r="L24" s="0">
        <f t="array" ref="L24">SigmaFromP(テーブル2[[#This Row],[P]])</f>
        <v/>
      </c>
      <c r="M24" s="23" t="n">
        <v>23</v>
      </c>
      <c r="N24" s="0" t="n">
        <v>3444.24</v>
      </c>
      <c r="O24" s="8" t="n">
        <v>1.641732232275892e-05</v>
      </c>
      <c r="P24" s="8" t="n">
        <v>0.01436336161221253</v>
      </c>
      <c r="Q24" s="8" t="n">
        <v>0.004572</v>
      </c>
      <c r="R24" s="0" t="n">
        <v>0.295275</v>
      </c>
      <c r="S24" s="15" t="n">
        <v>705256.64171875</v>
      </c>
      <c r="T24" s="0" t="n">
        <v>595.900815618213</v>
      </c>
      <c r="U24" s="37">
        <f>+T24+BG24*S24*テーブル2[[#This Row],[Pw]]*R24/(N24*O24*K24)</f>
        <v/>
      </c>
      <c r="V24" s="0" t="n">
        <v>0.03</v>
      </c>
      <c r="W24" s="8">
        <f>+N24*Q24/I24</f>
        <v/>
      </c>
      <c r="X24" s="0" t="n">
        <v>0.02472265374327982</v>
      </c>
      <c r="Y24" s="0">
        <f>IF(X24&gt;0,1/X24^0.5,1)</f>
        <v/>
      </c>
      <c r="Z24" s="0">
        <f>IF(X24&gt;0,1.14-2*LOG((0.72*L24*E24)/(X24*Q24*N24^2)+9.35/(W24*X24^0.5)),0)</f>
        <v/>
      </c>
      <c r="AA24" s="0">
        <f>+Y24-Z24</f>
        <v/>
      </c>
      <c r="AB24" s="0">
        <f>32/X24*L24*V24*E24/N24^2</f>
        <v/>
      </c>
      <c r="AC24" s="0" t="n">
        <v>617.3664740955705</v>
      </c>
      <c r="AD24" s="0">
        <f>+Q24/2*AI24/I24*E24</f>
        <v/>
      </c>
      <c r="AE24" s="0">
        <f>+gettm2(AD24,AC24,AK24,AL24,テーブル2[[#This Row],[Fcorr]])</f>
        <v/>
      </c>
      <c r="AF24" s="38">
        <f>+AE24-U24</f>
        <v/>
      </c>
      <c r="AG24" s="0" t="n">
        <v>1.331321257234762e-05</v>
      </c>
      <c r="AH24" s="0">
        <f>+X24*N24^2/(8*E24)</f>
        <v/>
      </c>
      <c r="AI24" s="0">
        <f>+(AH24/E24)^0.5</f>
        <v/>
      </c>
      <c r="AJ24" s="0">
        <f>+AG24*AI24/I24*E24</f>
        <v/>
      </c>
      <c r="AK24" s="0">
        <f t="array" ref="AK24">+S24*テーブル2[[#This Row],[F_form]]/(E24*CpFromTP((テーブル2[[#This Row],[Tin]]+テーブル2[[#This Row],[Tf]])/2,テーブル2[[#This Row],[P]])*AI24)</f>
        <v/>
      </c>
      <c r="AL24" s="0">
        <f>+K24*I24/J24</f>
        <v/>
      </c>
      <c r="AM24" s="0">
        <f>+gettyp(AC24,AJ24,AK24,AL24)</f>
        <v/>
      </c>
      <c r="AN24" s="0">
        <f>+C24-AM24</f>
        <v/>
      </c>
      <c r="AO24" s="0">
        <f>+AG24-AB24</f>
        <v/>
      </c>
      <c r="AP24" s="0" t="n">
        <v>3.751009382298689</v>
      </c>
      <c r="AQ24" s="0">
        <f>2*PI()*L24*(D24+E24)/(D24*E24*AP24^2)</f>
        <v/>
      </c>
      <c r="AR24" s="0">
        <f>+AO24+AB24/2</f>
        <v/>
      </c>
      <c r="AS24" s="0">
        <f>+AR24*AI24/I24*E24</f>
        <v/>
      </c>
      <c r="AT24" s="0">
        <f>+getublp(AS24)</f>
        <v/>
      </c>
      <c r="AU24" s="0">
        <f>+AT24*AI24</f>
        <v/>
      </c>
      <c r="AV24" s="0">
        <f>+AP24-AU24</f>
        <v/>
      </c>
      <c r="AW24" s="0">
        <f>2/3*AB24/(L24/(9.8*(E24-D24)))^0.5</f>
        <v/>
      </c>
      <c r="AX24" s="0">
        <f>+(2*AQ24*9.8*(E24-D24)/(E24*AW24))^0.5</f>
        <v/>
      </c>
      <c r="AY24" s="0">
        <f>+AV24-AX24</f>
        <v/>
      </c>
      <c r="AZ24" s="0">
        <f>+F24-G24</f>
        <v/>
      </c>
      <c r="BA24" s="0">
        <f>+AQ24/AP24</f>
        <v/>
      </c>
      <c r="BB24" s="15">
        <f>+E24*AO24*AZ24/BA24</f>
        <v/>
      </c>
      <c r="BC24" s="20">
        <f>BB24-S24</f>
        <v/>
      </c>
      <c r="BD24" s="19">
        <f>+(BB24-S24)/S24*100</f>
        <v/>
      </c>
      <c r="BE24" s="15" t="n">
        <v>2148555</v>
      </c>
      <c r="BF24" s="16">
        <f>テーブル2[[#This Row],[q_P]]/テーブル2[[#This Row],[q_M]]</f>
        <v/>
      </c>
      <c r="BG24" s="0" t="n">
        <v>1</v>
      </c>
      <c r="BH24" s="0" t="n">
        <v>0.068</v>
      </c>
      <c r="BI24" s="0" t="n">
        <v>0.046</v>
      </c>
      <c r="BJ24" s="0" t="n">
        <v>5625</v>
      </c>
      <c r="BK24" s="22" t="n">
        <v>1</v>
      </c>
      <c r="BL24" s="0">
        <f>テーブル2[[#This Row],[Ts]]-テーブル2[[#This Row],[Tin]]</f>
        <v/>
      </c>
      <c r="BM24" s="0">
        <f>テーブル2[[#This Row],[q_P]]*0.000001</f>
        <v/>
      </c>
      <c r="BN24" s="0">
        <f>テーブル2[[#This Row],[Tsub]]</f>
        <v/>
      </c>
      <c r="BO24" s="0">
        <f>テーブル2[[#This Row],[Fcorr]]</f>
        <v/>
      </c>
      <c r="BP24" s="0">
        <f>(テーブル2[[#This Row],[Tsub]]-40)^2</f>
        <v/>
      </c>
      <c r="BQ24" t="n">
        <v>1</v>
      </c>
      <c r="BR24" s="0" t="n">
        <v>0.295275</v>
      </c>
    </row>
    <row r="25">
      <c r="A25" s="9" t="inlineStr">
        <is>
          <t>61.01_10</t>
        </is>
      </c>
      <c r="B25" s="0" t="n">
        <v>13789520</v>
      </c>
      <c r="C25" s="22">
        <f t="array" ref="C25">TsatFromP(テーブル2[[#This Row],[P]])</f>
        <v/>
      </c>
      <c r="D25" s="0">
        <f t="array" ref="D25">RhoGFromP(テーブル2[[#This Row],[P]])</f>
        <v/>
      </c>
      <c r="E25" s="0">
        <f t="array" ref="E25">RhoFFromP(テーブル2[[#This Row],[P]])</f>
        <v/>
      </c>
      <c r="F25" s="0">
        <f t="array" ref="F25">HgFromP(テーブル2[[#This Row],[P]])</f>
        <v/>
      </c>
      <c r="G25" s="0">
        <f t="array" ref="G25">HfFromP(テーブル2[[#This Row],[P]])</f>
        <v/>
      </c>
      <c r="H25" s="0">
        <f t="array" ref="H25">MuGFromP(テーブル2[[#This Row],[P]])</f>
        <v/>
      </c>
      <c r="I25" s="0">
        <f t="array" ref="I25">MuFFromP(テーブル2[[#This Row],[P]])</f>
        <v/>
      </c>
      <c r="J25" s="0">
        <f t="array" ref="J25">KfFromP(テーブル2[[#This Row],[P]])</f>
        <v/>
      </c>
      <c r="K25" s="0">
        <f t="array" ref="K25">CpFFromP(テーブル2[[#This Row],[P]])</f>
        <v/>
      </c>
      <c r="L25" s="0">
        <f t="array" ref="L25">SigmaFromP(テーブル2[[#This Row],[P]])</f>
        <v/>
      </c>
      <c r="M25" s="0" t="n">
        <v>24</v>
      </c>
      <c r="N25" s="0" t="n">
        <v>3484.92</v>
      </c>
      <c r="O25" s="8" t="n">
        <v>1.641732232275892e-05</v>
      </c>
      <c r="P25" s="8" t="n">
        <v>0.01436336161221253</v>
      </c>
      <c r="Q25" s="8" t="n">
        <v>0.004572</v>
      </c>
      <c r="R25" s="0" t="n">
        <v>0.295275</v>
      </c>
      <c r="S25" s="15" t="n">
        <v>1232276.92390625</v>
      </c>
      <c r="T25" s="0" t="n">
        <v>585.882934839037</v>
      </c>
      <c r="U25" s="37">
        <f>+T25+BG25*S25*テーブル2[[#This Row],[Pw]]*R25/(N25*O25*K25)</f>
        <v/>
      </c>
      <c r="V25" s="0" t="n">
        <v>0.03</v>
      </c>
      <c r="W25" s="8">
        <f>+N25*Q25/I25</f>
        <v/>
      </c>
      <c r="X25" s="0" t="n">
        <v>0.02460401756364429</v>
      </c>
      <c r="Y25" s="0">
        <f>IF(X25&gt;0,1/X25^0.5,1)</f>
        <v/>
      </c>
      <c r="Z25" s="0">
        <f>IF(X25&gt;0,1.14-2*LOG((0.72*L25*E25)/(X25*Q25*N25^2)+9.35/(W25*X25^0.5)),0)</f>
        <v/>
      </c>
      <c r="AA25" s="0">
        <f>+Y25-Z25</f>
        <v/>
      </c>
      <c r="AB25" s="0">
        <f>32/X25*L25*V25*E25/N25^2</f>
        <v/>
      </c>
      <c r="AC25" s="0" t="n">
        <v>624.7870521709979</v>
      </c>
      <c r="AD25" s="0">
        <f>+Q25/2*AI25/I25*E25</f>
        <v/>
      </c>
      <c r="AE25" s="0">
        <f>+gettm2(AD25,AC25,AK25,AL25,テーブル2[[#This Row],[Fcorr]])</f>
        <v/>
      </c>
      <c r="AF25" s="38">
        <f>+AE25-U25</f>
        <v/>
      </c>
      <c r="AG25" s="0" t="n">
        <v>1.307498811677625e-05</v>
      </c>
      <c r="AH25" s="0">
        <f>+X25*N25^2/(8*E25)</f>
        <v/>
      </c>
      <c r="AI25" s="0">
        <f>+(AH25/E25)^0.5</f>
        <v/>
      </c>
      <c r="AJ25" s="0">
        <f>+AG25*AI25/I25*E25</f>
        <v/>
      </c>
      <c r="AK25" s="0">
        <f t="array" ref="AK25">+S25*テーブル2[[#This Row],[F_form]]/(E25*CpFromTP((テーブル2[[#This Row],[Tin]]+テーブル2[[#This Row],[Tf]])/2,テーブル2[[#This Row],[P]])*AI25)</f>
        <v/>
      </c>
      <c r="AL25" s="0">
        <f>+K25*I25/J25</f>
        <v/>
      </c>
      <c r="AM25" s="0">
        <f>+gettyp(AC25,AJ25,AK25,AL25)</f>
        <v/>
      </c>
      <c r="AN25" s="0">
        <f>+C25-AM25</f>
        <v/>
      </c>
      <c r="AO25" s="0">
        <f>+AG25-AB25</f>
        <v/>
      </c>
      <c r="AP25" s="0" t="n">
        <v>3.77205179622996</v>
      </c>
      <c r="AQ25" s="0">
        <f>2*PI()*L25*(D25+E25)/(D25*E25*AP25^2)</f>
        <v/>
      </c>
      <c r="AR25" s="0">
        <f>+AO25+AB25/2</f>
        <v/>
      </c>
      <c r="AS25" s="0">
        <f>+AR25*AI25/I25*E25</f>
        <v/>
      </c>
      <c r="AT25" s="0">
        <f>+getublp(AS25)</f>
        <v/>
      </c>
      <c r="AU25" s="0">
        <f>+AT25*AI25</f>
        <v/>
      </c>
      <c r="AV25" s="0">
        <f>+AP25-AU25</f>
        <v/>
      </c>
      <c r="AW25" s="0">
        <f>2/3*AB25/(L25/(9.8*(E25-D25)))^0.5</f>
        <v/>
      </c>
      <c r="AX25" s="0">
        <f>+(2*AQ25*9.8*(E25-D25)/(E25*AW25))^0.5</f>
        <v/>
      </c>
      <c r="AY25" s="0">
        <f>+AV25-AX25</f>
        <v/>
      </c>
      <c r="AZ25" s="0">
        <f>+F25-G25</f>
        <v/>
      </c>
      <c r="BA25" s="0">
        <f>+AQ25/AP25</f>
        <v/>
      </c>
      <c r="BB25" s="15">
        <f>+E25*AO25*AZ25/BA25</f>
        <v/>
      </c>
      <c r="BC25" s="20">
        <f>BB25-S25</f>
        <v/>
      </c>
      <c r="BD25" s="19">
        <f>+(BB25-S25)/S25*100</f>
        <v/>
      </c>
      <c r="BE25" s="15" t="n">
        <v>3139225</v>
      </c>
      <c r="BF25" s="16">
        <f>テーブル2[[#This Row],[q_P]]/テーブル2[[#This Row],[q_M]]</f>
        <v/>
      </c>
      <c r="BG25" s="0" t="n">
        <v>1</v>
      </c>
      <c r="BH25" s="0" t="n">
        <v>0.077</v>
      </c>
      <c r="BI25" s="0" t="n">
        <v>0.046</v>
      </c>
      <c r="BJ25" s="0" t="n">
        <v>5625</v>
      </c>
      <c r="BK25" s="22" t="n">
        <v>1</v>
      </c>
      <c r="BL25" s="0">
        <f>テーブル2[[#This Row],[Ts]]-テーブル2[[#This Row],[Tin]]</f>
        <v/>
      </c>
      <c r="BM25" s="0">
        <f>テーブル2[[#This Row],[q_P]]*0.000001</f>
        <v/>
      </c>
      <c r="BN25" s="0">
        <f>テーブル2[[#This Row],[Tsub]]</f>
        <v/>
      </c>
      <c r="BO25" s="0">
        <f>テーブル2[[#This Row],[Fcorr]]</f>
        <v/>
      </c>
      <c r="BP25" s="0">
        <f>(テーブル2[[#This Row],[Tsub]]-40)^2</f>
        <v/>
      </c>
      <c r="BQ25" t="n">
        <v>1</v>
      </c>
      <c r="BR25" s="0" t="n">
        <v>0.295275</v>
      </c>
    </row>
    <row r="26">
      <c r="A26" s="9" t="inlineStr">
        <is>
          <t>62.01_10</t>
        </is>
      </c>
      <c r="B26" s="0" t="n">
        <v>13789520</v>
      </c>
      <c r="C26" s="22">
        <f t="array" ref="C26">TsatFromP(テーブル2[[#This Row],[P]])</f>
        <v/>
      </c>
      <c r="D26" s="0">
        <f t="array" ref="D26">RhoGFromP(テーブル2[[#This Row],[P]])</f>
        <v/>
      </c>
      <c r="E26" s="0">
        <f t="array" ref="E26">RhoFFromP(テーブル2[[#This Row],[P]])</f>
        <v/>
      </c>
      <c r="F26" s="0">
        <f t="array" ref="F26">HgFromP(テーブル2[[#This Row],[P]])</f>
        <v/>
      </c>
      <c r="G26" s="0">
        <f t="array" ref="G26">HfFromP(テーブル2[[#This Row],[P]])</f>
        <v/>
      </c>
      <c r="H26" s="0">
        <f t="array" ref="H26">MuGFromP(テーブル2[[#This Row],[P]])</f>
        <v/>
      </c>
      <c r="I26" s="0">
        <f t="array" ref="I26">MuFFromP(テーブル2[[#This Row],[P]])</f>
        <v/>
      </c>
      <c r="J26" s="0">
        <f t="array" ref="J26">KfFromP(テーブル2[[#This Row],[P]])</f>
        <v/>
      </c>
      <c r="K26" s="0">
        <f t="array" ref="K26">CpFFromP(テーブル2[[#This Row],[P]])</f>
        <v/>
      </c>
      <c r="L26" s="0">
        <f t="array" ref="L26">SigmaFromP(テーブル2[[#This Row],[P]])</f>
        <v/>
      </c>
      <c r="M26" s="23" t="n">
        <v>25</v>
      </c>
      <c r="N26" s="0" t="n">
        <v>3484.92</v>
      </c>
      <c r="O26" s="8" t="n">
        <v>1.641732232275892e-05</v>
      </c>
      <c r="P26" s="8" t="n">
        <v>0.01436336161221253</v>
      </c>
      <c r="Q26" s="8" t="n">
        <v>0.004572</v>
      </c>
      <c r="R26" s="0" t="n">
        <v>0.295275</v>
      </c>
      <c r="S26" s="15" t="n">
        <v>1288034.69921875</v>
      </c>
      <c r="T26" s="0" t="n">
        <v>584.781818283598</v>
      </c>
      <c r="U26" s="37">
        <f>+T26+BG26*S26*テーブル2[[#This Row],[Pw]]*R26/(N26*O26*K26)</f>
        <v/>
      </c>
      <c r="V26" s="0" t="n">
        <v>0.03</v>
      </c>
      <c r="W26" s="8">
        <f>+N26*Q26/I26</f>
        <v/>
      </c>
      <c r="X26" s="0" t="n">
        <v>0.02460401756364429</v>
      </c>
      <c r="Y26" s="0">
        <f>IF(X26&gt;0,1/X26^0.5,1)</f>
        <v/>
      </c>
      <c r="Z26" s="0">
        <f>IF(X26&gt;0,1.14-2*LOG((0.72*L26*E26)/(X26*Q26*N26^2)+9.35/(W26*X26^0.5)),0)</f>
        <v/>
      </c>
      <c r="AA26" s="0">
        <f>+Y26-Z26</f>
        <v/>
      </c>
      <c r="AB26" s="0">
        <f>32/X26*L26*V26*E26/N26^2</f>
        <v/>
      </c>
      <c r="AC26" s="0" t="n">
        <v>625.6266475139795</v>
      </c>
      <c r="AD26" s="0">
        <f>+Q26/2*AI26/I26*E26</f>
        <v/>
      </c>
      <c r="AE26" s="0">
        <f>+gettm2(AD26,AC26,AK26,AL26,テーブル2[[#This Row],[Fcorr]])</f>
        <v/>
      </c>
      <c r="AF26" s="38">
        <f>+AE26-U26</f>
        <v/>
      </c>
      <c r="AG26" s="0" t="n">
        <v>1.307572909640209e-05</v>
      </c>
      <c r="AH26" s="0">
        <f>+X26*N26^2/(8*E26)</f>
        <v/>
      </c>
      <c r="AI26" s="0">
        <f>+(AH26/E26)^0.5</f>
        <v/>
      </c>
      <c r="AJ26" s="0">
        <f>+AG26*AI26/I26*E26</f>
        <v/>
      </c>
      <c r="AK26" s="0">
        <f t="array" ref="AK26">+S26*テーブル2[[#This Row],[F_form]]/(E26*CpFromTP((テーブル2[[#This Row],[Tin]]+テーブル2[[#This Row],[Tf]])/2,テーブル2[[#This Row],[P]])*AI26)</f>
        <v/>
      </c>
      <c r="AL26" s="0">
        <f>+K26*I26/J26</f>
        <v/>
      </c>
      <c r="AM26" s="0">
        <f>+gettyp(AC26,AJ26,AK26,AL26)</f>
        <v/>
      </c>
      <c r="AN26" s="0">
        <f>+C26-AM26</f>
        <v/>
      </c>
      <c r="AO26" s="0">
        <f>+AG26-AB26</f>
        <v/>
      </c>
      <c r="AP26" s="0" t="n">
        <v>3.772214421396574</v>
      </c>
      <c r="AQ26" s="0">
        <f>2*PI()*L26*(D26+E26)/(D26*E26*AP26^2)</f>
        <v/>
      </c>
      <c r="AR26" s="0">
        <f>+AO26+AB26/2</f>
        <v/>
      </c>
      <c r="AS26" s="0">
        <f>+AR26*AI26/I26*E26</f>
        <v/>
      </c>
      <c r="AT26" s="0">
        <f>+getublp(AS26)</f>
        <v/>
      </c>
      <c r="AU26" s="0">
        <f>+AT26*AI26</f>
        <v/>
      </c>
      <c r="AV26" s="0">
        <f>+AP26-AU26</f>
        <v/>
      </c>
      <c r="AW26" s="0">
        <f>2/3*AB26/(L26/(9.8*(E26-D26)))^0.5</f>
        <v/>
      </c>
      <c r="AX26" s="0">
        <f>+(2*AQ26*9.8*(E26-D26)/(E26*AW26))^0.5</f>
        <v/>
      </c>
      <c r="AY26" s="0">
        <f>+AV26-AX26</f>
        <v/>
      </c>
      <c r="AZ26" s="0">
        <f>+F26-G26</f>
        <v/>
      </c>
      <c r="BA26" s="0">
        <f>+AQ26/AP26</f>
        <v/>
      </c>
      <c r="BB26" s="15">
        <f>+E26*AO26*AZ26/BA26</f>
        <v/>
      </c>
      <c r="BC26" s="20">
        <f>BB26-S26</f>
        <v/>
      </c>
      <c r="BD26" s="19">
        <f>+(BB26-S26)/S26*100</f>
        <v/>
      </c>
      <c r="BE26" s="15" t="n">
        <v>3123450</v>
      </c>
      <c r="BF26" s="16">
        <f>テーブル2[[#This Row],[q_P]]/テーブル2[[#This Row],[q_M]]</f>
        <v/>
      </c>
      <c r="BG26" s="0" t="n">
        <v>1</v>
      </c>
      <c r="BH26" s="0" t="n">
        <v>0.07000000000000001</v>
      </c>
      <c r="BI26" s="0" t="n">
        <v>0.046</v>
      </c>
      <c r="BJ26" s="0" t="n">
        <v>5625</v>
      </c>
      <c r="BK26" s="22" t="n">
        <v>1</v>
      </c>
      <c r="BL26" s="0">
        <f>テーブル2[[#This Row],[Ts]]-テーブル2[[#This Row],[Tin]]</f>
        <v/>
      </c>
      <c r="BM26" s="0">
        <f>テーブル2[[#This Row],[q_P]]*0.000001</f>
        <v/>
      </c>
      <c r="BN26" s="0">
        <f>テーブル2[[#This Row],[Tsub]]</f>
        <v/>
      </c>
      <c r="BO26" s="0">
        <f>テーブル2[[#This Row],[Fcorr]]</f>
        <v/>
      </c>
      <c r="BP26" s="0">
        <f>(テーブル2[[#This Row],[Tsub]]-40)^2</f>
        <v/>
      </c>
      <c r="BQ26" t="n">
        <v>1</v>
      </c>
      <c r="BR26" s="0" t="n">
        <v>0.295275</v>
      </c>
    </row>
    <row r="27">
      <c r="A27" s="9" t="inlineStr">
        <is>
          <t>63.01_10</t>
        </is>
      </c>
      <c r="B27" s="0" t="n">
        <v>13789520</v>
      </c>
      <c r="C27" s="22">
        <f t="array" ref="C27">TsatFromP(テーブル2[[#This Row],[P]])</f>
        <v/>
      </c>
      <c r="D27" s="0">
        <f t="array" ref="D27">RhoGFromP(テーブル2[[#This Row],[P]])</f>
        <v/>
      </c>
      <c r="E27" s="0">
        <f t="array" ref="E27">RhoFFromP(テーブル2[[#This Row],[P]])</f>
        <v/>
      </c>
      <c r="F27" s="0">
        <f t="array" ref="F27">HgFromP(テーブル2[[#This Row],[P]])</f>
        <v/>
      </c>
      <c r="G27" s="0">
        <f t="array" ref="G27">HfFromP(テーブル2[[#This Row],[P]])</f>
        <v/>
      </c>
      <c r="H27" s="0">
        <f t="array" ref="H27">MuGFromP(テーブル2[[#This Row],[P]])</f>
        <v/>
      </c>
      <c r="I27" s="0">
        <f t="array" ref="I27">MuFFromP(テーブル2[[#This Row],[P]])</f>
        <v/>
      </c>
      <c r="J27" s="0">
        <f t="array" ref="J27">KfFromP(テーブル2[[#This Row],[P]])</f>
        <v/>
      </c>
      <c r="K27" s="0">
        <f t="array" ref="K27">CpFFromP(テーブル2[[#This Row],[P]])</f>
        <v/>
      </c>
      <c r="L27" s="0">
        <f t="array" ref="L27">SigmaFromP(テーブル2[[#This Row],[P]])</f>
        <v/>
      </c>
      <c r="M27" s="0" t="n">
        <v>26</v>
      </c>
      <c r="N27" s="0" t="n">
        <v>3484.92</v>
      </c>
      <c r="O27" s="8" t="n">
        <v>1.641732232275892e-05</v>
      </c>
      <c r="P27" s="8" t="n">
        <v>0.01436336161221253</v>
      </c>
      <c r="Q27" s="8" t="n">
        <v>0.004572</v>
      </c>
      <c r="R27" s="0" t="n">
        <v>0.295275</v>
      </c>
      <c r="S27" s="15" t="n">
        <v>1316005.89359375</v>
      </c>
      <c r="T27" s="0" t="n">
        <v>584.228176241848</v>
      </c>
      <c r="U27" s="37">
        <f>+T27+BG27*S27*テーブル2[[#This Row],[Pw]]*R27/(N27*O27*K27)</f>
        <v/>
      </c>
      <c r="V27" s="0" t="n">
        <v>0.03</v>
      </c>
      <c r="W27" s="8">
        <f>+N27*Q27/I27</f>
        <v/>
      </c>
      <c r="X27" s="0" t="n">
        <v>0.02460401756364429</v>
      </c>
      <c r="Y27" s="0">
        <f>IF(X27&gt;0,1/X27^0.5,1)</f>
        <v/>
      </c>
      <c r="Z27" s="0">
        <f>IF(X27&gt;0,1.14-2*LOG((0.72*L27*E27)/(X27*Q27*N27^2)+9.35/(W27*X27^0.5)),0)</f>
        <v/>
      </c>
      <c r="AA27" s="0">
        <f>+Y27-Z27</f>
        <v/>
      </c>
      <c r="AB27" s="0">
        <f>32/X27*L27*V27*E27/N27^2</f>
        <v/>
      </c>
      <c r="AC27" s="0" t="n">
        <v>626.0498355520212</v>
      </c>
      <c r="AD27" s="0">
        <f>+Q27/2*AI27/I27*E27</f>
        <v/>
      </c>
      <c r="AE27" s="0">
        <f>+gettm2(AD27,AC27,AK27,AL27,テーブル2[[#This Row],[Fcorr]])</f>
        <v/>
      </c>
      <c r="AF27" s="38">
        <f>+AE27-U27</f>
        <v/>
      </c>
      <c r="AG27" s="0" t="n">
        <v>1.307629956530174e-05</v>
      </c>
      <c r="AH27" s="0">
        <f>+X27*N27^2/(8*E27)</f>
        <v/>
      </c>
      <c r="AI27" s="0">
        <f>+(AH27/E27)^0.5</f>
        <v/>
      </c>
      <c r="AJ27" s="0">
        <f>+AG27*AI27/I27*E27</f>
        <v/>
      </c>
      <c r="AK27" s="0">
        <f t="array" ref="AK27">+S27*テーブル2[[#This Row],[F_form]]/(E27*CpFromTP((テーブル2[[#This Row],[Tin]]+テーブル2[[#This Row],[Tf]])/2,テーブル2[[#This Row],[P]])*AI27)</f>
        <v/>
      </c>
      <c r="AL27" s="0">
        <f>+K27*I27/J27</f>
        <v/>
      </c>
      <c r="AM27" s="0">
        <f>+gettyp(AC27,AJ27,AK27,AL27)</f>
        <v/>
      </c>
      <c r="AN27" s="0">
        <f>+C27-AM27</f>
        <v/>
      </c>
      <c r="AO27" s="0">
        <f>+AG27-AB27</f>
        <v/>
      </c>
      <c r="AP27" s="0" t="n">
        <v>3.772339612167252</v>
      </c>
      <c r="AQ27" s="0">
        <f>2*PI()*L27*(D27+E27)/(D27*E27*AP27^2)</f>
        <v/>
      </c>
      <c r="AR27" s="0">
        <f>+AO27+AB27/2</f>
        <v/>
      </c>
      <c r="AS27" s="0">
        <f>+AR27*AI27/I27*E27</f>
        <v/>
      </c>
      <c r="AT27" s="0">
        <f>+getublp(AS27)</f>
        <v/>
      </c>
      <c r="AU27" s="0">
        <f>+AT27*AI27</f>
        <v/>
      </c>
      <c r="AV27" s="0">
        <f>+AP27-AU27</f>
        <v/>
      </c>
      <c r="AW27" s="0">
        <f>2/3*AB27/(L27/(9.8*(E27-D27)))^0.5</f>
        <v/>
      </c>
      <c r="AX27" s="0">
        <f>+(2*AQ27*9.8*(E27-D27)/(E27*AW27))^0.5</f>
        <v/>
      </c>
      <c r="AY27" s="0">
        <f>+AV27-AX27</f>
        <v/>
      </c>
      <c r="AZ27" s="0">
        <f>+F27-G27</f>
        <v/>
      </c>
      <c r="BA27" s="0">
        <f>+AQ27/AP27</f>
        <v/>
      </c>
      <c r="BB27" s="15">
        <f>+E27*AO27*AZ27/BA27</f>
        <v/>
      </c>
      <c r="BC27" s="20">
        <f>BB27-S27</f>
        <v/>
      </c>
      <c r="BD27" s="19">
        <f>+(BB27-S27)/S27*100</f>
        <v/>
      </c>
      <c r="BE27" s="15" t="n">
        <v>3155000</v>
      </c>
      <c r="BF27" s="16">
        <f>テーブル2[[#This Row],[q_P]]/テーブル2[[#This Row],[q_M]]</f>
        <v/>
      </c>
      <c r="BG27" s="0" t="n">
        <v>1</v>
      </c>
      <c r="BH27" s="0" t="n">
        <v>0.06900000000000001</v>
      </c>
      <c r="BI27" s="0" t="n">
        <v>0.046</v>
      </c>
      <c r="BJ27" s="0" t="n">
        <v>5625</v>
      </c>
      <c r="BK27" s="22" t="n">
        <v>1</v>
      </c>
      <c r="BL27" s="0">
        <f>テーブル2[[#This Row],[Ts]]-テーブル2[[#This Row],[Tin]]</f>
        <v/>
      </c>
      <c r="BM27" s="0">
        <f>テーブル2[[#This Row],[q_P]]*0.000001</f>
        <v/>
      </c>
      <c r="BN27" s="0">
        <f>テーブル2[[#This Row],[Tsub]]</f>
        <v/>
      </c>
      <c r="BO27" s="0">
        <f>テーブル2[[#This Row],[Fcorr]]</f>
        <v/>
      </c>
      <c r="BP27" s="0">
        <f>(テーブル2[[#This Row],[Tsub]]-40)^2</f>
        <v/>
      </c>
      <c r="BQ27" t="n">
        <v>1</v>
      </c>
      <c r="BR27" s="0" t="n">
        <v>0.295275</v>
      </c>
    </row>
    <row r="28">
      <c r="A28" s="9" t="inlineStr">
        <is>
          <t>64.01_10</t>
        </is>
      </c>
      <c r="B28" s="0" t="n">
        <v>13789520</v>
      </c>
      <c r="C28" s="22">
        <f t="array" ref="C28">TsatFromP(テーブル2[[#This Row],[P]])</f>
        <v/>
      </c>
      <c r="D28" s="0">
        <f t="array" ref="D28">RhoGFromP(テーブル2[[#This Row],[P]])</f>
        <v/>
      </c>
      <c r="E28" s="0">
        <f t="array" ref="E28">RhoFFromP(テーブル2[[#This Row],[P]])</f>
        <v/>
      </c>
      <c r="F28" s="0">
        <f t="array" ref="F28">HgFromP(テーブル2[[#This Row],[P]])</f>
        <v/>
      </c>
      <c r="G28" s="0">
        <f t="array" ref="G28">HfFromP(テーブル2[[#This Row],[P]])</f>
        <v/>
      </c>
      <c r="H28" s="0">
        <f t="array" ref="H28">MuGFromP(テーブル2[[#This Row],[P]])</f>
        <v/>
      </c>
      <c r="I28" s="0">
        <f t="array" ref="I28">MuFFromP(テーブル2[[#This Row],[P]])</f>
        <v/>
      </c>
      <c r="J28" s="0">
        <f t="array" ref="J28">KfFromP(テーブル2[[#This Row],[P]])</f>
        <v/>
      </c>
      <c r="K28" s="0">
        <f t="array" ref="K28">CpFFromP(テーブル2[[#This Row],[P]])</f>
        <v/>
      </c>
      <c r="L28" s="0">
        <f t="array" ref="L28">SigmaFromP(テーブル2[[#This Row],[P]])</f>
        <v/>
      </c>
      <c r="M28" s="23" t="n">
        <v>27</v>
      </c>
      <c r="N28" s="0" t="n">
        <v>3525.6</v>
      </c>
      <c r="O28" s="8" t="n">
        <v>1.641732232275892e-05</v>
      </c>
      <c r="P28" s="8" t="n">
        <v>0.01436336161221253</v>
      </c>
      <c r="Q28" s="8" t="n">
        <v>0.004572</v>
      </c>
      <c r="R28" s="0" t="n">
        <v>0.295275</v>
      </c>
      <c r="S28" s="15" t="n">
        <v>1298728.41796875</v>
      </c>
      <c r="T28" s="0" t="n">
        <v>584.781818283598</v>
      </c>
      <c r="U28" s="37">
        <f>+T28+BG28*S28*テーブル2[[#This Row],[Pw]]*R28/(N28*O28*K28)</f>
        <v/>
      </c>
      <c r="V28" s="0" t="n">
        <v>0.03</v>
      </c>
      <c r="W28" s="8">
        <f>+N28*Q28/I28</f>
        <v/>
      </c>
      <c r="X28" s="0" t="n">
        <v>0.02448758385191088</v>
      </c>
      <c r="Y28" s="0">
        <f>IF(X28&gt;0,1/X28^0.5,1)</f>
        <v/>
      </c>
      <c r="Z28" s="0">
        <f>IF(X28&gt;0,1.14-2*LOG((0.72*L28*E28)/(X28*Q28*N28^2)+9.35/(W28*X28^0.5)),0)</f>
        <v/>
      </c>
      <c r="AA28" s="0">
        <f>+Y28-Z28</f>
        <v/>
      </c>
      <c r="AB28" s="0">
        <f>32/X28*L28*V28*E28/N28^2</f>
        <v/>
      </c>
      <c r="AC28" s="0" t="n">
        <v>625.5875487093629</v>
      </c>
      <c r="AD28" s="0">
        <f>+Q28/2*AI28/I28*E28</f>
        <v/>
      </c>
      <c r="AE28" s="0">
        <f>+gettm2(AD28,AC28,AK28,AL28,テーブル2[[#This Row],[Fcorr]])</f>
        <v/>
      </c>
      <c r="AF28" s="38">
        <f>+AE28-U28</f>
        <v/>
      </c>
      <c r="AG28" s="0" t="n">
        <v>1.283658300950776e-05</v>
      </c>
      <c r="AH28" s="0">
        <f>+X28*N28^2/(8*E28)</f>
        <v/>
      </c>
      <c r="AI28" s="0">
        <f>+(AH28/E28)^0.5</f>
        <v/>
      </c>
      <c r="AJ28" s="0">
        <f>+AG28*AI28/I28*E28</f>
        <v/>
      </c>
      <c r="AK28" s="0">
        <f t="array" ref="AK28">+S28*テーブル2[[#This Row],[F_form]]/(E28*CpFromTP((テーブル2[[#This Row],[Tin]]+テーブル2[[#This Row],[Tf]])/2,テーブル2[[#This Row],[P]])*AI28)</f>
        <v/>
      </c>
      <c r="AL28" s="0">
        <f>+K28*I28/J28</f>
        <v/>
      </c>
      <c r="AM28" s="0">
        <f>+gettyp(AC28,AJ28,AK28,AL28)</f>
        <v/>
      </c>
      <c r="AN28" s="0">
        <f>+C28-AM28</f>
        <v/>
      </c>
      <c r="AO28" s="0">
        <f>+AG28-AB28</f>
        <v/>
      </c>
      <c r="AP28" s="0" t="n">
        <v>3.791358287584785</v>
      </c>
      <c r="AQ28" s="0">
        <f>2*PI()*L28*(D28+E28)/(D28*E28*AP28^2)</f>
        <v/>
      </c>
      <c r="AR28" s="0">
        <f>+AO28+AB28/2</f>
        <v/>
      </c>
      <c r="AS28" s="0">
        <f>+AR28*AI28/I28*E28</f>
        <v/>
      </c>
      <c r="AT28" s="0">
        <f>+getublp(AS28)</f>
        <v/>
      </c>
      <c r="AU28" s="0">
        <f>+AT28*AI28</f>
        <v/>
      </c>
      <c r="AV28" s="0">
        <f>+AP28-AU28</f>
        <v/>
      </c>
      <c r="AW28" s="0">
        <f>2/3*AB28/(L28/(9.8*(E28-D28)))^0.5</f>
        <v/>
      </c>
      <c r="AX28" s="0">
        <f>+(2*AQ28*9.8*(E28-D28)/(E28*AW28))^0.5</f>
        <v/>
      </c>
      <c r="AY28" s="0">
        <f>+AV28-AX28</f>
        <v/>
      </c>
      <c r="AZ28" s="0">
        <f>+F28-G28</f>
        <v/>
      </c>
      <c r="BA28" s="0">
        <f>+AQ28/AP28</f>
        <v/>
      </c>
      <c r="BB28" s="15">
        <f>+E28*AO28*AZ28/BA28</f>
        <v/>
      </c>
      <c r="BC28" s="20">
        <f>BB28-S28</f>
        <v/>
      </c>
      <c r="BD28" s="19">
        <f>+(BB28-S28)/S28*100</f>
        <v/>
      </c>
      <c r="BE28" s="15" t="n">
        <v>3082435</v>
      </c>
      <c r="BF28" s="16">
        <f>テーブル2[[#This Row],[q_P]]/テーブル2[[#This Row],[q_M]]</f>
        <v/>
      </c>
      <c r="BG28" s="0" t="n">
        <v>1</v>
      </c>
      <c r="BH28" s="0" t="n">
        <v>0.065</v>
      </c>
      <c r="BI28" s="0" t="n">
        <v>0.046</v>
      </c>
      <c r="BJ28" s="0" t="n">
        <v>5625</v>
      </c>
      <c r="BK28" s="22" t="n">
        <v>1</v>
      </c>
      <c r="BL28" s="0">
        <f>テーブル2[[#This Row],[Ts]]-テーブル2[[#This Row],[Tin]]</f>
        <v/>
      </c>
      <c r="BM28" s="0">
        <f>テーブル2[[#This Row],[q_P]]*0.000001</f>
        <v/>
      </c>
      <c r="BN28" s="0">
        <f>テーブル2[[#This Row],[Tsub]]</f>
        <v/>
      </c>
      <c r="BO28" s="0">
        <f>テーブル2[[#This Row],[Fcorr]]</f>
        <v/>
      </c>
      <c r="BP28" s="0">
        <f>(テーブル2[[#This Row],[Tsub]]-40)^2</f>
        <v/>
      </c>
      <c r="BQ28" t="n">
        <v>1</v>
      </c>
      <c r="BR28" s="0" t="n">
        <v>0.295275</v>
      </c>
    </row>
    <row r="29">
      <c r="A29" s="9" t="inlineStr">
        <is>
          <t>65.01_10</t>
        </is>
      </c>
      <c r="B29" s="0" t="n">
        <v>13789520</v>
      </c>
      <c r="C29" s="22">
        <f t="array" ref="C29">TsatFromP(テーブル2[[#This Row],[P]])</f>
        <v/>
      </c>
      <c r="D29" s="0">
        <f t="array" ref="D29">RhoGFromP(テーブル2[[#This Row],[P]])</f>
        <v/>
      </c>
      <c r="E29" s="0">
        <f t="array" ref="E29">RhoFFromP(テーブル2[[#This Row],[P]])</f>
        <v/>
      </c>
      <c r="F29" s="0">
        <f t="array" ref="F29">HgFromP(テーブル2[[#This Row],[P]])</f>
        <v/>
      </c>
      <c r="G29" s="0">
        <f t="array" ref="G29">HfFromP(テーブル2[[#This Row],[P]])</f>
        <v/>
      </c>
      <c r="H29" s="0">
        <f t="array" ref="H29">MuGFromP(テーブル2[[#This Row],[P]])</f>
        <v/>
      </c>
      <c r="I29" s="0">
        <f t="array" ref="I29">MuFFromP(テーブル2[[#This Row],[P]])</f>
        <v/>
      </c>
      <c r="J29" s="0">
        <f t="array" ref="J29">KfFromP(テーブル2[[#This Row],[P]])</f>
        <v/>
      </c>
      <c r="K29" s="0">
        <f t="array" ref="K29">CpFFromP(テーブル2[[#This Row],[P]])</f>
        <v/>
      </c>
      <c r="L29" s="0">
        <f t="array" ref="L29">SigmaFromP(テーブル2[[#This Row],[P]])</f>
        <v/>
      </c>
      <c r="M29" s="0" t="n">
        <v>28</v>
      </c>
      <c r="N29" s="0" t="n">
        <v>3634.08</v>
      </c>
      <c r="O29" s="8" t="n">
        <v>1.641732232275892e-05</v>
      </c>
      <c r="P29" s="8" t="n">
        <v>0.01436336161221253</v>
      </c>
      <c r="Q29" s="8" t="n">
        <v>0.004572</v>
      </c>
      <c r="R29" s="0" t="n">
        <v>0.295275</v>
      </c>
      <c r="S29" s="15" t="n">
        <v>427540.99609375</v>
      </c>
      <c r="T29" s="0" t="n">
        <v>601.358069917564</v>
      </c>
      <c r="U29" s="37">
        <f>+T29+BG29*S29*テーブル2[[#This Row],[Pw]]*R29/(N29*O29*K29)</f>
        <v/>
      </c>
      <c r="V29" s="0" t="n">
        <v>0.03</v>
      </c>
      <c r="W29" s="8">
        <f>+N29*Q29/I29</f>
        <v/>
      </c>
      <c r="X29" s="0" t="n">
        <v>0.02418736249783986</v>
      </c>
      <c r="Y29" s="0">
        <f>IF(X29&gt;0,1/X29^0.5,1)</f>
        <v/>
      </c>
      <c r="Z29" s="0">
        <f>IF(X29&gt;0,1.14-2*LOG((0.72*L29*E29)/(X29*Q29*N29^2)+9.35/(W29*X29^0.5)),0)</f>
        <v/>
      </c>
      <c r="AA29" s="0">
        <f>+Y29-Z29</f>
        <v/>
      </c>
      <c r="AB29" s="0">
        <f>32/X29*L29*V29*E29/N29^2</f>
        <v/>
      </c>
      <c r="AC29" s="0" t="n">
        <v>613.4432700364781</v>
      </c>
      <c r="AD29" s="0">
        <f>+Q29/2*AI29/I29*E29</f>
        <v/>
      </c>
      <c r="AE29" s="0">
        <f>+gettm2(AD29,AC29,AK29,AL29,テーブル2[[#This Row],[Fcorr]])</f>
        <v/>
      </c>
      <c r="AF29" s="38">
        <f>+AE29-U29</f>
        <v/>
      </c>
      <c r="AG29" s="0" t="n">
        <v>1.221950002550514e-05</v>
      </c>
      <c r="AH29" s="0">
        <f>+X29*N29^2/(8*E29)</f>
        <v/>
      </c>
      <c r="AI29" s="0">
        <f>+(AH29/E29)^0.5</f>
        <v/>
      </c>
      <c r="AJ29" s="0">
        <f>+AG29*AI29/I29*E29</f>
        <v/>
      </c>
      <c r="AK29" s="0">
        <f t="array" ref="AK29">+S29*テーブル2[[#This Row],[F_form]]/(E29*CpFromTP((テーブル2[[#This Row],[Tin]]+テーブル2[[#This Row],[Tf]])/2,テーブル2[[#This Row],[P]])*AI29)</f>
        <v/>
      </c>
      <c r="AL29" s="0">
        <f>+K29*I29/J29</f>
        <v/>
      </c>
      <c r="AM29" s="0">
        <f>+gettyp(AC29,AJ29,AK29,AL29)</f>
        <v/>
      </c>
      <c r="AN29" s="0">
        <f>+C29-AM29</f>
        <v/>
      </c>
      <c r="AO29" s="0">
        <f>+AG29-AB29</f>
        <v/>
      </c>
      <c r="AP29" s="0" t="n">
        <v>3.838585844560565</v>
      </c>
      <c r="AQ29" s="0">
        <f>2*PI()*L29*(D29+E29)/(D29*E29*AP29^2)</f>
        <v/>
      </c>
      <c r="AR29" s="0">
        <f>+AO29+AB29/2</f>
        <v/>
      </c>
      <c r="AS29" s="0">
        <f>+AR29*AI29/I29*E29</f>
        <v/>
      </c>
      <c r="AT29" s="0">
        <f>+getublp(AS29)</f>
        <v/>
      </c>
      <c r="AU29" s="0">
        <f>+AT29*AI29</f>
        <v/>
      </c>
      <c r="AV29" s="0">
        <f>+AP29-AU29</f>
        <v/>
      </c>
      <c r="AW29" s="0">
        <f>2/3*AB29/(L29/(9.8*(E29-D29)))^0.5</f>
        <v/>
      </c>
      <c r="AX29" s="0">
        <f>+(2*AQ29*9.8*(E29-D29)/(E29*AW29))^0.5</f>
        <v/>
      </c>
      <c r="AY29" s="0">
        <f>+AV29-AX29</f>
        <v/>
      </c>
      <c r="AZ29" s="0">
        <f>+F29-G29</f>
        <v/>
      </c>
      <c r="BA29" s="0">
        <f>+AQ29/AP29</f>
        <v/>
      </c>
      <c r="BB29" s="15">
        <f>+E29*AO29*AZ29/BA29</f>
        <v/>
      </c>
      <c r="BC29" s="20">
        <f>BB29-S29</f>
        <v/>
      </c>
      <c r="BD29" s="19">
        <f>+(BB29-S29)/S29*100</f>
        <v/>
      </c>
      <c r="BE29" s="15" t="n">
        <v>2176950</v>
      </c>
      <c r="BF29" s="16">
        <f>テーブル2[[#This Row],[q_P]]/テーブル2[[#This Row],[q_M]]</f>
        <v/>
      </c>
      <c r="BG29" s="0" t="n">
        <v>1</v>
      </c>
      <c r="BH29" s="0" t="n">
        <v>0.096</v>
      </c>
      <c r="BI29" s="0" t="n">
        <v>0.046</v>
      </c>
      <c r="BJ29" s="0" t="n">
        <v>5625</v>
      </c>
      <c r="BK29" s="22" t="n">
        <v>1</v>
      </c>
      <c r="BL29" s="0">
        <f>テーブル2[[#This Row],[Ts]]-テーブル2[[#This Row],[Tin]]</f>
        <v/>
      </c>
      <c r="BM29" s="0">
        <f>テーブル2[[#This Row],[q_P]]*0.000001</f>
        <v/>
      </c>
      <c r="BN29" s="0">
        <f>テーブル2[[#This Row],[Tsub]]</f>
        <v/>
      </c>
      <c r="BO29" s="0">
        <f>テーブル2[[#This Row],[Fcorr]]</f>
        <v/>
      </c>
      <c r="BP29" s="0">
        <f>(テーブル2[[#This Row],[Tsub]]-40)^2</f>
        <v/>
      </c>
      <c r="BQ29" t="n">
        <v>1</v>
      </c>
      <c r="BR29" s="0" t="n">
        <v>0.295275</v>
      </c>
    </row>
    <row r="30">
      <c r="A30" s="9" t="inlineStr">
        <is>
          <t>66.01_10</t>
        </is>
      </c>
      <c r="B30" s="0" t="n">
        <v>13789520</v>
      </c>
      <c r="C30" s="22">
        <f t="array" ref="C30">TsatFromP(テーブル2[[#This Row],[P]])</f>
        <v/>
      </c>
      <c r="D30" s="0">
        <f t="array" ref="D30">RhoGFromP(テーブル2[[#This Row],[P]])</f>
        <v/>
      </c>
      <c r="E30" s="0">
        <f t="array" ref="E30">RhoFFromP(テーブル2[[#This Row],[P]])</f>
        <v/>
      </c>
      <c r="F30" s="0">
        <f t="array" ref="F30">HgFromP(テーブル2[[#This Row],[P]])</f>
        <v/>
      </c>
      <c r="G30" s="0">
        <f t="array" ref="G30">HfFromP(テーブル2[[#This Row],[P]])</f>
        <v/>
      </c>
      <c r="H30" s="0">
        <f t="array" ref="H30">MuGFromP(テーブル2[[#This Row],[P]])</f>
        <v/>
      </c>
      <c r="I30" s="0">
        <f t="array" ref="I30">MuFFromP(テーブル2[[#This Row],[P]])</f>
        <v/>
      </c>
      <c r="J30" s="0">
        <f t="array" ref="J30">KfFromP(テーブル2[[#This Row],[P]])</f>
        <v/>
      </c>
      <c r="K30" s="0">
        <f t="array" ref="K30">CpFFromP(テーブル2[[#This Row],[P]])</f>
        <v/>
      </c>
      <c r="L30" s="0">
        <f t="array" ref="L30">SigmaFromP(テーブル2[[#This Row],[P]])</f>
        <v/>
      </c>
      <c r="M30" s="23" t="n">
        <v>29</v>
      </c>
      <c r="N30" s="0" t="n">
        <v>3634.08</v>
      </c>
      <c r="O30" s="8" t="n">
        <v>1.641732232275892e-05</v>
      </c>
      <c r="P30" s="8" t="n">
        <v>0.01436336161221253</v>
      </c>
      <c r="Q30" s="8" t="n">
        <v>0.004572</v>
      </c>
      <c r="R30" s="0" t="n">
        <v>0.295275</v>
      </c>
      <c r="S30" s="15" t="n">
        <v>427540.99609375</v>
      </c>
      <c r="T30" s="0" t="n">
        <v>601.358069917564</v>
      </c>
      <c r="U30" s="37">
        <f>+T30+BG30*S30*テーブル2[[#This Row],[Pw]]*R30/(N30*O30*K30)</f>
        <v/>
      </c>
      <c r="V30" s="0" t="n">
        <v>0.03</v>
      </c>
      <c r="W30" s="8">
        <f>+N30*Q30/I30</f>
        <v/>
      </c>
      <c r="X30" s="0" t="n">
        <v>0.02418736249783986</v>
      </c>
      <c r="Y30" s="0">
        <f>IF(X30&gt;0,1/X30^0.5,1)</f>
        <v/>
      </c>
      <c r="Z30" s="0">
        <f>IF(X30&gt;0,1.14-2*LOG((0.72*L30*E30)/(X30*Q30*N30^2)+9.35/(W30*X30^0.5)),0)</f>
        <v/>
      </c>
      <c r="AA30" s="0">
        <f>+Y30-Z30</f>
        <v/>
      </c>
      <c r="AB30" s="0">
        <f>32/X30*L30*V30*E30/N30^2</f>
        <v/>
      </c>
      <c r="AC30" s="0" t="n">
        <v>613.4432700364781</v>
      </c>
      <c r="AD30" s="0">
        <f>+Q30/2*AI30/I30*E30</f>
        <v/>
      </c>
      <c r="AE30" s="0">
        <f>+gettm2(AD30,AC30,AK30,AL30,テーブル2[[#This Row],[Fcorr]])</f>
        <v/>
      </c>
      <c r="AF30" s="38">
        <f>+AE30-U30</f>
        <v/>
      </c>
      <c r="AG30" s="0" t="n">
        <v>1.221950002550514e-05</v>
      </c>
      <c r="AH30" s="0">
        <f>+X30*N30^2/(8*E30)</f>
        <v/>
      </c>
      <c r="AI30" s="0">
        <f>+(AH30/E30)^0.5</f>
        <v/>
      </c>
      <c r="AJ30" s="0">
        <f>+AG30*AI30/I30*E30</f>
        <v/>
      </c>
      <c r="AK30" s="0">
        <f t="array" ref="AK30">+S30*テーブル2[[#This Row],[F_form]]/(E30*CpFromTP((テーブル2[[#This Row],[Tin]]+テーブル2[[#This Row],[Tf]])/2,テーブル2[[#This Row],[P]])*AI30)</f>
        <v/>
      </c>
      <c r="AL30" s="0">
        <f>+K30*I30/J30</f>
        <v/>
      </c>
      <c r="AM30" s="0">
        <f>+gettyp(AC30,AJ30,AK30,AL30)</f>
        <v/>
      </c>
      <c r="AN30" s="0">
        <f>+C30-AM30</f>
        <v/>
      </c>
      <c r="AO30" s="0">
        <f>+AG30-AB30</f>
        <v/>
      </c>
      <c r="AP30" s="0" t="n">
        <v>3.838585844560565</v>
      </c>
      <c r="AQ30" s="0">
        <f>2*PI()*L30*(D30+E30)/(D30*E30*AP30^2)</f>
        <v/>
      </c>
      <c r="AR30" s="0">
        <f>+AO30+AB30/2</f>
        <v/>
      </c>
      <c r="AS30" s="0">
        <f>+AR30*AI30/I30*E30</f>
        <v/>
      </c>
      <c r="AT30" s="0">
        <f>+getublp(AS30)</f>
        <v/>
      </c>
      <c r="AU30" s="0">
        <f>+AT30*AI30</f>
        <v/>
      </c>
      <c r="AV30" s="0">
        <f>+AP30-AU30</f>
        <v/>
      </c>
      <c r="AW30" s="0">
        <f>2/3*AB30/(L30/(9.8*(E30-D30)))^0.5</f>
        <v/>
      </c>
      <c r="AX30" s="0">
        <f>+(2*AQ30*9.8*(E30-D30)/(E30*AW30))^0.5</f>
        <v/>
      </c>
      <c r="AY30" s="0">
        <f>+AV30-AX30</f>
        <v/>
      </c>
      <c r="AZ30" s="0">
        <f>+F30-G30</f>
        <v/>
      </c>
      <c r="BA30" s="0">
        <f>+AQ30/AP30</f>
        <v/>
      </c>
      <c r="BB30" s="15">
        <f>+E30*AO30*AZ30/BA30</f>
        <v/>
      </c>
      <c r="BC30" s="20">
        <f>BB30-S30</f>
        <v/>
      </c>
      <c r="BD30" s="19">
        <f>+(BB30-S30)/S30*100</f>
        <v/>
      </c>
      <c r="BE30" s="15" t="n">
        <v>2318925</v>
      </c>
      <c r="BF30" s="16">
        <f>テーブル2[[#This Row],[q_P]]/テーブル2[[#This Row],[q_M]]</f>
        <v/>
      </c>
      <c r="BG30" s="0" t="n">
        <v>1</v>
      </c>
      <c r="BH30" s="0" t="n">
        <v>0.105</v>
      </c>
      <c r="BI30" s="0" t="n">
        <v>0.046</v>
      </c>
      <c r="BJ30" s="0" t="n">
        <v>5625</v>
      </c>
      <c r="BK30" s="22" t="n">
        <v>1</v>
      </c>
      <c r="BL30" s="0">
        <f>テーブル2[[#This Row],[Ts]]-テーブル2[[#This Row],[Tin]]</f>
        <v/>
      </c>
      <c r="BM30" s="0">
        <f>テーブル2[[#This Row],[q_P]]*0.000001</f>
        <v/>
      </c>
      <c r="BN30" s="0">
        <f>テーブル2[[#This Row],[Tsub]]</f>
        <v/>
      </c>
      <c r="BO30" s="0">
        <f>テーブル2[[#This Row],[Fcorr]]</f>
        <v/>
      </c>
      <c r="BP30" s="0">
        <f>(テーブル2[[#This Row],[Tsub]]-40)^2</f>
        <v/>
      </c>
      <c r="BQ30" t="n">
        <v>1</v>
      </c>
      <c r="BR30" s="0" t="n">
        <v>0.295275</v>
      </c>
    </row>
    <row r="31">
      <c r="A31" s="9" t="inlineStr">
        <is>
          <t>67.01_10</t>
        </is>
      </c>
      <c r="B31" s="0" t="n">
        <v>13789520</v>
      </c>
      <c r="C31" s="22">
        <f t="array" ref="C31">TsatFromP(テーブル2[[#This Row],[P]])</f>
        <v/>
      </c>
      <c r="D31" s="0">
        <f t="array" ref="D31">RhoGFromP(テーブル2[[#This Row],[P]])</f>
        <v/>
      </c>
      <c r="E31" s="0">
        <f t="array" ref="E31">RhoFFromP(テーブル2[[#This Row],[P]])</f>
        <v/>
      </c>
      <c r="F31" s="0">
        <f t="array" ref="F31">HgFromP(テーブル2[[#This Row],[P]])</f>
        <v/>
      </c>
      <c r="G31" s="0">
        <f t="array" ref="G31">HfFromP(テーブル2[[#This Row],[P]])</f>
        <v/>
      </c>
      <c r="H31" s="0">
        <f t="array" ref="H31">MuGFromP(テーブル2[[#This Row],[P]])</f>
        <v/>
      </c>
      <c r="I31" s="0">
        <f t="array" ref="I31">MuFFromP(テーブル2[[#This Row],[P]])</f>
        <v/>
      </c>
      <c r="J31" s="0">
        <f t="array" ref="J31">KfFromP(テーブル2[[#This Row],[P]])</f>
        <v/>
      </c>
      <c r="K31" s="0">
        <f t="array" ref="K31">CpFFromP(テーブル2[[#This Row],[P]])</f>
        <v/>
      </c>
      <c r="L31" s="0">
        <f t="array" ref="L31">SigmaFromP(テーブル2[[#This Row],[P]])</f>
        <v/>
      </c>
      <c r="M31" s="0" t="n">
        <v>30</v>
      </c>
      <c r="N31" s="0" t="n">
        <v>3674.76</v>
      </c>
      <c r="O31" s="8" t="n">
        <v>1.641732232275892e-05</v>
      </c>
      <c r="P31" s="8" t="n">
        <v>0.01436336161221253</v>
      </c>
      <c r="Q31" s="8" t="n">
        <v>0.004572</v>
      </c>
      <c r="R31" s="0" t="n">
        <v>0.295275</v>
      </c>
      <c r="S31" s="15" t="n">
        <v>464228.25140625</v>
      </c>
      <c r="T31" s="0" t="n">
        <v>600.780001500856</v>
      </c>
      <c r="U31" s="37">
        <f>+T31+BG31*S31*テーブル2[[#This Row],[Pw]]*R31/(N31*O31*K31)</f>
        <v/>
      </c>
      <c r="V31" s="0" t="n">
        <v>0.03</v>
      </c>
      <c r="W31" s="8">
        <f>+N31*Q31/I31</f>
        <v/>
      </c>
      <c r="X31" s="0" t="n">
        <v>0.02407845362240759</v>
      </c>
      <c r="Y31" s="0">
        <f>IF(X31&gt;0,1/X31^0.5,1)</f>
        <v/>
      </c>
      <c r="Z31" s="0">
        <f>IF(X31&gt;0,1.14-2*LOG((0.72*L31*E31)/(X31*Q31*N31^2)+9.35/(W31*X31^0.5)),0)</f>
        <v/>
      </c>
      <c r="AA31" s="0">
        <f>+Y31-Z31</f>
        <v/>
      </c>
      <c r="AB31" s="0">
        <f>32/X31*L31*V31*E31/N31^2</f>
        <v/>
      </c>
      <c r="AC31" s="0" t="n">
        <v>613.8311829489782</v>
      </c>
      <c r="AD31" s="0">
        <f>+Q31/2*AI31/I31*E31</f>
        <v/>
      </c>
      <c r="AE31" s="0">
        <f>+gettm2(AD31,AC31,AK31,AL31,テーブル2[[#This Row],[Fcorr]])</f>
        <v/>
      </c>
      <c r="AF31" s="38">
        <f>+AE31-U31</f>
        <v/>
      </c>
      <c r="AG31" s="0" t="n">
        <v>1.200505407759832e-05</v>
      </c>
      <c r="AH31" s="0">
        <f>+X31*N31^2/(8*E31)</f>
        <v/>
      </c>
      <c r="AI31" s="0">
        <f>+(AH31/E31)^0.5</f>
        <v/>
      </c>
      <c r="AJ31" s="0">
        <f>+AG31*AI31/I31*E31</f>
        <v/>
      </c>
      <c r="AK31" s="0">
        <f t="array" ref="AK31">+S31*テーブル2[[#This Row],[F_form]]/(E31*CpFromTP((テーブル2[[#This Row],[Tin]]+テーブル2[[#This Row],[Tf]])/2,テーブル2[[#This Row],[P]])*AI31)</f>
        <v/>
      </c>
      <c r="AL31" s="0">
        <f>+K31*I31/J31</f>
        <v/>
      </c>
      <c r="AM31" s="0">
        <f>+gettyp(AC31,AJ31,AK31,AL31)</f>
        <v/>
      </c>
      <c r="AN31" s="0">
        <f>+C31-AM31</f>
        <v/>
      </c>
      <c r="AO31" s="0">
        <f>+AG31-AB31</f>
        <v/>
      </c>
      <c r="AP31" s="0" t="n">
        <v>3.857212440535783</v>
      </c>
      <c r="AQ31" s="0">
        <f>2*PI()*L31*(D31+E31)/(D31*E31*AP31^2)</f>
        <v/>
      </c>
      <c r="AR31" s="0">
        <f>+AO31+AB31/2</f>
        <v/>
      </c>
      <c r="AS31" s="0">
        <f>+AR31*AI31/I31*E31</f>
        <v/>
      </c>
      <c r="AT31" s="0">
        <f>+getublp(AS31)</f>
        <v/>
      </c>
      <c r="AU31" s="0">
        <f>+AT31*AI31</f>
        <v/>
      </c>
      <c r="AV31" s="0">
        <f>+AP31-AU31</f>
        <v/>
      </c>
      <c r="AW31" s="0">
        <f>2/3*AB31/(L31/(9.8*(E31-D31)))^0.5</f>
        <v/>
      </c>
      <c r="AX31" s="0">
        <f>+(2*AQ31*9.8*(E31-D31)/(E31*AW31))^0.5</f>
        <v/>
      </c>
      <c r="AY31" s="0">
        <f>+AV31-AX31</f>
        <v/>
      </c>
      <c r="AZ31" s="0">
        <f>+F31-G31</f>
        <v/>
      </c>
      <c r="BA31" s="0">
        <f>+AQ31/AP31</f>
        <v/>
      </c>
      <c r="BB31" s="15">
        <f>+E31*AO31*AZ31/BA31</f>
        <v/>
      </c>
      <c r="BC31" s="20">
        <f>BB31-S31</f>
        <v/>
      </c>
      <c r="BD31" s="19">
        <f>+(BB31-S31)/S31*100</f>
        <v/>
      </c>
      <c r="BE31" s="15" t="n">
        <v>2353630</v>
      </c>
      <c r="BF31" s="16">
        <f>テーブル2[[#This Row],[q_P]]/テーブル2[[#This Row],[q_M]]</f>
        <v/>
      </c>
      <c r="BG31" s="0" t="n">
        <v>1</v>
      </c>
      <c r="BH31" s="0" t="n">
        <v>0.102</v>
      </c>
      <c r="BI31" s="0" t="n">
        <v>0.046</v>
      </c>
      <c r="BJ31" s="0" t="n">
        <v>5625</v>
      </c>
      <c r="BK31" s="22" t="n">
        <v>1</v>
      </c>
      <c r="BL31" s="0">
        <f>テーブル2[[#This Row],[Ts]]-テーブル2[[#This Row],[Tin]]</f>
        <v/>
      </c>
      <c r="BM31" s="0">
        <f>テーブル2[[#This Row],[q_P]]*0.000001</f>
        <v/>
      </c>
      <c r="BN31" s="0">
        <f>テーブル2[[#This Row],[Tsub]]</f>
        <v/>
      </c>
      <c r="BO31" s="0">
        <f>テーブル2[[#This Row],[Fcorr]]</f>
        <v/>
      </c>
      <c r="BP31" s="0">
        <f>(テーブル2[[#This Row],[Tsub]]-40)^2</f>
        <v/>
      </c>
      <c r="BQ31" t="n">
        <v>1</v>
      </c>
      <c r="BR31" s="0" t="n">
        <v>0.295275</v>
      </c>
    </row>
    <row r="32">
      <c r="A32" s="9" t="inlineStr">
        <is>
          <t>68.01_10</t>
        </is>
      </c>
      <c r="B32" s="0" t="n">
        <v>13789520</v>
      </c>
      <c r="C32" s="22">
        <f t="array" ref="C32">TsatFromP(テーブル2[[#This Row],[P]])</f>
        <v/>
      </c>
      <c r="D32" s="0">
        <f t="array" ref="D32">RhoGFromP(テーブル2[[#This Row],[P]])</f>
        <v/>
      </c>
      <c r="E32" s="0">
        <f t="array" ref="E32">RhoFFromP(テーブル2[[#This Row],[P]])</f>
        <v/>
      </c>
      <c r="F32" s="0">
        <f t="array" ref="F32">HgFromP(テーブル2[[#This Row],[P]])</f>
        <v/>
      </c>
      <c r="G32" s="0">
        <f t="array" ref="G32">HfFromP(テーブル2[[#This Row],[P]])</f>
        <v/>
      </c>
      <c r="H32" s="0">
        <f t="array" ref="H32">MuGFromP(テーブル2[[#This Row],[P]])</f>
        <v/>
      </c>
      <c r="I32" s="0">
        <f t="array" ref="I32">MuFFromP(テーブル2[[#This Row],[P]])</f>
        <v/>
      </c>
      <c r="J32" s="0">
        <f t="array" ref="J32">KfFromP(テーブル2[[#This Row],[P]])</f>
        <v/>
      </c>
      <c r="K32" s="0">
        <f t="array" ref="K32">CpFFromP(テーブル2[[#This Row],[P]])</f>
        <v/>
      </c>
      <c r="L32" s="0">
        <f t="array" ref="L32">SigmaFromP(テーブル2[[#This Row],[P]])</f>
        <v/>
      </c>
      <c r="M32" s="23" t="n">
        <v>31</v>
      </c>
      <c r="N32" s="0" t="n">
        <v>3715.44</v>
      </c>
      <c r="O32" s="8" t="n">
        <v>1.641732232275892e-05</v>
      </c>
      <c r="P32" s="8" t="n">
        <v>0.01436336161221253</v>
      </c>
      <c r="Q32" s="8" t="n">
        <v>0.004572</v>
      </c>
      <c r="R32" s="0" t="n">
        <v>0.295275</v>
      </c>
      <c r="S32" s="15" t="n">
        <v>654733.52734375</v>
      </c>
      <c r="T32" s="0" t="n">
        <v>597.509315370458</v>
      </c>
      <c r="U32" s="37">
        <f>+T32+BG32*S32*テーブル2[[#This Row],[Pw]]*R32/(N32*O32*K32)</f>
        <v/>
      </c>
      <c r="V32" s="0" t="n">
        <v>0.03</v>
      </c>
      <c r="W32" s="8">
        <f>+N32*Q32/I32</f>
        <v/>
      </c>
      <c r="X32" s="0" t="n">
        <v>0.02397145822321728</v>
      </c>
      <c r="Y32" s="0">
        <f>IF(X32&gt;0,1/X32^0.5,1)</f>
        <v/>
      </c>
      <c r="Z32" s="0">
        <f>IF(X32&gt;0,1.14-2*LOG((0.72*L32*E32)/(X32*Q32*N32^2)+9.35/(W32*X32^0.5)),0)</f>
        <v/>
      </c>
      <c r="AA32" s="0">
        <f>+Y32-Z32</f>
        <v/>
      </c>
      <c r="AB32" s="0">
        <f>32/X32*L32*V32*E32/N32^2</f>
        <v/>
      </c>
      <c r="AC32" s="0" t="n">
        <v>616.1001577034426</v>
      </c>
      <c r="AD32" s="0">
        <f>+Q32/2*AI32/I32*E32</f>
        <v/>
      </c>
      <c r="AE32" s="0">
        <f>+gettm2(AD32,AC32,AK32,AL32,テーブル2[[#This Row],[Fcorr]])</f>
        <v/>
      </c>
      <c r="AF32" s="38">
        <f>+AE32-U32</f>
        <v/>
      </c>
      <c r="AG32" s="0" t="n">
        <v>1.179871785867204e-05</v>
      </c>
      <c r="AH32" s="0">
        <f>+X32*N32^2/(8*E32)</f>
        <v/>
      </c>
      <c r="AI32" s="0">
        <f>+(AH32/E32)^0.5</f>
        <v/>
      </c>
      <c r="AJ32" s="0">
        <f>+AG32*AI32/I32*E32</f>
        <v/>
      </c>
      <c r="AK32" s="0">
        <f t="array" ref="AK32">+S32*テーブル2[[#This Row],[F_form]]/(E32*CpFromTP((テーブル2[[#This Row],[Tin]]+テーブル2[[#This Row],[Tf]])/2,テーブル2[[#This Row],[P]])*AI32)</f>
        <v/>
      </c>
      <c r="AL32" s="0">
        <f>+K32*I32/J32</f>
        <v/>
      </c>
      <c r="AM32" s="0">
        <f>+gettyp(AC32,AJ32,AK32,AL32)</f>
        <v/>
      </c>
      <c r="AN32" s="0">
        <f>+C32-AM32</f>
        <v/>
      </c>
      <c r="AO32" s="0">
        <f>+AG32-AB32</f>
        <v/>
      </c>
      <c r="AP32" s="0" t="n">
        <v>3.876235211342504</v>
      </c>
      <c r="AQ32" s="0">
        <f>2*PI()*L32*(D32+E32)/(D32*E32*AP32^2)</f>
        <v/>
      </c>
      <c r="AR32" s="0">
        <f>+AO32+AB32/2</f>
        <v/>
      </c>
      <c r="AS32" s="0">
        <f>+AR32*AI32/I32*E32</f>
        <v/>
      </c>
      <c r="AT32" s="0">
        <f>+getublp(AS32)</f>
        <v/>
      </c>
      <c r="AU32" s="0">
        <f>+AT32*AI32</f>
        <v/>
      </c>
      <c r="AV32" s="0">
        <f>+AP32-AU32</f>
        <v/>
      </c>
      <c r="AW32" s="0">
        <f>2/3*AB32/(L32/(9.8*(E32-D32)))^0.5</f>
        <v/>
      </c>
      <c r="AX32" s="0">
        <f>+(2*AQ32*9.8*(E32-D32)/(E32*AW32))^0.5</f>
        <v/>
      </c>
      <c r="AY32" s="0">
        <f>+AV32-AX32</f>
        <v/>
      </c>
      <c r="AZ32" s="0">
        <f>+F32-G32</f>
        <v/>
      </c>
      <c r="BA32" s="0">
        <f>+AQ32/AP32</f>
        <v/>
      </c>
      <c r="BB32" s="15">
        <f>+E32*AO32*AZ32/BA32</f>
        <v/>
      </c>
      <c r="BC32" s="20">
        <f>BB32-S32</f>
        <v/>
      </c>
      <c r="BD32" s="19">
        <f>+(BB32-S32)/S32*100</f>
        <v/>
      </c>
      <c r="BE32" s="15" t="n">
        <v>2539775</v>
      </c>
      <c r="BF32" s="16">
        <f>テーブル2[[#This Row],[q_P]]/テーブル2[[#This Row],[q_M]]</f>
        <v/>
      </c>
      <c r="BG32" s="0" t="n">
        <v>1</v>
      </c>
      <c r="BH32" s="0" t="n">
        <v>0.092</v>
      </c>
      <c r="BI32" s="0" t="n">
        <v>0.046</v>
      </c>
      <c r="BJ32" s="0" t="n">
        <v>5625</v>
      </c>
      <c r="BK32" s="22" t="n">
        <v>1</v>
      </c>
      <c r="BL32" s="0">
        <f>テーブル2[[#This Row],[Ts]]-テーブル2[[#This Row],[Tin]]</f>
        <v/>
      </c>
      <c r="BM32" s="0">
        <f>テーブル2[[#This Row],[q_P]]*0.000001</f>
        <v/>
      </c>
      <c r="BN32" s="0">
        <f>テーブル2[[#This Row],[Tsub]]</f>
        <v/>
      </c>
      <c r="BO32" s="0">
        <f>テーブル2[[#This Row],[Fcorr]]</f>
        <v/>
      </c>
      <c r="BP32" s="0">
        <f>(テーブル2[[#This Row],[Tsub]]-40)^2</f>
        <v/>
      </c>
      <c r="BQ32" t="n">
        <v>1</v>
      </c>
      <c r="BR32" s="0" t="n">
        <v>0.295275</v>
      </c>
    </row>
    <row r="33">
      <c r="A33" s="9" t="inlineStr">
        <is>
          <t>69.01_10</t>
        </is>
      </c>
      <c r="B33" s="0" t="n">
        <v>13789520</v>
      </c>
      <c r="C33" s="22">
        <f t="array" ref="C33">TsatFromP(テーブル2[[#This Row],[P]])</f>
        <v/>
      </c>
      <c r="D33" s="0">
        <f t="array" ref="D33">RhoGFromP(テーブル2[[#This Row],[P]])</f>
        <v/>
      </c>
      <c r="E33" s="0">
        <f t="array" ref="E33">RhoFFromP(テーブル2[[#This Row],[P]])</f>
        <v/>
      </c>
      <c r="F33" s="0">
        <f t="array" ref="F33">HgFromP(テーブル2[[#This Row],[P]])</f>
        <v/>
      </c>
      <c r="G33" s="0">
        <f t="array" ref="G33">HfFromP(テーブル2[[#This Row],[P]])</f>
        <v/>
      </c>
      <c r="H33" s="0">
        <f t="array" ref="H33">MuGFromP(テーブル2[[#This Row],[P]])</f>
        <v/>
      </c>
      <c r="I33" s="0">
        <f t="array" ref="I33">MuFFromP(テーブル2[[#This Row],[P]])</f>
        <v/>
      </c>
      <c r="J33" s="0">
        <f t="array" ref="J33">KfFromP(テーブル2[[#This Row],[P]])</f>
        <v/>
      </c>
      <c r="K33" s="0">
        <f t="array" ref="K33">CpFFromP(テーブル2[[#This Row],[P]])</f>
        <v/>
      </c>
      <c r="L33" s="0">
        <f t="array" ref="L33">SigmaFromP(テーブル2[[#This Row],[P]])</f>
        <v/>
      </c>
      <c r="M33" s="0" t="n">
        <v>32</v>
      </c>
      <c r="N33" s="0" t="n">
        <v>3905.28</v>
      </c>
      <c r="O33" s="8" t="n">
        <v>1.641732232275892e-05</v>
      </c>
      <c r="P33" s="8" t="n">
        <v>0.01436336161221253</v>
      </c>
      <c r="Q33" s="8" t="n">
        <v>0.004572</v>
      </c>
      <c r="R33" s="0" t="n">
        <v>0.295275</v>
      </c>
      <c r="S33" s="15" t="n">
        <v>772462.4707812499</v>
      </c>
      <c r="T33" s="0" t="n">
        <v>595.900815618213</v>
      </c>
      <c r="U33" s="37">
        <f>+T33+BG33*S33*テーブル2[[#This Row],[Pw]]*R33/(N33*O33*K33)</f>
        <v/>
      </c>
      <c r="V33" s="0" t="n">
        <v>0.03</v>
      </c>
      <c r="W33" s="8">
        <f>+N33*Q33/I33</f>
        <v/>
      </c>
      <c r="X33" s="0" t="n">
        <v>0.02349588798857719</v>
      </c>
      <c r="Y33" s="0">
        <f>IF(X33&gt;0,1/X33^0.5,1)</f>
        <v/>
      </c>
      <c r="Z33" s="0">
        <f>IF(X33&gt;0,1.14-2*LOG((0.72*L33*E33)/(X33*Q33*N33^2)+9.35/(W33*X33^0.5)),0)</f>
        <v/>
      </c>
      <c r="AA33" s="0">
        <f>+Y33-Z33</f>
        <v/>
      </c>
      <c r="AB33" s="0">
        <f>32/X33*L33*V33*E33/N33^2</f>
        <v/>
      </c>
      <c r="AC33" s="0" t="n">
        <v>617.1575275469298</v>
      </c>
      <c r="AD33" s="0">
        <f>+Q33/2*AI33/I33*E33</f>
        <v/>
      </c>
      <c r="AE33" s="0">
        <f>+gettm2(AD33,AC33,AK33,AL33,テーブル2[[#This Row],[Fcorr]])</f>
        <v/>
      </c>
      <c r="AF33" s="38">
        <f>+AE33-U33</f>
        <v/>
      </c>
      <c r="AG33" s="0" t="n">
        <v>1.089737218026496e-05</v>
      </c>
      <c r="AH33" s="0">
        <f>+X33*N33^2/(8*E33)</f>
        <v/>
      </c>
      <c r="AI33" s="0">
        <f>+(AH33/E33)^0.5</f>
        <v/>
      </c>
      <c r="AJ33" s="0">
        <f>+AG33*AI33/I33*E33</f>
        <v/>
      </c>
      <c r="AK33" s="0">
        <f t="array" ref="AK33">+S33*テーブル2[[#This Row],[F_form]]/(E33*CpFromTP((テーブル2[[#This Row],[Tin]]+テーブル2[[#This Row],[Tf]])/2,テーブル2[[#This Row],[P]])*AI33)</f>
        <v/>
      </c>
      <c r="AL33" s="0">
        <f>+K33*I33/J33</f>
        <v/>
      </c>
      <c r="AM33" s="0">
        <f>+gettyp(AC33,AJ33,AK33,AL33)</f>
        <v/>
      </c>
      <c r="AN33" s="0">
        <f>+C33-AM33</f>
        <v/>
      </c>
      <c r="AO33" s="0">
        <f>+AG33-AB33</f>
        <v/>
      </c>
      <c r="AP33" s="0" t="n">
        <v>3.960279662253206</v>
      </c>
      <c r="AQ33" s="0">
        <f>2*PI()*L33*(D33+E33)/(D33*E33*AP33^2)</f>
        <v/>
      </c>
      <c r="AR33" s="0">
        <f>+AO33+AB33/2</f>
        <v/>
      </c>
      <c r="AS33" s="0">
        <f>+AR33*AI33/I33*E33</f>
        <v/>
      </c>
      <c r="AT33" s="0">
        <f>+getublp(AS33)</f>
        <v/>
      </c>
      <c r="AU33" s="0">
        <f>+AT33*AI33</f>
        <v/>
      </c>
      <c r="AV33" s="0">
        <f>+AP33-AU33</f>
        <v/>
      </c>
      <c r="AW33" s="0">
        <f>2/3*AB33/(L33/(9.8*(E33-D33)))^0.5</f>
        <v/>
      </c>
      <c r="AX33" s="0">
        <f>+(2*AQ33*9.8*(E33-D33)/(E33*AW33))^0.5</f>
        <v/>
      </c>
      <c r="AY33" s="0">
        <f>+AV33-AX33</f>
        <v/>
      </c>
      <c r="AZ33" s="0">
        <f>+F33-G33</f>
        <v/>
      </c>
      <c r="BA33" s="0">
        <f>+AQ33/AP33</f>
        <v/>
      </c>
      <c r="BB33" s="15">
        <f>+E33*AO33*AZ33/BA33</f>
        <v/>
      </c>
      <c r="BC33" s="20">
        <f>BB33-S33</f>
        <v/>
      </c>
      <c r="BD33" s="19">
        <f>+(BB33-S33)/S33*100</f>
        <v/>
      </c>
      <c r="BE33" s="15" t="n">
        <v>2520845</v>
      </c>
      <c r="BF33" s="16">
        <f>テーブル2[[#This Row],[q_P]]/テーブル2[[#This Row],[q_M]]</f>
        <v/>
      </c>
      <c r="BG33" s="0" t="n">
        <v>1</v>
      </c>
      <c r="BH33" s="0" t="n">
        <v>0.074</v>
      </c>
      <c r="BI33" s="0" t="n">
        <v>0.046</v>
      </c>
      <c r="BJ33" s="0" t="n">
        <v>5625</v>
      </c>
      <c r="BK33" s="22" t="n">
        <v>1</v>
      </c>
      <c r="BL33" s="0">
        <f>テーブル2[[#This Row],[Ts]]-テーブル2[[#This Row],[Tin]]</f>
        <v/>
      </c>
      <c r="BM33" s="0">
        <f>テーブル2[[#This Row],[q_P]]*0.000001</f>
        <v/>
      </c>
      <c r="BN33" s="0">
        <f>テーブル2[[#This Row],[Tsub]]</f>
        <v/>
      </c>
      <c r="BO33" s="0">
        <f>テーブル2[[#This Row],[Fcorr]]</f>
        <v/>
      </c>
      <c r="BP33" s="0">
        <f>(テーブル2[[#This Row],[Tsub]]-40)^2</f>
        <v/>
      </c>
      <c r="BQ33" t="n">
        <v>1</v>
      </c>
      <c r="BR33" s="0" t="n">
        <v>0.295275</v>
      </c>
    </row>
    <row r="34">
      <c r="A34" s="9" t="inlineStr">
        <is>
          <t>70.01_10</t>
        </is>
      </c>
      <c r="B34" s="0" t="n">
        <v>13789520</v>
      </c>
      <c r="C34" s="22">
        <f t="array" ref="C34">TsatFromP(テーブル2[[#This Row],[P]])</f>
        <v/>
      </c>
      <c r="D34" s="0">
        <f t="array" ref="D34">RhoGFromP(テーブル2[[#This Row],[P]])</f>
        <v/>
      </c>
      <c r="E34" s="0">
        <f t="array" ref="E34">RhoFFromP(テーブル2[[#This Row],[P]])</f>
        <v/>
      </c>
      <c r="F34" s="0">
        <f t="array" ref="F34">HgFromP(テーブル2[[#This Row],[P]])</f>
        <v/>
      </c>
      <c r="G34" s="0">
        <f t="array" ref="G34">HfFromP(テーブル2[[#This Row],[P]])</f>
        <v/>
      </c>
      <c r="H34" s="0">
        <f t="array" ref="H34">MuGFromP(テーブル2[[#This Row],[P]])</f>
        <v/>
      </c>
      <c r="I34" s="0">
        <f t="array" ref="I34">MuFFromP(テーブル2[[#This Row],[P]])</f>
        <v/>
      </c>
      <c r="J34" s="0">
        <f t="array" ref="J34">KfFromP(テーブル2[[#This Row],[P]])</f>
        <v/>
      </c>
      <c r="K34" s="0">
        <f t="array" ref="K34">CpFFromP(テーブル2[[#This Row],[P]])</f>
        <v/>
      </c>
      <c r="L34" s="0">
        <f t="array" ref="L34">SigmaFromP(テーブル2[[#This Row],[P]])</f>
        <v/>
      </c>
      <c r="M34" s="23" t="n">
        <v>33</v>
      </c>
      <c r="N34" s="0" t="n">
        <v>3945.96</v>
      </c>
      <c r="O34" s="8" t="n">
        <v>1.641732232275892e-05</v>
      </c>
      <c r="P34" s="8" t="n">
        <v>0.01436336161221253</v>
      </c>
      <c r="Q34" s="8" t="n">
        <v>0.004572</v>
      </c>
      <c r="R34" s="0" t="n">
        <v>0.295275</v>
      </c>
      <c r="S34" s="15" t="n">
        <v>811944.3761062502</v>
      </c>
      <c r="T34" s="0" t="n">
        <v>595.322501533287</v>
      </c>
      <c r="U34" s="37">
        <f>+T34+BG34*S34*テーブル2[[#This Row],[Pw]]*R34/(N34*O34*K34)</f>
        <v/>
      </c>
      <c r="V34" s="0" t="n">
        <v>0.03</v>
      </c>
      <c r="W34" s="8">
        <f>+N34*Q34/I34</f>
        <v/>
      </c>
      <c r="X34" s="0" t="n">
        <v>0.0233987578413094</v>
      </c>
      <c r="Y34" s="0">
        <f>IF(X34&gt;0,1/X34^0.5,1)</f>
        <v/>
      </c>
      <c r="Z34" s="0">
        <f>IF(X34&gt;0,1.14-2*LOG((0.72*L34*E34)/(X34*Q34*N34^2)+9.35/(W34*X34^0.5)),0)</f>
        <v/>
      </c>
      <c r="AA34" s="0">
        <f>+Y34-Z34</f>
        <v/>
      </c>
      <c r="AB34" s="0">
        <f>32/X34*L34*V34*E34/N34^2</f>
        <v/>
      </c>
      <c r="AC34" s="0" t="n">
        <v>617.5480348552294</v>
      </c>
      <c r="AD34" s="0">
        <f>+Q34/2*AI34/I34*E34</f>
        <v/>
      </c>
      <c r="AE34" s="0">
        <f>+gettm2(AD34,AC34,AK34,AL34,テーブル2[[#This Row],[Fcorr]])</f>
        <v/>
      </c>
      <c r="AF34" s="38">
        <f>+AE34-U34</f>
        <v/>
      </c>
      <c r="AG34" s="0" t="n">
        <v>1.071868565158524e-05</v>
      </c>
      <c r="AH34" s="0">
        <f>+X34*N34^2/(8*E34)</f>
        <v/>
      </c>
      <c r="AI34" s="0">
        <f>+(AH34/E34)^0.5</f>
        <v/>
      </c>
      <c r="AJ34" s="0">
        <f>+AG34*AI34/I34*E34</f>
        <v/>
      </c>
      <c r="AK34" s="0">
        <f t="array" ref="AK34">+S34*テーブル2[[#This Row],[F_form]]/(E34*CpFromTP((テーブル2[[#This Row],[Tin]]+テーブル2[[#This Row],[Tf]])/2,テーブル2[[#This Row],[P]])*AI34)</f>
        <v/>
      </c>
      <c r="AL34" s="0">
        <f>+K34*I34/J34</f>
        <v/>
      </c>
      <c r="AM34" s="0">
        <f>+gettyp(AC34,AJ34,AK34,AL34)</f>
        <v/>
      </c>
      <c r="AN34" s="0">
        <f>+C34-AM34</f>
        <v/>
      </c>
      <c r="AO34" s="0">
        <f>+AG34-AB34</f>
        <v/>
      </c>
      <c r="AP34" s="0" t="n">
        <v>3.977923602446866</v>
      </c>
      <c r="AQ34" s="0">
        <f>2*PI()*L34*(D34+E34)/(D34*E34*AP34^2)</f>
        <v/>
      </c>
      <c r="AR34" s="0">
        <f>+AO34+AB34/2</f>
        <v/>
      </c>
      <c r="AS34" s="0">
        <f>+AR34*AI34/I34*E34</f>
        <v/>
      </c>
      <c r="AT34" s="0">
        <f>+getublp(AS34)</f>
        <v/>
      </c>
      <c r="AU34" s="0">
        <f>+AT34*AI34</f>
        <v/>
      </c>
      <c r="AV34" s="0">
        <f>+AP34-AU34</f>
        <v/>
      </c>
      <c r="AW34" s="0">
        <f>2/3*AB34/(L34/(9.8*(E34-D34)))^0.5</f>
        <v/>
      </c>
      <c r="AX34" s="0">
        <f>+(2*AQ34*9.8*(E34-D34)/(E34*AW34))^0.5</f>
        <v/>
      </c>
      <c r="AY34" s="0">
        <f>+AV34-AX34</f>
        <v/>
      </c>
      <c r="AZ34" s="0">
        <f>+F34-G34</f>
        <v/>
      </c>
      <c r="BA34" s="0">
        <f>+AQ34/AP34</f>
        <v/>
      </c>
      <c r="BB34" s="15">
        <f>+E34*AO34*AZ34/BA34</f>
        <v/>
      </c>
      <c r="BC34" s="20">
        <f>BB34-S34</f>
        <v/>
      </c>
      <c r="BD34" s="19">
        <f>+(BB34-S34)/S34*100</f>
        <v/>
      </c>
      <c r="BE34" s="15" t="n">
        <v>2650200</v>
      </c>
      <c r="BF34" s="16">
        <f>テーブル2[[#This Row],[q_P]]/テーブル2[[#This Row],[q_M]]</f>
        <v/>
      </c>
      <c r="BG34" s="0" t="n">
        <v>1</v>
      </c>
      <c r="BH34" s="0" t="n">
        <v>0.076</v>
      </c>
      <c r="BI34" s="0" t="n">
        <v>0.046</v>
      </c>
      <c r="BJ34" s="0" t="n">
        <v>5625</v>
      </c>
      <c r="BK34" s="22" t="n">
        <v>1</v>
      </c>
      <c r="BL34" s="0">
        <f>テーブル2[[#This Row],[Ts]]-テーブル2[[#This Row],[Tin]]</f>
        <v/>
      </c>
      <c r="BM34" s="0">
        <f>テーブル2[[#This Row],[q_P]]*0.000001</f>
        <v/>
      </c>
      <c r="BN34" s="0">
        <f>テーブル2[[#This Row],[Tsub]]</f>
        <v/>
      </c>
      <c r="BO34" s="0">
        <f>テーブル2[[#This Row],[Fcorr]]</f>
        <v/>
      </c>
      <c r="BP34" s="0">
        <f>(テーブル2[[#This Row],[Tsub]]-40)^2</f>
        <v/>
      </c>
      <c r="BQ34" t="n">
        <v>1</v>
      </c>
      <c r="BR34" s="0" t="n">
        <v>0.295275</v>
      </c>
    </row>
    <row r="35">
      <c r="A35" s="9" t="inlineStr">
        <is>
          <t>72.01_10</t>
        </is>
      </c>
      <c r="B35" s="0" t="n">
        <v>13789520</v>
      </c>
      <c r="C35" s="22">
        <f t="array" ref="C35">TsatFromP(テーブル2[[#This Row],[P]])</f>
        <v/>
      </c>
      <c r="D35" s="0">
        <f t="array" ref="D35">RhoGFromP(テーブル2[[#This Row],[P]])</f>
        <v/>
      </c>
      <c r="E35" s="0">
        <f t="array" ref="E35">RhoFFromP(テーブル2[[#This Row],[P]])</f>
        <v/>
      </c>
      <c r="F35" s="0">
        <f t="array" ref="F35">HgFromP(テーブル2[[#This Row],[P]])</f>
        <v/>
      </c>
      <c r="G35" s="0">
        <f t="array" ref="G35">HfFromP(テーブル2[[#This Row],[P]])</f>
        <v/>
      </c>
      <c r="H35" s="0">
        <f t="array" ref="H35">MuGFromP(テーブル2[[#This Row],[P]])</f>
        <v/>
      </c>
      <c r="I35" s="0">
        <f t="array" ref="I35">MuFFromP(テーブル2[[#This Row],[P]])</f>
        <v/>
      </c>
      <c r="J35" s="0">
        <f t="array" ref="J35">KfFromP(テーブル2[[#This Row],[P]])</f>
        <v/>
      </c>
      <c r="K35" s="0">
        <f t="array" ref="K35">CpFFromP(テーブル2[[#This Row],[P]])</f>
        <v/>
      </c>
      <c r="L35" s="0">
        <f t="array" ref="L35">SigmaFromP(テーブル2[[#This Row],[P]])</f>
        <v/>
      </c>
      <c r="M35" s="0" t="n">
        <v>34</v>
      </c>
      <c r="N35" s="0" t="n">
        <v>3986.64</v>
      </c>
      <c r="O35" s="8" t="n">
        <v>1.641732232275892e-05</v>
      </c>
      <c r="P35" s="8" t="n">
        <v>0.01436336161221253</v>
      </c>
      <c r="Q35" s="8" t="n">
        <v>0.004572</v>
      </c>
      <c r="R35" s="0" t="n">
        <v>0.295275</v>
      </c>
      <c r="S35" s="15" t="n">
        <v>849852.18359375</v>
      </c>
      <c r="T35" s="0" t="n">
        <v>594.777341031044</v>
      </c>
      <c r="U35" s="37">
        <f>+T35+BG35*S35*テーブル2[[#This Row],[Pw]]*R35/(N35*O35*K35)</f>
        <v/>
      </c>
      <c r="V35" s="0" t="n">
        <v>0.03</v>
      </c>
      <c r="W35" s="8">
        <f>+N35*Q35/I35</f>
        <v/>
      </c>
      <c r="X35" s="0" t="n">
        <v>0.02330321255760129</v>
      </c>
      <c r="Y35" s="0">
        <f>IF(X35&gt;0,1/X35^0.5,1)</f>
        <v/>
      </c>
      <c r="Z35" s="0">
        <f>IF(X35&gt;0,1.14-2*LOG((0.72*L35*E35)/(X35*Q35*N35^2)+9.35/(W35*X35^0.5)),0)</f>
        <v/>
      </c>
      <c r="AA35" s="0">
        <f>+Y35-Z35</f>
        <v/>
      </c>
      <c r="AB35" s="0">
        <f>32/X35*L35*V35*E35/N35^2</f>
        <v/>
      </c>
      <c r="AC35" s="0" t="n">
        <v>617.9148214545529</v>
      </c>
      <c r="AD35" s="0">
        <f>+Q35/2*AI35/I35*E35</f>
        <v/>
      </c>
      <c r="AE35" s="0">
        <f>+gettm2(AD35,AC35,AK35,AL35,テーブル2[[#This Row],[Fcorr]])</f>
        <v/>
      </c>
      <c r="AF35" s="38">
        <f>+AE35-U35</f>
        <v/>
      </c>
      <c r="AG35" s="0" t="n">
        <v>1.054462532162689e-05</v>
      </c>
      <c r="AH35" s="0">
        <f>+X35*N35^2/(8*E35)</f>
        <v/>
      </c>
      <c r="AI35" s="0">
        <f>+(AH35/E35)^0.5</f>
        <v/>
      </c>
      <c r="AJ35" s="0">
        <f>+AG35*AI35/I35*E35</f>
        <v/>
      </c>
      <c r="AK35" s="0">
        <f t="array" ref="AK35">+S35*テーブル2[[#This Row],[F_form]]/(E35*CpFromTP((テーブル2[[#This Row],[Tin]]+テーブル2[[#This Row],[Tf]])/2,テーブル2[[#This Row],[P]])*AI35)</f>
        <v/>
      </c>
      <c r="AL35" s="0">
        <f>+K35*I35/J35</f>
        <v/>
      </c>
      <c r="AM35" s="0">
        <f>+gettyp(AC35,AJ35,AK35,AL35)</f>
        <v/>
      </c>
      <c r="AN35" s="0">
        <f>+C35-AM35</f>
        <v/>
      </c>
      <c r="AO35" s="0">
        <f>+AG35-AB35</f>
        <v/>
      </c>
      <c r="AP35" s="0" t="n">
        <v>3.995422617126839</v>
      </c>
      <c r="AQ35" s="0">
        <f>2*PI()*L35*(D35+E35)/(D35*E35*AP35^2)</f>
        <v/>
      </c>
      <c r="AR35" s="0">
        <f>+AO35+AB35/2</f>
        <v/>
      </c>
      <c r="AS35" s="0">
        <f>+AR35*AI35/I35*E35</f>
        <v/>
      </c>
      <c r="AT35" s="0">
        <f>+getublp(AS35)</f>
        <v/>
      </c>
      <c r="AU35" s="0">
        <f>+AT35*AI35</f>
        <v/>
      </c>
      <c r="AV35" s="0">
        <f>+AP35-AU35</f>
        <v/>
      </c>
      <c r="AW35" s="0">
        <f>2/3*AB35/(L35/(9.8*(E35-D35)))^0.5</f>
        <v/>
      </c>
      <c r="AX35" s="0">
        <f>+(2*AQ35*9.8*(E35-D35)/(E35*AW35))^0.5</f>
        <v/>
      </c>
      <c r="AY35" s="0">
        <f>+AV35-AX35</f>
        <v/>
      </c>
      <c r="AZ35" s="0">
        <f>+F35-G35</f>
        <v/>
      </c>
      <c r="BA35" s="0">
        <f>+AQ35/AP35</f>
        <v/>
      </c>
      <c r="BB35" s="15">
        <f>+E35*AO35*AZ35/BA35</f>
        <v/>
      </c>
      <c r="BC35" s="20">
        <f>BB35-S35</f>
        <v/>
      </c>
      <c r="BD35" s="19">
        <f>+(BB35-S35)/S35*100</f>
        <v/>
      </c>
      <c r="BE35" s="15" t="n">
        <v>2681750</v>
      </c>
      <c r="BF35" s="16">
        <f>テーブル2[[#This Row],[q_P]]/テーブル2[[#This Row],[q_M]]</f>
        <v/>
      </c>
      <c r="BG35" s="0" t="n">
        <v>1</v>
      </c>
      <c r="BH35" s="0" t="n">
        <v>0.073</v>
      </c>
      <c r="BI35" s="0" t="n">
        <v>0.046</v>
      </c>
      <c r="BJ35" s="0" t="n">
        <v>5625</v>
      </c>
      <c r="BK35" s="22" t="n">
        <v>1</v>
      </c>
      <c r="BL35" s="0">
        <f>テーブル2[[#This Row],[Ts]]-テーブル2[[#This Row],[Tin]]</f>
        <v/>
      </c>
      <c r="BM35" s="0">
        <f>テーブル2[[#This Row],[q_P]]*0.000001</f>
        <v/>
      </c>
      <c r="BN35" s="0">
        <f>テーブル2[[#This Row],[Tsub]]</f>
        <v/>
      </c>
      <c r="BO35" s="0">
        <f>テーブル2[[#This Row],[Fcorr]]</f>
        <v/>
      </c>
      <c r="BP35" s="0">
        <f>(テーブル2[[#This Row],[Tsub]]-40)^2</f>
        <v/>
      </c>
      <c r="BQ35" t="n">
        <v>1</v>
      </c>
      <c r="BR35" s="0" t="n">
        <v>0.295275</v>
      </c>
    </row>
    <row r="36">
      <c r="A36" s="9" t="inlineStr">
        <is>
          <t>73.01_10</t>
        </is>
      </c>
      <c r="B36" s="0" t="n">
        <v>13789520</v>
      </c>
      <c r="C36" s="22">
        <f t="array" ref="C36">TsatFromP(テーブル2[[#This Row],[P]])</f>
        <v/>
      </c>
      <c r="D36" s="0">
        <f t="array" ref="D36">RhoGFromP(テーブル2[[#This Row],[P]])</f>
        <v/>
      </c>
      <c r="E36" s="0">
        <f t="array" ref="E36">RhoFFromP(テーブル2[[#This Row],[P]])</f>
        <v/>
      </c>
      <c r="F36" s="0">
        <f t="array" ref="F36">HgFromP(テーブル2[[#This Row],[P]])</f>
        <v/>
      </c>
      <c r="G36" s="0">
        <f t="array" ref="G36">HfFromP(テーブル2[[#This Row],[P]])</f>
        <v/>
      </c>
      <c r="H36" s="0">
        <f t="array" ref="H36">MuGFromP(テーブル2[[#This Row],[P]])</f>
        <v/>
      </c>
      <c r="I36" s="0">
        <f t="array" ref="I36">MuFFromP(テーブル2[[#This Row],[P]])</f>
        <v/>
      </c>
      <c r="J36" s="0">
        <f t="array" ref="J36">KfFromP(テーブル2[[#This Row],[P]])</f>
        <v/>
      </c>
      <c r="K36" s="0">
        <f t="array" ref="K36">CpFFromP(テーブル2[[#This Row],[P]])</f>
        <v/>
      </c>
      <c r="L36" s="0">
        <f t="array" ref="L36">SigmaFromP(テーブル2[[#This Row],[P]])</f>
        <v/>
      </c>
      <c r="M36" s="23" t="n">
        <v>35</v>
      </c>
      <c r="N36" s="0" t="n">
        <v>4013.76</v>
      </c>
      <c r="O36" s="8" t="n">
        <v>1.641732232275892e-05</v>
      </c>
      <c r="P36" s="8" t="n">
        <v>0.01436336161221253</v>
      </c>
      <c r="Q36" s="8" t="n">
        <v>0.004572</v>
      </c>
      <c r="R36" s="0" t="n">
        <v>0.295275</v>
      </c>
      <c r="S36" s="15" t="n">
        <v>660826.5469562501</v>
      </c>
      <c r="T36" s="0" t="n">
        <v>598.039459378179</v>
      </c>
      <c r="U36" s="37">
        <f>+T36+BG36*S36*テーブル2[[#This Row],[Pw]]*R36/(N36*O36*K36)</f>
        <v/>
      </c>
      <c r="V36" s="0" t="n">
        <v>0.03</v>
      </c>
      <c r="W36" s="8">
        <f>+N36*Q36/I36</f>
        <v/>
      </c>
      <c r="X36" s="0" t="n">
        <v>0.02324037519470166</v>
      </c>
      <c r="Y36" s="0">
        <f>IF(X36&gt;0,1/X36^0.5,1)</f>
        <v/>
      </c>
      <c r="Z36" s="0">
        <f>IF(X36&gt;0,1.14-2*LOG((0.72*L36*E36)/(X36*Q36*N36^2)+9.35/(W36*X36^0.5)),0)</f>
        <v/>
      </c>
      <c r="AA36" s="0">
        <f>+Y36-Z36</f>
        <v/>
      </c>
      <c r="AB36" s="0">
        <f>32/X36*L36*V36*E36/N36^2</f>
        <v/>
      </c>
      <c r="AC36" s="0" t="n">
        <v>615.6210550449249</v>
      </c>
      <c r="AD36" s="0">
        <f>+Q36/2*AI36/I36*E36</f>
        <v/>
      </c>
      <c r="AE36" s="0">
        <f>+gettm2(AD36,AC36,AK36,AL36,テーブル2[[#This Row],[Fcorr]])</f>
        <v/>
      </c>
      <c r="AF36" s="38">
        <f>+AE36-U36</f>
        <v/>
      </c>
      <c r="AG36" s="0" t="n">
        <v>1.042838473800782e-05</v>
      </c>
      <c r="AH36" s="0">
        <f>+X36*N36^2/(8*E36)</f>
        <v/>
      </c>
      <c r="AI36" s="0">
        <f>+(AH36/E36)^0.5</f>
        <v/>
      </c>
      <c r="AJ36" s="0">
        <f>+AG36*AI36/I36*E36</f>
        <v/>
      </c>
      <c r="AK36" s="0">
        <f t="array" ref="AK36">+S36*テーブル2[[#This Row],[F_form]]/(E36*CpFromTP((テーブル2[[#This Row],[Tin]]+テーブル2[[#This Row],[Tf]])/2,テーブル2[[#This Row],[P]])*AI36)</f>
        <v/>
      </c>
      <c r="AL36" s="0">
        <f>+K36*I36/J36</f>
        <v/>
      </c>
      <c r="AM36" s="0">
        <f>+gettyp(AC36,AJ36,AK36,AL36)</f>
        <v/>
      </c>
      <c r="AN36" s="0">
        <f>+C36-AM36</f>
        <v/>
      </c>
      <c r="AO36" s="0">
        <f>+AG36-AB36</f>
        <v/>
      </c>
      <c r="AP36" s="0" t="n">
        <v>4.006179842002348</v>
      </c>
      <c r="AQ36" s="0">
        <f>2*PI()*L36*(D36+E36)/(D36*E36*AP36^2)</f>
        <v/>
      </c>
      <c r="AR36" s="0">
        <f>+AO36+AB36/2</f>
        <v/>
      </c>
      <c r="AS36" s="0">
        <f>+AR36*AI36/I36*E36</f>
        <v/>
      </c>
      <c r="AT36" s="0">
        <f>+getublp(AS36)</f>
        <v/>
      </c>
      <c r="AU36" s="0">
        <f>+AT36*AI36</f>
        <v/>
      </c>
      <c r="AV36" s="0">
        <f>+AP36-AU36</f>
        <v/>
      </c>
      <c r="AW36" s="0">
        <f>2/3*AB36/(L36/(9.8*(E36-D36)))^0.5</f>
        <v/>
      </c>
      <c r="AX36" s="0">
        <f>+(2*AQ36*9.8*(E36-D36)/(E36*AW36))^0.5</f>
        <v/>
      </c>
      <c r="AY36" s="0">
        <f>+AV36-AX36</f>
        <v/>
      </c>
      <c r="AZ36" s="0">
        <f>+F36-G36</f>
        <v/>
      </c>
      <c r="BA36" s="0">
        <f>+AQ36/AP36</f>
        <v/>
      </c>
      <c r="BB36" s="15">
        <f>+E36*AO36*AZ36/BA36</f>
        <v/>
      </c>
      <c r="BC36" s="20">
        <f>BB36-S36</f>
        <v/>
      </c>
      <c r="BD36" s="19">
        <f>+(BB36-S36)/S36*100</f>
        <v/>
      </c>
      <c r="BE36" s="15" t="n">
        <v>2501915</v>
      </c>
      <c r="BF36" s="16">
        <f>テーブル2[[#This Row],[q_P]]/テーブル2[[#This Row],[q_M]]</f>
        <v/>
      </c>
      <c r="BG36" s="0" t="n">
        <v>1</v>
      </c>
      <c r="BH36" s="0" t="n">
        <v>0.081</v>
      </c>
      <c r="BI36" s="0" t="n">
        <v>0.046</v>
      </c>
      <c r="BJ36" s="0" t="n">
        <v>5625</v>
      </c>
      <c r="BK36" s="22" t="n">
        <v>1</v>
      </c>
      <c r="BL36" s="0">
        <f>テーブル2[[#This Row],[Ts]]-テーブル2[[#This Row],[Tin]]</f>
        <v/>
      </c>
      <c r="BM36" s="0">
        <f>テーブル2[[#This Row],[q_P]]*0.000001</f>
        <v/>
      </c>
      <c r="BN36" s="0">
        <f>テーブル2[[#This Row],[Tsub]]</f>
        <v/>
      </c>
      <c r="BO36" s="0">
        <f>テーブル2[[#This Row],[Fcorr]]</f>
        <v/>
      </c>
      <c r="BP36" s="0">
        <f>(テーブル2[[#This Row],[Tsub]]-40)^2</f>
        <v/>
      </c>
      <c r="BQ36" t="n">
        <v>1</v>
      </c>
      <c r="BR36" s="0" t="n">
        <v>0.295275</v>
      </c>
    </row>
    <row r="37">
      <c r="A37" s="9" t="inlineStr">
        <is>
          <t>74.01_10</t>
        </is>
      </c>
      <c r="B37" s="0" t="n">
        <v>13789520</v>
      </c>
      <c r="C37" s="22">
        <f t="array" ref="C37">TsatFromP(テーブル2[[#This Row],[P]])</f>
        <v/>
      </c>
      <c r="D37" s="0">
        <f t="array" ref="D37">RhoGFromP(テーブル2[[#This Row],[P]])</f>
        <v/>
      </c>
      <c r="E37" s="0">
        <f t="array" ref="E37">RhoFFromP(テーブル2[[#This Row],[P]])</f>
        <v/>
      </c>
      <c r="F37" s="0">
        <f t="array" ref="F37">HgFromP(テーブル2[[#This Row],[P]])</f>
        <v/>
      </c>
      <c r="G37" s="0">
        <f t="array" ref="G37">HfFromP(テーブル2[[#This Row],[P]])</f>
        <v/>
      </c>
      <c r="H37" s="0">
        <f t="array" ref="H37">MuGFromP(テーブル2[[#This Row],[P]])</f>
        <v/>
      </c>
      <c r="I37" s="0">
        <f t="array" ref="I37">MuFFromP(テーブル2[[#This Row],[P]])</f>
        <v/>
      </c>
      <c r="J37" s="0">
        <f t="array" ref="J37">KfFromP(テーブル2[[#This Row],[P]])</f>
        <v/>
      </c>
      <c r="K37" s="0">
        <f t="array" ref="K37">CpFFromP(テーブル2[[#This Row],[P]])</f>
        <v/>
      </c>
      <c r="L37" s="0">
        <f t="array" ref="L37">SigmaFromP(テーブル2[[#This Row],[P]])</f>
        <v/>
      </c>
      <c r="M37" s="0" t="n">
        <v>36</v>
      </c>
      <c r="N37" s="0" t="n">
        <v>4068</v>
      </c>
      <c r="O37" s="8" t="n">
        <v>1.641732232275892e-05</v>
      </c>
      <c r="P37" s="8" t="n">
        <v>0.01436336161221253</v>
      </c>
      <c r="Q37" s="8" t="n">
        <v>0.004572</v>
      </c>
      <c r="R37" s="0" t="n">
        <v>0.295275</v>
      </c>
      <c r="S37" s="15" t="n">
        <v>603562.8914062498</v>
      </c>
      <c r="T37" s="0" t="n">
        <v>599.090497813344</v>
      </c>
      <c r="U37" s="37">
        <f>+T37+BG37*S37*テーブル2[[#This Row],[Pw]]*R37/(N37*O37*K37)</f>
        <v/>
      </c>
      <c r="V37" s="0" t="n">
        <v>0.03</v>
      </c>
      <c r="W37" s="8">
        <f>+N37*Q37/I37</f>
        <v/>
      </c>
      <c r="X37" s="0" t="n">
        <v>0.02311670867146563</v>
      </c>
      <c r="Y37" s="0">
        <f>IF(X37&gt;0,1/X37^0.5,1)</f>
        <v/>
      </c>
      <c r="Z37" s="0">
        <f>IF(X37&gt;0,1.14-2*LOG((0.72*L37*E37)/(X37*Q37*N37^2)+9.35/(W37*X37^0.5)),0)</f>
        <v/>
      </c>
      <c r="AA37" s="0">
        <f>+Y37-Z37</f>
        <v/>
      </c>
      <c r="AB37" s="0">
        <f>32/X37*L37*V37*E37/N37^2</f>
        <v/>
      </c>
      <c r="AC37" s="0" t="n">
        <v>614.879905089418</v>
      </c>
      <c r="AD37" s="0">
        <f>+Q37/2*AI37/I37*E37</f>
        <v/>
      </c>
      <c r="AE37" s="0">
        <f>+gettm2(AD37,AC37,AK37,AL37,テーブル2[[#This Row],[Fcorr]])</f>
        <v/>
      </c>
      <c r="AF37" s="38">
        <f>+AE37-U37</f>
        <v/>
      </c>
      <c r="AG37" s="0" t="n">
        <v>1.020570626715226e-05</v>
      </c>
      <c r="AH37" s="0">
        <f>+X37*N37^2/(8*E37)</f>
        <v/>
      </c>
      <c r="AI37" s="0">
        <f>+(AH37/E37)^0.5</f>
        <v/>
      </c>
      <c r="AJ37" s="0">
        <f>+AG37*AI37/I37*E37</f>
        <v/>
      </c>
      <c r="AK37" s="0">
        <f t="array" ref="AK37">+S37*テーブル2[[#This Row],[F_form]]/(E37*CpFromTP((テーブル2[[#This Row],[Tin]]+テーブル2[[#This Row],[Tf]])/2,テーブル2[[#This Row],[P]])*AI37)</f>
        <v/>
      </c>
      <c r="AL37" s="0">
        <f>+K37*I37/J37</f>
        <v/>
      </c>
      <c r="AM37" s="0">
        <f>+gettyp(AC37,AJ37,AK37,AL37)</f>
        <v/>
      </c>
      <c r="AN37" s="0">
        <f>+C37-AM37</f>
        <v/>
      </c>
      <c r="AO37" s="0">
        <f>+AG37-AB37</f>
        <v/>
      </c>
      <c r="AP37" s="0" t="n">
        <v>4.028709978961304</v>
      </c>
      <c r="AQ37" s="0">
        <f>2*PI()*L37*(D37+E37)/(D37*E37*AP37^2)</f>
        <v/>
      </c>
      <c r="AR37" s="0">
        <f>+AO37+AB37/2</f>
        <v/>
      </c>
      <c r="AS37" s="0">
        <f>+AR37*AI37/I37*E37</f>
        <v/>
      </c>
      <c r="AT37" s="0">
        <f>+getublp(AS37)</f>
        <v/>
      </c>
      <c r="AU37" s="0">
        <f>+AT37*AI37</f>
        <v/>
      </c>
      <c r="AV37" s="0">
        <f>+AP37-AU37</f>
        <v/>
      </c>
      <c r="AW37" s="0">
        <f>2/3*AB37/(L37/(9.8*(E37-D37)))^0.5</f>
        <v/>
      </c>
      <c r="AX37" s="0">
        <f>+(2*AQ37*9.8*(E37-D37)/(E37*AW37))^0.5</f>
        <v/>
      </c>
      <c r="AY37" s="0">
        <f>+AV37-AX37</f>
        <v/>
      </c>
      <c r="AZ37" s="0">
        <f>+F37-G37</f>
        <v/>
      </c>
      <c r="BA37" s="0">
        <f>+AQ37/AP37</f>
        <v/>
      </c>
      <c r="BB37" s="15">
        <f>+E37*AO37*AZ37/BA37</f>
        <v/>
      </c>
      <c r="BC37" s="20">
        <f>BB37-S37</f>
        <v/>
      </c>
      <c r="BD37" s="19">
        <f>+(BB37-S37)/S37*100</f>
        <v/>
      </c>
      <c r="BE37" s="15" t="n">
        <v>2587100</v>
      </c>
      <c r="BF37" s="16">
        <f>テーブル2[[#This Row],[q_P]]/テーブル2[[#This Row],[q_M]]</f>
        <v/>
      </c>
      <c r="BG37" s="0" t="n">
        <v>1</v>
      </c>
      <c r="BH37" s="0" t="n">
        <v>0.091</v>
      </c>
      <c r="BI37" s="0" t="n">
        <v>0.046</v>
      </c>
      <c r="BJ37" s="0" t="n">
        <v>5625</v>
      </c>
      <c r="BK37" s="22" t="n">
        <v>1</v>
      </c>
      <c r="BL37" s="0">
        <f>テーブル2[[#This Row],[Ts]]-テーブル2[[#This Row],[Tin]]</f>
        <v/>
      </c>
      <c r="BM37" s="0">
        <f>テーブル2[[#This Row],[q_P]]*0.000001</f>
        <v/>
      </c>
      <c r="BN37" s="0">
        <f>テーブル2[[#This Row],[Tsub]]</f>
        <v/>
      </c>
      <c r="BO37" s="0">
        <f>テーブル2[[#This Row],[Fcorr]]</f>
        <v/>
      </c>
      <c r="BP37" s="0">
        <f>(テーブル2[[#This Row],[Tsub]]-40)^2</f>
        <v/>
      </c>
      <c r="BQ37" t="n">
        <v>1</v>
      </c>
      <c r="BR37" s="0" t="n">
        <v>0.295275</v>
      </c>
    </row>
    <row r="38">
      <c r="A38" s="9" t="inlineStr">
        <is>
          <t>75.01_10</t>
        </is>
      </c>
      <c r="B38" s="0" t="n">
        <v>13789520</v>
      </c>
      <c r="C38" s="22">
        <f t="array" ref="C38">TsatFromP(テーブル2[[#This Row],[P]])</f>
        <v/>
      </c>
      <c r="D38" s="0">
        <f t="array" ref="D38">RhoGFromP(テーブル2[[#This Row],[P]])</f>
        <v/>
      </c>
      <c r="E38" s="0">
        <f t="array" ref="E38">RhoFFromP(テーブル2[[#This Row],[P]])</f>
        <v/>
      </c>
      <c r="F38" s="0">
        <f t="array" ref="F38">HgFromP(テーブル2[[#This Row],[P]])</f>
        <v/>
      </c>
      <c r="G38" s="0">
        <f t="array" ref="G38">HfFromP(テーブル2[[#This Row],[P]])</f>
        <v/>
      </c>
      <c r="H38" s="0">
        <f t="array" ref="H38">MuGFromP(テーブル2[[#This Row],[P]])</f>
        <v/>
      </c>
      <c r="I38" s="0">
        <f t="array" ref="I38">MuFFromP(テーブル2[[#This Row],[P]])</f>
        <v/>
      </c>
      <c r="J38" s="0">
        <f t="array" ref="J38">KfFromP(テーブル2[[#This Row],[P]])</f>
        <v/>
      </c>
      <c r="K38" s="0">
        <f t="array" ref="K38">CpFFromP(テーブル2[[#This Row],[P]])</f>
        <v/>
      </c>
      <c r="L38" s="0">
        <f t="array" ref="L38">SigmaFromP(テーブル2[[#This Row],[P]])</f>
        <v/>
      </c>
      <c r="M38" s="23" t="n">
        <v>37</v>
      </c>
      <c r="N38" s="0" t="n">
        <v>4068</v>
      </c>
      <c r="O38" s="8" t="n">
        <v>1.641732232275892e-05</v>
      </c>
      <c r="P38" s="8" t="n">
        <v>0.01436336161221253</v>
      </c>
      <c r="Q38" s="8" t="n">
        <v>0.004572</v>
      </c>
      <c r="R38" s="0" t="n">
        <v>0.295275</v>
      </c>
      <c r="S38" s="15" t="n">
        <v>635394.44921875</v>
      </c>
      <c r="T38" s="0" t="n">
        <v>598.56653241398</v>
      </c>
      <c r="U38" s="37">
        <f>+T38+BG38*S38*テーブル2[[#This Row],[Pw]]*R38/(N38*O38*K38)</f>
        <v/>
      </c>
      <c r="V38" s="0" t="n">
        <v>0.03</v>
      </c>
      <c r="W38" s="8">
        <f>+N38*Q38/I38</f>
        <v/>
      </c>
      <c r="X38" s="0" t="n">
        <v>0.02311670867146563</v>
      </c>
      <c r="Y38" s="0">
        <f>IF(X38&gt;0,1/X38^0.5,1)</f>
        <v/>
      </c>
      <c r="Z38" s="0">
        <f>IF(X38&gt;0,1.14-2*LOG((0.72*L38*E38)/(X38*Q38*N38^2)+9.35/(W38*X38^0.5)),0)</f>
        <v/>
      </c>
      <c r="AA38" s="0">
        <f>+Y38-Z38</f>
        <v/>
      </c>
      <c r="AB38" s="0">
        <f>32/X38*L38*V38*E38/N38^2</f>
        <v/>
      </c>
      <c r="AC38" s="0" t="n">
        <v>615.2394893637806</v>
      </c>
      <c r="AD38" s="0">
        <f>+Q38/2*AI38/I38*E38</f>
        <v/>
      </c>
      <c r="AE38" s="0">
        <f>+gettm2(AD38,AC38,AK38,AL38,テーブル2[[#This Row],[Fcorr]])</f>
        <v/>
      </c>
      <c r="AF38" s="38">
        <f>+AE38-U38</f>
        <v/>
      </c>
      <c r="AG38" s="0" t="n">
        <v>1.020608579474837e-05</v>
      </c>
      <c r="AH38" s="0">
        <f>+X38*N38^2/(8*E38)</f>
        <v/>
      </c>
      <c r="AI38" s="0">
        <f>+(AH38/E38)^0.5</f>
        <v/>
      </c>
      <c r="AJ38" s="0">
        <f>+AG38*AI38/I38*E38</f>
        <v/>
      </c>
      <c r="AK38" s="0">
        <f t="array" ref="AK38">+S38*テーブル2[[#This Row],[F_form]]/(E38*CpFromTP((テーブル2[[#This Row],[Tin]]+テーブル2[[#This Row],[Tf]])/2,テーブル2[[#This Row],[P]])*AI38)</f>
        <v/>
      </c>
      <c r="AL38" s="0">
        <f>+K38*I38/J38</f>
        <v/>
      </c>
      <c r="AM38" s="0">
        <f>+gettyp(AC38,AJ38,AK38,AL38)</f>
        <v/>
      </c>
      <c r="AN38" s="0">
        <f>+C38-AM38</f>
        <v/>
      </c>
      <c r="AO38" s="0">
        <f>+AG38-AB38</f>
        <v/>
      </c>
      <c r="AP38" s="0" t="n">
        <v>4.02883087986683</v>
      </c>
      <c r="AQ38" s="0">
        <f>2*PI()*L38*(D38+E38)/(D38*E38*AP38^2)</f>
        <v/>
      </c>
      <c r="AR38" s="0">
        <f>+AO38+AB38/2</f>
        <v/>
      </c>
      <c r="AS38" s="0">
        <f>+AR38*AI38/I38*E38</f>
        <v/>
      </c>
      <c r="AT38" s="0">
        <f>+getublp(AS38)</f>
        <v/>
      </c>
      <c r="AU38" s="0">
        <f>+AT38*AI38</f>
        <v/>
      </c>
      <c r="AV38" s="0">
        <f>+AP38-AU38</f>
        <v/>
      </c>
      <c r="AW38" s="0">
        <f>2/3*AB38/(L38/(9.8*(E38-D38)))^0.5</f>
        <v/>
      </c>
      <c r="AX38" s="0">
        <f>+(2*AQ38*9.8*(E38-D38)/(E38*AW38))^0.5</f>
        <v/>
      </c>
      <c r="AY38" s="0">
        <f>+AV38-AX38</f>
        <v/>
      </c>
      <c r="AZ38" s="0">
        <f>+F38-G38</f>
        <v/>
      </c>
      <c r="BA38" s="0">
        <f>+AQ38/AP38</f>
        <v/>
      </c>
      <c r="BB38" s="15">
        <f>+E38*AO38*AZ38/BA38</f>
        <v/>
      </c>
      <c r="BC38" s="20">
        <f>BB38-S38</f>
        <v/>
      </c>
      <c r="BD38" s="19">
        <f>+(BB38-S38)/S38*100</f>
        <v/>
      </c>
      <c r="BE38" s="15" t="n">
        <v>2587100</v>
      </c>
      <c r="BF38" s="16">
        <f>テーブル2[[#This Row],[q_P]]/テーブル2[[#This Row],[q_M]]</f>
        <v/>
      </c>
      <c r="BG38" s="0" t="n">
        <v>1</v>
      </c>
      <c r="BH38" s="0" t="n">
        <v>0.08699999999999999</v>
      </c>
      <c r="BI38" s="0" t="n">
        <v>0.046</v>
      </c>
      <c r="BJ38" s="0" t="n">
        <v>5625</v>
      </c>
      <c r="BK38" s="22" t="n">
        <v>1</v>
      </c>
      <c r="BL38" s="0">
        <f>テーブル2[[#This Row],[Ts]]-テーブル2[[#This Row],[Tin]]</f>
        <v/>
      </c>
      <c r="BM38" s="0">
        <f>テーブル2[[#This Row],[q_P]]*0.000001</f>
        <v/>
      </c>
      <c r="BN38" s="0">
        <f>テーブル2[[#This Row],[Tsub]]</f>
        <v/>
      </c>
      <c r="BO38" s="0">
        <f>テーブル2[[#This Row],[Fcorr]]</f>
        <v/>
      </c>
      <c r="BP38" s="0">
        <f>(テーブル2[[#This Row],[Tsub]]-40)^2</f>
        <v/>
      </c>
      <c r="BQ38" t="n">
        <v>1</v>
      </c>
      <c r="BR38" s="0" t="n">
        <v>0.295275</v>
      </c>
    </row>
    <row r="39">
      <c r="A39" s="9" t="inlineStr">
        <is>
          <t>76.01_10</t>
        </is>
      </c>
      <c r="B39" s="0" t="n">
        <v>13789520</v>
      </c>
      <c r="C39" s="22">
        <f t="array" ref="C39">TsatFromP(テーブル2[[#This Row],[P]])</f>
        <v/>
      </c>
      <c r="D39" s="0">
        <f t="array" ref="D39">RhoGFromP(テーブル2[[#This Row],[P]])</f>
        <v/>
      </c>
      <c r="E39" s="0">
        <f t="array" ref="E39">RhoFFromP(テーブル2[[#This Row],[P]])</f>
        <v/>
      </c>
      <c r="F39" s="0">
        <f t="array" ref="F39">HgFromP(テーブル2[[#This Row],[P]])</f>
        <v/>
      </c>
      <c r="G39" s="0">
        <f t="array" ref="G39">HfFromP(テーブル2[[#This Row],[P]])</f>
        <v/>
      </c>
      <c r="H39" s="0">
        <f t="array" ref="H39">MuGFromP(テーブル2[[#This Row],[P]])</f>
        <v/>
      </c>
      <c r="I39" s="0">
        <f t="array" ref="I39">MuFFromP(テーブル2[[#This Row],[P]])</f>
        <v/>
      </c>
      <c r="J39" s="0">
        <f t="array" ref="J39">KfFromP(テーブル2[[#This Row],[P]])</f>
        <v/>
      </c>
      <c r="K39" s="0">
        <f t="array" ref="K39">CpFFromP(テーブル2[[#This Row],[P]])</f>
        <v/>
      </c>
      <c r="L39" s="0">
        <f t="array" ref="L39">SigmaFromP(テーブル2[[#This Row],[P]])</f>
        <v/>
      </c>
      <c r="M39" s="0" t="n">
        <v>38</v>
      </c>
      <c r="N39" s="0" t="n">
        <v>4068</v>
      </c>
      <c r="O39" s="8" t="n">
        <v>1.641732232275892e-05</v>
      </c>
      <c r="P39" s="8" t="n">
        <v>0.01436336161221253</v>
      </c>
      <c r="Q39" s="8" t="n">
        <v>0.004572</v>
      </c>
      <c r="R39" s="0" t="n">
        <v>0.295275</v>
      </c>
      <c r="S39" s="15" t="n">
        <v>699294.33984375</v>
      </c>
      <c r="T39" s="0" t="n">
        <v>597.509315370458</v>
      </c>
      <c r="U39" s="37">
        <f>+T39+BG39*S39*テーブル2[[#This Row],[Pw]]*R39/(N39*O39*K39)</f>
        <v/>
      </c>
      <c r="V39" s="0" t="n">
        <v>0.03</v>
      </c>
      <c r="W39" s="8">
        <f>+N39*Q39/I39</f>
        <v/>
      </c>
      <c r="X39" s="0" t="n">
        <v>0.02311670867146563</v>
      </c>
      <c r="Y39" s="0">
        <f>IF(X39&gt;0,1/X39^0.5,1)</f>
        <v/>
      </c>
      <c r="Z39" s="0">
        <f>IF(X39&gt;0,1.14-2*LOG((0.72*L39*E39)/(X39*Q39*N39^2)+9.35/(W39*X39^0.5)),0)</f>
        <v/>
      </c>
      <c r="AA39" s="0">
        <f>+Y39-Z39</f>
        <v/>
      </c>
      <c r="AB39" s="0">
        <f>32/X39*L39*V39*E39/N39^2</f>
        <v/>
      </c>
      <c r="AC39" s="0" t="n">
        <v>615.9688341651131</v>
      </c>
      <c r="AD39" s="0">
        <f>+Q39/2*AI39/I39*E39</f>
        <v/>
      </c>
      <c r="AE39" s="0">
        <f>+gettm2(AD39,AC39,AK39,AL39,テーブル2[[#This Row],[Fcorr]])</f>
        <v/>
      </c>
      <c r="AF39" s="38">
        <f>+AE39-U39</f>
        <v/>
      </c>
      <c r="AG39" s="0" t="n">
        <v>1.020699284794384e-05</v>
      </c>
      <c r="AH39" s="0">
        <f>+X39*N39^2/(8*E39)</f>
        <v/>
      </c>
      <c r="AI39" s="0">
        <f>+(AH39/E39)^0.5</f>
        <v/>
      </c>
      <c r="AJ39" s="0">
        <f>+AG39*AI39/I39*E39</f>
        <v/>
      </c>
      <c r="AK39" s="0">
        <f t="array" ref="AK39">+S39*テーブル2[[#This Row],[F_form]]/(E39*CpFromTP((テーブル2[[#This Row],[Tin]]+テーブル2[[#This Row],[Tf]])/2,テーブル2[[#This Row],[P]])*AI39)</f>
        <v/>
      </c>
      <c r="AL39" s="0">
        <f>+K39*I39/J39</f>
        <v/>
      </c>
      <c r="AM39" s="0">
        <f>+gettyp(AC39,AJ39,AK39,AL39)</f>
        <v/>
      </c>
      <c r="AN39" s="0">
        <f>+C39-AM39</f>
        <v/>
      </c>
      <c r="AO39" s="0">
        <f>+AG39-AB39</f>
        <v/>
      </c>
      <c r="AP39" s="0" t="n">
        <v>4.029119793046314</v>
      </c>
      <c r="AQ39" s="0">
        <f>2*PI()*L39*(D39+E39)/(D39*E39*AP39^2)</f>
        <v/>
      </c>
      <c r="AR39" s="0">
        <f>+AO39+AB39/2</f>
        <v/>
      </c>
      <c r="AS39" s="0">
        <f>+AR39*AI39/I39*E39</f>
        <v/>
      </c>
      <c r="AT39" s="0">
        <f>+getublp(AS39)</f>
        <v/>
      </c>
      <c r="AU39" s="0">
        <f>+AT39*AI39</f>
        <v/>
      </c>
      <c r="AV39" s="0">
        <f>+AP39-AU39</f>
        <v/>
      </c>
      <c r="AW39" s="0">
        <f>2/3*AB39/(L39/(9.8*(E39-D39)))^0.5</f>
        <v/>
      </c>
      <c r="AX39" s="0">
        <f>+(2*AQ39*9.8*(E39-D39)/(E39*AW39))^0.5</f>
        <v/>
      </c>
      <c r="AY39" s="0">
        <f>+AV39-AX39</f>
        <v/>
      </c>
      <c r="AZ39" s="0">
        <f>+F39-G39</f>
        <v/>
      </c>
      <c r="BA39" s="0">
        <f>+AQ39/AP39</f>
        <v/>
      </c>
      <c r="BB39" s="15">
        <f>+E39*AO39*AZ39/BA39</f>
        <v/>
      </c>
      <c r="BC39" s="20">
        <f>BB39-S39</f>
        <v/>
      </c>
      <c r="BD39" s="19">
        <f>+(BB39-S39)/S39*100</f>
        <v/>
      </c>
      <c r="BE39" s="15" t="n">
        <v>2665975</v>
      </c>
      <c r="BF39" s="16">
        <f>テーブル2[[#This Row],[q_P]]/テーブル2[[#This Row],[q_M]]</f>
        <v/>
      </c>
      <c r="BG39" s="0" t="n">
        <v>1</v>
      </c>
      <c r="BH39" s="0" t="n">
        <v>0.08599999999999999</v>
      </c>
      <c r="BI39" s="0" t="n">
        <v>0.046</v>
      </c>
      <c r="BJ39" s="0" t="n">
        <v>5625</v>
      </c>
      <c r="BK39" s="22" t="n">
        <v>1</v>
      </c>
      <c r="BL39" s="0">
        <f>テーブル2[[#This Row],[Ts]]-テーブル2[[#This Row],[Tin]]</f>
        <v/>
      </c>
      <c r="BM39" s="0">
        <f>テーブル2[[#This Row],[q_P]]*0.000001</f>
        <v/>
      </c>
      <c r="BN39" s="0">
        <f>テーブル2[[#This Row],[Tsub]]</f>
        <v/>
      </c>
      <c r="BO39" s="0">
        <f>テーブル2[[#This Row],[Fcorr]]</f>
        <v/>
      </c>
      <c r="BP39" s="0">
        <f>(テーブル2[[#This Row],[Tsub]]-40)^2</f>
        <v/>
      </c>
      <c r="BQ39" t="n">
        <v>1</v>
      </c>
      <c r="BR39" s="0" t="n">
        <v>0.295275</v>
      </c>
    </row>
    <row r="40">
      <c r="A40" s="9" t="inlineStr">
        <is>
          <t>129.01_10</t>
        </is>
      </c>
      <c r="B40" s="0" t="n">
        <v>13789520</v>
      </c>
      <c r="C40" s="22">
        <f t="array" ref="C40">TsatFromP(テーブル2[[#This Row],[P]])</f>
        <v/>
      </c>
      <c r="D40" s="0">
        <f t="array" ref="D40">RhoGFromP(テーブル2[[#This Row],[P]])</f>
        <v/>
      </c>
      <c r="E40" s="0">
        <f t="array" ref="E40">RhoFFromP(テーブル2[[#This Row],[P]])</f>
        <v/>
      </c>
      <c r="F40" s="0">
        <f t="array" ref="F40">HgFromP(テーブル2[[#This Row],[P]])</f>
        <v/>
      </c>
      <c r="G40" s="0">
        <f t="array" ref="G40">HfFromP(テーブル2[[#This Row],[P]])</f>
        <v/>
      </c>
      <c r="H40" s="0">
        <f t="array" ref="H40">MuGFromP(テーブル2[[#This Row],[P]])</f>
        <v/>
      </c>
      <c r="I40" s="0">
        <f t="array" ref="I40">MuFFromP(テーブル2[[#This Row],[P]])</f>
        <v/>
      </c>
      <c r="J40" s="0">
        <f t="array" ref="J40">KfFromP(テーブル2[[#This Row],[P]])</f>
        <v/>
      </c>
      <c r="K40" s="0">
        <f t="array" ref="K40">CpFFromP(テーブル2[[#This Row],[P]])</f>
        <v/>
      </c>
      <c r="L40" s="0">
        <f t="array" ref="L40">SigmaFromP(テーブル2[[#This Row],[P]])</f>
        <v/>
      </c>
      <c r="M40" s="23" t="n">
        <v>39</v>
      </c>
      <c r="N40" s="0" t="n">
        <v>2739.12</v>
      </c>
      <c r="O40" s="8" t="n">
        <v>1.753005194685703e-05</v>
      </c>
      <c r="P40" s="8" t="n">
        <v>0.01484214033261962</v>
      </c>
      <c r="Q40" s="8" t="n">
        <v>0.0047244</v>
      </c>
      <c r="R40" s="0" t="n">
        <v>0.3048</v>
      </c>
      <c r="S40" s="15" t="n">
        <v>4997875.17890625</v>
      </c>
      <c r="T40" s="0" t="n">
        <v>483.340232096628</v>
      </c>
      <c r="U40" s="37">
        <f>+T40+BG40*S40*テーブル2[[#This Row],[Pw]]*R40/(N40*O40*K40)</f>
        <v/>
      </c>
      <c r="V40" s="0" t="n">
        <v>0.03</v>
      </c>
      <c r="W40" s="8">
        <f>+N40*Q40/I40</f>
        <v/>
      </c>
      <c r="X40" s="0" t="n">
        <v>0.02701627272183219</v>
      </c>
      <c r="Y40" s="0">
        <f>IF(X40&gt;0,1/X40^0.5,1)</f>
        <v/>
      </c>
      <c r="Z40" s="0">
        <f>IF(X40&gt;0,1.14-2*LOG((0.72*L40*E40)/(X40*Q40*N40^2)+9.35/(W40*X40^0.5)),0)</f>
        <v/>
      </c>
      <c r="AA40" s="0">
        <f>+Y40-Z40</f>
        <v/>
      </c>
      <c r="AB40" s="0">
        <f>32/X40*L40*V40*E40/N40^2</f>
        <v/>
      </c>
      <c r="AC40" s="0" t="n">
        <v>716.3567657698109</v>
      </c>
      <c r="AD40" s="0">
        <f>+Q40/2*AI40/I40*E40</f>
        <v/>
      </c>
      <c r="AE40" s="0">
        <f>+gettm2(AD40,AC40,AK40,AL40,テーブル2[[#This Row],[Fcorr]])</f>
        <v/>
      </c>
      <c r="AF40" s="38">
        <f>+AE40-U40</f>
        <v/>
      </c>
      <c r="AG40" s="0" t="n">
        <v>1.935098198040747e-05</v>
      </c>
      <c r="AH40" s="0">
        <f>+X40*N40^2/(8*E40)</f>
        <v/>
      </c>
      <c r="AI40" s="0">
        <f>+(AH40/E40)^0.5</f>
        <v/>
      </c>
      <c r="AJ40" s="0">
        <f>+AG40*AI40/I40*E40</f>
        <v/>
      </c>
      <c r="AK40" s="0">
        <f t="array" ref="AK40">+S40*テーブル2[[#This Row],[F_form]]/(E40*CpFromTP((テーブル2[[#This Row],[Tin]]+テーブル2[[#This Row],[Tf]])/2,テーブル2[[#This Row],[P]])*AI40)</f>
        <v/>
      </c>
      <c r="AL40" s="0">
        <f>+K40*I40/J40</f>
        <v/>
      </c>
      <c r="AM40" s="0">
        <f>+gettyp(AC40,AJ40,AK40,AL40)</f>
        <v/>
      </c>
      <c r="AN40" s="0">
        <f>+C40-AM40</f>
        <v/>
      </c>
      <c r="AO40" s="0">
        <f>+AG40-AB40</f>
        <v/>
      </c>
      <c r="AP40" s="0" t="n">
        <v>3.390577055773272</v>
      </c>
      <c r="AQ40" s="0">
        <f>2*PI()*L40*(D40+E40)/(D40*E40*AP40^2)</f>
        <v/>
      </c>
      <c r="AR40" s="0">
        <f>+AO40+AB40/2</f>
        <v/>
      </c>
      <c r="AS40" s="0">
        <f>+AR40*AI40/I40*E40</f>
        <v/>
      </c>
      <c r="AT40" s="0">
        <f>+getublp(AS40)</f>
        <v/>
      </c>
      <c r="AU40" s="0">
        <f>+AT40*AI40</f>
        <v/>
      </c>
      <c r="AV40" s="0">
        <f>+AP40-AU40</f>
        <v/>
      </c>
      <c r="AW40" s="0">
        <f>2/3*AB40/(L40/(9.8*(E40-D40)))^0.5</f>
        <v/>
      </c>
      <c r="AX40" s="0">
        <f>+(2*AQ40*9.8*(E40-D40)/(E40*AW40))^0.5</f>
        <v/>
      </c>
      <c r="AY40" s="0">
        <f>+AV40-AX40</f>
        <v/>
      </c>
      <c r="AZ40" s="0">
        <f>+F40-G40</f>
        <v/>
      </c>
      <c r="BA40" s="0">
        <f>+AQ40/AP40</f>
        <v/>
      </c>
      <c r="BB40" s="15">
        <f>+E40*AO40*AZ40/BA40</f>
        <v/>
      </c>
      <c r="BC40" s="20">
        <f>BB40-S40</f>
        <v/>
      </c>
      <c r="BD40" s="19">
        <f>+(BB40-S40)/S40*100</f>
        <v/>
      </c>
      <c r="BE40" s="15" t="n">
        <v>5174199.999999999</v>
      </c>
      <c r="BF40" s="16">
        <f>テーブル2[[#This Row],[q_P]]/テーブル2[[#This Row],[q_M]]</f>
        <v/>
      </c>
      <c r="BG40" s="0" t="n">
        <v>1</v>
      </c>
      <c r="BH40" s="0" t="n">
        <v>-0.159</v>
      </c>
      <c r="BI40" s="0" t="n">
        <v>0.046</v>
      </c>
      <c r="BJ40" s="0" t="n">
        <v>5625</v>
      </c>
      <c r="BK40" s="22" t="n">
        <v>1</v>
      </c>
      <c r="BL40" s="0">
        <f>テーブル2[[#This Row],[Ts]]-テーブル2[[#This Row],[Tin]]</f>
        <v/>
      </c>
      <c r="BM40" s="0">
        <f>テーブル2[[#This Row],[q_P]]*0.000001</f>
        <v/>
      </c>
      <c r="BN40" s="0">
        <f>テーブル2[[#This Row],[Tsub]]</f>
        <v/>
      </c>
      <c r="BO40" s="0">
        <f>テーブル2[[#This Row],[Fcorr]]</f>
        <v/>
      </c>
      <c r="BP40" s="0">
        <f>(テーブル2[[#This Row],[Tsub]]-40)^2</f>
        <v/>
      </c>
      <c r="BQ40" t="n">
        <v>1</v>
      </c>
      <c r="BR40" s="0" t="n">
        <v>0.3048</v>
      </c>
    </row>
    <row r="41">
      <c r="A41" s="9" t="inlineStr">
        <is>
          <t>130.01_10</t>
        </is>
      </c>
      <c r="B41" s="0" t="n">
        <v>13789520</v>
      </c>
      <c r="C41" s="22">
        <f t="array" ref="C41">TsatFromP(テーブル2[[#This Row],[P]])</f>
        <v/>
      </c>
      <c r="D41" s="0">
        <f t="array" ref="D41">RhoGFromP(テーブル2[[#This Row],[P]])</f>
        <v/>
      </c>
      <c r="E41" s="0">
        <f t="array" ref="E41">RhoFFromP(テーブル2[[#This Row],[P]])</f>
        <v/>
      </c>
      <c r="F41" s="0">
        <f t="array" ref="F41">HgFromP(テーブル2[[#This Row],[P]])</f>
        <v/>
      </c>
      <c r="G41" s="0">
        <f t="array" ref="G41">HfFromP(テーブル2[[#This Row],[P]])</f>
        <v/>
      </c>
      <c r="H41" s="0">
        <f t="array" ref="H41">MuGFromP(テーブル2[[#This Row],[P]])</f>
        <v/>
      </c>
      <c r="I41" s="0">
        <f t="array" ref="I41">MuFFromP(テーブル2[[#This Row],[P]])</f>
        <v/>
      </c>
      <c r="J41" s="0">
        <f t="array" ref="J41">KfFromP(テーブル2[[#This Row],[P]])</f>
        <v/>
      </c>
      <c r="K41" s="0">
        <f t="array" ref="K41">CpFFromP(テーブル2[[#This Row],[P]])</f>
        <v/>
      </c>
      <c r="L41" s="0">
        <f t="array" ref="L41">SigmaFromP(テーブル2[[#This Row],[P]])</f>
        <v/>
      </c>
      <c r="M41" s="0" t="n">
        <v>40</v>
      </c>
      <c r="N41" s="0" t="n">
        <v>2759.46</v>
      </c>
      <c r="O41" s="8" t="n">
        <v>1.753005194685703e-05</v>
      </c>
      <c r="P41" s="8" t="n">
        <v>0.01484214033261962</v>
      </c>
      <c r="Q41" s="8" t="n">
        <v>0.0047244</v>
      </c>
      <c r="R41" s="0" t="n">
        <v>0.3048</v>
      </c>
      <c r="S41" s="15" t="n">
        <v>1554029.35546875</v>
      </c>
      <c r="T41" s="0" t="n">
        <v>573.639972308828</v>
      </c>
      <c r="U41" s="37">
        <f>+T41+BG41*S41*テーブル2[[#This Row],[Pw]]*R41/(N41*O41*K41)</f>
        <v/>
      </c>
      <c r="V41" s="0" t="n">
        <v>0.03</v>
      </c>
      <c r="W41" s="8">
        <f>+N41*Q41/I41</f>
        <v/>
      </c>
      <c r="X41" s="0" t="n">
        <v>0.02693096497243053</v>
      </c>
      <c r="Y41" s="0">
        <f>IF(X41&gt;0,1/X41^0.5,1)</f>
        <v/>
      </c>
      <c r="Z41" s="0">
        <f>IF(X41&gt;0,1.14-2*LOG((0.72*L41*E41)/(X41*Q41*N41^2)+9.35/(W41*X41^0.5)),0)</f>
        <v/>
      </c>
      <c r="AA41" s="0">
        <f>+Y41-Z41</f>
        <v/>
      </c>
      <c r="AB41" s="0">
        <f>32/X41*L41*V41*E41/N41^2</f>
        <v/>
      </c>
      <c r="AC41" s="0" t="n">
        <v>635.5157892967271</v>
      </c>
      <c r="AD41" s="0">
        <f>+Q41/2*AI41/I41*E41</f>
        <v/>
      </c>
      <c r="AE41" s="0">
        <f>+gettm2(AD41,AC41,AK41,AL41,テーブル2[[#This Row],[Fcorr]])</f>
        <v/>
      </c>
      <c r="AF41" s="38">
        <f>+AE41-U41</f>
        <v/>
      </c>
      <c r="AG41" s="0" t="n">
        <v>1.905664287725175e-05</v>
      </c>
      <c r="AH41" s="0">
        <f>+X41*N41^2/(8*E41)</f>
        <v/>
      </c>
      <c r="AI41" s="0">
        <f>+(AH41/E41)^0.5</f>
        <v/>
      </c>
      <c r="AJ41" s="0">
        <f>+AG41*AI41/I41*E41</f>
        <v/>
      </c>
      <c r="AK41" s="0">
        <f t="array" ref="AK41">+S41*テーブル2[[#This Row],[F_form]]/(E41*CpFromTP((テーブル2[[#This Row],[Tin]]+テーブル2[[#This Row],[Tf]])/2,テーブル2[[#This Row],[P]])*AI41)</f>
        <v/>
      </c>
      <c r="AL41" s="0">
        <f>+K41*I41/J41</f>
        <v/>
      </c>
      <c r="AM41" s="0">
        <f>+gettyp(AC41,AJ41,AK41,AL41)</f>
        <v/>
      </c>
      <c r="AN41" s="0">
        <f>+C41-AM41</f>
        <v/>
      </c>
      <c r="AO41" s="0">
        <f>+AG41-AB41</f>
        <v/>
      </c>
      <c r="AP41" s="0" t="n">
        <v>3.393265131106807</v>
      </c>
      <c r="AQ41" s="0">
        <f>2*PI()*L41*(D41+E41)/(D41*E41*AP41^2)</f>
        <v/>
      </c>
      <c r="AR41" s="0">
        <f>+AO41+AB41/2</f>
        <v/>
      </c>
      <c r="AS41" s="0">
        <f>+AR41*AI41/I41*E41</f>
        <v/>
      </c>
      <c r="AT41" s="0">
        <f>+getublp(AS41)</f>
        <v/>
      </c>
      <c r="AU41" s="0">
        <f>+AT41*AI41</f>
        <v/>
      </c>
      <c r="AV41" s="0">
        <f>+AP41-AU41</f>
        <v/>
      </c>
      <c r="AW41" s="0">
        <f>2/3*AB41/(L41/(9.8*(E41-D41)))^0.5</f>
        <v/>
      </c>
      <c r="AX41" s="0">
        <f>+(2*AQ41*9.8*(E41-D41)/(E41*AW41))^0.5</f>
        <v/>
      </c>
      <c r="AY41" s="0">
        <f>+AV41-AX41</f>
        <v/>
      </c>
      <c r="AZ41" s="0">
        <f>+F41-G41</f>
        <v/>
      </c>
      <c r="BA41" s="0">
        <f>+AQ41/AP41</f>
        <v/>
      </c>
      <c r="BB41" s="15">
        <f>+E41*AO41*AZ41/BA41</f>
        <v/>
      </c>
      <c r="BC41" s="20">
        <f>BB41-S41</f>
        <v/>
      </c>
      <c r="BD41" s="19">
        <f>+(BB41-S41)/S41*100</f>
        <v/>
      </c>
      <c r="BE41" s="15" t="n">
        <v>2943615</v>
      </c>
      <c r="BF41" s="16">
        <f>テーブル2[[#This Row],[q_P]]/テーブル2[[#This Row],[q_M]]</f>
        <v/>
      </c>
      <c r="BG41" s="0" t="n">
        <v>1</v>
      </c>
      <c r="BH41" s="0" t="n">
        <v>0.052</v>
      </c>
      <c r="BI41" s="0" t="n">
        <v>0.046</v>
      </c>
      <c r="BJ41" s="0" t="n">
        <v>5625</v>
      </c>
      <c r="BK41" s="22" t="n">
        <v>1</v>
      </c>
      <c r="BL41" s="0">
        <f>テーブル2[[#This Row],[Ts]]-テーブル2[[#This Row],[Tin]]</f>
        <v/>
      </c>
      <c r="BM41" s="0">
        <f>テーブル2[[#This Row],[q_P]]*0.000001</f>
        <v/>
      </c>
      <c r="BN41" s="0">
        <f>テーブル2[[#This Row],[Tsub]]</f>
        <v/>
      </c>
      <c r="BO41" s="0">
        <f>テーブル2[[#This Row],[Fcorr]]</f>
        <v/>
      </c>
      <c r="BP41" s="0">
        <f>(テーブル2[[#This Row],[Tsub]]-40)^2</f>
        <v/>
      </c>
      <c r="BQ41" t="n">
        <v>1</v>
      </c>
      <c r="BR41" s="0" t="n">
        <v>0.3048</v>
      </c>
    </row>
    <row r="42">
      <c r="A42" s="9" t="inlineStr">
        <is>
          <t>131.01_10</t>
        </is>
      </c>
      <c r="B42" s="0" t="n">
        <v>13789520</v>
      </c>
      <c r="C42" s="22">
        <f t="array" ref="C42">TsatFromP(テーブル2[[#This Row],[P]])</f>
        <v/>
      </c>
      <c r="D42" s="0">
        <f t="array" ref="D42">RhoGFromP(テーブル2[[#This Row],[P]])</f>
        <v/>
      </c>
      <c r="E42" s="0">
        <f t="array" ref="E42">RhoFFromP(テーブル2[[#This Row],[P]])</f>
        <v/>
      </c>
      <c r="F42" s="0">
        <f t="array" ref="F42">HgFromP(テーブル2[[#This Row],[P]])</f>
        <v/>
      </c>
      <c r="G42" s="0">
        <f t="array" ref="G42">HfFromP(テーブル2[[#This Row],[P]])</f>
        <v/>
      </c>
      <c r="H42" s="0">
        <f t="array" ref="H42">MuGFromP(テーブル2[[#This Row],[P]])</f>
        <v/>
      </c>
      <c r="I42" s="0">
        <f t="array" ref="I42">MuFFromP(テーブル2[[#This Row],[P]])</f>
        <v/>
      </c>
      <c r="J42" s="0">
        <f t="array" ref="J42">KfFromP(テーブル2[[#This Row],[P]])</f>
        <v/>
      </c>
      <c r="K42" s="0">
        <f t="array" ref="K42">CpFFromP(テーブル2[[#This Row],[P]])</f>
        <v/>
      </c>
      <c r="L42" s="0">
        <f t="array" ref="L42">SigmaFromP(テーブル2[[#This Row],[P]])</f>
        <v/>
      </c>
      <c r="M42" s="23" t="n">
        <v>41</v>
      </c>
      <c r="N42" s="0" t="n">
        <v>2759.46</v>
      </c>
      <c r="O42" s="8" t="n">
        <v>1.753005194685703e-05</v>
      </c>
      <c r="P42" s="8" t="n">
        <v>0.01484214033261962</v>
      </c>
      <c r="Q42" s="8" t="n">
        <v>0.0047244</v>
      </c>
      <c r="R42" s="0" t="n">
        <v>0.3048</v>
      </c>
      <c r="S42" s="15" t="n">
        <v>3167922.11328125</v>
      </c>
      <c r="T42" s="0" t="n">
        <v>532.848711118157</v>
      </c>
      <c r="U42" s="37">
        <f>+T42+BG42*S42*テーブル2[[#This Row],[Pw]]*R42/(N42*O42*K42)</f>
        <v/>
      </c>
      <c r="V42" s="0" t="n">
        <v>0.03</v>
      </c>
      <c r="W42" s="8">
        <f>+N42*Q42/I42</f>
        <v/>
      </c>
      <c r="X42" s="0" t="n">
        <v>0.02693096497243053</v>
      </c>
      <c r="Y42" s="0">
        <f>IF(X42&gt;0,1/X42^0.5,1)</f>
        <v/>
      </c>
      <c r="Z42" s="0">
        <f>IF(X42&gt;0,1.14-2*LOG((0.72*L42*E42)/(X42*Q42*N42^2)+9.35/(W42*X42^0.5)),0)</f>
        <v/>
      </c>
      <c r="AA42" s="0">
        <f>+Y42-Z42</f>
        <v/>
      </c>
      <c r="AB42" s="0">
        <f>32/X42*L42*V42*E42/N42^2</f>
        <v/>
      </c>
      <c r="AC42" s="0" t="n">
        <v>670.9672706959703</v>
      </c>
      <c r="AD42" s="0">
        <f>+Q42/2*AI42/I42*E42</f>
        <v/>
      </c>
      <c r="AE42" s="0">
        <f>+gettm2(AD42,AC42,AK42,AL42,テーブル2[[#This Row],[Fcorr]])</f>
        <v/>
      </c>
      <c r="AF42" s="38">
        <f>+AE42-U42</f>
        <v/>
      </c>
      <c r="AG42" s="0" t="n">
        <v>1.909036136790519e-05</v>
      </c>
      <c r="AH42" s="0">
        <f>+X42*N42^2/(8*E42)</f>
        <v/>
      </c>
      <c r="AI42" s="0">
        <f>+(AH42/E42)^0.5</f>
        <v/>
      </c>
      <c r="AJ42" s="0">
        <f>+AG42*AI42/I42*E42</f>
        <v/>
      </c>
      <c r="AK42" s="0">
        <f t="array" ref="AK42">+S42*テーブル2[[#This Row],[F_form]]/(E42*CpFromTP((テーブル2[[#This Row],[Tin]]+テーブル2[[#This Row],[Tf]])/2,テーブル2[[#This Row],[P]])*AI42)</f>
        <v/>
      </c>
      <c r="AL42" s="0">
        <f>+K42*I42/J42</f>
        <v/>
      </c>
      <c r="AM42" s="0">
        <f>+gettyp(AC42,AJ42,AK42,AL42)</f>
        <v/>
      </c>
      <c r="AN42" s="0">
        <f>+C42-AM42</f>
        <v/>
      </c>
      <c r="AO42" s="0">
        <f>+AG42-AB42</f>
        <v/>
      </c>
      <c r="AP42" s="0" t="n">
        <v>3.397456473500307</v>
      </c>
      <c r="AQ42" s="0">
        <f>2*PI()*L42*(D42+E42)/(D42*E42*AP42^2)</f>
        <v/>
      </c>
      <c r="AR42" s="0">
        <f>+AO42+AB42/2</f>
        <v/>
      </c>
      <c r="AS42" s="0">
        <f>+AR42*AI42/I42*E42</f>
        <v/>
      </c>
      <c r="AT42" s="0">
        <f>+getublp(AS42)</f>
        <v/>
      </c>
      <c r="AU42" s="0">
        <f>+AT42*AI42</f>
        <v/>
      </c>
      <c r="AV42" s="0">
        <f>+AP42-AU42</f>
        <v/>
      </c>
      <c r="AW42" s="0">
        <f>2/3*AB42/(L42/(9.8*(E42-D42)))^0.5</f>
        <v/>
      </c>
      <c r="AX42" s="0">
        <f>+(2*AQ42*9.8*(E42-D42)/(E42*AW42))^0.5</f>
        <v/>
      </c>
      <c r="AY42" s="0">
        <f>+AV42-AX42</f>
        <v/>
      </c>
      <c r="AZ42" s="0">
        <f>+F42-G42</f>
        <v/>
      </c>
      <c r="BA42" s="0">
        <f>+AQ42/AP42</f>
        <v/>
      </c>
      <c r="BB42" s="15">
        <f>+E42*AO42*AZ42/BA42</f>
        <v/>
      </c>
      <c r="BC42" s="20">
        <f>BB42-S42</f>
        <v/>
      </c>
      <c r="BD42" s="19">
        <f>+(BB42-S42)/S42*100</f>
        <v/>
      </c>
      <c r="BE42" s="15" t="n">
        <v>4227700</v>
      </c>
      <c r="BF42" s="16">
        <f>テーブル2[[#This Row],[q_P]]/テーブル2[[#This Row],[q_M]]</f>
        <v/>
      </c>
      <c r="BG42" s="0" t="n">
        <v>1</v>
      </c>
      <c r="BH42" s="0" t="n">
        <v>-0.031</v>
      </c>
      <c r="BI42" s="0" t="n">
        <v>0.046</v>
      </c>
      <c r="BJ42" s="0" t="n">
        <v>5625</v>
      </c>
      <c r="BK42" s="22" t="n">
        <v>1</v>
      </c>
      <c r="BL42" s="0">
        <f>テーブル2[[#This Row],[Ts]]-テーブル2[[#This Row],[Tin]]</f>
        <v/>
      </c>
      <c r="BM42" s="0">
        <f>テーブル2[[#This Row],[q_P]]*0.000001</f>
        <v/>
      </c>
      <c r="BN42" s="0">
        <f>テーブル2[[#This Row],[Tsub]]</f>
        <v/>
      </c>
      <c r="BO42" s="0">
        <f>テーブル2[[#This Row],[Fcorr]]</f>
        <v/>
      </c>
      <c r="BP42" s="0">
        <f>(テーブル2[[#This Row],[Tsub]]-40)^2</f>
        <v/>
      </c>
      <c r="BQ42" t="n">
        <v>1</v>
      </c>
      <c r="BR42" s="0" t="n">
        <v>0.3048</v>
      </c>
    </row>
    <row r="43">
      <c r="A43" s="9" t="inlineStr">
        <is>
          <t>132.01_10</t>
        </is>
      </c>
      <c r="B43" s="0" t="n">
        <v>13789520</v>
      </c>
      <c r="C43" s="22">
        <f t="array" ref="C43">TsatFromP(テーブル2[[#This Row],[P]])</f>
        <v/>
      </c>
      <c r="D43" s="0">
        <f t="array" ref="D43">RhoGFromP(テーブル2[[#This Row],[P]])</f>
        <v/>
      </c>
      <c r="E43" s="0">
        <f t="array" ref="E43">RhoFFromP(テーブル2[[#This Row],[P]])</f>
        <v/>
      </c>
      <c r="F43" s="0">
        <f t="array" ref="F43">HgFromP(テーブル2[[#This Row],[P]])</f>
        <v/>
      </c>
      <c r="G43" s="0">
        <f t="array" ref="G43">HfFromP(テーブル2[[#This Row],[P]])</f>
        <v/>
      </c>
      <c r="H43" s="0">
        <f t="array" ref="H43">MuGFromP(テーブル2[[#This Row],[P]])</f>
        <v/>
      </c>
      <c r="I43" s="0">
        <f t="array" ref="I43">MuFFromP(テーブル2[[#This Row],[P]])</f>
        <v/>
      </c>
      <c r="J43" s="0">
        <f t="array" ref="J43">KfFromP(テーブル2[[#This Row],[P]])</f>
        <v/>
      </c>
      <c r="K43" s="0">
        <f t="array" ref="K43">CpFFromP(テーブル2[[#This Row],[P]])</f>
        <v/>
      </c>
      <c r="L43" s="0">
        <f t="array" ref="L43">SigmaFromP(テーブル2[[#This Row],[P]])</f>
        <v/>
      </c>
      <c r="M43" s="0" t="n">
        <v>42</v>
      </c>
      <c r="N43" s="0" t="n">
        <v>2759.46</v>
      </c>
      <c r="O43" s="8" t="n">
        <v>1.753005194685703e-05</v>
      </c>
      <c r="P43" s="8" t="n">
        <v>0.01484214033261962</v>
      </c>
      <c r="Q43" s="8" t="n">
        <v>0.0047244</v>
      </c>
      <c r="R43" s="0" t="n">
        <v>0.3048</v>
      </c>
      <c r="S43" s="15" t="n">
        <v>3190008.30078125</v>
      </c>
      <c r="T43" s="0" t="n">
        <v>532.271814353844</v>
      </c>
      <c r="U43" s="37">
        <f>+T43+BG43*S43*テーブル2[[#This Row],[Pw]]*R43/(N43*O43*K43)</f>
        <v/>
      </c>
      <c r="V43" s="0" t="n">
        <v>0.03</v>
      </c>
      <c r="W43" s="8">
        <f>+N43*Q43/I43</f>
        <v/>
      </c>
      <c r="X43" s="0" t="n">
        <v>0.02693096497243053</v>
      </c>
      <c r="Y43" s="0">
        <f>IF(X43&gt;0,1/X43^0.5,1)</f>
        <v/>
      </c>
      <c r="Z43" s="0">
        <f>IF(X43&gt;0,1.14-2*LOG((0.72*L43*E43)/(X43*Q43*N43^2)+9.35/(W43*X43^0.5)),0)</f>
        <v/>
      </c>
      <c r="AA43" s="0">
        <f>+Y43-Z43</f>
        <v/>
      </c>
      <c r="AB43" s="0">
        <f>32/X43*L43*V43*E43/N43^2</f>
        <v/>
      </c>
      <c r="AC43" s="0" t="n">
        <v>671.483426082062</v>
      </c>
      <c r="AD43" s="0">
        <f>+Q43/2*AI43/I43*E43</f>
        <v/>
      </c>
      <c r="AE43" s="0">
        <f>+gettm2(AD43,AC43,AK43,AL43,テーブル2[[#This Row],[Fcorr]])</f>
        <v/>
      </c>
      <c r="AF43" s="38">
        <f>+AE43-U43</f>
        <v/>
      </c>
      <c r="AG43" s="0" t="n">
        <v>1.909034974037926e-05</v>
      </c>
      <c r="AH43" s="0">
        <f>+X43*N43^2/(8*E43)</f>
        <v/>
      </c>
      <c r="AI43" s="0">
        <f>+(AH43/E43)^0.5</f>
        <v/>
      </c>
      <c r="AJ43" s="0">
        <f>+AG43*AI43/I43*E43</f>
        <v/>
      </c>
      <c r="AK43" s="0">
        <f t="array" ref="AK43">+S43*テーブル2[[#This Row],[F_form]]/(E43*CpFromTP((テーブル2[[#This Row],[Tin]]+テーブル2[[#This Row],[Tf]])/2,テーブル2[[#This Row],[P]])*AI43)</f>
        <v/>
      </c>
      <c r="AL43" s="0">
        <f>+K43*I43/J43</f>
        <v/>
      </c>
      <c r="AM43" s="0">
        <f>+gettyp(AC43,AJ43,AK43,AL43)</f>
        <v/>
      </c>
      <c r="AN43" s="0">
        <f>+C43-AM43</f>
        <v/>
      </c>
      <c r="AO43" s="0">
        <f>+AG43-AB43</f>
        <v/>
      </c>
      <c r="AP43" s="0" t="n">
        <v>3.397455030568712</v>
      </c>
      <c r="AQ43" s="0">
        <f>2*PI()*L43*(D43+E43)/(D43*E43*AP43^2)</f>
        <v/>
      </c>
      <c r="AR43" s="0">
        <f>+AO43+AB43/2</f>
        <v/>
      </c>
      <c r="AS43" s="0">
        <f>+AR43*AI43/I43*E43</f>
        <v/>
      </c>
      <c r="AT43" s="0">
        <f>+getublp(AS43)</f>
        <v/>
      </c>
      <c r="AU43" s="0">
        <f>+AT43*AI43</f>
        <v/>
      </c>
      <c r="AV43" s="0">
        <f>+AP43-AU43</f>
        <v/>
      </c>
      <c r="AW43" s="0">
        <f>2/3*AB43/(L43/(9.8*(E43-D43)))^0.5</f>
        <v/>
      </c>
      <c r="AX43" s="0">
        <f>+(2*AQ43*9.8*(E43-D43)/(E43*AW43))^0.5</f>
        <v/>
      </c>
      <c r="AY43" s="0">
        <f>+AV43-AX43</f>
        <v/>
      </c>
      <c r="AZ43" s="0">
        <f>+F43-G43</f>
        <v/>
      </c>
      <c r="BA43" s="0">
        <f>+AQ43/AP43</f>
        <v/>
      </c>
      <c r="BB43" s="15">
        <f>+E43*AO43*AZ43/BA43</f>
        <v/>
      </c>
      <c r="BC43" s="20">
        <f>BB43-S43</f>
        <v/>
      </c>
      <c r="BD43" s="19">
        <f>+(BB43-S43)/S43*100</f>
        <v/>
      </c>
      <c r="BE43" s="15" t="n">
        <v>4196150</v>
      </c>
      <c r="BF43" s="16">
        <f>テーブル2[[#This Row],[q_P]]/テーブル2[[#This Row],[q_M]]</f>
        <v/>
      </c>
      <c r="BG43" s="0" t="n">
        <v>1</v>
      </c>
      <c r="BH43" s="0" t="n">
        <v>-0.036</v>
      </c>
      <c r="BI43" s="0" t="n">
        <v>0.046</v>
      </c>
      <c r="BJ43" s="0" t="n">
        <v>5625</v>
      </c>
      <c r="BK43" s="22" t="n">
        <v>1</v>
      </c>
      <c r="BL43" s="0">
        <f>テーブル2[[#This Row],[Ts]]-テーブル2[[#This Row],[Tin]]</f>
        <v/>
      </c>
      <c r="BM43" s="0">
        <f>テーブル2[[#This Row],[q_P]]*0.000001</f>
        <v/>
      </c>
      <c r="BN43" s="0">
        <f>テーブル2[[#This Row],[Tsub]]</f>
        <v/>
      </c>
      <c r="BO43" s="0">
        <f>テーブル2[[#This Row],[Fcorr]]</f>
        <v/>
      </c>
      <c r="BP43" s="0">
        <f>(テーブル2[[#This Row],[Tsub]]-40)^2</f>
        <v/>
      </c>
      <c r="BQ43" t="n">
        <v>1</v>
      </c>
      <c r="BR43" s="0" t="n">
        <v>0.3048</v>
      </c>
    </row>
    <row r="44">
      <c r="A44" s="9" t="inlineStr">
        <is>
          <t>133.01_10</t>
        </is>
      </c>
      <c r="B44" s="0" t="n">
        <v>13789520</v>
      </c>
      <c r="C44" s="22">
        <f t="array" ref="C44">TsatFromP(テーブル2[[#This Row],[P]])</f>
        <v/>
      </c>
      <c r="D44" s="0">
        <f t="array" ref="D44">RhoGFromP(テーブル2[[#This Row],[P]])</f>
        <v/>
      </c>
      <c r="E44" s="0">
        <f t="array" ref="E44">RhoFFromP(テーブル2[[#This Row],[P]])</f>
        <v/>
      </c>
      <c r="F44" s="0">
        <f t="array" ref="F44">HgFromP(テーブル2[[#This Row],[P]])</f>
        <v/>
      </c>
      <c r="G44" s="0">
        <f t="array" ref="G44">HfFromP(テーブル2[[#This Row],[P]])</f>
        <v/>
      </c>
      <c r="H44" s="0">
        <f t="array" ref="H44">MuGFromP(テーブル2[[#This Row],[P]])</f>
        <v/>
      </c>
      <c r="I44" s="0">
        <f t="array" ref="I44">MuFFromP(テーブル2[[#This Row],[P]])</f>
        <v/>
      </c>
      <c r="J44" s="0">
        <f t="array" ref="J44">KfFromP(テーブル2[[#This Row],[P]])</f>
        <v/>
      </c>
      <c r="K44" s="0">
        <f t="array" ref="K44">CpFFromP(テーブル2[[#This Row],[P]])</f>
        <v/>
      </c>
      <c r="L44" s="0">
        <f t="array" ref="L44">SigmaFromP(テーブル2[[#This Row],[P]])</f>
        <v/>
      </c>
      <c r="M44" s="23" t="n">
        <v>43</v>
      </c>
      <c r="N44" s="0" t="n">
        <v>2766.24</v>
      </c>
      <c r="O44" s="8" t="n">
        <v>1.753005194685703e-05</v>
      </c>
      <c r="P44" s="8" t="n">
        <v>0.01484214033261962</v>
      </c>
      <c r="Q44" s="8" t="n">
        <v>0.0047244</v>
      </c>
      <c r="R44" s="0" t="n">
        <v>0.3048</v>
      </c>
      <c r="S44" s="15" t="n">
        <v>3173239.16015625</v>
      </c>
      <c r="T44" s="0" t="n">
        <v>532.848711118157</v>
      </c>
      <c r="U44" s="37">
        <f>+T44+BG44*S44*テーブル2[[#This Row],[Pw]]*R44/(N44*O44*K44)</f>
        <v/>
      </c>
      <c r="V44" s="0" t="n">
        <v>0.03</v>
      </c>
      <c r="W44" s="8">
        <f>+N44*Q44/I44</f>
        <v/>
      </c>
      <c r="X44" s="0" t="n">
        <v>0.02690275547497004</v>
      </c>
      <c r="Y44" s="0">
        <f>IF(X44&gt;0,1/X44^0.5,1)</f>
        <v/>
      </c>
      <c r="Z44" s="0">
        <f>IF(X44&gt;0,1.14-2*LOG((0.72*L44*E44)/(X44*Q44*N44^2)+9.35/(W44*X44^0.5)),0)</f>
        <v/>
      </c>
      <c r="AA44" s="0">
        <f>+Y44-Z44</f>
        <v/>
      </c>
      <c r="AB44" s="0">
        <f>32/X44*L44*V44*E44/N44^2</f>
        <v/>
      </c>
      <c r="AC44" s="0" t="n">
        <v>670.935483824568</v>
      </c>
      <c r="AD44" s="0">
        <f>+Q44/2*AI44/I44*E44</f>
        <v/>
      </c>
      <c r="AE44" s="0">
        <f>+gettm2(AD44,AC44,AK44,AL44,テーブル2[[#This Row],[Fcorr]])</f>
        <v/>
      </c>
      <c r="AF44" s="38">
        <f>+AE44-U44</f>
        <v/>
      </c>
      <c r="AG44" s="0" t="n">
        <v>1.90168757669129e-05</v>
      </c>
      <c r="AH44" s="0">
        <f>+X44*N44^2/(8*E44)</f>
        <v/>
      </c>
      <c r="AI44" s="0">
        <f>+(AH44/E44)^0.5</f>
        <v/>
      </c>
      <c r="AJ44" s="0">
        <f>+AG44*AI44/I44*E44</f>
        <v/>
      </c>
      <c r="AK44" s="0">
        <f t="array" ref="AK44">+S44*テーブル2[[#This Row],[F_form]]/(E44*CpFromTP((テーブル2[[#This Row],[Tin]]+テーブル2[[#This Row],[Tf]])/2,テーブル2[[#This Row],[P]])*AI44)</f>
        <v/>
      </c>
      <c r="AL44" s="0">
        <f>+K44*I44/J44</f>
        <v/>
      </c>
      <c r="AM44" s="0">
        <f>+gettyp(AC44,AJ44,AK44,AL44)</f>
        <v/>
      </c>
      <c r="AN44" s="0">
        <f>+C44-AM44</f>
        <v/>
      </c>
      <c r="AO44" s="0">
        <f>+AG44-AB44</f>
        <v/>
      </c>
      <c r="AP44" s="0" t="n">
        <v>3.401254761165932</v>
      </c>
      <c r="AQ44" s="0">
        <f>2*PI()*L44*(D44+E44)/(D44*E44*AP44^2)</f>
        <v/>
      </c>
      <c r="AR44" s="0">
        <f>+AO44+AB44/2</f>
        <v/>
      </c>
      <c r="AS44" s="0">
        <f>+AR44*AI44/I44*E44</f>
        <v/>
      </c>
      <c r="AT44" s="0">
        <f>+getublp(AS44)</f>
        <v/>
      </c>
      <c r="AU44" s="0">
        <f>+AT44*AI44</f>
        <v/>
      </c>
      <c r="AV44" s="0">
        <f>+AP44-AU44</f>
        <v/>
      </c>
      <c r="AW44" s="0">
        <f>2/3*AB44/(L44/(9.8*(E44-D44)))^0.5</f>
        <v/>
      </c>
      <c r="AX44" s="0">
        <f>+(2*AQ44*9.8*(E44-D44)/(E44*AW44))^0.5</f>
        <v/>
      </c>
      <c r="AY44" s="0">
        <f>+AV44-AX44</f>
        <v/>
      </c>
      <c r="AZ44" s="0">
        <f>+F44-G44</f>
        <v/>
      </c>
      <c r="BA44" s="0">
        <f>+AQ44/AP44</f>
        <v/>
      </c>
      <c r="BB44" s="15">
        <f>+E44*AO44*AZ44/BA44</f>
        <v/>
      </c>
      <c r="BC44" s="20">
        <f>BB44-S44</f>
        <v/>
      </c>
      <c r="BD44" s="19">
        <f>+(BB44-S44)/S44*100</f>
        <v/>
      </c>
      <c r="BE44" s="15" t="n">
        <v>4224545</v>
      </c>
      <c r="BF44" s="16">
        <f>テーブル2[[#This Row],[q_P]]/テーブル2[[#This Row],[q_M]]</f>
        <v/>
      </c>
      <c r="BG44" s="0" t="n">
        <v>1</v>
      </c>
      <c r="BH44" s="0" t="n">
        <v>-0.032</v>
      </c>
      <c r="BI44" s="0" t="n">
        <v>0.046</v>
      </c>
      <c r="BJ44" s="0" t="n">
        <v>5625</v>
      </c>
      <c r="BK44" s="22" t="n">
        <v>1</v>
      </c>
      <c r="BL44" s="0">
        <f>テーブル2[[#This Row],[Ts]]-テーブル2[[#This Row],[Tin]]</f>
        <v/>
      </c>
      <c r="BM44" s="0">
        <f>テーブル2[[#This Row],[q_P]]*0.000001</f>
        <v/>
      </c>
      <c r="BN44" s="0">
        <f>テーブル2[[#This Row],[Tsub]]</f>
        <v/>
      </c>
      <c r="BO44" s="0">
        <f>テーブル2[[#This Row],[Fcorr]]</f>
        <v/>
      </c>
      <c r="BP44" s="0">
        <f>(テーブル2[[#This Row],[Tsub]]-40)^2</f>
        <v/>
      </c>
      <c r="BQ44" t="n">
        <v>1</v>
      </c>
      <c r="BR44" s="0" t="n">
        <v>0.3048</v>
      </c>
    </row>
    <row r="45">
      <c r="A45" s="9" t="inlineStr">
        <is>
          <t>134.01_10</t>
        </is>
      </c>
      <c r="B45" s="0" t="n">
        <v>13789520</v>
      </c>
      <c r="C45" s="22">
        <f t="array" ref="C45">TsatFromP(テーブル2[[#This Row],[P]])</f>
        <v/>
      </c>
      <c r="D45" s="0">
        <f t="array" ref="D45">RhoGFromP(テーブル2[[#This Row],[P]])</f>
        <v/>
      </c>
      <c r="E45" s="0">
        <f t="array" ref="E45">RhoFFromP(テーブル2[[#This Row],[P]])</f>
        <v/>
      </c>
      <c r="F45" s="0">
        <f t="array" ref="F45">HgFromP(テーブル2[[#This Row],[P]])</f>
        <v/>
      </c>
      <c r="G45" s="0">
        <f t="array" ref="G45">HfFromP(テーブル2[[#This Row],[P]])</f>
        <v/>
      </c>
      <c r="H45" s="0">
        <f t="array" ref="H45">MuGFromP(テーブル2[[#This Row],[P]])</f>
        <v/>
      </c>
      <c r="I45" s="0">
        <f t="array" ref="I45">MuFFromP(テーブル2[[#This Row],[P]])</f>
        <v/>
      </c>
      <c r="J45" s="0">
        <f t="array" ref="J45">KfFromP(テーブル2[[#This Row],[P]])</f>
        <v/>
      </c>
      <c r="K45" s="0">
        <f t="array" ref="K45">CpFFromP(テーブル2[[#This Row],[P]])</f>
        <v/>
      </c>
      <c r="L45" s="0">
        <f t="array" ref="L45">SigmaFromP(テーブル2[[#This Row],[P]])</f>
        <v/>
      </c>
      <c r="M45" s="0" t="n">
        <v>44</v>
      </c>
      <c r="N45" s="0" t="n">
        <v>2779.8</v>
      </c>
      <c r="O45" s="8" t="n">
        <v>1.753005194685703e-05</v>
      </c>
      <c r="P45" s="8" t="n">
        <v>0.01484214033261962</v>
      </c>
      <c r="Q45" s="8" t="n">
        <v>0.0047244</v>
      </c>
      <c r="R45" s="0" t="n">
        <v>0.3048</v>
      </c>
      <c r="S45" s="15" t="n">
        <v>3183847.75390625</v>
      </c>
      <c r="T45" s="0" t="n">
        <v>532.848711118157</v>
      </c>
      <c r="U45" s="37">
        <f>+T45+BG45*S45*テーブル2[[#This Row],[Pw]]*R45/(N45*O45*K45)</f>
        <v/>
      </c>
      <c r="V45" s="0" t="n">
        <v>0.03</v>
      </c>
      <c r="W45" s="8">
        <f>+N45*Q45/I45</f>
        <v/>
      </c>
      <c r="X45" s="0" t="n">
        <v>0.02684667167292294</v>
      </c>
      <c r="Y45" s="0">
        <f>IF(X45&gt;0,1/X45^0.5,1)</f>
        <v/>
      </c>
      <c r="Z45" s="0">
        <f>IF(X45&gt;0,1.14-2*LOG((0.72*L45*E45)/(X45*Q45*N45^2)+9.35/(W45*X45^0.5)),0)</f>
        <v/>
      </c>
      <c r="AA45" s="0">
        <f>+Y45-Z45</f>
        <v/>
      </c>
      <c r="AB45" s="0">
        <f>32/X45*L45*V45*E45/N45^2</f>
        <v/>
      </c>
      <c r="AC45" s="0" t="n">
        <v>670.8715803337759</v>
      </c>
      <c r="AD45" s="0">
        <f>+Q45/2*AI45/I45*E45</f>
        <v/>
      </c>
      <c r="AE45" s="0">
        <f>+gettm2(AD45,AC45,AK45,AL45,テーブル2[[#This Row],[Fcorr]])</f>
        <v/>
      </c>
      <c r="AF45" s="38">
        <f>+AE45-U45</f>
        <v/>
      </c>
      <c r="AG45" s="0" t="n">
        <v>1.887069234533862e-05</v>
      </c>
      <c r="AH45" s="0">
        <f>+X45*N45^2/(8*E45)</f>
        <v/>
      </c>
      <c r="AI45" s="0">
        <f>+(AH45/E45)^0.5</f>
        <v/>
      </c>
      <c r="AJ45" s="0">
        <f>+AG45*AI45/I45*E45</f>
        <v/>
      </c>
      <c r="AK45" s="0">
        <f t="array" ref="AK45">+S45*テーブル2[[#This Row],[F_form]]/(E45*CpFromTP((テーブル2[[#This Row],[Tin]]+テーブル2[[#This Row],[Tf]])/2,テーブル2[[#This Row],[P]])*AI45)</f>
        <v/>
      </c>
      <c r="AL45" s="0">
        <f>+K45*I45/J45</f>
        <v/>
      </c>
      <c r="AM45" s="0">
        <f>+gettyp(AC45,AJ45,AK45,AL45)</f>
        <v/>
      </c>
      <c r="AN45" s="0">
        <f>+C45-AM45</f>
        <v/>
      </c>
      <c r="AO45" s="0">
        <f>+AG45-AB45</f>
        <v/>
      </c>
      <c r="AP45" s="0" t="n">
        <v>3.408760957737092</v>
      </c>
      <c r="AQ45" s="0">
        <f>2*PI()*L45*(D45+E45)/(D45*E45*AP45^2)</f>
        <v/>
      </c>
      <c r="AR45" s="0">
        <f>+AO45+AB45/2</f>
        <v/>
      </c>
      <c r="AS45" s="0">
        <f>+AR45*AI45/I45*E45</f>
        <v/>
      </c>
      <c r="AT45" s="0">
        <f>+getublp(AS45)</f>
        <v/>
      </c>
      <c r="AU45" s="0">
        <f>+AT45*AI45</f>
        <v/>
      </c>
      <c r="AV45" s="0">
        <f>+AP45-AU45</f>
        <v/>
      </c>
      <c r="AW45" s="0">
        <f>2/3*AB45/(L45/(9.8*(E45-D45)))^0.5</f>
        <v/>
      </c>
      <c r="AX45" s="0">
        <f>+(2*AQ45*9.8*(E45-D45)/(E45*AW45))^0.5</f>
        <v/>
      </c>
      <c r="AY45" s="0">
        <f>+AV45-AX45</f>
        <v/>
      </c>
      <c r="AZ45" s="0">
        <f>+F45-G45</f>
        <v/>
      </c>
      <c r="BA45" s="0">
        <f>+AQ45/AP45</f>
        <v/>
      </c>
      <c r="BB45" s="15">
        <f>+E45*AO45*AZ45/BA45</f>
        <v/>
      </c>
      <c r="BC45" s="20">
        <f>BB45-S45</f>
        <v/>
      </c>
      <c r="BD45" s="19">
        <f>+(BB45-S45)/S45*100</f>
        <v/>
      </c>
      <c r="BE45" s="15" t="n">
        <v>4192995</v>
      </c>
      <c r="BF45" s="16">
        <f>テーブル2[[#This Row],[q_P]]/テーブル2[[#This Row],[q_M]]</f>
        <v/>
      </c>
      <c r="BG45" s="0" t="n">
        <v>1</v>
      </c>
      <c r="BH45" s="0" t="n">
        <v>-0.037</v>
      </c>
      <c r="BI45" s="0" t="n">
        <v>0.046</v>
      </c>
      <c r="BJ45" s="0" t="n">
        <v>5625</v>
      </c>
      <c r="BK45" s="22" t="n">
        <v>1</v>
      </c>
      <c r="BL45" s="0">
        <f>テーブル2[[#This Row],[Ts]]-テーブル2[[#This Row],[Tin]]</f>
        <v/>
      </c>
      <c r="BM45" s="0">
        <f>テーブル2[[#This Row],[q_P]]*0.000001</f>
        <v/>
      </c>
      <c r="BN45" s="0">
        <f>テーブル2[[#This Row],[Tsub]]</f>
        <v/>
      </c>
      <c r="BO45" s="0">
        <f>テーブル2[[#This Row],[Fcorr]]</f>
        <v/>
      </c>
      <c r="BP45" s="0">
        <f>(テーブル2[[#This Row],[Tsub]]-40)^2</f>
        <v/>
      </c>
      <c r="BQ45" t="n">
        <v>1</v>
      </c>
      <c r="BR45" s="0" t="n">
        <v>0.3048</v>
      </c>
    </row>
    <row r="46">
      <c r="A46" s="9" t="inlineStr">
        <is>
          <t>135.01_10</t>
        </is>
      </c>
      <c r="B46" s="0" t="n">
        <v>13789520</v>
      </c>
      <c r="C46" s="22">
        <f t="array" ref="C46">TsatFromP(テーブル2[[#This Row],[P]])</f>
        <v/>
      </c>
      <c r="D46" s="0">
        <f t="array" ref="D46">RhoGFromP(テーブル2[[#This Row],[P]])</f>
        <v/>
      </c>
      <c r="E46" s="0">
        <f t="array" ref="E46">RhoFFromP(テーブル2[[#This Row],[P]])</f>
        <v/>
      </c>
      <c r="F46" s="0">
        <f t="array" ref="F46">HgFromP(テーブル2[[#This Row],[P]])</f>
        <v/>
      </c>
      <c r="G46" s="0">
        <f t="array" ref="G46">HfFromP(テーブル2[[#This Row],[P]])</f>
        <v/>
      </c>
      <c r="H46" s="0">
        <f t="array" ref="H46">MuGFromP(テーブル2[[#This Row],[P]])</f>
        <v/>
      </c>
      <c r="I46" s="0">
        <f t="array" ref="I46">MuFFromP(テーブル2[[#This Row],[P]])</f>
        <v/>
      </c>
      <c r="J46" s="0">
        <f t="array" ref="J46">KfFromP(テーブル2[[#This Row],[P]])</f>
        <v/>
      </c>
      <c r="K46" s="0">
        <f t="array" ref="K46">CpFFromP(テーブル2[[#This Row],[P]])</f>
        <v/>
      </c>
      <c r="L46" s="0">
        <f t="array" ref="L46">SigmaFromP(テーブル2[[#This Row],[P]])</f>
        <v/>
      </c>
      <c r="M46" s="23" t="n">
        <v>45</v>
      </c>
      <c r="N46" s="0" t="n">
        <v>2793.36</v>
      </c>
      <c r="O46" s="8" t="n">
        <v>1.753005194685703e-05</v>
      </c>
      <c r="P46" s="8" t="n">
        <v>0.01484214033261962</v>
      </c>
      <c r="Q46" s="8" t="n">
        <v>0.0047244</v>
      </c>
      <c r="R46" s="0" t="n">
        <v>0.3048</v>
      </c>
      <c r="S46" s="15" t="n">
        <v>3129604.55859375</v>
      </c>
      <c r="T46" s="0" t="n">
        <v>534.527145110092</v>
      </c>
      <c r="U46" s="37">
        <f>+T46+BG46*S46*テーブル2[[#This Row],[Pw]]*R46/(N46*O46*K46)</f>
        <v/>
      </c>
      <c r="V46" s="0" t="n">
        <v>0.03</v>
      </c>
      <c r="W46" s="8">
        <f>+N46*Q46/I46</f>
        <v/>
      </c>
      <c r="X46" s="0" t="n">
        <v>0.02679102995492885</v>
      </c>
      <c r="Y46" s="0">
        <f>IF(X46&gt;0,1/X46^0.5,1)</f>
        <v/>
      </c>
      <c r="Z46" s="0">
        <f>IF(X46&gt;0,1.14-2*LOG((0.72*L46*E46)/(X46*Q46*N46^2)+9.35/(W46*X46^0.5)),0)</f>
        <v/>
      </c>
      <c r="AA46" s="0">
        <f>+Y46-Z46</f>
        <v/>
      </c>
      <c r="AB46" s="0">
        <f>32/X46*L46*V46*E46/N46^2</f>
        <v/>
      </c>
      <c r="AC46" s="0" t="n">
        <v>669.3120169509841</v>
      </c>
      <c r="AD46" s="0">
        <f>+Q46/2*AI46/I46*E46</f>
        <v/>
      </c>
      <c r="AE46" s="0">
        <f>+gettm2(AD46,AC46,AK46,AL46,テーブル2[[#This Row],[Fcorr]])</f>
        <v/>
      </c>
      <c r="AF46" s="38">
        <f>+AE46-U46</f>
        <v/>
      </c>
      <c r="AG46" s="0" t="n">
        <v>1.872649771301021e-05</v>
      </c>
      <c r="AH46" s="0">
        <f>+X46*N46^2/(8*E46)</f>
        <v/>
      </c>
      <c r="AI46" s="0">
        <f>+(AH46/E46)^0.5</f>
        <v/>
      </c>
      <c r="AJ46" s="0">
        <f>+AG46*AI46/I46*E46</f>
        <v/>
      </c>
      <c r="AK46" s="0">
        <f t="array" ref="AK46">+S46*テーブル2[[#This Row],[F_form]]/(E46*CpFromTP((テーブル2[[#This Row],[Tin]]+テーブル2[[#This Row],[Tf]])/2,テーブル2[[#This Row],[P]])*AI46)</f>
        <v/>
      </c>
      <c r="AL46" s="0">
        <f>+K46*I46/J46</f>
        <v/>
      </c>
      <c r="AM46" s="0">
        <f>+gettyp(AC46,AJ46,AK46,AL46)</f>
        <v/>
      </c>
      <c r="AN46" s="0">
        <f>+C46-AM46</f>
        <v/>
      </c>
      <c r="AO46" s="0">
        <f>+AG46-AB46</f>
        <v/>
      </c>
      <c r="AP46" s="0" t="n">
        <v>3.416267137675467</v>
      </c>
      <c r="AQ46" s="0">
        <f>2*PI()*L46*(D46+E46)/(D46*E46*AP46^2)</f>
        <v/>
      </c>
      <c r="AR46" s="0">
        <f>+AO46+AB46/2</f>
        <v/>
      </c>
      <c r="AS46" s="0">
        <f>+AR46*AI46/I46*E46</f>
        <v/>
      </c>
      <c r="AT46" s="0">
        <f>+getublp(AS46)</f>
        <v/>
      </c>
      <c r="AU46" s="0">
        <f>+AT46*AI46</f>
        <v/>
      </c>
      <c r="AV46" s="0">
        <f>+AP46-AU46</f>
        <v/>
      </c>
      <c r="AW46" s="0">
        <f>2/3*AB46/(L46/(9.8*(E46-D46)))^0.5</f>
        <v/>
      </c>
      <c r="AX46" s="0">
        <f>+(2*AQ46*9.8*(E46-D46)/(E46*AW46))^0.5</f>
        <v/>
      </c>
      <c r="AY46" s="0">
        <f>+AV46-AX46</f>
        <v/>
      </c>
      <c r="AZ46" s="0">
        <f>+F46-G46</f>
        <v/>
      </c>
      <c r="BA46" s="0">
        <f>+AQ46/AP46</f>
        <v/>
      </c>
      <c r="BB46" s="15">
        <f>+E46*AO46*AZ46/BA46</f>
        <v/>
      </c>
      <c r="BC46" s="20">
        <f>BB46-S46</f>
        <v/>
      </c>
      <c r="BD46" s="19">
        <f>+(BB46-S46)/S46*100</f>
        <v/>
      </c>
      <c r="BE46" s="15" t="n">
        <v>4126740</v>
      </c>
      <c r="BF46" s="16">
        <f>テーブル2[[#This Row],[q_P]]/テーブル2[[#This Row],[q_M]]</f>
        <v/>
      </c>
      <c r="BG46" s="0" t="n">
        <v>1</v>
      </c>
      <c r="BH46" s="0" t="n">
        <v>-0.037</v>
      </c>
      <c r="BI46" s="0" t="n">
        <v>0.046</v>
      </c>
      <c r="BJ46" s="0" t="n">
        <v>5625</v>
      </c>
      <c r="BK46" s="22" t="n">
        <v>1</v>
      </c>
      <c r="BL46" s="0">
        <f>テーブル2[[#This Row],[Ts]]-テーブル2[[#This Row],[Tin]]</f>
        <v/>
      </c>
      <c r="BM46" s="0">
        <f>テーブル2[[#This Row],[q_P]]*0.000001</f>
        <v/>
      </c>
      <c r="BN46" s="0">
        <f>テーブル2[[#This Row],[Tsub]]</f>
        <v/>
      </c>
      <c r="BO46" s="0">
        <f>テーブル2[[#This Row],[Fcorr]]</f>
        <v/>
      </c>
      <c r="BP46" s="0">
        <f>(テーブル2[[#This Row],[Tsub]]-40)^2</f>
        <v/>
      </c>
      <c r="BQ46" t="n">
        <v>1</v>
      </c>
      <c r="BR46" s="0" t="n">
        <v>0.3048</v>
      </c>
    </row>
    <row r="47">
      <c r="A47" s="9" t="inlineStr">
        <is>
          <t>136.01_10</t>
        </is>
      </c>
      <c r="B47" s="0" t="n">
        <v>13789520</v>
      </c>
      <c r="C47" s="22">
        <f t="array" ref="C47">TsatFromP(テーブル2[[#This Row],[P]])</f>
        <v/>
      </c>
      <c r="D47" s="0">
        <f t="array" ref="D47">RhoGFromP(テーブル2[[#This Row],[P]])</f>
        <v/>
      </c>
      <c r="E47" s="0">
        <f t="array" ref="E47">RhoFFromP(テーブル2[[#This Row],[P]])</f>
        <v/>
      </c>
      <c r="F47" s="0">
        <f t="array" ref="F47">HgFromP(テーブル2[[#This Row],[P]])</f>
        <v/>
      </c>
      <c r="G47" s="0">
        <f t="array" ref="G47">HfFromP(テーブル2[[#This Row],[P]])</f>
        <v/>
      </c>
      <c r="H47" s="0">
        <f t="array" ref="H47">MuGFromP(テーブル2[[#This Row],[P]])</f>
        <v/>
      </c>
      <c r="I47" s="0">
        <f t="array" ref="I47">MuFFromP(テーブル2[[#This Row],[P]])</f>
        <v/>
      </c>
      <c r="J47" s="0">
        <f t="array" ref="J47">KfFromP(テーブル2[[#This Row],[P]])</f>
        <v/>
      </c>
      <c r="K47" s="0">
        <f t="array" ref="K47">CpFFromP(テーブル2[[#This Row],[P]])</f>
        <v/>
      </c>
      <c r="L47" s="0">
        <f t="array" ref="L47">SigmaFromP(テーブル2[[#This Row],[P]])</f>
        <v/>
      </c>
      <c r="M47" s="0" t="n">
        <v>46</v>
      </c>
      <c r="N47" s="0" t="n">
        <v>2793.36</v>
      </c>
      <c r="O47" s="8" t="n">
        <v>1.753005194685703e-05</v>
      </c>
      <c r="P47" s="8" t="n">
        <v>0.01484214033261962</v>
      </c>
      <c r="Q47" s="8" t="n">
        <v>0.0047244</v>
      </c>
      <c r="R47" s="0" t="n">
        <v>0.3048</v>
      </c>
      <c r="S47" s="15" t="n">
        <v>3194468.84765625</v>
      </c>
      <c r="T47" s="0" t="n">
        <v>532.848711118157</v>
      </c>
      <c r="U47" s="37">
        <f>+T47+BG47*S47*テーブル2[[#This Row],[Pw]]*R47/(N47*O47*K47)</f>
        <v/>
      </c>
      <c r="V47" s="0" t="n">
        <v>0.03</v>
      </c>
      <c r="W47" s="8">
        <f>+N47*Q47/I47</f>
        <v/>
      </c>
      <c r="X47" s="0" t="n">
        <v>0.02679102995492885</v>
      </c>
      <c r="Y47" s="0">
        <f>IF(X47&gt;0,1/X47^0.5,1)</f>
        <v/>
      </c>
      <c r="Z47" s="0">
        <f>IF(X47&gt;0,1.14-2*LOG((0.72*L47*E47)/(X47*Q47*N47^2)+9.35/(W47*X47^0.5)),0)</f>
        <v/>
      </c>
      <c r="AA47" s="0">
        <f>+Y47-Z47</f>
        <v/>
      </c>
      <c r="AB47" s="0">
        <f>32/X47*L47*V47*E47/N47^2</f>
        <v/>
      </c>
      <c r="AC47" s="0" t="n">
        <v>670.809159980376</v>
      </c>
      <c r="AD47" s="0">
        <f>+Q47/2*AI47/I47*E47</f>
        <v/>
      </c>
      <c r="AE47" s="0">
        <f>+gettm2(AD47,AC47,AK47,AL47,テーブル2[[#This Row],[Fcorr]])</f>
        <v/>
      </c>
      <c r="AF47" s="38">
        <f>+AE47-U47</f>
        <v/>
      </c>
      <c r="AG47" s="0" t="n">
        <v>1.872760218016503e-05</v>
      </c>
      <c r="AH47" s="0">
        <f>+X47*N47^2/(8*E47)</f>
        <v/>
      </c>
      <c r="AI47" s="0">
        <f>+(AH47/E47)^0.5</f>
        <v/>
      </c>
      <c r="AJ47" s="0">
        <f>+AG47*AI47/I47*E47</f>
        <v/>
      </c>
      <c r="AK47" s="0">
        <f t="array" ref="AK47">+S47*テーブル2[[#This Row],[F_form]]/(E47*CpFromTP((テーブル2[[#This Row],[Tin]]+テーブル2[[#This Row],[Tf]])/2,テーブル2[[#This Row],[P]])*AI47)</f>
        <v/>
      </c>
      <c r="AL47" s="0">
        <f>+K47*I47/J47</f>
        <v/>
      </c>
      <c r="AM47" s="0">
        <f>+gettyp(AC47,AJ47,AK47,AL47)</f>
        <v/>
      </c>
      <c r="AN47" s="0">
        <f>+C47-AM47</f>
        <v/>
      </c>
      <c r="AO47" s="0">
        <f>+AG47-AB47</f>
        <v/>
      </c>
      <c r="AP47" s="0" t="n">
        <v>3.416408220884233</v>
      </c>
      <c r="AQ47" s="0">
        <f>2*PI()*L47*(D47+E47)/(D47*E47*AP47^2)</f>
        <v/>
      </c>
      <c r="AR47" s="0">
        <f>+AO47+AB47/2</f>
        <v/>
      </c>
      <c r="AS47" s="0">
        <f>+AR47*AI47/I47*E47</f>
        <v/>
      </c>
      <c r="AT47" s="0">
        <f>+getublp(AS47)</f>
        <v/>
      </c>
      <c r="AU47" s="0">
        <f>+AT47*AI47</f>
        <v/>
      </c>
      <c r="AV47" s="0">
        <f>+AP47-AU47</f>
        <v/>
      </c>
      <c r="AW47" s="0">
        <f>2/3*AB47/(L47/(9.8*(E47-D47)))^0.5</f>
        <v/>
      </c>
      <c r="AX47" s="0">
        <f>+(2*AQ47*9.8*(E47-D47)/(E47*AW47))^0.5</f>
        <v/>
      </c>
      <c r="AY47" s="0">
        <f>+AV47-AX47</f>
        <v/>
      </c>
      <c r="AZ47" s="0">
        <f>+F47-G47</f>
        <v/>
      </c>
      <c r="BA47" s="0">
        <f>+AQ47/AP47</f>
        <v/>
      </c>
      <c r="BB47" s="15">
        <f>+E47*AO47*AZ47/BA47</f>
        <v/>
      </c>
      <c r="BC47" s="20">
        <f>BB47-S47</f>
        <v/>
      </c>
      <c r="BD47" s="19">
        <f>+(BB47-S47)/S47*100</f>
        <v/>
      </c>
      <c r="BE47" s="15" t="n">
        <v>4164600</v>
      </c>
      <c r="BF47" s="16">
        <f>テーブル2[[#This Row],[q_P]]/テーブル2[[#This Row],[q_M]]</f>
        <v/>
      </c>
      <c r="BG47" s="0" t="n">
        <v>1</v>
      </c>
      <c r="BH47" s="0" t="n">
        <v>-0.039</v>
      </c>
      <c r="BI47" s="0" t="n">
        <v>0.046</v>
      </c>
      <c r="BJ47" s="0" t="n">
        <v>5625</v>
      </c>
      <c r="BK47" s="22" t="n">
        <v>1</v>
      </c>
      <c r="BL47" s="0">
        <f>テーブル2[[#This Row],[Ts]]-テーブル2[[#This Row],[Tin]]</f>
        <v/>
      </c>
      <c r="BM47" s="0">
        <f>テーブル2[[#This Row],[q_P]]*0.000001</f>
        <v/>
      </c>
      <c r="BN47" s="0">
        <f>テーブル2[[#This Row],[Tsub]]</f>
        <v/>
      </c>
      <c r="BO47" s="0">
        <f>テーブル2[[#This Row],[Fcorr]]</f>
        <v/>
      </c>
      <c r="BP47" s="0">
        <f>(テーブル2[[#This Row],[Tsub]]-40)^2</f>
        <v/>
      </c>
      <c r="BQ47" t="n">
        <v>1</v>
      </c>
      <c r="BR47" s="0" t="n">
        <v>0.3048</v>
      </c>
    </row>
    <row r="48">
      <c r="A48" s="9" t="inlineStr">
        <is>
          <t>137.01_10</t>
        </is>
      </c>
      <c r="B48" s="0" t="n">
        <v>13789520</v>
      </c>
      <c r="C48" s="22">
        <f t="array" ref="C48">TsatFromP(テーブル2[[#This Row],[P]])</f>
        <v/>
      </c>
      <c r="D48" s="0">
        <f t="array" ref="D48">RhoGFromP(テーブル2[[#This Row],[P]])</f>
        <v/>
      </c>
      <c r="E48" s="0">
        <f t="array" ref="E48">RhoFFromP(テーブル2[[#This Row],[P]])</f>
        <v/>
      </c>
      <c r="F48" s="0">
        <f t="array" ref="F48">HgFromP(テーブル2[[#This Row],[P]])</f>
        <v/>
      </c>
      <c r="G48" s="0">
        <f t="array" ref="G48">HfFromP(テーブル2[[#This Row],[P]])</f>
        <v/>
      </c>
      <c r="H48" s="0">
        <f t="array" ref="H48">MuGFromP(テーブル2[[#This Row],[P]])</f>
        <v/>
      </c>
      <c r="I48" s="0">
        <f t="array" ref="I48">MuFFromP(テーブル2[[#This Row],[P]])</f>
        <v/>
      </c>
      <c r="J48" s="0">
        <f t="array" ref="J48">KfFromP(テーブル2[[#This Row],[P]])</f>
        <v/>
      </c>
      <c r="K48" s="0">
        <f t="array" ref="K48">CpFFromP(テーブル2[[#This Row],[P]])</f>
        <v/>
      </c>
      <c r="L48" s="0">
        <f t="array" ref="L48">SigmaFromP(テーブル2[[#This Row],[P]])</f>
        <v/>
      </c>
      <c r="M48" s="23" t="n">
        <v>47</v>
      </c>
      <c r="N48" s="0" t="n">
        <v>2797.428</v>
      </c>
      <c r="O48" s="8" t="n">
        <v>1.753005194685703e-05</v>
      </c>
      <c r="P48" s="8" t="n">
        <v>0.01484214033261962</v>
      </c>
      <c r="Q48" s="8" t="n">
        <v>0.0047244</v>
      </c>
      <c r="R48" s="0" t="n">
        <v>0.3048</v>
      </c>
      <c r="S48" s="15" t="n">
        <v>3260827.35928125</v>
      </c>
      <c r="T48" s="0" t="n">
        <v>531.212292416884</v>
      </c>
      <c r="U48" s="37">
        <f>+T48+BG48*S48*テーブル2[[#This Row],[Pw]]*R48/(N48*O48*K48)</f>
        <v/>
      </c>
      <c r="V48" s="0" t="n">
        <v>0.03</v>
      </c>
      <c r="W48" s="8">
        <f>+N48*Q48/I48</f>
        <v/>
      </c>
      <c r="X48" s="0" t="n">
        <v>0.02677442278858803</v>
      </c>
      <c r="Y48" s="0">
        <f>IF(X48&gt;0,1/X48^0.5,1)</f>
        <v/>
      </c>
      <c r="Z48" s="0">
        <f>IF(X48&gt;0,1.14-2*LOG((0.72*L48*E48)/(X48*Q48*N48^2)+9.35/(W48*X48^0.5)),0)</f>
        <v/>
      </c>
      <c r="AA48" s="0">
        <f>+Y48-Z48</f>
        <v/>
      </c>
      <c r="AB48" s="0">
        <f>32/X48*L48*V48*E48/N48^2</f>
        <v/>
      </c>
      <c r="AC48" s="0" t="n">
        <v>672.2513206248199</v>
      </c>
      <c r="AD48" s="0">
        <f>+Q48/2*AI48/I48*E48</f>
        <v/>
      </c>
      <c r="AE48" s="0">
        <f>+gettm2(AD48,AC48,AK48,AL48,テーブル2[[#This Row],[Fcorr]])</f>
        <v/>
      </c>
      <c r="AF48" s="38">
        <f>+AE48-U48</f>
        <v/>
      </c>
      <c r="AG48" s="0" t="n">
        <v>1.868544557350851e-05</v>
      </c>
      <c r="AH48" s="0">
        <f>+X48*N48^2/(8*E48)</f>
        <v/>
      </c>
      <c r="AI48" s="0">
        <f>+(AH48/E48)^0.5</f>
        <v/>
      </c>
      <c r="AJ48" s="0">
        <f>+AG48*AI48/I48*E48</f>
        <v/>
      </c>
      <c r="AK48" s="0">
        <f t="array" ref="AK48">+S48*テーブル2[[#This Row],[F_form]]/(E48*CpFromTP((テーブル2[[#This Row],[Tin]]+テーブル2[[#This Row],[Tf]])/2,テーブル2[[#This Row],[P]])*AI48)</f>
        <v/>
      </c>
      <c r="AL48" s="0">
        <f>+K48*I48/J48</f>
        <v/>
      </c>
      <c r="AM48" s="0">
        <f>+gettyp(AC48,AJ48,AK48,AL48)</f>
        <v/>
      </c>
      <c r="AN48" s="0">
        <f>+C48-AM48</f>
        <v/>
      </c>
      <c r="AO48" s="0">
        <f>+AG48-AB48</f>
        <v/>
      </c>
      <c r="AP48" s="0" t="n">
        <v>3.418752802695344</v>
      </c>
      <c r="AQ48" s="0">
        <f>2*PI()*L48*(D48+E48)/(D48*E48*AP48^2)</f>
        <v/>
      </c>
      <c r="AR48" s="0">
        <f>+AO48+AB48/2</f>
        <v/>
      </c>
      <c r="AS48" s="0">
        <f>+AR48*AI48/I48*E48</f>
        <v/>
      </c>
      <c r="AT48" s="0">
        <f>+getublp(AS48)</f>
        <v/>
      </c>
      <c r="AU48" s="0">
        <f>+AT48*AI48</f>
        <v/>
      </c>
      <c r="AV48" s="0">
        <f>+AP48-AU48</f>
        <v/>
      </c>
      <c r="AW48" s="0">
        <f>2/3*AB48/(L48/(9.8*(E48-D48)))^0.5</f>
        <v/>
      </c>
      <c r="AX48" s="0">
        <f>+(2*AQ48*9.8*(E48-D48)/(E48*AW48))^0.5</f>
        <v/>
      </c>
      <c r="AY48" s="0">
        <f>+AV48-AX48</f>
        <v/>
      </c>
      <c r="AZ48" s="0">
        <f>+F48-G48</f>
        <v/>
      </c>
      <c r="BA48" s="0">
        <f>+AQ48/AP48</f>
        <v/>
      </c>
      <c r="BB48" s="15">
        <f>+E48*AO48*AZ48/BA48</f>
        <v/>
      </c>
      <c r="BC48" s="20">
        <f>BB48-S48</f>
        <v/>
      </c>
      <c r="BD48" s="19">
        <f>+(BB48-S48)/S48*100</f>
        <v/>
      </c>
      <c r="BE48" s="15" t="n">
        <v>4312885</v>
      </c>
      <c r="BF48" s="16">
        <f>テーブル2[[#This Row],[q_P]]/テーブル2[[#This Row],[q_M]]</f>
        <v/>
      </c>
      <c r="BG48" s="0" t="n">
        <v>1</v>
      </c>
      <c r="BH48" s="0" t="n">
        <v>-0.036</v>
      </c>
      <c r="BI48" s="0" t="n">
        <v>0.046</v>
      </c>
      <c r="BJ48" s="0" t="n">
        <v>5625</v>
      </c>
      <c r="BK48" s="22" t="n">
        <v>1</v>
      </c>
      <c r="BL48" s="0">
        <f>テーブル2[[#This Row],[Ts]]-テーブル2[[#This Row],[Tin]]</f>
        <v/>
      </c>
      <c r="BM48" s="0">
        <f>テーブル2[[#This Row],[q_P]]*0.000001</f>
        <v/>
      </c>
      <c r="BN48" s="0">
        <f>テーブル2[[#This Row],[Tsub]]</f>
        <v/>
      </c>
      <c r="BO48" s="0">
        <f>テーブル2[[#This Row],[Fcorr]]</f>
        <v/>
      </c>
      <c r="BP48" s="0">
        <f>(テーブル2[[#This Row],[Tsub]]-40)^2</f>
        <v/>
      </c>
      <c r="BQ48" t="n">
        <v>1</v>
      </c>
      <c r="BR48" s="0" t="n">
        <v>0.3048</v>
      </c>
    </row>
    <row r="49">
      <c r="A49" s="9" t="inlineStr">
        <is>
          <t>138.01_10</t>
        </is>
      </c>
      <c r="B49" s="0" t="n">
        <v>13789520</v>
      </c>
      <c r="C49" s="22">
        <f t="array" ref="C49">TsatFromP(テーブル2[[#This Row],[P]])</f>
        <v/>
      </c>
      <c r="D49" s="0">
        <f t="array" ref="D49">RhoGFromP(テーブル2[[#This Row],[P]])</f>
        <v/>
      </c>
      <c r="E49" s="0">
        <f t="array" ref="E49">RhoFFromP(テーブル2[[#This Row],[P]])</f>
        <v/>
      </c>
      <c r="F49" s="0">
        <f t="array" ref="F49">HgFromP(テーブル2[[#This Row],[P]])</f>
        <v/>
      </c>
      <c r="G49" s="0">
        <f t="array" ref="G49">HfFromP(テーブル2[[#This Row],[P]])</f>
        <v/>
      </c>
      <c r="H49" s="0">
        <f t="array" ref="H49">MuGFromP(テーブル2[[#This Row],[P]])</f>
        <v/>
      </c>
      <c r="I49" s="0">
        <f t="array" ref="I49">MuFFromP(テーブル2[[#This Row],[P]])</f>
        <v/>
      </c>
      <c r="J49" s="0">
        <f t="array" ref="J49">KfFromP(テーブル2[[#This Row],[P]])</f>
        <v/>
      </c>
      <c r="K49" s="0">
        <f t="array" ref="K49">CpFFromP(テーブル2[[#This Row],[P]])</f>
        <v/>
      </c>
      <c r="L49" s="0">
        <f t="array" ref="L49">SigmaFromP(テーブル2[[#This Row],[P]])</f>
        <v/>
      </c>
      <c r="M49" s="0" t="n">
        <v>48</v>
      </c>
      <c r="N49" s="0" t="n">
        <v>2797.428</v>
      </c>
      <c r="O49" s="8" t="n">
        <v>1.753005194685703e-05</v>
      </c>
      <c r="P49" s="8" t="n">
        <v>0.01484214033261962</v>
      </c>
      <c r="Q49" s="8" t="n">
        <v>0.0047244</v>
      </c>
      <c r="R49" s="0" t="n">
        <v>0.3048</v>
      </c>
      <c r="S49" s="15" t="n">
        <v>3197649.12109375</v>
      </c>
      <c r="T49" s="0" t="n">
        <v>532.848711118157</v>
      </c>
      <c r="U49" s="37">
        <f>+T49+BG49*S49*テーブル2[[#This Row],[Pw]]*R49/(N49*O49*K49)</f>
        <v/>
      </c>
      <c r="V49" s="0" t="n">
        <v>0.03</v>
      </c>
      <c r="W49" s="8">
        <f>+N49*Q49/I49</f>
        <v/>
      </c>
      <c r="X49" s="0" t="n">
        <v>0.02677442278858803</v>
      </c>
      <c r="Y49" s="0">
        <f>IF(X49&gt;0,1/X49^0.5,1)</f>
        <v/>
      </c>
      <c r="Z49" s="0">
        <f>IF(X49&gt;0,1.14-2*LOG((0.72*L49*E49)/(X49*Q49*N49^2)+9.35/(W49*X49^0.5)),0)</f>
        <v/>
      </c>
      <c r="AA49" s="0">
        <f>+Y49-Z49</f>
        <v/>
      </c>
      <c r="AB49" s="0">
        <f>32/X49*L49*V49*E49/N49^2</f>
        <v/>
      </c>
      <c r="AC49" s="0" t="n">
        <v>670.7903682206959</v>
      </c>
      <c r="AD49" s="0">
        <f>+Q49/2*AI49/I49*E49</f>
        <v/>
      </c>
      <c r="AE49" s="0">
        <f>+gettm2(AD49,AC49,AK49,AL49,テーブル2[[#This Row],[Fcorr]])</f>
        <v/>
      </c>
      <c r="AF49" s="38">
        <f>+AE49-U49</f>
        <v/>
      </c>
      <c r="AG49" s="0" t="n">
        <v>1.868489078423413e-05</v>
      </c>
      <c r="AH49" s="0">
        <f>+X49*N49^2/(8*E49)</f>
        <v/>
      </c>
      <c r="AI49" s="0">
        <f>+(AH49/E49)^0.5</f>
        <v/>
      </c>
      <c r="AJ49" s="0">
        <f>+AG49*AI49/I49*E49</f>
        <v/>
      </c>
      <c r="AK49" s="0">
        <f t="array" ref="AK49">+S49*テーブル2[[#This Row],[F_form]]/(E49*CpFromTP((テーブル2[[#This Row],[Tin]]+テーブル2[[#This Row],[Tf]])/2,テーブル2[[#This Row],[P]])*AI49)</f>
        <v/>
      </c>
      <c r="AL49" s="0">
        <f>+K49*I49/J49</f>
        <v/>
      </c>
      <c r="AM49" s="0">
        <f>+gettyp(AC49,AJ49,AK49,AL49)</f>
        <v/>
      </c>
      <c r="AN49" s="0">
        <f>+C49-AM49</f>
        <v/>
      </c>
      <c r="AO49" s="0">
        <f>+AG49-AB49</f>
        <v/>
      </c>
      <c r="AP49" s="0" t="n">
        <v>3.418681696763231</v>
      </c>
      <c r="AQ49" s="0">
        <f>2*PI()*L49*(D49+E49)/(D49*E49*AP49^2)</f>
        <v/>
      </c>
      <c r="AR49" s="0">
        <f>+AO49+AB49/2</f>
        <v/>
      </c>
      <c r="AS49" s="0">
        <f>+AR49*AI49/I49*E49</f>
        <v/>
      </c>
      <c r="AT49" s="0">
        <f>+getublp(AS49)</f>
        <v/>
      </c>
      <c r="AU49" s="0">
        <f>+AT49*AI49</f>
        <v/>
      </c>
      <c r="AV49" s="0">
        <f>+AP49-AU49</f>
        <v/>
      </c>
      <c r="AW49" s="0">
        <f>2/3*AB49/(L49/(9.8*(E49-D49)))^0.5</f>
        <v/>
      </c>
      <c r="AX49" s="0">
        <f>+(2*AQ49*9.8*(E49-D49)/(E49*AW49))^0.5</f>
        <v/>
      </c>
      <c r="AY49" s="0">
        <f>+AV49-AX49</f>
        <v/>
      </c>
      <c r="AZ49" s="0">
        <f>+F49-G49</f>
        <v/>
      </c>
      <c r="BA49" s="0">
        <f>+AQ49/AP49</f>
        <v/>
      </c>
      <c r="BB49" s="15">
        <f>+E49*AO49*AZ49/BA49</f>
        <v/>
      </c>
      <c r="BC49" s="20">
        <f>BB49-S49</f>
        <v/>
      </c>
      <c r="BD49" s="19">
        <f>+(BB49-S49)/S49*100</f>
        <v/>
      </c>
      <c r="BE49" s="15" t="n">
        <v>4259250</v>
      </c>
      <c r="BF49" s="16">
        <f>テーブル2[[#This Row],[q_P]]/テーブル2[[#This Row],[q_M]]</f>
        <v/>
      </c>
      <c r="BG49" s="0" t="n">
        <v>1</v>
      </c>
      <c r="BH49" s="0" t="n">
        <v>-0.033</v>
      </c>
      <c r="BI49" s="0" t="n">
        <v>0.046</v>
      </c>
      <c r="BJ49" s="0" t="n">
        <v>5625</v>
      </c>
      <c r="BK49" s="22" t="n">
        <v>1</v>
      </c>
      <c r="BL49" s="0">
        <f>テーブル2[[#This Row],[Ts]]-テーブル2[[#This Row],[Tin]]</f>
        <v/>
      </c>
      <c r="BM49" s="0">
        <f>テーブル2[[#This Row],[q_P]]*0.000001</f>
        <v/>
      </c>
      <c r="BN49" s="0">
        <f>テーブル2[[#This Row],[Tsub]]</f>
        <v/>
      </c>
      <c r="BO49" s="0">
        <f>テーブル2[[#This Row],[Fcorr]]</f>
        <v/>
      </c>
      <c r="BP49" s="0">
        <f>(テーブル2[[#This Row],[Tsub]]-40)^2</f>
        <v/>
      </c>
      <c r="BQ49" t="n">
        <v>1</v>
      </c>
      <c r="BR49" s="0" t="n">
        <v>0.3048</v>
      </c>
    </row>
    <row r="50">
      <c r="A50" s="9" t="inlineStr">
        <is>
          <t>139.01_10</t>
        </is>
      </c>
      <c r="B50" s="0" t="n">
        <v>13789520</v>
      </c>
      <c r="C50" s="22">
        <f t="array" ref="C50">TsatFromP(テーブル2[[#This Row],[P]])</f>
        <v/>
      </c>
      <c r="D50" s="0">
        <f t="array" ref="D50">RhoGFromP(テーブル2[[#This Row],[P]])</f>
        <v/>
      </c>
      <c r="E50" s="0">
        <f t="array" ref="E50">RhoFFromP(テーブル2[[#This Row],[P]])</f>
        <v/>
      </c>
      <c r="F50" s="0">
        <f t="array" ref="F50">HgFromP(テーブル2[[#This Row],[P]])</f>
        <v/>
      </c>
      <c r="G50" s="0">
        <f t="array" ref="G50">HfFromP(テーブル2[[#This Row],[P]])</f>
        <v/>
      </c>
      <c r="H50" s="0">
        <f t="array" ref="H50">MuGFromP(テーブル2[[#This Row],[P]])</f>
        <v/>
      </c>
      <c r="I50" s="0">
        <f t="array" ref="I50">MuFFromP(テーブル2[[#This Row],[P]])</f>
        <v/>
      </c>
      <c r="J50" s="0">
        <f t="array" ref="J50">KfFromP(テーブル2[[#This Row],[P]])</f>
        <v/>
      </c>
      <c r="K50" s="0">
        <f t="array" ref="K50">CpFFromP(テーブル2[[#This Row],[P]])</f>
        <v/>
      </c>
      <c r="L50" s="0">
        <f t="array" ref="L50">SigmaFromP(テーブル2[[#This Row],[P]])</f>
        <v/>
      </c>
      <c r="M50" s="23" t="n">
        <v>49</v>
      </c>
      <c r="N50" s="0" t="n">
        <v>2820.48</v>
      </c>
      <c r="O50" s="8" t="n">
        <v>1.753005194685703e-05</v>
      </c>
      <c r="P50" s="8" t="n">
        <v>0.01484214033261962</v>
      </c>
      <c r="Q50" s="8" t="n">
        <v>0.0047244</v>
      </c>
      <c r="R50" s="0" t="n">
        <v>0.3048</v>
      </c>
      <c r="S50" s="15" t="n">
        <v>3252995.56440625</v>
      </c>
      <c r="T50" s="0" t="n">
        <v>531.886813815944</v>
      </c>
      <c r="U50" s="37">
        <f>+T50+BG50*S50*テーブル2[[#This Row],[Pw]]*R50/(N50*O50*K50)</f>
        <v/>
      </c>
      <c r="V50" s="0" t="n">
        <v>0.03</v>
      </c>
      <c r="W50" s="8">
        <f>+N50*Q50/I50</f>
        <v/>
      </c>
      <c r="X50" s="0" t="n">
        <v>0.02668105000629308</v>
      </c>
      <c r="Y50" s="0">
        <f>IF(X50&gt;0,1/X50^0.5,1)</f>
        <v/>
      </c>
      <c r="Z50" s="0">
        <f>IF(X50&gt;0,1.14-2*LOG((0.72*L50*E50)/(X50*Q50*N50^2)+9.35/(W50*X50^0.5)),0)</f>
        <v/>
      </c>
      <c r="AA50" s="0">
        <f>+Y50-Z50</f>
        <v/>
      </c>
      <c r="AB50" s="0">
        <f>32/X50*L50*V50*E50/N50^2</f>
        <v/>
      </c>
      <c r="AC50" s="0" t="n">
        <v>671.5408290877396</v>
      </c>
      <c r="AD50" s="0">
        <f>+Q50/2*AI50/I50*E50</f>
        <v/>
      </c>
      <c r="AE50" s="0">
        <f>+gettm2(AD50,AC50,AK50,AL50,テーブル2[[#This Row],[Fcorr]])</f>
        <v/>
      </c>
      <c r="AF50" s="38">
        <f>+AE50-U50</f>
        <v/>
      </c>
      <c r="AG50" s="0" t="n">
        <v>1.844592718214933e-05</v>
      </c>
      <c r="AH50" s="0">
        <f>+X50*N50^2/(8*E50)</f>
        <v/>
      </c>
      <c r="AI50" s="0">
        <f>+(AH50/E50)^0.5</f>
        <v/>
      </c>
      <c r="AJ50" s="0">
        <f>+AG50*AI50/I50*E50</f>
        <v/>
      </c>
      <c r="AK50" s="0">
        <f t="array" ref="AK50">+S50*テーブル2[[#This Row],[F_form]]/(E50*CpFromTP((テーブル2[[#This Row],[Tin]]+テーブル2[[#This Row],[Tf]])/2,テーブル2[[#This Row],[P]])*AI50)</f>
        <v/>
      </c>
      <c r="AL50" s="0">
        <f>+K50*I50/J50</f>
        <v/>
      </c>
      <c r="AM50" s="0">
        <f>+gettyp(AC50,AJ50,AK50,AL50)</f>
        <v/>
      </c>
      <c r="AN50" s="0">
        <f>+C50-AM50</f>
        <v/>
      </c>
      <c r="AO50" s="0">
        <f>+AG50-AB50</f>
        <v/>
      </c>
      <c r="AP50" s="0" t="n">
        <v>3.431541372296644</v>
      </c>
      <c r="AQ50" s="0">
        <f>2*PI()*L50*(D50+E50)/(D50*E50*AP50^2)</f>
        <v/>
      </c>
      <c r="AR50" s="0">
        <f>+AO50+AB50/2</f>
        <v/>
      </c>
      <c r="AS50" s="0">
        <f>+AR50*AI50/I50*E50</f>
        <v/>
      </c>
      <c r="AT50" s="0">
        <f>+getublp(AS50)</f>
        <v/>
      </c>
      <c r="AU50" s="0">
        <f>+AT50*AI50</f>
        <v/>
      </c>
      <c r="AV50" s="0">
        <f>+AP50-AU50</f>
        <v/>
      </c>
      <c r="AW50" s="0">
        <f>2/3*AB50/(L50/(9.8*(E50-D50)))^0.5</f>
        <v/>
      </c>
      <c r="AX50" s="0">
        <f>+(2*AQ50*9.8*(E50-D50)/(E50*AW50))^0.5</f>
        <v/>
      </c>
      <c r="AY50" s="0">
        <f>+AV50-AX50</f>
        <v/>
      </c>
      <c r="AZ50" s="0">
        <f>+F50-G50</f>
        <v/>
      </c>
      <c r="BA50" s="0">
        <f>+AQ50/AP50</f>
        <v/>
      </c>
      <c r="BB50" s="15">
        <f>+E50*AO50*AZ50/BA50</f>
        <v/>
      </c>
      <c r="BC50" s="20">
        <f>BB50-S50</f>
        <v/>
      </c>
      <c r="BD50" s="19">
        <f>+(BB50-S50)/S50*100</f>
        <v/>
      </c>
      <c r="BE50" s="15" t="n">
        <v>4284490</v>
      </c>
      <c r="BF50" s="16">
        <f>テーブル2[[#This Row],[q_P]]/テーブル2[[#This Row],[q_M]]</f>
        <v/>
      </c>
      <c r="BG50" s="0" t="n">
        <v>1</v>
      </c>
      <c r="BH50" s="0" t="n">
        <v>-0.039</v>
      </c>
      <c r="BI50" s="0" t="n">
        <v>0.046</v>
      </c>
      <c r="BJ50" s="0" t="n">
        <v>5625</v>
      </c>
      <c r="BK50" s="22" t="n">
        <v>1</v>
      </c>
      <c r="BL50" s="0">
        <f>テーブル2[[#This Row],[Ts]]-テーブル2[[#This Row],[Tin]]</f>
        <v/>
      </c>
      <c r="BM50" s="0">
        <f>テーブル2[[#This Row],[q_P]]*0.000001</f>
        <v/>
      </c>
      <c r="BN50" s="0">
        <f>テーブル2[[#This Row],[Tsub]]</f>
        <v/>
      </c>
      <c r="BO50" s="0">
        <f>テーブル2[[#This Row],[Fcorr]]</f>
        <v/>
      </c>
      <c r="BP50" s="0">
        <f>(テーブル2[[#This Row],[Tsub]]-40)^2</f>
        <v/>
      </c>
      <c r="BQ50" t="n">
        <v>1</v>
      </c>
      <c r="BR50" s="0" t="n">
        <v>0.3048</v>
      </c>
    </row>
    <row r="51">
      <c r="A51" s="9" t="inlineStr">
        <is>
          <t>140.01_10</t>
        </is>
      </c>
      <c r="B51" s="0" t="n">
        <v>13789520</v>
      </c>
      <c r="C51" s="22">
        <f t="array" ref="C51">TsatFromP(テーブル2[[#This Row],[P]])</f>
        <v/>
      </c>
      <c r="D51" s="0">
        <f t="array" ref="D51">RhoGFromP(テーブル2[[#This Row],[P]])</f>
        <v/>
      </c>
      <c r="E51" s="0">
        <f t="array" ref="E51">RhoFFromP(テーブル2[[#This Row],[P]])</f>
        <v/>
      </c>
      <c r="F51" s="0">
        <f t="array" ref="F51">HgFromP(テーブル2[[#This Row],[P]])</f>
        <v/>
      </c>
      <c r="G51" s="0">
        <f t="array" ref="G51">HfFromP(テーブル2[[#This Row],[P]])</f>
        <v/>
      </c>
      <c r="H51" s="0">
        <f t="array" ref="H51">MuGFromP(テーブル2[[#This Row],[P]])</f>
        <v/>
      </c>
      <c r="I51" s="0">
        <f t="array" ref="I51">MuFFromP(テーブル2[[#This Row],[P]])</f>
        <v/>
      </c>
      <c r="J51" s="0">
        <f t="array" ref="J51">KfFromP(テーブル2[[#This Row],[P]])</f>
        <v/>
      </c>
      <c r="K51" s="0">
        <f t="array" ref="K51">CpFFromP(テーブル2[[#This Row],[P]])</f>
        <v/>
      </c>
      <c r="L51" s="0">
        <f t="array" ref="L51">SigmaFromP(テーブル2[[#This Row],[P]])</f>
        <v/>
      </c>
      <c r="M51" s="0" t="n">
        <v>50</v>
      </c>
      <c r="N51" s="0" t="n">
        <v>2834.04</v>
      </c>
      <c r="O51" s="8" t="n">
        <v>1.753005194685703e-05</v>
      </c>
      <c r="P51" s="8" t="n">
        <v>0.01484214033261962</v>
      </c>
      <c r="Q51" s="8" t="n">
        <v>0.0047244</v>
      </c>
      <c r="R51" s="0" t="n">
        <v>0.3048</v>
      </c>
      <c r="S51" s="15" t="n">
        <v>3312442.98515625</v>
      </c>
      <c r="T51" s="0" t="n">
        <v>530.633355507634</v>
      </c>
      <c r="U51" s="37">
        <f>+T51+BG51*S51*テーブル2[[#This Row],[Pw]]*R51/(N51*O51*K51)</f>
        <v/>
      </c>
      <c r="V51" s="0" t="n">
        <v>0.03</v>
      </c>
      <c r="W51" s="8">
        <f>+N51*Q51/I51</f>
        <v/>
      </c>
      <c r="X51" s="0" t="n">
        <v>0.02662670064584922</v>
      </c>
      <c r="Y51" s="0">
        <f>IF(X51&gt;0,1/X51^0.5,1)</f>
        <v/>
      </c>
      <c r="Z51" s="0">
        <f>IF(X51&gt;0,1.14-2*LOG((0.72*L51*E51)/(X51*Q51*N51^2)+9.35/(W51*X51^0.5)),0)</f>
        <v/>
      </c>
      <c r="AA51" s="0">
        <f>+Y51-Z51</f>
        <v/>
      </c>
      <c r="AB51" s="0">
        <f>32/X51*L51*V51*E51/N51^2</f>
        <v/>
      </c>
      <c r="AC51" s="0" t="n">
        <v>672.5947533473893</v>
      </c>
      <c r="AD51" s="0">
        <f>+Q51/2*AI51/I51*E51</f>
        <v/>
      </c>
      <c r="AE51" s="0">
        <f>+gettm2(AD51,AC51,AK51,AL51,テーブル2[[#This Row],[Fcorr]])</f>
        <v/>
      </c>
      <c r="AF51" s="38">
        <f>+AE51-U51</f>
        <v/>
      </c>
      <c r="AG51" s="0" t="n">
        <v>1.830833352154118e-05</v>
      </c>
      <c r="AH51" s="0">
        <f>+X51*N51^2/(8*E51)</f>
        <v/>
      </c>
      <c r="AI51" s="0">
        <f>+(AH51/E51)^0.5</f>
        <v/>
      </c>
      <c r="AJ51" s="0">
        <f>+AG51*AI51/I51*E51</f>
        <v/>
      </c>
      <c r="AK51" s="0">
        <f t="array" ref="AK51">+S51*テーブル2[[#This Row],[F_form]]/(E51*CpFromTP((テーブル2[[#This Row],[Tin]]+テーブル2[[#This Row],[Tf]])/2,テーブル2[[#This Row],[P]])*AI51)</f>
        <v/>
      </c>
      <c r="AL51" s="0">
        <f>+K51*I51/J51</f>
        <v/>
      </c>
      <c r="AM51" s="0">
        <f>+gettyp(AC51,AJ51,AK51,AL51)</f>
        <v/>
      </c>
      <c r="AN51" s="0">
        <f>+C51-AM51</f>
        <v/>
      </c>
      <c r="AO51" s="0">
        <f>+AG51-AB51</f>
        <v/>
      </c>
      <c r="AP51" s="0" t="n">
        <v>3.439164142795204</v>
      </c>
      <c r="AQ51" s="0">
        <f>2*PI()*L51*(D51+E51)/(D51*E51*AP51^2)</f>
        <v/>
      </c>
      <c r="AR51" s="0">
        <f>+AO51+AB51/2</f>
        <v/>
      </c>
      <c r="AS51" s="0">
        <f>+AR51*AI51/I51*E51</f>
        <v/>
      </c>
      <c r="AT51" s="0">
        <f>+getublp(AS51)</f>
        <v/>
      </c>
      <c r="AU51" s="0">
        <f>+AT51*AI51</f>
        <v/>
      </c>
      <c r="AV51" s="0">
        <f>+AP51-AU51</f>
        <v/>
      </c>
      <c r="AW51" s="0">
        <f>2/3*AB51/(L51/(9.8*(E51-D51)))^0.5</f>
        <v/>
      </c>
      <c r="AX51" s="0">
        <f>+(2*AQ51*9.8*(E51-D51)/(E51*AW51))^0.5</f>
        <v/>
      </c>
      <c r="AY51" s="0">
        <f>+AV51-AX51</f>
        <v/>
      </c>
      <c r="AZ51" s="0">
        <f>+F51-G51</f>
        <v/>
      </c>
      <c r="BA51" s="0">
        <f>+AQ51/AP51</f>
        <v/>
      </c>
      <c r="BB51" s="15">
        <f>+E51*AO51*AZ51/BA51</f>
        <v/>
      </c>
      <c r="BC51" s="20">
        <f>BB51-S51</f>
        <v/>
      </c>
      <c r="BD51" s="19">
        <f>+(BB51-S51)/S51*100</f>
        <v/>
      </c>
      <c r="BE51" s="15" t="n">
        <v>4290800</v>
      </c>
      <c r="BF51" s="16">
        <f>テーブル2[[#This Row],[q_P]]/テーブル2[[#This Row],[q_M]]</f>
        <v/>
      </c>
      <c r="BG51" s="0" t="n">
        <v>1</v>
      </c>
      <c r="BH51" s="0" t="n">
        <v>-0.045</v>
      </c>
      <c r="BI51" s="0" t="n">
        <v>0.046</v>
      </c>
      <c r="BJ51" s="0" t="n">
        <v>5625</v>
      </c>
      <c r="BK51" s="22" t="n">
        <v>1</v>
      </c>
      <c r="BL51" s="0">
        <f>テーブル2[[#This Row],[Ts]]-テーブル2[[#This Row],[Tin]]</f>
        <v/>
      </c>
      <c r="BM51" s="0">
        <f>テーブル2[[#This Row],[q_P]]*0.000001</f>
        <v/>
      </c>
      <c r="BN51" s="0">
        <f>テーブル2[[#This Row],[Tsub]]</f>
        <v/>
      </c>
      <c r="BO51" s="0">
        <f>テーブル2[[#This Row],[Fcorr]]</f>
        <v/>
      </c>
      <c r="BP51" s="0">
        <f>(テーブル2[[#This Row],[Tsub]]-40)^2</f>
        <v/>
      </c>
      <c r="BQ51" t="n">
        <v>1</v>
      </c>
      <c r="BR51" s="0" t="n">
        <v>0.3048</v>
      </c>
    </row>
    <row r="52">
      <c r="A52" s="9" t="inlineStr">
        <is>
          <t>141.01_10</t>
        </is>
      </c>
      <c r="B52" s="0" t="n">
        <v>13789520</v>
      </c>
      <c r="C52" s="22">
        <f t="array" ref="C52">TsatFromP(テーブル2[[#This Row],[P]])</f>
        <v/>
      </c>
      <c r="D52" s="0">
        <f t="array" ref="D52">RhoGFromP(テーブル2[[#This Row],[P]])</f>
        <v/>
      </c>
      <c r="E52" s="0">
        <f t="array" ref="E52">RhoFFromP(テーブル2[[#This Row],[P]])</f>
        <v/>
      </c>
      <c r="F52" s="0">
        <f t="array" ref="F52">HgFromP(テーブル2[[#This Row],[P]])</f>
        <v/>
      </c>
      <c r="G52" s="0">
        <f t="array" ref="G52">HfFromP(テーブル2[[#This Row],[P]])</f>
        <v/>
      </c>
      <c r="H52" s="0">
        <f t="array" ref="H52">MuGFromP(テーブル2[[#This Row],[P]])</f>
        <v/>
      </c>
      <c r="I52" s="0">
        <f t="array" ref="I52">MuFFromP(テーブル2[[#This Row],[P]])</f>
        <v/>
      </c>
      <c r="J52" s="0">
        <f t="array" ref="J52">KfFromP(テーブル2[[#This Row],[P]])</f>
        <v/>
      </c>
      <c r="K52" s="0">
        <f t="array" ref="K52">CpFFromP(テーブル2[[#This Row],[P]])</f>
        <v/>
      </c>
      <c r="L52" s="0">
        <f t="array" ref="L52">SigmaFromP(テーブル2[[#This Row],[P]])</f>
        <v/>
      </c>
      <c r="M52" s="23" t="n">
        <v>51</v>
      </c>
      <c r="N52" s="0" t="n">
        <v>3417.12</v>
      </c>
      <c r="O52" s="8" t="n">
        <v>1.753005194685703e-05</v>
      </c>
      <c r="P52" s="8" t="n">
        <v>0.01484214033261962</v>
      </c>
      <c r="Q52" s="8" t="n">
        <v>0.0047244</v>
      </c>
      <c r="R52" s="0" t="n">
        <v>0.3048</v>
      </c>
      <c r="S52" s="15" t="n">
        <v>5960589.16015625</v>
      </c>
      <c r="T52" s="0" t="n">
        <v>479.488061704271</v>
      </c>
      <c r="U52" s="37">
        <f>+T52+BG52*S52*テーブル2[[#This Row],[Pw]]*R52/(N52*O52*K52)</f>
        <v/>
      </c>
      <c r="V52" s="0" t="n">
        <v>0.03</v>
      </c>
      <c r="W52" s="8">
        <f>+N52*Q52/I52</f>
        <v/>
      </c>
      <c r="X52" s="0" t="n">
        <v>0.02462707727051757</v>
      </c>
      <c r="Y52" s="0">
        <f>IF(X52&gt;0,1/X52^0.5,1)</f>
        <v/>
      </c>
      <c r="Z52" s="0">
        <f>IF(X52&gt;0,1.14-2*LOG((0.72*L52*E52)/(X52*Q52*N52^2)+9.35/(W52*X52^0.5)),0)</f>
        <v/>
      </c>
      <c r="AA52" s="0">
        <f>+Y52-Z52</f>
        <v/>
      </c>
      <c r="AB52" s="0">
        <f>32/X52*L52*V52*E52/N52^2</f>
        <v/>
      </c>
      <c r="AC52" s="0" t="n">
        <v>714.4433284013151</v>
      </c>
      <c r="AD52" s="0">
        <f>+Q52/2*AI52/I52*E52</f>
        <v/>
      </c>
      <c r="AE52" s="0">
        <f>+gettm2(AD52,AC52,AK52,AL52,テーブル2[[#This Row],[Fcorr]])</f>
        <v/>
      </c>
      <c r="AF52" s="38">
        <f>+AE52-U52</f>
        <v/>
      </c>
      <c r="AG52" s="0" t="n">
        <v>1.365917327801209e-05</v>
      </c>
      <c r="AH52" s="0">
        <f>+X52*N52^2/(8*E52)</f>
        <v/>
      </c>
      <c r="AI52" s="0">
        <f>+(AH52/E52)^0.5</f>
        <v/>
      </c>
      <c r="AJ52" s="0">
        <f>+AG52*AI52/I52*E52</f>
        <v/>
      </c>
      <c r="AK52" s="0">
        <f t="array" ref="AK52">+S52*テーブル2[[#This Row],[F_form]]/(E52*CpFromTP((テーブル2[[#This Row],[Tin]]+テーブル2[[#This Row],[Tf]])/2,テーブル2[[#This Row],[P]])*AI52)</f>
        <v/>
      </c>
      <c r="AL52" s="0">
        <f>+K52*I52/J52</f>
        <v/>
      </c>
      <c r="AM52" s="0">
        <f>+gettyp(AC52,AJ52,AK52,AL52)</f>
        <v/>
      </c>
      <c r="AN52" s="0">
        <f>+C52-AM52</f>
        <v/>
      </c>
      <c r="AO52" s="0">
        <f>+AG52-AB52</f>
        <v/>
      </c>
      <c r="AP52" s="0" t="n">
        <v>3.747515879154951</v>
      </c>
      <c r="AQ52" s="0">
        <f>2*PI()*L52*(D52+E52)/(D52*E52*AP52^2)</f>
        <v/>
      </c>
      <c r="AR52" s="0">
        <f>+AO52+AB52/2</f>
        <v/>
      </c>
      <c r="AS52" s="0">
        <f>+AR52*AI52/I52*E52</f>
        <v/>
      </c>
      <c r="AT52" s="0">
        <f>+getublp(AS52)</f>
        <v/>
      </c>
      <c r="AU52" s="0">
        <f>+AT52*AI52</f>
        <v/>
      </c>
      <c r="AV52" s="0">
        <f>+AP52-AU52</f>
        <v/>
      </c>
      <c r="AW52" s="0">
        <f>2/3*AB52/(L52/(9.8*(E52-D52)))^0.5</f>
        <v/>
      </c>
      <c r="AX52" s="0">
        <f>+(2*AQ52*9.8*(E52-D52)/(E52*AW52))^0.5</f>
        <v/>
      </c>
      <c r="AY52" s="0">
        <f>+AV52-AX52</f>
        <v/>
      </c>
      <c r="AZ52" s="0">
        <f>+F52-G52</f>
        <v/>
      </c>
      <c r="BA52" s="0">
        <f>+AQ52/AP52</f>
        <v/>
      </c>
      <c r="BB52" s="15">
        <f>+E52*AO52*AZ52/BA52</f>
        <v/>
      </c>
      <c r="BC52" s="20">
        <f>BB52-S52</f>
        <v/>
      </c>
      <c r="BD52" s="19">
        <f>+(BB52-S52)/S52*100</f>
        <v/>
      </c>
      <c r="BE52" s="15" t="n">
        <v>6215350</v>
      </c>
      <c r="BF52" s="16">
        <f>テーブル2[[#This Row],[q_P]]/テーブル2[[#This Row],[q_M]]</f>
        <v/>
      </c>
      <c r="BG52" s="0" t="n">
        <v>1</v>
      </c>
      <c r="BH52" s="0" t="n">
        <v>-0.191</v>
      </c>
      <c r="BI52" s="0" t="n">
        <v>0.046</v>
      </c>
      <c r="BJ52" s="0" t="n">
        <v>5625</v>
      </c>
      <c r="BK52" s="22" t="n">
        <v>1</v>
      </c>
      <c r="BL52" s="0">
        <f>テーブル2[[#This Row],[Ts]]-テーブル2[[#This Row],[Tin]]</f>
        <v/>
      </c>
      <c r="BM52" s="0">
        <f>テーブル2[[#This Row],[q_P]]*0.000001</f>
        <v/>
      </c>
      <c r="BN52" s="0">
        <f>テーブル2[[#This Row],[Tsub]]</f>
        <v/>
      </c>
      <c r="BO52" s="0">
        <f>テーブル2[[#This Row],[Fcorr]]</f>
        <v/>
      </c>
      <c r="BP52" s="0">
        <f>(テーブル2[[#This Row],[Tsub]]-40)^2</f>
        <v/>
      </c>
      <c r="BQ52" t="n">
        <v>1</v>
      </c>
      <c r="BR52" s="0" t="n">
        <v>0.3048</v>
      </c>
    </row>
    <row r="53">
      <c r="A53" s="9" t="inlineStr">
        <is>
          <t>142.01_10</t>
        </is>
      </c>
      <c r="B53" s="0" t="n">
        <v>13789520</v>
      </c>
      <c r="C53" s="22">
        <f t="array" ref="C53">TsatFromP(テーブル2[[#This Row],[P]])</f>
        <v/>
      </c>
      <c r="D53" s="0">
        <f t="array" ref="D53">RhoGFromP(テーブル2[[#This Row],[P]])</f>
        <v/>
      </c>
      <c r="E53" s="0">
        <f t="array" ref="E53">RhoFFromP(テーブル2[[#This Row],[P]])</f>
        <v/>
      </c>
      <c r="F53" s="0">
        <f t="array" ref="F53">HgFromP(テーブル2[[#This Row],[P]])</f>
        <v/>
      </c>
      <c r="G53" s="0">
        <f t="array" ref="G53">HfFromP(テーブル2[[#This Row],[P]])</f>
        <v/>
      </c>
      <c r="H53" s="0">
        <f t="array" ref="H53">MuGFromP(テーブル2[[#This Row],[P]])</f>
        <v/>
      </c>
      <c r="I53" s="0">
        <f t="array" ref="I53">MuFFromP(テーブル2[[#This Row],[P]])</f>
        <v/>
      </c>
      <c r="J53" s="0">
        <f t="array" ref="J53">KfFromP(テーブル2[[#This Row],[P]])</f>
        <v/>
      </c>
      <c r="K53" s="0">
        <f t="array" ref="K53">CpFFromP(テーブル2[[#This Row],[P]])</f>
        <v/>
      </c>
      <c r="L53" s="0">
        <f t="array" ref="L53">SigmaFromP(テーブル2[[#This Row],[P]])</f>
        <v/>
      </c>
      <c r="M53" s="0" t="n">
        <v>52</v>
      </c>
      <c r="N53" s="0" t="n">
        <v>3451.02</v>
      </c>
      <c r="O53" s="8" t="n">
        <v>1.753005194685703e-05</v>
      </c>
      <c r="P53" s="8" t="n">
        <v>0.01484214033261962</v>
      </c>
      <c r="Q53" s="8" t="n">
        <v>0.0047244</v>
      </c>
      <c r="R53" s="0" t="n">
        <v>0.3048</v>
      </c>
      <c r="S53" s="15" t="n">
        <v>3590926.03515625</v>
      </c>
      <c r="T53" s="0" t="n">
        <v>535.101159118903</v>
      </c>
      <c r="U53" s="37">
        <f>+T53+BG53*S53*テーブル2[[#This Row],[Pw]]*R53/(N53*O53*K53)</f>
        <v/>
      </c>
      <c r="V53" s="0" t="n">
        <v>0.03</v>
      </c>
      <c r="W53" s="8">
        <f>+N53*Q53/I53</f>
        <v/>
      </c>
      <c r="X53" s="0" t="n">
        <v>0.02452777724069748</v>
      </c>
      <c r="Y53" s="0">
        <f>IF(X53&gt;0,1/X53^0.5,1)</f>
        <v/>
      </c>
      <c r="Z53" s="0">
        <f>IF(X53&gt;0,1.14-2*LOG((0.72*L53*E53)/(X53*Q53*N53^2)+9.35/(W53*X53^0.5)),0)</f>
        <v/>
      </c>
      <c r="AA53" s="0">
        <f>+Y53-Z53</f>
        <v/>
      </c>
      <c r="AB53" s="0">
        <f>32/X53*L53*V53*E53/N53^2</f>
        <v/>
      </c>
      <c r="AC53" s="0" t="n">
        <v>666.1246037614239</v>
      </c>
      <c r="AD53" s="0">
        <f>+Q53/2*AI53/I53*E53</f>
        <v/>
      </c>
      <c r="AE53" s="0">
        <f>+gettm2(AD53,AC53,AK53,AL53,テーブル2[[#This Row],[Fcorr]])</f>
        <v/>
      </c>
      <c r="AF53" s="38">
        <f>+AE53-U53</f>
        <v/>
      </c>
      <c r="AG53" s="0" t="n">
        <v>1.341049420083057e-05</v>
      </c>
      <c r="AH53" s="0">
        <f>+X53*N53^2/(8*E53)</f>
        <v/>
      </c>
      <c r="AI53" s="0">
        <f>+(AH53/E53)^0.5</f>
        <v/>
      </c>
      <c r="AJ53" s="0">
        <f>+AG53*AI53/I53*E53</f>
        <v/>
      </c>
      <c r="AK53" s="0">
        <f t="array" ref="AK53">+S53*テーブル2[[#This Row],[F_form]]/(E53*CpFromTP((テーブル2[[#This Row],[Tin]]+テーブル2[[#This Row],[Tf]])/2,テーブル2[[#This Row],[P]])*AI53)</f>
        <v/>
      </c>
      <c r="AL53" s="0">
        <f>+K53*I53/J53</f>
        <v/>
      </c>
      <c r="AM53" s="0">
        <f>+gettyp(AC53,AJ53,AK53,AL53)</f>
        <v/>
      </c>
      <c r="AN53" s="0">
        <f>+C53-AM53</f>
        <v/>
      </c>
      <c r="AO53" s="0">
        <f>+AG53-AB53</f>
        <v/>
      </c>
      <c r="AP53" s="0" t="n">
        <v>3.756261519226733</v>
      </c>
      <c r="AQ53" s="0">
        <f>2*PI()*L53*(D53+E53)/(D53*E53*AP53^2)</f>
        <v/>
      </c>
      <c r="AR53" s="0">
        <f>+AO53+AB53/2</f>
        <v/>
      </c>
      <c r="AS53" s="0">
        <f>+AR53*AI53/I53*E53</f>
        <v/>
      </c>
      <c r="AT53" s="0">
        <f>+getublp(AS53)</f>
        <v/>
      </c>
      <c r="AU53" s="0">
        <f>+AT53*AI53</f>
        <v/>
      </c>
      <c r="AV53" s="0">
        <f>+AP53-AU53</f>
        <v/>
      </c>
      <c r="AW53" s="0">
        <f>2/3*AB53/(L53/(9.8*(E53-D53)))^0.5</f>
        <v/>
      </c>
      <c r="AX53" s="0">
        <f>+(2*AQ53*9.8*(E53-D53)/(E53*AW53))^0.5</f>
        <v/>
      </c>
      <c r="AY53" s="0">
        <f>+AV53-AX53</f>
        <v/>
      </c>
      <c r="AZ53" s="0">
        <f>+F53-G53</f>
        <v/>
      </c>
      <c r="BA53" s="0">
        <f>+AQ53/AP53</f>
        <v/>
      </c>
      <c r="BB53" s="15">
        <f>+E53*AO53*AZ53/BA53</f>
        <v/>
      </c>
      <c r="BC53" s="20">
        <f>BB53-S53</f>
        <v/>
      </c>
      <c r="BD53" s="19">
        <f>+(BB53-S53)/S53*100</f>
        <v/>
      </c>
      <c r="BE53" s="15" t="n">
        <v>4732500</v>
      </c>
      <c r="BF53" s="16">
        <f>テーブル2[[#This Row],[q_P]]/テーブル2[[#This Row],[q_M]]</f>
        <v/>
      </c>
      <c r="BG53" s="0" t="n">
        <v>1</v>
      </c>
      <c r="BH53" s="0" t="n">
        <v>-0.059</v>
      </c>
      <c r="BI53" s="0" t="n">
        <v>0.046</v>
      </c>
      <c r="BJ53" s="0" t="n">
        <v>5625</v>
      </c>
      <c r="BK53" s="22" t="n">
        <v>1</v>
      </c>
      <c r="BL53" s="0">
        <f>テーブル2[[#This Row],[Ts]]-テーブル2[[#This Row],[Tin]]</f>
        <v/>
      </c>
      <c r="BM53" s="0">
        <f>テーブル2[[#This Row],[q_P]]*0.000001</f>
        <v/>
      </c>
      <c r="BN53" s="0">
        <f>テーブル2[[#This Row],[Tsub]]</f>
        <v/>
      </c>
      <c r="BO53" s="0">
        <f>テーブル2[[#This Row],[Fcorr]]</f>
        <v/>
      </c>
      <c r="BP53" s="0">
        <f>(テーブル2[[#This Row],[Tsub]]-40)^2</f>
        <v/>
      </c>
      <c r="BQ53" t="n">
        <v>1</v>
      </c>
      <c r="BR53" s="0" t="n">
        <v>0.3048</v>
      </c>
    </row>
    <row r="54">
      <c r="A54" s="9" t="inlineStr">
        <is>
          <t>143.01_10</t>
        </is>
      </c>
      <c r="B54" s="0" t="n">
        <v>13789520</v>
      </c>
      <c r="C54" s="22">
        <f t="array" ref="C54">TsatFromP(テーブル2[[#This Row],[P]])</f>
        <v/>
      </c>
      <c r="D54" s="0">
        <f t="array" ref="D54">RhoGFromP(テーブル2[[#This Row],[P]])</f>
        <v/>
      </c>
      <c r="E54" s="0">
        <f t="array" ref="E54">RhoFFromP(テーブル2[[#This Row],[P]])</f>
        <v/>
      </c>
      <c r="F54" s="0">
        <f t="array" ref="F54">HgFromP(テーブル2[[#This Row],[P]])</f>
        <v/>
      </c>
      <c r="G54" s="0">
        <f t="array" ref="G54">HfFromP(テーブル2[[#This Row],[P]])</f>
        <v/>
      </c>
      <c r="H54" s="0">
        <f t="array" ref="H54">MuGFromP(テーブル2[[#This Row],[P]])</f>
        <v/>
      </c>
      <c r="I54" s="0">
        <f t="array" ref="I54">MuFFromP(テーブル2[[#This Row],[P]])</f>
        <v/>
      </c>
      <c r="J54" s="0">
        <f t="array" ref="J54">KfFromP(テーブル2[[#This Row],[P]])</f>
        <v/>
      </c>
      <c r="K54" s="0">
        <f t="array" ref="K54">CpFFromP(テーブル2[[#This Row],[P]])</f>
        <v/>
      </c>
      <c r="L54" s="0">
        <f t="array" ref="L54">SigmaFromP(テーブル2[[#This Row],[P]])</f>
        <v/>
      </c>
      <c r="M54" s="23" t="n">
        <v>53</v>
      </c>
      <c r="N54" s="0" t="n">
        <v>3579.84</v>
      </c>
      <c r="O54" s="8" t="n">
        <v>1.753005194685703e-05</v>
      </c>
      <c r="P54" s="8" t="n">
        <v>0.01484214033261962</v>
      </c>
      <c r="Q54" s="8" t="n">
        <v>0.0047244</v>
      </c>
      <c r="R54" s="0" t="n">
        <v>0.3048</v>
      </c>
      <c r="S54" s="15" t="n">
        <v>1194437.44921875</v>
      </c>
      <c r="T54" s="0" t="n">
        <v>586.975688395272</v>
      </c>
      <c r="U54" s="37">
        <f>+T54+BG54*S54*テーブル2[[#This Row],[Pw]]*R54/(N54*O54*K54)</f>
        <v/>
      </c>
      <c r="V54" s="0" t="n">
        <v>0.03</v>
      </c>
      <c r="W54" s="8">
        <f>+N54*Q54/I54</f>
        <v/>
      </c>
      <c r="X54" s="0" t="n">
        <v>0.02416426702116766</v>
      </c>
      <c r="Y54" s="0">
        <f>IF(X54&gt;0,1/X54^0.5,1)</f>
        <v/>
      </c>
      <c r="Z54" s="0">
        <f>IF(X54&gt;0,1.14-2*LOG((0.72*L54*E54)/(X54*Q54*N54^2)+9.35/(W54*X54^0.5)),0)</f>
        <v/>
      </c>
      <c r="AA54" s="0">
        <f>+Y54-Z54</f>
        <v/>
      </c>
      <c r="AB54" s="0">
        <f>32/X54*L54*V54*E54/N54^2</f>
        <v/>
      </c>
      <c r="AC54" s="0" t="n">
        <v>623.8784859419222</v>
      </c>
      <c r="AD54" s="0">
        <f>+Q54/2*AI54/I54*E54</f>
        <v/>
      </c>
      <c r="AE54" s="0">
        <f>+gettm2(AD54,AC54,AK54,AL54,テーブル2[[#This Row],[Fcorr]])</f>
        <v/>
      </c>
      <c r="AF54" s="38">
        <f>+AE54-U54</f>
        <v/>
      </c>
      <c r="AG54" s="0" t="n">
        <v>1.261580137375003e-05</v>
      </c>
      <c r="AH54" s="0">
        <f>+X54*N54^2/(8*E54)</f>
        <v/>
      </c>
      <c r="AI54" s="0">
        <f>+(AH54/E54)^0.5</f>
        <v/>
      </c>
      <c r="AJ54" s="0">
        <f>+AG54*AI54/I54*E54</f>
        <v/>
      </c>
      <c r="AK54" s="0">
        <f t="array" ref="AK54">+S54*テーブル2[[#This Row],[F_form]]/(E54*CpFromTP((テーブル2[[#This Row],[Tin]]+テーブル2[[#This Row],[Tf]])/2,テーブル2[[#This Row],[P]])*AI54)</f>
        <v/>
      </c>
      <c r="AL54" s="0">
        <f>+K54*I54/J54</f>
        <v/>
      </c>
      <c r="AM54" s="0">
        <f>+gettyp(AC54,AJ54,AK54,AL54)</f>
        <v/>
      </c>
      <c r="AN54" s="0">
        <f>+C54-AM54</f>
        <v/>
      </c>
      <c r="AO54" s="0">
        <f>+AG54-AB54</f>
        <v/>
      </c>
      <c r="AP54" s="0" t="n">
        <v>3.808939519678875</v>
      </c>
      <c r="AQ54" s="0">
        <f>2*PI()*L54*(D54+E54)/(D54*E54*AP54^2)</f>
        <v/>
      </c>
      <c r="AR54" s="0">
        <f>+AO54+AB54/2</f>
        <v/>
      </c>
      <c r="AS54" s="0">
        <f>+AR54*AI54/I54*E54</f>
        <v/>
      </c>
      <c r="AT54" s="0">
        <f>+getublp(AS54)</f>
        <v/>
      </c>
      <c r="AU54" s="0">
        <f>+AT54*AI54</f>
        <v/>
      </c>
      <c r="AV54" s="0">
        <f>+AP54-AU54</f>
        <v/>
      </c>
      <c r="AW54" s="0">
        <f>2/3*AB54/(L54/(9.8*(E54-D54)))^0.5</f>
        <v/>
      </c>
      <c r="AX54" s="0">
        <f>+(2*AQ54*9.8*(E54-D54)/(E54*AW54))^0.5</f>
        <v/>
      </c>
      <c r="AY54" s="0">
        <f>+AV54-AX54</f>
        <v/>
      </c>
      <c r="AZ54" s="0">
        <f>+F54-G54</f>
        <v/>
      </c>
      <c r="BA54" s="0">
        <f>+AQ54/AP54</f>
        <v/>
      </c>
      <c r="BB54" s="15">
        <f>+E54*AO54*AZ54/BA54</f>
        <v/>
      </c>
      <c r="BC54" s="20">
        <f>BB54-S54</f>
        <v/>
      </c>
      <c r="BD54" s="19">
        <f>+(BB54-S54)/S54*100</f>
        <v/>
      </c>
      <c r="BE54" s="15" t="n">
        <v>3186550</v>
      </c>
      <c r="BF54" s="16">
        <f>テーブル2[[#This Row],[q_P]]/テーブル2[[#This Row],[q_M]]</f>
        <v/>
      </c>
      <c r="BG54" s="0" t="n">
        <v>1</v>
      </c>
      <c r="BH54" s="0" t="n">
        <v>0.081</v>
      </c>
      <c r="BI54" s="0" t="n">
        <v>0.046</v>
      </c>
      <c r="BJ54" s="0" t="n">
        <v>5625</v>
      </c>
      <c r="BK54" s="22" t="n">
        <v>1</v>
      </c>
      <c r="BL54" s="0">
        <f>テーブル2[[#This Row],[Ts]]-テーブル2[[#This Row],[Tin]]</f>
        <v/>
      </c>
      <c r="BM54" s="0">
        <f>テーブル2[[#This Row],[q_P]]*0.000001</f>
        <v/>
      </c>
      <c r="BN54" s="0">
        <f>テーブル2[[#This Row],[Tsub]]</f>
        <v/>
      </c>
      <c r="BO54" s="0">
        <f>テーブル2[[#This Row],[Fcorr]]</f>
        <v/>
      </c>
      <c r="BP54" s="0">
        <f>(テーブル2[[#This Row],[Tsub]]-40)^2</f>
        <v/>
      </c>
      <c r="BQ54" t="n">
        <v>1</v>
      </c>
      <c r="BR54" s="0" t="n">
        <v>0.3048</v>
      </c>
    </row>
    <row r="55">
      <c r="A55" s="9" t="inlineStr">
        <is>
          <t>144.01_10</t>
        </is>
      </c>
      <c r="B55" s="0" t="n">
        <v>13789520</v>
      </c>
      <c r="C55" s="22">
        <f t="array" ref="C55">TsatFromP(テーブル2[[#This Row],[P]])</f>
        <v/>
      </c>
      <c r="D55" s="0">
        <f t="array" ref="D55">RhoGFromP(テーブル2[[#This Row],[P]])</f>
        <v/>
      </c>
      <c r="E55" s="0">
        <f t="array" ref="E55">RhoFFromP(テーブル2[[#This Row],[P]])</f>
        <v/>
      </c>
      <c r="F55" s="0">
        <f t="array" ref="F55">HgFromP(テーブル2[[#This Row],[P]])</f>
        <v/>
      </c>
      <c r="G55" s="0">
        <f t="array" ref="G55">HfFromP(テーブル2[[#This Row],[P]])</f>
        <v/>
      </c>
      <c r="H55" s="0">
        <f t="array" ref="H55">MuGFromP(テーブル2[[#This Row],[P]])</f>
        <v/>
      </c>
      <c r="I55" s="0">
        <f t="array" ref="I55">MuFFromP(テーブル2[[#This Row],[P]])</f>
        <v/>
      </c>
      <c r="J55" s="0">
        <f t="array" ref="J55">KfFromP(テーブル2[[#This Row],[P]])</f>
        <v/>
      </c>
      <c r="K55" s="0">
        <f t="array" ref="K55">CpFFromP(テーブル2[[#This Row],[P]])</f>
        <v/>
      </c>
      <c r="L55" s="0">
        <f t="array" ref="L55">SigmaFromP(テーブル2[[#This Row],[P]])</f>
        <v/>
      </c>
      <c r="M55" s="0" t="n">
        <v>54</v>
      </c>
      <c r="N55" s="0" t="n">
        <v>4068</v>
      </c>
      <c r="O55" s="8" t="n">
        <v>1.753005194685703e-05</v>
      </c>
      <c r="P55" s="8" t="n">
        <v>0.01484214033261962</v>
      </c>
      <c r="Q55" s="8" t="n">
        <v>0.0047244</v>
      </c>
      <c r="R55" s="0" t="n">
        <v>0.3048</v>
      </c>
      <c r="S55" s="15" t="n">
        <v>3905055.56640625</v>
      </c>
      <c r="T55" s="0" t="n">
        <v>537.389686639604</v>
      </c>
      <c r="U55" s="37">
        <f>+T55+BG55*S55*テーブル2[[#This Row],[Pw]]*R55/(N55*O55*K55)</f>
        <v/>
      </c>
      <c r="V55" s="0" t="n">
        <v>0.03</v>
      </c>
      <c r="W55" s="8">
        <f>+N55*Q55/I55</f>
        <v/>
      </c>
      <c r="X55" s="0" t="n">
        <v>0.02295702115282297</v>
      </c>
      <c r="Y55" s="0">
        <f>IF(X55&gt;0,1/X55^0.5,1)</f>
        <v/>
      </c>
      <c r="Z55" s="0">
        <f>IF(X55&gt;0,1.14-2*LOG((0.72*L55*E55)/(X55*Q55*N55^2)+9.35/(W55*X55^0.5)),0)</f>
        <v/>
      </c>
      <c r="AA55" s="0">
        <f>+Y55-Z55</f>
        <v/>
      </c>
      <c r="AB55" s="0">
        <f>32/X55*L55*V55*E55/N55^2</f>
        <v/>
      </c>
      <c r="AC55" s="0" t="n">
        <v>662.150617719722</v>
      </c>
      <c r="AD55" s="0">
        <f>+Q55/2*AI55/I55*E55</f>
        <v/>
      </c>
      <c r="AE55" s="0">
        <f>+gettm2(AD55,AC55,AK55,AL55,テーブル2[[#This Row],[Fcorr]])</f>
        <v/>
      </c>
      <c r="AF55" s="38">
        <f>+AE55-U55</f>
        <v/>
      </c>
      <c r="AG55" s="0" t="n">
        <v>1.031693103257606e-05</v>
      </c>
      <c r="AH55" s="0">
        <f>+X55*N55^2/(8*E55)</f>
        <v/>
      </c>
      <c r="AI55" s="0">
        <f>+(AH55/E55)^0.5</f>
        <v/>
      </c>
      <c r="AJ55" s="0">
        <f>+AG55*AI55/I55*E55</f>
        <v/>
      </c>
      <c r="AK55" s="0">
        <f t="array" ref="AK55">+S55*テーブル2[[#This Row],[F_form]]/(E55*CpFromTP((テーブル2[[#This Row],[Tin]]+テーブル2[[#This Row],[Tf]])/2,テーブル2[[#This Row],[P]])*AI55)</f>
        <v/>
      </c>
      <c r="AL55" s="0">
        <f>+K55*I55/J55</f>
        <v/>
      </c>
      <c r="AM55" s="0">
        <f>+gettyp(AC55,AJ55,AK55,AL55)</f>
        <v/>
      </c>
      <c r="AN55" s="0">
        <f>+C55-AM55</f>
        <v/>
      </c>
      <c r="AO55" s="0">
        <f>+AG55-AB55</f>
        <v/>
      </c>
      <c r="AP55" s="0" t="n">
        <v>4.034006732701176</v>
      </c>
      <c r="AQ55" s="0">
        <f>2*PI()*L55*(D55+E55)/(D55*E55*AP55^2)</f>
        <v/>
      </c>
      <c r="AR55" s="0">
        <f>+AO55+AB55/2</f>
        <v/>
      </c>
      <c r="AS55" s="0">
        <f>+AR55*AI55/I55*E55</f>
        <v/>
      </c>
      <c r="AT55" s="0">
        <f>+getublp(AS55)</f>
        <v/>
      </c>
      <c r="AU55" s="0">
        <f>+AT55*AI55</f>
        <v/>
      </c>
      <c r="AV55" s="0">
        <f>+AP55-AU55</f>
        <v/>
      </c>
      <c r="AW55" s="0">
        <f>2/3*AB55/(L55/(9.8*(E55-D55)))^0.5</f>
        <v/>
      </c>
      <c r="AX55" s="0">
        <f>+(2*AQ55*9.8*(E55-D55)/(E55*AW55))^0.5</f>
        <v/>
      </c>
      <c r="AY55" s="0">
        <f>+AV55-AX55</f>
        <v/>
      </c>
      <c r="AZ55" s="0">
        <f>+F55-G55</f>
        <v/>
      </c>
      <c r="BA55" s="0">
        <f>+AQ55/AP55</f>
        <v/>
      </c>
      <c r="BB55" s="15">
        <f>+E55*AO55*AZ55/BA55</f>
        <v/>
      </c>
      <c r="BC55" s="20">
        <f>BB55-S55</f>
        <v/>
      </c>
      <c r="BD55" s="19">
        <f>+(BB55-S55)/S55*100</f>
        <v/>
      </c>
      <c r="BE55" s="15" t="n">
        <v>5016450</v>
      </c>
      <c r="BF55" s="16">
        <f>テーブル2[[#This Row],[q_P]]/テーブル2[[#This Row],[q_M]]</f>
        <v/>
      </c>
      <c r="BG55" s="0" t="n">
        <v>1</v>
      </c>
      <c r="BH55" s="0" t="n">
        <v>-0.082</v>
      </c>
      <c r="BI55" s="0" t="n">
        <v>0.046</v>
      </c>
      <c r="BJ55" s="0" t="n">
        <v>5625</v>
      </c>
      <c r="BK55" s="22" t="n">
        <v>1</v>
      </c>
      <c r="BL55" s="0">
        <f>テーブル2[[#This Row],[Ts]]-テーブル2[[#This Row],[Tin]]</f>
        <v/>
      </c>
      <c r="BM55" s="0">
        <f>テーブル2[[#This Row],[q_P]]*0.000001</f>
        <v/>
      </c>
      <c r="BN55" s="0">
        <f>テーブル2[[#This Row],[Tsub]]</f>
        <v/>
      </c>
      <c r="BO55" s="0">
        <f>テーブル2[[#This Row],[Fcorr]]</f>
        <v/>
      </c>
      <c r="BP55" s="0">
        <f>(テーブル2[[#This Row],[Tsub]]-40)^2</f>
        <v/>
      </c>
      <c r="BQ55" t="n">
        <v>1</v>
      </c>
      <c r="BR55" s="0" t="n">
        <v>0.3048</v>
      </c>
    </row>
    <row r="56">
      <c r="A56" s="9" t="inlineStr">
        <is>
          <t>192.01_10</t>
        </is>
      </c>
      <c r="B56" s="0" t="n">
        <v>13789520</v>
      </c>
      <c r="C56" s="22">
        <f t="array" ref="C56">TsatFromP(テーブル2[[#This Row],[P]])</f>
        <v/>
      </c>
      <c r="D56" s="0">
        <f t="array" ref="D56">RhoGFromP(テーブル2[[#This Row],[P]])</f>
        <v/>
      </c>
      <c r="E56" s="0">
        <f t="array" ref="E56">RhoFFromP(テーブル2[[#This Row],[P]])</f>
        <v/>
      </c>
      <c r="F56" s="0">
        <f t="array" ref="F56">HgFromP(テーブル2[[#This Row],[P]])</f>
        <v/>
      </c>
      <c r="G56" s="0">
        <f t="array" ref="G56">HfFromP(テーブル2[[#This Row],[P]])</f>
        <v/>
      </c>
      <c r="H56" s="0">
        <f t="array" ref="H56">MuGFromP(テーブル2[[#This Row],[P]])</f>
        <v/>
      </c>
      <c r="I56" s="0">
        <f t="array" ref="I56">MuFFromP(テーブル2[[#This Row],[P]])</f>
        <v/>
      </c>
      <c r="J56" s="0">
        <f t="array" ref="J56">KfFromP(テーブル2[[#This Row],[P]])</f>
        <v/>
      </c>
      <c r="K56" s="0">
        <f t="array" ref="K56">CpFFromP(テーブル2[[#This Row],[P]])</f>
        <v/>
      </c>
      <c r="L56" s="0">
        <f t="array" ref="L56">SigmaFromP(テーブル2[[#This Row],[P]])</f>
        <v/>
      </c>
      <c r="M56" s="23" t="n">
        <v>55</v>
      </c>
      <c r="N56" s="0" t="n">
        <v>2752.68</v>
      </c>
      <c r="O56" s="8" t="n">
        <v>1.77190538365604e-05</v>
      </c>
      <c r="P56" s="8" t="n">
        <v>0.0149219367860208</v>
      </c>
      <c r="Q56" s="8" t="n">
        <v>0.0047498</v>
      </c>
      <c r="R56" s="0" t="n">
        <v>0.3175</v>
      </c>
      <c r="S56" s="15" t="n">
        <v>902558.10546875</v>
      </c>
      <c r="T56" s="0" t="n">
        <v>588.5603442801111</v>
      </c>
      <c r="U56" s="37">
        <f>+T56+BG56*S56*テーブル2[[#This Row],[Pw]]*R56/(N56*O56*K56)</f>
        <v/>
      </c>
      <c r="V56" s="0" t="n">
        <v>0.03</v>
      </c>
      <c r="W56" s="8">
        <f>+N56*Q56/I56</f>
        <v/>
      </c>
      <c r="X56" s="0" t="n">
        <v>0.02692689362379522</v>
      </c>
      <c r="Y56" s="0">
        <f>IF(X56&gt;0,1/X56^0.5,1)</f>
        <v/>
      </c>
      <c r="Z56" s="0">
        <f>IF(X56&gt;0,1.14-2*LOG((0.72*L56*E56)/(X56*Q56*N56^2)+9.35/(W56*X56^0.5)),0)</f>
        <v/>
      </c>
      <c r="AA56" s="0">
        <f>+Y56-Z56</f>
        <v/>
      </c>
      <c r="AB56" s="0">
        <f>32/X56*L56*V56*E56/N56^2</f>
        <v/>
      </c>
      <c r="AC56" s="0" t="n">
        <v>623.1016053508064</v>
      </c>
      <c r="AD56" s="0">
        <f>+Q56/2*AI56/I56*E56</f>
        <v/>
      </c>
      <c r="AE56" s="0">
        <f>+gettm2(AD56,AC56,AK56,AL56,テーブル2[[#This Row],[Fcorr]])</f>
        <v/>
      </c>
      <c r="AF56" s="38">
        <f>+AE56-U56</f>
        <v/>
      </c>
      <c r="AG56" s="0" t="n">
        <v>1.914016754443305e-05</v>
      </c>
      <c r="AH56" s="0">
        <f>+X56*N56^2/(8*E56)</f>
        <v/>
      </c>
      <c r="AI56" s="0">
        <f>+(AH56/E56)^0.5</f>
        <v/>
      </c>
      <c r="AJ56" s="0">
        <f>+AG56*AI56/I56*E56</f>
        <v/>
      </c>
      <c r="AK56" s="0">
        <f t="array" ref="AK56">+S56*テーブル2[[#This Row],[F_form]]/(E56*CpFromTP((テーブル2[[#This Row],[Tin]]+テーブル2[[#This Row],[Tf]])/2,テーブル2[[#This Row],[P]])*AI56)</f>
        <v/>
      </c>
      <c r="AL56" s="0">
        <f>+K56*I56/J56</f>
        <v/>
      </c>
      <c r="AM56" s="0">
        <f>+gettyp(AC56,AJ56,AK56,AL56)</f>
        <v/>
      </c>
      <c r="AN56" s="0">
        <f>+C56-AM56</f>
        <v/>
      </c>
      <c r="AO56" s="0">
        <f>+AG56-AB56</f>
        <v/>
      </c>
      <c r="AP56" s="0" t="n">
        <v>3.386647117507036</v>
      </c>
      <c r="AQ56" s="0">
        <f>2*PI()*L56*(D56+E56)/(D56*E56*AP56^2)</f>
        <v/>
      </c>
      <c r="AR56" s="0">
        <f>+AO56+AB56/2</f>
        <v/>
      </c>
      <c r="AS56" s="0">
        <f>+AR56*AI56/I56*E56</f>
        <v/>
      </c>
      <c r="AT56" s="0">
        <f>+getublp(AS56)</f>
        <v/>
      </c>
      <c r="AU56" s="0">
        <f>+AT56*AI56</f>
        <v/>
      </c>
      <c r="AV56" s="0">
        <f>+AP56-AU56</f>
        <v/>
      </c>
      <c r="AW56" s="0">
        <f>2/3*AB56/(L56/(9.8*(E56-D56)))^0.5</f>
        <v/>
      </c>
      <c r="AX56" s="0">
        <f>+(2*AQ56*9.8*(E56-D56)/(E56*AW56))^0.5</f>
        <v/>
      </c>
      <c r="AY56" s="0">
        <f>+AV56-AX56</f>
        <v/>
      </c>
      <c r="AZ56" s="0">
        <f>+F56-G56</f>
        <v/>
      </c>
      <c r="BA56" s="0">
        <f>+AQ56/AP56</f>
        <v/>
      </c>
      <c r="BB56" s="15">
        <f>+E56*AO56*AZ56/BA56</f>
        <v/>
      </c>
      <c r="BC56" s="20">
        <f>BB56-S56</f>
        <v/>
      </c>
      <c r="BD56" s="19">
        <f>+(BB56-S56)/S56*100</f>
        <v/>
      </c>
      <c r="BE56" s="15" t="n">
        <v>2665975</v>
      </c>
      <c r="BF56" s="16">
        <f>テーブル2[[#This Row],[q_P]]/テーブル2[[#This Row],[q_M]]</f>
        <v/>
      </c>
      <c r="BG56" s="0" t="n">
        <v>1</v>
      </c>
      <c r="BH56" s="0" t="n">
        <v>0.117</v>
      </c>
      <c r="BI56" s="0" t="n">
        <v>0.046</v>
      </c>
      <c r="BJ56" s="0" t="n">
        <v>5625</v>
      </c>
      <c r="BK56" s="22" t="n">
        <v>1</v>
      </c>
      <c r="BL56" s="0">
        <f>テーブル2[[#This Row],[Ts]]-テーブル2[[#This Row],[Tin]]</f>
        <v/>
      </c>
      <c r="BM56" s="0">
        <f>テーブル2[[#This Row],[q_P]]*0.000001</f>
        <v/>
      </c>
      <c r="BN56" s="0">
        <f>テーブル2[[#This Row],[Tsub]]</f>
        <v/>
      </c>
      <c r="BO56" s="0">
        <f>テーブル2[[#This Row],[Fcorr]]</f>
        <v/>
      </c>
      <c r="BP56" s="0">
        <f>(テーブル2[[#This Row],[Tsub]]-40)^2</f>
        <v/>
      </c>
      <c r="BQ56" t="n">
        <v>1</v>
      </c>
      <c r="BR56" s="0" t="n">
        <v>0.3175</v>
      </c>
    </row>
    <row r="57">
      <c r="A57" s="9" t="inlineStr">
        <is>
          <t>193.01_10</t>
        </is>
      </c>
      <c r="B57" s="0" t="n">
        <v>13789520</v>
      </c>
      <c r="C57" s="22">
        <f t="array" ref="C57">TsatFromP(テーブル2[[#This Row],[P]])</f>
        <v/>
      </c>
      <c r="D57" s="0">
        <f t="array" ref="D57">RhoGFromP(テーブル2[[#This Row],[P]])</f>
        <v/>
      </c>
      <c r="E57" s="0">
        <f t="array" ref="E57">RhoFFromP(テーブル2[[#This Row],[P]])</f>
        <v/>
      </c>
      <c r="F57" s="0">
        <f t="array" ref="F57">HgFromP(テーブル2[[#This Row],[P]])</f>
        <v/>
      </c>
      <c r="G57" s="0">
        <f t="array" ref="G57">HfFromP(テーブル2[[#This Row],[P]])</f>
        <v/>
      </c>
      <c r="H57" s="0">
        <f t="array" ref="H57">MuGFromP(テーブル2[[#This Row],[P]])</f>
        <v/>
      </c>
      <c r="I57" s="0">
        <f t="array" ref="I57">MuFFromP(テーブル2[[#This Row],[P]])</f>
        <v/>
      </c>
      <c r="J57" s="0">
        <f t="array" ref="J57">KfFromP(テーブル2[[#This Row],[P]])</f>
        <v/>
      </c>
      <c r="K57" s="0">
        <f t="array" ref="K57">CpFFromP(テーブル2[[#This Row],[P]])</f>
        <v/>
      </c>
      <c r="L57" s="0">
        <f t="array" ref="L57">SigmaFromP(テーブル2[[#This Row],[P]])</f>
        <v/>
      </c>
      <c r="M57" s="0" t="n">
        <v>56</v>
      </c>
      <c r="N57" s="0" t="n">
        <v>2861.16</v>
      </c>
      <c r="O57" s="8" t="n">
        <v>1.77190538365604e-05</v>
      </c>
      <c r="P57" s="8" t="n">
        <v>0.0149219367860208</v>
      </c>
      <c r="Q57" s="8" t="n">
        <v>0.0047498</v>
      </c>
      <c r="R57" s="0" t="n">
        <v>0.3175</v>
      </c>
      <c r="S57" s="15" t="n">
        <v>2083577.12109375</v>
      </c>
      <c r="T57" s="0" t="n">
        <v>560.9198977797849</v>
      </c>
      <c r="U57" s="37">
        <f>+T57+BG57*S57*テーブル2[[#This Row],[Pw]]*R57/(N57*O57*K57)</f>
        <v/>
      </c>
      <c r="V57" s="0" t="n">
        <v>0.03</v>
      </c>
      <c r="W57" s="8">
        <f>+N57*Q57/I57</f>
        <v/>
      </c>
      <c r="X57" s="0" t="n">
        <v>0.02648758764838987</v>
      </c>
      <c r="Y57" s="0">
        <f>IF(X57&gt;0,1/X57^0.5,1)</f>
        <v/>
      </c>
      <c r="Z57" s="0">
        <f>IF(X57&gt;0,1.14-2*LOG((0.72*L57*E57)/(X57*Q57*N57^2)+9.35/(W57*X57^0.5)),0)</f>
        <v/>
      </c>
      <c r="AA57" s="0">
        <f>+Y57-Z57</f>
        <v/>
      </c>
      <c r="AB57" s="0">
        <f>32/X57*L57*V57*E57/N57^2</f>
        <v/>
      </c>
      <c r="AC57" s="0" t="n">
        <v>645.3074301332205</v>
      </c>
      <c r="AD57" s="0">
        <f>+Q57/2*AI57/I57*E57</f>
        <v/>
      </c>
      <c r="AE57" s="0">
        <f>+gettm2(AD57,AC57,AK57,AL57,テーブル2[[#This Row],[Fcorr]])</f>
        <v/>
      </c>
      <c r="AF57" s="38">
        <f>+AE57-U57</f>
        <v/>
      </c>
      <c r="AG57" s="0" t="n">
        <v>1.803337730280811e-05</v>
      </c>
      <c r="AH57" s="0">
        <f>+X57*N57^2/(8*E57)</f>
        <v/>
      </c>
      <c r="AI57" s="0">
        <f>+(AH57/E57)^0.5</f>
        <v/>
      </c>
      <c r="AJ57" s="0">
        <f>+AG57*AI57/I57*E57</f>
        <v/>
      </c>
      <c r="AK57" s="0">
        <f t="array" ref="AK57">+S57*テーブル2[[#This Row],[F_form]]/(E57*CpFromTP((テーブル2[[#This Row],[Tin]]+テーブル2[[#This Row],[Tf]])/2,テーブル2[[#This Row],[P]])*AI57)</f>
        <v/>
      </c>
      <c r="AL57" s="0">
        <f>+K57*I57/J57</f>
        <v/>
      </c>
      <c r="AM57" s="0">
        <f>+gettyp(AC57,AJ57,AK57,AL57)</f>
        <v/>
      </c>
      <c r="AN57" s="0">
        <f>+C57-AM57</f>
        <v/>
      </c>
      <c r="AO57" s="0">
        <f>+AG57-AB57</f>
        <v/>
      </c>
      <c r="AP57" s="0" t="n">
        <v>3.449609350502425</v>
      </c>
      <c r="AQ57" s="0">
        <f>2*PI()*L57*(D57+E57)/(D57*E57*AP57^2)</f>
        <v/>
      </c>
      <c r="AR57" s="0">
        <f>+AO57+AB57/2</f>
        <v/>
      </c>
      <c r="AS57" s="0">
        <f>+AR57*AI57/I57*E57</f>
        <v/>
      </c>
      <c r="AT57" s="0">
        <f>+getublp(AS57)</f>
        <v/>
      </c>
      <c r="AU57" s="0">
        <f>+AT57*AI57</f>
        <v/>
      </c>
      <c r="AV57" s="0">
        <f>+AP57-AU57</f>
        <v/>
      </c>
      <c r="AW57" s="0">
        <f>2/3*AB57/(L57/(9.8*(E57-D57)))^0.5</f>
        <v/>
      </c>
      <c r="AX57" s="0">
        <f>+(2*AQ57*9.8*(E57-D57)/(E57*AW57))^0.5</f>
        <v/>
      </c>
      <c r="AY57" s="0">
        <f>+AV57-AX57</f>
        <v/>
      </c>
      <c r="AZ57" s="0">
        <f>+F57-G57</f>
        <v/>
      </c>
      <c r="BA57" s="0">
        <f>+AQ57/AP57</f>
        <v/>
      </c>
      <c r="BB57" s="15">
        <f>+E57*AO57*AZ57/BA57</f>
        <v/>
      </c>
      <c r="BC57" s="20">
        <f>BB57-S57</f>
        <v/>
      </c>
      <c r="BD57" s="19">
        <f>+(BB57-S57)/S57*100</f>
        <v/>
      </c>
      <c r="BE57" s="15" t="n">
        <v>3691350</v>
      </c>
      <c r="BF57" s="16">
        <f>テーブル2[[#This Row],[q_P]]/テーブル2[[#This Row],[q_M]]</f>
        <v/>
      </c>
      <c r="BG57" s="0" t="n">
        <v>1</v>
      </c>
      <c r="BH57" s="0" t="n">
        <v>0.053</v>
      </c>
      <c r="BI57" s="0" t="n">
        <v>0.046</v>
      </c>
      <c r="BJ57" s="0" t="n">
        <v>5625</v>
      </c>
      <c r="BK57" s="22" t="n">
        <v>1</v>
      </c>
      <c r="BL57" s="0">
        <f>テーブル2[[#This Row],[Ts]]-テーブル2[[#This Row],[Tin]]</f>
        <v/>
      </c>
      <c r="BM57" s="0">
        <f>テーブル2[[#This Row],[q_P]]*0.000001</f>
        <v/>
      </c>
      <c r="BN57" s="0">
        <f>テーブル2[[#This Row],[Tsub]]</f>
        <v/>
      </c>
      <c r="BO57" s="0">
        <f>テーブル2[[#This Row],[Fcorr]]</f>
        <v/>
      </c>
      <c r="BP57" s="0">
        <f>(テーブル2[[#This Row],[Tsub]]-40)^2</f>
        <v/>
      </c>
      <c r="BQ57" t="n">
        <v>1</v>
      </c>
      <c r="BR57" s="0" t="n">
        <v>0.3175</v>
      </c>
    </row>
    <row r="58">
      <c r="A58" s="9" t="inlineStr">
        <is>
          <t>194.01_10</t>
        </is>
      </c>
      <c r="B58" s="0" t="n">
        <v>13789520</v>
      </c>
      <c r="C58" s="22">
        <f t="array" ref="C58">TsatFromP(テーブル2[[#This Row],[P]])</f>
        <v/>
      </c>
      <c r="D58" s="0">
        <f t="array" ref="D58">RhoGFromP(テーブル2[[#This Row],[P]])</f>
        <v/>
      </c>
      <c r="E58" s="0">
        <f t="array" ref="E58">RhoFFromP(テーブル2[[#This Row],[P]])</f>
        <v/>
      </c>
      <c r="F58" s="0">
        <f t="array" ref="F58">HgFromP(テーブル2[[#This Row],[P]])</f>
        <v/>
      </c>
      <c r="G58" s="0">
        <f t="array" ref="G58">HfFromP(テーブル2[[#This Row],[P]])</f>
        <v/>
      </c>
      <c r="H58" s="0">
        <f t="array" ref="H58">MuGFromP(テーブル2[[#This Row],[P]])</f>
        <v/>
      </c>
      <c r="I58" s="0">
        <f t="array" ref="I58">MuFFromP(テーブル2[[#This Row],[P]])</f>
        <v/>
      </c>
      <c r="J58" s="0">
        <f t="array" ref="J58">KfFromP(テーブル2[[#This Row],[P]])</f>
        <v/>
      </c>
      <c r="K58" s="0">
        <f t="array" ref="K58">CpFFromP(テーブル2[[#This Row],[P]])</f>
        <v/>
      </c>
      <c r="L58" s="0">
        <f t="array" ref="L58">SigmaFromP(テーブル2[[#This Row],[P]])</f>
        <v/>
      </c>
      <c r="M58" s="23" t="n">
        <v>57</v>
      </c>
      <c r="N58" s="0" t="n">
        <v>2861.16</v>
      </c>
      <c r="O58" s="8" t="n">
        <v>1.77190538365604e-05</v>
      </c>
      <c r="P58" s="8" t="n">
        <v>0.0149219367860208</v>
      </c>
      <c r="Q58" s="8" t="n">
        <v>0.0047498</v>
      </c>
      <c r="R58" s="0" t="n">
        <v>0.3175</v>
      </c>
      <c r="S58" s="15" t="n">
        <v>1470945.17578125</v>
      </c>
      <c r="T58" s="0" t="n">
        <v>575.8574146733461</v>
      </c>
      <c r="U58" s="37">
        <f>+T58+BG58*S58*テーブル2[[#This Row],[Pw]]*R58/(N58*O58*K58)</f>
        <v/>
      </c>
      <c r="V58" s="0" t="n">
        <v>0.03</v>
      </c>
      <c r="W58" s="8">
        <f>+N58*Q58/I58</f>
        <v/>
      </c>
      <c r="X58" s="0" t="n">
        <v>0.02648758764838987</v>
      </c>
      <c r="Y58" s="0">
        <f>IF(X58&gt;0,1/X58^0.5,1)</f>
        <v/>
      </c>
      <c r="Z58" s="0">
        <f>IF(X58&gt;0,1.14-2*LOG((0.72*L58*E58)/(X58*Q58*N58^2)+9.35/(W58*X58^0.5)),0)</f>
        <v/>
      </c>
      <c r="AA58" s="0">
        <f>+Y58-Z58</f>
        <v/>
      </c>
      <c r="AB58" s="0">
        <f>32/X58*L58*V58*E58/N58^2</f>
        <v/>
      </c>
      <c r="AC58" s="0" t="n">
        <v>633.0167164743669</v>
      </c>
      <c r="AD58" s="0">
        <f>+Q58/2*AI58/I58*E58</f>
        <v/>
      </c>
      <c r="AE58" s="0">
        <f>+gettm2(AD58,AC58,AK58,AL58,テーブル2[[#This Row],[Fcorr]])</f>
        <v/>
      </c>
      <c r="AF58" s="38">
        <f>+AE58-U58</f>
        <v/>
      </c>
      <c r="AG58" s="0" t="n">
        <v>1.802144056279982e-05</v>
      </c>
      <c r="AH58" s="0">
        <f>+X58*N58^2/(8*E58)</f>
        <v/>
      </c>
      <c r="AI58" s="0">
        <f>+(AH58/E58)^0.5</f>
        <v/>
      </c>
      <c r="AJ58" s="0">
        <f>+AG58*AI58/I58*E58</f>
        <v/>
      </c>
      <c r="AK58" s="0">
        <f t="array" ref="AK58">+S58*テーブル2[[#This Row],[F_form]]/(E58*CpFromTP((テーブル2[[#This Row],[Tin]]+テーブル2[[#This Row],[Tf]])/2,テーブル2[[#This Row],[P]])*AI58)</f>
        <v/>
      </c>
      <c r="AL58" s="0">
        <f>+K58*I58/J58</f>
        <v/>
      </c>
      <c r="AM58" s="0">
        <f>+gettyp(AC58,AJ58,AK58,AL58)</f>
        <v/>
      </c>
      <c r="AN58" s="0">
        <f>+C58-AM58</f>
        <v/>
      </c>
      <c r="AO58" s="0">
        <f>+AG58-AB58</f>
        <v/>
      </c>
      <c r="AP58" s="0" t="n">
        <v>3.447993672251313</v>
      </c>
      <c r="AQ58" s="0">
        <f>2*PI()*L58*(D58+E58)/(D58*E58*AP58^2)</f>
        <v/>
      </c>
      <c r="AR58" s="0">
        <f>+AO58+AB58/2</f>
        <v/>
      </c>
      <c r="AS58" s="0">
        <f>+AR58*AI58/I58*E58</f>
        <v/>
      </c>
      <c r="AT58" s="0">
        <f>+getublp(AS58)</f>
        <v/>
      </c>
      <c r="AU58" s="0">
        <f>+AT58*AI58</f>
        <v/>
      </c>
      <c r="AV58" s="0">
        <f>+AP58-AU58</f>
        <v/>
      </c>
      <c r="AW58" s="0">
        <f>2/3*AB58/(L58/(9.8*(E58-D58)))^0.5</f>
        <v/>
      </c>
      <c r="AX58" s="0">
        <f>+(2*AQ58*9.8*(E58-D58)/(E58*AW58))^0.5</f>
        <v/>
      </c>
      <c r="AY58" s="0">
        <f>+AV58-AX58</f>
        <v/>
      </c>
      <c r="AZ58" s="0">
        <f>+F58-G58</f>
        <v/>
      </c>
      <c r="BA58" s="0">
        <f>+AQ58/AP58</f>
        <v/>
      </c>
      <c r="BB58" s="15">
        <f>+E58*AO58*AZ58/BA58</f>
        <v/>
      </c>
      <c r="BC58" s="20">
        <f>BB58-S58</f>
        <v/>
      </c>
      <c r="BD58" s="19">
        <f>+(BB58-S58)/S58*100</f>
        <v/>
      </c>
      <c r="BE58" s="15" t="n">
        <v>3129760</v>
      </c>
      <c r="BF58" s="16">
        <f>テーブル2[[#This Row],[q_P]]/テーブル2[[#This Row],[q_M]]</f>
        <v/>
      </c>
      <c r="BG58" s="0" t="n">
        <v>1</v>
      </c>
      <c r="BH58" s="0" t="n">
        <v>0.079</v>
      </c>
      <c r="BI58" s="0" t="n">
        <v>0.046</v>
      </c>
      <c r="BJ58" s="0" t="n">
        <v>5625</v>
      </c>
      <c r="BK58" s="22" t="n">
        <v>1</v>
      </c>
      <c r="BL58" s="0">
        <f>テーブル2[[#This Row],[Ts]]-テーブル2[[#This Row],[Tin]]</f>
        <v/>
      </c>
      <c r="BM58" s="0">
        <f>テーブル2[[#This Row],[q_P]]*0.000001</f>
        <v/>
      </c>
      <c r="BN58" s="0">
        <f>テーブル2[[#This Row],[Tsub]]</f>
        <v/>
      </c>
      <c r="BO58" s="0">
        <f>テーブル2[[#This Row],[Fcorr]]</f>
        <v/>
      </c>
      <c r="BP58" s="0">
        <f>(テーブル2[[#This Row],[Tsub]]-40)^2</f>
        <v/>
      </c>
      <c r="BQ58" t="n">
        <v>1</v>
      </c>
      <c r="BR58" s="0" t="n">
        <v>0.3175</v>
      </c>
    </row>
    <row r="59">
      <c r="A59" s="9" t="inlineStr">
        <is>
          <t>195.01_10</t>
        </is>
      </c>
      <c r="B59" s="0" t="n">
        <v>13789520</v>
      </c>
      <c r="C59" s="22">
        <f t="array" ref="C59">TsatFromP(テーブル2[[#This Row],[P]])</f>
        <v/>
      </c>
      <c r="D59" s="0">
        <f t="array" ref="D59">RhoGFromP(テーブル2[[#This Row],[P]])</f>
        <v/>
      </c>
      <c r="E59" s="0">
        <f t="array" ref="E59">RhoFFromP(テーブル2[[#This Row],[P]])</f>
        <v/>
      </c>
      <c r="F59" s="0">
        <f t="array" ref="F59">HgFromP(テーブル2[[#This Row],[P]])</f>
        <v/>
      </c>
      <c r="G59" s="0">
        <f t="array" ref="G59">HfFromP(テーブル2[[#This Row],[P]])</f>
        <v/>
      </c>
      <c r="H59" s="0">
        <f t="array" ref="H59">MuGFromP(テーブル2[[#This Row],[P]])</f>
        <v/>
      </c>
      <c r="I59" s="0">
        <f t="array" ref="I59">MuFFromP(テーブル2[[#This Row],[P]])</f>
        <v/>
      </c>
      <c r="J59" s="0">
        <f t="array" ref="J59">KfFromP(テーブル2[[#This Row],[P]])</f>
        <v/>
      </c>
      <c r="K59" s="0">
        <f t="array" ref="K59">CpFFromP(テーブル2[[#This Row],[P]])</f>
        <v/>
      </c>
      <c r="L59" s="0">
        <f t="array" ref="L59">SigmaFromP(テーブル2[[#This Row],[P]])</f>
        <v/>
      </c>
      <c r="M59" s="0" t="n">
        <v>58</v>
      </c>
      <c r="N59" s="0" t="n">
        <v>2861.16</v>
      </c>
      <c r="O59" s="8" t="n">
        <v>1.77190538365604e-05</v>
      </c>
      <c r="P59" s="8" t="n">
        <v>0.0149219367860208</v>
      </c>
      <c r="Q59" s="8" t="n">
        <v>0.0047498</v>
      </c>
      <c r="R59" s="0" t="n">
        <v>0.3175</v>
      </c>
      <c r="S59" s="15" t="n">
        <v>1493587.01328125</v>
      </c>
      <c r="T59" s="0" t="n">
        <v>575.315811594691</v>
      </c>
      <c r="U59" s="37">
        <f>+T59+BG59*S59*テーブル2[[#This Row],[Pw]]*R59/(N59*O59*K59)</f>
        <v/>
      </c>
      <c r="V59" s="0" t="n">
        <v>0.03</v>
      </c>
      <c r="W59" s="8">
        <f>+N59*Q59/I59</f>
        <v/>
      </c>
      <c r="X59" s="0" t="n">
        <v>0.02648758764838987</v>
      </c>
      <c r="Y59" s="0">
        <f>IF(X59&gt;0,1/X59^0.5,1)</f>
        <v/>
      </c>
      <c r="Z59" s="0">
        <f>IF(X59&gt;0,1.14-2*LOG((0.72*L59*E59)/(X59*Q59*N59^2)+9.35/(W59*X59^0.5)),0)</f>
        <v/>
      </c>
      <c r="AA59" s="0">
        <f>+Y59-Z59</f>
        <v/>
      </c>
      <c r="AB59" s="0">
        <f>32/X59*L59*V59*E59/N59^2</f>
        <v/>
      </c>
      <c r="AC59" s="0" t="n">
        <v>633.4537489509516</v>
      </c>
      <c r="AD59" s="0">
        <f>+Q59/2*AI59/I59*E59</f>
        <v/>
      </c>
      <c r="AE59" s="0">
        <f>+gettm2(AD59,AC59,AK59,AL59,テーブル2[[#This Row],[Fcorr]])</f>
        <v/>
      </c>
      <c r="AF59" s="38">
        <f>+AE59-U59</f>
        <v/>
      </c>
      <c r="AG59" s="0" t="n">
        <v>1.802201984943185e-05</v>
      </c>
      <c r="AH59" s="0">
        <f>+X59*N59^2/(8*E59)</f>
        <v/>
      </c>
      <c r="AI59" s="0">
        <f>+(AH59/E59)^0.5</f>
        <v/>
      </c>
      <c r="AJ59" s="0">
        <f>+AG59*AI59/I59*E59</f>
        <v/>
      </c>
      <c r="AK59" s="0">
        <f t="array" ref="AK59">+S59*テーブル2[[#This Row],[F_form]]/(E59*CpFromTP((テーブル2[[#This Row],[Tin]]+テーブル2[[#This Row],[Tf]])/2,テーブル2[[#This Row],[P]])*AI59)</f>
        <v/>
      </c>
      <c r="AL59" s="0">
        <f>+K59*I59/J59</f>
        <v/>
      </c>
      <c r="AM59" s="0">
        <f>+gettyp(AC59,AJ59,AK59,AL59)</f>
        <v/>
      </c>
      <c r="AN59" s="0">
        <f>+C59-AM59</f>
        <v/>
      </c>
      <c r="AO59" s="0">
        <f>+AG59-AB59</f>
        <v/>
      </c>
      <c r="AP59" s="0" t="n">
        <v>3.448072127463024</v>
      </c>
      <c r="AQ59" s="0">
        <f>2*PI()*L59*(D59+E59)/(D59*E59*AP59^2)</f>
        <v/>
      </c>
      <c r="AR59" s="0">
        <f>+AO59+AB59/2</f>
        <v/>
      </c>
      <c r="AS59" s="0">
        <f>+AR59*AI59/I59*E59</f>
        <v/>
      </c>
      <c r="AT59" s="0">
        <f>+getublp(AS59)</f>
        <v/>
      </c>
      <c r="AU59" s="0">
        <f>+AT59*AI59</f>
        <v/>
      </c>
      <c r="AV59" s="0">
        <f>+AP59-AU59</f>
        <v/>
      </c>
      <c r="AW59" s="0">
        <f>2/3*AB59/(L59/(9.8*(E59-D59)))^0.5</f>
        <v/>
      </c>
      <c r="AX59" s="0">
        <f>+(2*AQ59*9.8*(E59-D59)/(E59*AW59))^0.5</f>
        <v/>
      </c>
      <c r="AY59" s="0">
        <f>+AV59-AX59</f>
        <v/>
      </c>
      <c r="AZ59" s="0">
        <f>+F59-G59</f>
        <v/>
      </c>
      <c r="BA59" s="0">
        <f>+AQ59/AP59</f>
        <v/>
      </c>
      <c r="BB59" s="15">
        <f>+E59*AO59*AZ59/BA59</f>
        <v/>
      </c>
      <c r="BC59" s="20">
        <f>BB59-S59</f>
        <v/>
      </c>
      <c r="BD59" s="19">
        <f>+(BB59-S59)/S59*100</f>
        <v/>
      </c>
      <c r="BE59" s="15" t="n">
        <v>3249650</v>
      </c>
      <c r="BF59" s="16">
        <f>テーブル2[[#This Row],[q_P]]/テーブル2[[#This Row],[q_M]]</f>
        <v/>
      </c>
      <c r="BG59" s="0" t="n">
        <v>1</v>
      </c>
      <c r="BH59" s="0" t="n">
        <v>0.08699999999999999</v>
      </c>
      <c r="BI59" s="0" t="n">
        <v>0.046</v>
      </c>
      <c r="BJ59" s="0" t="n">
        <v>5625</v>
      </c>
      <c r="BK59" s="22" t="n">
        <v>1</v>
      </c>
      <c r="BL59" s="0">
        <f>テーブル2[[#This Row],[Ts]]-テーブル2[[#This Row],[Tin]]</f>
        <v/>
      </c>
      <c r="BM59" s="0">
        <f>テーブル2[[#This Row],[q_P]]*0.000001</f>
        <v/>
      </c>
      <c r="BN59" s="0">
        <f>テーブル2[[#This Row],[Tsub]]</f>
        <v/>
      </c>
      <c r="BO59" s="0">
        <f>テーブル2[[#This Row],[Fcorr]]</f>
        <v/>
      </c>
      <c r="BP59" s="0">
        <f>(テーブル2[[#This Row],[Tsub]]-40)^2</f>
        <v/>
      </c>
      <c r="BQ59" t="n">
        <v>1</v>
      </c>
      <c r="BR59" s="0" t="n">
        <v>0.3175</v>
      </c>
    </row>
    <row r="60">
      <c r="A60" s="9" t="inlineStr">
        <is>
          <t>196.01_10</t>
        </is>
      </c>
      <c r="B60" s="0" t="n">
        <v>13789520</v>
      </c>
      <c r="C60" s="22">
        <f t="array" ref="C60">TsatFromP(テーブル2[[#This Row],[P]])</f>
        <v/>
      </c>
      <c r="D60" s="0">
        <f t="array" ref="D60">RhoGFromP(テーブル2[[#This Row],[P]])</f>
        <v/>
      </c>
      <c r="E60" s="0">
        <f t="array" ref="E60">RhoFFromP(テーブル2[[#This Row],[P]])</f>
        <v/>
      </c>
      <c r="F60" s="0">
        <f t="array" ref="F60">HgFromP(テーブル2[[#This Row],[P]])</f>
        <v/>
      </c>
      <c r="G60" s="0">
        <f t="array" ref="G60">HfFromP(テーブル2[[#This Row],[P]])</f>
        <v/>
      </c>
      <c r="H60" s="0">
        <f t="array" ref="H60">MuGFromP(テーブル2[[#This Row],[P]])</f>
        <v/>
      </c>
      <c r="I60" s="0">
        <f t="array" ref="I60">MuFFromP(テーブル2[[#This Row],[P]])</f>
        <v/>
      </c>
      <c r="J60" s="0">
        <f t="array" ref="J60">KfFromP(テーブル2[[#This Row],[P]])</f>
        <v/>
      </c>
      <c r="K60" s="0">
        <f t="array" ref="K60">CpFFromP(テーブル2[[#This Row],[P]])</f>
        <v/>
      </c>
      <c r="L60" s="0">
        <f t="array" ref="L60">SigmaFromP(テーブル2[[#This Row],[P]])</f>
        <v/>
      </c>
      <c r="M60" s="23" t="n">
        <v>59</v>
      </c>
      <c r="N60" s="0" t="n">
        <v>3037.44</v>
      </c>
      <c r="O60" s="8" t="n">
        <v>1.77190538365604e-05</v>
      </c>
      <c r="P60" s="8" t="n">
        <v>0.0149219367860208</v>
      </c>
      <c r="Q60" s="8" t="n">
        <v>0.0047498</v>
      </c>
      <c r="R60" s="0" t="n">
        <v>0.3175</v>
      </c>
      <c r="S60" s="15" t="n">
        <v>2771085.48578125</v>
      </c>
      <c r="T60" s="0" t="n">
        <v>546.464037704309</v>
      </c>
      <c r="U60" s="37">
        <f>+T60+BG60*S60*テーブル2[[#This Row],[Pw]]*R60/(N60*O60*K60)</f>
        <v/>
      </c>
      <c r="V60" s="0" t="n">
        <v>0.03</v>
      </c>
      <c r="W60" s="8">
        <f>+N60*Q60/I60</f>
        <v/>
      </c>
      <c r="X60" s="0" t="n">
        <v>0.02582843016795348</v>
      </c>
      <c r="Y60" s="0">
        <f>IF(X60&gt;0,1/X60^0.5,1)</f>
        <v/>
      </c>
      <c r="Z60" s="0">
        <f>IF(X60&gt;0,1.14-2*LOG((0.72*L60*E60)/(X60*Q60*N60^2)+9.35/(W60*X60^0.5)),0)</f>
        <v/>
      </c>
      <c r="AA60" s="0">
        <f>+Y60-Z60</f>
        <v/>
      </c>
      <c r="AB60" s="0">
        <f>32/X60*L60*V60*E60/N60^2</f>
        <v/>
      </c>
      <c r="AC60" s="0" t="n">
        <v>656.9828092471255</v>
      </c>
      <c r="AD60" s="0">
        <f>+Q60/2*AI60/I60*E60</f>
        <v/>
      </c>
      <c r="AE60" s="0">
        <f>+gettm2(AD60,AC60,AK60,AL60,テーブル2[[#This Row],[Fcorr]])</f>
        <v/>
      </c>
      <c r="AF60" s="38">
        <f>+AE60-U60</f>
        <v/>
      </c>
      <c r="AG60" s="0" t="n">
        <v>1.642221355112563e-05</v>
      </c>
      <c r="AH60" s="0">
        <f>+X60*N60^2/(8*E60)</f>
        <v/>
      </c>
      <c r="AI60" s="0">
        <f>+(AH60/E60)^0.5</f>
        <v/>
      </c>
      <c r="AJ60" s="0">
        <f>+AG60*AI60/I60*E60</f>
        <v/>
      </c>
      <c r="AK60" s="0">
        <f t="array" ref="AK60">+S60*テーブル2[[#This Row],[F_form]]/(E60*CpFromTP((テーブル2[[#This Row],[Tin]]+テーブル2[[#This Row],[Tf]])/2,テーブル2[[#This Row],[P]])*AI60)</f>
        <v/>
      </c>
      <c r="AL60" s="0">
        <f>+K60*I60/J60</f>
        <v/>
      </c>
      <c r="AM60" s="0">
        <f>+gettyp(AC60,AJ60,AK60,AL60)</f>
        <v/>
      </c>
      <c r="AN60" s="0">
        <f>+C60-AM60</f>
        <v/>
      </c>
      <c r="AO60" s="0">
        <f>+AG60-AB60</f>
        <v/>
      </c>
      <c r="AP60" s="0" t="n">
        <v>3.545682176451663</v>
      </c>
      <c r="AQ60" s="0">
        <f>2*PI()*L60*(D60+E60)/(D60*E60*AP60^2)</f>
        <v/>
      </c>
      <c r="AR60" s="0">
        <f>+AO60+AB60/2</f>
        <v/>
      </c>
      <c r="AS60" s="0">
        <f>+AR60*AI60/I60*E60</f>
        <v/>
      </c>
      <c r="AT60" s="0">
        <f>+getublp(AS60)</f>
        <v/>
      </c>
      <c r="AU60" s="0">
        <f>+AT60*AI60</f>
        <v/>
      </c>
      <c r="AV60" s="0">
        <f>+AP60-AU60</f>
        <v/>
      </c>
      <c r="AW60" s="0">
        <f>2/3*AB60/(L60/(9.8*(E60-D60)))^0.5</f>
        <v/>
      </c>
      <c r="AX60" s="0">
        <f>+(2*AQ60*9.8*(E60-D60)/(E60*AW60))^0.5</f>
        <v/>
      </c>
      <c r="AY60" s="0">
        <f>+AV60-AX60</f>
        <v/>
      </c>
      <c r="AZ60" s="0">
        <f>+F60-G60</f>
        <v/>
      </c>
      <c r="BA60" s="0">
        <f>+AQ60/AP60</f>
        <v/>
      </c>
      <c r="BB60" s="15">
        <f>+E60*AO60*AZ60/BA60</f>
        <v/>
      </c>
      <c r="BC60" s="20">
        <f>BB60-S60</f>
        <v/>
      </c>
      <c r="BD60" s="19">
        <f>+(BB60-S60)/S60*100</f>
        <v/>
      </c>
      <c r="BE60" s="15" t="n">
        <v>4297110</v>
      </c>
      <c r="BF60" s="16">
        <f>テーブル2[[#This Row],[q_P]]/テーブル2[[#This Row],[q_M]]</f>
        <v/>
      </c>
      <c r="BG60" s="0" t="n">
        <v>1</v>
      </c>
      <c r="BH60" s="0" t="n">
        <v>0.015</v>
      </c>
      <c r="BI60" s="0" t="n">
        <v>0.046</v>
      </c>
      <c r="BJ60" s="0" t="n">
        <v>5625</v>
      </c>
      <c r="BK60" s="22" t="n">
        <v>1</v>
      </c>
      <c r="BL60" s="0">
        <f>テーブル2[[#This Row],[Ts]]-テーブル2[[#This Row],[Tin]]</f>
        <v/>
      </c>
      <c r="BM60" s="0">
        <f>テーブル2[[#This Row],[q_P]]*0.000001</f>
        <v/>
      </c>
      <c r="BN60" s="0">
        <f>テーブル2[[#This Row],[Tsub]]</f>
        <v/>
      </c>
      <c r="BO60" s="0">
        <f>テーブル2[[#This Row],[Fcorr]]</f>
        <v/>
      </c>
      <c r="BP60" s="0">
        <f>(テーブル2[[#This Row],[Tsub]]-40)^2</f>
        <v/>
      </c>
      <c r="BQ60" t="n">
        <v>1</v>
      </c>
      <c r="BR60" s="0" t="n">
        <v>0.3175</v>
      </c>
    </row>
    <row r="61">
      <c r="A61" s="9" t="inlineStr">
        <is>
          <t>197.01_10</t>
        </is>
      </c>
      <c r="B61" s="0" t="n">
        <v>13789520</v>
      </c>
      <c r="C61" s="22">
        <f t="array" ref="C61">TsatFromP(テーブル2[[#This Row],[P]])</f>
        <v/>
      </c>
      <c r="D61" s="0">
        <f t="array" ref="D61">RhoGFromP(テーブル2[[#This Row],[P]])</f>
        <v/>
      </c>
      <c r="E61" s="0">
        <f t="array" ref="E61">RhoFFromP(テーブル2[[#This Row],[P]])</f>
        <v/>
      </c>
      <c r="F61" s="0">
        <f t="array" ref="F61">HgFromP(テーブル2[[#This Row],[P]])</f>
        <v/>
      </c>
      <c r="G61" s="0">
        <f t="array" ref="G61">HfFromP(テーブル2[[#This Row],[P]])</f>
        <v/>
      </c>
      <c r="H61" s="0">
        <f t="array" ref="H61">MuGFromP(テーブル2[[#This Row],[P]])</f>
        <v/>
      </c>
      <c r="I61" s="0">
        <f t="array" ref="I61">MuFFromP(テーブル2[[#This Row],[P]])</f>
        <v/>
      </c>
      <c r="J61" s="0">
        <f t="array" ref="J61">KfFromP(テーブル2[[#This Row],[P]])</f>
        <v/>
      </c>
      <c r="K61" s="0">
        <f t="array" ref="K61">CpFFromP(テーブル2[[#This Row],[P]])</f>
        <v/>
      </c>
      <c r="L61" s="0">
        <f t="array" ref="L61">SigmaFromP(テーブル2[[#This Row],[P]])</f>
        <v/>
      </c>
      <c r="M61" s="0" t="n">
        <v>60</v>
      </c>
      <c r="N61" s="0" t="n">
        <v>3240.84</v>
      </c>
      <c r="O61" s="8" t="n">
        <v>1.77190538365604e-05</v>
      </c>
      <c r="P61" s="8" t="n">
        <v>0.0149219367860208</v>
      </c>
      <c r="Q61" s="8" t="n">
        <v>0.0047498</v>
      </c>
      <c r="R61" s="0" t="n">
        <v>0.3175</v>
      </c>
      <c r="S61" s="15" t="n">
        <v>3473975.09765625</v>
      </c>
      <c r="T61" s="0" t="n">
        <v>532.848711118157</v>
      </c>
      <c r="U61" s="37">
        <f>+T61+BG61*S61*テーブル2[[#This Row],[Pw]]*R61/(N61*O61*K61)</f>
        <v/>
      </c>
      <c r="V61" s="0" t="n">
        <v>0.03</v>
      </c>
      <c r="W61" s="8">
        <f>+N61*Q61/I61</f>
        <v/>
      </c>
      <c r="X61" s="0" t="n">
        <v>0.02514065675599568</v>
      </c>
      <c r="Y61" s="0">
        <f>IF(X61&gt;0,1/X61^0.5,1)</f>
        <v/>
      </c>
      <c r="Z61" s="0">
        <f>IF(X61&gt;0,1.14-2*LOG((0.72*L61*E61)/(X61*Q61*N61^2)+9.35/(W61*X61^0.5)),0)</f>
        <v/>
      </c>
      <c r="AA61" s="0">
        <f>+Y61-Z61</f>
        <v/>
      </c>
      <c r="AB61" s="0">
        <f>32/X61*L61*V61*E61/N61^2</f>
        <v/>
      </c>
      <c r="AC61" s="0" t="n">
        <v>667.7937900446833</v>
      </c>
      <c r="AD61" s="0">
        <f>+Q61/2*AI61/I61*E61</f>
        <v/>
      </c>
      <c r="AE61" s="0">
        <f>+gettm2(AD61,AC61,AK61,AL61,テーブル2[[#This Row],[Fcorr]])</f>
        <v/>
      </c>
      <c r="AF61" s="38">
        <f>+AE61-U61</f>
        <v/>
      </c>
      <c r="AG61" s="0" t="n">
        <v>1.483278890377218e-05</v>
      </c>
      <c r="AH61" s="0">
        <f>+X61*N61^2/(8*E61)</f>
        <v/>
      </c>
      <c r="AI61" s="0">
        <f>+(AH61/E61)^0.5</f>
        <v/>
      </c>
      <c r="AJ61" s="0">
        <f>+AG61*AI61/I61*E61</f>
        <v/>
      </c>
      <c r="AK61" s="0">
        <f t="array" ref="AK61">+S61*テーブル2[[#This Row],[F_form]]/(E61*CpFromTP((テーブル2[[#This Row],[Tin]]+テーブル2[[#This Row],[Tf]])/2,テーブル2[[#This Row],[P]])*AI61)</f>
        <v/>
      </c>
      <c r="AL61" s="0">
        <f>+K61*I61/J61</f>
        <v/>
      </c>
      <c r="AM61" s="0">
        <f>+gettyp(AC61,AJ61,AK61,AL61)</f>
        <v/>
      </c>
      <c r="AN61" s="0">
        <f>+C61-AM61</f>
        <v/>
      </c>
      <c r="AO61" s="0">
        <f>+AG61-AB61</f>
        <v/>
      </c>
      <c r="AP61" s="0" t="n">
        <v>3.651899950724173</v>
      </c>
      <c r="AQ61" s="0">
        <f>2*PI()*L61*(D61+E61)/(D61*E61*AP61^2)</f>
        <v/>
      </c>
      <c r="AR61" s="0">
        <f>+AO61+AB61/2</f>
        <v/>
      </c>
      <c r="AS61" s="0">
        <f>+AR61*AI61/I61*E61</f>
        <v/>
      </c>
      <c r="AT61" s="0">
        <f>+getublp(AS61)</f>
        <v/>
      </c>
      <c r="AU61" s="0">
        <f>+AT61*AI61</f>
        <v/>
      </c>
      <c r="AV61" s="0">
        <f>+AP61-AU61</f>
        <v/>
      </c>
      <c r="AW61" s="0">
        <f>2/3*AB61/(L61/(9.8*(E61-D61)))^0.5</f>
        <v/>
      </c>
      <c r="AX61" s="0">
        <f>+(2*AQ61*9.8*(E61-D61)/(E61*AW61))^0.5</f>
        <v/>
      </c>
      <c r="AY61" s="0">
        <f>+AV61-AX61</f>
        <v/>
      </c>
      <c r="AZ61" s="0">
        <f>+F61-G61</f>
        <v/>
      </c>
      <c r="BA61" s="0">
        <f>+AQ61/AP61</f>
        <v/>
      </c>
      <c r="BB61" s="15">
        <f>+E61*AO61*AZ61/BA61</f>
        <v/>
      </c>
      <c r="BC61" s="20">
        <f>BB61-S61</f>
        <v/>
      </c>
      <c r="BD61" s="19">
        <f>+(BB61-S61)/S61*100</f>
        <v/>
      </c>
      <c r="BE61" s="15" t="n">
        <v>5016450</v>
      </c>
      <c r="BF61" s="16">
        <f>テーブル2[[#This Row],[q_P]]/テーブル2[[#This Row],[q_M]]</f>
        <v/>
      </c>
      <c r="BG61" s="0" t="n">
        <v>1</v>
      </c>
      <c r="BH61" s="0" t="n">
        <v>-0.014</v>
      </c>
      <c r="BI61" s="0" t="n">
        <v>0.046</v>
      </c>
      <c r="BJ61" s="0" t="n">
        <v>5625</v>
      </c>
      <c r="BK61" s="22" t="n">
        <v>1</v>
      </c>
      <c r="BL61" s="0">
        <f>テーブル2[[#This Row],[Ts]]-テーブル2[[#This Row],[Tin]]</f>
        <v/>
      </c>
      <c r="BM61" s="0">
        <f>テーブル2[[#This Row],[q_P]]*0.000001</f>
        <v/>
      </c>
      <c r="BN61" s="0">
        <f>テーブル2[[#This Row],[Tsub]]</f>
        <v/>
      </c>
      <c r="BO61" s="0">
        <f>テーブル2[[#This Row],[Fcorr]]</f>
        <v/>
      </c>
      <c r="BP61" s="0">
        <f>(テーブル2[[#This Row],[Tsub]]-40)^2</f>
        <v/>
      </c>
      <c r="BQ61" t="n">
        <v>1</v>
      </c>
      <c r="BR61" s="0" t="n">
        <v>0.3175</v>
      </c>
    </row>
    <row r="62">
      <c r="A62" s="9" t="inlineStr">
        <is>
          <t>198.01_10</t>
        </is>
      </c>
      <c r="B62" s="0" t="n">
        <v>13789520</v>
      </c>
      <c r="C62" s="22">
        <f t="array" ref="C62">TsatFromP(テーブル2[[#This Row],[P]])</f>
        <v/>
      </c>
      <c r="D62" s="0">
        <f t="array" ref="D62">RhoGFromP(テーブル2[[#This Row],[P]])</f>
        <v/>
      </c>
      <c r="E62" s="0">
        <f t="array" ref="E62">RhoFFromP(テーブル2[[#This Row],[P]])</f>
        <v/>
      </c>
      <c r="F62" s="0">
        <f t="array" ref="F62">HgFromP(テーブル2[[#This Row],[P]])</f>
        <v/>
      </c>
      <c r="G62" s="0">
        <f t="array" ref="G62">HfFromP(テーブル2[[#This Row],[P]])</f>
        <v/>
      </c>
      <c r="H62" s="0">
        <f t="array" ref="H62">MuGFromP(テーブル2[[#This Row],[P]])</f>
        <v/>
      </c>
      <c r="I62" s="0">
        <f t="array" ref="I62">MuFFromP(テーブル2[[#This Row],[P]])</f>
        <v/>
      </c>
      <c r="J62" s="0">
        <f t="array" ref="J62">KfFromP(テーブル2[[#This Row],[P]])</f>
        <v/>
      </c>
      <c r="K62" s="0">
        <f t="array" ref="K62">CpFFromP(テーブル2[[#This Row],[P]])</f>
        <v/>
      </c>
      <c r="L62" s="0">
        <f t="array" ref="L62">SigmaFromP(テーブル2[[#This Row],[P]])</f>
        <v/>
      </c>
      <c r="M62" s="23" t="n">
        <v>61</v>
      </c>
      <c r="N62" s="0" t="n">
        <v>3254.4</v>
      </c>
      <c r="O62" s="8" t="n">
        <v>1.77190538365604e-05</v>
      </c>
      <c r="P62" s="8" t="n">
        <v>0.0149219367860208</v>
      </c>
      <c r="Q62" s="8" t="n">
        <v>0.0047498</v>
      </c>
      <c r="R62" s="0" t="n">
        <v>0.3175</v>
      </c>
      <c r="S62" s="15" t="n">
        <v>3530403.29296875</v>
      </c>
      <c r="T62" s="0" t="n">
        <v>531.742355901876</v>
      </c>
      <c r="U62" s="37">
        <f>+T62+BG62*S62*テーブル2[[#This Row],[Pw]]*R62/(N62*O62*K62)</f>
        <v/>
      </c>
      <c r="V62" s="0" t="n">
        <v>0.03</v>
      </c>
      <c r="W62" s="8">
        <f>+N62*Q62/I62</f>
        <v/>
      </c>
      <c r="X62" s="0" t="n">
        <v>0.02509727925044618</v>
      </c>
      <c r="Y62" s="0">
        <f>IF(X62&gt;0,1/X62^0.5,1)</f>
        <v/>
      </c>
      <c r="Z62" s="0">
        <f>IF(X62&gt;0,1.14-2*LOG((0.72*L62*E62)/(X62*Q62*N62^2)+9.35/(W62*X62^0.5)),0)</f>
        <v/>
      </c>
      <c r="AA62" s="0">
        <f>+Y62-Z62</f>
        <v/>
      </c>
      <c r="AB62" s="0">
        <f>32/X62*L62*V62*E62/N62^2</f>
        <v/>
      </c>
      <c r="AC62" s="0" t="n">
        <v>668.6780907508602</v>
      </c>
      <c r="AD62" s="0">
        <f>+Q62/2*AI62/I62*E62</f>
        <v/>
      </c>
      <c r="AE62" s="0">
        <f>+gettm2(AD62,AC62,AK62,AL62,テーブル2[[#This Row],[Fcorr]])</f>
        <v/>
      </c>
      <c r="AF62" s="38">
        <f>+AE62-U62</f>
        <v/>
      </c>
      <c r="AG62" s="0" t="n">
        <v>1.473558647013981e-05</v>
      </c>
      <c r="AH62" s="0">
        <f>+X62*N62^2/(8*E62)</f>
        <v/>
      </c>
      <c r="AI62" s="0">
        <f>+(AH62/E62)^0.5</f>
        <v/>
      </c>
      <c r="AJ62" s="0">
        <f>+AG62*AI62/I62*E62</f>
        <v/>
      </c>
      <c r="AK62" s="0">
        <f t="array" ref="AK62">+S62*テーブル2[[#This Row],[F_form]]/(E62*CpFromTP((テーブル2[[#This Row],[Tin]]+テーブル2[[#This Row],[Tf]])/2,テーブル2[[#This Row],[P]])*AI62)</f>
        <v/>
      </c>
      <c r="AL62" s="0">
        <f>+K62*I62/J62</f>
        <v/>
      </c>
      <c r="AM62" s="0">
        <f>+gettyp(AC62,AJ62,AK62,AL62)</f>
        <v/>
      </c>
      <c r="AN62" s="0">
        <f>+C62-AM62</f>
        <v/>
      </c>
      <c r="AO62" s="0">
        <f>+AG62-AB62</f>
        <v/>
      </c>
      <c r="AP62" s="0" t="n">
        <v>3.658798724716376</v>
      </c>
      <c r="AQ62" s="0">
        <f>2*PI()*L62*(D62+E62)/(D62*E62*AP62^2)</f>
        <v/>
      </c>
      <c r="AR62" s="0">
        <f>+AO62+AB62/2</f>
        <v/>
      </c>
      <c r="AS62" s="0">
        <f>+AR62*AI62/I62*E62</f>
        <v/>
      </c>
      <c r="AT62" s="0">
        <f>+getublp(AS62)</f>
        <v/>
      </c>
      <c r="AU62" s="0">
        <f>+AT62*AI62</f>
        <v/>
      </c>
      <c r="AV62" s="0">
        <f>+AP62-AU62</f>
        <v/>
      </c>
      <c r="AW62" s="0">
        <f>2/3*AB62/(L62/(9.8*(E62-D62)))^0.5</f>
        <v/>
      </c>
      <c r="AX62" s="0">
        <f>+(2*AQ62*9.8*(E62-D62)/(E62*AW62))^0.5</f>
        <v/>
      </c>
      <c r="AY62" s="0">
        <f>+AV62-AX62</f>
        <v/>
      </c>
      <c r="AZ62" s="0">
        <f>+F62-G62</f>
        <v/>
      </c>
      <c r="BA62" s="0">
        <f>+AQ62/AP62</f>
        <v/>
      </c>
      <c r="BB62" s="15">
        <f>+E62*AO62*AZ62/BA62</f>
        <v/>
      </c>
      <c r="BC62" s="20">
        <f>BB62-S62</f>
        <v/>
      </c>
      <c r="BD62" s="19">
        <f>+(BB62-S62)/S62*100</f>
        <v/>
      </c>
      <c r="BE62" s="15" t="n">
        <v>4101500</v>
      </c>
      <c r="BF62" s="16">
        <f>テーブル2[[#This Row],[q_P]]/テーブル2[[#This Row],[q_M]]</f>
        <v/>
      </c>
      <c r="BG62" s="0" t="n">
        <v>1</v>
      </c>
      <c r="BH62" s="0" t="n">
        <v>-0.09</v>
      </c>
      <c r="BI62" s="0" t="n">
        <v>0.046</v>
      </c>
      <c r="BJ62" s="0" t="n">
        <v>5625</v>
      </c>
      <c r="BK62" s="22" t="n">
        <v>1</v>
      </c>
      <c r="BL62" s="0">
        <f>テーブル2[[#This Row],[Ts]]-テーブル2[[#This Row],[Tin]]</f>
        <v/>
      </c>
      <c r="BM62" s="0">
        <f>テーブル2[[#This Row],[q_P]]*0.000001</f>
        <v/>
      </c>
      <c r="BN62" s="0">
        <f>テーブル2[[#This Row],[Tsub]]</f>
        <v/>
      </c>
      <c r="BO62" s="0">
        <f>テーブル2[[#This Row],[Fcorr]]</f>
        <v/>
      </c>
      <c r="BP62" s="0">
        <f>(テーブル2[[#This Row],[Tsub]]-40)^2</f>
        <v/>
      </c>
      <c r="BQ62" t="n">
        <v>1</v>
      </c>
      <c r="BR62" s="0" t="n">
        <v>0.3175</v>
      </c>
    </row>
    <row r="63">
      <c r="A63" s="9" t="inlineStr">
        <is>
          <t>199.01_10</t>
        </is>
      </c>
      <c r="B63" s="0" t="n">
        <v>13789520</v>
      </c>
      <c r="C63" s="22">
        <f t="array" ref="C63">TsatFromP(テーブル2[[#This Row],[P]])</f>
        <v/>
      </c>
      <c r="D63" s="0">
        <f t="array" ref="D63">RhoGFromP(テーブル2[[#This Row],[P]])</f>
        <v/>
      </c>
      <c r="E63" s="0">
        <f t="array" ref="E63">RhoFFromP(テーブル2[[#This Row],[P]])</f>
        <v/>
      </c>
      <c r="F63" s="0">
        <f t="array" ref="F63">HgFromP(テーブル2[[#This Row],[P]])</f>
        <v/>
      </c>
      <c r="G63" s="0">
        <f t="array" ref="G63">HfFromP(テーブル2[[#This Row],[P]])</f>
        <v/>
      </c>
      <c r="H63" s="0">
        <f t="array" ref="H63">MuGFromP(テーブル2[[#This Row],[P]])</f>
        <v/>
      </c>
      <c r="I63" s="0">
        <f t="array" ref="I63">MuFFromP(テーブル2[[#This Row],[P]])</f>
        <v/>
      </c>
      <c r="J63" s="0">
        <f t="array" ref="J63">KfFromP(テーブル2[[#This Row],[P]])</f>
        <v/>
      </c>
      <c r="K63" s="0">
        <f t="array" ref="K63">CpFFromP(テーブル2[[#This Row],[P]])</f>
        <v/>
      </c>
      <c r="L63" s="0">
        <f t="array" ref="L63">SigmaFromP(テーブル2[[#This Row],[P]])</f>
        <v/>
      </c>
      <c r="M63" s="0" t="n">
        <v>62</v>
      </c>
      <c r="N63" s="0" t="n">
        <v>3390</v>
      </c>
      <c r="O63" s="8" t="n">
        <v>1.77190538365604e-05</v>
      </c>
      <c r="P63" s="8" t="n">
        <v>0.0149219367860208</v>
      </c>
      <c r="Q63" s="8" t="n">
        <v>0.0047498</v>
      </c>
      <c r="R63" s="0" t="n">
        <v>0.3175</v>
      </c>
      <c r="S63" s="15" t="n">
        <v>4885709.98828125</v>
      </c>
      <c r="T63" s="0" t="n">
        <v>502.186644863125</v>
      </c>
      <c r="U63" s="37">
        <f>+T63+BG63*S63*テーブル2[[#This Row],[Pw]]*R63/(N63*O63*K63)</f>
        <v/>
      </c>
      <c r="V63" s="0" t="n">
        <v>0.03</v>
      </c>
      <c r="W63" s="8">
        <f>+N63*Q63/I63</f>
        <v/>
      </c>
      <c r="X63" s="0" t="n">
        <v>0.02467893269246071</v>
      </c>
      <c r="Y63" s="0">
        <f>IF(X63&gt;0,1/X63^0.5,1)</f>
        <v/>
      </c>
      <c r="Z63" s="0">
        <f>IF(X63&gt;0,1.14-2*LOG((0.72*L63*E63)/(X63*Q63*N63^2)+9.35/(W63*X63^0.5)),0)</f>
        <v/>
      </c>
      <c r="AA63" s="0">
        <f>+Y63-Z63</f>
        <v/>
      </c>
      <c r="AB63" s="0">
        <f>32/X63*L63*V63*E63/N63^2</f>
        <v/>
      </c>
      <c r="AC63" s="0" t="n">
        <v>693.2679874005171</v>
      </c>
      <c r="AD63" s="0">
        <f>+Q63/2*AI63/I63*E63</f>
        <v/>
      </c>
      <c r="AE63" s="0">
        <f>+gettm2(AD63,AC63,AK63,AL63,テーブル2[[#This Row],[Fcorr]])</f>
        <v/>
      </c>
      <c r="AF63" s="38">
        <f>+AE63-U63</f>
        <v/>
      </c>
      <c r="AG63" s="0" t="n">
        <v>1.383250241704707e-05</v>
      </c>
      <c r="AH63" s="0">
        <f>+X63*N63^2/(8*E63)</f>
        <v/>
      </c>
      <c r="AI63" s="0">
        <f>+(AH63/E63)^0.5</f>
        <v/>
      </c>
      <c r="AJ63" s="0">
        <f>+AG63*AI63/I63*E63</f>
        <v/>
      </c>
      <c r="AK63" s="0">
        <f t="array" ref="AK63">+S63*テーブル2[[#This Row],[F_form]]/(E63*CpFromTP((テーブル2[[#This Row],[Tin]]+テーブル2[[#This Row],[Tf]])/2,テーブル2[[#This Row],[P]])*AI63)</f>
        <v/>
      </c>
      <c r="AL63" s="0">
        <f>+K63*I63/J63</f>
        <v/>
      </c>
      <c r="AM63" s="0">
        <f>+gettyp(AC63,AJ63,AK63,AL63)</f>
        <v/>
      </c>
      <c r="AN63" s="0">
        <f>+C63-AM63</f>
        <v/>
      </c>
      <c r="AO63" s="0">
        <f>+AG63-AB63</f>
        <v/>
      </c>
      <c r="AP63" s="0" t="n">
        <v>3.72978334753287</v>
      </c>
      <c r="AQ63" s="0">
        <f>2*PI()*L63*(D63+E63)/(D63*E63*AP63^2)</f>
        <v/>
      </c>
      <c r="AR63" s="0">
        <f>+AO63+AB63/2</f>
        <v/>
      </c>
      <c r="AS63" s="0">
        <f>+AR63*AI63/I63*E63</f>
        <v/>
      </c>
      <c r="AT63" s="0">
        <f>+getublp(AS63)</f>
        <v/>
      </c>
      <c r="AU63" s="0">
        <f>+AT63*AI63</f>
        <v/>
      </c>
      <c r="AV63" s="0">
        <f>+AP63-AU63</f>
        <v/>
      </c>
      <c r="AW63" s="0">
        <f>2/3*AB63/(L63/(9.8*(E63-D63)))^0.5</f>
        <v/>
      </c>
      <c r="AX63" s="0">
        <f>+(2*AQ63*9.8*(E63-D63)/(E63*AW63))^0.5</f>
        <v/>
      </c>
      <c r="AY63" s="0">
        <f>+AV63-AX63</f>
        <v/>
      </c>
      <c r="AZ63" s="0">
        <f>+F63-G63</f>
        <v/>
      </c>
      <c r="BA63" s="0">
        <f>+AQ63/AP63</f>
        <v/>
      </c>
      <c r="BB63" s="15">
        <f>+E63*AO63*AZ63/BA63</f>
        <v/>
      </c>
      <c r="BC63" s="20">
        <f>BB63-S63</f>
        <v/>
      </c>
      <c r="BD63" s="19">
        <f>+(BB63-S63)/S63*100</f>
        <v/>
      </c>
      <c r="BE63" s="15" t="n">
        <v>5300400</v>
      </c>
      <c r="BF63" s="16">
        <f>テーブル2[[#This Row],[q_P]]/テーブル2[[#This Row],[q_M]]</f>
        <v/>
      </c>
      <c r="BG63" s="0" t="n">
        <v>1</v>
      </c>
      <c r="BH63" s="0" t="n">
        <v>-0.144</v>
      </c>
      <c r="BI63" s="0" t="n">
        <v>0.046</v>
      </c>
      <c r="BJ63" s="0" t="n">
        <v>5625</v>
      </c>
      <c r="BK63" s="22" t="n">
        <v>1</v>
      </c>
      <c r="BL63" s="0">
        <f>テーブル2[[#This Row],[Ts]]-テーブル2[[#This Row],[Tin]]</f>
        <v/>
      </c>
      <c r="BM63" s="0">
        <f>テーブル2[[#This Row],[q_P]]*0.000001</f>
        <v/>
      </c>
      <c r="BN63" s="0">
        <f>テーブル2[[#This Row],[Tsub]]</f>
        <v/>
      </c>
      <c r="BO63" s="0">
        <f>テーブル2[[#This Row],[Fcorr]]</f>
        <v/>
      </c>
      <c r="BP63" s="0">
        <f>(テーブル2[[#This Row],[Tsub]]-40)^2</f>
        <v/>
      </c>
      <c r="BQ63" t="n">
        <v>1</v>
      </c>
      <c r="BR63" s="0" t="n">
        <v>0.3175</v>
      </c>
    </row>
    <row r="64">
      <c r="A64" s="9" t="inlineStr">
        <is>
          <t>200.01_10</t>
        </is>
      </c>
      <c r="B64" s="0" t="n">
        <v>13789520</v>
      </c>
      <c r="C64" s="22">
        <f t="array" ref="C64">TsatFromP(テーブル2[[#This Row],[P]])</f>
        <v/>
      </c>
      <c r="D64" s="0">
        <f t="array" ref="D64">RhoGFromP(テーブル2[[#This Row],[P]])</f>
        <v/>
      </c>
      <c r="E64" s="0">
        <f t="array" ref="E64">RhoFFromP(テーブル2[[#This Row],[P]])</f>
        <v/>
      </c>
      <c r="F64" s="0">
        <f t="array" ref="F64">HgFromP(テーブル2[[#This Row],[P]])</f>
        <v/>
      </c>
      <c r="G64" s="0">
        <f t="array" ref="G64">HfFromP(テーブル2[[#This Row],[P]])</f>
        <v/>
      </c>
      <c r="H64" s="0">
        <f t="array" ref="H64">MuGFromP(テーブル2[[#This Row],[P]])</f>
        <v/>
      </c>
      <c r="I64" s="0">
        <f t="array" ref="I64">MuFFromP(テーブル2[[#This Row],[P]])</f>
        <v/>
      </c>
      <c r="J64" s="0">
        <f t="array" ref="J64">KfFromP(テーブル2[[#This Row],[P]])</f>
        <v/>
      </c>
      <c r="K64" s="0">
        <f t="array" ref="K64">CpFFromP(テーブル2[[#This Row],[P]])</f>
        <v/>
      </c>
      <c r="L64" s="0">
        <f t="array" ref="L64">SigmaFromP(テーブル2[[#This Row],[P]])</f>
        <v/>
      </c>
      <c r="M64" s="23" t="n">
        <v>63</v>
      </c>
      <c r="N64" s="0" t="n">
        <v>3390</v>
      </c>
      <c r="O64" s="8" t="n">
        <v>1.77190538365604e-05</v>
      </c>
      <c r="P64" s="8" t="n">
        <v>0.0149219367860208</v>
      </c>
      <c r="Q64" s="8" t="n">
        <v>0.0047498</v>
      </c>
      <c r="R64" s="0" t="n">
        <v>0.3175</v>
      </c>
      <c r="S64" s="15" t="n">
        <v>3749439.27421875</v>
      </c>
      <c r="T64" s="0" t="n">
        <v>528.989187332651</v>
      </c>
      <c r="U64" s="37">
        <f>+T64+BG64*S64*テーブル2[[#This Row],[Pw]]*R64/(N64*O64*K64)</f>
        <v/>
      </c>
      <c r="V64" s="0" t="n">
        <v>0.03</v>
      </c>
      <c r="W64" s="8">
        <f>+N64*Q64/I64</f>
        <v/>
      </c>
      <c r="X64" s="0" t="n">
        <v>0.02467893269246071</v>
      </c>
      <c r="Y64" s="0">
        <f>IF(X64&gt;0,1/X64^0.5,1)</f>
        <v/>
      </c>
      <c r="Z64" s="0">
        <f>IF(X64&gt;0,1.14-2*LOG((0.72*L64*E64)/(X64*Q64*N64^2)+9.35/(W64*X64^0.5)),0)</f>
        <v/>
      </c>
      <c r="AA64" s="0">
        <f>+Y64-Z64</f>
        <v/>
      </c>
      <c r="AB64" s="0">
        <f>32/X64*L64*V64*E64/N64^2</f>
        <v/>
      </c>
      <c r="AC64" s="0" t="n">
        <v>670.4661376157158</v>
      </c>
      <c r="AD64" s="0">
        <f>+Q64/2*AI64/I64*E64</f>
        <v/>
      </c>
      <c r="AE64" s="0">
        <f>+gettm2(AD64,AC64,AK64,AL64,テーブル2[[#This Row],[Fcorr]])</f>
        <v/>
      </c>
      <c r="AF64" s="38">
        <f>+AE64-U64</f>
        <v/>
      </c>
      <c r="AG64" s="0" t="n">
        <v>1.381449031459635e-05</v>
      </c>
      <c r="AH64" s="0">
        <f>+X64*N64^2/(8*E64)</f>
        <v/>
      </c>
      <c r="AI64" s="0">
        <f>+(AH64/E64)^0.5</f>
        <v/>
      </c>
      <c r="AJ64" s="0">
        <f>+AG64*AI64/I64*E64</f>
        <v/>
      </c>
      <c r="AK64" s="0">
        <f t="array" ref="AK64">+S64*テーブル2[[#This Row],[F_form]]/(E64*CpFromTP((テーブル2[[#This Row],[Tin]]+テーブル2[[#This Row],[Tf]])/2,テーブル2[[#This Row],[P]])*AI64)</f>
        <v/>
      </c>
      <c r="AL64" s="0">
        <f>+K64*I64/J64</f>
        <v/>
      </c>
      <c r="AM64" s="0">
        <f>+gettyp(AC64,AJ64,AK64,AL64)</f>
        <v/>
      </c>
      <c r="AN64" s="0">
        <f>+C64-AM64</f>
        <v/>
      </c>
      <c r="AO64" s="0">
        <f>+AG64-AB64</f>
        <v/>
      </c>
      <c r="AP64" s="0" t="n">
        <v>3.726152248125578</v>
      </c>
      <c r="AQ64" s="0">
        <f>2*PI()*L64*(D64+E64)/(D64*E64*AP64^2)</f>
        <v/>
      </c>
      <c r="AR64" s="0">
        <f>+AO64+AB64/2</f>
        <v/>
      </c>
      <c r="AS64" s="0">
        <f>+AR64*AI64/I64*E64</f>
        <v/>
      </c>
      <c r="AT64" s="0">
        <f>+getublp(AS64)</f>
        <v/>
      </c>
      <c r="AU64" s="0">
        <f>+AT64*AI64</f>
        <v/>
      </c>
      <c r="AV64" s="0">
        <f>+AP64-AU64</f>
        <v/>
      </c>
      <c r="AW64" s="0">
        <f>2/3*AB64/(L64/(9.8*(E64-D64)))^0.5</f>
        <v/>
      </c>
      <c r="AX64" s="0">
        <f>+(2*AQ64*9.8*(E64-D64)/(E64*AW64))^0.5</f>
        <v/>
      </c>
      <c r="AY64" s="0">
        <f>+AV64-AX64</f>
        <v/>
      </c>
      <c r="AZ64" s="0">
        <f>+F64-G64</f>
        <v/>
      </c>
      <c r="BA64" s="0">
        <f>+AQ64/AP64</f>
        <v/>
      </c>
      <c r="BB64" s="15">
        <f>+E64*AO64*AZ64/BA64</f>
        <v/>
      </c>
      <c r="BC64" s="20">
        <f>BB64-S64</f>
        <v/>
      </c>
      <c r="BD64" s="19">
        <f>+(BB64-S64)/S64*100</f>
        <v/>
      </c>
      <c r="BE64" s="15" t="n">
        <v>5300400</v>
      </c>
      <c r="BF64" s="16">
        <f>テーブル2[[#This Row],[q_P]]/テーブル2[[#This Row],[q_M]]</f>
        <v/>
      </c>
      <c r="BG64" s="0" t="n">
        <v>1</v>
      </c>
      <c r="BH64" s="0" t="n">
        <v>-0.027</v>
      </c>
      <c r="BI64" s="0" t="n">
        <v>0.046</v>
      </c>
      <c r="BJ64" s="0" t="n">
        <v>5625</v>
      </c>
      <c r="BK64" s="22" t="n">
        <v>1</v>
      </c>
      <c r="BL64" s="0">
        <f>テーブル2[[#This Row],[Ts]]-テーブル2[[#This Row],[Tin]]</f>
        <v/>
      </c>
      <c r="BM64" s="0">
        <f>テーブル2[[#This Row],[q_P]]*0.000001</f>
        <v/>
      </c>
      <c r="BN64" s="0">
        <f>テーブル2[[#This Row],[Tsub]]</f>
        <v/>
      </c>
      <c r="BO64" s="0">
        <f>テーブル2[[#This Row],[Fcorr]]</f>
        <v/>
      </c>
      <c r="BP64" s="0">
        <f>(テーブル2[[#This Row],[Tsub]]-40)^2</f>
        <v/>
      </c>
      <c r="BQ64" t="n">
        <v>1</v>
      </c>
      <c r="BR64" s="0" t="n">
        <v>0.3175</v>
      </c>
    </row>
    <row r="65">
      <c r="A65" s="9" t="inlineStr">
        <is>
          <t>201.01_10</t>
        </is>
      </c>
      <c r="B65" s="0" t="n">
        <v>13789520</v>
      </c>
      <c r="C65" s="22">
        <f t="array" ref="C65">TsatFromP(テーブル2[[#This Row],[P]])</f>
        <v/>
      </c>
      <c r="D65" s="0">
        <f t="array" ref="D65">RhoGFromP(テーブル2[[#This Row],[P]])</f>
        <v/>
      </c>
      <c r="E65" s="0">
        <f t="array" ref="E65">RhoFFromP(テーブル2[[#This Row],[P]])</f>
        <v/>
      </c>
      <c r="F65" s="0">
        <f t="array" ref="F65">HgFromP(テーブル2[[#This Row],[P]])</f>
        <v/>
      </c>
      <c r="G65" s="0">
        <f t="array" ref="G65">HfFromP(テーブル2[[#This Row],[P]])</f>
        <v/>
      </c>
      <c r="H65" s="0">
        <f t="array" ref="H65">MuGFromP(テーブル2[[#This Row],[P]])</f>
        <v/>
      </c>
      <c r="I65" s="0">
        <f t="array" ref="I65">MuFFromP(テーブル2[[#This Row],[P]])</f>
        <v/>
      </c>
      <c r="J65" s="0">
        <f t="array" ref="J65">KfFromP(テーブル2[[#This Row],[P]])</f>
        <v/>
      </c>
      <c r="K65" s="0">
        <f t="array" ref="K65">CpFFromP(テーブル2[[#This Row],[P]])</f>
        <v/>
      </c>
      <c r="L65" s="0">
        <f t="array" ref="L65">SigmaFromP(テーブル2[[#This Row],[P]])</f>
        <v/>
      </c>
      <c r="M65" s="0" t="n">
        <v>64</v>
      </c>
      <c r="N65" s="0" t="n">
        <v>3403.56</v>
      </c>
      <c r="O65" s="8" t="n">
        <v>1.77190538365604e-05</v>
      </c>
      <c r="P65" s="8" t="n">
        <v>0.0149219367860208</v>
      </c>
      <c r="Q65" s="8" t="n">
        <v>0.0047498</v>
      </c>
      <c r="R65" s="0" t="n">
        <v>0.3175</v>
      </c>
      <c r="S65" s="15" t="n">
        <v>5572082.51953125</v>
      </c>
      <c r="T65" s="0" t="n">
        <v>486.089053967069</v>
      </c>
      <c r="U65" s="37">
        <f>+T65+BG65*S65*テーブル2[[#This Row],[Pw]]*R65/(N65*O65*K65)</f>
        <v/>
      </c>
      <c r="V65" s="0" t="n">
        <v>0.03</v>
      </c>
      <c r="W65" s="8">
        <f>+N65*Q65/I65</f>
        <v/>
      </c>
      <c r="X65" s="0" t="n">
        <v>0.02463857560482317</v>
      </c>
      <c r="Y65" s="0">
        <f>IF(X65&gt;0,1/X65^0.5,1)</f>
        <v/>
      </c>
      <c r="Z65" s="0">
        <f>IF(X65&gt;0,1.14-2*LOG((0.72*L65*E65)/(X65*Q65*N65^2)+9.35/(W65*X65^0.5)),0)</f>
        <v/>
      </c>
      <c r="AA65" s="0">
        <f>+Y65-Z65</f>
        <v/>
      </c>
      <c r="AB65" s="0">
        <f>32/X65*L65*V65*E65/N65^2</f>
        <v/>
      </c>
      <c r="AC65" s="0" t="n">
        <v>707.0541440380748</v>
      </c>
      <c r="AD65" s="0">
        <f>+Q65/2*AI65/I65*E65</f>
        <v/>
      </c>
      <c r="AE65" s="0">
        <f>+gettm2(AD65,AC65,AK65,AL65,テーブル2[[#This Row],[Fcorr]])</f>
        <v/>
      </c>
      <c r="AF65" s="38">
        <f>+AE65-U65</f>
        <v/>
      </c>
      <c r="AG65" s="0" t="n">
        <v>1.375537603640904e-05</v>
      </c>
      <c r="AH65" s="0">
        <f>+X65*N65^2/(8*E65)</f>
        <v/>
      </c>
      <c r="AI65" s="0">
        <f>+(AH65/E65)^0.5</f>
        <v/>
      </c>
      <c r="AJ65" s="0">
        <f>+AG65*AI65/I65*E65</f>
        <v/>
      </c>
      <c r="AK65" s="0">
        <f t="array" ref="AK65">+S65*テーブル2[[#This Row],[F_form]]/(E65*CpFromTP((テーブル2[[#This Row],[Tin]]+テーブル2[[#This Row],[Tf]])/2,テーブル2[[#This Row],[P]])*AI65)</f>
        <v/>
      </c>
      <c r="AL65" s="0">
        <f>+K65*I65/J65</f>
        <v/>
      </c>
      <c r="AM65" s="0">
        <f>+gettyp(AC65,AJ65,AK65,AL65)</f>
        <v/>
      </c>
      <c r="AN65" s="0">
        <f>+C65-AM65</f>
        <v/>
      </c>
      <c r="AO65" s="0">
        <f>+AG65-AB65</f>
        <v/>
      </c>
      <c r="AP65" s="0" t="n">
        <v>3.7384554819493</v>
      </c>
      <c r="AQ65" s="0">
        <f>2*PI()*L65*(D65+E65)/(D65*E65*AP65^2)</f>
        <v/>
      </c>
      <c r="AR65" s="0">
        <f>+AO65+AB65/2</f>
        <v/>
      </c>
      <c r="AS65" s="0">
        <f>+AR65*AI65/I65*E65</f>
        <v/>
      </c>
      <c r="AT65" s="0">
        <f>+getublp(AS65)</f>
        <v/>
      </c>
      <c r="AU65" s="0">
        <f>+AT65*AI65</f>
        <v/>
      </c>
      <c r="AV65" s="0">
        <f>+AP65-AU65</f>
        <v/>
      </c>
      <c r="AW65" s="0">
        <f>2/3*AB65/(L65/(9.8*(E65-D65)))^0.5</f>
        <v/>
      </c>
      <c r="AX65" s="0">
        <f>+(2*AQ65*9.8*(E65-D65)/(E65*AW65))^0.5</f>
        <v/>
      </c>
      <c r="AY65" s="0">
        <f>+AV65-AX65</f>
        <v/>
      </c>
      <c r="AZ65" s="0">
        <f>+F65-G65</f>
        <v/>
      </c>
      <c r="BA65" s="0">
        <f>+AQ65/AP65</f>
        <v/>
      </c>
      <c r="BB65" s="15">
        <f>+E65*AO65*AZ65/BA65</f>
        <v/>
      </c>
      <c r="BC65" s="20">
        <f>BB65-S65</f>
        <v/>
      </c>
      <c r="BD65" s="19">
        <f>+(BB65-S65)/S65*100</f>
        <v/>
      </c>
      <c r="BE65" s="15" t="n">
        <v>5836750</v>
      </c>
      <c r="BF65" s="16">
        <f>テーブル2[[#This Row],[q_P]]/テーブル2[[#This Row],[q_M]]</f>
        <v/>
      </c>
      <c r="BG65" s="0" t="n">
        <v>1</v>
      </c>
      <c r="BH65" s="0" t="n">
        <v>-0.174</v>
      </c>
      <c r="BI65" s="0" t="n">
        <v>0.046</v>
      </c>
      <c r="BJ65" s="0" t="n">
        <v>5625</v>
      </c>
      <c r="BK65" s="22" t="n">
        <v>1</v>
      </c>
      <c r="BL65" s="0">
        <f>テーブル2[[#This Row],[Ts]]-テーブル2[[#This Row],[Tin]]</f>
        <v/>
      </c>
      <c r="BM65" s="0">
        <f>テーブル2[[#This Row],[q_P]]*0.000001</f>
        <v/>
      </c>
      <c r="BN65" s="0">
        <f>テーブル2[[#This Row],[Tsub]]</f>
        <v/>
      </c>
      <c r="BO65" s="0">
        <f>テーブル2[[#This Row],[Fcorr]]</f>
        <v/>
      </c>
      <c r="BP65" s="0">
        <f>(テーブル2[[#This Row],[Tsub]]-40)^2</f>
        <v/>
      </c>
      <c r="BQ65" t="n">
        <v>1</v>
      </c>
      <c r="BR65" s="0" t="n">
        <v>0.3175</v>
      </c>
    </row>
    <row r="66">
      <c r="A66" s="9" t="inlineStr">
        <is>
          <t>202.01_10</t>
        </is>
      </c>
      <c r="B66" s="0" t="n">
        <v>13789520</v>
      </c>
      <c r="C66" s="22">
        <f t="array" ref="C66">TsatFromP(テーブル2[[#This Row],[P]])</f>
        <v/>
      </c>
      <c r="D66" s="0">
        <f t="array" ref="D66">RhoGFromP(テーブル2[[#This Row],[P]])</f>
        <v/>
      </c>
      <c r="E66" s="0">
        <f t="array" ref="E66">RhoFFromP(テーブル2[[#This Row],[P]])</f>
        <v/>
      </c>
      <c r="F66" s="0">
        <f t="array" ref="F66">HgFromP(テーブル2[[#This Row],[P]])</f>
        <v/>
      </c>
      <c r="G66" s="0">
        <f t="array" ref="G66">HfFromP(テーブル2[[#This Row],[P]])</f>
        <v/>
      </c>
      <c r="H66" s="0">
        <f t="array" ref="H66">MuGFromP(テーブル2[[#This Row],[P]])</f>
        <v/>
      </c>
      <c r="I66" s="0">
        <f t="array" ref="I66">MuFFromP(テーブル2[[#This Row],[P]])</f>
        <v/>
      </c>
      <c r="J66" s="0">
        <f t="array" ref="J66">KfFromP(テーブル2[[#This Row],[P]])</f>
        <v/>
      </c>
      <c r="K66" s="0">
        <f t="array" ref="K66">CpFFromP(テーブル2[[#This Row],[P]])</f>
        <v/>
      </c>
      <c r="L66" s="0">
        <f t="array" ref="L66">SigmaFromP(テーブル2[[#This Row],[P]])</f>
        <v/>
      </c>
      <c r="M66" s="23" t="n">
        <v>65</v>
      </c>
      <c r="N66" s="0" t="n">
        <v>3403.56</v>
      </c>
      <c r="O66" s="8" t="n">
        <v>1.77190538365604e-05</v>
      </c>
      <c r="P66" s="8" t="n">
        <v>0.0149219367860208</v>
      </c>
      <c r="Q66" s="8" t="n">
        <v>0.0047498</v>
      </c>
      <c r="R66" s="0" t="n">
        <v>0.3175</v>
      </c>
      <c r="S66" s="15" t="n">
        <v>4404402.59765625</v>
      </c>
      <c r="T66" s="0" t="n">
        <v>513.901230784771</v>
      </c>
      <c r="U66" s="37">
        <f>+T66+BG66*S66*テーブル2[[#This Row],[Pw]]*R66/(N66*O66*K66)</f>
        <v/>
      </c>
      <c r="V66" s="0" t="n">
        <v>0.03</v>
      </c>
      <c r="W66" s="8">
        <f>+N66*Q66/I66</f>
        <v/>
      </c>
      <c r="X66" s="0" t="n">
        <v>0.02463857560482317</v>
      </c>
      <c r="Y66" s="0">
        <f>IF(X66&gt;0,1/X66^0.5,1)</f>
        <v/>
      </c>
      <c r="Z66" s="0">
        <f>IF(X66&gt;0,1.14-2*LOG((0.72*L66*E66)/(X66*Q66*N66^2)+9.35/(W66*X66^0.5)),0)</f>
        <v/>
      </c>
      <c r="AA66" s="0">
        <f>+Y66-Z66</f>
        <v/>
      </c>
      <c r="AB66" s="0">
        <f>32/X66*L66*V66*E66/N66^2</f>
        <v/>
      </c>
      <c r="AC66" s="0" t="n">
        <v>683.180807601424</v>
      </c>
      <c r="AD66" s="0">
        <f>+Q66/2*AI66/I66*E66</f>
        <v/>
      </c>
      <c r="AE66" s="0">
        <f>+gettm2(AD66,AC66,AK66,AL66,テーブル2[[#This Row],[Fcorr]])</f>
        <v/>
      </c>
      <c r="AF66" s="38">
        <f>+AE66-U66</f>
        <v/>
      </c>
      <c r="AG66" s="0" t="n">
        <v>1.373713799874868e-05</v>
      </c>
      <c r="AH66" s="0">
        <f>+X66*N66^2/(8*E66)</f>
        <v/>
      </c>
      <c r="AI66" s="0">
        <f>+(AH66/E66)^0.5</f>
        <v/>
      </c>
      <c r="AJ66" s="0">
        <f>+AG66*AI66/I66*E66</f>
        <v/>
      </c>
      <c r="AK66" s="0">
        <f t="array" ref="AK66">+S66*テーブル2[[#This Row],[F_form]]/(E66*CpFromTP((テーブル2[[#This Row],[Tin]]+テーブル2[[#This Row],[Tf]])/2,テーブル2[[#This Row],[P]])*AI66)</f>
        <v/>
      </c>
      <c r="AL66" s="0">
        <f>+K66*I66/J66</f>
        <v/>
      </c>
      <c r="AM66" s="0">
        <f>+gettyp(AC66,AJ66,AK66,AL66)</f>
        <v/>
      </c>
      <c r="AN66" s="0">
        <f>+C66-AM66</f>
        <v/>
      </c>
      <c r="AO66" s="0">
        <f>+AG66-AB66</f>
        <v/>
      </c>
      <c r="AP66" s="0" t="n">
        <v>3.73474877545193</v>
      </c>
      <c r="AQ66" s="0">
        <f>2*PI()*L66*(D66+E66)/(D66*E66*AP66^2)</f>
        <v/>
      </c>
      <c r="AR66" s="0">
        <f>+AO66+AB66/2</f>
        <v/>
      </c>
      <c r="AS66" s="0">
        <f>+AR66*AI66/I66*E66</f>
        <v/>
      </c>
      <c r="AT66" s="0">
        <f>+getublp(AS66)</f>
        <v/>
      </c>
      <c r="AU66" s="0">
        <f>+AT66*AI66</f>
        <v/>
      </c>
      <c r="AV66" s="0">
        <f>+AP66-AU66</f>
        <v/>
      </c>
      <c r="AW66" s="0">
        <f>2/3*AB66/(L66/(9.8*(E66-D66)))^0.5</f>
        <v/>
      </c>
      <c r="AX66" s="0">
        <f>+(2*AQ66*9.8*(E66-D66)/(E66*AW66))^0.5</f>
        <v/>
      </c>
      <c r="AY66" s="0">
        <f>+AV66-AX66</f>
        <v/>
      </c>
      <c r="AZ66" s="0">
        <f>+F66-G66</f>
        <v/>
      </c>
      <c r="BA66" s="0">
        <f>+AQ66/AP66</f>
        <v/>
      </c>
      <c r="BB66" s="15">
        <f>+E66*AO66*AZ66/BA66</f>
        <v/>
      </c>
      <c r="BC66" s="20">
        <f>BB66-S66</f>
        <v/>
      </c>
      <c r="BD66" s="19">
        <f>+(BB66-S66)/S66*100</f>
        <v/>
      </c>
      <c r="BE66" s="15" t="n">
        <v>5836750</v>
      </c>
      <c r="BF66" s="16">
        <f>テーブル2[[#This Row],[q_P]]/テーブル2[[#This Row],[q_M]]</f>
        <v/>
      </c>
      <c r="BG66" s="0" t="n">
        <v>1</v>
      </c>
      <c r="BH66" s="0" t="n">
        <v>-0.056</v>
      </c>
      <c r="BI66" s="0" t="n">
        <v>0.046</v>
      </c>
      <c r="BJ66" s="0" t="n">
        <v>5625</v>
      </c>
      <c r="BK66" s="22" t="n">
        <v>1</v>
      </c>
      <c r="BL66" s="0">
        <f>テーブル2[[#This Row],[Ts]]-テーブル2[[#This Row],[Tin]]</f>
        <v/>
      </c>
      <c r="BM66" s="0">
        <f>テーブル2[[#This Row],[q_P]]*0.000001</f>
        <v/>
      </c>
      <c r="BN66" s="0">
        <f>テーブル2[[#This Row],[Tsub]]</f>
        <v/>
      </c>
      <c r="BO66" s="0">
        <f>テーブル2[[#This Row],[Fcorr]]</f>
        <v/>
      </c>
      <c r="BP66" s="0">
        <f>(テーブル2[[#This Row],[Tsub]]-40)^2</f>
        <v/>
      </c>
      <c r="BQ66" t="n">
        <v>1</v>
      </c>
      <c r="BR66" s="0" t="n">
        <v>0.3175</v>
      </c>
    </row>
    <row r="67">
      <c r="A67" s="9" t="inlineStr">
        <is>
          <t>203.01_10</t>
        </is>
      </c>
      <c r="B67" s="0" t="n">
        <v>13789520</v>
      </c>
      <c r="C67" s="22">
        <f t="array" ref="C67">TsatFromP(テーブル2[[#This Row],[P]])</f>
        <v/>
      </c>
      <c r="D67" s="0">
        <f t="array" ref="D67">RhoGFromP(テーブル2[[#This Row],[P]])</f>
        <v/>
      </c>
      <c r="E67" s="0">
        <f t="array" ref="E67">RhoFFromP(テーブル2[[#This Row],[P]])</f>
        <v/>
      </c>
      <c r="F67" s="0">
        <f t="array" ref="F67">HgFromP(テーブル2[[#This Row],[P]])</f>
        <v/>
      </c>
      <c r="G67" s="0">
        <f t="array" ref="G67">HfFromP(テーブル2[[#This Row],[P]])</f>
        <v/>
      </c>
      <c r="H67" s="0">
        <f t="array" ref="H67">MuGFromP(テーブル2[[#This Row],[P]])</f>
        <v/>
      </c>
      <c r="I67" s="0">
        <f t="array" ref="I67">MuFFromP(テーブル2[[#This Row],[P]])</f>
        <v/>
      </c>
      <c r="J67" s="0">
        <f t="array" ref="J67">KfFromP(テーブル2[[#This Row],[P]])</f>
        <v/>
      </c>
      <c r="K67" s="0">
        <f t="array" ref="K67">CpFFromP(テーブル2[[#This Row],[P]])</f>
        <v/>
      </c>
      <c r="L67" s="0">
        <f t="array" ref="L67">SigmaFromP(テーブル2[[#This Row],[P]])</f>
        <v/>
      </c>
      <c r="M67" s="0" t="n">
        <v>66</v>
      </c>
      <c r="N67" s="0" t="n">
        <v>3457.8</v>
      </c>
      <c r="O67" s="8" t="n">
        <v>1.77190538365604e-05</v>
      </c>
      <c r="P67" s="8" t="n">
        <v>0.0149219367860208</v>
      </c>
      <c r="Q67" s="8" t="n">
        <v>0.0047498</v>
      </c>
      <c r="R67" s="0" t="n">
        <v>0.3175</v>
      </c>
      <c r="S67" s="15" t="n">
        <v>3680812.01171875</v>
      </c>
      <c r="T67" s="0" t="n">
        <v>531.742355901876</v>
      </c>
      <c r="U67" s="37">
        <f>+T67+BG67*S67*テーブル2[[#This Row],[Pw]]*R67/(N67*O67*K67)</f>
        <v/>
      </c>
      <c r="V67" s="0" t="n">
        <v>0.03</v>
      </c>
      <c r="W67" s="8">
        <f>+N67*Q67/I67</f>
        <v/>
      </c>
      <c r="X67" s="0" t="n">
        <v>0.02447969348481388</v>
      </c>
      <c r="Y67" s="0">
        <f>IF(X67&gt;0,1/X67^0.5,1)</f>
        <v/>
      </c>
      <c r="Z67" s="0">
        <f>IF(X67&gt;0,1.14-2*LOG((0.72*L67*E67)/(X67*Q67*N67^2)+9.35/(W67*X67^0.5)),0)</f>
        <v/>
      </c>
      <c r="AA67" s="0">
        <f>+Y67-Z67</f>
        <v/>
      </c>
      <c r="AB67" s="0">
        <f>32/X67*L67*V67*E67/N67^2</f>
        <v/>
      </c>
      <c r="AC67" s="0" t="n">
        <v>667.8951390723489</v>
      </c>
      <c r="AD67" s="0">
        <f>+Q67/2*AI67/I67*E67</f>
        <v/>
      </c>
      <c r="AE67" s="0">
        <f>+gettm2(AD67,AC67,AK67,AL67,テーブル2[[#This Row],[Fcorr]])</f>
        <v/>
      </c>
      <c r="AF67" s="38">
        <f>+AE67-U67</f>
        <v/>
      </c>
      <c r="AG67" s="0" t="n">
        <v>1.338490829266164e-05</v>
      </c>
      <c r="AH67" s="0">
        <f>+X67*N67^2/(8*E67)</f>
        <v/>
      </c>
      <c r="AI67" s="0">
        <f>+(AH67/E67)^0.5</f>
        <v/>
      </c>
      <c r="AJ67" s="0">
        <f>+AG67*AI67/I67*E67</f>
        <v/>
      </c>
      <c r="AK67" s="0">
        <f t="array" ref="AK67">+S67*テーブル2[[#This Row],[F_form]]/(E67*CpFromTP((テーブル2[[#This Row],[Tin]]+テーブル2[[#This Row],[Tf]])/2,テーブル2[[#This Row],[P]])*AI67)</f>
        <v/>
      </c>
      <c r="AL67" s="0">
        <f>+K67*I67/J67</f>
        <v/>
      </c>
      <c r="AM67" s="0">
        <f>+gettyp(AC67,AJ67,AK67,AL67)</f>
        <v/>
      </c>
      <c r="AN67" s="0">
        <f>+C67-AM67</f>
        <v/>
      </c>
      <c r="AO67" s="0">
        <f>+AG67-AB67</f>
        <v/>
      </c>
      <c r="AP67" s="0" t="n">
        <v>3.758444791741232</v>
      </c>
      <c r="AQ67" s="0">
        <f>2*PI()*L67*(D67+E67)/(D67*E67*AP67^2)</f>
        <v/>
      </c>
      <c r="AR67" s="0">
        <f>+AO67+AB67/2</f>
        <v/>
      </c>
      <c r="AS67" s="0">
        <f>+AR67*AI67/I67*E67</f>
        <v/>
      </c>
      <c r="AT67" s="0">
        <f>+getublp(AS67)</f>
        <v/>
      </c>
      <c r="AU67" s="0">
        <f>+AT67*AI67</f>
        <v/>
      </c>
      <c r="AV67" s="0">
        <f>+AP67-AU67</f>
        <v/>
      </c>
      <c r="AW67" s="0">
        <f>2/3*AB67/(L67/(9.8*(E67-D67)))^0.5</f>
        <v/>
      </c>
      <c r="AX67" s="0">
        <f>+(2*AQ67*9.8*(E67-D67)/(E67*AW67))^0.5</f>
        <v/>
      </c>
      <c r="AY67" s="0">
        <f>+AV67-AX67</f>
        <v/>
      </c>
      <c r="AZ67" s="0">
        <f>+F67-G67</f>
        <v/>
      </c>
      <c r="BA67" s="0">
        <f>+AQ67/AP67</f>
        <v/>
      </c>
      <c r="BB67" s="15">
        <f>+E67*AO67*AZ67/BA67</f>
        <v/>
      </c>
      <c r="BC67" s="20">
        <f>BB67-S67</f>
        <v/>
      </c>
      <c r="BD67" s="19">
        <f>+(BB67-S67)/S67*100</f>
        <v/>
      </c>
      <c r="BE67" s="15" t="n">
        <v>4764050</v>
      </c>
      <c r="BF67" s="16">
        <f>テーブル2[[#This Row],[q_P]]/テーブル2[[#This Row],[q_M]]</f>
        <v/>
      </c>
      <c r="BG67" s="0" t="n">
        <v>1</v>
      </c>
      <c r="BH67" s="0" t="n">
        <v>-0.061</v>
      </c>
      <c r="BI67" s="0" t="n">
        <v>0.046</v>
      </c>
      <c r="BJ67" s="0" t="n">
        <v>5625</v>
      </c>
      <c r="BK67" s="22" t="n">
        <v>1</v>
      </c>
      <c r="BL67" s="0">
        <f>テーブル2[[#This Row],[Ts]]-テーブル2[[#This Row],[Tin]]</f>
        <v/>
      </c>
      <c r="BM67" s="0">
        <f>テーブル2[[#This Row],[q_P]]*0.000001</f>
        <v/>
      </c>
      <c r="BN67" s="0">
        <f>テーブル2[[#This Row],[Tsub]]</f>
        <v/>
      </c>
      <c r="BO67" s="0">
        <f>テーブル2[[#This Row],[Fcorr]]</f>
        <v/>
      </c>
      <c r="BP67" s="0">
        <f>(テーブル2[[#This Row],[Tsub]]-40)^2</f>
        <v/>
      </c>
      <c r="BQ67" t="n">
        <v>1</v>
      </c>
      <c r="BR67" s="0" t="n">
        <v>0.3175</v>
      </c>
    </row>
    <row r="68">
      <c r="A68" s="9" t="inlineStr">
        <is>
          <t>204.01_10</t>
        </is>
      </c>
      <c r="B68" s="0" t="n">
        <v>13789520</v>
      </c>
      <c r="C68" s="22">
        <f t="array" ref="C68">TsatFromP(テーブル2[[#This Row],[P]])</f>
        <v/>
      </c>
      <c r="D68" s="0">
        <f t="array" ref="D68">RhoGFromP(テーブル2[[#This Row],[P]])</f>
        <v/>
      </c>
      <c r="E68" s="0">
        <f t="array" ref="E68">RhoFFromP(テーブル2[[#This Row],[P]])</f>
        <v/>
      </c>
      <c r="F68" s="0">
        <f t="array" ref="F68">HgFromP(テーブル2[[#This Row],[P]])</f>
        <v/>
      </c>
      <c r="G68" s="0">
        <f t="array" ref="G68">HfFromP(テーブル2[[#This Row],[P]])</f>
        <v/>
      </c>
      <c r="H68" s="0">
        <f t="array" ref="H68">MuGFromP(テーブル2[[#This Row],[P]])</f>
        <v/>
      </c>
      <c r="I68" s="0">
        <f t="array" ref="I68">MuFFromP(テーブル2[[#This Row],[P]])</f>
        <v/>
      </c>
      <c r="J68" s="0">
        <f t="array" ref="J68">KfFromP(テーブル2[[#This Row],[P]])</f>
        <v/>
      </c>
      <c r="K68" s="0">
        <f t="array" ref="K68">CpFFromP(テーブル2[[#This Row],[P]])</f>
        <v/>
      </c>
      <c r="L68" s="0">
        <f t="array" ref="L68">SigmaFromP(テーブル2[[#This Row],[P]])</f>
        <v/>
      </c>
      <c r="M68" s="23" t="n">
        <v>67</v>
      </c>
      <c r="N68" s="0" t="n">
        <v>3471.36</v>
      </c>
      <c r="O68" s="8" t="n">
        <v>1.77190538365604e-05</v>
      </c>
      <c r="P68" s="8" t="n">
        <v>0.0149219367860208</v>
      </c>
      <c r="Q68" s="8" t="n">
        <v>0.0047498</v>
      </c>
      <c r="R68" s="0" t="n">
        <v>0.3175</v>
      </c>
      <c r="S68" s="15" t="n">
        <v>5036472.20703125</v>
      </c>
      <c r="T68" s="0" t="n">
        <v>500.510864523382</v>
      </c>
      <c r="U68" s="37">
        <f>+T68+BG68*S68*テーブル2[[#This Row],[Pw]]*R68/(N68*O68*K68)</f>
        <v/>
      </c>
      <c r="V68" s="0" t="n">
        <v>0.03</v>
      </c>
      <c r="W68" s="8">
        <f>+N68*Q68/I68</f>
        <v/>
      </c>
      <c r="X68" s="0" t="n">
        <v>0.02444059629690253</v>
      </c>
      <c r="Y68" s="0">
        <f>IF(X68&gt;0,1/X68^0.5,1)</f>
        <v/>
      </c>
      <c r="Z68" s="0">
        <f>IF(X68&gt;0,1.14-2*LOG((0.72*L68*E68)/(X68*Q68*N68^2)+9.35/(W68*X68^0.5)),0)</f>
        <v/>
      </c>
      <c r="AA68" s="0">
        <f>+Y68-Z68</f>
        <v/>
      </c>
      <c r="AB68" s="0">
        <f>32/X68*L68*V68*E68/N68^2</f>
        <v/>
      </c>
      <c r="AC68" s="0" t="n">
        <v>694.2444838980686</v>
      </c>
      <c r="AD68" s="0">
        <f>+Q68/2*AI68/I68*E68</f>
        <v/>
      </c>
      <c r="AE68" s="0">
        <f>+gettm2(AD68,AC68,AK68,AL68,テーブル2[[#This Row],[Fcorr]])</f>
        <v/>
      </c>
      <c r="AF68" s="38">
        <f>+AE68-U68</f>
        <v/>
      </c>
      <c r="AG68" s="0" t="n">
        <v>1.332220973633742e-05</v>
      </c>
      <c r="AH68" s="0">
        <f>+X68*N68^2/(8*E68)</f>
        <v/>
      </c>
      <c r="AI68" s="0">
        <f>+(AH68/E68)^0.5</f>
        <v/>
      </c>
      <c r="AJ68" s="0">
        <f>+AG68*AI68/I68*E68</f>
        <v/>
      </c>
      <c r="AK68" s="0">
        <f t="array" ref="AK68">+S68*テーブル2[[#This Row],[F_form]]/(E68*CpFromTP((テーブル2[[#This Row],[Tin]]+テーブル2[[#This Row],[Tf]])/2,テーブル2[[#This Row],[P]])*AI68)</f>
        <v/>
      </c>
      <c r="AL68" s="0">
        <f>+K68*I68/J68</f>
        <v/>
      </c>
      <c r="AM68" s="0">
        <f>+gettyp(AC68,AJ68,AK68,AL68)</f>
        <v/>
      </c>
      <c r="AN68" s="0">
        <f>+C68-AM68</f>
        <v/>
      </c>
      <c r="AO68" s="0">
        <f>+AG68-AB68</f>
        <v/>
      </c>
      <c r="AP68" s="0" t="n">
        <v>3.769253622990774</v>
      </c>
      <c r="AQ68" s="0">
        <f>2*PI()*L68*(D68+E68)/(D68*E68*AP68^2)</f>
        <v/>
      </c>
      <c r="AR68" s="0">
        <f>+AO68+AB68/2</f>
        <v/>
      </c>
      <c r="AS68" s="0">
        <f>+AR68*AI68/I68*E68</f>
        <v/>
      </c>
      <c r="AT68" s="0">
        <f>+getublp(AS68)</f>
        <v/>
      </c>
      <c r="AU68" s="0">
        <f>+AT68*AI68</f>
        <v/>
      </c>
      <c r="AV68" s="0">
        <f>+AP68-AU68</f>
        <v/>
      </c>
      <c r="AW68" s="0">
        <f>2/3*AB68/(L68/(9.8*(E68-D68)))^0.5</f>
        <v/>
      </c>
      <c r="AX68" s="0">
        <f>+(2*AQ68*9.8*(E68-D68)/(E68*AW68))^0.5</f>
        <v/>
      </c>
      <c r="AY68" s="0">
        <f>+AV68-AX68</f>
        <v/>
      </c>
      <c r="AZ68" s="0">
        <f>+F68-G68</f>
        <v/>
      </c>
      <c r="BA68" s="0">
        <f>+AQ68/AP68</f>
        <v/>
      </c>
      <c r="BB68" s="15">
        <f>+E68*AO68*AZ68/BA68</f>
        <v/>
      </c>
      <c r="BC68" s="20">
        <f>BB68-S68</f>
        <v/>
      </c>
      <c r="BD68" s="19">
        <f>+(BB68-S68)/S68*100</f>
        <v/>
      </c>
      <c r="BE68" s="15" t="n">
        <v>5742100</v>
      </c>
      <c r="BF68" s="16">
        <f>テーブル2[[#This Row],[q_P]]/テーブル2[[#This Row],[q_M]]</f>
        <v/>
      </c>
      <c r="BG68" s="0" t="n">
        <v>1</v>
      </c>
      <c r="BH68" s="0" t="n">
        <v>-0.128</v>
      </c>
      <c r="BI68" s="0" t="n">
        <v>0.046</v>
      </c>
      <c r="BJ68" s="0" t="n">
        <v>5625</v>
      </c>
      <c r="BK68" s="22" t="n">
        <v>1</v>
      </c>
      <c r="BL68" s="0">
        <f>テーブル2[[#This Row],[Ts]]-テーブル2[[#This Row],[Tin]]</f>
        <v/>
      </c>
      <c r="BM68" s="0">
        <f>テーブル2[[#This Row],[q_P]]*0.000001</f>
        <v/>
      </c>
      <c r="BN68" s="0">
        <f>テーブル2[[#This Row],[Tsub]]</f>
        <v/>
      </c>
      <c r="BO68" s="0">
        <f>テーブル2[[#This Row],[Fcorr]]</f>
        <v/>
      </c>
      <c r="BP68" s="0">
        <f>(テーブル2[[#This Row],[Tsub]]-40)^2</f>
        <v/>
      </c>
      <c r="BQ68" t="n">
        <v>1</v>
      </c>
      <c r="BR68" s="0" t="n">
        <v>0.3175</v>
      </c>
    </row>
    <row r="69">
      <c r="A69" s="9" t="inlineStr">
        <is>
          <t>205.01_10</t>
        </is>
      </c>
      <c r="B69" s="0" t="n">
        <v>13789520</v>
      </c>
      <c r="C69" s="22">
        <f t="array" ref="C69">TsatFromP(テーブル2[[#This Row],[P]])</f>
        <v/>
      </c>
      <c r="D69" s="0">
        <f t="array" ref="D69">RhoGFromP(テーブル2[[#This Row],[P]])</f>
        <v/>
      </c>
      <c r="E69" s="0">
        <f t="array" ref="E69">RhoFFromP(テーブル2[[#This Row],[P]])</f>
        <v/>
      </c>
      <c r="F69" s="0">
        <f t="array" ref="F69">HgFromP(テーブル2[[#This Row],[P]])</f>
        <v/>
      </c>
      <c r="G69" s="0">
        <f t="array" ref="G69">HfFromP(テーブル2[[#This Row],[P]])</f>
        <v/>
      </c>
      <c r="H69" s="0">
        <f t="array" ref="H69">MuGFromP(テーブル2[[#This Row],[P]])</f>
        <v/>
      </c>
      <c r="I69" s="0">
        <f t="array" ref="I69">MuFFromP(テーブル2[[#This Row],[P]])</f>
        <v/>
      </c>
      <c r="J69" s="0">
        <f t="array" ref="J69">KfFromP(テーブル2[[#This Row],[P]])</f>
        <v/>
      </c>
      <c r="K69" s="0">
        <f t="array" ref="K69">CpFFromP(テーブル2[[#This Row],[P]])</f>
        <v/>
      </c>
      <c r="L69" s="0">
        <f t="array" ref="L69">SigmaFromP(テーブル2[[#This Row],[P]])</f>
        <v/>
      </c>
      <c r="M69" s="0" t="n">
        <v>68</v>
      </c>
      <c r="N69" s="0" t="n">
        <v>3593.4</v>
      </c>
      <c r="O69" s="8" t="n">
        <v>1.77190538365604e-05</v>
      </c>
      <c r="P69" s="8" t="n">
        <v>0.0149219367860208</v>
      </c>
      <c r="Q69" s="8" t="n">
        <v>0.0047498</v>
      </c>
      <c r="R69" s="0" t="n">
        <v>0.3175</v>
      </c>
      <c r="S69" s="15" t="n">
        <v>7492968.26171875</v>
      </c>
      <c r="T69" s="0" t="n">
        <v>446.050522823802</v>
      </c>
      <c r="U69" s="37">
        <f>+T69+BG69*S69*テーブル2[[#This Row],[Pw]]*R69/(N69*O69*K69)</f>
        <v/>
      </c>
      <c r="V69" s="0" t="n">
        <v>0.03</v>
      </c>
      <c r="W69" s="8">
        <f>+N69*Q69/I69</f>
        <v/>
      </c>
      <c r="X69" s="0" t="n">
        <v>0.02409941589586495</v>
      </c>
      <c r="Y69" s="0">
        <f>IF(X69&gt;0,1/X69^0.5,1)</f>
        <v/>
      </c>
      <c r="Z69" s="0">
        <f>IF(X69&gt;0,1.14-2*LOG((0.72*L69*E69)/(X69*Q69*N69^2)+9.35/(W69*X69^0.5)),0)</f>
        <v/>
      </c>
      <c r="AA69" s="0">
        <f>+Y69-Z69</f>
        <v/>
      </c>
      <c r="AB69" s="0">
        <f>32/X69*L69*V69*E69/N69^2</f>
        <v/>
      </c>
      <c r="AC69" s="0" t="n">
        <v>740.1947784976477</v>
      </c>
      <c r="AD69" s="0">
        <f>+Q69/2*AI69/I69*E69</f>
        <v/>
      </c>
      <c r="AE69" s="0">
        <f>+gettm2(AD69,AC69,AK69,AL69,テーブル2[[#This Row],[Fcorr]])</f>
        <v/>
      </c>
      <c r="AF69" s="38">
        <f>+AE69-U69</f>
        <v/>
      </c>
      <c r="AG69" s="0" t="n">
        <v>1.264462935996025e-05</v>
      </c>
      <c r="AH69" s="0">
        <f>+X69*N69^2/(8*E69)</f>
        <v/>
      </c>
      <c r="AI69" s="0">
        <f>+(AH69/E69)^0.5</f>
        <v/>
      </c>
      <c r="AJ69" s="0">
        <f>+AG69*AI69/I69*E69</f>
        <v/>
      </c>
      <c r="AK69" s="0">
        <f t="array" ref="AK69">+S69*テーブル2[[#This Row],[F_form]]/(E69*CpFromTP((テーブル2[[#This Row],[Tin]]+テーブル2[[#This Row],[Tf]])/2,テーブル2[[#This Row],[P]])*AI69)</f>
        <v/>
      </c>
      <c r="AL69" s="0">
        <f>+K69*I69/J69</f>
        <v/>
      </c>
      <c r="AM69" s="0">
        <f>+gettyp(AC69,AJ69,AK69,AL69)</f>
        <v/>
      </c>
      <c r="AN69" s="0">
        <f>+C69-AM69</f>
        <v/>
      </c>
      <c r="AO69" s="0">
        <f>+AG69-AB69</f>
        <v/>
      </c>
      <c r="AP69" s="0" t="n">
        <v>3.834897644698014</v>
      </c>
      <c r="AQ69" s="0">
        <f>2*PI()*L69*(D69+E69)/(D69*E69*AP69^2)</f>
        <v/>
      </c>
      <c r="AR69" s="0">
        <f>+AO69+AB69/2</f>
        <v/>
      </c>
      <c r="AS69" s="0">
        <f>+AR69*AI69/I69*E69</f>
        <v/>
      </c>
      <c r="AT69" s="0">
        <f>+getublp(AS69)</f>
        <v/>
      </c>
      <c r="AU69" s="0">
        <f>+AT69*AI69</f>
        <v/>
      </c>
      <c r="AV69" s="0">
        <f>+AP69-AU69</f>
        <v/>
      </c>
      <c r="AW69" s="0">
        <f>2/3*AB69/(L69/(9.8*(E69-D69)))^0.5</f>
        <v/>
      </c>
      <c r="AX69" s="0">
        <f>+(2*AQ69*9.8*(E69-D69)/(E69*AW69))^0.5</f>
        <v/>
      </c>
      <c r="AY69" s="0">
        <f>+AV69-AX69</f>
        <v/>
      </c>
      <c r="AZ69" s="0">
        <f>+F69-G69</f>
        <v/>
      </c>
      <c r="BA69" s="0">
        <f>+AQ69/AP69</f>
        <v/>
      </c>
      <c r="BB69" s="15">
        <f>+E69*AO69*AZ69/BA69</f>
        <v/>
      </c>
      <c r="BC69" s="20">
        <f>BB69-S69</f>
        <v/>
      </c>
      <c r="BD69" s="19">
        <f>+(BB69-S69)/S69*100</f>
        <v/>
      </c>
      <c r="BE69" s="15" t="n">
        <v>6941000</v>
      </c>
      <c r="BF69" s="16">
        <f>テーブル2[[#This Row],[q_P]]/テーブル2[[#This Row],[q_M]]</f>
        <v/>
      </c>
      <c r="BG69" s="0" t="n">
        <v>1</v>
      </c>
      <c r="BH69" s="0" t="n">
        <v>-0.284</v>
      </c>
      <c r="BI69" s="0" t="n">
        <v>0.046</v>
      </c>
      <c r="BJ69" s="0" t="n">
        <v>5625</v>
      </c>
      <c r="BK69" s="22" t="n">
        <v>1</v>
      </c>
      <c r="BL69" s="0">
        <f>テーブル2[[#This Row],[Ts]]-テーブル2[[#This Row],[Tin]]</f>
        <v/>
      </c>
      <c r="BM69" s="0">
        <f>テーブル2[[#This Row],[q_P]]*0.000001</f>
        <v/>
      </c>
      <c r="BN69" s="0">
        <f>テーブル2[[#This Row],[Tsub]]</f>
        <v/>
      </c>
      <c r="BO69" s="0">
        <f>テーブル2[[#This Row],[Fcorr]]</f>
        <v/>
      </c>
      <c r="BP69" s="0">
        <f>(テーブル2[[#This Row],[Tsub]]-40)^2</f>
        <v/>
      </c>
      <c r="BQ69" t="n">
        <v>1</v>
      </c>
      <c r="BR69" s="0" t="n">
        <v>0.3175</v>
      </c>
    </row>
    <row r="70">
      <c r="A70" s="9" t="inlineStr">
        <is>
          <t>206.01_10</t>
        </is>
      </c>
      <c r="B70" s="0" t="n">
        <v>13789520</v>
      </c>
      <c r="C70" s="22">
        <f t="array" ref="C70">TsatFromP(テーブル2[[#This Row],[P]])</f>
        <v/>
      </c>
      <c r="D70" s="0">
        <f t="array" ref="D70">RhoGFromP(テーブル2[[#This Row],[P]])</f>
        <v/>
      </c>
      <c r="E70" s="0">
        <f t="array" ref="E70">RhoFFromP(テーブル2[[#This Row],[P]])</f>
        <v/>
      </c>
      <c r="F70" s="0">
        <f t="array" ref="F70">HgFromP(テーブル2[[#This Row],[P]])</f>
        <v/>
      </c>
      <c r="G70" s="0">
        <f t="array" ref="G70">HfFromP(テーブル2[[#This Row],[P]])</f>
        <v/>
      </c>
      <c r="H70" s="0">
        <f t="array" ref="H70">MuGFromP(テーブル2[[#This Row],[P]])</f>
        <v/>
      </c>
      <c r="I70" s="0">
        <f t="array" ref="I70">MuFFromP(テーブル2[[#This Row],[P]])</f>
        <v/>
      </c>
      <c r="J70" s="0">
        <f t="array" ref="J70">KfFromP(テーブル2[[#This Row],[P]])</f>
        <v/>
      </c>
      <c r="K70" s="0">
        <f t="array" ref="K70">CpFFromP(テーブル2[[#This Row],[P]])</f>
        <v/>
      </c>
      <c r="L70" s="0">
        <f t="array" ref="L70">SigmaFromP(テーブル2[[#This Row],[P]])</f>
        <v/>
      </c>
      <c r="M70" s="23" t="n">
        <v>69</v>
      </c>
      <c r="N70" s="0" t="n">
        <v>3593.4</v>
      </c>
      <c r="O70" s="8" t="n">
        <v>1.77190538365604e-05</v>
      </c>
      <c r="P70" s="8" t="n">
        <v>0.0149219367860208</v>
      </c>
      <c r="Q70" s="8" t="n">
        <v>0.0047498</v>
      </c>
      <c r="R70" s="0" t="n">
        <v>0.3175</v>
      </c>
      <c r="S70" s="15" t="n">
        <v>6064939.00390625</v>
      </c>
      <c r="T70" s="0" t="n">
        <v>479.488061704271</v>
      </c>
      <c r="U70" s="37">
        <f>+T70+BG70*S70*テーブル2[[#This Row],[Pw]]*R70/(N70*O70*K70)</f>
        <v/>
      </c>
      <c r="V70" s="0" t="n">
        <v>0.03</v>
      </c>
      <c r="W70" s="8">
        <f>+N70*Q70/I70</f>
        <v/>
      </c>
      <c r="X70" s="0" t="n">
        <v>0.02409941589586495</v>
      </c>
      <c r="Y70" s="0">
        <f>IF(X70&gt;0,1/X70^0.5,1)</f>
        <v/>
      </c>
      <c r="Z70" s="0">
        <f>IF(X70&gt;0,1.14-2*LOG((0.72*L70*E70)/(X70*Q70*N70^2)+9.35/(W70*X70^0.5)),0)</f>
        <v/>
      </c>
      <c r="AA70" s="0">
        <f>+Y70-Z70</f>
        <v/>
      </c>
      <c r="AB70" s="0">
        <f>32/X70*L70*V70*E70/N70^2</f>
        <v/>
      </c>
      <c r="AC70" s="0" t="n">
        <v>711.4628952976982</v>
      </c>
      <c r="AD70" s="0">
        <f>+Q70/2*AI70/I70*E70</f>
        <v/>
      </c>
      <c r="AE70" s="0">
        <f>+gettm2(AD70,AC70,AK70,AL70,テーブル2[[#This Row],[Fcorr]])</f>
        <v/>
      </c>
      <c r="AF70" s="38">
        <f>+AE70-U70</f>
        <v/>
      </c>
      <c r="AG70" s="0" t="n">
        <v>1.262397598614363e-05</v>
      </c>
      <c r="AH70" s="0">
        <f>+X70*N70^2/(8*E70)</f>
        <v/>
      </c>
      <c r="AI70" s="0">
        <f>+(AH70/E70)^0.5</f>
        <v/>
      </c>
      <c r="AJ70" s="0">
        <f>+AG70*AI70/I70*E70</f>
        <v/>
      </c>
      <c r="AK70" s="0">
        <f t="array" ref="AK70">+S70*テーブル2[[#This Row],[F_form]]/(E70*CpFromTP((テーブル2[[#This Row],[Tin]]+テーブル2[[#This Row],[Tf]])/2,テーブル2[[#This Row],[P]])*AI70)</f>
        <v/>
      </c>
      <c r="AL70" s="0">
        <f>+K70*I70/J70</f>
        <v/>
      </c>
      <c r="AM70" s="0">
        <f>+gettyp(AC70,AJ70,AK70,AL70)</f>
        <v/>
      </c>
      <c r="AN70" s="0">
        <f>+C70-AM70</f>
        <v/>
      </c>
      <c r="AO70" s="0">
        <f>+AG70-AB70</f>
        <v/>
      </c>
      <c r="AP70" s="0" t="n">
        <v>3.830136183971446</v>
      </c>
      <c r="AQ70" s="0">
        <f>2*PI()*L70*(D70+E70)/(D70*E70*AP70^2)</f>
        <v/>
      </c>
      <c r="AR70" s="0">
        <f>+AO70+AB70/2</f>
        <v/>
      </c>
      <c r="AS70" s="0">
        <f>+AR70*AI70/I70*E70</f>
        <v/>
      </c>
      <c r="AT70" s="0">
        <f>+getublp(AS70)</f>
        <v/>
      </c>
      <c r="AU70" s="0">
        <f>+AT70*AI70</f>
        <v/>
      </c>
      <c r="AV70" s="0">
        <f>+AP70-AU70</f>
        <v/>
      </c>
      <c r="AW70" s="0">
        <f>2/3*AB70/(L70/(9.8*(E70-D70)))^0.5</f>
        <v/>
      </c>
      <c r="AX70" s="0">
        <f>+(2*AQ70*9.8*(E70-D70)/(E70*AW70))^0.5</f>
        <v/>
      </c>
      <c r="AY70" s="0">
        <f>+AV70-AX70</f>
        <v/>
      </c>
      <c r="AZ70" s="0">
        <f>+F70-G70</f>
        <v/>
      </c>
      <c r="BA70" s="0">
        <f>+AQ70/AP70</f>
        <v/>
      </c>
      <c r="BB70" s="15">
        <f>+E70*AO70*AZ70/BA70</f>
        <v/>
      </c>
      <c r="BC70" s="20">
        <f>BB70-S70</f>
        <v/>
      </c>
      <c r="BD70" s="19">
        <f>+(BB70-S70)/S70*100</f>
        <v/>
      </c>
      <c r="BE70" s="15" t="n">
        <v>6941000</v>
      </c>
      <c r="BF70" s="16">
        <f>テーブル2[[#This Row],[q_P]]/テーブル2[[#This Row],[q_M]]</f>
        <v/>
      </c>
      <c r="BG70" s="0" t="n">
        <v>1</v>
      </c>
      <c r="BH70" s="0" t="n">
        <v>-0.148</v>
      </c>
      <c r="BI70" s="0" t="n">
        <v>0.046</v>
      </c>
      <c r="BJ70" s="0" t="n">
        <v>5625</v>
      </c>
      <c r="BK70" s="22" t="n">
        <v>1</v>
      </c>
      <c r="BL70" s="0">
        <f>テーブル2[[#This Row],[Ts]]-テーブル2[[#This Row],[Tin]]</f>
        <v/>
      </c>
      <c r="BM70" s="0">
        <f>テーブル2[[#This Row],[q_P]]*0.000001</f>
        <v/>
      </c>
      <c r="BN70" s="0">
        <f>テーブル2[[#This Row],[Tsub]]</f>
        <v/>
      </c>
      <c r="BO70" s="0">
        <f>テーブル2[[#This Row],[Fcorr]]</f>
        <v/>
      </c>
      <c r="BP70" s="0">
        <f>(テーブル2[[#This Row],[Tsub]]-40)^2</f>
        <v/>
      </c>
      <c r="BQ70" t="n">
        <v>1</v>
      </c>
      <c r="BR70" s="0" t="n">
        <v>0.3175</v>
      </c>
    </row>
    <row r="71">
      <c r="A71" s="9" t="inlineStr">
        <is>
          <t>207.01_10</t>
        </is>
      </c>
      <c r="B71" s="0" t="n">
        <v>13789520</v>
      </c>
      <c r="C71" s="22">
        <f t="array" ref="C71">TsatFromP(テーブル2[[#This Row],[P]])</f>
        <v/>
      </c>
      <c r="D71" s="0">
        <f t="array" ref="D71">RhoGFromP(テーブル2[[#This Row],[P]])</f>
        <v/>
      </c>
      <c r="E71" s="0">
        <f t="array" ref="E71">RhoFFromP(テーブル2[[#This Row],[P]])</f>
        <v/>
      </c>
      <c r="F71" s="0">
        <f t="array" ref="F71">HgFromP(テーブル2[[#This Row],[P]])</f>
        <v/>
      </c>
      <c r="G71" s="0">
        <f t="array" ref="G71">HfFromP(テーブル2[[#This Row],[P]])</f>
        <v/>
      </c>
      <c r="H71" s="0">
        <f t="array" ref="H71">MuGFromP(テーブル2[[#This Row],[P]])</f>
        <v/>
      </c>
      <c r="I71" s="0">
        <f t="array" ref="I71">MuFFromP(テーブル2[[#This Row],[P]])</f>
        <v/>
      </c>
      <c r="J71" s="0">
        <f t="array" ref="J71">KfFromP(テーブル2[[#This Row],[P]])</f>
        <v/>
      </c>
      <c r="K71" s="0">
        <f t="array" ref="K71">CpFFromP(テーブル2[[#This Row],[P]])</f>
        <v/>
      </c>
      <c r="L71" s="0">
        <f t="array" ref="L71">SigmaFromP(テーブル2[[#This Row],[P]])</f>
        <v/>
      </c>
      <c r="M71" s="0" t="n">
        <v>70</v>
      </c>
      <c r="N71" s="0" t="n">
        <v>3606.96</v>
      </c>
      <c r="O71" s="8" t="n">
        <v>1.77190538365604e-05</v>
      </c>
      <c r="P71" s="8" t="n">
        <v>0.0149219367860208</v>
      </c>
      <c r="Q71" s="8" t="n">
        <v>0.0047498</v>
      </c>
      <c r="R71" s="0" t="n">
        <v>0.3175</v>
      </c>
      <c r="S71" s="15" t="n">
        <v>6249201.23046875</v>
      </c>
      <c r="T71" s="0" t="n">
        <v>475.567538503512</v>
      </c>
      <c r="U71" s="37">
        <f>+T71+BG71*S71*テーブル2[[#This Row],[Pw]]*R71/(N71*O71*K71)</f>
        <v/>
      </c>
      <c r="V71" s="0" t="n">
        <v>0.03</v>
      </c>
      <c r="W71" s="8">
        <f>+N71*Q71/I71</f>
        <v/>
      </c>
      <c r="X71" s="0" t="n">
        <v>0.02406265163990569</v>
      </c>
      <c r="Y71" s="0">
        <f>IF(X71&gt;0,1/X71^0.5,1)</f>
        <v/>
      </c>
      <c r="Z71" s="0">
        <f>IF(X71&gt;0,1.14-2*LOG((0.72*L71*E71)/(X71*Q71*N71^2)+9.35/(W71*X71^0.5)),0)</f>
        <v/>
      </c>
      <c r="AA71" s="0">
        <f>+Y71-Z71</f>
        <v/>
      </c>
      <c r="AB71" s="0">
        <f>32/X71*L71*V71*E71/N71^2</f>
        <v/>
      </c>
      <c r="AC71" s="0" t="n">
        <v>714.7236640582042</v>
      </c>
      <c r="AD71" s="0">
        <f>+Q71/2*AI71/I71*E71</f>
        <v/>
      </c>
      <c r="AE71" s="0">
        <f>+gettm2(AD71,AC71,AK71,AL71,テーブル2[[#This Row],[Fcorr]])</f>
        <v/>
      </c>
      <c r="AF71" s="38">
        <f>+AE71-U71</f>
        <v/>
      </c>
      <c r="AG71" s="0" t="n">
        <v>1.255138042458762e-05</v>
      </c>
      <c r="AH71" s="0">
        <f>+X71*N71^2/(8*E71)</f>
        <v/>
      </c>
      <c r="AI71" s="0">
        <f>+(AH71/E71)^0.5</f>
        <v/>
      </c>
      <c r="AJ71" s="0">
        <f>+AG71*AI71/I71*E71</f>
        <v/>
      </c>
      <c r="AK71" s="0">
        <f t="array" ref="AK71">+S71*テーブル2[[#This Row],[F_form]]/(E71*CpFromTP((テーブル2[[#This Row],[Tin]]+テーブル2[[#This Row],[Tf]])/2,テーブル2[[#This Row],[P]])*AI71)</f>
        <v/>
      </c>
      <c r="AL71" s="0">
        <f>+K71*I71/J71</f>
        <v/>
      </c>
      <c r="AM71" s="0">
        <f>+gettyp(AC71,AJ71,AK71,AL71)</f>
        <v/>
      </c>
      <c r="AN71" s="0">
        <f>+C71-AM71</f>
        <v/>
      </c>
      <c r="AO71" s="0">
        <f>+AG71-AB71</f>
        <v/>
      </c>
      <c r="AP71" s="0" t="n">
        <v>3.837125911682056</v>
      </c>
      <c r="AQ71" s="0">
        <f>2*PI()*L71*(D71+E71)/(D71*E71*AP71^2)</f>
        <v/>
      </c>
      <c r="AR71" s="0">
        <f>+AO71+AB71/2</f>
        <v/>
      </c>
      <c r="AS71" s="0">
        <f>+AR71*AI71/I71*E71</f>
        <v/>
      </c>
      <c r="AT71" s="0">
        <f>+getublp(AS71)</f>
        <v/>
      </c>
      <c r="AU71" s="0">
        <f>+AT71*AI71</f>
        <v/>
      </c>
      <c r="AV71" s="0">
        <f>+AP71-AU71</f>
        <v/>
      </c>
      <c r="AW71" s="0">
        <f>2/3*AB71/(L71/(9.8*(E71-D71)))^0.5</f>
        <v/>
      </c>
      <c r="AX71" s="0">
        <f>+(2*AQ71*9.8*(E71-D71)/(E71*AW71))^0.5</f>
        <v/>
      </c>
      <c r="AY71" s="0">
        <f>+AV71-AX71</f>
        <v/>
      </c>
      <c r="AZ71" s="0">
        <f>+F71-G71</f>
        <v/>
      </c>
      <c r="BA71" s="0">
        <f>+AQ71/AP71</f>
        <v/>
      </c>
      <c r="BB71" s="15">
        <f>+E71*AO71*AZ71/BA71</f>
        <v/>
      </c>
      <c r="BC71" s="20">
        <f>BB71-S71</f>
        <v/>
      </c>
      <c r="BD71" s="19">
        <f>+(BB71-S71)/S71*100</f>
        <v/>
      </c>
      <c r="BE71" s="15" t="n">
        <v>6215350</v>
      </c>
      <c r="BF71" s="16">
        <f>テーブル2[[#This Row],[q_P]]/テーブル2[[#This Row],[q_M]]</f>
        <v/>
      </c>
      <c r="BG71" s="0" t="n">
        <v>1</v>
      </c>
      <c r="BH71" s="0" t="n">
        <v>-0.216</v>
      </c>
      <c r="BI71" s="0" t="n">
        <v>0.046</v>
      </c>
      <c r="BJ71" s="0" t="n">
        <v>5625</v>
      </c>
      <c r="BK71" s="22" t="n">
        <v>1</v>
      </c>
      <c r="BL71" s="0">
        <f>テーブル2[[#This Row],[Ts]]-テーブル2[[#This Row],[Tin]]</f>
        <v/>
      </c>
      <c r="BM71" s="0">
        <f>テーブル2[[#This Row],[q_P]]*0.000001</f>
        <v/>
      </c>
      <c r="BN71" s="0">
        <f>テーブル2[[#This Row],[Tsub]]</f>
        <v/>
      </c>
      <c r="BO71" s="0">
        <f>テーブル2[[#This Row],[Fcorr]]</f>
        <v/>
      </c>
      <c r="BP71" s="0">
        <f>(テーブル2[[#This Row],[Tsub]]-40)^2</f>
        <v/>
      </c>
      <c r="BQ71" t="n">
        <v>1</v>
      </c>
      <c r="BR71" s="0" t="n">
        <v>0.3175</v>
      </c>
    </row>
    <row r="72">
      <c r="A72" s="9" t="inlineStr">
        <is>
          <t>208.01_10</t>
        </is>
      </c>
      <c r="B72" s="0" t="n">
        <v>13789520</v>
      </c>
      <c r="C72" s="22">
        <f t="array" ref="C72">TsatFromP(テーブル2[[#This Row],[P]])</f>
        <v/>
      </c>
      <c r="D72" s="0">
        <f t="array" ref="D72">RhoGFromP(テーブル2[[#This Row],[P]])</f>
        <v/>
      </c>
      <c r="E72" s="0">
        <f t="array" ref="E72">RhoFFromP(テーブル2[[#This Row],[P]])</f>
        <v/>
      </c>
      <c r="F72" s="0">
        <f t="array" ref="F72">HgFromP(テーブル2[[#This Row],[P]])</f>
        <v/>
      </c>
      <c r="G72" s="0">
        <f t="array" ref="G72">HfFromP(テーブル2[[#This Row],[P]])</f>
        <v/>
      </c>
      <c r="H72" s="0">
        <f t="array" ref="H72">MuGFromP(テーブル2[[#This Row],[P]])</f>
        <v/>
      </c>
      <c r="I72" s="0">
        <f t="array" ref="I72">MuFFromP(テーブル2[[#This Row],[P]])</f>
        <v/>
      </c>
      <c r="J72" s="0">
        <f t="array" ref="J72">KfFromP(テーブル2[[#This Row],[P]])</f>
        <v/>
      </c>
      <c r="K72" s="0">
        <f t="array" ref="K72">CpFFromP(テーブル2[[#This Row],[P]])</f>
        <v/>
      </c>
      <c r="L72" s="0">
        <f t="array" ref="L72">SigmaFromP(テーブル2[[#This Row],[P]])</f>
        <v/>
      </c>
      <c r="M72" s="23" t="n">
        <v>71</v>
      </c>
      <c r="N72" s="0" t="n">
        <v>3606.96</v>
      </c>
      <c r="O72" s="8" t="n">
        <v>1.77190538365604e-05</v>
      </c>
      <c r="P72" s="8" t="n">
        <v>0.0149219367860208</v>
      </c>
      <c r="Q72" s="8" t="n">
        <v>0.0047498</v>
      </c>
      <c r="R72" s="0" t="n">
        <v>0.3175</v>
      </c>
      <c r="S72" s="15" t="n">
        <v>4899584.35546875</v>
      </c>
      <c r="T72" s="0" t="n">
        <v>506.686108152733</v>
      </c>
      <c r="U72" s="37">
        <f>+T72+BG72*S72*テーブル2[[#This Row],[Pw]]*R72/(N72*O72*K72)</f>
        <v/>
      </c>
      <c r="V72" s="0" t="n">
        <v>0.03</v>
      </c>
      <c r="W72" s="8">
        <f>+N72*Q72/I72</f>
        <v/>
      </c>
      <c r="X72" s="0" t="n">
        <v>0.02406265163990569</v>
      </c>
      <c r="Y72" s="0">
        <f>IF(X72&gt;0,1/X72^0.5,1)</f>
        <v/>
      </c>
      <c r="Z72" s="0">
        <f>IF(X72&gt;0,1.14-2*LOG((0.72*L72*E72)/(X72*Q72*N72^2)+9.35/(W72*X72^0.5)),0)</f>
        <v/>
      </c>
      <c r="AA72" s="0">
        <f>+Y72-Z72</f>
        <v/>
      </c>
      <c r="AB72" s="0">
        <f>32/X72*L72*V72*E72/N72^2</f>
        <v/>
      </c>
      <c r="AC72" s="0" t="n">
        <v>688.2831901832214</v>
      </c>
      <c r="AD72" s="0">
        <f>+Q72/2*AI72/I72*E72</f>
        <v/>
      </c>
      <c r="AE72" s="0">
        <f>+gettm2(AD72,AC72,AK72,AL72,テーブル2[[#This Row],[Fcorr]])</f>
        <v/>
      </c>
      <c r="AF72" s="38">
        <f>+AE72-U72</f>
        <v/>
      </c>
      <c r="AG72" s="0" t="n">
        <v>1.253202904489002e-05</v>
      </c>
      <c r="AH72" s="0">
        <f>+X72*N72^2/(8*E72)</f>
        <v/>
      </c>
      <c r="AI72" s="0">
        <f>+(AH72/E72)^0.5</f>
        <v/>
      </c>
      <c r="AJ72" s="0">
        <f>+AG72*AI72/I72*E72</f>
        <v/>
      </c>
      <c r="AK72" s="0">
        <f t="array" ref="AK72">+S72*テーブル2[[#This Row],[F_form]]/(E72*CpFromTP((テーブル2[[#This Row],[Tin]]+テーブル2[[#This Row],[Tf]])/2,テーブル2[[#This Row],[P]])*AI72)</f>
        <v/>
      </c>
      <c r="AL72" s="0">
        <f>+K72*I72/J72</f>
        <v/>
      </c>
      <c r="AM72" s="0">
        <f>+gettyp(AC72,AJ72,AK72,AL72)</f>
        <v/>
      </c>
      <c r="AN72" s="0">
        <f>+C72-AM72</f>
        <v/>
      </c>
      <c r="AO72" s="0">
        <f>+AG72-AB72</f>
        <v/>
      </c>
      <c r="AP72" s="0" t="n">
        <v>3.83261271773089</v>
      </c>
      <c r="AQ72" s="0">
        <f>2*PI()*L72*(D72+E72)/(D72*E72*AP72^2)</f>
        <v/>
      </c>
      <c r="AR72" s="0">
        <f>+AO72+AB72/2</f>
        <v/>
      </c>
      <c r="AS72" s="0">
        <f>+AR72*AI72/I72*E72</f>
        <v/>
      </c>
      <c r="AT72" s="0">
        <f>+getublp(AS72)</f>
        <v/>
      </c>
      <c r="AU72" s="0">
        <f>+AT72*AI72</f>
        <v/>
      </c>
      <c r="AV72" s="0">
        <f>+AP72-AU72</f>
        <v/>
      </c>
      <c r="AW72" s="0">
        <f>2/3*AB72/(L72/(9.8*(E72-D72)))^0.5</f>
        <v/>
      </c>
      <c r="AX72" s="0">
        <f>+(2*AQ72*9.8*(E72-D72)/(E72*AW72))^0.5</f>
        <v/>
      </c>
      <c r="AY72" s="0">
        <f>+AV72-AX72</f>
        <v/>
      </c>
      <c r="AZ72" s="0">
        <f>+F72-G72</f>
        <v/>
      </c>
      <c r="BA72" s="0">
        <f>+AQ72/AP72</f>
        <v/>
      </c>
      <c r="BB72" s="15">
        <f>+E72*AO72*AZ72/BA72</f>
        <v/>
      </c>
      <c r="BC72" s="20">
        <f>BB72-S72</f>
        <v/>
      </c>
      <c r="BD72" s="19">
        <f>+(BB72-S72)/S72*100</f>
        <v/>
      </c>
      <c r="BE72" s="15" t="n">
        <v>6215350</v>
      </c>
      <c r="BF72" s="16">
        <f>テーブル2[[#This Row],[q_P]]/テーブル2[[#This Row],[q_M]]</f>
        <v/>
      </c>
      <c r="BG72" s="0" t="n">
        <v>1</v>
      </c>
      <c r="BH72" s="0" t="n">
        <v>-0.08500000000000001</v>
      </c>
      <c r="BI72" s="0" t="n">
        <v>0.046</v>
      </c>
      <c r="BJ72" s="0" t="n">
        <v>5625</v>
      </c>
      <c r="BK72" s="22" t="n">
        <v>1</v>
      </c>
      <c r="BL72" s="0">
        <f>テーブル2[[#This Row],[Ts]]-テーブル2[[#This Row],[Tin]]</f>
        <v/>
      </c>
      <c r="BM72" s="0">
        <f>テーブル2[[#This Row],[q_P]]*0.000001</f>
        <v/>
      </c>
      <c r="BN72" s="0">
        <f>テーブル2[[#This Row],[Tsub]]</f>
        <v/>
      </c>
      <c r="BO72" s="0">
        <f>テーブル2[[#This Row],[Fcorr]]</f>
        <v/>
      </c>
      <c r="BP72" s="0">
        <f>(テーブル2[[#This Row],[Tsub]]-40)^2</f>
        <v/>
      </c>
      <c r="BQ72" t="n">
        <v>1</v>
      </c>
      <c r="BR72" s="0" t="n">
        <v>0.3175</v>
      </c>
    </row>
    <row r="73">
      <c r="A73" s="9" t="inlineStr">
        <is>
          <t>209.01_10</t>
        </is>
      </c>
      <c r="B73" s="0" t="n">
        <v>13789520</v>
      </c>
      <c r="C73" s="22">
        <f t="array" ref="C73">TsatFromP(テーブル2[[#This Row],[P]])</f>
        <v/>
      </c>
      <c r="D73" s="0">
        <f t="array" ref="D73">RhoGFromP(テーブル2[[#This Row],[P]])</f>
        <v/>
      </c>
      <c r="E73" s="0">
        <f t="array" ref="E73">RhoFFromP(テーブル2[[#This Row],[P]])</f>
        <v/>
      </c>
      <c r="F73" s="0">
        <f t="array" ref="F73">HgFromP(テーブル2[[#This Row],[P]])</f>
        <v/>
      </c>
      <c r="G73" s="0">
        <f t="array" ref="G73">HfFromP(テーブル2[[#This Row],[P]])</f>
        <v/>
      </c>
      <c r="H73" s="0">
        <f t="array" ref="H73">MuGFromP(テーブル2[[#This Row],[P]])</f>
        <v/>
      </c>
      <c r="I73" s="0">
        <f t="array" ref="I73">MuFFromP(テーブル2[[#This Row],[P]])</f>
        <v/>
      </c>
      <c r="J73" s="0">
        <f t="array" ref="J73">KfFromP(テーブル2[[#This Row],[P]])</f>
        <v/>
      </c>
      <c r="K73" s="0">
        <f t="array" ref="K73">CpFFromP(テーブル2[[#This Row],[P]])</f>
        <v/>
      </c>
      <c r="L73" s="0">
        <f t="array" ref="L73">SigmaFromP(テーブル2[[#This Row],[P]])</f>
        <v/>
      </c>
      <c r="M73" s="0" t="n">
        <v>72</v>
      </c>
      <c r="N73" s="0" t="n">
        <v>3647.64</v>
      </c>
      <c r="O73" s="8" t="n">
        <v>1.77190538365604e-05</v>
      </c>
      <c r="P73" s="8" t="n">
        <v>0.0149219367860208</v>
      </c>
      <c r="Q73" s="8" t="n">
        <v>0.0047498</v>
      </c>
      <c r="R73" s="0" t="n">
        <v>0.3175</v>
      </c>
      <c r="S73" s="15" t="n">
        <v>8937289.16015625</v>
      </c>
      <c r="T73" s="0" t="n">
        <v>414.083966427518</v>
      </c>
      <c r="U73" s="37">
        <f>+T73+BG73*S73*テーブル2[[#This Row],[Pw]]*R73/(N73*O73*K73)</f>
        <v/>
      </c>
      <c r="V73" s="0" t="n">
        <v>0.03</v>
      </c>
      <c r="W73" s="8">
        <f>+N73*Q73/I73</f>
        <v/>
      </c>
      <c r="X73" s="0" t="n">
        <v>0.02395367377288519</v>
      </c>
      <c r="Y73" s="0">
        <f>IF(X73&gt;0,1/X73^0.5,1)</f>
        <v/>
      </c>
      <c r="Z73" s="0">
        <f>IF(X73&gt;0,1.14-2*LOG((0.72*L73*E73)/(X73*Q73*N73^2)+9.35/(W73*X73^0.5)),0)</f>
        <v/>
      </c>
      <c r="AA73" s="0">
        <f>+Y73-Z73</f>
        <v/>
      </c>
      <c r="AB73" s="0">
        <f>32/X73*L73*V73*E73/N73^2</f>
        <v/>
      </c>
      <c r="AC73" s="0" t="n">
        <v>767.2553247694534</v>
      </c>
      <c r="AD73" s="0">
        <f>+Q73/2*AI73/I73*E73</f>
        <v/>
      </c>
      <c r="AE73" s="0">
        <f>+gettm2(AD73,AC73,AK73,AL73,テーブル2[[#This Row],[Fcorr]])</f>
        <v/>
      </c>
      <c r="AF73" s="38">
        <f>+AE73-U73</f>
        <v/>
      </c>
      <c r="AG73" s="0" t="n">
        <v>1.236572914997113e-05</v>
      </c>
      <c r="AH73" s="0">
        <f>+X73*N73^2/(8*E73)</f>
        <v/>
      </c>
      <c r="AI73" s="0">
        <f>+(AH73/E73)^0.5</f>
        <v/>
      </c>
      <c r="AJ73" s="0">
        <f>+AG73*AI73/I73*E73</f>
        <v/>
      </c>
      <c r="AK73" s="0">
        <f t="array" ref="AK73">+S73*テーブル2[[#This Row],[F_form]]/(E73*CpFromTP((テーブル2[[#This Row],[Tin]]+テーブル2[[#This Row],[Tf]])/2,テーブル2[[#This Row],[P]])*AI73)</f>
        <v/>
      </c>
      <c r="AL73" s="0">
        <f>+K73*I73/J73</f>
        <v/>
      </c>
      <c r="AM73" s="0">
        <f>+gettyp(AC73,AJ73,AK73,AL73)</f>
        <v/>
      </c>
      <c r="AN73" s="0">
        <f>+C73-AM73</f>
        <v/>
      </c>
      <c r="AO73" s="0">
        <f>+AG73-AB73</f>
        <v/>
      </c>
      <c r="AP73" s="0" t="n">
        <v>3.864701763266181</v>
      </c>
      <c r="AQ73" s="0">
        <f>2*PI()*L73*(D73+E73)/(D73*E73*AP73^2)</f>
        <v/>
      </c>
      <c r="AR73" s="0">
        <f>+AO73+AB73/2</f>
        <v/>
      </c>
      <c r="AS73" s="0">
        <f>+AR73*AI73/I73*E73</f>
        <v/>
      </c>
      <c r="AT73" s="0">
        <f>+getublp(AS73)</f>
        <v/>
      </c>
      <c r="AU73" s="0">
        <f>+AT73*AI73</f>
        <v/>
      </c>
      <c r="AV73" s="0">
        <f>+AP73-AU73</f>
        <v/>
      </c>
      <c r="AW73" s="0">
        <f>2/3*AB73/(L73/(9.8*(E73-D73)))^0.5</f>
        <v/>
      </c>
      <c r="AX73" s="0">
        <f>+(2*AQ73*9.8*(E73-D73)/(E73*AW73))^0.5</f>
        <v/>
      </c>
      <c r="AY73" s="0">
        <f>+AV73-AX73</f>
        <v/>
      </c>
      <c r="AZ73" s="0">
        <f>+F73-G73</f>
        <v/>
      </c>
      <c r="BA73" s="0">
        <f>+AQ73/AP73</f>
        <v/>
      </c>
      <c r="BB73" s="15">
        <f>+E73*AO73*AZ73/BA73</f>
        <v/>
      </c>
      <c r="BC73" s="20">
        <f>BB73-S73</f>
        <v/>
      </c>
      <c r="BD73" s="19">
        <f>+(BB73-S73)/S73*100</f>
        <v/>
      </c>
      <c r="BE73" s="15" t="n">
        <v>8171449.999999998</v>
      </c>
      <c r="BF73" s="16">
        <f>テーブル2[[#This Row],[q_P]]/テーブル2[[#This Row],[q_M]]</f>
        <v/>
      </c>
      <c r="BG73" s="0" t="n">
        <v>1</v>
      </c>
      <c r="BH73" s="0" t="n">
        <v>-0.334</v>
      </c>
      <c r="BI73" s="0" t="n">
        <v>0.046</v>
      </c>
      <c r="BJ73" s="0" t="n">
        <v>5625</v>
      </c>
      <c r="BK73" s="22" t="n">
        <v>1</v>
      </c>
      <c r="BL73" s="0">
        <f>テーブル2[[#This Row],[Ts]]-テーブル2[[#This Row],[Tin]]</f>
        <v/>
      </c>
      <c r="BM73" s="0">
        <f>テーブル2[[#This Row],[q_P]]*0.000001</f>
        <v/>
      </c>
      <c r="BN73" s="0">
        <f>テーブル2[[#This Row],[Tsub]]</f>
        <v/>
      </c>
      <c r="BO73" s="0">
        <f>テーブル2[[#This Row],[Fcorr]]</f>
        <v/>
      </c>
      <c r="BP73" s="0">
        <f>(テーブル2[[#This Row],[Tsub]]-40)^2</f>
        <v/>
      </c>
      <c r="BQ73" t="n">
        <v>1</v>
      </c>
      <c r="BR73" s="0" t="n">
        <v>0.3175</v>
      </c>
    </row>
    <row r="74">
      <c r="A74" s="9" t="inlineStr">
        <is>
          <t>210.01_10</t>
        </is>
      </c>
      <c r="B74" s="0" t="n">
        <v>13789520</v>
      </c>
      <c r="C74" s="22">
        <f t="array" ref="C74">TsatFromP(テーブル2[[#This Row],[P]])</f>
        <v/>
      </c>
      <c r="D74" s="0">
        <f t="array" ref="D74">RhoGFromP(テーブル2[[#This Row],[P]])</f>
        <v/>
      </c>
      <c r="E74" s="0">
        <f t="array" ref="E74">RhoFFromP(テーブル2[[#This Row],[P]])</f>
        <v/>
      </c>
      <c r="F74" s="0">
        <f t="array" ref="F74">HgFromP(テーブル2[[#This Row],[P]])</f>
        <v/>
      </c>
      <c r="G74" s="0">
        <f t="array" ref="G74">HfFromP(テーブル2[[#This Row],[P]])</f>
        <v/>
      </c>
      <c r="H74" s="0">
        <f t="array" ref="H74">MuGFromP(テーブル2[[#This Row],[P]])</f>
        <v/>
      </c>
      <c r="I74" s="0">
        <f t="array" ref="I74">MuFFromP(テーブル2[[#This Row],[P]])</f>
        <v/>
      </c>
      <c r="J74" s="0">
        <f t="array" ref="J74">KfFromP(テーブル2[[#This Row],[P]])</f>
        <v/>
      </c>
      <c r="K74" s="0">
        <f t="array" ref="K74">CpFFromP(テーブル2[[#This Row],[P]])</f>
        <v/>
      </c>
      <c r="L74" s="0">
        <f t="array" ref="L74">SigmaFromP(テーブル2[[#This Row],[P]])</f>
        <v/>
      </c>
      <c r="M74" s="23" t="n">
        <v>73</v>
      </c>
      <c r="N74" s="0" t="n">
        <v>3647.64</v>
      </c>
      <c r="O74" s="8" t="n">
        <v>1.77190538365604e-05</v>
      </c>
      <c r="P74" s="8" t="n">
        <v>0.0149219367860208</v>
      </c>
      <c r="Q74" s="8" t="n">
        <v>0.0047498</v>
      </c>
      <c r="R74" s="0" t="n">
        <v>0.3175</v>
      </c>
      <c r="S74" s="15" t="n">
        <v>8715213.37890625</v>
      </c>
      <c r="T74" s="0" t="n">
        <v>419.279064700286</v>
      </c>
      <c r="U74" s="37">
        <f>+T74+BG74*S74*テーブル2[[#This Row],[Pw]]*R74/(N74*O74*K74)</f>
        <v/>
      </c>
      <c r="V74" s="0" t="n">
        <v>0.03</v>
      </c>
      <c r="W74" s="8">
        <f>+N74*Q74/I74</f>
        <v/>
      </c>
      <c r="X74" s="0" t="n">
        <v>0.02395367377288519</v>
      </c>
      <c r="Y74" s="0">
        <f>IF(X74&gt;0,1/X74^0.5,1)</f>
        <v/>
      </c>
      <c r="Z74" s="0">
        <f>IF(X74&gt;0,1.14-2*LOG((0.72*L74*E74)/(X74*Q74*N74^2)+9.35/(W74*X74^0.5)),0)</f>
        <v/>
      </c>
      <c r="AA74" s="0">
        <f>+Y74-Z74</f>
        <v/>
      </c>
      <c r="AB74" s="0">
        <f>32/X74*L74*V74*E74/N74^2</f>
        <v/>
      </c>
      <c r="AC74" s="0" t="n">
        <v>762.7753027239021</v>
      </c>
      <c r="AD74" s="0">
        <f>+Q74/2*AI74/I74*E74</f>
        <v/>
      </c>
      <c r="AE74" s="0">
        <f>+gettm2(AD74,AC74,AK74,AL74,テーブル2[[#This Row],[Fcorr]])</f>
        <v/>
      </c>
      <c r="AF74" s="38">
        <f>+AE74-U74</f>
        <v/>
      </c>
      <c r="AG74" s="0" t="n">
        <v>1.236296319176018e-05</v>
      </c>
      <c r="AH74" s="0">
        <f>+X74*N74^2/(8*E74)</f>
        <v/>
      </c>
      <c r="AI74" s="0">
        <f>+(AH74/E74)^0.5</f>
        <v/>
      </c>
      <c r="AJ74" s="0">
        <f>+AG74*AI74/I74*E74</f>
        <v/>
      </c>
      <c r="AK74" s="0">
        <f t="array" ref="AK74">+S74*テーブル2[[#This Row],[F_form]]/(E74*CpFromTP((テーブル2[[#This Row],[Tin]]+テーブル2[[#This Row],[Tf]])/2,テーブル2[[#This Row],[P]])*AI74)</f>
        <v/>
      </c>
      <c r="AL74" s="0">
        <f>+K74*I74/J74</f>
        <v/>
      </c>
      <c r="AM74" s="0">
        <f>+gettyp(AC74,AJ74,AK74,AL74)</f>
        <v/>
      </c>
      <c r="AN74" s="0">
        <f>+C74-AM74</f>
        <v/>
      </c>
      <c r="AO74" s="0">
        <f>+AG74-AB74</f>
        <v/>
      </c>
      <c r="AP74" s="0" t="n">
        <v>3.86404361636235</v>
      </c>
      <c r="AQ74" s="0">
        <f>2*PI()*L74*(D74+E74)/(D74*E74*AP74^2)</f>
        <v/>
      </c>
      <c r="AR74" s="0">
        <f>+AO74+AB74/2</f>
        <v/>
      </c>
      <c r="AS74" s="0">
        <f>+AR74*AI74/I74*E74</f>
        <v/>
      </c>
      <c r="AT74" s="0">
        <f>+getublp(AS74)</f>
        <v/>
      </c>
      <c r="AU74" s="0">
        <f>+AT74*AI74</f>
        <v/>
      </c>
      <c r="AV74" s="0">
        <f>+AP74-AU74</f>
        <v/>
      </c>
      <c r="AW74" s="0">
        <f>2/3*AB74/(L74/(9.8*(E74-D74)))^0.5</f>
        <v/>
      </c>
      <c r="AX74" s="0">
        <f>+(2*AQ74*9.8*(E74-D74)/(E74*AW74))^0.5</f>
        <v/>
      </c>
      <c r="AY74" s="0">
        <f>+AV74-AX74</f>
        <v/>
      </c>
      <c r="AZ74" s="0">
        <f>+F74-G74</f>
        <v/>
      </c>
      <c r="BA74" s="0">
        <f>+AQ74/AP74</f>
        <v/>
      </c>
      <c r="BB74" s="15">
        <f>+E74*AO74*AZ74/BA74</f>
        <v/>
      </c>
      <c r="BC74" s="20">
        <f>BB74-S74</f>
        <v/>
      </c>
      <c r="BD74" s="19">
        <f>+(BB74-S74)/S74*100</f>
        <v/>
      </c>
      <c r="BE74" s="15" t="n">
        <v>7950600</v>
      </c>
      <c r="BF74" s="16">
        <f>テーブル2[[#This Row],[q_P]]/テーブル2[[#This Row],[q_M]]</f>
        <v/>
      </c>
      <c r="BG74" s="0" t="n">
        <v>1</v>
      </c>
      <c r="BH74" s="0" t="n">
        <v>-0.329</v>
      </c>
      <c r="BI74" s="0" t="n">
        <v>0.046</v>
      </c>
      <c r="BJ74" s="0" t="n">
        <v>5625</v>
      </c>
      <c r="BK74" s="22" t="n">
        <v>1</v>
      </c>
      <c r="BL74" s="0">
        <f>テーブル2[[#This Row],[Ts]]-テーブル2[[#This Row],[Tin]]</f>
        <v/>
      </c>
      <c r="BM74" s="0">
        <f>テーブル2[[#This Row],[q_P]]*0.000001</f>
        <v/>
      </c>
      <c r="BN74" s="0">
        <f>テーブル2[[#This Row],[Tsub]]</f>
        <v/>
      </c>
      <c r="BO74" s="0">
        <f>テーブル2[[#This Row],[Fcorr]]</f>
        <v/>
      </c>
      <c r="BP74" s="0">
        <f>(テーブル2[[#This Row],[Tsub]]-40)^2</f>
        <v/>
      </c>
      <c r="BQ74" t="n">
        <v>1</v>
      </c>
      <c r="BR74" s="0" t="n">
        <v>0.3175</v>
      </c>
    </row>
    <row r="75">
      <c r="A75" s="9" t="inlineStr">
        <is>
          <t>211.01_10</t>
        </is>
      </c>
      <c r="B75" s="0" t="n">
        <v>13789520</v>
      </c>
      <c r="C75" s="22">
        <f t="array" ref="C75">TsatFromP(テーブル2[[#This Row],[P]])</f>
        <v/>
      </c>
      <c r="D75" s="0">
        <f t="array" ref="D75">RhoGFromP(テーブル2[[#This Row],[P]])</f>
        <v/>
      </c>
      <c r="E75" s="0">
        <f t="array" ref="E75">RhoFFromP(テーブル2[[#This Row],[P]])</f>
        <v/>
      </c>
      <c r="F75" s="0">
        <f t="array" ref="F75">HgFromP(テーブル2[[#This Row],[P]])</f>
        <v/>
      </c>
      <c r="G75" s="0">
        <f t="array" ref="G75">HfFromP(テーブル2[[#This Row],[P]])</f>
        <v/>
      </c>
      <c r="H75" s="0">
        <f t="array" ref="H75">MuGFromP(テーブル2[[#This Row],[P]])</f>
        <v/>
      </c>
      <c r="I75" s="0">
        <f t="array" ref="I75">MuFFromP(テーブル2[[#This Row],[P]])</f>
        <v/>
      </c>
      <c r="J75" s="0">
        <f t="array" ref="J75">KfFromP(テーブル2[[#This Row],[P]])</f>
        <v/>
      </c>
      <c r="K75" s="0">
        <f t="array" ref="K75">CpFFromP(テーブル2[[#This Row],[P]])</f>
        <v/>
      </c>
      <c r="L75" s="0">
        <f t="array" ref="L75">SigmaFromP(テーブル2[[#This Row],[P]])</f>
        <v/>
      </c>
      <c r="M75" s="0" t="n">
        <v>74</v>
      </c>
      <c r="N75" s="0" t="n">
        <v>3701.88</v>
      </c>
      <c r="O75" s="8" t="n">
        <v>1.77190538365604e-05</v>
      </c>
      <c r="P75" s="8" t="n">
        <v>0.0149219367860208</v>
      </c>
      <c r="Q75" s="8" t="n">
        <v>0.0047498</v>
      </c>
      <c r="R75" s="0" t="n">
        <v>0.3175</v>
      </c>
      <c r="S75" s="15" t="n">
        <v>343091.71203125</v>
      </c>
      <c r="T75" s="0" t="n">
        <v>602.767854296974</v>
      </c>
      <c r="U75" s="37">
        <f>+T75+BG75*S75*テーブル2[[#This Row],[Pw]]*R75/(N75*O75*K75)</f>
        <v/>
      </c>
      <c r="V75" s="0" t="n">
        <v>0.03</v>
      </c>
      <c r="W75" s="8">
        <f>+N75*Q75/I75</f>
        <v/>
      </c>
      <c r="X75" s="0" t="n">
        <v>0.02381135861639175</v>
      </c>
      <c r="Y75" s="0">
        <f>IF(X75&gt;0,1/X75^0.5,1)</f>
        <v/>
      </c>
      <c r="Z75" s="0">
        <f>IF(X75&gt;0,1.14-2*LOG((0.72*L75*E75)/(X75*Q75*N75^2)+9.35/(W75*X75^0.5)),0)</f>
        <v/>
      </c>
      <c r="AA75" s="0">
        <f>+Y75-Z75</f>
        <v/>
      </c>
      <c r="AB75" s="0">
        <f>32/X75*L75*V75*E75/N75^2</f>
        <v/>
      </c>
      <c r="AC75" s="0" t="n">
        <v>612.3926020198782</v>
      </c>
      <c r="AD75" s="0">
        <f>+Q75/2*AI75/I75*E75</f>
        <v/>
      </c>
      <c r="AE75" s="0">
        <f>+gettm2(AD75,AC75,AK75,AL75,テーブル2[[#This Row],[Fcorr]])</f>
        <v/>
      </c>
      <c r="AF75" s="38">
        <f>+AE75-U75</f>
        <v/>
      </c>
      <c r="AG75" s="0" t="n">
        <v>1.196080393166259e-05</v>
      </c>
      <c r="AH75" s="0">
        <f>+X75*N75^2/(8*E75)</f>
        <v/>
      </c>
      <c r="AI75" s="0">
        <f>+(AH75/E75)^0.5</f>
        <v/>
      </c>
      <c r="AJ75" s="0">
        <f>+AG75*AI75/I75*E75</f>
        <v/>
      </c>
      <c r="AK75" s="0">
        <f t="array" ref="AK75">+S75*テーブル2[[#This Row],[F_form]]/(E75*CpFromTP((テーブル2[[#This Row],[Tin]]+テーブル2[[#This Row],[Tf]])/2,テーブル2[[#This Row],[P]])*AI75)</f>
        <v/>
      </c>
      <c r="AL75" s="0">
        <f>+K75*I75/J75</f>
        <v/>
      </c>
      <c r="AM75" s="0">
        <f>+gettyp(AC75,AJ75,AK75,AL75)</f>
        <v/>
      </c>
      <c r="AN75" s="0">
        <f>+C75-AM75</f>
        <v/>
      </c>
      <c r="AO75" s="0">
        <f>+AG75-AB75</f>
        <v/>
      </c>
      <c r="AP75" s="0" t="n">
        <v>3.860491353754886</v>
      </c>
      <c r="AQ75" s="0">
        <f>2*PI()*L75*(D75+E75)/(D75*E75*AP75^2)</f>
        <v/>
      </c>
      <c r="AR75" s="0">
        <f>+AO75+AB75/2</f>
        <v/>
      </c>
      <c r="AS75" s="0">
        <f>+AR75*AI75/I75*E75</f>
        <v/>
      </c>
      <c r="AT75" s="0">
        <f>+getublp(AS75)</f>
        <v/>
      </c>
      <c r="AU75" s="0">
        <f>+AT75*AI75</f>
        <v/>
      </c>
      <c r="AV75" s="0">
        <f>+AP75-AU75</f>
        <v/>
      </c>
      <c r="AW75" s="0">
        <f>2/3*AB75/(L75/(9.8*(E75-D75)))^0.5</f>
        <v/>
      </c>
      <c r="AX75" s="0">
        <f>+(2*AQ75*9.8*(E75-D75)/(E75*AW75))^0.5</f>
        <v/>
      </c>
      <c r="AY75" s="0">
        <f>+AV75-AX75</f>
        <v/>
      </c>
      <c r="AZ75" s="0">
        <f>+F75-G75</f>
        <v/>
      </c>
      <c r="BA75" s="0">
        <f>+AQ75/AP75</f>
        <v/>
      </c>
      <c r="BB75" s="15">
        <f>+E75*AO75*AZ75/BA75</f>
        <v/>
      </c>
      <c r="BC75" s="20">
        <f>BB75-S75</f>
        <v/>
      </c>
      <c r="BD75" s="19">
        <f>+(BB75-S75)/S75*100</f>
        <v/>
      </c>
      <c r="BE75" s="15" t="n">
        <v>2508225</v>
      </c>
      <c r="BF75" s="16">
        <f>テーブル2[[#This Row],[q_P]]/テーブル2[[#This Row],[q_M]]</f>
        <v/>
      </c>
      <c r="BG75" s="0" t="n">
        <v>1</v>
      </c>
      <c r="BH75" s="0" t="n">
        <v>0.13</v>
      </c>
      <c r="BI75" s="0" t="n">
        <v>0.046</v>
      </c>
      <c r="BJ75" s="0" t="n">
        <v>5625</v>
      </c>
      <c r="BK75" s="22" t="n">
        <v>1</v>
      </c>
      <c r="BL75" s="0">
        <f>テーブル2[[#This Row],[Ts]]-テーブル2[[#This Row],[Tin]]</f>
        <v/>
      </c>
      <c r="BM75" s="0">
        <f>テーブル2[[#This Row],[q_P]]*0.000001</f>
        <v/>
      </c>
      <c r="BN75" s="0">
        <f>テーブル2[[#This Row],[Tsub]]</f>
        <v/>
      </c>
      <c r="BO75" s="0">
        <f>テーブル2[[#This Row],[Fcorr]]</f>
        <v/>
      </c>
      <c r="BP75" s="0">
        <f>(テーブル2[[#This Row],[Tsub]]-40)^2</f>
        <v/>
      </c>
      <c r="BQ75" t="n">
        <v>1</v>
      </c>
      <c r="BR75" s="0" t="n">
        <v>0.3175</v>
      </c>
    </row>
    <row r="76">
      <c r="A76" s="9" t="inlineStr">
        <is>
          <t>212.01_10</t>
        </is>
      </c>
      <c r="B76" s="0" t="n">
        <v>13789520</v>
      </c>
      <c r="C76" s="22">
        <f t="array" ref="C76">TsatFromP(テーブル2[[#This Row],[P]])</f>
        <v/>
      </c>
      <c r="D76" s="0">
        <f t="array" ref="D76">RhoGFromP(テーブル2[[#This Row],[P]])</f>
        <v/>
      </c>
      <c r="E76" s="0">
        <f t="array" ref="E76">RhoFFromP(テーブル2[[#This Row],[P]])</f>
        <v/>
      </c>
      <c r="F76" s="0">
        <f t="array" ref="F76">HgFromP(テーブル2[[#This Row],[P]])</f>
        <v/>
      </c>
      <c r="G76" s="0">
        <f t="array" ref="G76">HfFromP(テーブル2[[#This Row],[P]])</f>
        <v/>
      </c>
      <c r="H76" s="0">
        <f t="array" ref="H76">MuGFromP(テーブル2[[#This Row],[P]])</f>
        <v/>
      </c>
      <c r="I76" s="0">
        <f t="array" ref="I76">MuFFromP(テーブル2[[#This Row],[P]])</f>
        <v/>
      </c>
      <c r="J76" s="0">
        <f t="array" ref="J76">KfFromP(テーブル2[[#This Row],[P]])</f>
        <v/>
      </c>
      <c r="K76" s="0">
        <f t="array" ref="K76">CpFFromP(テーブル2[[#This Row],[P]])</f>
        <v/>
      </c>
      <c r="L76" s="0">
        <f t="array" ref="L76">SigmaFromP(テーブル2[[#This Row],[P]])</f>
        <v/>
      </c>
      <c r="M76" s="23" t="n">
        <v>75</v>
      </c>
      <c r="N76" s="0" t="n">
        <v>3769.68</v>
      </c>
      <c r="O76" s="8" t="n">
        <v>1.77190538365604e-05</v>
      </c>
      <c r="P76" s="8" t="n">
        <v>0.0149219367860208</v>
      </c>
      <c r="Q76" s="8" t="n">
        <v>0.0047498</v>
      </c>
      <c r="R76" s="0" t="n">
        <v>0.3175</v>
      </c>
      <c r="S76" s="15" t="n">
        <v>395973.67578125</v>
      </c>
      <c r="T76" s="0" t="n">
        <v>601.931879121089</v>
      </c>
      <c r="U76" s="37">
        <f>+T76+BG76*S76*テーブル2[[#This Row],[Pw]]*R76/(N76*O76*K76)</f>
        <v/>
      </c>
      <c r="V76" s="0" t="n">
        <v>0.03</v>
      </c>
      <c r="W76" s="8">
        <f>+N76*Q76/I76</f>
        <v/>
      </c>
      <c r="X76" s="0" t="n">
        <v>0.02363808417076685</v>
      </c>
      <c r="Y76" s="0">
        <f>IF(X76&gt;0,1/X76^0.5,1)</f>
        <v/>
      </c>
      <c r="Z76" s="0">
        <f>IF(X76&gt;0,1.14-2*LOG((0.72*L76*E76)/(X76*Q76*N76^2)+9.35/(W76*X76^0.5)),0)</f>
        <v/>
      </c>
      <c r="AA76" s="0">
        <f>+Y76-Z76</f>
        <v/>
      </c>
      <c r="AB76" s="0">
        <f>32/X76*L76*V76*E76/N76^2</f>
        <v/>
      </c>
      <c r="AC76" s="0" t="n">
        <v>612.9356377350198</v>
      </c>
      <c r="AD76" s="0">
        <f>+Q76/2*AI76/I76*E76</f>
        <v/>
      </c>
      <c r="AE76" s="0">
        <f>+gettm2(AD76,AC76,AK76,AL76,テーブル2[[#This Row],[Fcorr]])</f>
        <v/>
      </c>
      <c r="AF76" s="38">
        <f>+AE76-U76</f>
        <v/>
      </c>
      <c r="AG76" s="0" t="n">
        <v>1.161971066556588e-05</v>
      </c>
      <c r="AH76" s="0">
        <f>+X76*N76^2/(8*E76)</f>
        <v/>
      </c>
      <c r="AI76" s="0">
        <f>+(AH76/E76)^0.5</f>
        <v/>
      </c>
      <c r="AJ76" s="0">
        <f>+AG76*AI76/I76*E76</f>
        <v/>
      </c>
      <c r="AK76" s="0">
        <f t="array" ref="AK76">+S76*テーブル2[[#This Row],[F_form]]/(E76*CpFromTP((テーブル2[[#This Row],[Tin]]+テーブル2[[#This Row],[Tf]])/2,テーブル2[[#This Row],[P]])*AI76)</f>
        <v/>
      </c>
      <c r="AL76" s="0">
        <f>+K76*I76/J76</f>
        <v/>
      </c>
      <c r="AM76" s="0">
        <f>+gettyp(AC76,AJ76,AK76,AL76)</f>
        <v/>
      </c>
      <c r="AN76" s="0">
        <f>+C76-AM76</f>
        <v/>
      </c>
      <c r="AO76" s="0">
        <f>+AG76-AB76</f>
        <v/>
      </c>
      <c r="AP76" s="0" t="n">
        <v>3.890969235920783</v>
      </c>
      <c r="AQ76" s="0">
        <f>2*PI()*L76*(D76+E76)/(D76*E76*AP76^2)</f>
        <v/>
      </c>
      <c r="AR76" s="0">
        <f>+AO76+AB76/2</f>
        <v/>
      </c>
      <c r="AS76" s="0">
        <f>+AR76*AI76/I76*E76</f>
        <v/>
      </c>
      <c r="AT76" s="0">
        <f>+getublp(AS76)</f>
        <v/>
      </c>
      <c r="AU76" s="0">
        <f>+AT76*AI76</f>
        <v/>
      </c>
      <c r="AV76" s="0">
        <f>+AP76-AU76</f>
        <v/>
      </c>
      <c r="AW76" s="0">
        <f>2/3*AB76/(L76/(9.8*(E76-D76)))^0.5</f>
        <v/>
      </c>
      <c r="AX76" s="0">
        <f>+(2*AQ76*9.8*(E76-D76)/(E76*AW76))^0.5</f>
        <v/>
      </c>
      <c r="AY76" s="0">
        <f>+AV76-AX76</f>
        <v/>
      </c>
      <c r="AZ76" s="0">
        <f>+F76-G76</f>
        <v/>
      </c>
      <c r="BA76" s="0">
        <f>+AQ76/AP76</f>
        <v/>
      </c>
      <c r="BB76" s="15">
        <f>+E76*AO76*AZ76/BA76</f>
        <v/>
      </c>
      <c r="BC76" s="20">
        <f>BB76-S76</f>
        <v/>
      </c>
      <c r="BD76" s="19">
        <f>+(BB76-S76)/S76*100</f>
        <v/>
      </c>
      <c r="BE76" s="15" t="n">
        <v>2637580</v>
      </c>
      <c r="BF76" s="16">
        <f>テーブル2[[#This Row],[q_P]]/テーブル2[[#This Row],[q_M]]</f>
        <v/>
      </c>
      <c r="BG76" s="0" t="n">
        <v>1</v>
      </c>
      <c r="BH76" s="0" t="n">
        <v>0.13</v>
      </c>
      <c r="BI76" s="0" t="n">
        <v>0.046</v>
      </c>
      <c r="BJ76" s="0" t="n">
        <v>5625</v>
      </c>
      <c r="BK76" s="22" t="n">
        <v>1</v>
      </c>
      <c r="BL76" s="0">
        <f>テーブル2[[#This Row],[Ts]]-テーブル2[[#This Row],[Tin]]</f>
        <v/>
      </c>
      <c r="BM76" s="0">
        <f>テーブル2[[#This Row],[q_P]]*0.000001</f>
        <v/>
      </c>
      <c r="BN76" s="0">
        <f>テーブル2[[#This Row],[Tsub]]</f>
        <v/>
      </c>
      <c r="BO76" s="0">
        <f>テーブル2[[#This Row],[Fcorr]]</f>
        <v/>
      </c>
      <c r="BP76" s="0">
        <f>(テーブル2[[#This Row],[Tsub]]-40)^2</f>
        <v/>
      </c>
      <c r="BQ76" t="n">
        <v>1</v>
      </c>
      <c r="BR76" s="0" t="n">
        <v>0.3175</v>
      </c>
    </row>
    <row r="77">
      <c r="A77" s="9" t="inlineStr">
        <is>
          <t>213.01_10</t>
        </is>
      </c>
      <c r="B77" s="0" t="n">
        <v>13789520</v>
      </c>
      <c r="C77" s="22">
        <f t="array" ref="C77">TsatFromP(テーブル2[[#This Row],[P]])</f>
        <v/>
      </c>
      <c r="D77" s="0">
        <f t="array" ref="D77">RhoGFromP(テーブル2[[#This Row],[P]])</f>
        <v/>
      </c>
      <c r="E77" s="0">
        <f t="array" ref="E77">RhoFFromP(テーブル2[[#This Row],[P]])</f>
        <v/>
      </c>
      <c r="F77" s="0">
        <f t="array" ref="F77">HgFromP(テーブル2[[#This Row],[P]])</f>
        <v/>
      </c>
      <c r="G77" s="0">
        <f t="array" ref="G77">HfFromP(テーブル2[[#This Row],[P]])</f>
        <v/>
      </c>
      <c r="H77" s="0">
        <f t="array" ref="H77">MuGFromP(テーブル2[[#This Row],[P]])</f>
        <v/>
      </c>
      <c r="I77" s="0">
        <f t="array" ref="I77">MuFFromP(テーブル2[[#This Row],[P]])</f>
        <v/>
      </c>
      <c r="J77" s="0">
        <f t="array" ref="J77">KfFromP(テーブル2[[#This Row],[P]])</f>
        <v/>
      </c>
      <c r="K77" s="0">
        <f t="array" ref="K77">CpFFromP(テーブル2[[#This Row],[P]])</f>
        <v/>
      </c>
      <c r="L77" s="0">
        <f t="array" ref="L77">SigmaFromP(テーブル2[[#This Row],[P]])</f>
        <v/>
      </c>
      <c r="M77" s="0" t="n">
        <v>76</v>
      </c>
      <c r="N77" s="0" t="n">
        <v>3783.24</v>
      </c>
      <c r="O77" s="8" t="n">
        <v>1.77190538365604e-05</v>
      </c>
      <c r="P77" s="8" t="n">
        <v>0.0149219367860208</v>
      </c>
      <c r="Q77" s="8" t="n">
        <v>0.0047498</v>
      </c>
      <c r="R77" s="0" t="n">
        <v>0.3175</v>
      </c>
      <c r="S77" s="15" t="n">
        <v>11638893.45703125</v>
      </c>
      <c r="T77" s="0" t="n">
        <v>357.531014231346</v>
      </c>
      <c r="U77" s="37">
        <f>+T77+BG77*S77*テーブル2[[#This Row],[Pw]]*R77/(N77*O77*K77)</f>
        <v/>
      </c>
      <c r="V77" s="0" t="n">
        <v>0.03</v>
      </c>
      <c r="W77" s="8">
        <f>+N77*Q77/I77</f>
        <v/>
      </c>
      <c r="X77" s="0" t="n">
        <v>0.02360402573567142</v>
      </c>
      <c r="Y77" s="0">
        <f>IF(X77&gt;0,1/X77^0.5,1)</f>
        <v/>
      </c>
      <c r="Z77" s="0">
        <f>IF(X77&gt;0,1.14-2*LOG((0.72*L77*E77)/(X77*Q77*N77^2)+9.35/(W77*X77^0.5)),0)</f>
        <v/>
      </c>
      <c r="AA77" s="0">
        <f>+Y77-Z77</f>
        <v/>
      </c>
      <c r="AB77" s="0">
        <f>32/X77*L77*V77*E77/N77^2</f>
        <v/>
      </c>
      <c r="AC77" s="0" t="n">
        <v>814.1607686319668</v>
      </c>
      <c r="AD77" s="0">
        <f>+Q77/2*AI77/I77*E77</f>
        <v/>
      </c>
      <c r="AE77" s="0">
        <f>+gettm2(AD77,AC77,AK77,AL77,テーブル2[[#This Row],[Fcorr]])</f>
        <v/>
      </c>
      <c r="AF77" s="38">
        <f>+AE77-U77</f>
        <v/>
      </c>
      <c r="AG77" s="0" t="n">
        <v>1.170116394353561e-05</v>
      </c>
      <c r="AH77" s="0">
        <f>+X77*N77^2/(8*E77)</f>
        <v/>
      </c>
      <c r="AI77" s="0">
        <f>+(AH77/E77)^0.5</f>
        <v/>
      </c>
      <c r="AJ77" s="0">
        <f>+AG77*AI77/I77*E77</f>
        <v/>
      </c>
      <c r="AK77" s="0">
        <f t="array" ref="AK77">+S77*テーブル2[[#This Row],[F_form]]/(E77*CpFromTP((テーブル2[[#This Row],[Tin]]+テーブル2[[#This Row],[Tf]])/2,テーブル2[[#This Row],[P]])*AI77)</f>
        <v/>
      </c>
      <c r="AL77" s="0">
        <f>+K77*I77/J77</f>
        <v/>
      </c>
      <c r="AM77" s="0">
        <f>+gettyp(AC77,AJ77,AK77,AL77)</f>
        <v/>
      </c>
      <c r="AN77" s="0">
        <f>+C77-AM77</f>
        <v/>
      </c>
      <c r="AO77" s="0">
        <f>+AG77-AB77</f>
        <v/>
      </c>
      <c r="AP77" s="0" t="n">
        <v>3.935635596800354</v>
      </c>
      <c r="AQ77" s="0">
        <f>2*PI()*L77*(D77+E77)/(D77*E77*AP77^2)</f>
        <v/>
      </c>
      <c r="AR77" s="0">
        <f>+AO77+AB77/2</f>
        <v/>
      </c>
      <c r="AS77" s="0">
        <f>+AR77*AI77/I77*E77</f>
        <v/>
      </c>
      <c r="AT77" s="0">
        <f>+getublp(AS77)</f>
        <v/>
      </c>
      <c r="AU77" s="0">
        <f>+AT77*AI77</f>
        <v/>
      </c>
      <c r="AV77" s="0">
        <f>+AP77-AU77</f>
        <v/>
      </c>
      <c r="AW77" s="0">
        <f>2/3*AB77/(L77/(9.8*(E77-D77)))^0.5</f>
        <v/>
      </c>
      <c r="AX77" s="0">
        <f>+(2*AQ77*9.8*(E77-D77)/(E77*AW77))^0.5</f>
        <v/>
      </c>
      <c r="AY77" s="0">
        <f>+AV77-AX77</f>
        <v/>
      </c>
      <c r="AZ77" s="0">
        <f>+F77-G77</f>
        <v/>
      </c>
      <c r="BA77" s="0">
        <f>+AQ77/AP77</f>
        <v/>
      </c>
      <c r="BB77" s="15">
        <f>+E77*AO77*AZ77/BA77</f>
        <v/>
      </c>
      <c r="BC77" s="20">
        <f>BB77-S77</f>
        <v/>
      </c>
      <c r="BD77" s="19">
        <f>+(BB77-S77)/S77*100</f>
        <v/>
      </c>
      <c r="BE77" s="15" t="n">
        <v>9969800</v>
      </c>
      <c r="BF77" s="16">
        <f>テーブル2[[#This Row],[q_P]]/テーブル2[[#This Row],[q_M]]</f>
        <v/>
      </c>
      <c r="BG77" s="0" t="n">
        <v>1</v>
      </c>
      <c r="BH77" s="0" t="n">
        <v>-0.457</v>
      </c>
      <c r="BI77" s="0" t="n">
        <v>0.046</v>
      </c>
      <c r="BJ77" s="0" t="n">
        <v>5625</v>
      </c>
      <c r="BK77" s="22" t="n">
        <v>1</v>
      </c>
      <c r="BL77" s="0">
        <f>テーブル2[[#This Row],[Ts]]-テーブル2[[#This Row],[Tin]]</f>
        <v/>
      </c>
      <c r="BM77" s="0">
        <f>テーブル2[[#This Row],[q_P]]*0.000001</f>
        <v/>
      </c>
      <c r="BN77" s="0">
        <f>テーブル2[[#This Row],[Tsub]]</f>
        <v/>
      </c>
      <c r="BO77" s="0">
        <f>テーブル2[[#This Row],[Fcorr]]</f>
        <v/>
      </c>
      <c r="BP77" s="0">
        <f>(テーブル2[[#This Row],[Tsub]]-40)^2</f>
        <v/>
      </c>
      <c r="BQ77" t="n">
        <v>1</v>
      </c>
      <c r="BR77" s="0" t="n">
        <v>0.3175</v>
      </c>
    </row>
    <row r="78">
      <c r="A78" s="9" t="inlineStr">
        <is>
          <t>214.01_10</t>
        </is>
      </c>
      <c r="B78" s="0" t="n">
        <v>13789520</v>
      </c>
      <c r="C78" s="22">
        <f t="array" ref="C78">TsatFromP(テーブル2[[#This Row],[P]])</f>
        <v/>
      </c>
      <c r="D78" s="0">
        <f t="array" ref="D78">RhoGFromP(テーブル2[[#This Row],[P]])</f>
        <v/>
      </c>
      <c r="E78" s="0">
        <f t="array" ref="E78">RhoFFromP(テーブル2[[#This Row],[P]])</f>
        <v/>
      </c>
      <c r="F78" s="0">
        <f t="array" ref="F78">HgFromP(テーブル2[[#This Row],[P]])</f>
        <v/>
      </c>
      <c r="G78" s="0">
        <f t="array" ref="G78">HfFromP(テーブル2[[#This Row],[P]])</f>
        <v/>
      </c>
      <c r="H78" s="0">
        <f t="array" ref="H78">MuGFromP(テーブル2[[#This Row],[P]])</f>
        <v/>
      </c>
      <c r="I78" s="0">
        <f t="array" ref="I78">MuFFromP(テーブル2[[#This Row],[P]])</f>
        <v/>
      </c>
      <c r="J78" s="0">
        <f t="array" ref="J78">KfFromP(テーブル2[[#This Row],[P]])</f>
        <v/>
      </c>
      <c r="K78" s="0">
        <f t="array" ref="K78">CpFFromP(テーブル2[[#This Row],[P]])</f>
        <v/>
      </c>
      <c r="L78" s="0">
        <f t="array" ref="L78">SigmaFromP(テーブル2[[#This Row],[P]])</f>
        <v/>
      </c>
      <c r="M78" s="23" t="n">
        <v>77</v>
      </c>
      <c r="N78" s="0" t="n">
        <v>3905.28</v>
      </c>
      <c r="O78" s="8" t="n">
        <v>1.77190538365604e-05</v>
      </c>
      <c r="P78" s="8" t="n">
        <v>0.0149219367860208</v>
      </c>
      <c r="Q78" s="8" t="n">
        <v>0.0047498</v>
      </c>
      <c r="R78" s="0" t="n">
        <v>0.3175</v>
      </c>
      <c r="S78" s="15" t="n">
        <v>1161834.54140625</v>
      </c>
      <c r="T78" s="0" t="n">
        <v>588.5603442801111</v>
      </c>
      <c r="U78" s="37">
        <f>+T78+BG78*S78*テーブル2[[#This Row],[Pw]]*R78/(N78*O78*K78)</f>
        <v/>
      </c>
      <c r="V78" s="0" t="n">
        <v>0.03</v>
      </c>
      <c r="W78" s="8">
        <f>+N78*Q78/I78</f>
        <v/>
      </c>
      <c r="X78" s="0" t="n">
        <v>0.02330603407406323</v>
      </c>
      <c r="Y78" s="0">
        <f>IF(X78&gt;0,1/X78^0.5,1)</f>
        <v/>
      </c>
      <c r="Z78" s="0">
        <f>IF(X78&gt;0,1.14-2*LOG((0.72*L78*E78)/(X78*Q78*N78^2)+9.35/(W78*X78^0.5)),0)</f>
        <v/>
      </c>
      <c r="AA78" s="0">
        <f>+Y78-Z78</f>
        <v/>
      </c>
      <c r="AB78" s="0">
        <f>32/X78*L78*V78*E78/N78^2</f>
        <v/>
      </c>
      <c r="AC78" s="0" t="n">
        <v>622.191191908999</v>
      </c>
      <c r="AD78" s="0">
        <f>+Q78/2*AI78/I78*E78</f>
        <v/>
      </c>
      <c r="AE78" s="0">
        <f>+gettm2(AD78,AC78,AK78,AL78,テーブル2[[#This Row],[Fcorr]])</f>
        <v/>
      </c>
      <c r="AF78" s="38">
        <f>+AE78-U78</f>
        <v/>
      </c>
      <c r="AG78" s="0" t="n">
        <v>1.099119304625929e-05</v>
      </c>
      <c r="AH78" s="0">
        <f>+X78*N78^2/(8*E78)</f>
        <v/>
      </c>
      <c r="AI78" s="0">
        <f>+(AH78/E78)^0.5</f>
        <v/>
      </c>
      <c r="AJ78" s="0">
        <f>+AG78*AI78/I78*E78</f>
        <v/>
      </c>
      <c r="AK78" s="0">
        <f t="array" ref="AK78">+S78*テーブル2[[#This Row],[F_form]]/(E78*CpFromTP((テーブル2[[#This Row],[Tin]]+テーブル2[[#This Row],[Tf]])/2,テーブル2[[#This Row],[P]])*AI78)</f>
        <v/>
      </c>
      <c r="AL78" s="0">
        <f>+K78*I78/J78</f>
        <v/>
      </c>
      <c r="AM78" s="0">
        <f>+gettyp(AC78,AJ78,AK78,AL78)</f>
        <v/>
      </c>
      <c r="AN78" s="0">
        <f>+C78-AM78</f>
        <v/>
      </c>
      <c r="AO78" s="0">
        <f>+AG78-AB78</f>
        <v/>
      </c>
      <c r="AP78" s="0" t="n">
        <v>3.953174182171606</v>
      </c>
      <c r="AQ78" s="0">
        <f>2*PI()*L78*(D78+E78)/(D78*E78*AP78^2)</f>
        <v/>
      </c>
      <c r="AR78" s="0">
        <f>+AO78+AB78/2</f>
        <v/>
      </c>
      <c r="AS78" s="0">
        <f>+AR78*AI78/I78*E78</f>
        <v/>
      </c>
      <c r="AT78" s="0">
        <f>+getublp(AS78)</f>
        <v/>
      </c>
      <c r="AU78" s="0">
        <f>+AT78*AI78</f>
        <v/>
      </c>
      <c r="AV78" s="0">
        <f>+AP78-AU78</f>
        <v/>
      </c>
      <c r="AW78" s="0">
        <f>2/3*AB78/(L78/(9.8*(E78-D78)))^0.5</f>
        <v/>
      </c>
      <c r="AX78" s="0">
        <f>+(2*AQ78*9.8*(E78-D78)/(E78*AW78))^0.5</f>
        <v/>
      </c>
      <c r="AY78" s="0">
        <f>+AV78-AX78</f>
        <v/>
      </c>
      <c r="AZ78" s="0">
        <f>+F78-G78</f>
        <v/>
      </c>
      <c r="BA78" s="0">
        <f>+AQ78/AP78</f>
        <v/>
      </c>
      <c r="BB78" s="15">
        <f>+E78*AO78*AZ78/BA78</f>
        <v/>
      </c>
      <c r="BC78" s="20">
        <f>BB78-S78</f>
        <v/>
      </c>
      <c r="BD78" s="19">
        <f>+(BB78-S78)/S78*100</f>
        <v/>
      </c>
      <c r="BE78" s="15" t="n">
        <v>3344300</v>
      </c>
      <c r="BF78" s="16">
        <f>テーブル2[[#This Row],[q_P]]/テーブル2[[#This Row],[q_M]]</f>
        <v/>
      </c>
      <c r="BG78" s="0" t="n">
        <v>1</v>
      </c>
      <c r="BH78" s="0" t="n">
        <v>0.089</v>
      </c>
      <c r="BI78" s="0" t="n">
        <v>0.046</v>
      </c>
      <c r="BJ78" s="0" t="n">
        <v>5625</v>
      </c>
      <c r="BK78" s="22" t="n">
        <v>1</v>
      </c>
      <c r="BL78" s="0">
        <f>テーブル2[[#This Row],[Ts]]-テーブル2[[#This Row],[Tin]]</f>
        <v/>
      </c>
      <c r="BM78" s="0">
        <f>テーブル2[[#This Row],[q_P]]*0.000001</f>
        <v/>
      </c>
      <c r="BN78" s="0">
        <f>テーブル2[[#This Row],[Tsub]]</f>
        <v/>
      </c>
      <c r="BO78" s="0">
        <f>テーブル2[[#This Row],[Fcorr]]</f>
        <v/>
      </c>
      <c r="BP78" s="0">
        <f>(テーブル2[[#This Row],[Tsub]]-40)^2</f>
        <v/>
      </c>
      <c r="BQ78" t="n">
        <v>1</v>
      </c>
      <c r="BR78" s="0" t="n">
        <v>0.3175</v>
      </c>
    </row>
    <row r="79">
      <c r="A79" s="9" t="inlineStr">
        <is>
          <t>215.01_10</t>
        </is>
      </c>
      <c r="B79" s="0" t="n">
        <v>13789520</v>
      </c>
      <c r="C79" s="22">
        <f t="array" ref="C79">TsatFromP(テーブル2[[#This Row],[P]])</f>
        <v/>
      </c>
      <c r="D79" s="0">
        <f t="array" ref="D79">RhoGFromP(テーブル2[[#This Row],[P]])</f>
        <v/>
      </c>
      <c r="E79" s="0">
        <f t="array" ref="E79">RhoFFromP(テーブル2[[#This Row],[P]])</f>
        <v/>
      </c>
      <c r="F79" s="0">
        <f t="array" ref="F79">HgFromP(テーブル2[[#This Row],[P]])</f>
        <v/>
      </c>
      <c r="G79" s="0">
        <f t="array" ref="G79">HfFromP(テーブル2[[#This Row],[P]])</f>
        <v/>
      </c>
      <c r="H79" s="0">
        <f t="array" ref="H79">MuGFromP(テーブル2[[#This Row],[P]])</f>
        <v/>
      </c>
      <c r="I79" s="0">
        <f t="array" ref="I79">MuFFromP(テーブル2[[#This Row],[P]])</f>
        <v/>
      </c>
      <c r="J79" s="0">
        <f t="array" ref="J79">KfFromP(テーブル2[[#This Row],[P]])</f>
        <v/>
      </c>
      <c r="K79" s="0">
        <f t="array" ref="K79">CpFFromP(テーブル2[[#This Row],[P]])</f>
        <v/>
      </c>
      <c r="L79" s="0">
        <f t="array" ref="L79">SigmaFromP(テーブル2[[#This Row],[P]])</f>
        <v/>
      </c>
      <c r="M79" s="0" t="n">
        <v>78</v>
      </c>
      <c r="N79" s="0" t="n">
        <v>3973.08</v>
      </c>
      <c r="O79" s="8" t="n">
        <v>1.77190538365604e-05</v>
      </c>
      <c r="P79" s="8" t="n">
        <v>0.0149219367860208</v>
      </c>
      <c r="Q79" s="8" t="n">
        <v>0.0047498</v>
      </c>
      <c r="R79" s="0" t="n">
        <v>0.3175</v>
      </c>
      <c r="S79" s="15" t="n">
        <v>1197501.66015625</v>
      </c>
      <c r="T79" s="0" t="n">
        <v>588.175560026465</v>
      </c>
      <c r="U79" s="37">
        <f>+T79+BG79*S79*テーブル2[[#This Row],[Pw]]*R79/(N79*O79*K79)</f>
        <v/>
      </c>
      <c r="V79" s="0" t="n">
        <v>0.03</v>
      </c>
      <c r="W79" s="8">
        <f>+N79*Q79/I79</f>
        <v/>
      </c>
      <c r="X79" s="0" t="n">
        <v>0.02314682056029143</v>
      </c>
      <c r="Y79" s="0">
        <f>IF(X79&gt;0,1/X79^0.5,1)</f>
        <v/>
      </c>
      <c r="Z79" s="0">
        <f>IF(X79&gt;0,1.14-2*LOG((0.72*L79*E79)/(X79*Q79*N79^2)+9.35/(W79*X79^0.5)),0)</f>
        <v/>
      </c>
      <c r="AA79" s="0">
        <f>+Y79-Z79</f>
        <v/>
      </c>
      <c r="AB79" s="0">
        <f>32/X79*L79*V79*E79/N79^2</f>
        <v/>
      </c>
      <c r="AC79" s="0" t="n">
        <v>622.4211452024937</v>
      </c>
      <c r="AD79" s="0">
        <f>+Q79/2*AI79/I79*E79</f>
        <v/>
      </c>
      <c r="AE79" s="0">
        <f>+gettm2(AD79,AC79,AK79,AL79,テーブル2[[#This Row],[Fcorr]])</f>
        <v/>
      </c>
      <c r="AF79" s="38">
        <f>+AE79-U79</f>
        <v/>
      </c>
      <c r="AG79" s="0" t="n">
        <v>1.069291714152341e-05</v>
      </c>
      <c r="AH79" s="0">
        <f>+X79*N79^2/(8*E79)</f>
        <v/>
      </c>
      <c r="AI79" s="0">
        <f>+(AH79/E79)^0.5</f>
        <v/>
      </c>
      <c r="AJ79" s="0">
        <f>+AG79*AI79/I79*E79</f>
        <v/>
      </c>
      <c r="AK79" s="0">
        <f t="array" ref="AK79">+S79*テーブル2[[#This Row],[F_form]]/(E79*CpFromTP((テーブル2[[#This Row],[Tin]]+テーブル2[[#This Row],[Tf]])/2,テーブル2[[#This Row],[P]])*AI79)</f>
        <v/>
      </c>
      <c r="AL79" s="0">
        <f>+K79*I79/J79</f>
        <v/>
      </c>
      <c r="AM79" s="0">
        <f>+gettyp(AC79,AJ79,AK79,AL79)</f>
        <v/>
      </c>
      <c r="AN79" s="0">
        <f>+C79-AM79</f>
        <v/>
      </c>
      <c r="AO79" s="0">
        <f>+AG79-AB79</f>
        <v/>
      </c>
      <c r="AP79" s="0" t="n">
        <v>3.98243662957743</v>
      </c>
      <c r="AQ79" s="0">
        <f>2*PI()*L79*(D79+E79)/(D79*E79*AP79^2)</f>
        <v/>
      </c>
      <c r="AR79" s="0">
        <f>+AO79+AB79/2</f>
        <v/>
      </c>
      <c r="AS79" s="0">
        <f>+AR79*AI79/I79*E79</f>
        <v/>
      </c>
      <c r="AT79" s="0">
        <f>+getublp(AS79)</f>
        <v/>
      </c>
      <c r="AU79" s="0">
        <f>+AT79*AI79</f>
        <v/>
      </c>
      <c r="AV79" s="0">
        <f>+AP79-AU79</f>
        <v/>
      </c>
      <c r="AW79" s="0">
        <f>2/3*AB79/(L79/(9.8*(E79-D79)))^0.5</f>
        <v/>
      </c>
      <c r="AX79" s="0">
        <f>+(2*AQ79*9.8*(E79-D79)/(E79*AW79))^0.5</f>
        <v/>
      </c>
      <c r="AY79" s="0">
        <f>+AV79-AX79</f>
        <v/>
      </c>
      <c r="AZ79" s="0">
        <f>+F79-G79</f>
        <v/>
      </c>
      <c r="BA79" s="0">
        <f>+AQ79/AP79</f>
        <v/>
      </c>
      <c r="BB79" s="15">
        <f>+E79*AO79*AZ79/BA79</f>
        <v/>
      </c>
      <c r="BC79" s="20">
        <f>BB79-S79</f>
        <v/>
      </c>
      <c r="BD79" s="19">
        <f>+(BB79-S79)/S79*100</f>
        <v/>
      </c>
      <c r="BE79" s="15" t="n">
        <v>3129760</v>
      </c>
      <c r="BF79" s="16">
        <f>テーブル2[[#This Row],[q_P]]/テーブル2[[#This Row],[q_M]]</f>
        <v/>
      </c>
      <c r="BG79" s="0" t="n">
        <v>1</v>
      </c>
      <c r="BH79" s="0" t="n">
        <v>0.07199999999999999</v>
      </c>
      <c r="BI79" s="0" t="n">
        <v>0.046</v>
      </c>
      <c r="BJ79" s="0" t="n">
        <v>5625</v>
      </c>
      <c r="BK79" s="22" t="n">
        <v>1</v>
      </c>
      <c r="BL79" s="0">
        <f>テーブル2[[#This Row],[Ts]]-テーブル2[[#This Row],[Tin]]</f>
        <v/>
      </c>
      <c r="BM79" s="0">
        <f>テーブル2[[#This Row],[q_P]]*0.000001</f>
        <v/>
      </c>
      <c r="BN79" s="0">
        <f>テーブル2[[#This Row],[Tsub]]</f>
        <v/>
      </c>
      <c r="BO79" s="0">
        <f>テーブル2[[#This Row],[Fcorr]]</f>
        <v/>
      </c>
      <c r="BP79" s="0">
        <f>(テーブル2[[#This Row],[Tsub]]-40)^2</f>
        <v/>
      </c>
      <c r="BQ79" t="n">
        <v>1</v>
      </c>
      <c r="BR79" s="0" t="n">
        <v>0.3175</v>
      </c>
    </row>
    <row r="80">
      <c r="A80" s="9" t="inlineStr">
        <is>
          <t>491.01_10</t>
        </is>
      </c>
      <c r="B80" s="0" t="n">
        <v>13789520</v>
      </c>
      <c r="C80" s="22">
        <f t="array" ref="C80">TsatFromP(テーブル2[[#This Row],[P]])</f>
        <v/>
      </c>
      <c r="D80" s="0">
        <f t="array" ref="D80">RhoGFromP(テーブル2[[#This Row],[P]])</f>
        <v/>
      </c>
      <c r="E80" s="0">
        <f t="array" ref="E80">RhoFFromP(テーブル2[[#This Row],[P]])</f>
        <v/>
      </c>
      <c r="F80" s="0">
        <f t="array" ref="F80">HgFromP(テーブル2[[#This Row],[P]])</f>
        <v/>
      </c>
      <c r="G80" s="0">
        <f t="array" ref="G80">HfFromP(テーブル2[[#This Row],[P]])</f>
        <v/>
      </c>
      <c r="H80" s="0">
        <f t="array" ref="H80">MuGFromP(テーブル2[[#This Row],[P]])</f>
        <v/>
      </c>
      <c r="I80" s="0">
        <f t="array" ref="I80">MuFFromP(テーブル2[[#This Row],[P]])</f>
        <v/>
      </c>
      <c r="J80" s="0">
        <f t="array" ref="J80">KfFromP(テーブル2[[#This Row],[P]])</f>
        <v/>
      </c>
      <c r="K80" s="0">
        <f t="array" ref="K80">CpFFromP(テーブル2[[#This Row],[P]])</f>
        <v/>
      </c>
      <c r="L80" s="0">
        <f t="array" ref="L80">SigmaFromP(テーブル2[[#This Row],[P]])</f>
        <v/>
      </c>
      <c r="M80" s="23" t="n">
        <v>79</v>
      </c>
      <c r="N80" s="0" t="n">
        <v>2766.24</v>
      </c>
      <c r="O80" s="8" t="n">
        <v>4.74460615127733e-05</v>
      </c>
      <c r="P80" s="8" t="n">
        <v>0.02441771474076131</v>
      </c>
      <c r="Q80" s="8" t="n">
        <v>0.0077724</v>
      </c>
      <c r="R80" s="0" t="n">
        <v>0.59055</v>
      </c>
      <c r="S80" s="15" t="n">
        <v>928553.0914062499</v>
      </c>
      <c r="T80" s="0" t="n">
        <v>584.781818283598</v>
      </c>
      <c r="U80" s="37">
        <f>+T80+BG80*S80*テーブル2[[#This Row],[Pw]]*R80/(N80*O80*K80)</f>
        <v/>
      </c>
      <c r="V80" s="0" t="n">
        <v>0.03</v>
      </c>
      <c r="W80" s="8">
        <f>+N80*Q80/I80</f>
        <v/>
      </c>
      <c r="X80" s="0" t="n">
        <v>0.02412081235716552</v>
      </c>
      <c r="Y80" s="0">
        <f>IF(X80&gt;0,1/X80^0.5,1)</f>
        <v/>
      </c>
      <c r="Z80" s="0">
        <f>IF(X80&gt;0,1.14-2*LOG((0.72*L80*E80)/(X80*Q80*N80^2)+9.35/(W80*X80^0.5)),0)</f>
        <v/>
      </c>
      <c r="AA80" s="0">
        <f>+Y80-Z80</f>
        <v/>
      </c>
      <c r="AB80" s="0">
        <f>32/X80*L80*V80*E80/N80^2</f>
        <v/>
      </c>
      <c r="AC80" s="0" t="n">
        <v>624.7714079928504</v>
      </c>
      <c r="AD80" s="0">
        <f>+Q80/2*AI80/I80*E80</f>
        <v/>
      </c>
      <c r="AE80" s="0">
        <f>+gettm2(AD80,AC80,AK80,AL80,テーブル2[[#This Row],[Fcorr]])</f>
        <v/>
      </c>
      <c r="AF80" s="38">
        <f>+AE80-U80</f>
        <v/>
      </c>
      <c r="AG80" s="0" t="n">
        <v>2.115806827308891e-05</v>
      </c>
      <c r="AH80" s="0">
        <f>+X80*N80^2/(8*E80)</f>
        <v/>
      </c>
      <c r="AI80" s="0">
        <f>+(AH80/E80)^0.5</f>
        <v/>
      </c>
      <c r="AJ80" s="0">
        <f>+AG80*AI80/I80*E80</f>
        <v/>
      </c>
      <c r="AK80" s="0">
        <f t="array" ref="AK80">+S80*テーブル2[[#This Row],[F_form]]/(E80*CpFromTP((テーブル2[[#This Row],[Tin]]+テーブル2[[#This Row],[Tf]])/2,テーブル2[[#This Row],[P]])*AI80)</f>
        <v/>
      </c>
      <c r="AL80" s="0">
        <f>+K80*I80/J80</f>
        <v/>
      </c>
      <c r="AM80" s="0">
        <f>+gettyp(AC80,AJ80,AK80,AL80)</f>
        <v/>
      </c>
      <c r="AN80" s="0">
        <f>+C80-AM80</f>
        <v/>
      </c>
      <c r="AO80" s="0">
        <f>+AG80-AB80</f>
        <v/>
      </c>
      <c r="AP80" s="0" t="n">
        <v>3.289483259842631</v>
      </c>
      <c r="AQ80" s="0">
        <f>2*PI()*L80*(D80+E80)/(D80*E80*AP80^2)</f>
        <v/>
      </c>
      <c r="AR80" s="0">
        <f>+AO80+AB80/2</f>
        <v/>
      </c>
      <c r="AS80" s="0">
        <f>+AR80*AI80/I80*E80</f>
        <v/>
      </c>
      <c r="AT80" s="0">
        <f>+getublp(AS80)</f>
        <v/>
      </c>
      <c r="AU80" s="0">
        <f>+AT80*AI80</f>
        <v/>
      </c>
      <c r="AV80" s="0">
        <f>+AP80-AU80</f>
        <v/>
      </c>
      <c r="AW80" s="0">
        <f>2/3*AB80/(L80/(9.8*(E80-D80)))^0.5</f>
        <v/>
      </c>
      <c r="AX80" s="0">
        <f>+(2*AQ80*9.8*(E80-D80)/(E80*AW80))^0.5</f>
        <v/>
      </c>
      <c r="AY80" s="0">
        <f>+AV80-AX80</f>
        <v/>
      </c>
      <c r="AZ80" s="0">
        <f>+F80-G80</f>
        <v/>
      </c>
      <c r="BA80" s="0">
        <f>+AQ80/AP80</f>
        <v/>
      </c>
      <c r="BB80" s="15">
        <f>+E80*AO80*AZ80/BA80</f>
        <v/>
      </c>
      <c r="BC80" s="20">
        <f>BB80-S80</f>
        <v/>
      </c>
      <c r="BD80" s="19">
        <f>+(BB80-S80)/S80*100</f>
        <v/>
      </c>
      <c r="BE80" s="15" t="n">
        <v>2236895</v>
      </c>
      <c r="BF80" s="16">
        <f>テーブル2[[#This Row],[q_P]]/テーブル2[[#This Row],[q_M]]</f>
        <v/>
      </c>
      <c r="BG80" s="0" t="n">
        <v>1</v>
      </c>
      <c r="BH80" s="0" t="n">
        <v>0.083</v>
      </c>
      <c r="BI80" s="0" t="n">
        <v>0.046</v>
      </c>
      <c r="BJ80" s="0" t="n">
        <v>5625</v>
      </c>
      <c r="BK80" s="22" t="n">
        <v>1</v>
      </c>
      <c r="BL80" s="0">
        <f>テーブル2[[#This Row],[Ts]]-テーブル2[[#This Row],[Tin]]</f>
        <v/>
      </c>
      <c r="BM80" s="0">
        <f>テーブル2[[#This Row],[q_P]]*0.000001</f>
        <v/>
      </c>
      <c r="BN80" s="0">
        <f>テーブル2[[#This Row],[Tsub]]</f>
        <v/>
      </c>
      <c r="BO80" s="0">
        <f>テーブル2[[#This Row],[Fcorr]]</f>
        <v/>
      </c>
      <c r="BP80" s="0">
        <f>(テーブル2[[#This Row],[Tsub]]-40)^2</f>
        <v/>
      </c>
      <c r="BQ80" t="n">
        <v>1</v>
      </c>
      <c r="BR80" s="0" t="n">
        <v>0.59055</v>
      </c>
    </row>
    <row r="81">
      <c r="A81" s="9" t="inlineStr">
        <is>
          <t>492.01_10</t>
        </is>
      </c>
      <c r="B81" s="0" t="n">
        <v>13789520</v>
      </c>
      <c r="C81" s="22">
        <f t="array" ref="C81">TsatFromP(テーブル2[[#This Row],[P]])</f>
        <v/>
      </c>
      <c r="D81" s="0">
        <f t="array" ref="D81">RhoGFromP(テーブル2[[#This Row],[P]])</f>
        <v/>
      </c>
      <c r="E81" s="0">
        <f t="array" ref="E81">RhoFFromP(テーブル2[[#This Row],[P]])</f>
        <v/>
      </c>
      <c r="F81" s="0">
        <f t="array" ref="F81">HgFromP(テーブル2[[#This Row],[P]])</f>
        <v/>
      </c>
      <c r="G81" s="0">
        <f t="array" ref="G81">HfFromP(テーブル2[[#This Row],[P]])</f>
        <v/>
      </c>
      <c r="H81" s="0">
        <f t="array" ref="H81">MuGFromP(テーブル2[[#This Row],[P]])</f>
        <v/>
      </c>
      <c r="I81" s="0">
        <f t="array" ref="I81">MuFFromP(テーブル2[[#This Row],[P]])</f>
        <v/>
      </c>
      <c r="J81" s="0">
        <f t="array" ref="J81">KfFromP(テーブル2[[#This Row],[P]])</f>
        <v/>
      </c>
      <c r="K81" s="0">
        <f t="array" ref="K81">CpFFromP(テーブル2[[#This Row],[P]])</f>
        <v/>
      </c>
      <c r="L81" s="0">
        <f t="array" ref="L81">SigmaFromP(テーブル2[[#This Row],[P]])</f>
        <v/>
      </c>
      <c r="M81" s="0" t="n">
        <v>80</v>
      </c>
      <c r="N81" s="0" t="n">
        <v>2766.24</v>
      </c>
      <c r="O81" s="8" t="n">
        <v>4.74460615127733e-05</v>
      </c>
      <c r="P81" s="8" t="n">
        <v>0.02441771474076131</v>
      </c>
      <c r="Q81" s="8" t="n">
        <v>0.0077724</v>
      </c>
      <c r="R81" s="0" t="n">
        <v>0.59055</v>
      </c>
      <c r="S81" s="15" t="n">
        <v>948801.9476687502</v>
      </c>
      <c r="T81" s="0" t="n">
        <v>584.228176241848</v>
      </c>
      <c r="U81" s="37">
        <f>+T81+BG81*S81*テーブル2[[#This Row],[Pw]]*R81/(N81*O81*K81)</f>
        <v/>
      </c>
      <c r="V81" s="0" t="n">
        <v>0.03</v>
      </c>
      <c r="W81" s="8">
        <f>+N81*Q81/I81</f>
        <v/>
      </c>
      <c r="X81" s="0" t="n">
        <v>0.02412081235716552</v>
      </c>
      <c r="Y81" s="0">
        <f>IF(X81&gt;0,1/X81^0.5,1)</f>
        <v/>
      </c>
      <c r="Z81" s="0">
        <f>IF(X81&gt;0,1.14-2*LOG((0.72*L81*E81)/(X81*Q81*N81^2)+9.35/(W81*X81^0.5)),0)</f>
        <v/>
      </c>
      <c r="AA81" s="0">
        <f>+Y81-Z81</f>
        <v/>
      </c>
      <c r="AB81" s="0">
        <f>32/X81*L81*V81*E81/N81^2</f>
        <v/>
      </c>
      <c r="AC81" s="0" t="n">
        <v>625.1754790565367</v>
      </c>
      <c r="AD81" s="0">
        <f>+Q81/2*AI81/I81*E81</f>
        <v/>
      </c>
      <c r="AE81" s="0">
        <f>+gettm2(AD81,AC81,AK81,AL81,テーブル2[[#This Row],[Fcorr]])</f>
        <v/>
      </c>
      <c r="AF81" s="38">
        <f>+AE81-U81</f>
        <v/>
      </c>
      <c r="AG81" s="0" t="n">
        <v>2.115870213506872e-05</v>
      </c>
      <c r="AH81" s="0">
        <f>+X81*N81^2/(8*E81)</f>
        <v/>
      </c>
      <c r="AI81" s="0">
        <f>+(AH81/E81)^0.5</f>
        <v/>
      </c>
      <c r="AJ81" s="0">
        <f>+AG81*AI81/I81*E81</f>
        <v/>
      </c>
      <c r="AK81" s="0">
        <f t="array" ref="AK81">+S81*テーブル2[[#This Row],[F_form]]/(E81*CpFromTP((テーブル2[[#This Row],[Tin]]+テーブル2[[#This Row],[Tf]])/2,テーブル2[[#This Row],[P]])*AI81)</f>
        <v/>
      </c>
      <c r="AL81" s="0">
        <f>+K81*I81/J81</f>
        <v/>
      </c>
      <c r="AM81" s="0">
        <f>+gettyp(AC81,AJ81,AK81,AL81)</f>
        <v/>
      </c>
      <c r="AN81" s="0">
        <f>+C81-AM81</f>
        <v/>
      </c>
      <c r="AO81" s="0">
        <f>+AG81-AB81</f>
        <v/>
      </c>
      <c r="AP81" s="0" t="n">
        <v>3.289550697051872</v>
      </c>
      <c r="AQ81" s="0">
        <f>2*PI()*L81*(D81+E81)/(D81*E81*AP81^2)</f>
        <v/>
      </c>
      <c r="AR81" s="0">
        <f>+AO81+AB81/2</f>
        <v/>
      </c>
      <c r="AS81" s="0">
        <f>+AR81*AI81/I81*E81</f>
        <v/>
      </c>
      <c r="AT81" s="0">
        <f>+getublp(AS81)</f>
        <v/>
      </c>
      <c r="AU81" s="0">
        <f>+AT81*AI81</f>
        <v/>
      </c>
      <c r="AV81" s="0">
        <f>+AP81-AU81</f>
        <v/>
      </c>
      <c r="AW81" s="0">
        <f>2/3*AB81/(L81/(9.8*(E81-D81)))^0.5</f>
        <v/>
      </c>
      <c r="AX81" s="0">
        <f>+(2*AQ81*9.8*(E81-D81)/(E81*AW81))^0.5</f>
        <v/>
      </c>
      <c r="AY81" s="0">
        <f>+AV81-AX81</f>
        <v/>
      </c>
      <c r="AZ81" s="0">
        <f>+F81-G81</f>
        <v/>
      </c>
      <c r="BA81" s="0">
        <f>+AQ81/AP81</f>
        <v/>
      </c>
      <c r="BB81" s="15">
        <f>+E81*AO81*AZ81/BA81</f>
        <v/>
      </c>
      <c r="BC81" s="20">
        <f>BB81-S81</f>
        <v/>
      </c>
      <c r="BD81" s="19">
        <f>+(BB81-S81)/S81*100</f>
        <v/>
      </c>
      <c r="BE81" s="15" t="n">
        <v>2255825</v>
      </c>
      <c r="BF81" s="16">
        <f>テーブル2[[#This Row],[q_P]]/テーブル2[[#This Row],[q_M]]</f>
        <v/>
      </c>
      <c r="BG81" s="0" t="n">
        <v>1</v>
      </c>
      <c r="BH81" s="0" t="n">
        <v>0.082</v>
      </c>
      <c r="BI81" s="0" t="n">
        <v>0.046</v>
      </c>
      <c r="BJ81" s="0" t="n">
        <v>5625</v>
      </c>
      <c r="BK81" s="22" t="n">
        <v>1</v>
      </c>
      <c r="BL81" s="0">
        <f>テーブル2[[#This Row],[Ts]]-テーブル2[[#This Row],[Tin]]</f>
        <v/>
      </c>
      <c r="BM81" s="0">
        <f>テーブル2[[#This Row],[q_P]]*0.000001</f>
        <v/>
      </c>
      <c r="BN81" s="0">
        <f>テーブル2[[#This Row],[Tsub]]</f>
        <v/>
      </c>
      <c r="BO81" s="0">
        <f>テーブル2[[#This Row],[Fcorr]]</f>
        <v/>
      </c>
      <c r="BP81" s="0">
        <f>(テーブル2[[#This Row],[Tsub]]-40)^2</f>
        <v/>
      </c>
      <c r="BQ81" t="n">
        <v>1</v>
      </c>
      <c r="BR81" s="0" t="n">
        <v>0.59055</v>
      </c>
    </row>
    <row r="82">
      <c r="A82" s="9" t="inlineStr">
        <is>
          <t>493.01_10</t>
        </is>
      </c>
      <c r="B82" s="0" t="n">
        <v>13789520</v>
      </c>
      <c r="C82" s="22">
        <f t="array" ref="C82">TsatFromP(テーブル2[[#This Row],[P]])</f>
        <v/>
      </c>
      <c r="D82" s="0">
        <f t="array" ref="D82">RhoGFromP(テーブル2[[#This Row],[P]])</f>
        <v/>
      </c>
      <c r="E82" s="0">
        <f t="array" ref="E82">RhoFFromP(テーブル2[[#This Row],[P]])</f>
        <v/>
      </c>
      <c r="F82" s="0">
        <f t="array" ref="F82">HgFromP(テーブル2[[#This Row],[P]])</f>
        <v/>
      </c>
      <c r="G82" s="0">
        <f t="array" ref="G82">HfFromP(テーブル2[[#This Row],[P]])</f>
        <v/>
      </c>
      <c r="H82" s="0">
        <f t="array" ref="H82">MuGFromP(テーブル2[[#This Row],[P]])</f>
        <v/>
      </c>
      <c r="I82" s="0">
        <f t="array" ref="I82">MuFFromP(テーブル2[[#This Row],[P]])</f>
        <v/>
      </c>
      <c r="J82" s="0">
        <f t="array" ref="J82">KfFromP(テーブル2[[#This Row],[P]])</f>
        <v/>
      </c>
      <c r="K82" s="0">
        <f t="array" ref="K82">CpFFromP(テーブル2[[#This Row],[P]])</f>
        <v/>
      </c>
      <c r="L82" s="0">
        <f t="array" ref="L82">SigmaFromP(テーブル2[[#This Row],[P]])</f>
        <v/>
      </c>
      <c r="M82" s="23" t="n">
        <v>81</v>
      </c>
      <c r="N82" s="0" t="n">
        <v>2888.28</v>
      </c>
      <c r="O82" s="8" t="n">
        <v>4.74460615127733e-05</v>
      </c>
      <c r="P82" s="8" t="n">
        <v>0.02441771474076131</v>
      </c>
      <c r="Q82" s="8" t="n">
        <v>0.0077724</v>
      </c>
      <c r="R82" s="0" t="n">
        <v>0.59055</v>
      </c>
      <c r="S82" s="15" t="n">
        <v>1330065.30078125</v>
      </c>
      <c r="T82" s="0" t="n">
        <v>574.772705884227</v>
      </c>
      <c r="U82" s="37">
        <f>+T82+BG82*S82*テーブル2[[#This Row],[Pw]]*R82/(N82*O82*K82)</f>
        <v/>
      </c>
      <c r="V82" s="0" t="n">
        <v>0.03</v>
      </c>
      <c r="W82" s="8">
        <f>+N82*Q82/I82</f>
        <v/>
      </c>
      <c r="X82" s="0" t="n">
        <v>0.02369963048187831</v>
      </c>
      <c r="Y82" s="0">
        <f>IF(X82&gt;0,1/X82^0.5,1)</f>
        <v/>
      </c>
      <c r="Z82" s="0">
        <f>IF(X82&gt;0,1.14-2*LOG((0.72*L82*E82)/(X82*Q82*N82^2)+9.35/(W82*X82^0.5)),0)</f>
        <v/>
      </c>
      <c r="AA82" s="0">
        <f>+Y82-Z82</f>
        <v/>
      </c>
      <c r="AB82" s="0">
        <f>32/X82*L82*V82*E82/N82^2</f>
        <v/>
      </c>
      <c r="AC82" s="0" t="n">
        <v>632.021264242578</v>
      </c>
      <c r="AD82" s="0">
        <f>+Q82/2*AI82/I82*E82</f>
        <v/>
      </c>
      <c r="AE82" s="0">
        <f>+gettm2(AD82,AC82,AK82,AL82,テーブル2[[#This Row],[Fcorr]])</f>
        <v/>
      </c>
      <c r="AF82" s="38">
        <f>+AE82-U82</f>
        <v/>
      </c>
      <c r="AG82" s="0" t="n">
        <v>1.976147831241729e-05</v>
      </c>
      <c r="AH82" s="0">
        <f>+X82*N82^2/(8*E82)</f>
        <v/>
      </c>
      <c r="AI82" s="0">
        <f>+(AH82/E82)^0.5</f>
        <v/>
      </c>
      <c r="AJ82" s="0">
        <f>+AG82*AI82/I82*E82</f>
        <v/>
      </c>
      <c r="AK82" s="0">
        <f t="array" ref="AK82">+S82*テーブル2[[#This Row],[F_form]]/(E82*CpFromTP((テーブル2[[#This Row],[Tin]]+テーブル2[[#This Row],[Tf]])/2,テーブル2[[#This Row],[P]])*AI82)</f>
        <v/>
      </c>
      <c r="AL82" s="0">
        <f>+K82*I82/J82</f>
        <v/>
      </c>
      <c r="AM82" s="0">
        <f>+gettyp(AC82,AJ82,AK82,AL82)</f>
        <v/>
      </c>
      <c r="AN82" s="0">
        <f>+C82-AM82</f>
        <v/>
      </c>
      <c r="AO82" s="0">
        <f>+AG82-AB82</f>
        <v/>
      </c>
      <c r="AP82" s="0" t="n">
        <v>3.35698053017744</v>
      </c>
      <c r="AQ82" s="0">
        <f>2*PI()*L82*(D82+E82)/(D82*E82*AP82^2)</f>
        <v/>
      </c>
      <c r="AR82" s="0">
        <f>+AO82+AB82/2</f>
        <v/>
      </c>
      <c r="AS82" s="0">
        <f>+AR82*AI82/I82*E82</f>
        <v/>
      </c>
      <c r="AT82" s="0">
        <f>+getublp(AS82)</f>
        <v/>
      </c>
      <c r="AU82" s="0">
        <f>+AT82*AI82</f>
        <v/>
      </c>
      <c r="AV82" s="0">
        <f>+AP82-AU82</f>
        <v/>
      </c>
      <c r="AW82" s="0">
        <f>2/3*AB82/(L82/(9.8*(E82-D82)))^0.5</f>
        <v/>
      </c>
      <c r="AX82" s="0">
        <f>+(2*AQ82*9.8*(E82-D82)/(E82*AW82))^0.5</f>
        <v/>
      </c>
      <c r="AY82" s="0">
        <f>+AV82-AX82</f>
        <v/>
      </c>
      <c r="AZ82" s="0">
        <f>+F82-G82</f>
        <v/>
      </c>
      <c r="BA82" s="0">
        <f>+AQ82/AP82</f>
        <v/>
      </c>
      <c r="BB82" s="15">
        <f>+E82*AO82*AZ82/BA82</f>
        <v/>
      </c>
      <c r="BC82" s="20">
        <f>BB82-S82</f>
        <v/>
      </c>
      <c r="BD82" s="19">
        <f>+(BB82-S82)/S82*100</f>
        <v/>
      </c>
      <c r="BE82" s="15" t="n">
        <v>2527155</v>
      </c>
      <c r="BF82" s="16">
        <f>テーブル2[[#This Row],[q_P]]/テーブル2[[#This Row],[q_M]]</f>
        <v/>
      </c>
      <c r="BG82" s="0" t="n">
        <v>1</v>
      </c>
      <c r="BH82" s="0" t="n">
        <v>0.049</v>
      </c>
      <c r="BI82" s="0" t="n">
        <v>0.046</v>
      </c>
      <c r="BJ82" s="0" t="n">
        <v>5625</v>
      </c>
      <c r="BK82" s="22" t="n">
        <v>1</v>
      </c>
      <c r="BL82" s="0">
        <f>テーブル2[[#This Row],[Ts]]-テーブル2[[#This Row],[Tin]]</f>
        <v/>
      </c>
      <c r="BM82" s="0">
        <f>テーブル2[[#This Row],[q_P]]*0.000001</f>
        <v/>
      </c>
      <c r="BN82" s="0">
        <f>テーブル2[[#This Row],[Tsub]]</f>
        <v/>
      </c>
      <c r="BO82" s="0">
        <f>テーブル2[[#This Row],[Fcorr]]</f>
        <v/>
      </c>
      <c r="BP82" s="0">
        <f>(テーブル2[[#This Row],[Tsub]]-40)^2</f>
        <v/>
      </c>
      <c r="BQ82" t="n">
        <v>1</v>
      </c>
      <c r="BR82" s="0" t="n">
        <v>0.59055</v>
      </c>
    </row>
    <row r="83">
      <c r="A83" s="9" t="inlineStr">
        <is>
          <t>494.01_10</t>
        </is>
      </c>
      <c r="B83" s="0" t="n">
        <v>13789520</v>
      </c>
      <c r="C83" s="22">
        <f t="array" ref="C83">TsatFromP(テーブル2[[#This Row],[P]])</f>
        <v/>
      </c>
      <c r="D83" s="0">
        <f t="array" ref="D83">RhoGFromP(テーブル2[[#This Row],[P]])</f>
        <v/>
      </c>
      <c r="E83" s="0">
        <f t="array" ref="E83">RhoFFromP(テーブル2[[#This Row],[P]])</f>
        <v/>
      </c>
      <c r="F83" s="0">
        <f t="array" ref="F83">HgFromP(テーブル2[[#This Row],[P]])</f>
        <v/>
      </c>
      <c r="G83" s="0">
        <f t="array" ref="G83">HfFromP(テーブル2[[#This Row],[P]])</f>
        <v/>
      </c>
      <c r="H83" s="0">
        <f t="array" ref="H83">MuGFromP(テーブル2[[#This Row],[P]])</f>
        <v/>
      </c>
      <c r="I83" s="0">
        <f t="array" ref="I83">MuFFromP(テーブル2[[#This Row],[P]])</f>
        <v/>
      </c>
      <c r="J83" s="0">
        <f t="array" ref="J83">KfFromP(テーブル2[[#This Row],[P]])</f>
        <v/>
      </c>
      <c r="K83" s="0">
        <f t="array" ref="K83">CpFFromP(テーブル2[[#This Row],[P]])</f>
        <v/>
      </c>
      <c r="L83" s="0">
        <f t="array" ref="L83">SigmaFromP(テーブル2[[#This Row],[P]])</f>
        <v/>
      </c>
      <c r="M83" s="0" t="n">
        <v>82</v>
      </c>
      <c r="N83" s="0" t="n">
        <v>2915.4</v>
      </c>
      <c r="O83" s="8" t="n">
        <v>4.74460615127733e-05</v>
      </c>
      <c r="P83" s="8" t="n">
        <v>0.02441771474076131</v>
      </c>
      <c r="Q83" s="8" t="n">
        <v>0.0077724</v>
      </c>
      <c r="R83" s="0" t="n">
        <v>0.59055</v>
      </c>
      <c r="S83" s="15" t="n">
        <v>923147.01953125</v>
      </c>
      <c r="T83" s="0" t="n">
        <v>585.882934839037</v>
      </c>
      <c r="U83" s="37">
        <f>+T83+BG83*S83*テーブル2[[#This Row],[Pw]]*R83/(N83*O83*K83)</f>
        <v/>
      </c>
      <c r="V83" s="0" t="n">
        <v>0.03</v>
      </c>
      <c r="W83" s="8">
        <f>+N83*Q83/I83</f>
        <v/>
      </c>
      <c r="X83" s="0" t="n">
        <v>0.02360987473983414</v>
      </c>
      <c r="Y83" s="0">
        <f>IF(X83&gt;0,1/X83^0.5,1)</f>
        <v/>
      </c>
      <c r="Z83" s="0">
        <f>IF(X83&gt;0,1.14-2*LOG((0.72*L83*E83)/(X83*Q83*N83^2)+9.35/(W83*X83^0.5)),0)</f>
        <v/>
      </c>
      <c r="AA83" s="0">
        <f>+Y83-Z83</f>
        <v/>
      </c>
      <c r="AB83" s="0">
        <f>32/X83*L83*V83*E83/N83^2</f>
        <v/>
      </c>
      <c r="AC83" s="0" t="n">
        <v>623.8347930670186</v>
      </c>
      <c r="AD83" s="0">
        <f>+Q83/2*AI83/I83*E83</f>
        <v/>
      </c>
      <c r="AE83" s="0">
        <f>+gettm2(AD83,AC83,AK83,AL83,テーブル2[[#This Row],[Fcorr]])</f>
        <v/>
      </c>
      <c r="AF83" s="38">
        <f>+AE83-U83</f>
        <v/>
      </c>
      <c r="AG83" s="0" t="n">
        <v>1.94609241624014e-05</v>
      </c>
      <c r="AH83" s="0">
        <f>+X83*N83^2/(8*E83)</f>
        <v/>
      </c>
      <c r="AI83" s="0">
        <f>+(AH83/E83)^0.5</f>
        <v/>
      </c>
      <c r="AJ83" s="0">
        <f>+AG83*AI83/I83*E83</f>
        <v/>
      </c>
      <c r="AK83" s="0">
        <f t="array" ref="AK83">+S83*テーブル2[[#This Row],[F_form]]/(E83*CpFromTP((テーブル2[[#This Row],[Tin]]+テーブル2[[#This Row],[Tf]])/2,テーブル2[[#This Row],[P]])*AI83)</f>
        <v/>
      </c>
      <c r="AL83" s="0">
        <f>+K83*I83/J83</f>
        <v/>
      </c>
      <c r="AM83" s="0">
        <f>+gettyp(AC83,AJ83,AK83,AL83)</f>
        <v/>
      </c>
      <c r="AN83" s="0">
        <f>+C83-AM83</f>
        <v/>
      </c>
      <c r="AO83" s="0">
        <f>+AG83-AB83</f>
        <v/>
      </c>
      <c r="AP83" s="0" t="n">
        <v>3.370492736222293</v>
      </c>
      <c r="AQ83" s="0">
        <f>2*PI()*L83*(D83+E83)/(D83*E83*AP83^2)</f>
        <v/>
      </c>
      <c r="AR83" s="0">
        <f>+AO83+AB83/2</f>
        <v/>
      </c>
      <c r="AS83" s="0">
        <f>+AR83*AI83/I83*E83</f>
        <v/>
      </c>
      <c r="AT83" s="0">
        <f>+getublp(AS83)</f>
        <v/>
      </c>
      <c r="AU83" s="0">
        <f>+AT83*AI83</f>
        <v/>
      </c>
      <c r="AV83" s="0">
        <f>+AP83-AU83</f>
        <v/>
      </c>
      <c r="AW83" s="0">
        <f>2/3*AB83/(L83/(9.8*(E83-D83)))^0.5</f>
        <v/>
      </c>
      <c r="AX83" s="0">
        <f>+(2*AQ83*9.8*(E83-D83)/(E83*AW83))^0.5</f>
        <v/>
      </c>
      <c r="AY83" s="0">
        <f>+AV83-AX83</f>
        <v/>
      </c>
      <c r="AZ83" s="0">
        <f>+F83-G83</f>
        <v/>
      </c>
      <c r="BA83" s="0">
        <f>+AQ83/AP83</f>
        <v/>
      </c>
      <c r="BB83" s="15">
        <f>+E83*AO83*AZ83/BA83</f>
        <v/>
      </c>
      <c r="BC83" s="20">
        <f>BB83-S83</f>
        <v/>
      </c>
      <c r="BD83" s="19">
        <f>+(BB83-S83)/S83*100</f>
        <v/>
      </c>
      <c r="BE83" s="15" t="n">
        <v>2271600</v>
      </c>
      <c r="BF83" s="16">
        <f>テーブル2[[#This Row],[q_P]]/テーブル2[[#This Row],[q_M]]</f>
        <v/>
      </c>
      <c r="BG83" s="0" t="n">
        <v>1</v>
      </c>
      <c r="BH83" s="0" t="n">
        <v>0.081</v>
      </c>
      <c r="BI83" s="0" t="n">
        <v>0.046</v>
      </c>
      <c r="BJ83" s="0" t="n">
        <v>5625</v>
      </c>
      <c r="BK83" s="22" t="n">
        <v>1</v>
      </c>
      <c r="BL83" s="0">
        <f>テーブル2[[#This Row],[Ts]]-テーブル2[[#This Row],[Tin]]</f>
        <v/>
      </c>
      <c r="BM83" s="0">
        <f>テーブル2[[#This Row],[q_P]]*0.000001</f>
        <v/>
      </c>
      <c r="BN83" s="0">
        <f>テーブル2[[#This Row],[Tsub]]</f>
        <v/>
      </c>
      <c r="BO83" s="0">
        <f>テーブル2[[#This Row],[Fcorr]]</f>
        <v/>
      </c>
      <c r="BP83" s="0">
        <f>(テーブル2[[#This Row],[Tsub]]-40)^2</f>
        <v/>
      </c>
      <c r="BQ83" t="n">
        <v>1</v>
      </c>
      <c r="BR83" s="0" t="n">
        <v>0.59055</v>
      </c>
    </row>
    <row r="84">
      <c r="A84" s="9" t="inlineStr">
        <is>
          <t>495.01_10</t>
        </is>
      </c>
      <c r="B84" s="0" t="n">
        <v>13789520</v>
      </c>
      <c r="C84" s="22">
        <f t="array" ref="C84">TsatFromP(テーブル2[[#This Row],[P]])</f>
        <v/>
      </c>
      <c r="D84" s="0">
        <f t="array" ref="D84">RhoGFromP(テーブル2[[#This Row],[P]])</f>
        <v/>
      </c>
      <c r="E84" s="0">
        <f t="array" ref="E84">RhoFFromP(テーブル2[[#This Row],[P]])</f>
        <v/>
      </c>
      <c r="F84" s="0">
        <f t="array" ref="F84">HgFromP(テーブル2[[#This Row],[P]])</f>
        <v/>
      </c>
      <c r="G84" s="0">
        <f t="array" ref="G84">HfFromP(テーブル2[[#This Row],[P]])</f>
        <v/>
      </c>
      <c r="H84" s="0">
        <f t="array" ref="H84">MuGFromP(テーブル2[[#This Row],[P]])</f>
        <v/>
      </c>
      <c r="I84" s="0">
        <f t="array" ref="I84">MuFFromP(テーブル2[[#This Row],[P]])</f>
        <v/>
      </c>
      <c r="J84" s="0">
        <f t="array" ref="J84">KfFromP(テーブル2[[#This Row],[P]])</f>
        <v/>
      </c>
      <c r="K84" s="0">
        <f t="array" ref="K84">CpFFromP(テーブル2[[#This Row],[P]])</f>
        <v/>
      </c>
      <c r="L84" s="0">
        <f t="array" ref="L84">SigmaFromP(テーブル2[[#This Row],[P]])</f>
        <v/>
      </c>
      <c r="M84" s="23" t="n">
        <v>83</v>
      </c>
      <c r="N84" s="0" t="n">
        <v>2915.4</v>
      </c>
      <c r="O84" s="8" t="n">
        <v>4.74460615127733e-05</v>
      </c>
      <c r="P84" s="8" t="n">
        <v>0.02441771474076131</v>
      </c>
      <c r="Q84" s="8" t="n">
        <v>0.0077724</v>
      </c>
      <c r="R84" s="0" t="n">
        <v>0.59055</v>
      </c>
      <c r="S84" s="15" t="n">
        <v>944118.8407937501</v>
      </c>
      <c r="T84" s="0" t="n">
        <v>585.333411391007</v>
      </c>
      <c r="U84" s="37">
        <f>+T84+BG84*S84*テーブル2[[#This Row],[Pw]]*R84/(N84*O84*K84)</f>
        <v/>
      </c>
      <c r="V84" s="0" t="n">
        <v>0.03</v>
      </c>
      <c r="W84" s="8">
        <f>+N84*Q84/I84</f>
        <v/>
      </c>
      <c r="X84" s="0" t="n">
        <v>0.02360987473983414</v>
      </c>
      <c r="Y84" s="0">
        <f>IF(X84&gt;0,1/X84^0.5,1)</f>
        <v/>
      </c>
      <c r="Z84" s="0">
        <f>IF(X84&gt;0,1.14-2*LOG((0.72*L84*E84)/(X84*Q84*N84^2)+9.35/(W84*X84^0.5)),0)</f>
        <v/>
      </c>
      <c r="AA84" s="0">
        <f>+Y84-Z84</f>
        <v/>
      </c>
      <c r="AB84" s="0">
        <f>32/X84*L84*V84*E84/N84^2</f>
        <v/>
      </c>
      <c r="AC84" s="0" t="n">
        <v>624.229571180931</v>
      </c>
      <c r="AD84" s="0">
        <f>+Q84/2*AI84/I84*E84</f>
        <v/>
      </c>
      <c r="AE84" s="0">
        <f>+gettm2(AD84,AC84,AK84,AL84,テーブル2[[#This Row],[Fcorr]])</f>
        <v/>
      </c>
      <c r="AF84" s="38">
        <f>+AE84-U84</f>
        <v/>
      </c>
      <c r="AG84" s="0" t="n">
        <v>1.946100615733362e-05</v>
      </c>
      <c r="AH84" s="0">
        <f>+X84*N84^2/(8*E84)</f>
        <v/>
      </c>
      <c r="AI84" s="0">
        <f>+(AH84/E84)^0.5</f>
        <v/>
      </c>
      <c r="AJ84" s="0">
        <f>+AG84*AI84/I84*E84</f>
        <v/>
      </c>
      <c r="AK84" s="0">
        <f t="array" ref="AK84">+S84*テーブル2[[#This Row],[F_form]]/(E84*CpFromTP((テーブル2[[#This Row],[Tin]]+テーブル2[[#This Row],[Tf]])/2,テーブル2[[#This Row],[P]])*AI84)</f>
        <v/>
      </c>
      <c r="AL84" s="0">
        <f>+K84*I84/J84</f>
        <v/>
      </c>
      <c r="AM84" s="0">
        <f>+gettyp(AC84,AJ84,AK84,AL84)</f>
        <v/>
      </c>
      <c r="AN84" s="0">
        <f>+C84-AM84</f>
        <v/>
      </c>
      <c r="AO84" s="0">
        <f>+AG84-AB84</f>
        <v/>
      </c>
      <c r="AP84" s="0" t="n">
        <v>3.370502630515968</v>
      </c>
      <c r="AQ84" s="0">
        <f>2*PI()*L84*(D84+E84)/(D84*E84*AP84^2)</f>
        <v/>
      </c>
      <c r="AR84" s="0">
        <f>+AO84+AB84/2</f>
        <v/>
      </c>
      <c r="AS84" s="0">
        <f>+AR84*AI84/I84*E84</f>
        <v/>
      </c>
      <c r="AT84" s="0">
        <f>+getublp(AS84)</f>
        <v/>
      </c>
      <c r="AU84" s="0">
        <f>+AT84*AI84</f>
        <v/>
      </c>
      <c r="AV84" s="0">
        <f>+AP84-AU84</f>
        <v/>
      </c>
      <c r="AW84" s="0">
        <f>2/3*AB84/(L84/(9.8*(E84-D84)))^0.5</f>
        <v/>
      </c>
      <c r="AX84" s="0">
        <f>+(2*AQ84*9.8*(E84-D84)/(E84*AW84))^0.5</f>
        <v/>
      </c>
      <c r="AY84" s="0">
        <f>+AV84-AX84</f>
        <v/>
      </c>
      <c r="AZ84" s="0">
        <f>+F84-G84</f>
        <v/>
      </c>
      <c r="BA84" s="0">
        <f>+AQ84/AP84</f>
        <v/>
      </c>
      <c r="BB84" s="15">
        <f>+E84*AO84*AZ84/BA84</f>
        <v/>
      </c>
      <c r="BC84" s="20">
        <f>BB84-S84</f>
        <v/>
      </c>
      <c r="BD84" s="19">
        <f>+(BB84-S84)/S84*100</f>
        <v/>
      </c>
      <c r="BE84" s="15" t="n">
        <v>2258980</v>
      </c>
      <c r="BF84" s="16">
        <f>テーブル2[[#This Row],[q_P]]/テーブル2[[#This Row],[q_M]]</f>
        <v/>
      </c>
      <c r="BG84" s="0" t="n">
        <v>1</v>
      </c>
      <c r="BH84" s="0" t="n">
        <v>0.077</v>
      </c>
      <c r="BI84" s="0" t="n">
        <v>0.046</v>
      </c>
      <c r="BJ84" s="0" t="n">
        <v>5625</v>
      </c>
      <c r="BK84" s="22" t="n">
        <v>1</v>
      </c>
      <c r="BL84" s="0">
        <f>テーブル2[[#This Row],[Ts]]-テーブル2[[#This Row],[Tin]]</f>
        <v/>
      </c>
      <c r="BM84" s="0">
        <f>テーブル2[[#This Row],[q_P]]*0.000001</f>
        <v/>
      </c>
      <c r="BN84" s="0">
        <f>テーブル2[[#This Row],[Tsub]]</f>
        <v/>
      </c>
      <c r="BO84" s="0">
        <f>テーブル2[[#This Row],[Fcorr]]</f>
        <v/>
      </c>
      <c r="BP84" s="0">
        <f>(テーブル2[[#This Row],[Tsub]]-40)^2</f>
        <v/>
      </c>
      <c r="BQ84" t="n">
        <v>1</v>
      </c>
      <c r="BR84" s="0" t="n">
        <v>0.59055</v>
      </c>
    </row>
    <row r="85">
      <c r="A85" s="9" t="inlineStr">
        <is>
          <t>496.01_10</t>
        </is>
      </c>
      <c r="B85" s="0" t="n">
        <v>13789520</v>
      </c>
      <c r="C85" s="22">
        <f t="array" ref="C85">TsatFromP(テーブル2[[#This Row],[P]])</f>
        <v/>
      </c>
      <c r="D85" s="0">
        <f t="array" ref="D85">RhoGFromP(テーブル2[[#This Row],[P]])</f>
        <v/>
      </c>
      <c r="E85" s="0">
        <f t="array" ref="E85">RhoFFromP(テーブル2[[#This Row],[P]])</f>
        <v/>
      </c>
      <c r="F85" s="0">
        <f t="array" ref="F85">HgFromP(テーブル2[[#This Row],[P]])</f>
        <v/>
      </c>
      <c r="G85" s="0">
        <f t="array" ref="G85">HfFromP(テーブル2[[#This Row],[P]])</f>
        <v/>
      </c>
      <c r="H85" s="0">
        <f t="array" ref="H85">MuGFromP(テーブル2[[#This Row],[P]])</f>
        <v/>
      </c>
      <c r="I85" s="0">
        <f t="array" ref="I85">MuFFromP(テーブル2[[#This Row],[P]])</f>
        <v/>
      </c>
      <c r="J85" s="0">
        <f t="array" ref="J85">KfFromP(テーブル2[[#This Row],[P]])</f>
        <v/>
      </c>
      <c r="K85" s="0">
        <f t="array" ref="K85">CpFFromP(テーブル2[[#This Row],[P]])</f>
        <v/>
      </c>
      <c r="L85" s="0">
        <f t="array" ref="L85">SigmaFromP(テーブル2[[#This Row],[P]])</f>
        <v/>
      </c>
      <c r="M85" s="0" t="n">
        <v>84</v>
      </c>
      <c r="N85" s="0" t="n">
        <v>2996.76</v>
      </c>
      <c r="O85" s="8" t="n">
        <v>4.74460615127733e-05</v>
      </c>
      <c r="P85" s="8" t="n">
        <v>0.02441771474076131</v>
      </c>
      <c r="Q85" s="8" t="n">
        <v>0.0077724</v>
      </c>
      <c r="R85" s="0" t="n">
        <v>0.59055</v>
      </c>
      <c r="S85" s="15" t="n">
        <v>1429043.19765625</v>
      </c>
      <c r="T85" s="0" t="n">
        <v>573.092324330526</v>
      </c>
      <c r="U85" s="37">
        <f>+T85+BG85*S85*テーブル2[[#This Row],[Pw]]*R85/(N85*O85*K85)</f>
        <v/>
      </c>
      <c r="V85" s="0" t="n">
        <v>0.03</v>
      </c>
      <c r="W85" s="8">
        <f>+N85*Q85/I85</f>
        <v/>
      </c>
      <c r="X85" s="0" t="n">
        <v>0.02334841522043734</v>
      </c>
      <c r="Y85" s="0">
        <f>IF(X85&gt;0,1/X85^0.5,1)</f>
        <v/>
      </c>
      <c r="Z85" s="0">
        <f>IF(X85&gt;0,1.14-2*LOG((0.72*L85*E85)/(X85*Q85*N85^2)+9.35/(W85*X85^0.5)),0)</f>
        <v/>
      </c>
      <c r="AA85" s="0">
        <f>+Y85-Z85</f>
        <v/>
      </c>
      <c r="AB85" s="0">
        <f>32/X85*L85*V85*E85/N85^2</f>
        <v/>
      </c>
      <c r="AC85" s="0" t="n">
        <v>633.1177504272233</v>
      </c>
      <c r="AD85" s="0">
        <f>+Q85/2*AI85/I85*E85</f>
        <v/>
      </c>
      <c r="AE85" s="0">
        <f>+gettm2(AD85,AC85,AK85,AL85,テーブル2[[#This Row],[Fcorr]])</f>
        <v/>
      </c>
      <c r="AF85" s="38">
        <f>+AE85-U85</f>
        <v/>
      </c>
      <c r="AG85" s="0" t="n">
        <v>1.863504440905738e-05</v>
      </c>
      <c r="AH85" s="0">
        <f>+X85*N85^2/(8*E85)</f>
        <v/>
      </c>
      <c r="AI85" s="0">
        <f>+(AH85/E85)^0.5</f>
        <v/>
      </c>
      <c r="AJ85" s="0">
        <f>+AG85*AI85/I85*E85</f>
        <v/>
      </c>
      <c r="AK85" s="0">
        <f t="array" ref="AK85">+S85*テーブル2[[#This Row],[F_form]]/(E85*CpFromTP((テーブル2[[#This Row],[Tin]]+テーブル2[[#This Row],[Tf]])/2,テーブル2[[#This Row],[P]])*AI85)</f>
        <v/>
      </c>
      <c r="AL85" s="0">
        <f>+K85*I85/J85</f>
        <v/>
      </c>
      <c r="AM85" s="0">
        <f>+gettyp(AC85,AJ85,AK85,AL85)</f>
        <v/>
      </c>
      <c r="AN85" s="0">
        <f>+C85-AM85</f>
        <v/>
      </c>
      <c r="AO85" s="0">
        <f>+AG85-AB85</f>
        <v/>
      </c>
      <c r="AP85" s="0" t="n">
        <v>3.414795554914005</v>
      </c>
      <c r="AQ85" s="0">
        <f>2*PI()*L85*(D85+E85)/(D85*E85*AP85^2)</f>
        <v/>
      </c>
      <c r="AR85" s="0">
        <f>+AO85+AB85/2</f>
        <v/>
      </c>
      <c r="AS85" s="0">
        <f>+AR85*AI85/I85*E85</f>
        <v/>
      </c>
      <c r="AT85" s="0">
        <f>+getublp(AS85)</f>
        <v/>
      </c>
      <c r="AU85" s="0">
        <f>+AT85*AI85</f>
        <v/>
      </c>
      <c r="AV85" s="0">
        <f>+AP85-AU85</f>
        <v/>
      </c>
      <c r="AW85" s="0">
        <f>2/3*AB85/(L85/(9.8*(E85-D85)))^0.5</f>
        <v/>
      </c>
      <c r="AX85" s="0">
        <f>+(2*AQ85*9.8*(E85-D85)/(E85*AW85))^0.5</f>
        <v/>
      </c>
      <c r="AY85" s="0">
        <f>+AV85-AX85</f>
        <v/>
      </c>
      <c r="AZ85" s="0">
        <f>+F85-G85</f>
        <v/>
      </c>
      <c r="BA85" s="0">
        <f>+AQ85/AP85</f>
        <v/>
      </c>
      <c r="BB85" s="15">
        <f>+E85*AO85*AZ85/BA85</f>
        <v/>
      </c>
      <c r="BC85" s="20">
        <f>BB85-S85</f>
        <v/>
      </c>
      <c r="BD85" s="19">
        <f>+(BB85-S85)/S85*100</f>
        <v/>
      </c>
      <c r="BE85" s="15" t="n">
        <v>2587100</v>
      </c>
      <c r="BF85" s="16">
        <f>テーブル2[[#This Row],[q_P]]/テーブル2[[#This Row],[q_M]]</f>
        <v/>
      </c>
      <c r="BG85" s="0" t="n">
        <v>1</v>
      </c>
      <c r="BH85" s="0" t="n">
        <v>0.037</v>
      </c>
      <c r="BI85" s="0" t="n">
        <v>0.046</v>
      </c>
      <c r="BJ85" s="0" t="n">
        <v>5625</v>
      </c>
      <c r="BK85" s="22" t="n">
        <v>1</v>
      </c>
      <c r="BL85" s="0">
        <f>テーブル2[[#This Row],[Ts]]-テーブル2[[#This Row],[Tin]]</f>
        <v/>
      </c>
      <c r="BM85" s="0">
        <f>テーブル2[[#This Row],[q_P]]*0.000001</f>
        <v/>
      </c>
      <c r="BN85" s="0">
        <f>テーブル2[[#This Row],[Tsub]]</f>
        <v/>
      </c>
      <c r="BO85" s="0">
        <f>テーブル2[[#This Row],[Fcorr]]</f>
        <v/>
      </c>
      <c r="BP85" s="0">
        <f>(テーブル2[[#This Row],[Tsub]]-40)^2</f>
        <v/>
      </c>
      <c r="BQ85" t="n">
        <v>1</v>
      </c>
      <c r="BR85" s="0" t="n">
        <v>0.59055</v>
      </c>
    </row>
    <row r="86">
      <c r="A86" s="9" t="inlineStr">
        <is>
          <t>497.01_10</t>
        </is>
      </c>
      <c r="B86" s="0" t="n">
        <v>13789520</v>
      </c>
      <c r="C86" s="22">
        <f t="array" ref="C86">TsatFromP(テーブル2[[#This Row],[P]])</f>
        <v/>
      </c>
      <c r="D86" s="0">
        <f t="array" ref="D86">RhoGFromP(テーブル2[[#This Row],[P]])</f>
        <v/>
      </c>
      <c r="E86" s="0">
        <f t="array" ref="E86">RhoFFromP(テーブル2[[#This Row],[P]])</f>
        <v/>
      </c>
      <c r="F86" s="0">
        <f t="array" ref="F86">HgFromP(テーブル2[[#This Row],[P]])</f>
        <v/>
      </c>
      <c r="G86" s="0">
        <f t="array" ref="G86">HfFromP(テーブル2[[#This Row],[P]])</f>
        <v/>
      </c>
      <c r="H86" s="0">
        <f t="array" ref="H86">MuGFromP(テーブル2[[#This Row],[P]])</f>
        <v/>
      </c>
      <c r="I86" s="0">
        <f t="array" ref="I86">MuFFromP(テーブル2[[#This Row],[P]])</f>
        <v/>
      </c>
      <c r="J86" s="0">
        <f t="array" ref="J86">KfFromP(テーブル2[[#This Row],[P]])</f>
        <v/>
      </c>
      <c r="K86" s="0">
        <f t="array" ref="K86">CpFFromP(テーブル2[[#This Row],[P]])</f>
        <v/>
      </c>
      <c r="L86" s="0">
        <f t="array" ref="L86">SigmaFromP(テーブル2[[#This Row],[P]])</f>
        <v/>
      </c>
      <c r="M86" s="23" t="n">
        <v>85</v>
      </c>
      <c r="N86" s="0" t="n">
        <v>3051</v>
      </c>
      <c r="O86" s="8" t="n">
        <v>4.74460615127733e-05</v>
      </c>
      <c r="P86" s="8" t="n">
        <v>0.02441771474076131</v>
      </c>
      <c r="Q86" s="8" t="n">
        <v>0.0077724</v>
      </c>
      <c r="R86" s="0" t="n">
        <v>0.59055</v>
      </c>
      <c r="S86" s="15" t="n">
        <v>1447764.24228125</v>
      </c>
      <c r="T86" s="0" t="n">
        <v>573.092324330526</v>
      </c>
      <c r="U86" s="37">
        <f>+T86+BG86*S86*テーブル2[[#This Row],[Pw]]*R86/(N86*O86*K86)</f>
        <v/>
      </c>
      <c r="V86" s="0" t="n">
        <v>0.03</v>
      </c>
      <c r="W86" s="8">
        <f>+N86*Q86/I86</f>
        <v/>
      </c>
      <c r="X86" s="0" t="n">
        <v>0.02318030858318882</v>
      </c>
      <c r="Y86" s="0">
        <f>IF(X86&gt;0,1/X86^0.5,1)</f>
        <v/>
      </c>
      <c r="Z86" s="0">
        <f>IF(X86&gt;0,1.14-2*LOG((0.72*L86*E86)/(X86*Q86*N86^2)+9.35/(W86*X86^0.5)),0)</f>
        <v/>
      </c>
      <c r="AA86" s="0">
        <f>+Y86-Z86</f>
        <v/>
      </c>
      <c r="AB86" s="0">
        <f>32/X86*L86*V86*E86/N86^2</f>
        <v/>
      </c>
      <c r="AC86" s="0" t="n">
        <v>633.0373997369604</v>
      </c>
      <c r="AD86" s="0">
        <f>+Q86/2*AI86/I86*E86</f>
        <v/>
      </c>
      <c r="AE86" s="0">
        <f>+gettm2(AD86,AC86,AK86,AL86,テーブル2[[#This Row],[Fcorr]])</f>
        <v/>
      </c>
      <c r="AF86" s="38">
        <f>+AE86-U86</f>
        <v/>
      </c>
      <c r="AG86" s="0" t="n">
        <v>1.810920306786598e-05</v>
      </c>
      <c r="AH86" s="0">
        <f>+X86*N86^2/(8*E86)</f>
        <v/>
      </c>
      <c r="AI86" s="0">
        <f>+(AH86/E86)^0.5</f>
        <v/>
      </c>
      <c r="AJ86" s="0">
        <f>+AG86*AI86/I86*E86</f>
        <v/>
      </c>
      <c r="AK86" s="0">
        <f t="array" ref="AK86">+S86*テーブル2[[#This Row],[F_form]]/(E86*CpFromTP((テーブル2[[#This Row],[Tin]]+テーブル2[[#This Row],[Tf]])/2,テーブル2[[#This Row],[P]])*AI86)</f>
        <v/>
      </c>
      <c r="AL86" s="0">
        <f>+K86*I86/J86</f>
        <v/>
      </c>
      <c r="AM86" s="0">
        <f>+gettyp(AC86,AJ86,AK86,AL86)</f>
        <v/>
      </c>
      <c r="AN86" s="0">
        <f>+C86-AM86</f>
        <v/>
      </c>
      <c r="AO86" s="0">
        <f>+AG86-AB86</f>
        <v/>
      </c>
      <c r="AP86" s="0" t="n">
        <v>3.44308900159218</v>
      </c>
      <c r="AQ86" s="0">
        <f>2*PI()*L86*(D86+E86)/(D86*E86*AP86^2)</f>
        <v/>
      </c>
      <c r="AR86" s="0">
        <f>+AO86+AB86/2</f>
        <v/>
      </c>
      <c r="AS86" s="0">
        <f>+AR86*AI86/I86*E86</f>
        <v/>
      </c>
      <c r="AT86" s="0">
        <f>+getublp(AS86)</f>
        <v/>
      </c>
      <c r="AU86" s="0">
        <f>+AT86*AI86</f>
        <v/>
      </c>
      <c r="AV86" s="0">
        <f>+AP86-AU86</f>
        <v/>
      </c>
      <c r="AW86" s="0">
        <f>2/3*AB86/(L86/(9.8*(E86-D86)))^0.5</f>
        <v/>
      </c>
      <c r="AX86" s="0">
        <f>+(2*AQ86*9.8*(E86-D86)/(E86*AW86))^0.5</f>
        <v/>
      </c>
      <c r="AY86" s="0">
        <f>+AV86-AX86</f>
        <v/>
      </c>
      <c r="AZ86" s="0">
        <f>+F86-G86</f>
        <v/>
      </c>
      <c r="BA86" s="0">
        <f>+AQ86/AP86</f>
        <v/>
      </c>
      <c r="BB86" s="15">
        <f>+E86*AO86*AZ86/BA86</f>
        <v/>
      </c>
      <c r="BC86" s="20">
        <f>BB86-S86</f>
        <v/>
      </c>
      <c r="BD86" s="19">
        <f>+(BB86-S86)/S86*100</f>
        <v/>
      </c>
      <c r="BE86" s="15" t="n">
        <v>2602875</v>
      </c>
      <c r="BF86" s="16">
        <f>テーブル2[[#This Row],[q_P]]/テーブル2[[#This Row],[q_M]]</f>
        <v/>
      </c>
      <c r="BG86" s="0" t="n">
        <v>1</v>
      </c>
      <c r="BH86" s="0" t="n">
        <v>0.034</v>
      </c>
      <c r="BI86" s="0" t="n">
        <v>0.046</v>
      </c>
      <c r="BJ86" s="0" t="n">
        <v>5625</v>
      </c>
      <c r="BK86" s="22" t="n">
        <v>1</v>
      </c>
      <c r="BL86" s="0">
        <f>テーブル2[[#This Row],[Ts]]-テーブル2[[#This Row],[Tin]]</f>
        <v/>
      </c>
      <c r="BM86" s="0">
        <f>テーブル2[[#This Row],[q_P]]*0.000001</f>
        <v/>
      </c>
      <c r="BN86" s="0">
        <f>テーブル2[[#This Row],[Tsub]]</f>
        <v/>
      </c>
      <c r="BO86" s="0">
        <f>テーブル2[[#This Row],[Fcorr]]</f>
        <v/>
      </c>
      <c r="BP86" s="0">
        <f>(テーブル2[[#This Row],[Tsub]]-40)^2</f>
        <v/>
      </c>
      <c r="BQ86" t="n">
        <v>1</v>
      </c>
      <c r="BR86" s="0" t="n">
        <v>0.59055</v>
      </c>
    </row>
    <row r="87">
      <c r="A87" s="9" t="inlineStr">
        <is>
          <t>498.01_10</t>
        </is>
      </c>
      <c r="B87" s="0" t="n">
        <v>13789520</v>
      </c>
      <c r="C87" s="22">
        <f t="array" ref="C87">TsatFromP(テーブル2[[#This Row],[P]])</f>
        <v/>
      </c>
      <c r="D87" s="0">
        <f t="array" ref="D87">RhoGFromP(テーブル2[[#This Row],[P]])</f>
        <v/>
      </c>
      <c r="E87" s="0">
        <f t="array" ref="E87">RhoFFromP(テーブル2[[#This Row],[P]])</f>
        <v/>
      </c>
      <c r="F87" s="0">
        <f t="array" ref="F87">HgFromP(テーブル2[[#This Row],[P]])</f>
        <v/>
      </c>
      <c r="G87" s="0">
        <f t="array" ref="G87">HfFromP(テーブル2[[#This Row],[P]])</f>
        <v/>
      </c>
      <c r="H87" s="0">
        <f t="array" ref="H87">MuGFromP(テーブル2[[#This Row],[P]])</f>
        <v/>
      </c>
      <c r="I87" s="0">
        <f t="array" ref="I87">MuFFromP(テーブル2[[#This Row],[P]])</f>
        <v/>
      </c>
      <c r="J87" s="0">
        <f t="array" ref="J87">KfFromP(テーブル2[[#This Row],[P]])</f>
        <v/>
      </c>
      <c r="K87" s="0">
        <f t="array" ref="K87">CpFFromP(テーブル2[[#This Row],[P]])</f>
        <v/>
      </c>
      <c r="L87" s="0">
        <f t="array" ref="L87">SigmaFromP(テーブル2[[#This Row],[P]])</f>
        <v/>
      </c>
      <c r="M87" s="0" t="n">
        <v>86</v>
      </c>
      <c r="N87" s="0" t="n">
        <v>3051</v>
      </c>
      <c r="O87" s="8" t="n">
        <v>4.74460615127733e-05</v>
      </c>
      <c r="P87" s="8" t="n">
        <v>0.02441771474076131</v>
      </c>
      <c r="Q87" s="8" t="n">
        <v>0.0077724</v>
      </c>
      <c r="R87" s="0" t="n">
        <v>0.59055</v>
      </c>
      <c r="S87" s="15" t="n">
        <v>1468476.43378125</v>
      </c>
      <c r="T87" s="0" t="n">
        <v>572.543225968372</v>
      </c>
      <c r="U87" s="37">
        <f>+T87+BG87*S87*テーブル2[[#This Row],[Pw]]*R87/(N87*O87*K87)</f>
        <v/>
      </c>
      <c r="V87" s="0" t="n">
        <v>0.03</v>
      </c>
      <c r="W87" s="8">
        <f>+N87*Q87/I87</f>
        <v/>
      </c>
      <c r="X87" s="0" t="n">
        <v>0.02318030858318882</v>
      </c>
      <c r="Y87" s="0">
        <f>IF(X87&gt;0,1/X87^0.5,1)</f>
        <v/>
      </c>
      <c r="Z87" s="0">
        <f>IF(X87&gt;0,1.14-2*LOG((0.72*L87*E87)/(X87*Q87*N87^2)+9.35/(W87*X87^0.5)),0)</f>
        <v/>
      </c>
      <c r="AA87" s="0">
        <f>+Y87-Z87</f>
        <v/>
      </c>
      <c r="AB87" s="0">
        <f>32/X87*L87*V87*E87/N87^2</f>
        <v/>
      </c>
      <c r="AC87" s="0" t="n">
        <v>633.4464530426658</v>
      </c>
      <c r="AD87" s="0">
        <f>+Q87/2*AI87/I87*E87</f>
        <v/>
      </c>
      <c r="AE87" s="0">
        <f>+gettm2(AD87,AC87,AK87,AL87,テーブル2[[#This Row],[Fcorr]])</f>
        <v/>
      </c>
      <c r="AF87" s="38">
        <f>+AE87-U87</f>
        <v/>
      </c>
      <c r="AG87" s="0" t="n">
        <v>1.810968429136257e-05</v>
      </c>
      <c r="AH87" s="0">
        <f>+X87*N87^2/(8*E87)</f>
        <v/>
      </c>
      <c r="AI87" s="0">
        <f>+(AH87/E87)^0.5</f>
        <v/>
      </c>
      <c r="AJ87" s="0">
        <f>+AG87*AI87/I87*E87</f>
        <v/>
      </c>
      <c r="AK87" s="0">
        <f t="array" ref="AK87">+S87*テーブル2[[#This Row],[F_form]]/(E87*CpFromTP((テーブル2[[#This Row],[Tin]]+テーブル2[[#This Row],[Tf]])/2,テーブル2[[#This Row],[P]])*AI87)</f>
        <v/>
      </c>
      <c r="AL87" s="0">
        <f>+K87*I87/J87</f>
        <v/>
      </c>
      <c r="AM87" s="0">
        <f>+gettyp(AC87,AJ87,AK87,AL87)</f>
        <v/>
      </c>
      <c r="AN87" s="0">
        <f>+C87-AM87</f>
        <v/>
      </c>
      <c r="AO87" s="0">
        <f>+AG87-AB87</f>
        <v/>
      </c>
      <c r="AP87" s="0" t="n">
        <v>3.4431537019404</v>
      </c>
      <c r="AQ87" s="0">
        <f>2*PI()*L87*(D87+E87)/(D87*E87*AP87^2)</f>
        <v/>
      </c>
      <c r="AR87" s="0">
        <f>+AO87+AB87/2</f>
        <v/>
      </c>
      <c r="AS87" s="0">
        <f>+AR87*AI87/I87*E87</f>
        <v/>
      </c>
      <c r="AT87" s="0">
        <f>+getublp(AS87)</f>
        <v/>
      </c>
      <c r="AU87" s="0">
        <f>+AT87*AI87</f>
        <v/>
      </c>
      <c r="AV87" s="0">
        <f>+AP87-AU87</f>
        <v/>
      </c>
      <c r="AW87" s="0">
        <f>2/3*AB87/(L87/(9.8*(E87-D87)))^0.5</f>
        <v/>
      </c>
      <c r="AX87" s="0">
        <f>+(2*AQ87*9.8*(E87-D87)/(E87*AW87))^0.5</f>
        <v/>
      </c>
      <c r="AY87" s="0">
        <f>+AV87-AX87</f>
        <v/>
      </c>
      <c r="AZ87" s="0">
        <f>+F87-G87</f>
        <v/>
      </c>
      <c r="BA87" s="0">
        <f>+AQ87/AP87</f>
        <v/>
      </c>
      <c r="BB87" s="15">
        <f>+E87*AO87*AZ87/BA87</f>
        <v/>
      </c>
      <c r="BC87" s="20">
        <f>BB87-S87</f>
        <v/>
      </c>
      <c r="BD87" s="19">
        <f>+(BB87-S87)/S87*100</f>
        <v/>
      </c>
      <c r="BE87" s="15" t="n">
        <v>2618650</v>
      </c>
      <c r="BF87" s="16">
        <f>テーブル2[[#This Row],[q_P]]/テーブル2[[#This Row],[q_M]]</f>
        <v/>
      </c>
      <c r="BG87" s="0" t="n">
        <v>1</v>
      </c>
      <c r="BH87" s="0" t="n">
        <v>0.033</v>
      </c>
      <c r="BI87" s="0" t="n">
        <v>0.046</v>
      </c>
      <c r="BJ87" s="0" t="n">
        <v>5625</v>
      </c>
      <c r="BK87" s="22" t="n">
        <v>1</v>
      </c>
      <c r="BL87" s="0">
        <f>テーブル2[[#This Row],[Ts]]-テーブル2[[#This Row],[Tin]]</f>
        <v/>
      </c>
      <c r="BM87" s="0">
        <f>テーブル2[[#This Row],[q_P]]*0.000001</f>
        <v/>
      </c>
      <c r="BN87" s="0">
        <f>テーブル2[[#This Row],[Tsub]]</f>
        <v/>
      </c>
      <c r="BO87" s="0">
        <f>テーブル2[[#This Row],[Fcorr]]</f>
        <v/>
      </c>
      <c r="BP87" s="0">
        <f>(テーブル2[[#This Row],[Tsub]]-40)^2</f>
        <v/>
      </c>
      <c r="BQ87" t="n">
        <v>1</v>
      </c>
      <c r="BR87" s="0" t="n">
        <v>0.59055</v>
      </c>
    </row>
    <row r="88">
      <c r="A88" s="9" t="inlineStr">
        <is>
          <t>86.03_8</t>
        </is>
      </c>
      <c r="B88" s="0" t="n">
        <v>10962664.0961377</v>
      </c>
      <c r="C88" s="22">
        <f t="array" ref="C88">TsatFromP(テーブル2[[#This Row],[P]])</f>
        <v/>
      </c>
      <c r="D88" s="0">
        <f t="array" ref="D88">RhoGFromP(テーブル2[[#This Row],[P]])</f>
        <v/>
      </c>
      <c r="E88" s="0">
        <f t="array" ref="E88">RhoFFromP(テーブル2[[#This Row],[P]])</f>
        <v/>
      </c>
      <c r="F88" s="0">
        <f t="array" ref="F88">HgFromP(テーブル2[[#This Row],[P]])</f>
        <v/>
      </c>
      <c r="G88" s="0">
        <f t="array" ref="G88">HfFromP(テーブル2[[#This Row],[P]])</f>
        <v/>
      </c>
      <c r="H88" s="0">
        <f t="array" ref="H88">MuGFromP(テーブル2[[#This Row],[P]])</f>
        <v/>
      </c>
      <c r="I88" s="0">
        <f t="array" ref="I88">MuFFromP(テーブル2[[#This Row],[P]])</f>
        <v/>
      </c>
      <c r="J88" s="0">
        <f t="array" ref="J88">KfFromP(テーブル2[[#This Row],[P]])</f>
        <v/>
      </c>
      <c r="K88" s="0">
        <f t="array" ref="K88">CpFFromP(テーブル2[[#This Row],[P]])</f>
        <v/>
      </c>
      <c r="L88" s="0">
        <f t="array" ref="L88">SigmaFromP(テーブル2[[#This Row],[P]])</f>
        <v/>
      </c>
      <c r="M88" s="0" t="n">
        <v>87</v>
      </c>
      <c r="N88" s="0" t="n">
        <v>1017.17242424647</v>
      </c>
      <c r="O88" s="8">
        <f>PI()*Q88^2/4</f>
        <v/>
      </c>
      <c r="P88" s="8">
        <f>PI()*Q88</f>
        <v/>
      </c>
      <c r="Q88" s="8" t="n">
        <v>0.0093472</v>
      </c>
      <c r="R88" s="0" t="n">
        <v>1.524</v>
      </c>
      <c r="S88" s="15" t="n">
        <v>725513.6129812502</v>
      </c>
      <c r="T88" s="0" t="n">
        <v>506.556512941153</v>
      </c>
      <c r="U88" s="37">
        <f>+T88+BG88*S88*テーブル2[[#This Row],[Pw]]*R88/(N88*O88*K88)</f>
        <v/>
      </c>
      <c r="V88" s="0" t="n">
        <v>0.03</v>
      </c>
      <c r="W88" s="8">
        <f>+N88*Q88/I88</f>
        <v/>
      </c>
      <c r="X88" s="0" t="n">
        <v>0.04125386132783287</v>
      </c>
      <c r="Y88" s="0">
        <f>IF(X88&gt;0,1/X88^0.5,1)</f>
        <v/>
      </c>
      <c r="Z88" s="0">
        <f>IF(X88&gt;0,1.14-2*LOG((0.72*L88*E88)/(X88*Q88*N88^2)+9.35/(W88*X88^0.5)),0)</f>
        <v/>
      </c>
      <c r="AA88" s="0">
        <f>+Y88-Z88</f>
        <v/>
      </c>
      <c r="AB88" s="0">
        <f>32/X88*L88*V88*E88/N88^2</f>
        <v/>
      </c>
      <c r="AC88" s="0" t="n">
        <v>626.3100363792877</v>
      </c>
      <c r="AD88" s="0">
        <f>+Q88/2*AI88/I88*E88</f>
        <v/>
      </c>
      <c r="AE88" s="0">
        <f>+gettm2(AD88,AC88,AK88,AL88,テーブル2[[#This Row],[Fcorr]])</f>
        <v/>
      </c>
      <c r="AF88" s="38">
        <f>+AE88-U88</f>
        <v/>
      </c>
      <c r="AG88" s="0" t="n">
        <v>0.000155263603651786</v>
      </c>
      <c r="AH88" s="0">
        <f>+X88*N88^2/(8*E88)</f>
        <v/>
      </c>
      <c r="AI88" s="0">
        <f>+(AH88/E88)^0.5</f>
        <v/>
      </c>
      <c r="AJ88" s="0">
        <f>+AG88*AI88/I88*E88</f>
        <v/>
      </c>
      <c r="AK88" s="0">
        <f t="array" ref="AK88">+S88*テーブル2[[#This Row],[F_form]]/(E88*CpFromTP((テーブル2[[#This Row],[Tin]]+テーブル2[[#This Row],[Tf]])/2,テーブル2[[#This Row],[P]])*AI88)</f>
        <v/>
      </c>
      <c r="AL88" s="0">
        <f>+K88*I88/J88</f>
        <v/>
      </c>
      <c r="AM88" s="0">
        <f>+gettyp(AC88,AJ88,AK88,AL88)</f>
        <v/>
      </c>
      <c r="AN88" s="0">
        <f>+C88-AM88</f>
        <v/>
      </c>
      <c r="AO88" s="0">
        <f>+AG88-AB88</f>
        <v/>
      </c>
      <c r="AP88" s="0" t="n">
        <v>2.008817581137102</v>
      </c>
      <c r="AQ88" s="0">
        <f>2*PI()*L88*(D88+E88)/(D88*E88*AP88^2)</f>
        <v/>
      </c>
      <c r="AR88" s="0">
        <f>+AO88+AB88/2</f>
        <v/>
      </c>
      <c r="AS88" s="0">
        <f>+AR88*AI88/I88*E88</f>
        <v/>
      </c>
      <c r="AT88" s="0">
        <f>+getublp(AS88)</f>
        <v/>
      </c>
      <c r="AU88" s="0">
        <f>+AT88*AI88</f>
        <v/>
      </c>
      <c r="AV88" s="0">
        <f>+AP88-AU88</f>
        <v/>
      </c>
      <c r="AW88" s="0">
        <f>2/3*AB88/(L88/(9.8*(E88-D88)))^0.5</f>
        <v/>
      </c>
      <c r="AX88" s="0">
        <f>+(2*AQ88*9.8*(E88-D88)/(E88*AW88))^0.5</f>
        <v/>
      </c>
      <c r="AY88" s="0">
        <f>+AV88-AX88</f>
        <v/>
      </c>
      <c r="AZ88" s="0">
        <f>+F88-G88</f>
        <v/>
      </c>
      <c r="BA88" s="0">
        <f>+AQ88/AP88</f>
        <v/>
      </c>
      <c r="BB88" s="15">
        <f>+E88*AO88*AZ88/BA88</f>
        <v/>
      </c>
      <c r="BC88" s="20">
        <f>BB88-S88</f>
        <v/>
      </c>
      <c r="BD88" s="19">
        <f>+(BB88-S88)/S88*100</f>
        <v/>
      </c>
      <c r="BE88" s="15" t="n">
        <v>1462152.81033672</v>
      </c>
      <c r="BF88" s="16">
        <f>テーブル2[[#This Row],[q_P]]/テーブル2[[#This Row],[q_M]]</f>
        <v/>
      </c>
      <c r="BG88" s="0" t="n">
        <v>1</v>
      </c>
      <c r="BH88" s="0" t="n">
        <v>0.395</v>
      </c>
      <c r="BI88" s="0" t="n">
        <v>0.046</v>
      </c>
      <c r="BJ88" s="0" t="n">
        <v>5625</v>
      </c>
      <c r="BK88" s="22" t="n">
        <v>1</v>
      </c>
      <c r="BL88" s="0">
        <f>テーブル2[[#This Row],[Ts]]-テーブル2[[#This Row],[Tin]]</f>
        <v/>
      </c>
      <c r="BM88" s="0">
        <f>テーブル2[[#This Row],[q_P]]*0.000001</f>
        <v/>
      </c>
      <c r="BN88" s="0">
        <f>テーブル2[[#This Row],[Tsub]]</f>
        <v/>
      </c>
      <c r="BO88" s="0">
        <f>テーブル2[[#This Row],[Fcorr]]</f>
        <v/>
      </c>
      <c r="BP88" s="0">
        <f>(テーブル2[[#This Row],[Tsub]]-40)^2</f>
        <v/>
      </c>
      <c r="BQ88" t="n">
        <v>1</v>
      </c>
      <c r="BR88" s="0" t="n">
        <v>1.524</v>
      </c>
    </row>
    <row r="89">
      <c r="A89" s="9" t="inlineStr">
        <is>
          <t>87.03_8</t>
        </is>
      </c>
      <c r="B89" s="0" t="n">
        <v>10997137.8826035</v>
      </c>
      <c r="C89" s="22">
        <f t="array" ref="C89">TsatFromP(テーブル2[[#This Row],[P]])</f>
        <v/>
      </c>
      <c r="D89" s="0">
        <f t="array" ref="D89">RhoGFromP(テーブル2[[#This Row],[P]])</f>
        <v/>
      </c>
      <c r="E89" s="0">
        <f t="array" ref="E89">RhoFFromP(テーブル2[[#This Row],[P]])</f>
        <v/>
      </c>
      <c r="F89" s="0">
        <f t="array" ref="F89">HgFromP(テーブル2[[#This Row],[P]])</f>
        <v/>
      </c>
      <c r="G89" s="0">
        <f t="array" ref="G89">HfFromP(テーブル2[[#This Row],[P]])</f>
        <v/>
      </c>
      <c r="H89" s="0">
        <f t="array" ref="H89">MuGFromP(テーブル2[[#This Row],[P]])</f>
        <v/>
      </c>
      <c r="I89" s="0">
        <f t="array" ref="I89">MuFFromP(テーブル2[[#This Row],[P]])</f>
        <v/>
      </c>
      <c r="J89" s="0">
        <f t="array" ref="J89">KfFromP(テーブル2[[#This Row],[P]])</f>
        <v/>
      </c>
      <c r="K89" s="0">
        <f t="array" ref="K89">CpFFromP(テーブル2[[#This Row],[P]])</f>
        <v/>
      </c>
      <c r="L89" s="0">
        <f t="array" ref="L89">SigmaFromP(テーブル2[[#This Row],[P]])</f>
        <v/>
      </c>
      <c r="M89" s="0" t="n">
        <v>88</v>
      </c>
      <c r="N89" s="0" t="n">
        <v>1017.17242424647</v>
      </c>
      <c r="O89" s="8">
        <f>PI()*Q89^2/4</f>
        <v/>
      </c>
      <c r="P89" s="8">
        <f>PI()*Q89</f>
        <v/>
      </c>
      <c r="Q89" s="8" t="n">
        <v>0.0093472</v>
      </c>
      <c r="R89" s="0" t="n">
        <v>1.524</v>
      </c>
      <c r="S89" s="15" t="n">
        <v>1188180.20755975</v>
      </c>
      <c r="T89" s="0" t="n">
        <v>451.886494606699</v>
      </c>
      <c r="U89" s="37">
        <f>+T89+BG89*S89*テーブル2[[#This Row],[Pw]]*R89/(N89*O89*K89)</f>
        <v/>
      </c>
      <c r="V89" s="0" t="n">
        <v>0.03</v>
      </c>
      <c r="W89" s="8">
        <f>+N89*Q89/I89</f>
        <v/>
      </c>
      <c r="X89" s="0" t="n">
        <v>0.04119460491459976</v>
      </c>
      <c r="Y89" s="0">
        <f>IF(X89&gt;0,1/X89^0.5,1)</f>
        <v/>
      </c>
      <c r="Z89" s="0">
        <f>IF(X89&gt;0,1.14-2*LOG((0.72*L89*E89)/(X89*Q89*N89^2)+9.35/(W89*X89^0.5)),0)</f>
        <v/>
      </c>
      <c r="AA89" s="0">
        <f>+Y89-Z89</f>
        <v/>
      </c>
      <c r="AB89" s="0">
        <f>32/X89*L89*V89*E89/N89^2</f>
        <v/>
      </c>
      <c r="AC89" s="0" t="n">
        <v>652.9584617829652</v>
      </c>
      <c r="AD89" s="0">
        <f>+Q89/2*AI89/I89*E89</f>
        <v/>
      </c>
      <c r="AE89" s="0">
        <f>+gettm2(AD89,AC89,AK89,AL89,テーブル2[[#This Row],[Fcorr]])</f>
        <v/>
      </c>
      <c r="AF89" s="38">
        <f>+AE89-U89</f>
        <v/>
      </c>
      <c r="AG89" s="0" t="n">
        <v>0.0001546904425481409</v>
      </c>
      <c r="AH89" s="0">
        <f>+X89*N89^2/(8*E89)</f>
        <v/>
      </c>
      <c r="AI89" s="0">
        <f>+(AH89/E89)^0.5</f>
        <v/>
      </c>
      <c r="AJ89" s="0">
        <f>+AG89*AI89/I89*E89</f>
        <v/>
      </c>
      <c r="AK89" s="0">
        <f t="array" ref="AK89">+S89*テーブル2[[#This Row],[F_form]]/(E89*CpFromTP((テーブル2[[#This Row],[Tin]]+テーブル2[[#This Row],[Tf]])/2,テーブル2[[#This Row],[P]])*AI89)</f>
        <v/>
      </c>
      <c r="AL89" s="0">
        <f>+K89*I89/J89</f>
        <v/>
      </c>
      <c r="AM89" s="0">
        <f>+gettyp(AC89,AJ89,AK89,AL89)</f>
        <v/>
      </c>
      <c r="AN89" s="0">
        <f>+C89-AM89</f>
        <v/>
      </c>
      <c r="AO89" s="0">
        <f>+AG89-AB89</f>
        <v/>
      </c>
      <c r="AP89" s="0" t="n">
        <v>2.007613865305379</v>
      </c>
      <c r="AQ89" s="0">
        <f>2*PI()*L89*(D89+E89)/(D89*E89*AP89^2)</f>
        <v/>
      </c>
      <c r="AR89" s="0">
        <f>+AO89+AB89/2</f>
        <v/>
      </c>
      <c r="AS89" s="0">
        <f>+AR89*AI89/I89*E89</f>
        <v/>
      </c>
      <c r="AT89" s="0">
        <f>+getublp(AS89)</f>
        <v/>
      </c>
      <c r="AU89" s="0">
        <f>+AT89*AI89</f>
        <v/>
      </c>
      <c r="AV89" s="0">
        <f>+AP89-AU89</f>
        <v/>
      </c>
      <c r="AW89" s="0">
        <f>2/3*AB89/(L89/(9.8*(E89-D89)))^0.5</f>
        <v/>
      </c>
      <c r="AX89" s="0">
        <f>+(2*AQ89*9.8*(E89-D89)/(E89*AW89))^0.5</f>
        <v/>
      </c>
      <c r="AY89" s="0">
        <f>+AV89-AX89</f>
        <v/>
      </c>
      <c r="AZ89" s="0">
        <f>+F89-G89</f>
        <v/>
      </c>
      <c r="BA89" s="0">
        <f>+AQ89/AP89</f>
        <v/>
      </c>
      <c r="BB89" s="15">
        <f>+E89*AO89*AZ89/BA89</f>
        <v/>
      </c>
      <c r="BC89" s="20">
        <f>BB89-S89</f>
        <v/>
      </c>
      <c r="BD89" s="19">
        <f>+(BB89-S89)/S89*100</f>
        <v/>
      </c>
      <c r="BE89" s="15" t="n">
        <v>1810104.16951718</v>
      </c>
      <c r="BF89" s="16">
        <f>テーブル2[[#This Row],[q_P]]/テーブル2[[#This Row],[q_M]]</f>
        <v/>
      </c>
      <c r="BG89" s="0" t="n">
        <v>1</v>
      </c>
      <c r="BH89" s="0" t="n">
        <v>0.378</v>
      </c>
      <c r="BI89" s="0" t="n">
        <v>0.046</v>
      </c>
      <c r="BJ89" s="0" t="n">
        <v>5625</v>
      </c>
      <c r="BK89" s="22" t="n">
        <v>1</v>
      </c>
      <c r="BL89" s="0">
        <f>テーブル2[[#This Row],[Ts]]-テーブル2[[#This Row],[Tin]]</f>
        <v/>
      </c>
      <c r="BM89" s="0">
        <f>テーブル2[[#This Row],[q_P]]*0.000001</f>
        <v/>
      </c>
      <c r="BN89" s="0">
        <f>テーブル2[[#This Row],[Tsub]]</f>
        <v/>
      </c>
      <c r="BO89" s="0">
        <f>テーブル2[[#This Row],[Fcorr]]</f>
        <v/>
      </c>
      <c r="BP89" s="0">
        <f>(テーブル2[[#This Row],[Tsub]]-40)^2</f>
        <v/>
      </c>
      <c r="BQ89" t="n">
        <v>1</v>
      </c>
      <c r="BR89" s="0" t="n">
        <v>1.524</v>
      </c>
    </row>
    <row r="90">
      <c r="A90" s="9" t="inlineStr">
        <is>
          <t>88.03_8</t>
        </is>
      </c>
      <c r="B90" s="0" t="n">
        <v>10997137.8826035</v>
      </c>
      <c r="C90" s="22">
        <f t="array" ref="C90">TsatFromP(テーブル2[[#This Row],[P]])</f>
        <v/>
      </c>
      <c r="D90" s="0">
        <f t="array" ref="D90">RhoGFromP(テーブル2[[#This Row],[P]])</f>
        <v/>
      </c>
      <c r="E90" s="0">
        <f t="array" ref="E90">RhoFFromP(テーブル2[[#This Row],[P]])</f>
        <v/>
      </c>
      <c r="F90" s="0">
        <f t="array" ref="F90">HgFromP(テーブル2[[#This Row],[P]])</f>
        <v/>
      </c>
      <c r="G90" s="0">
        <f t="array" ref="G90">HfFromP(テーブル2[[#This Row],[P]])</f>
        <v/>
      </c>
      <c r="H90" s="0">
        <f t="array" ref="H90">MuGFromP(テーブル2[[#This Row],[P]])</f>
        <v/>
      </c>
      <c r="I90" s="0">
        <f t="array" ref="I90">MuFFromP(テーブル2[[#This Row],[P]])</f>
        <v/>
      </c>
      <c r="J90" s="0">
        <f t="array" ref="J90">KfFromP(テーブル2[[#This Row],[P]])</f>
        <v/>
      </c>
      <c r="K90" s="0">
        <f t="array" ref="K90">CpFFromP(テーブル2[[#This Row],[P]])</f>
        <v/>
      </c>
      <c r="L90" s="0">
        <f t="array" ref="L90">SigmaFromP(テーブル2[[#This Row],[P]])</f>
        <v/>
      </c>
      <c r="M90" s="0" t="n">
        <v>89</v>
      </c>
      <c r="N90" s="0" t="n">
        <v>1017.17242424647</v>
      </c>
      <c r="O90" s="8">
        <f>PI()*Q90^2/4</f>
        <v/>
      </c>
      <c r="P90" s="8">
        <f>PI()*Q90</f>
        <v/>
      </c>
      <c r="Q90" s="8" t="n">
        <v>0.0093472</v>
      </c>
      <c r="R90" s="0" t="n">
        <v>1.524</v>
      </c>
      <c r="S90" s="15" t="n">
        <v>1188180.20755975</v>
      </c>
      <c r="T90" s="0" t="n">
        <v>451.886494606699</v>
      </c>
      <c r="U90" s="37">
        <f>+T90+BG90*S90*テーブル2[[#This Row],[Pw]]*R90/(N90*O90*K90)</f>
        <v/>
      </c>
      <c r="V90" s="0" t="n">
        <v>0.03</v>
      </c>
      <c r="W90" s="8">
        <f>+N90*Q90/I90</f>
        <v/>
      </c>
      <c r="X90" s="0" t="n">
        <v>0.04119460491459976</v>
      </c>
      <c r="Y90" s="0">
        <f>IF(X90&gt;0,1/X90^0.5,1)</f>
        <v/>
      </c>
      <c r="Z90" s="0">
        <f>IF(X90&gt;0,1.14-2*LOG((0.72*L90*E90)/(X90*Q90*N90^2)+9.35/(W90*X90^0.5)),0)</f>
        <v/>
      </c>
      <c r="AA90" s="0">
        <f>+Y90-Z90</f>
        <v/>
      </c>
      <c r="AB90" s="0">
        <f>32/X90*L90*V90*E90/N90^2</f>
        <v/>
      </c>
      <c r="AC90" s="0" t="n">
        <v>652.9584617829652</v>
      </c>
      <c r="AD90" s="0">
        <f>+Q90/2*AI90/I90*E90</f>
        <v/>
      </c>
      <c r="AE90" s="0">
        <f>+gettm2(AD90,AC90,AK90,AL90,テーブル2[[#This Row],[Fcorr]])</f>
        <v/>
      </c>
      <c r="AF90" s="38">
        <f>+AE90-U90</f>
        <v/>
      </c>
      <c r="AG90" s="0" t="n">
        <v>0.0001546904425481409</v>
      </c>
      <c r="AH90" s="0">
        <f>+X90*N90^2/(8*E90)</f>
        <v/>
      </c>
      <c r="AI90" s="0">
        <f>+(AH90/E90)^0.5</f>
        <v/>
      </c>
      <c r="AJ90" s="0">
        <f>+AG90*AI90/I90*E90</f>
        <v/>
      </c>
      <c r="AK90" s="0">
        <f t="array" ref="AK90">+S90*テーブル2[[#This Row],[F_form]]/(E90*CpFromTP((テーブル2[[#This Row],[Tin]]+テーブル2[[#This Row],[Tf]])/2,テーブル2[[#This Row],[P]])*AI90)</f>
        <v/>
      </c>
      <c r="AL90" s="0">
        <f>+K90*I90/J90</f>
        <v/>
      </c>
      <c r="AM90" s="0">
        <f>+gettyp(AC90,AJ90,AK90,AL90)</f>
        <v/>
      </c>
      <c r="AN90" s="0">
        <f>+C90-AM90</f>
        <v/>
      </c>
      <c r="AO90" s="0">
        <f>+AG90-AB90</f>
        <v/>
      </c>
      <c r="AP90" s="0" t="n">
        <v>2.007613865305379</v>
      </c>
      <c r="AQ90" s="0">
        <f>2*PI()*L90*(D90+E90)/(D90*E90*AP90^2)</f>
        <v/>
      </c>
      <c r="AR90" s="0">
        <f>+AO90+AB90/2</f>
        <v/>
      </c>
      <c r="AS90" s="0">
        <f>+AR90*AI90/I90*E90</f>
        <v/>
      </c>
      <c r="AT90" s="0">
        <f>+getublp(AS90)</f>
        <v/>
      </c>
      <c r="AU90" s="0">
        <f>+AT90*AI90</f>
        <v/>
      </c>
      <c r="AV90" s="0">
        <f>+AP90-AU90</f>
        <v/>
      </c>
      <c r="AW90" s="0">
        <f>2/3*AB90/(L90/(9.8*(E90-D90)))^0.5</f>
        <v/>
      </c>
      <c r="AX90" s="0">
        <f>+(2*AQ90*9.8*(E90-D90)/(E90*AW90))^0.5</f>
        <v/>
      </c>
      <c r="AY90" s="0">
        <f>+AV90-AX90</f>
        <v/>
      </c>
      <c r="AZ90" s="0">
        <f>+F90-G90</f>
        <v/>
      </c>
      <c r="BA90" s="0">
        <f>+AQ90/AP90</f>
        <v/>
      </c>
      <c r="BB90" s="15">
        <f>+E90*AO90*AZ90/BA90</f>
        <v/>
      </c>
      <c r="BC90" s="20">
        <f>BB90-S90</f>
        <v/>
      </c>
      <c r="BD90" s="19">
        <f>+(BB90-S90)/S90*100</f>
        <v/>
      </c>
      <c r="BE90" s="15" t="n">
        <v>1810104.16951718</v>
      </c>
      <c r="BF90" s="16">
        <f>テーブル2[[#This Row],[q_P]]/テーブル2[[#This Row],[q_M]]</f>
        <v/>
      </c>
      <c r="BG90" s="0" t="n">
        <v>1</v>
      </c>
      <c r="BH90" s="0" t="n">
        <v>0.378</v>
      </c>
      <c r="BI90" s="0" t="n">
        <v>0.046</v>
      </c>
      <c r="BJ90" s="0" t="n">
        <v>5625</v>
      </c>
      <c r="BK90" s="22" t="n">
        <v>1</v>
      </c>
      <c r="BL90" s="0">
        <f>テーブル2[[#This Row],[Ts]]-テーブル2[[#This Row],[Tin]]</f>
        <v/>
      </c>
      <c r="BM90" s="0">
        <f>テーブル2[[#This Row],[q_P]]*0.000001</f>
        <v/>
      </c>
      <c r="BN90" s="0">
        <f>テーブル2[[#This Row],[Tsub]]</f>
        <v/>
      </c>
      <c r="BO90" s="0">
        <f>テーブル2[[#This Row],[Fcorr]]</f>
        <v/>
      </c>
      <c r="BP90" s="0">
        <f>(テーブル2[[#This Row],[Tsub]]-40)^2</f>
        <v/>
      </c>
      <c r="BQ90" t="n">
        <v>1</v>
      </c>
      <c r="BR90" s="0" t="n">
        <v>1.524</v>
      </c>
    </row>
    <row r="91">
      <c r="A91" s="9" t="inlineStr">
        <is>
          <t>89.03_8</t>
        </is>
      </c>
      <c r="B91" s="0" t="n">
        <v>11066085.4555352</v>
      </c>
      <c r="C91" s="22">
        <f t="array" ref="C91">TsatFromP(テーブル2[[#This Row],[P]])</f>
        <v/>
      </c>
      <c r="D91" s="0">
        <f t="array" ref="D91">RhoGFromP(テーブル2[[#This Row],[P]])</f>
        <v/>
      </c>
      <c r="E91" s="0">
        <f t="array" ref="E91">RhoFFromP(テーブル2[[#This Row],[P]])</f>
        <v/>
      </c>
      <c r="F91" s="0">
        <f t="array" ref="F91">HgFromP(テーブル2[[#This Row],[P]])</f>
        <v/>
      </c>
      <c r="G91" s="0">
        <f t="array" ref="G91">HfFromP(テーブル2[[#This Row],[P]])</f>
        <v/>
      </c>
      <c r="H91" s="0">
        <f t="array" ref="H91">MuGFromP(テーブル2[[#This Row],[P]])</f>
        <v/>
      </c>
      <c r="I91" s="0">
        <f t="array" ref="I91">MuFFromP(テーブル2[[#This Row],[P]])</f>
        <v/>
      </c>
      <c r="J91" s="0">
        <f t="array" ref="J91">KfFromP(テーブル2[[#This Row],[P]])</f>
        <v/>
      </c>
      <c r="K91" s="0">
        <f t="array" ref="K91">CpFFromP(テーブル2[[#This Row],[P]])</f>
        <v/>
      </c>
      <c r="L91" s="0">
        <f t="array" ref="L91">SigmaFromP(テーブル2[[#This Row],[P]])</f>
        <v/>
      </c>
      <c r="M91" s="0" t="n">
        <v>90</v>
      </c>
      <c r="N91" s="0" t="n">
        <v>1017.17242424647</v>
      </c>
      <c r="O91" s="8">
        <f>PI()*Q91^2/4</f>
        <v/>
      </c>
      <c r="P91" s="8">
        <f>PI()*Q91</f>
        <v/>
      </c>
      <c r="Q91" s="8" t="n">
        <v>0.0093472</v>
      </c>
      <c r="R91" s="0" t="n">
        <v>1.524</v>
      </c>
      <c r="S91" s="15" t="n">
        <v>726588.2161812501</v>
      </c>
      <c r="T91" s="0" t="n">
        <v>507.480149586581</v>
      </c>
      <c r="U91" s="37">
        <f>+T91+BG91*S91*テーブル2[[#This Row],[Pw]]*R91/(N91*O91*K91)</f>
        <v/>
      </c>
      <c r="V91" s="0" t="n">
        <v>0.03</v>
      </c>
      <c r="W91" s="8">
        <f>+N91*Q91/I91</f>
        <v/>
      </c>
      <c r="X91" s="0" t="n">
        <v>0.04107571396504087</v>
      </c>
      <c r="Y91" s="0">
        <f>IF(X91&gt;0,1/X91^0.5,1)</f>
        <v/>
      </c>
      <c r="Z91" s="0">
        <f>IF(X91&gt;0,1.14-2*LOG((0.72*L91*E91)/(X91*Q91*N91^2)+9.35/(W91*X91^0.5)),0)</f>
        <v/>
      </c>
      <c r="AA91" s="0">
        <f>+Y91-Z91</f>
        <v/>
      </c>
      <c r="AB91" s="0">
        <f>32/X91*L91*V91*E91/N91^2</f>
        <v/>
      </c>
      <c r="AC91" s="0" t="n">
        <v>627.0844724875532</v>
      </c>
      <c r="AD91" s="0">
        <f>+Q91/2*AI91/I91*E91</f>
        <v/>
      </c>
      <c r="AE91" s="0">
        <f>+gettm2(AD91,AC91,AK91,AL91,テーブル2[[#This Row],[Fcorr]])</f>
        <v/>
      </c>
      <c r="AF91" s="38">
        <f>+AE91-U91</f>
        <v/>
      </c>
      <c r="AG91" s="0" t="n">
        <v>0.0001533173084334261</v>
      </c>
      <c r="AH91" s="0">
        <f>+X91*N91^2/(8*E91)</f>
        <v/>
      </c>
      <c r="AI91" s="0">
        <f>+(AH91/E91)^0.5</f>
        <v/>
      </c>
      <c r="AJ91" s="0">
        <f>+AG91*AI91/I91*E91</f>
        <v/>
      </c>
      <c r="AK91" s="0">
        <f t="array" ref="AK91">+S91*テーブル2[[#This Row],[F_form]]/(E91*CpFromTP((テーブル2[[#This Row],[Tin]]+テーブル2[[#This Row],[Tf]])/2,テーブル2[[#This Row],[P]])*AI91)</f>
        <v/>
      </c>
      <c r="AL91" s="0">
        <f>+K91*I91/J91</f>
        <v/>
      </c>
      <c r="AM91" s="0">
        <f>+gettyp(AC91,AJ91,AK91,AL91)</f>
        <v/>
      </c>
      <c r="AN91" s="0">
        <f>+C91-AM91</f>
        <v/>
      </c>
      <c r="AO91" s="0">
        <f>+AG91-AB91</f>
        <v/>
      </c>
      <c r="AP91" s="0" t="n">
        <v>2.004481835088249</v>
      </c>
      <c r="AQ91" s="0">
        <f>2*PI()*L91*(D91+E91)/(D91*E91*AP91^2)</f>
        <v/>
      </c>
      <c r="AR91" s="0">
        <f>+AO91+AB91/2</f>
        <v/>
      </c>
      <c r="AS91" s="0">
        <f>+AR91*AI91/I91*E91</f>
        <v/>
      </c>
      <c r="AT91" s="0">
        <f>+getublp(AS91)</f>
        <v/>
      </c>
      <c r="AU91" s="0">
        <f>+AT91*AI91</f>
        <v/>
      </c>
      <c r="AV91" s="0">
        <f>+AP91-AU91</f>
        <v/>
      </c>
      <c r="AW91" s="0">
        <f>2/3*AB91/(L91/(9.8*(E91-D91)))^0.5</f>
        <v/>
      </c>
      <c r="AX91" s="0">
        <f>+(2*AQ91*9.8*(E91-D91)/(E91*AW91))^0.5</f>
        <v/>
      </c>
      <c r="AY91" s="0">
        <f>+AV91-AX91</f>
        <v/>
      </c>
      <c r="AZ91" s="0">
        <f>+F91-G91</f>
        <v/>
      </c>
      <c r="BA91" s="0">
        <f>+AQ91/AP91</f>
        <v/>
      </c>
      <c r="BB91" s="15">
        <f>+E91*AO91*AZ91/BA91</f>
        <v/>
      </c>
      <c r="BC91" s="20">
        <f>BB91-S91</f>
        <v/>
      </c>
      <c r="BD91" s="19">
        <f>+(BB91-S91)/S91*100</f>
        <v/>
      </c>
      <c r="BE91" s="15" t="n">
        <v>1463730.10570925</v>
      </c>
      <c r="BF91" s="16">
        <f>テーブル2[[#This Row],[q_P]]/テーブル2[[#This Row],[q_M]]</f>
        <v/>
      </c>
      <c r="BG91" s="0" t="n">
        <v>1</v>
      </c>
      <c r="BH91" s="0" t="n">
        <v>0.398</v>
      </c>
      <c r="BI91" s="0" t="n">
        <v>0.046</v>
      </c>
      <c r="BJ91" s="0" t="n">
        <v>5625</v>
      </c>
      <c r="BK91" s="22" t="n">
        <v>1</v>
      </c>
      <c r="BL91" s="0">
        <f>テーブル2[[#This Row],[Ts]]-テーブル2[[#This Row],[Tin]]</f>
        <v/>
      </c>
      <c r="BM91" s="0">
        <f>テーブル2[[#This Row],[q_P]]*0.000001</f>
        <v/>
      </c>
      <c r="BN91" s="0">
        <f>テーブル2[[#This Row],[Tsub]]</f>
        <v/>
      </c>
      <c r="BO91" s="0">
        <f>テーブル2[[#This Row],[Fcorr]]</f>
        <v/>
      </c>
      <c r="BP91" s="0">
        <f>(テーブル2[[#This Row],[Tsub]]-40)^2</f>
        <v/>
      </c>
      <c r="BQ91" t="n">
        <v>1</v>
      </c>
      <c r="BR91" s="0" t="n">
        <v>1.524</v>
      </c>
    </row>
    <row r="92">
      <c r="A92" s="9" t="inlineStr">
        <is>
          <t>90.03_8</t>
        </is>
      </c>
      <c r="B92" s="0" t="n">
        <v>11100559.2420011</v>
      </c>
      <c r="C92" s="22">
        <f t="array" ref="C92">TsatFromP(テーブル2[[#This Row],[P]])</f>
        <v/>
      </c>
      <c r="D92" s="0">
        <f t="array" ref="D92">RhoGFromP(テーブル2[[#This Row],[P]])</f>
        <v/>
      </c>
      <c r="E92" s="0">
        <f t="array" ref="E92">RhoFFromP(テーブル2[[#This Row],[P]])</f>
        <v/>
      </c>
      <c r="F92" s="0">
        <f t="array" ref="F92">HgFromP(テーブル2[[#This Row],[P]])</f>
        <v/>
      </c>
      <c r="G92" s="0">
        <f t="array" ref="G92">HfFromP(テーブル2[[#This Row],[P]])</f>
        <v/>
      </c>
      <c r="H92" s="0">
        <f t="array" ref="H92">MuGFromP(テーブル2[[#This Row],[P]])</f>
        <v/>
      </c>
      <c r="I92" s="0">
        <f t="array" ref="I92">MuFFromP(テーブル2[[#This Row],[P]])</f>
        <v/>
      </c>
      <c r="J92" s="0">
        <f t="array" ref="J92">KfFromP(テーブル2[[#This Row],[P]])</f>
        <v/>
      </c>
      <c r="K92" s="0">
        <f t="array" ref="K92">CpFFromP(テーブル2[[#This Row],[P]])</f>
        <v/>
      </c>
      <c r="L92" s="0">
        <f t="array" ref="L92">SigmaFromP(テーブル2[[#This Row],[P]])</f>
        <v/>
      </c>
      <c r="M92" s="0" t="n">
        <v>91</v>
      </c>
      <c r="N92" s="0" t="n">
        <v>1017.17242424647</v>
      </c>
      <c r="O92" s="8">
        <f>PI()*Q92^2/4</f>
        <v/>
      </c>
      <c r="P92" s="8">
        <f>PI()*Q92</f>
        <v/>
      </c>
      <c r="Q92" s="8" t="n">
        <v>0.0093472</v>
      </c>
      <c r="R92" s="0" t="n">
        <v>1.524</v>
      </c>
      <c r="S92" s="15" t="n">
        <v>251440.26521875</v>
      </c>
      <c r="T92" s="0" t="n">
        <v>563.2006500778079</v>
      </c>
      <c r="U92" s="37">
        <f>+T92+BG92*S92*テーブル2[[#This Row],[Pw]]*R92/(N92*O92*K92)</f>
        <v/>
      </c>
      <c r="V92" s="0" t="n">
        <v>0.03</v>
      </c>
      <c r="W92" s="8">
        <f>+N92*Q92/I92</f>
        <v/>
      </c>
      <c r="X92" s="0" t="n">
        <v>0.04101607726835014</v>
      </c>
      <c r="Y92" s="0">
        <f>IF(X92&gt;0,1/X92^0.5,1)</f>
        <v/>
      </c>
      <c r="Z92" s="0">
        <f>IF(X92&gt;0,1.14-2*LOG((0.72*L92*E92)/(X92*Q92*N92^2)+9.35/(W92*X92^0.5)),0)</f>
        <v/>
      </c>
      <c r="AA92" s="0">
        <f>+Y92-Z92</f>
        <v/>
      </c>
      <c r="AB92" s="0">
        <f>32/X92*L92*V92*E92/N92^2</f>
        <v/>
      </c>
      <c r="AC92" s="0" t="n">
        <v>602.8127449964394</v>
      </c>
      <c r="AD92" s="0">
        <f>+Q92/2*AI92/I92*E92</f>
        <v/>
      </c>
      <c r="AE92" s="0">
        <f>+gettm2(AD92,AC92,AK92,AL92,テーブル2[[#This Row],[Fcorr]])</f>
        <v/>
      </c>
      <c r="AF92" s="38">
        <f>+AE92-U92</f>
        <v/>
      </c>
      <c r="AG92" s="0" t="n">
        <v>0.0001525905305157188</v>
      </c>
      <c r="AH92" s="0">
        <f>+X92*N92^2/(8*E92)</f>
        <v/>
      </c>
      <c r="AI92" s="0">
        <f>+(AH92/E92)^0.5</f>
        <v/>
      </c>
      <c r="AJ92" s="0">
        <f>+AG92*AI92/I92*E92</f>
        <v/>
      </c>
      <c r="AK92" s="0">
        <f t="array" ref="AK92">+S92*テーブル2[[#This Row],[F_form]]/(E92*CpFromTP((テーブル2[[#This Row],[Tin]]+テーブル2[[#This Row],[Tf]])/2,テーブル2[[#This Row],[P]])*AI92)</f>
        <v/>
      </c>
      <c r="AL92" s="0">
        <f>+K92*I92/J92</f>
        <v/>
      </c>
      <c r="AM92" s="0">
        <f>+gettyp(AC92,AJ92,AK92,AL92)</f>
        <v/>
      </c>
      <c r="AN92" s="0">
        <f>+C92-AM92</f>
        <v/>
      </c>
      <c r="AO92" s="0">
        <f>+AG92-AB92</f>
        <v/>
      </c>
      <c r="AP92" s="0" t="n">
        <v>2.002778060832495</v>
      </c>
      <c r="AQ92" s="0">
        <f>2*PI()*L92*(D92+E92)/(D92*E92*AP92^2)</f>
        <v/>
      </c>
      <c r="AR92" s="0">
        <f>+AO92+AB92/2</f>
        <v/>
      </c>
      <c r="AS92" s="0">
        <f>+AR92*AI92/I92*E92</f>
        <v/>
      </c>
      <c r="AT92" s="0">
        <f>+getublp(AS92)</f>
        <v/>
      </c>
      <c r="AU92" s="0">
        <f>+AT92*AI92</f>
        <v/>
      </c>
      <c r="AV92" s="0">
        <f>+AP92-AU92</f>
        <v/>
      </c>
      <c r="AW92" s="0">
        <f>2/3*AB92/(L92/(9.8*(E92-D92)))^0.5</f>
        <v/>
      </c>
      <c r="AX92" s="0">
        <f>+(2*AQ92*9.8*(E92-D92)/(E92*AW92))^0.5</f>
        <v/>
      </c>
      <c r="AY92" s="0">
        <f>+AV92-AX92</f>
        <v/>
      </c>
      <c r="AZ92" s="0">
        <f>+F92-G92</f>
        <v/>
      </c>
      <c r="BA92" s="0">
        <f>+AQ92/AP92</f>
        <v/>
      </c>
      <c r="BB92" s="15">
        <f>+E92*AO92*AZ92/BA92</f>
        <v/>
      </c>
      <c r="BC92" s="20">
        <f>BB92-S92</f>
        <v/>
      </c>
      <c r="BD92" s="19">
        <f>+(BB92-S92)/S92*100</f>
        <v/>
      </c>
      <c r="BE92" s="15" t="n">
        <v>1117356.04190133</v>
      </c>
      <c r="BF92" s="16">
        <f>テーブル2[[#This Row],[q_P]]/テーブル2[[#This Row],[q_M]]</f>
        <v/>
      </c>
      <c r="BG92" s="0" t="n">
        <v>1</v>
      </c>
      <c r="BH92" s="0" t="n">
        <v>0.44</v>
      </c>
      <c r="BI92" s="0" t="n">
        <v>0.046</v>
      </c>
      <c r="BJ92" s="0" t="n">
        <v>5625</v>
      </c>
      <c r="BK92" s="22" t="n">
        <v>1</v>
      </c>
      <c r="BL92" s="0">
        <f>テーブル2[[#This Row],[Ts]]-テーブル2[[#This Row],[Tin]]</f>
        <v/>
      </c>
      <c r="BM92" s="0">
        <f>テーブル2[[#This Row],[q_P]]*0.000001</f>
        <v/>
      </c>
      <c r="BN92" s="0">
        <f>テーブル2[[#This Row],[Tsub]]</f>
        <v/>
      </c>
      <c r="BO92" s="0">
        <f>テーブル2[[#This Row],[Fcorr]]</f>
        <v/>
      </c>
      <c r="BP92" s="0">
        <f>(テーブル2[[#This Row],[Tsub]]-40)^2</f>
        <v/>
      </c>
      <c r="BQ92" t="n">
        <v>1</v>
      </c>
      <c r="BR92" s="0" t="n">
        <v>1.524</v>
      </c>
    </row>
    <row r="93">
      <c r="A93" s="9" t="inlineStr">
        <is>
          <t>91.03_8</t>
        </is>
      </c>
      <c r="B93" s="0" t="n">
        <v>11100559.2420011</v>
      </c>
      <c r="C93" s="22">
        <f t="array" ref="C93">TsatFromP(テーブル2[[#This Row],[P]])</f>
        <v/>
      </c>
      <c r="D93" s="0">
        <f t="array" ref="D93">RhoGFromP(テーブル2[[#This Row],[P]])</f>
        <v/>
      </c>
      <c r="E93" s="0">
        <f t="array" ref="E93">RhoFFromP(テーブル2[[#This Row],[P]])</f>
        <v/>
      </c>
      <c r="F93" s="0">
        <f t="array" ref="F93">HgFromP(テーブル2[[#This Row],[P]])</f>
        <v/>
      </c>
      <c r="G93" s="0">
        <f t="array" ref="G93">HfFromP(テーブル2[[#This Row],[P]])</f>
        <v/>
      </c>
      <c r="H93" s="0">
        <f t="array" ref="H93">MuGFromP(テーブル2[[#This Row],[P]])</f>
        <v/>
      </c>
      <c r="I93" s="0">
        <f t="array" ref="I93">MuFFromP(テーブル2[[#This Row],[P]])</f>
        <v/>
      </c>
      <c r="J93" s="0">
        <f t="array" ref="J93">KfFromP(テーブル2[[#This Row],[P]])</f>
        <v/>
      </c>
      <c r="K93" s="0">
        <f t="array" ref="K93">CpFFromP(テーブル2[[#This Row],[P]])</f>
        <v/>
      </c>
      <c r="L93" s="0">
        <f t="array" ref="L93">SigmaFromP(テーブル2[[#This Row],[P]])</f>
        <v/>
      </c>
      <c r="M93" s="0" t="n">
        <v>92</v>
      </c>
      <c r="N93" s="0" t="n">
        <v>1017.17242424647</v>
      </c>
      <c r="O93" s="8">
        <f>PI()*Q93^2/4</f>
        <v/>
      </c>
      <c r="P93" s="8">
        <f>PI()*Q93</f>
        <v/>
      </c>
      <c r="Q93" s="8" t="n">
        <v>0.0093472</v>
      </c>
      <c r="R93" s="0" t="n">
        <v>1.524</v>
      </c>
      <c r="S93" s="15" t="n">
        <v>251440.26521875</v>
      </c>
      <c r="T93" s="0" t="n">
        <v>563.2006500778079</v>
      </c>
      <c r="U93" s="37">
        <f>+T93+BG93*S93*テーブル2[[#This Row],[Pw]]*R93/(N93*O93*K93)</f>
        <v/>
      </c>
      <c r="V93" s="0" t="n">
        <v>0.03</v>
      </c>
      <c r="W93" s="8">
        <f>+N93*Q93/I93</f>
        <v/>
      </c>
      <c r="X93" s="0" t="n">
        <v>0.04101607726835014</v>
      </c>
      <c r="Y93" s="0">
        <f>IF(X93&gt;0,1/X93^0.5,1)</f>
        <v/>
      </c>
      <c r="Z93" s="0">
        <f>IF(X93&gt;0,1.14-2*LOG((0.72*L93*E93)/(X93*Q93*N93^2)+9.35/(W93*X93^0.5)),0)</f>
        <v/>
      </c>
      <c r="AA93" s="0">
        <f>+Y93-Z93</f>
        <v/>
      </c>
      <c r="AB93" s="0">
        <f>32/X93*L93*V93*E93/N93^2</f>
        <v/>
      </c>
      <c r="AC93" s="0" t="n">
        <v>602.8127449964394</v>
      </c>
      <c r="AD93" s="0">
        <f>+Q93/2*AI93/I93*E93</f>
        <v/>
      </c>
      <c r="AE93" s="0">
        <f>+gettm2(AD93,AC93,AK93,AL93,テーブル2[[#This Row],[Fcorr]])</f>
        <v/>
      </c>
      <c r="AF93" s="38">
        <f>+AE93-U93</f>
        <v/>
      </c>
      <c r="AG93" s="0" t="n">
        <v>0.0001525905305157188</v>
      </c>
      <c r="AH93" s="0">
        <f>+X93*N93^2/(8*E93)</f>
        <v/>
      </c>
      <c r="AI93" s="0">
        <f>+(AH93/E93)^0.5</f>
        <v/>
      </c>
      <c r="AJ93" s="0">
        <f>+AG93*AI93/I93*E93</f>
        <v/>
      </c>
      <c r="AK93" s="0">
        <f t="array" ref="AK93">+S93*テーブル2[[#This Row],[F_form]]/(E93*CpFromTP((テーブル2[[#This Row],[Tin]]+テーブル2[[#This Row],[Tf]])/2,テーブル2[[#This Row],[P]])*AI93)</f>
        <v/>
      </c>
      <c r="AL93" s="0">
        <f>+K93*I93/J93</f>
        <v/>
      </c>
      <c r="AM93" s="0">
        <f>+gettyp(AC93,AJ93,AK93,AL93)</f>
        <v/>
      </c>
      <c r="AN93" s="0">
        <f>+C93-AM93</f>
        <v/>
      </c>
      <c r="AO93" s="0">
        <f>+AG93-AB93</f>
        <v/>
      </c>
      <c r="AP93" s="0" t="n">
        <v>2.002778060832495</v>
      </c>
      <c r="AQ93" s="0">
        <f>2*PI()*L93*(D93+E93)/(D93*E93*AP93^2)</f>
        <v/>
      </c>
      <c r="AR93" s="0">
        <f>+AO93+AB93/2</f>
        <v/>
      </c>
      <c r="AS93" s="0">
        <f>+AR93*AI93/I93*E93</f>
        <v/>
      </c>
      <c r="AT93" s="0">
        <f>+getublp(AS93)</f>
        <v/>
      </c>
      <c r="AU93" s="0">
        <f>+AT93*AI93</f>
        <v/>
      </c>
      <c r="AV93" s="0">
        <f>+AP93-AU93</f>
        <v/>
      </c>
      <c r="AW93" s="0">
        <f>2/3*AB93/(L93/(9.8*(E93-D93)))^0.5</f>
        <v/>
      </c>
      <c r="AX93" s="0">
        <f>+(2*AQ93*9.8*(E93-D93)/(E93*AW93))^0.5</f>
        <v/>
      </c>
      <c r="AY93" s="0">
        <f>+AV93-AX93</f>
        <v/>
      </c>
      <c r="AZ93" s="0">
        <f>+F93-G93</f>
        <v/>
      </c>
      <c r="BA93" s="0">
        <f>+AQ93/AP93</f>
        <v/>
      </c>
      <c r="BB93" s="15">
        <f>+E93*AO93*AZ93/BA93</f>
        <v/>
      </c>
      <c r="BC93" s="20">
        <f>BB93-S93</f>
        <v/>
      </c>
      <c r="BD93" s="19">
        <f>+(BB93-S93)/S93*100</f>
        <v/>
      </c>
      <c r="BE93" s="15" t="n">
        <v>1123980.68246596</v>
      </c>
      <c r="BF93" s="16">
        <f>テーブル2[[#This Row],[q_P]]/テーブル2[[#This Row],[q_M]]</f>
        <v/>
      </c>
      <c r="BG93" s="0" t="n">
        <v>1</v>
      </c>
      <c r="BH93" s="0" t="n">
        <v>0.444</v>
      </c>
      <c r="BI93" s="0" t="n">
        <v>0.046</v>
      </c>
      <c r="BJ93" s="0" t="n">
        <v>5625</v>
      </c>
      <c r="BK93" s="22" t="n">
        <v>1</v>
      </c>
      <c r="BL93" s="0">
        <f>テーブル2[[#This Row],[Ts]]-テーブル2[[#This Row],[Tin]]</f>
        <v/>
      </c>
      <c r="BM93" s="0">
        <f>テーブル2[[#This Row],[q_P]]*0.000001</f>
        <v/>
      </c>
      <c r="BN93" s="0">
        <f>テーブル2[[#This Row],[Tsub]]</f>
        <v/>
      </c>
      <c r="BO93" s="0">
        <f>テーブル2[[#This Row],[Fcorr]]</f>
        <v/>
      </c>
      <c r="BP93" s="0">
        <f>(テーブル2[[#This Row],[Tsub]]-40)^2</f>
        <v/>
      </c>
      <c r="BQ93" t="n">
        <v>1</v>
      </c>
      <c r="BR93" s="0" t="n">
        <v>1.524</v>
      </c>
    </row>
    <row r="94">
      <c r="A94" s="9" t="inlineStr">
        <is>
          <t>92.03_8</t>
        </is>
      </c>
      <c r="B94" s="0" t="n">
        <v>10997137.8826035</v>
      </c>
      <c r="C94" s="22">
        <f t="array" ref="C94">TsatFromP(テーブル2[[#This Row],[P]])</f>
        <v/>
      </c>
      <c r="D94" s="0">
        <f t="array" ref="D94">RhoGFromP(テーブル2[[#This Row],[P]])</f>
        <v/>
      </c>
      <c r="E94" s="0">
        <f t="array" ref="E94">RhoFFromP(テーブル2[[#This Row],[P]])</f>
        <v/>
      </c>
      <c r="F94" s="0">
        <f t="array" ref="F94">HgFromP(テーブル2[[#This Row],[P]])</f>
        <v/>
      </c>
      <c r="G94" s="0">
        <f t="array" ref="G94">HfFromP(テーブル2[[#This Row],[P]])</f>
        <v/>
      </c>
      <c r="H94" s="0">
        <f t="array" ref="H94">MuGFromP(テーブル2[[#This Row],[P]])</f>
        <v/>
      </c>
      <c r="I94" s="0">
        <f t="array" ref="I94">MuFFromP(テーブル2[[#This Row],[P]])</f>
        <v/>
      </c>
      <c r="J94" s="0">
        <f t="array" ref="J94">KfFromP(テーブル2[[#This Row],[P]])</f>
        <v/>
      </c>
      <c r="K94" s="0">
        <f t="array" ref="K94">CpFFromP(テーブル2[[#This Row],[P]])</f>
        <v/>
      </c>
      <c r="L94" s="0">
        <f t="array" ref="L94">SigmaFromP(テーブル2[[#This Row],[P]])</f>
        <v/>
      </c>
      <c r="M94" s="0" t="n">
        <v>93</v>
      </c>
      <c r="N94" s="0" t="n">
        <v>2034.34484849294</v>
      </c>
      <c r="O94" s="8">
        <f>PI()*Q94^2/4</f>
        <v/>
      </c>
      <c r="P94" s="8">
        <f>PI()*Q94</f>
        <v/>
      </c>
      <c r="Q94" s="8" t="n">
        <v>0.0093472</v>
      </c>
      <c r="R94" s="0" t="n">
        <v>1.524</v>
      </c>
      <c r="S94" s="15" t="n">
        <v>1299408.29296875</v>
      </c>
      <c r="T94" s="0" t="n">
        <v>508.017177249289</v>
      </c>
      <c r="U94" s="37">
        <f>+T94+BG94*S94*テーブル2[[#This Row],[Pw]]*R94/(N94*O94*K94)</f>
        <v/>
      </c>
      <c r="V94" s="0" t="n">
        <v>0.03</v>
      </c>
      <c r="W94" s="8">
        <f>+N94*Q94/I94</f>
        <v/>
      </c>
      <c r="X94" s="0" t="n">
        <v>0.0294923000387049</v>
      </c>
      <c r="Y94" s="0">
        <f>IF(X94&gt;0,1/X94^0.5,1)</f>
        <v/>
      </c>
      <c r="Z94" s="0">
        <f>IF(X94&gt;0,1.14-2*LOG((0.72*L94*E94)/(X94*Q94*N94^2)+9.35/(W94*X94^0.5)),0)</f>
        <v/>
      </c>
      <c r="AA94" s="0">
        <f>+Y94-Z94</f>
        <v/>
      </c>
      <c r="AB94" s="0">
        <f>32/X94*L94*V94*E94/N94^2</f>
        <v/>
      </c>
      <c r="AC94" s="0" t="n">
        <v>626.048034722202</v>
      </c>
      <c r="AD94" s="0">
        <f>+Q94/2*AI94/I94*E94</f>
        <v/>
      </c>
      <c r="AE94" s="0">
        <f>+gettm2(AD94,AC94,AK94,AL94,テーブル2[[#This Row],[Fcorr]])</f>
        <v/>
      </c>
      <c r="AF94" s="38">
        <f>+AE94-U94</f>
        <v/>
      </c>
      <c r="AG94" s="0" t="n">
        <v>5.401232532954197e-05</v>
      </c>
      <c r="AH94" s="0">
        <f>+X94*N94^2/(8*E94)</f>
        <v/>
      </c>
      <c r="AI94" s="0">
        <f>+(AH94/E94)^0.5</f>
        <v/>
      </c>
      <c r="AJ94" s="0">
        <f>+AG94*AI94/I94*E94</f>
        <v/>
      </c>
      <c r="AK94" s="0">
        <f t="array" ref="AK94">+S94*テーブル2[[#This Row],[F_form]]/(E94*CpFromTP((テーブル2[[#This Row],[Tin]]+テーブル2[[#This Row],[Tf]])/2,テーブル2[[#This Row],[P]])*AI94)</f>
        <v/>
      </c>
      <c r="AL94" s="0">
        <f>+K94*I94/J94</f>
        <v/>
      </c>
      <c r="AM94" s="0">
        <f>+gettyp(AC94,AJ94,AK94,AL94)</f>
        <v/>
      </c>
      <c r="AN94" s="0">
        <f>+C94-AM94</f>
        <v/>
      </c>
      <c r="AO94" s="0">
        <f>+AG94-AB94</f>
        <v/>
      </c>
      <c r="AP94" s="0" t="n">
        <v>3.013989242627553</v>
      </c>
      <c r="AQ94" s="0">
        <f>2*PI()*L94*(D94+E94)/(D94*E94*AP94^2)</f>
        <v/>
      </c>
      <c r="AR94" s="0">
        <f>+AO94+AB94/2</f>
        <v/>
      </c>
      <c r="AS94" s="0">
        <f>+AR94*AI94/I94*E94</f>
        <v/>
      </c>
      <c r="AT94" s="0">
        <f>+getublp(AS94)</f>
        <v/>
      </c>
      <c r="AU94" s="0">
        <f>+AT94*AI94</f>
        <v/>
      </c>
      <c r="AV94" s="0">
        <f>+AP94-AU94</f>
        <v/>
      </c>
      <c r="AW94" s="0">
        <f>2/3*AB94/(L94/(9.8*(E94-D94)))^0.5</f>
        <v/>
      </c>
      <c r="AX94" s="0">
        <f>+(2*AQ94*9.8*(E94-D94)/(E94*AW94))^0.5</f>
        <v/>
      </c>
      <c r="AY94" s="0">
        <f>+AV94-AX94</f>
        <v/>
      </c>
      <c r="AZ94" s="0">
        <f>+F94-G94</f>
        <v/>
      </c>
      <c r="BA94" s="0">
        <f>+AQ94/AP94</f>
        <v/>
      </c>
      <c r="BB94" s="15">
        <f>+E94*AO94*AZ94/BA94</f>
        <v/>
      </c>
      <c r="BC94" s="20">
        <f>BB94-S94</f>
        <v/>
      </c>
      <c r="BD94" s="19">
        <f>+(BB94-S94)/S94*100</f>
        <v/>
      </c>
      <c r="BE94" s="15" t="n">
        <v>1988969.46476225</v>
      </c>
      <c r="BF94" s="16">
        <f>テーブル2[[#This Row],[q_P]]/テーブル2[[#This Row],[q_M]]</f>
        <v/>
      </c>
      <c r="BG94" s="0" t="n">
        <v>1</v>
      </c>
      <c r="BH94" s="0" t="n">
        <v>0.151</v>
      </c>
      <c r="BI94" s="0" t="n">
        <v>0.046</v>
      </c>
      <c r="BJ94" s="0" t="n">
        <v>5625</v>
      </c>
      <c r="BK94" s="22" t="n">
        <v>1</v>
      </c>
      <c r="BL94" s="0">
        <f>テーブル2[[#This Row],[Ts]]-テーブル2[[#This Row],[Tin]]</f>
        <v/>
      </c>
      <c r="BM94" s="0">
        <f>テーブル2[[#This Row],[q_P]]*0.000001</f>
        <v/>
      </c>
      <c r="BN94" s="0">
        <f>テーブル2[[#This Row],[Tsub]]</f>
        <v/>
      </c>
      <c r="BO94" s="0">
        <f>テーブル2[[#This Row],[Fcorr]]</f>
        <v/>
      </c>
      <c r="BP94" s="0">
        <f>(テーブル2[[#This Row],[Tsub]]-40)^2</f>
        <v/>
      </c>
      <c r="BQ94" t="n">
        <v>1</v>
      </c>
      <c r="BR94" s="0" t="n">
        <v>1.524</v>
      </c>
    </row>
    <row r="95">
      <c r="A95" s="9" t="inlineStr">
        <is>
          <t>93.03_8</t>
        </is>
      </c>
      <c r="B95" s="0" t="n">
        <v>11031611.6690694</v>
      </c>
      <c r="C95" s="22">
        <f t="array" ref="C95">TsatFromP(テーブル2[[#This Row],[P]])</f>
        <v/>
      </c>
      <c r="D95" s="0">
        <f t="array" ref="D95">RhoGFromP(テーブル2[[#This Row],[P]])</f>
        <v/>
      </c>
      <c r="E95" s="0">
        <f t="array" ref="E95">RhoFFromP(テーブル2[[#This Row],[P]])</f>
        <v/>
      </c>
      <c r="F95" s="0">
        <f t="array" ref="F95">HgFromP(テーブル2[[#This Row],[P]])</f>
        <v/>
      </c>
      <c r="G95" s="0">
        <f t="array" ref="G95">HfFromP(テーブル2[[#This Row],[P]])</f>
        <v/>
      </c>
      <c r="H95" s="0">
        <f t="array" ref="H95">MuGFromP(テーブル2[[#This Row],[P]])</f>
        <v/>
      </c>
      <c r="I95" s="0">
        <f t="array" ref="I95">MuFFromP(テーブル2[[#This Row],[P]])</f>
        <v/>
      </c>
      <c r="J95" s="0">
        <f t="array" ref="J95">KfFromP(テーブル2[[#This Row],[P]])</f>
        <v/>
      </c>
      <c r="K95" s="0">
        <f t="array" ref="K95">CpFFromP(テーブル2[[#This Row],[P]])</f>
        <v/>
      </c>
      <c r="L95" s="0">
        <f t="array" ref="L95">SigmaFromP(テーブル2[[#This Row],[P]])</f>
        <v/>
      </c>
      <c r="M95" s="0" t="n">
        <v>94</v>
      </c>
      <c r="N95" s="0" t="n">
        <v>2034.34484849294</v>
      </c>
      <c r="O95" s="8">
        <f>PI()*Q95^2/4</f>
        <v/>
      </c>
      <c r="P95" s="8">
        <f>PI()*Q95</f>
        <v/>
      </c>
      <c r="Q95" s="8" t="n">
        <v>0.0093472</v>
      </c>
      <c r="R95" s="0" t="n">
        <v>1.524</v>
      </c>
      <c r="S95" s="15" t="n">
        <v>451398.55546875</v>
      </c>
      <c r="T95" s="0" t="n">
        <v>563.2208542548821</v>
      </c>
      <c r="U95" s="37">
        <f>+T95+BG95*S95*テーブル2[[#This Row],[Pw]]*R95/(N95*O95*K95)</f>
        <v/>
      </c>
      <c r="V95" s="0" t="n">
        <v>0.03</v>
      </c>
      <c r="W95" s="8">
        <f>+N95*Q95/I95</f>
        <v/>
      </c>
      <c r="X95" s="0" t="n">
        <v>0.02945536501496401</v>
      </c>
      <c r="Y95" s="0">
        <f>IF(X95&gt;0,1/X95^0.5,1)</f>
        <v/>
      </c>
      <c r="Z95" s="0">
        <f>IF(X95&gt;0,1.14-2*LOG((0.72*L95*E95)/(X95*Q95*N95^2)+9.35/(W95*X95^0.5)),0)</f>
        <v/>
      </c>
      <c r="AA95" s="0">
        <f>+Y95-Z95</f>
        <v/>
      </c>
      <c r="AB95" s="0">
        <f>32/X95*L95*V95*E95/N95^2</f>
        <v/>
      </c>
      <c r="AC95" s="0" t="n">
        <v>602.197257470987</v>
      </c>
      <c r="AD95" s="0">
        <f>+Q95/2*AI95/I95*E95</f>
        <v/>
      </c>
      <c r="AE95" s="0">
        <f>+gettm2(AD95,AC95,AK95,AL95,テーブル2[[#This Row],[Fcorr]])</f>
        <v/>
      </c>
      <c r="AF95" s="38">
        <f>+AE95-U95</f>
        <v/>
      </c>
      <c r="AG95" s="0" t="n">
        <v>5.373483873949333e-05</v>
      </c>
      <c r="AH95" s="0">
        <f>+X95*N95^2/(8*E95)</f>
        <v/>
      </c>
      <c r="AI95" s="0">
        <f>+(AH95/E95)^0.5</f>
        <v/>
      </c>
      <c r="AJ95" s="0">
        <f>+AG95*AI95/I95*E95</f>
        <v/>
      </c>
      <c r="AK95" s="0">
        <f t="array" ref="AK95">+S95*テーブル2[[#This Row],[F_form]]/(E95*CpFromTP((テーブル2[[#This Row],[Tin]]+テーブル2[[#This Row],[Tf]])/2,テーブル2[[#This Row],[P]])*AI95)</f>
        <v/>
      </c>
      <c r="AL95" s="0">
        <f>+K95*I95/J95</f>
        <v/>
      </c>
      <c r="AM95" s="0">
        <f>+gettyp(AC95,AJ95,AK95,AL95)</f>
        <v/>
      </c>
      <c r="AN95" s="0">
        <f>+C95-AM95</f>
        <v/>
      </c>
      <c r="AO95" s="0">
        <f>+AG95-AB95</f>
        <v/>
      </c>
      <c r="AP95" s="0" t="n">
        <v>3.011454611463753</v>
      </c>
      <c r="AQ95" s="0">
        <f>2*PI()*L95*(D95+E95)/(D95*E95*AP95^2)</f>
        <v/>
      </c>
      <c r="AR95" s="0">
        <f>+AO95+AB95/2</f>
        <v/>
      </c>
      <c r="AS95" s="0">
        <f>+AR95*AI95/I95*E95</f>
        <v/>
      </c>
      <c r="AT95" s="0">
        <f>+getublp(AS95)</f>
        <v/>
      </c>
      <c r="AU95" s="0">
        <f>+AT95*AI95</f>
        <v/>
      </c>
      <c r="AV95" s="0">
        <f>+AP95-AU95</f>
        <v/>
      </c>
      <c r="AW95" s="0">
        <f>2/3*AB95/(L95/(9.8*(E95-D95)))^0.5</f>
        <v/>
      </c>
      <c r="AX95" s="0">
        <f>+(2*AQ95*9.8*(E95-D95)/(E95*AW95))^0.5</f>
        <v/>
      </c>
      <c r="AY95" s="0">
        <f>+AV95-AX95</f>
        <v/>
      </c>
      <c r="AZ95" s="0">
        <f>+F95-G95</f>
        <v/>
      </c>
      <c r="BA95" s="0">
        <f>+AQ95/AP95</f>
        <v/>
      </c>
      <c r="BB95" s="15">
        <f>+E95*AO95*AZ95/BA95</f>
        <v/>
      </c>
      <c r="BC95" s="20">
        <f>BB95-S95</f>
        <v/>
      </c>
      <c r="BD95" s="19">
        <f>+(BB95-S95)/S95*100</f>
        <v/>
      </c>
      <c r="BE95" s="15" t="n">
        <v>1385496.25523169</v>
      </c>
      <c r="BF95" s="16">
        <f>テーブル2[[#This Row],[q_P]]/テーブル2[[#This Row],[q_M]]</f>
        <v/>
      </c>
      <c r="BG95" s="0" t="n">
        <v>1</v>
      </c>
      <c r="BH95" s="0" t="n">
        <v>0.224</v>
      </c>
      <c r="BI95" s="0" t="n">
        <v>0.046</v>
      </c>
      <c r="BJ95" s="0" t="n">
        <v>5625</v>
      </c>
      <c r="BK95" s="22" t="n">
        <v>1</v>
      </c>
      <c r="BL95" s="0">
        <f>テーブル2[[#This Row],[Ts]]-テーブル2[[#This Row],[Tin]]</f>
        <v/>
      </c>
      <c r="BM95" s="0">
        <f>テーブル2[[#This Row],[q_P]]*0.000001</f>
        <v/>
      </c>
      <c r="BN95" s="0">
        <f>テーブル2[[#This Row],[Tsub]]</f>
        <v/>
      </c>
      <c r="BO95" s="0">
        <f>テーブル2[[#This Row],[Fcorr]]</f>
        <v/>
      </c>
      <c r="BP95" s="0">
        <f>(テーブル2[[#This Row],[Tsub]]-40)^2</f>
        <v/>
      </c>
      <c r="BQ95" t="n">
        <v>1</v>
      </c>
      <c r="BR95" s="0" t="n">
        <v>1.524</v>
      </c>
    </row>
    <row r="96">
      <c r="A96" s="9" t="inlineStr">
        <is>
          <t>94.03_8</t>
        </is>
      </c>
      <c r="B96" s="0" t="n">
        <v>11031611.6690694</v>
      </c>
      <c r="C96" s="22">
        <f t="array" ref="C96">TsatFromP(テーブル2[[#This Row],[P]])</f>
        <v/>
      </c>
      <c r="D96" s="0">
        <f t="array" ref="D96">RhoGFromP(テーブル2[[#This Row],[P]])</f>
        <v/>
      </c>
      <c r="E96" s="0">
        <f t="array" ref="E96">RhoFFromP(テーブル2[[#This Row],[P]])</f>
        <v/>
      </c>
      <c r="F96" s="0">
        <f t="array" ref="F96">HgFromP(テーブル2[[#This Row],[P]])</f>
        <v/>
      </c>
      <c r="G96" s="0">
        <f t="array" ref="G96">HfFromP(テーブル2[[#This Row],[P]])</f>
        <v/>
      </c>
      <c r="H96" s="0">
        <f t="array" ref="H96">MuGFromP(テーブル2[[#This Row],[P]])</f>
        <v/>
      </c>
      <c r="I96" s="0">
        <f t="array" ref="I96">MuFFromP(テーブル2[[#This Row],[P]])</f>
        <v/>
      </c>
      <c r="J96" s="0">
        <f t="array" ref="J96">KfFromP(テーブル2[[#This Row],[P]])</f>
        <v/>
      </c>
      <c r="K96" s="0">
        <f t="array" ref="K96">CpFFromP(テーブル2[[#This Row],[P]])</f>
        <v/>
      </c>
      <c r="L96" s="0">
        <f t="array" ref="L96">SigmaFromP(テーブル2[[#This Row],[P]])</f>
        <v/>
      </c>
      <c r="M96" s="0" t="n">
        <v>95</v>
      </c>
      <c r="N96" s="0" t="n">
        <v>2034.34484849294</v>
      </c>
      <c r="O96" s="8">
        <f>PI()*Q96^2/4</f>
        <v/>
      </c>
      <c r="P96" s="8">
        <f>PI()*Q96</f>
        <v/>
      </c>
      <c r="Q96" s="8" t="n">
        <v>0.0093472</v>
      </c>
      <c r="R96" s="0" t="n">
        <v>1.524</v>
      </c>
      <c r="S96" s="15" t="n">
        <v>2153254.43559375</v>
      </c>
      <c r="T96" s="0" t="n">
        <v>451.677978835117</v>
      </c>
      <c r="U96" s="37">
        <f>+T96+BG96*S96*テーブル2[[#This Row],[Pw]]*R96/(N96*O96*K96)</f>
        <v/>
      </c>
      <c r="V96" s="0" t="n">
        <v>0.03</v>
      </c>
      <c r="W96" s="8">
        <f>+N96*Q96/I96</f>
        <v/>
      </c>
      <c r="X96" s="0" t="n">
        <v>0.02945536501496401</v>
      </c>
      <c r="Y96" s="0">
        <f>IF(X96&gt;0,1/X96^0.5,1)</f>
        <v/>
      </c>
      <c r="Z96" s="0">
        <f>IF(X96&gt;0,1.14-2*LOG((0.72*L96*E96)/(X96*Q96*N96^2)+9.35/(W96*X96^0.5)),0)</f>
        <v/>
      </c>
      <c r="AA96" s="0">
        <f>+Y96-Z96</f>
        <v/>
      </c>
      <c r="AB96" s="0">
        <f>32/X96*L96*V96*E96/N96^2</f>
        <v/>
      </c>
      <c r="AC96" s="0" t="n">
        <v>653.240850996325</v>
      </c>
      <c r="AD96" s="0">
        <f>+Q96/2*AI96/I96*E96</f>
        <v/>
      </c>
      <c r="AE96" s="0">
        <f>+gettm2(AD96,AC96,AK96,AL96,テーブル2[[#This Row],[Fcorr]])</f>
        <v/>
      </c>
      <c r="AF96" s="38">
        <f>+AE96-U96</f>
        <v/>
      </c>
      <c r="AG96" s="0" t="n">
        <v>5.381792299477392e-05</v>
      </c>
      <c r="AH96" s="0">
        <f>+X96*N96^2/(8*E96)</f>
        <v/>
      </c>
      <c r="AI96" s="0">
        <f>+(AH96/E96)^0.5</f>
        <v/>
      </c>
      <c r="AJ96" s="0">
        <f>+AG96*AI96/I96*E96</f>
        <v/>
      </c>
      <c r="AK96" s="0">
        <f t="array" ref="AK96">+S96*テーブル2[[#This Row],[F_form]]/(E96*CpFromTP((テーブル2[[#This Row],[Tin]]+テーブル2[[#This Row],[Tf]])/2,テーブル2[[#This Row],[P]])*AI96)</f>
        <v/>
      </c>
      <c r="AL96" s="0">
        <f>+K96*I96/J96</f>
        <v/>
      </c>
      <c r="AM96" s="0">
        <f>+gettyp(AC96,AJ96,AK96,AL96)</f>
        <v/>
      </c>
      <c r="AN96" s="0">
        <f>+C96-AM96</f>
        <v/>
      </c>
      <c r="AO96" s="0">
        <f>+AG96-AB96</f>
        <v/>
      </c>
      <c r="AP96" s="0" t="n">
        <v>3.012752191221872</v>
      </c>
      <c r="AQ96" s="0">
        <f>2*PI()*L96*(D96+E96)/(D96*E96*AP96^2)</f>
        <v/>
      </c>
      <c r="AR96" s="0">
        <f>+AO96+AB96/2</f>
        <v/>
      </c>
      <c r="AS96" s="0">
        <f>+AR96*AI96/I96*E96</f>
        <v/>
      </c>
      <c r="AT96" s="0">
        <f>+getublp(AS96)</f>
        <v/>
      </c>
      <c r="AU96" s="0">
        <f>+AT96*AI96</f>
        <v/>
      </c>
      <c r="AV96" s="0">
        <f>+AP96-AU96</f>
        <v/>
      </c>
      <c r="AW96" s="0">
        <f>2/3*AB96/(L96/(9.8*(E96-D96)))^0.5</f>
        <v/>
      </c>
      <c r="AX96" s="0">
        <f>+(2*AQ96*9.8*(E96-D96)/(E96*AW96))^0.5</f>
        <v/>
      </c>
      <c r="AY96" s="0">
        <f>+AV96-AX96</f>
        <v/>
      </c>
      <c r="AZ96" s="0">
        <f>+F96-G96</f>
        <v/>
      </c>
      <c r="BA96" s="0">
        <f>+AQ96/AP96</f>
        <v/>
      </c>
      <c r="BB96" s="15">
        <f>+E96*AO96*AZ96/BA96</f>
        <v/>
      </c>
      <c r="BC96" s="20">
        <f>BB96-S96</f>
        <v/>
      </c>
      <c r="BD96" s="19">
        <f>+(BB96-S96)/S96*100</f>
        <v/>
      </c>
      <c r="BE96" s="15" t="n">
        <v>2603483.74190053</v>
      </c>
      <c r="BF96" s="16">
        <f>テーブル2[[#This Row],[q_P]]/テーブル2[[#This Row],[q_M]]</f>
        <v/>
      </c>
      <c r="BG96" s="0" t="n">
        <v>1</v>
      </c>
      <c r="BH96" s="0" t="n">
        <v>0.116</v>
      </c>
      <c r="BI96" s="0" t="n">
        <v>0.046</v>
      </c>
      <c r="BJ96" s="0" t="n">
        <v>5625</v>
      </c>
      <c r="BK96" s="22" t="n">
        <v>1</v>
      </c>
      <c r="BL96" s="0">
        <f>テーブル2[[#This Row],[Ts]]-テーブル2[[#This Row],[Tin]]</f>
        <v/>
      </c>
      <c r="BM96" s="0">
        <f>テーブル2[[#This Row],[q_P]]*0.000001</f>
        <v/>
      </c>
      <c r="BN96" s="0">
        <f>テーブル2[[#This Row],[Tsub]]</f>
        <v/>
      </c>
      <c r="BO96" s="0">
        <f>テーブル2[[#This Row],[Fcorr]]</f>
        <v/>
      </c>
      <c r="BP96" s="0">
        <f>(テーブル2[[#This Row],[Tsub]]-40)^2</f>
        <v/>
      </c>
      <c r="BQ96" t="n">
        <v>1</v>
      </c>
      <c r="BR96" s="0" t="n">
        <v>1.524</v>
      </c>
    </row>
    <row r="97">
      <c r="A97" s="9" t="inlineStr">
        <is>
          <t>95.03_8</t>
        </is>
      </c>
      <c r="B97" s="0" t="n">
        <v>11066085.4555352</v>
      </c>
      <c r="C97" s="22">
        <f t="array" ref="C97">TsatFromP(テーブル2[[#This Row],[P]])</f>
        <v/>
      </c>
      <c r="D97" s="0">
        <f t="array" ref="D97">RhoGFromP(テーブル2[[#This Row],[P]])</f>
        <v/>
      </c>
      <c r="E97" s="0">
        <f t="array" ref="E97">RhoFFromP(テーブル2[[#This Row],[P]])</f>
        <v/>
      </c>
      <c r="F97" s="0">
        <f t="array" ref="F97">HgFromP(テーブル2[[#This Row],[P]])</f>
        <v/>
      </c>
      <c r="G97" s="0">
        <f t="array" ref="G97">HfFromP(テーブル2[[#This Row],[P]])</f>
        <v/>
      </c>
      <c r="H97" s="0">
        <f t="array" ref="H97">MuGFromP(テーブル2[[#This Row],[P]])</f>
        <v/>
      </c>
      <c r="I97" s="0">
        <f t="array" ref="I97">MuFFromP(テーブル2[[#This Row],[P]])</f>
        <v/>
      </c>
      <c r="J97" s="0">
        <f t="array" ref="J97">KfFromP(テーブル2[[#This Row],[P]])</f>
        <v/>
      </c>
      <c r="K97" s="0">
        <f t="array" ref="K97">CpFFromP(テーブル2[[#This Row],[P]])</f>
        <v/>
      </c>
      <c r="L97" s="0">
        <f t="array" ref="L97">SigmaFromP(テーブル2[[#This Row],[P]])</f>
        <v/>
      </c>
      <c r="M97" s="0" t="n">
        <v>96</v>
      </c>
      <c r="N97" s="0" t="n">
        <v>2034.34484849294</v>
      </c>
      <c r="O97" s="8">
        <f>PI()*Q97^2/4</f>
        <v/>
      </c>
      <c r="P97" s="8">
        <f>PI()*Q97</f>
        <v/>
      </c>
      <c r="Q97" s="8" t="n">
        <v>0.0093472</v>
      </c>
      <c r="R97" s="0" t="n">
        <v>1.524</v>
      </c>
      <c r="S97" s="15" t="n">
        <v>451329.86321875</v>
      </c>
      <c r="T97" s="0" t="n">
        <v>563.492301288788</v>
      </c>
      <c r="U97" s="37">
        <f>+T97+BG97*S97*テーブル2[[#This Row],[Pw]]*R97/(N97*O97*K97)</f>
        <v/>
      </c>
      <c r="V97" s="0" t="n">
        <v>0.03</v>
      </c>
      <c r="W97" s="8">
        <f>+N97*Q97/I97</f>
        <v/>
      </c>
      <c r="X97" s="0" t="n">
        <v>0.02941834485689978</v>
      </c>
      <c r="Y97" s="0">
        <f>IF(X97&gt;0,1/X97^0.5,1)</f>
        <v/>
      </c>
      <c r="Z97" s="0">
        <f>IF(X97&gt;0,1.14-2*LOG((0.72*L97*E97)/(X97*Q97*N97^2)+9.35/(W97*X97^0.5)),0)</f>
        <v/>
      </c>
      <c r="AA97" s="0">
        <f>+Y97-Z97</f>
        <v/>
      </c>
      <c r="AB97" s="0">
        <f>32/X97*L97*V97*E97/N97^2</f>
        <v/>
      </c>
      <c r="AC97" s="0" t="n">
        <v>602.4198668277443</v>
      </c>
      <c r="AD97" s="0">
        <f>+Q97/2*AI97/I97*E97</f>
        <v/>
      </c>
      <c r="AE97" s="0">
        <f>+gettm2(AD97,AC97,AK97,AL97,テーブル2[[#This Row],[Fcorr]])</f>
        <v/>
      </c>
      <c r="AF97" s="38">
        <f>+AE97-U97</f>
        <v/>
      </c>
      <c r="AG97" s="0" t="n">
        <v>5.349812675982989e-05</v>
      </c>
      <c r="AH97" s="0">
        <f>+X97*N97^2/(8*E97)</f>
        <v/>
      </c>
      <c r="AI97" s="0">
        <f>+(AH97/E97)^0.5</f>
        <v/>
      </c>
      <c r="AJ97" s="0">
        <f>+AG97*AI97/I97*E97</f>
        <v/>
      </c>
      <c r="AK97" s="0">
        <f t="array" ref="AK97">+S97*テーブル2[[#This Row],[F_form]]/(E97*CpFromTP((テーブル2[[#This Row],[Tin]]+テーブル2[[#This Row],[Tf]])/2,テーブル2[[#This Row],[P]])*AI97)</f>
        <v/>
      </c>
      <c r="AL97" s="0">
        <f>+K97*I97/J97</f>
        <v/>
      </c>
      <c r="AM97" s="0">
        <f>+gettyp(AC97,AJ97,AK97,AL97)</f>
        <v/>
      </c>
      <c r="AN97" s="0">
        <f>+C97-AM97</f>
        <v/>
      </c>
      <c r="AO97" s="0">
        <f>+AG97-AB97</f>
        <v/>
      </c>
      <c r="AP97" s="0" t="n">
        <v>3.009543358373648</v>
      </c>
      <c r="AQ97" s="0">
        <f>2*PI()*L97*(D97+E97)/(D97*E97*AP97^2)</f>
        <v/>
      </c>
      <c r="AR97" s="0">
        <f>+AO97+AB97/2</f>
        <v/>
      </c>
      <c r="AS97" s="0">
        <f>+AR97*AI97/I97*E97</f>
        <v/>
      </c>
      <c r="AT97" s="0">
        <f>+getublp(AS97)</f>
        <v/>
      </c>
      <c r="AU97" s="0">
        <f>+AT97*AI97</f>
        <v/>
      </c>
      <c r="AV97" s="0">
        <f>+AP97-AU97</f>
        <v/>
      </c>
      <c r="AW97" s="0">
        <f>2/3*AB97/(L97/(9.8*(E97-D97)))^0.5</f>
        <v/>
      </c>
      <c r="AX97" s="0">
        <f>+(2*AQ97*9.8*(E97-D97)/(E97*AW97))^0.5</f>
        <v/>
      </c>
      <c r="AY97" s="0">
        <f>+AV97-AX97</f>
        <v/>
      </c>
      <c r="AZ97" s="0">
        <f>+F97-G97</f>
        <v/>
      </c>
      <c r="BA97" s="0">
        <f>+AQ97/AP97</f>
        <v/>
      </c>
      <c r="BB97" s="15">
        <f>+E97*AO97*AZ97/BA97</f>
        <v/>
      </c>
      <c r="BC97" s="20">
        <f>BB97-S97</f>
        <v/>
      </c>
      <c r="BD97" s="19">
        <f>+(BB97-S97)/S97*100</f>
        <v/>
      </c>
      <c r="BE97" s="15" t="n">
        <v>1385496.25523169</v>
      </c>
      <c r="BF97" s="16">
        <f>テーブル2[[#This Row],[q_P]]/テーブル2[[#This Row],[q_M]]</f>
        <v/>
      </c>
      <c r="BG97" s="0" t="n">
        <v>1</v>
      </c>
      <c r="BH97" s="0" t="n">
        <v>0.224</v>
      </c>
      <c r="BI97" s="0" t="n">
        <v>0.046</v>
      </c>
      <c r="BJ97" s="0" t="n">
        <v>5625</v>
      </c>
      <c r="BK97" s="22" t="n">
        <v>1</v>
      </c>
      <c r="BL97" s="0">
        <f>テーブル2[[#This Row],[Ts]]-テーブル2[[#This Row],[Tin]]</f>
        <v/>
      </c>
      <c r="BM97" s="0">
        <f>テーブル2[[#This Row],[q_P]]*0.000001</f>
        <v/>
      </c>
      <c r="BN97" s="0">
        <f>テーブル2[[#This Row],[Tsub]]</f>
        <v/>
      </c>
      <c r="BO97" s="0">
        <f>テーブル2[[#This Row],[Fcorr]]</f>
        <v/>
      </c>
      <c r="BP97" s="0">
        <f>(テーブル2[[#This Row],[Tsub]]-40)^2</f>
        <v/>
      </c>
      <c r="BQ97" t="n">
        <v>1</v>
      </c>
      <c r="BR97" s="0" t="n">
        <v>1.524</v>
      </c>
    </row>
    <row r="98">
      <c r="A98" s="9" t="inlineStr">
        <is>
          <t>96.03_8</t>
        </is>
      </c>
      <c r="B98" s="0" t="n">
        <v>11066085.4555352</v>
      </c>
      <c r="C98" s="22">
        <f t="array" ref="C98">TsatFromP(テーブル2[[#This Row],[P]])</f>
        <v/>
      </c>
      <c r="D98" s="0">
        <f t="array" ref="D98">RhoGFromP(テーブル2[[#This Row],[P]])</f>
        <v/>
      </c>
      <c r="E98" s="0">
        <f t="array" ref="E98">RhoFFromP(テーブル2[[#This Row],[P]])</f>
        <v/>
      </c>
      <c r="F98" s="0">
        <f t="array" ref="F98">HgFromP(テーブル2[[#This Row],[P]])</f>
        <v/>
      </c>
      <c r="G98" s="0">
        <f t="array" ref="G98">HfFromP(テーブル2[[#This Row],[P]])</f>
        <v/>
      </c>
      <c r="H98" s="0">
        <f t="array" ref="H98">MuGFromP(テーブル2[[#This Row],[P]])</f>
        <v/>
      </c>
      <c r="I98" s="0">
        <f t="array" ref="I98">MuFFromP(テーブル2[[#This Row],[P]])</f>
        <v/>
      </c>
      <c r="J98" s="0">
        <f t="array" ref="J98">KfFromP(テーブル2[[#This Row],[P]])</f>
        <v/>
      </c>
      <c r="K98" s="0">
        <f t="array" ref="K98">CpFFromP(テーブル2[[#This Row],[P]])</f>
        <v/>
      </c>
      <c r="L98" s="0">
        <f t="array" ref="L98">SigmaFromP(テーブル2[[#This Row],[P]])</f>
        <v/>
      </c>
      <c r="M98" s="0" t="n">
        <v>97</v>
      </c>
      <c r="N98" s="0" t="n">
        <v>2034.34484849294</v>
      </c>
      <c r="O98" s="8">
        <f>PI()*Q98^2/4</f>
        <v/>
      </c>
      <c r="P98" s="8">
        <f>PI()*Q98</f>
        <v/>
      </c>
      <c r="Q98" s="8" t="n">
        <v>0.0093472</v>
      </c>
      <c r="R98" s="0" t="n">
        <v>1.524</v>
      </c>
      <c r="S98" s="15" t="n">
        <v>2154258.55703125</v>
      </c>
      <c r="T98" s="0" t="n">
        <v>452.00279575601</v>
      </c>
      <c r="U98" s="37">
        <f>+T98+BG98*S98*テーブル2[[#This Row],[Pw]]*R98/(N98*O98*K98)</f>
        <v/>
      </c>
      <c r="V98" s="0" t="n">
        <v>0.03</v>
      </c>
      <c r="W98" s="8">
        <f>+N98*Q98/I98</f>
        <v/>
      </c>
      <c r="X98" s="0" t="n">
        <v>0.02941834485689978</v>
      </c>
      <c r="Y98" s="0">
        <f>IF(X98&gt;0,1/X98^0.5,1)</f>
        <v/>
      </c>
      <c r="Z98" s="0">
        <f>IF(X98&gt;0,1.14-2*LOG((0.72*L98*E98)/(X98*Q98*N98^2)+9.35/(W98*X98^0.5)),0)</f>
        <v/>
      </c>
      <c r="AA98" s="0">
        <f>+Y98-Z98</f>
        <v/>
      </c>
      <c r="AB98" s="0">
        <f>32/X98*L98*V98*E98/N98^2</f>
        <v/>
      </c>
      <c r="AC98" s="0" t="n">
        <v>653.5329847301604</v>
      </c>
      <c r="AD98" s="0">
        <f>+Q98/2*AI98/I98*E98</f>
        <v/>
      </c>
      <c r="AE98" s="0">
        <f>+gettm2(AD98,AC98,AK98,AL98,テーブル2[[#This Row],[Fcorr]])</f>
        <v/>
      </c>
      <c r="AF98" s="38">
        <f>+AE98-U98</f>
        <v/>
      </c>
      <c r="AG98" s="0" t="n">
        <v>5.358053855091384e-05</v>
      </c>
      <c r="AH98" s="0">
        <f>+X98*N98^2/(8*E98)</f>
        <v/>
      </c>
      <c r="AI98" s="0">
        <f>+(AH98/E98)^0.5</f>
        <v/>
      </c>
      <c r="AJ98" s="0">
        <f>+AG98*AI98/I98*E98</f>
        <v/>
      </c>
      <c r="AK98" s="0">
        <f t="array" ref="AK98">+S98*テーブル2[[#This Row],[F_form]]/(E98*CpFromTP((テーブル2[[#This Row],[Tin]]+テーブル2[[#This Row],[Tf]])/2,テーブル2[[#This Row],[P]])*AI98)</f>
        <v/>
      </c>
      <c r="AL98" s="0">
        <f>+K98*I98/J98</f>
        <v/>
      </c>
      <c r="AM98" s="0">
        <f>+gettyp(AC98,AJ98,AK98,AL98)</f>
        <v/>
      </c>
      <c r="AN98" s="0">
        <f>+C98-AM98</f>
        <v/>
      </c>
      <c r="AO98" s="0">
        <f>+AG98-AB98</f>
        <v/>
      </c>
      <c r="AP98" s="0" t="n">
        <v>3.010836640757742</v>
      </c>
      <c r="AQ98" s="0">
        <f>2*PI()*L98*(D98+E98)/(D98*E98*AP98^2)</f>
        <v/>
      </c>
      <c r="AR98" s="0">
        <f>+AO98+AB98/2</f>
        <v/>
      </c>
      <c r="AS98" s="0">
        <f>+AR98*AI98/I98*E98</f>
        <v/>
      </c>
      <c r="AT98" s="0">
        <f>+getublp(AS98)</f>
        <v/>
      </c>
      <c r="AU98" s="0">
        <f>+AT98*AI98</f>
        <v/>
      </c>
      <c r="AV98" s="0">
        <f>+AP98-AU98</f>
        <v/>
      </c>
      <c r="AW98" s="0">
        <f>2/3*AB98/(L98/(9.8*(E98-D98)))^0.5</f>
        <v/>
      </c>
      <c r="AX98" s="0">
        <f>+(2*AQ98*9.8*(E98-D98)/(E98*AW98))^0.5</f>
        <v/>
      </c>
      <c r="AY98" s="0">
        <f>+AV98-AX98</f>
        <v/>
      </c>
      <c r="AZ98" s="0">
        <f>+F98-G98</f>
        <v/>
      </c>
      <c r="BA98" s="0">
        <f>+AQ98/AP98</f>
        <v/>
      </c>
      <c r="BB98" s="15">
        <f>+E98*AO98*AZ98/BA98</f>
        <v/>
      </c>
      <c r="BC98" s="20">
        <f>BB98-S98</f>
        <v/>
      </c>
      <c r="BD98" s="19">
        <f>+(BB98-S98)/S98*100</f>
        <v/>
      </c>
      <c r="BE98" s="15" t="n">
        <v>2603483.74190053</v>
      </c>
      <c r="BF98" s="16">
        <f>テーブル2[[#This Row],[q_P]]/テーブル2[[#This Row],[q_M]]</f>
        <v/>
      </c>
      <c r="BG98" s="0" t="n">
        <v>1</v>
      </c>
      <c r="BH98" s="0" t="n">
        <v>0.116</v>
      </c>
      <c r="BI98" s="0" t="n">
        <v>0.046</v>
      </c>
      <c r="BJ98" s="0" t="n">
        <v>5625</v>
      </c>
      <c r="BK98" s="22" t="n">
        <v>1</v>
      </c>
      <c r="BL98" s="0">
        <f>テーブル2[[#This Row],[Ts]]-テーブル2[[#This Row],[Tin]]</f>
        <v/>
      </c>
      <c r="BM98" s="0">
        <f>テーブル2[[#This Row],[q_P]]*0.000001</f>
        <v/>
      </c>
      <c r="BN98" s="0">
        <f>テーブル2[[#This Row],[Tsub]]</f>
        <v/>
      </c>
      <c r="BO98" s="0">
        <f>テーブル2[[#This Row],[Fcorr]]</f>
        <v/>
      </c>
      <c r="BP98" s="0">
        <f>(テーブル2[[#This Row],[Tsub]]-40)^2</f>
        <v/>
      </c>
      <c r="BQ98" t="n">
        <v>1</v>
      </c>
      <c r="BR98" s="0" t="n">
        <v>1.524</v>
      </c>
    </row>
    <row r="99">
      <c r="A99" s="9" t="inlineStr">
        <is>
          <t>97.03_8</t>
        </is>
      </c>
      <c r="B99" s="0" t="n">
        <v>11100559.2420011</v>
      </c>
      <c r="C99" s="22">
        <f t="array" ref="C99">TsatFromP(テーブル2[[#This Row],[P]])</f>
        <v/>
      </c>
      <c r="D99" s="0">
        <f t="array" ref="D99">RhoGFromP(テーブル2[[#This Row],[P]])</f>
        <v/>
      </c>
      <c r="E99" s="0">
        <f t="array" ref="E99">RhoFFromP(テーブル2[[#This Row],[P]])</f>
        <v/>
      </c>
      <c r="F99" s="0">
        <f t="array" ref="F99">HgFromP(テーブル2[[#This Row],[P]])</f>
        <v/>
      </c>
      <c r="G99" s="0">
        <f t="array" ref="G99">HfFromP(テーブル2[[#This Row],[P]])</f>
        <v/>
      </c>
      <c r="H99" s="0">
        <f t="array" ref="H99">MuGFromP(テーブル2[[#This Row],[P]])</f>
        <v/>
      </c>
      <c r="I99" s="0">
        <f t="array" ref="I99">MuFFromP(テーブル2[[#This Row],[P]])</f>
        <v/>
      </c>
      <c r="J99" s="0">
        <f t="array" ref="J99">KfFromP(テーブル2[[#This Row],[P]])</f>
        <v/>
      </c>
      <c r="K99" s="0">
        <f t="array" ref="K99">CpFFromP(テーブル2[[#This Row],[P]])</f>
        <v/>
      </c>
      <c r="L99" s="0">
        <f t="array" ref="L99">SigmaFromP(テーブル2[[#This Row],[P]])</f>
        <v/>
      </c>
      <c r="M99" s="0" t="n">
        <v>98</v>
      </c>
      <c r="N99" s="0" t="n">
        <v>2034.34484849294</v>
      </c>
      <c r="O99" s="8">
        <f>PI()*Q99^2/4</f>
        <v/>
      </c>
      <c r="P99" s="8">
        <f>PI()*Q99</f>
        <v/>
      </c>
      <c r="Q99" s="8" t="n">
        <v>0.0093472</v>
      </c>
      <c r="R99" s="0" t="n">
        <v>1.524</v>
      </c>
      <c r="S99" s="15" t="n">
        <v>1326521.77734375</v>
      </c>
      <c r="T99" s="0" t="n">
        <v>507.235957730912</v>
      </c>
      <c r="U99" s="37">
        <f>+T99+BG99*S99*テーブル2[[#This Row],[Pw]]*R99/(N99*O99*K99)</f>
        <v/>
      </c>
      <c r="V99" s="0" t="n">
        <v>0.03</v>
      </c>
      <c r="W99" s="8">
        <f>+N99*Q99/I99</f>
        <v/>
      </c>
      <c r="X99" s="0" t="n">
        <v>0.0293812388502834</v>
      </c>
      <c r="Y99" s="0">
        <f>IF(X99&gt;0,1/X99^0.5,1)</f>
        <v/>
      </c>
      <c r="Z99" s="0">
        <f>IF(X99&gt;0,1.14-2*LOG((0.72*L99*E99)/(X99*Q99*N99^2)+9.35/(W99*X99^0.5)),0)</f>
        <v/>
      </c>
      <c r="AA99" s="0">
        <f>+Y99-Z99</f>
        <v/>
      </c>
      <c r="AB99" s="0">
        <f>32/X99*L99*V99*E99/N99^2</f>
        <v/>
      </c>
      <c r="AC99" s="0" t="n">
        <v>627.5843064279236</v>
      </c>
      <c r="AD99" s="0">
        <f>+Q99/2*AI99/I99*E99</f>
        <v/>
      </c>
      <c r="AE99" s="0">
        <f>+gettm2(AD99,AC99,AK99,AL99,テーブル2[[#This Row],[Fcorr]])</f>
        <v/>
      </c>
      <c r="AF99" s="38">
        <f>+AE99-U99</f>
        <v/>
      </c>
      <c r="AG99" s="0" t="n">
        <v>5.330259778239039e-05</v>
      </c>
      <c r="AH99" s="0">
        <f>+X99*N99^2/(8*E99)</f>
        <v/>
      </c>
      <c r="AI99" s="0">
        <f>+(AH99/E99)^0.5</f>
        <v/>
      </c>
      <c r="AJ99" s="0">
        <f>+AG99*AI99/I99*E99</f>
        <v/>
      </c>
      <c r="AK99" s="0">
        <f t="array" ref="AK99">+S99*テーブル2[[#This Row],[F_form]]/(E99*CpFromTP((テーブル2[[#This Row],[Tin]]+テーブル2[[#This Row],[Tf]])/2,テーブル2[[#This Row],[P]])*AI99)</f>
        <v/>
      </c>
      <c r="AL99" s="0">
        <f>+K99*I99/J99</f>
        <v/>
      </c>
      <c r="AM99" s="0">
        <f>+gettyp(AC99,AJ99,AK99,AL99)</f>
        <v/>
      </c>
      <c r="AN99" s="0">
        <f>+C99-AM99</f>
        <v/>
      </c>
      <c r="AO99" s="0">
        <f>+AG99-AB99</f>
        <v/>
      </c>
      <c r="AP99" s="0" t="n">
        <v>3.0082709524647</v>
      </c>
      <c r="AQ99" s="0">
        <f>2*PI()*L99*(D99+E99)/(D99*E99*AP99^2)</f>
        <v/>
      </c>
      <c r="AR99" s="0">
        <f>+AO99+AB99/2</f>
        <v/>
      </c>
      <c r="AS99" s="0">
        <f>+AR99*AI99/I99*E99</f>
        <v/>
      </c>
      <c r="AT99" s="0">
        <f>+getublp(AS99)</f>
        <v/>
      </c>
      <c r="AU99" s="0">
        <f>+AT99*AI99</f>
        <v/>
      </c>
      <c r="AV99" s="0">
        <f>+AP99-AU99</f>
        <v/>
      </c>
      <c r="AW99" s="0">
        <f>2/3*AB99/(L99/(9.8*(E99-D99)))^0.5</f>
        <v/>
      </c>
      <c r="AX99" s="0">
        <f>+(2*AQ99*9.8*(E99-D99)/(E99*AW99))^0.5</f>
        <v/>
      </c>
      <c r="AY99" s="0">
        <f>+AV99-AX99</f>
        <v/>
      </c>
      <c r="AZ99" s="0">
        <f>+F99-G99</f>
        <v/>
      </c>
      <c r="BA99" s="0">
        <f>+AQ99/AP99</f>
        <v/>
      </c>
      <c r="BB99" s="15">
        <f>+E99*AO99*AZ99/BA99</f>
        <v/>
      </c>
      <c r="BC99" s="20">
        <f>BB99-S99</f>
        <v/>
      </c>
      <c r="BD99" s="19">
        <f>+(BB99-S99)/S99*100</f>
        <v/>
      </c>
      <c r="BE99" s="15" t="n">
        <v>1988969.46476225</v>
      </c>
      <c r="BF99" s="16">
        <f>テーブル2[[#This Row],[q_P]]/テーブル2[[#This Row],[q_M]]</f>
        <v/>
      </c>
      <c r="BG99" s="0" t="n">
        <v>1</v>
      </c>
      <c r="BH99" s="0" t="n">
        <v>0.156</v>
      </c>
      <c r="BI99" s="0" t="n">
        <v>0.046</v>
      </c>
      <c r="BJ99" s="0" t="n">
        <v>5625</v>
      </c>
      <c r="BK99" s="22" t="n">
        <v>1</v>
      </c>
      <c r="BL99" s="0">
        <f>テーブル2[[#This Row],[Ts]]-テーブル2[[#This Row],[Tin]]</f>
        <v/>
      </c>
      <c r="BM99" s="0">
        <f>テーブル2[[#This Row],[q_P]]*0.000001</f>
        <v/>
      </c>
      <c r="BN99" s="0">
        <f>テーブル2[[#This Row],[Tsub]]</f>
        <v/>
      </c>
      <c r="BO99" s="0">
        <f>テーブル2[[#This Row],[Fcorr]]</f>
        <v/>
      </c>
      <c r="BP99" s="0">
        <f>(テーブル2[[#This Row],[Tsub]]-40)^2</f>
        <v/>
      </c>
      <c r="BQ99" t="n">
        <v>1</v>
      </c>
      <c r="BR99" s="0" t="n">
        <v>1.524</v>
      </c>
    </row>
    <row r="100">
      <c r="A100" s="9" t="inlineStr">
        <is>
          <t>98.03_8</t>
        </is>
      </c>
      <c r="B100" s="0" t="n">
        <v>10962664.0961377</v>
      </c>
      <c r="C100" s="22">
        <f t="array" ref="C100">TsatFromP(テーブル2[[#This Row],[P]])</f>
        <v/>
      </c>
      <c r="D100" s="0">
        <f t="array" ref="D100">RhoGFromP(テーブル2[[#This Row],[P]])</f>
        <v/>
      </c>
      <c r="E100" s="0">
        <f t="array" ref="E100">RhoFFromP(テーブル2[[#This Row],[P]])</f>
        <v/>
      </c>
      <c r="F100" s="0">
        <f t="array" ref="F100">HgFromP(テーブル2[[#This Row],[P]])</f>
        <v/>
      </c>
      <c r="G100" s="0">
        <f t="array" ref="G100">HfFromP(テーブル2[[#This Row],[P]])</f>
        <v/>
      </c>
      <c r="H100" s="0">
        <f t="array" ref="H100">MuGFromP(テーブル2[[#This Row],[P]])</f>
        <v/>
      </c>
      <c r="I100" s="0">
        <f t="array" ref="I100">MuFFromP(テーブル2[[#This Row],[P]])</f>
        <v/>
      </c>
      <c r="J100" s="0">
        <f t="array" ref="J100">KfFromP(テーブル2[[#This Row],[P]])</f>
        <v/>
      </c>
      <c r="K100" s="0">
        <f t="array" ref="K100">CpFFromP(テーブル2[[#This Row],[P]])</f>
        <v/>
      </c>
      <c r="L100" s="0">
        <f t="array" ref="L100">SigmaFromP(テーブル2[[#This Row],[P]])</f>
        <v/>
      </c>
      <c r="M100" s="0" t="n">
        <v>99</v>
      </c>
      <c r="N100" s="0" t="n">
        <v>4068.68969698588</v>
      </c>
      <c r="O100" s="8">
        <f>PI()*Q100^2/4</f>
        <v/>
      </c>
      <c r="P100" s="8">
        <f>PI()*Q100</f>
        <v/>
      </c>
      <c r="Q100" s="8" t="n">
        <v>0.0093472</v>
      </c>
      <c r="R100" s="0" t="n">
        <v>1.524</v>
      </c>
      <c r="S100" s="15" t="n">
        <v>2321258.04296875</v>
      </c>
      <c r="T100" s="0" t="n">
        <v>507.709334917235</v>
      </c>
      <c r="U100" s="37">
        <f>+T100+BG100*S100*テーブル2[[#This Row],[Pw]]*R100/(N100*O100*K100)</f>
        <v/>
      </c>
      <c r="V100" s="0" t="n">
        <v>0.03</v>
      </c>
      <c r="W100" s="8">
        <f>+N100*Q100/I100</f>
        <v/>
      </c>
      <c r="X100" s="0" t="n">
        <v>0.02202552059223345</v>
      </c>
      <c r="Y100" s="0">
        <f>IF(X100&gt;0,1/X100^0.5,1)</f>
        <v/>
      </c>
      <c r="Z100" s="0">
        <f>IF(X100&gt;0,1.14-2*LOG((0.72*L100*E100)/(X100*Q100*N100^2)+9.35/(W100*X100^0.5)),0)</f>
        <v/>
      </c>
      <c r="AA100" s="0">
        <f>+Y100-Z100</f>
        <v/>
      </c>
      <c r="AB100" s="0">
        <f>32/X100*L100*V100*E100/N100^2</f>
        <v/>
      </c>
      <c r="AC100" s="0" t="n">
        <v>624.2497806935847</v>
      </c>
      <c r="AD100" s="0">
        <f>+Q100/2*AI100/I100*E100</f>
        <v/>
      </c>
      <c r="AE100" s="0">
        <f>+gettm2(AD100,AC100,AK100,AL100,テーブル2[[#This Row],[Fcorr]])</f>
        <v/>
      </c>
      <c r="AF100" s="38">
        <f>+AE100-U100</f>
        <v/>
      </c>
      <c r="AG100" s="0" t="n">
        <v>1.819715445942884e-05</v>
      </c>
      <c r="AH100" s="0">
        <f>+X100*N100^2/(8*E100)</f>
        <v/>
      </c>
      <c r="AI100" s="0">
        <f>+(AH100/E100)^0.5</f>
        <v/>
      </c>
      <c r="AJ100" s="0">
        <f>+AG100*AI100/I100*E100</f>
        <v/>
      </c>
      <c r="AK100" s="0">
        <f t="array" ref="AK100">+S100*テーブル2[[#This Row],[F_form]]/(E100*CpFromTP((テーブル2[[#This Row],[Tin]]+テーブル2[[#This Row],[Tf]])/2,テーブル2[[#This Row],[P]])*AI100)</f>
        <v/>
      </c>
      <c r="AL100" s="0">
        <f>+K100*I100/J100</f>
        <v/>
      </c>
      <c r="AM100" s="0">
        <f>+gettyp(AC100,AJ100,AK100,AL100)</f>
        <v/>
      </c>
      <c r="AN100" s="0">
        <f>+C100-AM100</f>
        <v/>
      </c>
      <c r="AO100" s="0">
        <f>+AG100-AB100</f>
        <v/>
      </c>
      <c r="AP100" s="0" t="n">
        <v>4.446626021832101</v>
      </c>
      <c r="AQ100" s="0">
        <f>2*PI()*L100*(D100+E100)/(D100*E100*AP100^2)</f>
        <v/>
      </c>
      <c r="AR100" s="0">
        <f>+AO100+AB100/2</f>
        <v/>
      </c>
      <c r="AS100" s="0">
        <f>+AR100*AI100/I100*E100</f>
        <v/>
      </c>
      <c r="AT100" s="0">
        <f>+getublp(AS100)</f>
        <v/>
      </c>
      <c r="AU100" s="0">
        <f>+AT100*AI100</f>
        <v/>
      </c>
      <c r="AV100" s="0">
        <f>+AP100-AU100</f>
        <v/>
      </c>
      <c r="AW100" s="0">
        <f>2/3*AB100/(L100/(9.8*(E100-D100)))^0.5</f>
        <v/>
      </c>
      <c r="AX100" s="0">
        <f>+(2*AQ100*9.8*(E100-D100)/(E100*AW100))^0.5</f>
        <v/>
      </c>
      <c r="AY100" s="0">
        <f>+AV100-AX100</f>
        <v/>
      </c>
      <c r="AZ100" s="0">
        <f>+F100-G100</f>
        <v/>
      </c>
      <c r="BA100" s="0">
        <f>+AQ100/AP100</f>
        <v/>
      </c>
      <c r="BB100" s="15">
        <f>+E100*AO100*AZ100/BA100</f>
        <v/>
      </c>
      <c r="BC100" s="20">
        <f>BB100-S100</f>
        <v/>
      </c>
      <c r="BD100" s="19">
        <f>+(BB100-S100)/S100*100</f>
        <v/>
      </c>
      <c r="BE100" s="15" t="n">
        <v>3141972.3820828</v>
      </c>
      <c r="BF100" s="16">
        <f>テーブル2[[#This Row],[q_P]]/テーブル2[[#This Row],[q_M]]</f>
        <v/>
      </c>
      <c r="BG100" s="0" t="n">
        <v>1</v>
      </c>
      <c r="BH100" s="0" t="n">
        <v>0.054</v>
      </c>
      <c r="BI100" s="0" t="n">
        <v>0.046</v>
      </c>
      <c r="BJ100" s="0" t="n">
        <v>5625</v>
      </c>
      <c r="BK100" s="22" t="n">
        <v>1</v>
      </c>
      <c r="BL100" s="0">
        <f>テーブル2[[#This Row],[Ts]]-テーブル2[[#This Row],[Tin]]</f>
        <v/>
      </c>
      <c r="BM100" s="0">
        <f>テーブル2[[#This Row],[q_P]]*0.000001</f>
        <v/>
      </c>
      <c r="BN100" s="0">
        <f>テーブル2[[#This Row],[Tsub]]</f>
        <v/>
      </c>
      <c r="BO100" s="0">
        <f>テーブル2[[#This Row],[Fcorr]]</f>
        <v/>
      </c>
      <c r="BP100" s="0">
        <f>(テーブル2[[#This Row],[Tsub]]-40)^2</f>
        <v/>
      </c>
      <c r="BQ100" t="n">
        <v>1</v>
      </c>
      <c r="BR100" s="0" t="n">
        <v>1.524</v>
      </c>
    </row>
    <row r="101">
      <c r="A101" s="9" t="inlineStr">
        <is>
          <t>99.03_8</t>
        </is>
      </c>
      <c r="B101" s="0" t="n">
        <v>11066085.4555352</v>
      </c>
      <c r="C101" s="22">
        <f t="array" ref="C101">TsatFromP(テーブル2[[#This Row],[P]])</f>
        <v/>
      </c>
      <c r="D101" s="0">
        <f t="array" ref="D101">RhoGFromP(テーブル2[[#This Row],[P]])</f>
        <v/>
      </c>
      <c r="E101" s="0">
        <f t="array" ref="E101">RhoFFromP(テーブル2[[#This Row],[P]])</f>
        <v/>
      </c>
      <c r="F101" s="0">
        <f t="array" ref="F101">HgFromP(テーブル2[[#This Row],[P]])</f>
        <v/>
      </c>
      <c r="G101" s="0">
        <f t="array" ref="G101">HfFromP(テーブル2[[#This Row],[P]])</f>
        <v/>
      </c>
      <c r="H101" s="0">
        <f t="array" ref="H101">MuGFromP(テーブル2[[#This Row],[P]])</f>
        <v/>
      </c>
      <c r="I101" s="0">
        <f t="array" ref="I101">MuFFromP(テーブル2[[#This Row],[P]])</f>
        <v/>
      </c>
      <c r="J101" s="0">
        <f t="array" ref="J101">KfFromP(テーブル2[[#This Row],[P]])</f>
        <v/>
      </c>
      <c r="K101" s="0">
        <f t="array" ref="K101">CpFFromP(テーブル2[[#This Row],[P]])</f>
        <v/>
      </c>
      <c r="L101" s="0">
        <f t="array" ref="L101">SigmaFromP(テーブル2[[#This Row],[P]])</f>
        <v/>
      </c>
      <c r="M101" s="0" t="n">
        <v>100</v>
      </c>
      <c r="N101" s="0" t="n">
        <v>4068.68969698588</v>
      </c>
      <c r="O101" s="8">
        <f>PI()*Q101^2/4</f>
        <v/>
      </c>
      <c r="P101" s="8">
        <f>PI()*Q101</f>
        <v/>
      </c>
      <c r="Q101" s="8" t="n">
        <v>0.0093472</v>
      </c>
      <c r="R101" s="0" t="n">
        <v>1.524</v>
      </c>
      <c r="S101" s="15" t="n">
        <v>814219.75390625</v>
      </c>
      <c r="T101" s="0" t="n">
        <v>563.492301288788</v>
      </c>
      <c r="U101" s="37">
        <f>+T101+BG101*S101*テーブル2[[#This Row],[Pw]]*R101/(N101*O101*K101)</f>
        <v/>
      </c>
      <c r="V101" s="0" t="n">
        <v>0.03</v>
      </c>
      <c r="W101" s="8">
        <f>+N101*Q101/I101</f>
        <v/>
      </c>
      <c r="X101" s="0" t="n">
        <v>0.0219536601587824</v>
      </c>
      <c r="Y101" s="0">
        <f>IF(X101&gt;0,1/X101^0.5,1)</f>
        <v/>
      </c>
      <c r="Z101" s="0">
        <f>IF(X101&gt;0,1.14-2*LOG((0.72*L101*E101)/(X101*Q101*N101^2)+9.35/(W101*X101^0.5)),0)</f>
        <v/>
      </c>
      <c r="AA101" s="0">
        <f>+Y101-Z101</f>
        <v/>
      </c>
      <c r="AB101" s="0">
        <f>32/X101*L101*V101*E101/N101^2</f>
        <v/>
      </c>
      <c r="AC101" s="0" t="n">
        <v>602.0042886708424</v>
      </c>
      <c r="AD101" s="0">
        <f>+Q101/2*AI101/I101*E101</f>
        <v/>
      </c>
      <c r="AE101" s="0">
        <f>+gettm2(AD101,AC101,AK101,AL101,テーブル2[[#This Row],[Fcorr]])</f>
        <v/>
      </c>
      <c r="AF101" s="38">
        <f>+AE101-U101</f>
        <v/>
      </c>
      <c r="AG101" s="0" t="n">
        <v>1.79271298643311e-05</v>
      </c>
      <c r="AH101" s="0">
        <f>+X101*N101^2/(8*E101)</f>
        <v/>
      </c>
      <c r="AI101" s="0">
        <f>+(AH101/E101)^0.5</f>
        <v/>
      </c>
      <c r="AJ101" s="0">
        <f>+AG101*AI101/I101*E101</f>
        <v/>
      </c>
      <c r="AK101" s="0">
        <f t="array" ref="AK101">+S101*テーブル2[[#This Row],[F_form]]/(E101*CpFromTP((テーブル2[[#This Row],[Tin]]+テーブル2[[#This Row],[Tf]])/2,テーブル2[[#This Row],[P]])*AI101)</f>
        <v/>
      </c>
      <c r="AL101" s="0">
        <f>+K101*I101/J101</f>
        <v/>
      </c>
      <c r="AM101" s="0">
        <f>+gettyp(AC101,AJ101,AK101,AL101)</f>
        <v/>
      </c>
      <c r="AN101" s="0">
        <f>+C101-AM101</f>
        <v/>
      </c>
      <c r="AO101" s="0">
        <f>+AG101-AB101</f>
        <v/>
      </c>
      <c r="AP101" s="0" t="n">
        <v>4.425812304344007</v>
      </c>
      <c r="AQ101" s="0">
        <f>2*PI()*L101*(D101+E101)/(D101*E101*AP101^2)</f>
        <v/>
      </c>
      <c r="AR101" s="0">
        <f>+AO101+AB101/2</f>
        <v/>
      </c>
      <c r="AS101" s="0">
        <f>+AR101*AI101/I101*E101</f>
        <v/>
      </c>
      <c r="AT101" s="0">
        <f>+getublp(AS101)</f>
        <v/>
      </c>
      <c r="AU101" s="0">
        <f>+AT101*AI101</f>
        <v/>
      </c>
      <c r="AV101" s="0">
        <f>+AP101-AU101</f>
        <v/>
      </c>
      <c r="AW101" s="0">
        <f>2/3*AB101/(L101/(9.8*(E101-D101)))^0.5</f>
        <v/>
      </c>
      <c r="AX101" s="0">
        <f>+(2*AQ101*9.8*(E101-D101)/(E101*AW101))^0.5</f>
        <v/>
      </c>
      <c r="AY101" s="0">
        <f>+AV101-AX101</f>
        <v/>
      </c>
      <c r="AZ101" s="0">
        <f>+F101-G101</f>
        <v/>
      </c>
      <c r="BA101" s="0">
        <f>+AQ101/AP101</f>
        <v/>
      </c>
      <c r="BB101" s="15">
        <f>+E101*AO101*AZ101/BA101</f>
        <v/>
      </c>
      <c r="BC101" s="20">
        <f>BB101-S101</f>
        <v/>
      </c>
      <c r="BD101" s="19">
        <f>+(BB101-S101)/S101*100</f>
        <v/>
      </c>
      <c r="BE101" s="15" t="n">
        <v>1832501.76380712</v>
      </c>
      <c r="BF101" s="16">
        <f>テーブル2[[#This Row],[q_P]]/テーブル2[[#This Row],[q_M]]</f>
        <v/>
      </c>
      <c r="BG101" s="0" t="n">
        <v>1</v>
      </c>
      <c r="BH101" s="0" t="n">
        <v>0.104</v>
      </c>
      <c r="BI101" s="0" t="n">
        <v>0.046</v>
      </c>
      <c r="BJ101" s="0" t="n">
        <v>5625</v>
      </c>
      <c r="BK101" s="22" t="n">
        <v>1</v>
      </c>
      <c r="BL101" s="0">
        <f>テーブル2[[#This Row],[Ts]]-テーブル2[[#This Row],[Tin]]</f>
        <v/>
      </c>
      <c r="BM101" s="0">
        <f>テーブル2[[#This Row],[q_P]]*0.000001</f>
        <v/>
      </c>
      <c r="BN101" s="0">
        <f>テーブル2[[#This Row],[Tsub]]</f>
        <v/>
      </c>
      <c r="BO101" s="0">
        <f>テーブル2[[#This Row],[Fcorr]]</f>
        <v/>
      </c>
      <c r="BP101" s="0">
        <f>(テーブル2[[#This Row],[Tsub]]-40)^2</f>
        <v/>
      </c>
      <c r="BQ101" t="n">
        <v>1</v>
      </c>
      <c r="BR101" s="0" t="n">
        <v>1.524</v>
      </c>
    </row>
    <row r="102">
      <c r="A102" s="9" t="inlineStr">
        <is>
          <t>100.03_8</t>
        </is>
      </c>
      <c r="B102" s="0" t="n">
        <v>11066085.4555352</v>
      </c>
      <c r="C102" s="22">
        <f t="array" ref="C102">TsatFromP(テーブル2[[#This Row],[P]])</f>
        <v/>
      </c>
      <c r="D102" s="0">
        <f t="array" ref="D102">RhoGFromP(テーブル2[[#This Row],[P]])</f>
        <v/>
      </c>
      <c r="E102" s="0">
        <f t="array" ref="E102">RhoFFromP(テーブル2[[#This Row],[P]])</f>
        <v/>
      </c>
      <c r="F102" s="0">
        <f t="array" ref="F102">HgFromP(テーブル2[[#This Row],[P]])</f>
        <v/>
      </c>
      <c r="G102" s="0">
        <f t="array" ref="G102">HfFromP(テーブル2[[#This Row],[P]])</f>
        <v/>
      </c>
      <c r="H102" s="0">
        <f t="array" ref="H102">MuGFromP(テーブル2[[#This Row],[P]])</f>
        <v/>
      </c>
      <c r="I102" s="0">
        <f t="array" ref="I102">MuFFromP(テーブル2[[#This Row],[P]])</f>
        <v/>
      </c>
      <c r="J102" s="0">
        <f t="array" ref="J102">KfFromP(テーブル2[[#This Row],[P]])</f>
        <v/>
      </c>
      <c r="K102" s="0">
        <f t="array" ref="K102">CpFFromP(テーブル2[[#This Row],[P]])</f>
        <v/>
      </c>
      <c r="L102" s="0">
        <f t="array" ref="L102">SigmaFromP(テーブル2[[#This Row],[P]])</f>
        <v/>
      </c>
      <c r="M102" s="0" t="n">
        <v>101</v>
      </c>
      <c r="N102" s="0" t="n">
        <v>4068.68969698588</v>
      </c>
      <c r="O102" s="8">
        <f>PI()*Q102^2/4</f>
        <v/>
      </c>
      <c r="P102" s="8">
        <f>PI()*Q102</f>
        <v/>
      </c>
      <c r="Q102" s="8" t="n">
        <v>0.0093472</v>
      </c>
      <c r="R102" s="0" t="n">
        <v>1.524</v>
      </c>
      <c r="S102" s="15" t="n">
        <v>2338283.68359375</v>
      </c>
      <c r="T102" s="0" t="n">
        <v>508.031052716697</v>
      </c>
      <c r="U102" s="37">
        <f>+T102+BG102*S102*テーブル2[[#This Row],[Pw]]*R102/(N102*O102*K102)</f>
        <v/>
      </c>
      <c r="V102" s="0" t="n">
        <v>0.03</v>
      </c>
      <c r="W102" s="8">
        <f>+N102*Q102/I102</f>
        <v/>
      </c>
      <c r="X102" s="0" t="n">
        <v>0.0219536601587824</v>
      </c>
      <c r="Y102" s="0">
        <f>IF(X102&gt;0,1/X102^0.5,1)</f>
        <v/>
      </c>
      <c r="Z102" s="0">
        <f>IF(X102&gt;0,1.14-2*LOG((0.72*L102*E102)/(X102*Q102*N102^2)+9.35/(W102*X102^0.5)),0)</f>
        <v/>
      </c>
      <c r="AA102" s="0">
        <f>+Y102-Z102</f>
        <v/>
      </c>
      <c r="AB102" s="0">
        <f>32/X102*L102*V102*E102/N102^2</f>
        <v/>
      </c>
      <c r="AC102" s="0" t="n">
        <v>625.2361390934307</v>
      </c>
      <c r="AD102" s="0">
        <f>+Q102/2*AI102/I102*E102</f>
        <v/>
      </c>
      <c r="AE102" s="0">
        <f>+gettm2(AD102,AC102,AK102,AL102,テーブル2[[#This Row],[Fcorr]])</f>
        <v/>
      </c>
      <c r="AF102" s="38">
        <f>+AE102-U102</f>
        <v/>
      </c>
      <c r="AG102" s="0" t="n">
        <v>1.795013097597047e-05</v>
      </c>
      <c r="AH102" s="0">
        <f>+X102*N102^2/(8*E102)</f>
        <v/>
      </c>
      <c r="AI102" s="0">
        <f>+(AH102/E102)^0.5</f>
        <v/>
      </c>
      <c r="AJ102" s="0">
        <f>+AG102*AI102/I102*E102</f>
        <v/>
      </c>
      <c r="AK102" s="0">
        <f t="array" ref="AK102">+S102*テーブル2[[#This Row],[F_form]]/(E102*CpFromTP((テーブル2[[#This Row],[Tin]]+テーブル2[[#This Row],[Tf]])/2,テーブル2[[#This Row],[P]])*AI102)</f>
        <v/>
      </c>
      <c r="AL102" s="0">
        <f>+K102*I102/J102</f>
        <v/>
      </c>
      <c r="AM102" s="0">
        <f>+gettyp(AC102,AJ102,AK102,AL102)</f>
        <v/>
      </c>
      <c r="AN102" s="0">
        <f>+C102-AM102</f>
        <v/>
      </c>
      <c r="AO102" s="0">
        <f>+AG102-AB102</f>
        <v/>
      </c>
      <c r="AP102" s="0" t="n">
        <v>4.429599407899371</v>
      </c>
      <c r="AQ102" s="0">
        <f>2*PI()*L102*(D102+E102)/(D102*E102*AP102^2)</f>
        <v/>
      </c>
      <c r="AR102" s="0">
        <f>+AO102+AB102/2</f>
        <v/>
      </c>
      <c r="AS102" s="0">
        <f>+AR102*AI102/I102*E102</f>
        <v/>
      </c>
      <c r="AT102" s="0">
        <f>+getublp(AS102)</f>
        <v/>
      </c>
      <c r="AU102" s="0">
        <f>+AT102*AI102</f>
        <v/>
      </c>
      <c r="AV102" s="0">
        <f>+AP102-AU102</f>
        <v/>
      </c>
      <c r="AW102" s="0">
        <f>2/3*AB102/(L102/(9.8*(E102-D102)))^0.5</f>
        <v/>
      </c>
      <c r="AX102" s="0">
        <f>+(2*AQ102*9.8*(E102-D102)/(E102*AW102))^0.5</f>
        <v/>
      </c>
      <c r="AY102" s="0">
        <f>+AV102-AX102</f>
        <v/>
      </c>
      <c r="AZ102" s="0">
        <f>+F102-G102</f>
        <v/>
      </c>
      <c r="BA102" s="0">
        <f>+AQ102/AP102</f>
        <v/>
      </c>
      <c r="BB102" s="15">
        <f>+E102*AO102*AZ102/BA102</f>
        <v/>
      </c>
      <c r="BC102" s="20">
        <f>BB102-S102</f>
        <v/>
      </c>
      <c r="BD102" s="19">
        <f>+(BB102-S102)/S102*100</f>
        <v/>
      </c>
      <c r="BE102" s="15" t="n">
        <v>3154590.74506305</v>
      </c>
      <c r="BF102" s="16">
        <f>テーブル2[[#This Row],[q_P]]/テーブル2[[#This Row],[q_M]]</f>
        <v/>
      </c>
      <c r="BG102" s="0" t="n">
        <v>1</v>
      </c>
      <c r="BH102" s="0" t="n">
        <v>0.054</v>
      </c>
      <c r="BI102" s="0" t="n">
        <v>0.046</v>
      </c>
      <c r="BJ102" s="0" t="n">
        <v>5625</v>
      </c>
      <c r="BK102" s="22" t="n">
        <v>1</v>
      </c>
      <c r="BL102" s="0">
        <f>テーブル2[[#This Row],[Ts]]-テーブル2[[#This Row],[Tin]]</f>
        <v/>
      </c>
      <c r="BM102" s="0">
        <f>テーブル2[[#This Row],[q_P]]*0.000001</f>
        <v/>
      </c>
      <c r="BN102" s="0">
        <f>テーブル2[[#This Row],[Tsub]]</f>
        <v/>
      </c>
      <c r="BO102" s="0">
        <f>テーブル2[[#This Row],[Fcorr]]</f>
        <v/>
      </c>
      <c r="BP102" s="0">
        <f>(テーブル2[[#This Row],[Tsub]]-40)^2</f>
        <v/>
      </c>
      <c r="BQ102" t="n">
        <v>1</v>
      </c>
      <c r="BR102" s="0" t="n">
        <v>1.524</v>
      </c>
    </row>
    <row r="103">
      <c r="A103" s="9" t="inlineStr">
        <is>
          <t>101.03_8</t>
        </is>
      </c>
      <c r="B103" s="0" t="n">
        <v>11100559.2420011</v>
      </c>
      <c r="C103" s="22">
        <f t="array" ref="C103">TsatFromP(テーブル2[[#This Row],[P]])</f>
        <v/>
      </c>
      <c r="D103" s="0">
        <f t="array" ref="D103">RhoGFromP(テーブル2[[#This Row],[P]])</f>
        <v/>
      </c>
      <c r="E103" s="0">
        <f t="array" ref="E103">RhoFFromP(テーブル2[[#This Row],[P]])</f>
        <v/>
      </c>
      <c r="F103" s="0">
        <f t="array" ref="F103">HgFromP(テーブル2[[#This Row],[P]])</f>
        <v/>
      </c>
      <c r="G103" s="0">
        <f t="array" ref="G103">HfFromP(テーブル2[[#This Row],[P]])</f>
        <v/>
      </c>
      <c r="H103" s="0">
        <f t="array" ref="H103">MuGFromP(テーブル2[[#This Row],[P]])</f>
        <v/>
      </c>
      <c r="I103" s="0">
        <f t="array" ref="I103">MuFFromP(テーブル2[[#This Row],[P]])</f>
        <v/>
      </c>
      <c r="J103" s="0">
        <f t="array" ref="J103">KfFromP(テーブル2[[#This Row],[P]])</f>
        <v/>
      </c>
      <c r="K103" s="0">
        <f t="array" ref="K103">CpFFromP(テーブル2[[#This Row],[P]])</f>
        <v/>
      </c>
      <c r="L103" s="0">
        <f t="array" ref="L103">SigmaFromP(テーブル2[[#This Row],[P]])</f>
        <v/>
      </c>
      <c r="M103" s="0" t="n">
        <v>102</v>
      </c>
      <c r="N103" s="0" t="n">
        <v>4068.68969698588</v>
      </c>
      <c r="O103" s="8">
        <f>PI()*Q103^2/4</f>
        <v/>
      </c>
      <c r="P103" s="8">
        <f>PI()*Q103</f>
        <v/>
      </c>
      <c r="Q103" s="8" t="n">
        <v>0.0093472</v>
      </c>
      <c r="R103" s="0" t="n">
        <v>1.524</v>
      </c>
      <c r="S103" s="15" t="n">
        <v>829931.2195312498</v>
      </c>
      <c r="T103" s="0" t="n">
        <v>563.2006500778079</v>
      </c>
      <c r="U103" s="37">
        <f>+T103+BG103*S103*テーブル2[[#This Row],[Pw]]*R103/(N103*O103*K103)</f>
        <v/>
      </c>
      <c r="V103" s="0" t="n">
        <v>0.03</v>
      </c>
      <c r="W103" s="8">
        <f>+N103*Q103/I103</f>
        <v/>
      </c>
      <c r="X103" s="0" t="n">
        <v>0.02192959149464662</v>
      </c>
      <c r="Y103" s="0">
        <f>IF(X103&gt;0,1/X103^0.5,1)</f>
        <v/>
      </c>
      <c r="Z103" s="0">
        <f>IF(X103&gt;0,1.14-2*LOG((0.72*L103*E103)/(X103*Q103*N103^2)+9.35/(W103*X103^0.5)),0)</f>
        <v/>
      </c>
      <c r="AA103" s="0">
        <f>+Y103-Z103</f>
        <v/>
      </c>
      <c r="AB103" s="0">
        <f>32/X103*L103*V103*E103/N103^2</f>
        <v/>
      </c>
      <c r="AC103" s="0" t="n">
        <v>602.4467390853054</v>
      </c>
      <c r="AD103" s="0">
        <f>+Q103/2*AI103/I103*E103</f>
        <v/>
      </c>
      <c r="AE103" s="0">
        <f>+gettm2(AD103,AC103,AK103,AL103,テーブル2[[#This Row],[Fcorr]])</f>
        <v/>
      </c>
      <c r="AF103" s="38">
        <f>+AE103-U103</f>
        <v/>
      </c>
      <c r="AG103" s="0" t="n">
        <v>1.784523303616163e-05</v>
      </c>
      <c r="AH103" s="0">
        <f>+X103*N103^2/(8*E103)</f>
        <v/>
      </c>
      <c r="AI103" s="0">
        <f>+(AH103/E103)^0.5</f>
        <v/>
      </c>
      <c r="AJ103" s="0">
        <f>+AG103*AI103/I103*E103</f>
        <v/>
      </c>
      <c r="AK103" s="0">
        <f t="array" ref="AK103">+S103*テーブル2[[#This Row],[F_form]]/(E103*CpFromTP((テーブル2[[#This Row],[Tin]]+テーブル2[[#This Row],[Tf]])/2,テーブル2[[#This Row],[P]])*AI103)</f>
        <v/>
      </c>
      <c r="AL103" s="0">
        <f>+K103*I103/J103</f>
        <v/>
      </c>
      <c r="AM103" s="0">
        <f>+gettyp(AC103,AJ103,AK103,AL103)</f>
        <v/>
      </c>
      <c r="AN103" s="0">
        <f>+C103-AM103</f>
        <v/>
      </c>
      <c r="AO103" s="0">
        <f>+AG103-AB103</f>
        <v/>
      </c>
      <c r="AP103" s="0" t="n">
        <v>4.420113704099508</v>
      </c>
      <c r="AQ103" s="0">
        <f>2*PI()*L103*(D103+E103)/(D103*E103*AP103^2)</f>
        <v/>
      </c>
      <c r="AR103" s="0">
        <f>+AO103+AB103/2</f>
        <v/>
      </c>
      <c r="AS103" s="0">
        <f>+AR103*AI103/I103*E103</f>
        <v/>
      </c>
      <c r="AT103" s="0">
        <f>+getublp(AS103)</f>
        <v/>
      </c>
      <c r="AU103" s="0">
        <f>+AT103*AI103</f>
        <v/>
      </c>
      <c r="AV103" s="0">
        <f>+AP103-AU103</f>
        <v/>
      </c>
      <c r="AW103" s="0">
        <f>2/3*AB103/(L103/(9.8*(E103-D103)))^0.5</f>
        <v/>
      </c>
      <c r="AX103" s="0">
        <f>+(2*AQ103*9.8*(E103-D103)/(E103*AW103))^0.5</f>
        <v/>
      </c>
      <c r="AY103" s="0">
        <f>+AV103-AX103</f>
        <v/>
      </c>
      <c r="AZ103" s="0">
        <f>+F103-G103</f>
        <v/>
      </c>
      <c r="BA103" s="0">
        <f>+AQ103/AP103</f>
        <v/>
      </c>
      <c r="BB103" s="15">
        <f>+E103*AO103*AZ103/BA103</f>
        <v/>
      </c>
      <c r="BC103" s="20">
        <f>BB103-S103</f>
        <v/>
      </c>
      <c r="BD103" s="19">
        <f>+(BB103-S103)/S103*100</f>
        <v/>
      </c>
      <c r="BE103" s="15" t="n">
        <v>1868148.63922634</v>
      </c>
      <c r="BF103" s="16">
        <f>テーブル2[[#This Row],[q_P]]/テーブル2[[#This Row],[q_M]]</f>
        <v/>
      </c>
      <c r="BG103" s="0" t="n">
        <v>1</v>
      </c>
      <c r="BH103" s="0" t="n">
        <v>0.106</v>
      </c>
      <c r="BI103" s="0" t="n">
        <v>0.046</v>
      </c>
      <c r="BJ103" s="0" t="n">
        <v>5625</v>
      </c>
      <c r="BK103" s="22" t="n">
        <v>1</v>
      </c>
      <c r="BL103" s="0">
        <f>テーブル2[[#This Row],[Ts]]-テーブル2[[#This Row],[Tin]]</f>
        <v/>
      </c>
      <c r="BM103" s="0">
        <f>テーブル2[[#This Row],[q_P]]*0.000001</f>
        <v/>
      </c>
      <c r="BN103" s="0">
        <f>テーブル2[[#This Row],[Tsub]]</f>
        <v/>
      </c>
      <c r="BO103" s="0">
        <f>テーブル2[[#This Row],[Fcorr]]</f>
        <v/>
      </c>
      <c r="BP103" s="0">
        <f>(テーブル2[[#This Row],[Tsub]]-40)^2</f>
        <v/>
      </c>
      <c r="BQ103" t="n">
        <v>1</v>
      </c>
      <c r="BR103" s="0" t="n">
        <v>1.524</v>
      </c>
    </row>
    <row r="104">
      <c r="A104" s="9" t="inlineStr">
        <is>
          <t>1.01_9</t>
        </is>
      </c>
      <c r="B104" s="0" t="n">
        <v>12065825.2630446</v>
      </c>
      <c r="C104" s="22">
        <f t="array" ref="C104">TsatFromP(テーブル2[[#This Row],[P]])</f>
        <v/>
      </c>
      <c r="D104" s="0">
        <f t="array" ref="D104">RhoGFromP(テーブル2[[#This Row],[P]])</f>
        <v/>
      </c>
      <c r="E104" s="0">
        <f t="array" ref="E104">RhoFFromP(テーブル2[[#This Row],[P]])</f>
        <v/>
      </c>
      <c r="F104" s="0">
        <f t="array" ref="F104">HgFromP(テーブル2[[#This Row],[P]])</f>
        <v/>
      </c>
      <c r="G104" s="0">
        <f t="array" ref="G104">HfFromP(テーブル2[[#This Row],[P]])</f>
        <v/>
      </c>
      <c r="H104" s="0">
        <f t="array" ref="H104">MuGFromP(テーブル2[[#This Row],[P]])</f>
        <v/>
      </c>
      <c r="I104" s="0">
        <f t="array" ref="I104">MuFFromP(テーブル2[[#This Row],[P]])</f>
        <v/>
      </c>
      <c r="J104" s="0">
        <f t="array" ref="J104">KfFromP(テーブル2[[#This Row],[P]])</f>
        <v/>
      </c>
      <c r="K104" s="0">
        <f t="array" ref="K104">CpFFromP(テーブル2[[#This Row],[P]])</f>
        <v/>
      </c>
      <c r="L104" s="0">
        <f t="array" ref="L104">SigmaFromP(テーブル2[[#This Row],[P]])</f>
        <v/>
      </c>
      <c r="M104" s="0" t="n">
        <v>103</v>
      </c>
      <c r="N104" s="0" t="n">
        <v>2305.590828292</v>
      </c>
      <c r="O104" s="8">
        <f>PI()*Q104^2/4</f>
        <v/>
      </c>
      <c r="P104" s="8">
        <f>PI()*Q104</f>
        <v/>
      </c>
      <c r="Q104" s="8" t="n">
        <v>0.001905</v>
      </c>
      <c r="R104" s="0" t="n">
        <v>0.1524</v>
      </c>
      <c r="S104" s="15" t="n">
        <v>3116361.46484375</v>
      </c>
      <c r="T104" s="0" t="n">
        <v>509.745244278404</v>
      </c>
      <c r="U104" s="37">
        <f>+T104+BG104*S104*テーブル2[[#This Row],[Pw]]*R104/(N104*O104*K104)</f>
        <v/>
      </c>
      <c r="V104" s="0" t="n">
        <v>0.03</v>
      </c>
      <c r="W104" s="8">
        <f>+N104*Q104/I104</f>
        <v/>
      </c>
      <c r="X104" s="0" t="n">
        <v>0.03924980274788904</v>
      </c>
      <c r="Y104" s="0">
        <f>IF(X104&gt;0,1/X104^0.5,1)</f>
        <v/>
      </c>
      <c r="Z104" s="0">
        <f>IF(X104&gt;0,1.14-2*LOG((0.72*L104*E104)/(X104*Q104*N104^2)+9.35/(W104*X104^0.5)),0)</f>
        <v/>
      </c>
      <c r="AA104" s="0">
        <f>+Y104-Z104</f>
        <v/>
      </c>
      <c r="AB104" s="0">
        <f>32/X104*L104*V104*E104/N104^2</f>
        <v/>
      </c>
      <c r="AC104" s="0" t="n">
        <v>659.7229711832429</v>
      </c>
      <c r="AD104" s="0">
        <f>+Q104/2*AI104/I104*E104</f>
        <v/>
      </c>
      <c r="AE104" s="0">
        <f>+gettm2(AD104,AC104,AK104,AL104,テーブル2[[#This Row],[Fcorr]])</f>
        <v/>
      </c>
      <c r="AF104" s="38">
        <f>+AE104-U104</f>
        <v/>
      </c>
      <c r="AG104" s="0" t="n">
        <v>2.623929357419954e-05</v>
      </c>
      <c r="AH104" s="0">
        <f>+X104*N104^2/(8*E104)</f>
        <v/>
      </c>
      <c r="AI104" s="0">
        <f>+(AH104/E104)^0.5</f>
        <v/>
      </c>
      <c r="AJ104" s="0">
        <f>+AG104*AI104/I104*E104</f>
        <v/>
      </c>
      <c r="AK104" s="0">
        <f t="array" ref="AK104">+S104*テーブル2[[#This Row],[F_form]]/(E104*CpFromTP((テーブル2[[#This Row],[Tin]]+テーブル2[[#This Row],[Tf]])/2,テーブル2[[#This Row],[P]])*AI104)</f>
        <v/>
      </c>
      <c r="AL104" s="0">
        <f>+K104*I104/J104</f>
        <v/>
      </c>
      <c r="AM104" s="0">
        <f>+gettyp(AC104,AJ104,AK104,AL104)</f>
        <v/>
      </c>
      <c r="AN104" s="0">
        <f>+C104-AM104</f>
        <v/>
      </c>
      <c r="AO104" s="0">
        <f>+AG104-AB104</f>
        <v/>
      </c>
      <c r="AP104" s="0" t="n">
        <v>3.635581683011054</v>
      </c>
      <c r="AQ104" s="0">
        <f>2*PI()*L104*(D104+E104)/(D104*E104*AP104^2)</f>
        <v/>
      </c>
      <c r="AR104" s="0">
        <f>+AO104+AB104/2</f>
        <v/>
      </c>
      <c r="AS104" s="0">
        <f>+AR104*AI104/I104*E104</f>
        <v/>
      </c>
      <c r="AT104" s="0">
        <f>+getublp(AS104)</f>
        <v/>
      </c>
      <c r="AU104" s="0">
        <f>+AT104*AI104</f>
        <v/>
      </c>
      <c r="AV104" s="0">
        <f>+AP104-AU104</f>
        <v/>
      </c>
      <c r="AW104" s="0">
        <f>2/3*AB104/(L104/(9.8*(E104-D104)))^0.5</f>
        <v/>
      </c>
      <c r="AX104" s="0">
        <f>+(2*AQ104*9.8*(E104-D104)/(E104*AW104))^0.5</f>
        <v/>
      </c>
      <c r="AY104" s="0">
        <f>+AV104-AX104</f>
        <v/>
      </c>
      <c r="AZ104" s="0">
        <f>+F104-G104</f>
        <v/>
      </c>
      <c r="BA104" s="0">
        <f>+AQ104/AP104</f>
        <v/>
      </c>
      <c r="BB104" s="15">
        <f>+E104*AO104*AZ104/BA104</f>
        <v/>
      </c>
      <c r="BC104" s="20">
        <f>BB104-S104</f>
        <v/>
      </c>
      <c r="BD104" s="19">
        <f>+(BB104-S104)/S104*100</f>
        <v/>
      </c>
      <c r="BE104" s="15" t="n">
        <v>3217681.8</v>
      </c>
      <c r="BF104" s="16">
        <f>テーブル2[[#This Row],[q_P]]/テーブル2[[#This Row],[q_M]]</f>
        <v/>
      </c>
      <c r="BG104" s="0" t="n">
        <v>1</v>
      </c>
      <c r="BH104" s="0" t="n">
        <v>-0.021</v>
      </c>
      <c r="BI104" s="0" t="n">
        <v>0.046</v>
      </c>
      <c r="BJ104" s="0" t="n">
        <v>5625</v>
      </c>
      <c r="BK104" s="22" t="n">
        <v>1</v>
      </c>
      <c r="BL104" s="0">
        <f>テーブル2[[#This Row],[Ts]]-テーブル2[[#This Row],[Tin]]</f>
        <v/>
      </c>
      <c r="BM104" s="0">
        <f>テーブル2[[#This Row],[q_P]]*0.000001</f>
        <v/>
      </c>
      <c r="BN104" s="0">
        <f>テーブル2[[#This Row],[Tsub]]</f>
        <v/>
      </c>
      <c r="BO104" s="0">
        <f>テーブル2[[#This Row],[Fcorr]]</f>
        <v/>
      </c>
      <c r="BP104" s="0">
        <f>(テーブル2[[#This Row],[Tsub]]-40)^2</f>
        <v/>
      </c>
      <c r="BQ104" t="n">
        <v>1</v>
      </c>
      <c r="BR104" s="0" t="n">
        <v>0.1524</v>
      </c>
    </row>
    <row r="105">
      <c r="A105" s="9" t="inlineStr">
        <is>
          <t>2.01_9</t>
        </is>
      </c>
      <c r="B105" s="0" t="n">
        <v>12065825.2630446</v>
      </c>
      <c r="C105" s="22">
        <f t="array" ref="C105">TsatFromP(テーブル2[[#This Row],[P]])</f>
        <v/>
      </c>
      <c r="D105" s="0">
        <f t="array" ref="D105">RhoGFromP(テーブル2[[#This Row],[P]])</f>
        <v/>
      </c>
      <c r="E105" s="0">
        <f t="array" ref="E105">RhoFFromP(テーブル2[[#This Row],[P]])</f>
        <v/>
      </c>
      <c r="F105" s="0">
        <f t="array" ref="F105">HgFromP(テーブル2[[#This Row],[P]])</f>
        <v/>
      </c>
      <c r="G105" s="0">
        <f t="array" ref="G105">HfFromP(テーブル2[[#This Row],[P]])</f>
        <v/>
      </c>
      <c r="H105" s="0">
        <f t="array" ref="H105">MuGFromP(テーブル2[[#This Row],[P]])</f>
        <v/>
      </c>
      <c r="I105" s="0">
        <f t="array" ref="I105">MuFFromP(テーブル2[[#This Row],[P]])</f>
        <v/>
      </c>
      <c r="J105" s="0">
        <f t="array" ref="J105">KfFromP(テーブル2[[#This Row],[P]])</f>
        <v/>
      </c>
      <c r="K105" s="0">
        <f t="array" ref="K105">CpFFromP(テーブル2[[#This Row],[P]])</f>
        <v/>
      </c>
      <c r="L105" s="0">
        <f t="array" ref="L105">SigmaFromP(テーブル2[[#This Row],[P]])</f>
        <v/>
      </c>
      <c r="M105" s="0" t="n">
        <v>104</v>
      </c>
      <c r="N105" s="0" t="n">
        <v>2359.84002425181</v>
      </c>
      <c r="O105" s="8">
        <f>PI()*Q105^2/4</f>
        <v/>
      </c>
      <c r="P105" s="8">
        <f>PI()*Q105</f>
        <v/>
      </c>
      <c r="Q105" s="8" t="n">
        <v>0.001905</v>
      </c>
      <c r="R105" s="0" t="n">
        <v>0.1524</v>
      </c>
      <c r="S105" s="15" t="n">
        <v>3323367.87890625</v>
      </c>
      <c r="T105" s="0" t="n">
        <v>505.328391243307</v>
      </c>
      <c r="U105" s="37">
        <f>+T105+BG105*S105*テーブル2[[#This Row],[Pw]]*R105/(N105*O105*K105)</f>
        <v/>
      </c>
      <c r="V105" s="0" t="n">
        <v>0.03</v>
      </c>
      <c r="W105" s="8">
        <f>+N105*Q105/I105</f>
        <v/>
      </c>
      <c r="X105" s="0" t="n">
        <v>0.03879901004063562</v>
      </c>
      <c r="Y105" s="0">
        <f>IF(X105&gt;0,1/X105^0.5,1)</f>
        <v/>
      </c>
      <c r="Z105" s="0">
        <f>IF(X105&gt;0,1.14-2*LOG((0.72*L105*E105)/(X105*Q105*N105^2)+9.35/(W105*X105^0.5)),0)</f>
        <v/>
      </c>
      <c r="AA105" s="0">
        <f>+Y105-Z105</f>
        <v/>
      </c>
      <c r="AB105" s="0">
        <f>32/X105*L105*V105*E105/N105^2</f>
        <v/>
      </c>
      <c r="AC105" s="0" t="n">
        <v>662.9748786883395</v>
      </c>
      <c r="AD105" s="0">
        <f>+Q105/2*AI105/I105*E105</f>
        <v/>
      </c>
      <c r="AE105" s="0">
        <f>+gettm2(AD105,AC105,AK105,AL105,テーブル2[[#This Row],[Fcorr]])</f>
        <v/>
      </c>
      <c r="AF105" s="38">
        <f>+AE105-U105</f>
        <v/>
      </c>
      <c r="AG105" s="0" t="n">
        <v>2.534256166678688e-05</v>
      </c>
      <c r="AH105" s="0">
        <f>+X105*N105^2/(8*E105)</f>
        <v/>
      </c>
      <c r="AI105" s="0">
        <f>+(AH105/E105)^0.5</f>
        <v/>
      </c>
      <c r="AJ105" s="0">
        <f>+AG105*AI105/I105*E105</f>
        <v/>
      </c>
      <c r="AK105" s="0">
        <f t="array" ref="AK105">+S105*テーブル2[[#This Row],[F_form]]/(E105*CpFromTP((テーブル2[[#This Row],[Tin]]+テーブル2[[#This Row],[Tf]])/2,テーブル2[[#This Row],[P]])*AI105)</f>
        <v/>
      </c>
      <c r="AL105" s="0">
        <f>+K105*I105/J105</f>
        <v/>
      </c>
      <c r="AM105" s="0">
        <f>+gettyp(AC105,AJ105,AK105,AL105)</f>
        <v/>
      </c>
      <c r="AN105" s="0">
        <f>+C105-AM105</f>
        <v/>
      </c>
      <c r="AO105" s="0">
        <f>+AG105-AB105</f>
        <v/>
      </c>
      <c r="AP105" s="0" t="n">
        <v>3.675109820655906</v>
      </c>
      <c r="AQ105" s="0">
        <f>2*PI()*L105*(D105+E105)/(D105*E105*AP105^2)</f>
        <v/>
      </c>
      <c r="AR105" s="0">
        <f>+AO105+AB105/2</f>
        <v/>
      </c>
      <c r="AS105" s="0">
        <f>+AR105*AI105/I105*E105</f>
        <v/>
      </c>
      <c r="AT105" s="0">
        <f>+getublp(AS105)</f>
        <v/>
      </c>
      <c r="AU105" s="0">
        <f>+AT105*AI105</f>
        <v/>
      </c>
      <c r="AV105" s="0">
        <f>+AP105-AU105</f>
        <v/>
      </c>
      <c r="AW105" s="0">
        <f>2/3*AB105/(L105/(9.8*(E105-D105)))^0.5</f>
        <v/>
      </c>
      <c r="AX105" s="0">
        <f>+(2*AQ105*9.8*(E105-D105)/(E105*AW105))^0.5</f>
        <v/>
      </c>
      <c r="AY105" s="0">
        <f>+AV105-AX105</f>
        <v/>
      </c>
      <c r="AZ105" s="0">
        <f>+F105-G105</f>
        <v/>
      </c>
      <c r="BA105" s="0">
        <f>+AQ105/AP105</f>
        <v/>
      </c>
      <c r="BB105" s="15">
        <f>+E105*AO105*AZ105/BA105</f>
        <v/>
      </c>
      <c r="BC105" s="20">
        <f>BB105-S105</f>
        <v/>
      </c>
      <c r="BD105" s="19">
        <f>+(BB105-S105)/S105*100</f>
        <v/>
      </c>
      <c r="BE105" s="15" t="n">
        <v>3438503.1</v>
      </c>
      <c r="BF105" s="16">
        <f>テーブル2[[#This Row],[q_P]]/テーブル2[[#This Row],[q_M]]</f>
        <v/>
      </c>
      <c r="BG105" s="0" t="n">
        <v>1</v>
      </c>
      <c r="BH105" s="0" t="n">
        <v>-0.021</v>
      </c>
      <c r="BI105" s="0" t="n">
        <v>0.046</v>
      </c>
      <c r="BJ105" s="0" t="n">
        <v>5625</v>
      </c>
      <c r="BK105" s="22" t="n">
        <v>1</v>
      </c>
      <c r="BL105" s="0">
        <f>テーブル2[[#This Row],[Ts]]-テーブル2[[#This Row],[Tin]]</f>
        <v/>
      </c>
      <c r="BM105" s="0">
        <f>テーブル2[[#This Row],[q_P]]*0.000001</f>
        <v/>
      </c>
      <c r="BN105" s="0">
        <f>テーブル2[[#This Row],[Tsub]]</f>
        <v/>
      </c>
      <c r="BO105" s="0">
        <f>テーブル2[[#This Row],[Fcorr]]</f>
        <v/>
      </c>
      <c r="BP105" s="0">
        <f>(テーブル2[[#This Row],[Tsub]]-40)^2</f>
        <v/>
      </c>
      <c r="BQ105" t="n">
        <v>1</v>
      </c>
      <c r="BR105" s="0" t="n">
        <v>0.1524</v>
      </c>
    </row>
    <row r="106">
      <c r="A106" s="9" t="inlineStr">
        <is>
          <t>3.01_9</t>
        </is>
      </c>
      <c r="B106" s="0" t="n">
        <v>12065825.2630446</v>
      </c>
      <c r="C106" s="22">
        <f t="array" ref="C106">TsatFromP(テーブル2[[#This Row],[P]])</f>
        <v/>
      </c>
      <c r="D106" s="0">
        <f t="array" ref="D106">RhoGFromP(テーブル2[[#This Row],[P]])</f>
        <v/>
      </c>
      <c r="E106" s="0">
        <f t="array" ref="E106">RhoFFromP(テーブル2[[#This Row],[P]])</f>
        <v/>
      </c>
      <c r="F106" s="0">
        <f t="array" ref="F106">HgFromP(テーブル2[[#This Row],[P]])</f>
        <v/>
      </c>
      <c r="G106" s="0">
        <f t="array" ref="G106">HfFromP(テーブル2[[#This Row],[P]])</f>
        <v/>
      </c>
      <c r="H106" s="0">
        <f t="array" ref="H106">MuGFromP(テーブル2[[#This Row],[P]])</f>
        <v/>
      </c>
      <c r="I106" s="0">
        <f t="array" ref="I106">MuFFromP(テーブル2[[#This Row],[P]])</f>
        <v/>
      </c>
      <c r="J106" s="0">
        <f t="array" ref="J106">KfFromP(テーブル2[[#This Row],[P]])</f>
        <v/>
      </c>
      <c r="K106" s="0">
        <f t="array" ref="K106">CpFFromP(テーブル2[[#This Row],[P]])</f>
        <v/>
      </c>
      <c r="L106" s="0">
        <f t="array" ref="L106">SigmaFromP(テーブル2[[#This Row],[P]])</f>
        <v/>
      </c>
      <c r="M106" s="0" t="n">
        <v>105</v>
      </c>
      <c r="N106" s="0" t="n">
        <v>2373.40232324176</v>
      </c>
      <c r="O106" s="8">
        <f>PI()*Q106^2/4</f>
        <v/>
      </c>
      <c r="P106" s="8">
        <f>PI()*Q106</f>
        <v/>
      </c>
      <c r="Q106" s="8" t="n">
        <v>0.001905</v>
      </c>
      <c r="R106" s="0" t="n">
        <v>0.1524</v>
      </c>
      <c r="S106" s="15" t="n">
        <v>3872772.55859375</v>
      </c>
      <c r="T106" s="0" t="n">
        <v>489.743745486523</v>
      </c>
      <c r="U106" s="37">
        <f>+T106+BG106*S106*テーブル2[[#This Row],[Pw]]*R106/(N106*O106*K106)</f>
        <v/>
      </c>
      <c r="V106" s="0" t="n">
        <v>0.03</v>
      </c>
      <c r="W106" s="8">
        <f>+N106*Q106/I106</f>
        <v/>
      </c>
      <c r="X106" s="0" t="n">
        <v>0.03868905793963166</v>
      </c>
      <c r="Y106" s="0">
        <f>IF(X106&gt;0,1/X106^0.5,1)</f>
        <v/>
      </c>
      <c r="Z106" s="0">
        <f>IF(X106&gt;0,1.14-2*LOG((0.72*L106*E106)/(X106*Q106*N106^2)+9.35/(W106*X106^0.5)),0)</f>
        <v/>
      </c>
      <c r="AA106" s="0">
        <f>+Y106-Z106</f>
        <v/>
      </c>
      <c r="AB106" s="0">
        <f>32/X106*L106*V106*E106/N106^2</f>
        <v/>
      </c>
      <c r="AC106" s="0" t="n">
        <v>675.0181298845432</v>
      </c>
      <c r="AD106" s="0">
        <f>+Q106/2*AI106/I106*E106</f>
        <v/>
      </c>
      <c r="AE106" s="0">
        <f>+gettm2(AD106,AC106,AK106,AL106,テーブル2[[#This Row],[Fcorr]])</f>
        <v/>
      </c>
      <c r="AF106" s="38">
        <f>+AE106-U106</f>
        <v/>
      </c>
      <c r="AG106" s="0" t="n">
        <v>2.51366209688822e-05</v>
      </c>
      <c r="AH106" s="0">
        <f>+X106*N106^2/(8*E106)</f>
        <v/>
      </c>
      <c r="AI106" s="0">
        <f>+(AH106/E106)^0.5</f>
        <v/>
      </c>
      <c r="AJ106" s="0">
        <f>+AG106*AI106/I106*E106</f>
        <v/>
      </c>
      <c r="AK106" s="0">
        <f t="array" ref="AK106">+S106*テーブル2[[#This Row],[F_form]]/(E106*CpFromTP((テーブル2[[#This Row],[Tin]]+テーブル2[[#This Row],[Tf]])/2,テーブル2[[#This Row],[P]])*AI106)</f>
        <v/>
      </c>
      <c r="AL106" s="0">
        <f>+K106*I106/J106</f>
        <v/>
      </c>
      <c r="AM106" s="0">
        <f>+gettyp(AC106,AJ106,AK106,AL106)</f>
        <v/>
      </c>
      <c r="AN106" s="0">
        <f>+C106-AM106</f>
        <v/>
      </c>
      <c r="AO106" s="0">
        <f>+AG106-AB106</f>
        <v/>
      </c>
      <c r="AP106" s="0" t="n">
        <v>3.685881000590622</v>
      </c>
      <c r="AQ106" s="0">
        <f>2*PI()*L106*(D106+E106)/(D106*E106*AP106^2)</f>
        <v/>
      </c>
      <c r="AR106" s="0">
        <f>+AO106+AB106/2</f>
        <v/>
      </c>
      <c r="AS106" s="0">
        <f>+AR106*AI106/I106*E106</f>
        <v/>
      </c>
      <c r="AT106" s="0">
        <f>+getublp(AS106)</f>
        <v/>
      </c>
      <c r="AU106" s="0">
        <f>+AT106*AI106</f>
        <v/>
      </c>
      <c r="AV106" s="0">
        <f>+AP106-AU106</f>
        <v/>
      </c>
      <c r="AW106" s="0">
        <f>2/3*AB106/(L106/(9.8*(E106-D106)))^0.5</f>
        <v/>
      </c>
      <c r="AX106" s="0">
        <f>+(2*AQ106*9.8*(E106-D106)/(E106*AW106))^0.5</f>
        <v/>
      </c>
      <c r="AY106" s="0">
        <f>+AV106-AX106</f>
        <v/>
      </c>
      <c r="AZ106" s="0">
        <f>+F106-G106</f>
        <v/>
      </c>
      <c r="BA106" s="0">
        <f>+AQ106/AP106</f>
        <v/>
      </c>
      <c r="BB106" s="15">
        <f>+E106*AO106*AZ106/BA106</f>
        <v/>
      </c>
      <c r="BC106" s="20">
        <f>BB106-S106</f>
        <v/>
      </c>
      <c r="BD106" s="19">
        <f>+(BB106-S106)/S106*100</f>
        <v/>
      </c>
      <c r="BE106" s="15" t="n">
        <v>3974783.4</v>
      </c>
      <c r="BF106" s="16">
        <f>テーブル2[[#This Row],[q_P]]/テーブル2[[#This Row],[q_M]]</f>
        <v/>
      </c>
      <c r="BG106" s="0" t="n">
        <v>1</v>
      </c>
      <c r="BH106" s="0" t="n">
        <v>-0.023</v>
      </c>
      <c r="BI106" s="0" t="n">
        <v>0.046</v>
      </c>
      <c r="BJ106" s="0" t="n">
        <v>5625</v>
      </c>
      <c r="BK106" s="22" t="n">
        <v>1</v>
      </c>
      <c r="BL106" s="0">
        <f>テーブル2[[#This Row],[Ts]]-テーブル2[[#This Row],[Tin]]</f>
        <v/>
      </c>
      <c r="BM106" s="0">
        <f>テーブル2[[#This Row],[q_P]]*0.000001</f>
        <v/>
      </c>
      <c r="BN106" s="0">
        <f>テーブル2[[#This Row],[Tsub]]</f>
        <v/>
      </c>
      <c r="BO106" s="0">
        <f>テーブル2[[#This Row],[Fcorr]]</f>
        <v/>
      </c>
      <c r="BP106" s="0">
        <f>(テーブル2[[#This Row],[Tsub]]-40)^2</f>
        <v/>
      </c>
      <c r="BQ106" t="n">
        <v>1</v>
      </c>
      <c r="BR106" s="0" t="n">
        <v>0.1524</v>
      </c>
    </row>
    <row r="107">
      <c r="A107" s="9" t="inlineStr">
        <is>
          <t>4.01_9</t>
        </is>
      </c>
      <c r="B107" s="0" t="n">
        <v>12065825.2630446</v>
      </c>
      <c r="C107" s="22">
        <f t="array" ref="C107">TsatFromP(テーブル2[[#This Row],[P]])</f>
        <v/>
      </c>
      <c r="D107" s="0">
        <f t="array" ref="D107">RhoGFromP(テーブル2[[#This Row],[P]])</f>
        <v/>
      </c>
      <c r="E107" s="0">
        <f t="array" ref="E107">RhoFFromP(テーブル2[[#This Row],[P]])</f>
        <v/>
      </c>
      <c r="F107" s="0">
        <f t="array" ref="F107">HgFromP(テーブル2[[#This Row],[P]])</f>
        <v/>
      </c>
      <c r="G107" s="0">
        <f t="array" ref="G107">HfFromP(テーブル2[[#This Row],[P]])</f>
        <v/>
      </c>
      <c r="H107" s="0">
        <f t="array" ref="H107">MuGFromP(テーブル2[[#This Row],[P]])</f>
        <v/>
      </c>
      <c r="I107" s="0">
        <f t="array" ref="I107">MuFFromP(テーブル2[[#This Row],[P]])</f>
        <v/>
      </c>
      <c r="J107" s="0">
        <f t="array" ref="J107">KfFromP(テーブル2[[#This Row],[P]])</f>
        <v/>
      </c>
      <c r="K107" s="0">
        <f t="array" ref="K107">CpFFromP(テーブル2[[#This Row],[P]])</f>
        <v/>
      </c>
      <c r="L107" s="0">
        <f t="array" ref="L107">SigmaFromP(テーブル2[[#This Row],[P]])</f>
        <v/>
      </c>
      <c r="M107" s="0" t="n">
        <v>106</v>
      </c>
      <c r="N107" s="0" t="n">
        <v>2427.65151920157</v>
      </c>
      <c r="O107" s="8">
        <f>PI()*Q107^2/4</f>
        <v/>
      </c>
      <c r="P107" s="8">
        <f>PI()*Q107</f>
        <v/>
      </c>
      <c r="Q107" s="8" t="n">
        <v>0.001905</v>
      </c>
      <c r="R107" s="0" t="n">
        <v>0.1524</v>
      </c>
      <c r="S107" s="15" t="n">
        <v>3996234.31640625</v>
      </c>
      <c r="T107" s="0" t="n">
        <v>488.095222083176</v>
      </c>
      <c r="U107" s="37">
        <f>+T107+BG107*S107*テーブル2[[#This Row],[Pw]]*R107/(N107*O107*K107)</f>
        <v/>
      </c>
      <c r="V107" s="0" t="n">
        <v>0.03</v>
      </c>
      <c r="W107" s="8">
        <f>+N107*Q107/I107</f>
        <v/>
      </c>
      <c r="X107" s="0" t="n">
        <v>0.03825972501097721</v>
      </c>
      <c r="Y107" s="0">
        <f>IF(X107&gt;0,1/X107^0.5,1)</f>
        <v/>
      </c>
      <c r="Z107" s="0">
        <f>IF(X107&gt;0,1.14-2*LOG((0.72*L107*E107)/(X107*Q107*N107^2)+9.35/(W107*X107^0.5)),0)</f>
        <v/>
      </c>
      <c r="AA107" s="0">
        <f>+Y107-Z107</f>
        <v/>
      </c>
      <c r="AB107" s="0">
        <f>32/X107*L107*V107*E107/N107^2</f>
        <v/>
      </c>
      <c r="AC107" s="0" t="n">
        <v>676.1214244405098</v>
      </c>
      <c r="AD107" s="0">
        <f>+Q107/2*AI107/I107*E107</f>
        <v/>
      </c>
      <c r="AE107" s="0">
        <f>+gettm2(AD107,AC107,AK107,AL107,テーブル2[[#This Row],[Fcorr]])</f>
        <v/>
      </c>
      <c r="AF107" s="38">
        <f>+AE107-U107</f>
        <v/>
      </c>
      <c r="AG107" s="0" t="n">
        <v>2.429852627474098e-05</v>
      </c>
      <c r="AH107" s="0">
        <f>+X107*N107^2/(8*E107)</f>
        <v/>
      </c>
      <c r="AI107" s="0">
        <f>+(AH107/E107)^0.5</f>
        <v/>
      </c>
      <c r="AJ107" s="0">
        <f>+AG107*AI107/I107*E107</f>
        <v/>
      </c>
      <c r="AK107" s="0">
        <f t="array" ref="AK107">+S107*テーブル2[[#This Row],[F_form]]/(E107*CpFromTP((テーブル2[[#This Row],[Tin]]+テーブル2[[#This Row],[Tf]])/2,テーブル2[[#This Row],[P]])*AI107)</f>
        <v/>
      </c>
      <c r="AL107" s="0">
        <f>+K107*I107/J107</f>
        <v/>
      </c>
      <c r="AM107" s="0">
        <f>+gettyp(AC107,AJ107,AK107,AL107)</f>
        <v/>
      </c>
      <c r="AN107" s="0">
        <f>+C107-AM107</f>
        <v/>
      </c>
      <c r="AO107" s="0">
        <f>+AG107-AB107</f>
        <v/>
      </c>
      <c r="AP107" s="0" t="n">
        <v>3.724624940344807</v>
      </c>
      <c r="AQ107" s="0">
        <f>2*PI()*L107*(D107+E107)/(D107*E107*AP107^2)</f>
        <v/>
      </c>
      <c r="AR107" s="0">
        <f>+AO107+AB107/2</f>
        <v/>
      </c>
      <c r="AS107" s="0">
        <f>+AR107*AI107/I107*E107</f>
        <v/>
      </c>
      <c r="AT107" s="0">
        <f>+getublp(AS107)</f>
        <v/>
      </c>
      <c r="AU107" s="0">
        <f>+AT107*AI107</f>
        <v/>
      </c>
      <c r="AV107" s="0">
        <f>+AP107-AU107</f>
        <v/>
      </c>
      <c r="AW107" s="0">
        <f>2/3*AB107/(L107/(9.8*(E107-D107)))^0.5</f>
        <v/>
      </c>
      <c r="AX107" s="0">
        <f>+(2*AQ107*9.8*(E107-D107)/(E107*AW107))^0.5</f>
        <v/>
      </c>
      <c r="AY107" s="0">
        <f>+AV107-AX107</f>
        <v/>
      </c>
      <c r="AZ107" s="0">
        <f>+F107-G107</f>
        <v/>
      </c>
      <c r="BA107" s="0">
        <f>+AQ107/AP107</f>
        <v/>
      </c>
      <c r="BB107" s="15">
        <f>+E107*AO107*AZ107/BA107</f>
        <v/>
      </c>
      <c r="BC107" s="20">
        <f>BB107-S107</f>
        <v/>
      </c>
      <c r="BD107" s="19">
        <f>+(BB107-S107)/S107*100</f>
        <v/>
      </c>
      <c r="BE107" s="15" t="n">
        <v>4069421.1</v>
      </c>
      <c r="BF107" s="16">
        <f>テーブル2[[#This Row],[q_P]]/テーブル2[[#This Row],[q_M]]</f>
        <v/>
      </c>
      <c r="BG107" s="0" t="n">
        <v>1</v>
      </c>
      <c r="BH107" s="0" t="n">
        <v>-0.029</v>
      </c>
      <c r="BI107" s="0" t="n">
        <v>0.046</v>
      </c>
      <c r="BJ107" s="0" t="n">
        <v>5625</v>
      </c>
      <c r="BK107" s="22" t="n">
        <v>1</v>
      </c>
      <c r="BL107" s="0">
        <f>テーブル2[[#This Row],[Ts]]-テーブル2[[#This Row],[Tin]]</f>
        <v/>
      </c>
      <c r="BM107" s="0">
        <f>テーブル2[[#This Row],[q_P]]*0.000001</f>
        <v/>
      </c>
      <c r="BN107" s="0">
        <f>テーブル2[[#This Row],[Tsub]]</f>
        <v/>
      </c>
      <c r="BO107" s="0">
        <f>テーブル2[[#This Row],[Fcorr]]</f>
        <v/>
      </c>
      <c r="BP107" s="0">
        <f>(テーブル2[[#This Row],[Tsub]]-40)^2</f>
        <v/>
      </c>
      <c r="BQ107" t="n">
        <v>1</v>
      </c>
      <c r="BR107" s="0" t="n">
        <v>0.1524</v>
      </c>
    </row>
    <row r="108">
      <c r="A108" s="9" t="inlineStr">
        <is>
          <t>5.01_9</t>
        </is>
      </c>
      <c r="B108" s="0" t="n">
        <v>12065825.2630446</v>
      </c>
      <c r="C108" s="22">
        <f t="array" ref="C108">TsatFromP(テーブル2[[#This Row],[P]])</f>
        <v/>
      </c>
      <c r="D108" s="0">
        <f t="array" ref="D108">RhoGFromP(テーブル2[[#This Row],[P]])</f>
        <v/>
      </c>
      <c r="E108" s="0">
        <f t="array" ref="E108">RhoFFromP(テーブル2[[#This Row],[P]])</f>
        <v/>
      </c>
      <c r="F108" s="0">
        <f t="array" ref="F108">HgFromP(テーブル2[[#This Row],[P]])</f>
        <v/>
      </c>
      <c r="G108" s="0">
        <f t="array" ref="G108">HfFromP(テーブル2[[#This Row],[P]])</f>
        <v/>
      </c>
      <c r="H108" s="0">
        <f t="array" ref="H108">MuGFromP(テーブル2[[#This Row],[P]])</f>
        <v/>
      </c>
      <c r="I108" s="0">
        <f t="array" ref="I108">MuFFromP(テーブル2[[#This Row],[P]])</f>
        <v/>
      </c>
      <c r="J108" s="0">
        <f t="array" ref="J108">KfFromP(テーブル2[[#This Row],[P]])</f>
        <v/>
      </c>
      <c r="K108" s="0">
        <f t="array" ref="K108">CpFFromP(テーブル2[[#This Row],[P]])</f>
        <v/>
      </c>
      <c r="L108" s="0">
        <f t="array" ref="L108">SigmaFromP(テーブル2[[#This Row],[P]])</f>
        <v/>
      </c>
      <c r="M108" s="0" t="n">
        <v>107</v>
      </c>
      <c r="N108" s="0" t="n">
        <v>2509.02531314129</v>
      </c>
      <c r="O108" s="8">
        <f>PI()*Q108^2/4</f>
        <v/>
      </c>
      <c r="P108" s="8">
        <f>PI()*Q108</f>
        <v/>
      </c>
      <c r="Q108" s="8" t="n">
        <v>0.001905</v>
      </c>
      <c r="R108" s="0" t="n">
        <v>0.1524</v>
      </c>
      <c r="S108" s="15" t="n">
        <v>5177421.33203125</v>
      </c>
      <c r="T108" s="0" t="n">
        <v>457.535983568018</v>
      </c>
      <c r="U108" s="37">
        <f>+T108+BG108*S108*テーブル2[[#This Row],[Pw]]*R108/(N108*O108*K108)</f>
        <v/>
      </c>
      <c r="V108" s="0" t="n">
        <v>0.03</v>
      </c>
      <c r="W108" s="8">
        <f>+N108*Q108/I108</f>
        <v/>
      </c>
      <c r="X108" s="0" t="n">
        <v>0.03764542311824629</v>
      </c>
      <c r="Y108" s="0">
        <f>IF(X108&gt;0,1/X108^0.5,1)</f>
        <v/>
      </c>
      <c r="Z108" s="0">
        <f>IF(X108&gt;0,1.14-2*LOG((0.72*L108*E108)/(X108*Q108*N108^2)+9.35/(W108*X108^0.5)),0)</f>
        <v/>
      </c>
      <c r="AA108" s="0">
        <f>+Y108-Z108</f>
        <v/>
      </c>
      <c r="AB108" s="0">
        <f>32/X108*L108*V108*E108/N108^2</f>
        <v/>
      </c>
      <c r="AC108" s="0" t="n">
        <v>699.8434749962898</v>
      </c>
      <c r="AD108" s="0">
        <f>+Q108/2*AI108/I108*E108</f>
        <v/>
      </c>
      <c r="AE108" s="0">
        <f>+gettm2(AD108,AC108,AK108,AL108,テーブル2[[#This Row],[Fcorr]])</f>
        <v/>
      </c>
      <c r="AF108" s="38">
        <f>+AE108-U108</f>
        <v/>
      </c>
      <c r="AG108" s="0" t="n">
        <v>2.314260095332363e-05</v>
      </c>
      <c r="AH108" s="0">
        <f>+X108*N108^2/(8*E108)</f>
        <v/>
      </c>
      <c r="AI108" s="0">
        <f>+(AH108/E108)^0.5</f>
        <v/>
      </c>
      <c r="AJ108" s="0">
        <f>+AG108*AI108/I108*E108</f>
        <v/>
      </c>
      <c r="AK108" s="0">
        <f t="array" ref="AK108">+S108*テーブル2[[#This Row],[F_form]]/(E108*CpFromTP((テーブル2[[#This Row],[Tin]]+テーブル2[[#This Row],[Tf]])/2,テーブル2[[#This Row],[P]])*AI108)</f>
        <v/>
      </c>
      <c r="AL108" s="0">
        <f>+K108*I108/J108</f>
        <v/>
      </c>
      <c r="AM108" s="0">
        <f>+gettyp(AC108,AJ108,AK108,AL108)</f>
        <v/>
      </c>
      <c r="AN108" s="0">
        <f>+C108-AM108</f>
        <v/>
      </c>
      <c r="AO108" s="0">
        <f>+AG108-AB108</f>
        <v/>
      </c>
      <c r="AP108" s="0" t="n">
        <v>3.783767319852677</v>
      </c>
      <c r="AQ108" s="0">
        <f>2*PI()*L108*(D108+E108)/(D108*E108*AP108^2)</f>
        <v/>
      </c>
      <c r="AR108" s="0">
        <f>+AO108+AB108/2</f>
        <v/>
      </c>
      <c r="AS108" s="0">
        <f>+AR108*AI108/I108*E108</f>
        <v/>
      </c>
      <c r="AT108" s="0">
        <f>+getublp(AS108)</f>
        <v/>
      </c>
      <c r="AU108" s="0">
        <f>+AT108*AI108</f>
        <v/>
      </c>
      <c r="AV108" s="0">
        <f>+AP108-AU108</f>
        <v/>
      </c>
      <c r="AW108" s="0">
        <f>2/3*AB108/(L108/(9.8*(E108-D108)))^0.5</f>
        <v/>
      </c>
      <c r="AX108" s="0">
        <f>+(2*AQ108*9.8*(E108-D108)/(E108*AW108))^0.5</f>
        <v/>
      </c>
      <c r="AY108" s="0">
        <f>+AV108-AX108</f>
        <v/>
      </c>
      <c r="AZ108" s="0">
        <f>+F108-G108</f>
        <v/>
      </c>
      <c r="BA108" s="0">
        <f>+AQ108/AP108</f>
        <v/>
      </c>
      <c r="BB108" s="15">
        <f>+E108*AO108*AZ108/BA108</f>
        <v/>
      </c>
      <c r="BC108" s="20">
        <f>BB108-S108</f>
        <v/>
      </c>
      <c r="BD108" s="19">
        <f>+(BB108-S108)/S108*100</f>
        <v/>
      </c>
      <c r="BE108" s="15" t="n">
        <v>5110435.800000001</v>
      </c>
      <c r="BF108" s="16">
        <f>テーブル2[[#This Row],[q_P]]/テーブル2[[#This Row],[q_M]]</f>
        <v/>
      </c>
      <c r="BG108" s="0" t="n">
        <v>1</v>
      </c>
      <c r="BH108" s="0" t="n">
        <v>-0.046</v>
      </c>
      <c r="BI108" s="0" t="n">
        <v>0.046</v>
      </c>
      <c r="BJ108" s="0" t="n">
        <v>5625</v>
      </c>
      <c r="BK108" s="22" t="n">
        <v>1</v>
      </c>
      <c r="BL108" s="0">
        <f>テーブル2[[#This Row],[Ts]]-テーブル2[[#This Row],[Tin]]</f>
        <v/>
      </c>
      <c r="BM108" s="0">
        <f>テーブル2[[#This Row],[q_P]]*0.000001</f>
        <v/>
      </c>
      <c r="BN108" s="0">
        <f>テーブル2[[#This Row],[Tsub]]</f>
        <v/>
      </c>
      <c r="BO108" s="0">
        <f>テーブル2[[#This Row],[Fcorr]]</f>
        <v/>
      </c>
      <c r="BP108" s="0">
        <f>(テーブル2[[#This Row],[Tsub]]-40)^2</f>
        <v/>
      </c>
      <c r="BQ108" t="n">
        <v>1</v>
      </c>
      <c r="BR108" s="0" t="n">
        <v>0.1524</v>
      </c>
    </row>
    <row r="109">
      <c r="A109" s="9" t="inlineStr">
        <is>
          <t>6.01_9</t>
        </is>
      </c>
      <c r="B109" s="0" t="n">
        <v>12065825.2630446</v>
      </c>
      <c r="C109" s="22">
        <f t="array" ref="C109">TsatFromP(テーブル2[[#This Row],[P]])</f>
        <v/>
      </c>
      <c r="D109" s="0">
        <f t="array" ref="D109">RhoGFromP(テーブル2[[#This Row],[P]])</f>
        <v/>
      </c>
      <c r="E109" s="0">
        <f t="array" ref="E109">RhoFFromP(テーブル2[[#This Row],[P]])</f>
        <v/>
      </c>
      <c r="F109" s="0">
        <f t="array" ref="F109">HgFromP(テーブル2[[#This Row],[P]])</f>
        <v/>
      </c>
      <c r="G109" s="0">
        <f t="array" ref="G109">HfFromP(テーブル2[[#This Row],[P]])</f>
        <v/>
      </c>
      <c r="H109" s="0">
        <f t="array" ref="H109">MuGFromP(テーブル2[[#This Row],[P]])</f>
        <v/>
      </c>
      <c r="I109" s="0">
        <f t="array" ref="I109">MuFFromP(テーブル2[[#This Row],[P]])</f>
        <v/>
      </c>
      <c r="J109" s="0">
        <f t="array" ref="J109">KfFromP(テーブル2[[#This Row],[P]])</f>
        <v/>
      </c>
      <c r="K109" s="0">
        <f t="array" ref="K109">CpFFromP(テーブル2[[#This Row],[P]])</f>
        <v/>
      </c>
      <c r="L109" s="0">
        <f t="array" ref="L109">SigmaFromP(テーブル2[[#This Row],[P]])</f>
        <v/>
      </c>
      <c r="M109" s="0" t="n">
        <v>108</v>
      </c>
      <c r="N109" s="0" t="n">
        <v>2509.02531314129</v>
      </c>
      <c r="O109" s="8">
        <f>PI()*Q109^2/4</f>
        <v/>
      </c>
      <c r="P109" s="8">
        <f>PI()*Q109</f>
        <v/>
      </c>
      <c r="Q109" s="8" t="n">
        <v>0.001905</v>
      </c>
      <c r="R109" s="0" t="n">
        <v>0.1524</v>
      </c>
      <c r="S109" s="15" t="n">
        <v>5156818.41796875</v>
      </c>
      <c r="T109" s="0" t="n">
        <v>458.120796123808</v>
      </c>
      <c r="U109" s="37">
        <f>+T109+BG109*S109*テーブル2[[#This Row],[Pw]]*R109/(N109*O109*K109)</f>
        <v/>
      </c>
      <c r="V109" s="0" t="n">
        <v>0.03</v>
      </c>
      <c r="W109" s="8">
        <f>+N109*Q109/I109</f>
        <v/>
      </c>
      <c r="X109" s="0" t="n">
        <v>0.03764542311824629</v>
      </c>
      <c r="Y109" s="0">
        <f>IF(X109&gt;0,1/X109^0.5,1)</f>
        <v/>
      </c>
      <c r="Z109" s="0">
        <f>IF(X109&gt;0,1.14-2*LOG((0.72*L109*E109)/(X109*Q109*N109^2)+9.35/(W109*X109^0.5)),0)</f>
        <v/>
      </c>
      <c r="AA109" s="0">
        <f>+Y109-Z109</f>
        <v/>
      </c>
      <c r="AB109" s="0">
        <f>32/X109*L109*V109*E109/N109^2</f>
        <v/>
      </c>
      <c r="AC109" s="0" t="n">
        <v>699.3796028390046</v>
      </c>
      <c r="AD109" s="0">
        <f>+Q109/2*AI109/I109*E109</f>
        <v/>
      </c>
      <c r="AE109" s="0">
        <f>+gettm2(AD109,AC109,AK109,AL109,テーブル2[[#This Row],[Fcorr]])</f>
        <v/>
      </c>
      <c r="AF109" s="38">
        <f>+AE109-U109</f>
        <v/>
      </c>
      <c r="AG109" s="0" t="n">
        <v>2.31420236618074e-05</v>
      </c>
      <c r="AH109" s="0">
        <f>+X109*N109^2/(8*E109)</f>
        <v/>
      </c>
      <c r="AI109" s="0">
        <f>+(AH109/E109)^0.5</f>
        <v/>
      </c>
      <c r="AJ109" s="0">
        <f>+AG109*AI109/I109*E109</f>
        <v/>
      </c>
      <c r="AK109" s="0">
        <f t="array" ref="AK109">+S109*テーブル2[[#This Row],[F_form]]/(E109*CpFromTP((テーブル2[[#This Row],[Tin]]+テーブル2[[#This Row],[Tf]])/2,テーブル2[[#This Row],[P]])*AI109)</f>
        <v/>
      </c>
      <c r="AL109" s="0">
        <f>+K109*I109/J109</f>
        <v/>
      </c>
      <c r="AM109" s="0">
        <f>+gettyp(AC109,AJ109,AK109,AL109)</f>
        <v/>
      </c>
      <c r="AN109" s="0">
        <f>+C109-AM109</f>
        <v/>
      </c>
      <c r="AO109" s="0">
        <f>+AG109-AB109</f>
        <v/>
      </c>
      <c r="AP109" s="0" t="n">
        <v>3.78370661837361</v>
      </c>
      <c r="AQ109" s="0">
        <f>2*PI()*L109*(D109+E109)/(D109*E109*AP109^2)</f>
        <v/>
      </c>
      <c r="AR109" s="0">
        <f>+AO109+AB109/2</f>
        <v/>
      </c>
      <c r="AS109" s="0">
        <f>+AR109*AI109/I109*E109</f>
        <v/>
      </c>
      <c r="AT109" s="0">
        <f>+getublp(AS109)</f>
        <v/>
      </c>
      <c r="AU109" s="0">
        <f>+AT109*AI109</f>
        <v/>
      </c>
      <c r="AV109" s="0">
        <f>+AP109-AU109</f>
        <v/>
      </c>
      <c r="AW109" s="0">
        <f>2/3*AB109/(L109/(9.8*(E109-D109)))^0.5</f>
        <v/>
      </c>
      <c r="AX109" s="0">
        <f>+(2*AQ109*9.8*(E109-D109)/(E109*AW109))^0.5</f>
        <v/>
      </c>
      <c r="AY109" s="0">
        <f>+AV109-AX109</f>
        <v/>
      </c>
      <c r="AZ109" s="0">
        <f>+F109-G109</f>
        <v/>
      </c>
      <c r="BA109" s="0">
        <f>+AQ109/AP109</f>
        <v/>
      </c>
      <c r="BB109" s="15">
        <f>+E109*AO109*AZ109/BA109</f>
        <v/>
      </c>
      <c r="BC109" s="20">
        <f>BB109-S109</f>
        <v/>
      </c>
      <c r="BD109" s="19">
        <f>+(BB109-S109)/S109*100</f>
        <v/>
      </c>
      <c r="BE109" s="15" t="n">
        <v>5110435.800000001</v>
      </c>
      <c r="BF109" s="16">
        <f>テーブル2[[#This Row],[q_P]]/テーブル2[[#This Row],[q_M]]</f>
        <v/>
      </c>
      <c r="BG109" s="0" t="n">
        <v>1</v>
      </c>
      <c r="BH109" s="0" t="n">
        <v>-0.043</v>
      </c>
      <c r="BI109" s="0" t="n">
        <v>0.046</v>
      </c>
      <c r="BJ109" s="0" t="n">
        <v>5625</v>
      </c>
      <c r="BK109" s="22" t="n">
        <v>1</v>
      </c>
      <c r="BL109" s="0">
        <f>テーブル2[[#This Row],[Ts]]-テーブル2[[#This Row],[Tin]]</f>
        <v/>
      </c>
      <c r="BM109" s="0">
        <f>テーブル2[[#This Row],[q_P]]*0.000001</f>
        <v/>
      </c>
      <c r="BN109" s="0">
        <f>テーブル2[[#This Row],[Tsub]]</f>
        <v/>
      </c>
      <c r="BO109" s="0">
        <f>テーブル2[[#This Row],[Fcorr]]</f>
        <v/>
      </c>
      <c r="BP109" s="0">
        <f>(テーブル2[[#This Row],[Tsub]]-40)^2</f>
        <v/>
      </c>
      <c r="BQ109" t="n">
        <v>1</v>
      </c>
      <c r="BR109" s="0" t="n">
        <v>0.1524</v>
      </c>
    </row>
    <row r="110">
      <c r="A110" s="9" t="inlineStr">
        <is>
          <t>7.01_9</t>
        </is>
      </c>
      <c r="B110" s="0" t="n">
        <v>12065825.2630446</v>
      </c>
      <c r="C110" s="22">
        <f t="array" ref="C110">TsatFromP(テーブル2[[#This Row],[P]])</f>
        <v/>
      </c>
      <c r="D110" s="0">
        <f t="array" ref="D110">RhoGFromP(テーブル2[[#This Row],[P]])</f>
        <v/>
      </c>
      <c r="E110" s="0">
        <f t="array" ref="E110">RhoFFromP(テーブル2[[#This Row],[P]])</f>
        <v/>
      </c>
      <c r="F110" s="0">
        <f t="array" ref="F110">HgFromP(テーブル2[[#This Row],[P]])</f>
        <v/>
      </c>
      <c r="G110" s="0">
        <f t="array" ref="G110">HfFromP(テーブル2[[#This Row],[P]])</f>
        <v/>
      </c>
      <c r="H110" s="0">
        <f t="array" ref="H110">MuGFromP(テーブル2[[#This Row],[P]])</f>
        <v/>
      </c>
      <c r="I110" s="0">
        <f t="array" ref="I110">MuFFromP(テーブル2[[#This Row],[P]])</f>
        <v/>
      </c>
      <c r="J110" s="0">
        <f t="array" ref="J110">KfFromP(テーブル2[[#This Row],[P]])</f>
        <v/>
      </c>
      <c r="K110" s="0">
        <f t="array" ref="K110">CpFFromP(テーブル2[[#This Row],[P]])</f>
        <v/>
      </c>
      <c r="L110" s="0">
        <f t="array" ref="L110">SigmaFromP(テーブル2[[#This Row],[P]])</f>
        <v/>
      </c>
      <c r="M110" s="0" t="n">
        <v>109</v>
      </c>
      <c r="N110" s="0" t="n">
        <v>2563.2745091011</v>
      </c>
      <c r="O110" s="8">
        <f>PI()*Q110^2/4</f>
        <v/>
      </c>
      <c r="P110" s="8">
        <f>PI()*Q110</f>
        <v/>
      </c>
      <c r="Q110" s="8" t="n">
        <v>0.001905</v>
      </c>
      <c r="R110" s="0" t="n">
        <v>0.1524</v>
      </c>
      <c r="S110" s="15" t="n">
        <v>4541772.94921875</v>
      </c>
      <c r="T110" s="0" t="n">
        <v>477.562566862647</v>
      </c>
      <c r="U110" s="37">
        <f>+T110+BG110*S110*テーブル2[[#This Row],[Pw]]*R110/(N110*O110*K110)</f>
        <v/>
      </c>
      <c r="V110" s="0" t="n">
        <v>0.03</v>
      </c>
      <c r="W110" s="8">
        <f>+N110*Q110/I110</f>
        <v/>
      </c>
      <c r="X110" s="0" t="n">
        <v>0.03725433322478155</v>
      </c>
      <c r="Y110" s="0">
        <f>IF(X110&gt;0,1/X110^0.5,1)</f>
        <v/>
      </c>
      <c r="Z110" s="0">
        <f>IF(X110&gt;0,1.14-2*LOG((0.72*L110*E110)/(X110*Q110*N110^2)+9.35/(W110*X110^0.5)),0)</f>
        <v/>
      </c>
      <c r="AA110" s="0">
        <f>+Y110-Z110</f>
        <v/>
      </c>
      <c r="AB110" s="0">
        <f>32/X110*L110*V110*E110/N110^2</f>
        <v/>
      </c>
      <c r="AC110" s="0" t="n">
        <v>683.8487132223709</v>
      </c>
      <c r="AD110" s="0">
        <f>+Q110/2*AI110/I110*E110</f>
        <v/>
      </c>
      <c r="AE110" s="0">
        <f>+gettm2(AD110,AC110,AK110,AL110,テーブル2[[#This Row],[Fcorr]])</f>
        <v/>
      </c>
      <c r="AF110" s="38">
        <f>+AE110-U110</f>
        <v/>
      </c>
      <c r="AG110" s="0" t="n">
        <v>2.239476902982926e-05</v>
      </c>
      <c r="AH110" s="0">
        <f>+X110*N110^2/(8*E110)</f>
        <v/>
      </c>
      <c r="AI110" s="0">
        <f>+(AH110/E110)^0.5</f>
        <v/>
      </c>
      <c r="AJ110" s="0">
        <f>+AG110*AI110/I110*E110</f>
        <v/>
      </c>
      <c r="AK110" s="0">
        <f t="array" ref="AK110">+S110*テーブル2[[#This Row],[F_form]]/(E110*CpFromTP((テーブル2[[#This Row],[Tin]]+テーブル2[[#This Row],[Tf]])/2,テーブル2[[#This Row],[P]])*AI110)</f>
        <v/>
      </c>
      <c r="AL110" s="0">
        <f>+K110*I110/J110</f>
        <v/>
      </c>
      <c r="AM110" s="0">
        <f>+gettyp(AC110,AJ110,AK110,AL110)</f>
        <v/>
      </c>
      <c r="AN110" s="0">
        <f>+C110-AM110</f>
        <v/>
      </c>
      <c r="AO110" s="0">
        <f>+AG110-AB110</f>
        <v/>
      </c>
      <c r="AP110" s="0" t="n">
        <v>3.819700987961856</v>
      </c>
      <c r="AQ110" s="0">
        <f>2*PI()*L110*(D110+E110)/(D110*E110*AP110^2)</f>
        <v/>
      </c>
      <c r="AR110" s="0">
        <f>+AO110+AB110/2</f>
        <v/>
      </c>
      <c r="AS110" s="0">
        <f>+AR110*AI110/I110*E110</f>
        <v/>
      </c>
      <c r="AT110" s="0">
        <f>+getublp(AS110)</f>
        <v/>
      </c>
      <c r="AU110" s="0">
        <f>+AT110*AI110</f>
        <v/>
      </c>
      <c r="AV110" s="0">
        <f>+AP110-AU110</f>
        <v/>
      </c>
      <c r="AW110" s="0">
        <f>2/3*AB110/(L110/(9.8*(E110-D110)))^0.5</f>
        <v/>
      </c>
      <c r="AX110" s="0">
        <f>+(2*AQ110*9.8*(E110-D110)/(E110*AW110))^0.5</f>
        <v/>
      </c>
      <c r="AY110" s="0">
        <f>+AV110-AX110</f>
        <v/>
      </c>
      <c r="AZ110" s="0">
        <f>+F110-G110</f>
        <v/>
      </c>
      <c r="BA110" s="0">
        <f>+AQ110/AP110</f>
        <v/>
      </c>
      <c r="BB110" s="15">
        <f>+E110*AO110*AZ110/BA110</f>
        <v/>
      </c>
      <c r="BC110" s="20">
        <f>BB110-S110</f>
        <v/>
      </c>
      <c r="BD110" s="19">
        <f>+(BB110-S110)/S110*100</f>
        <v/>
      </c>
      <c r="BE110" s="15" t="n">
        <v>4605701.4</v>
      </c>
      <c r="BF110" s="16">
        <f>テーブル2[[#This Row],[q_P]]/テーブル2[[#This Row],[q_M]]</f>
        <v/>
      </c>
      <c r="BG110" s="0" t="n">
        <v>1</v>
      </c>
      <c r="BH110" s="0" t="n">
        <v>-0.036</v>
      </c>
      <c r="BI110" s="0" t="n">
        <v>0.046</v>
      </c>
      <c r="BJ110" s="0" t="n">
        <v>5625</v>
      </c>
      <c r="BK110" s="22" t="n">
        <v>1</v>
      </c>
      <c r="BL110" s="0">
        <f>テーブル2[[#This Row],[Ts]]-テーブル2[[#This Row],[Tin]]</f>
        <v/>
      </c>
      <c r="BM110" s="0">
        <f>テーブル2[[#This Row],[q_P]]*0.000001</f>
        <v/>
      </c>
      <c r="BN110" s="0">
        <f>テーブル2[[#This Row],[Tsub]]</f>
        <v/>
      </c>
      <c r="BO110" s="0">
        <f>テーブル2[[#This Row],[Fcorr]]</f>
        <v/>
      </c>
      <c r="BP110" s="0">
        <f>(テーブル2[[#This Row],[Tsub]]-40)^2</f>
        <v/>
      </c>
      <c r="BQ110" t="n">
        <v>1</v>
      </c>
      <c r="BR110" s="0" t="n">
        <v>0.1524</v>
      </c>
    </row>
    <row r="111">
      <c r="A111" s="9" t="inlineStr">
        <is>
          <t>8.01_9</t>
        </is>
      </c>
      <c r="B111" s="0" t="n">
        <v>12065825.2630446</v>
      </c>
      <c r="C111" s="22">
        <f t="array" ref="C111">TsatFromP(テーブル2[[#This Row],[P]])</f>
        <v/>
      </c>
      <c r="D111" s="0">
        <f t="array" ref="D111">RhoGFromP(テーブル2[[#This Row],[P]])</f>
        <v/>
      </c>
      <c r="E111" s="0">
        <f t="array" ref="E111">RhoFFromP(テーブル2[[#This Row],[P]])</f>
        <v/>
      </c>
      <c r="F111" s="0">
        <f t="array" ref="F111">HgFromP(テーブル2[[#This Row],[P]])</f>
        <v/>
      </c>
      <c r="G111" s="0">
        <f t="array" ref="G111">HfFromP(テーブル2[[#This Row],[P]])</f>
        <v/>
      </c>
      <c r="H111" s="0">
        <f t="array" ref="H111">MuGFromP(テーブル2[[#This Row],[P]])</f>
        <v/>
      </c>
      <c r="I111" s="0">
        <f t="array" ref="I111">MuFFromP(テーブル2[[#This Row],[P]])</f>
        <v/>
      </c>
      <c r="J111" s="0">
        <f t="array" ref="J111">KfFromP(テーブル2[[#This Row],[P]])</f>
        <v/>
      </c>
      <c r="K111" s="0">
        <f t="array" ref="K111">CpFFromP(テーブル2[[#This Row],[P]])</f>
        <v/>
      </c>
      <c r="L111" s="0">
        <f t="array" ref="L111">SigmaFromP(テーブル2[[#This Row],[P]])</f>
        <v/>
      </c>
      <c r="M111" s="0" t="n">
        <v>110</v>
      </c>
      <c r="N111" s="0" t="n">
        <v>2576.83680809105</v>
      </c>
      <c r="O111" s="8">
        <f>PI()*Q111^2/4</f>
        <v/>
      </c>
      <c r="P111" s="8">
        <f>PI()*Q111</f>
        <v/>
      </c>
      <c r="Q111" s="8" t="n">
        <v>0.001905</v>
      </c>
      <c r="R111" s="0" t="n">
        <v>0.1524</v>
      </c>
      <c r="S111" s="15" t="n">
        <v>4077429.47665625</v>
      </c>
      <c r="T111" s="0" t="n">
        <v>490.87515158354</v>
      </c>
      <c r="U111" s="37">
        <f>+T111+BG111*S111*テーブル2[[#This Row],[Pw]]*R111/(N111*O111*K111)</f>
        <v/>
      </c>
      <c r="V111" s="0" t="n">
        <v>0.03</v>
      </c>
      <c r="W111" s="8">
        <f>+N111*Q111/I111</f>
        <v/>
      </c>
      <c r="X111" s="0" t="n">
        <v>0.03715874299545934</v>
      </c>
      <c r="Y111" s="0">
        <f>IF(X111&gt;0,1/X111^0.5,1)</f>
        <v/>
      </c>
      <c r="Z111" s="0">
        <f>IF(X111&gt;0,1.14-2*LOG((0.72*L111*E111)/(X111*Q111*N111^2)+9.35/(W111*X111^0.5)),0)</f>
        <v/>
      </c>
      <c r="AA111" s="0">
        <f>+Y111-Z111</f>
        <v/>
      </c>
      <c r="AB111" s="0">
        <f>32/X111*L111*V111*E111/N111^2</f>
        <v/>
      </c>
      <c r="AC111" s="0" t="n">
        <v>673.4629845109109</v>
      </c>
      <c r="AD111" s="0">
        <f>+Q111/2*AI111/I111*E111</f>
        <v/>
      </c>
      <c r="AE111" s="0">
        <f>+gettm2(AD111,AC111,AK111,AL111,テーブル2[[#This Row],[Fcorr]])</f>
        <v/>
      </c>
      <c r="AF111" s="38">
        <f>+AE111-U111</f>
        <v/>
      </c>
      <c r="AG111" s="0" t="n">
        <v>2.220694701183174e-05</v>
      </c>
      <c r="AH111" s="0">
        <f>+X111*N111^2/(8*E111)</f>
        <v/>
      </c>
      <c r="AI111" s="0">
        <f>+(AH111/E111)^0.5</f>
        <v/>
      </c>
      <c r="AJ111" s="0">
        <f>+AG111*AI111/I111*E111</f>
        <v/>
      </c>
      <c r="AK111" s="0">
        <f t="array" ref="AK111">+S111*テーブル2[[#This Row],[F_form]]/(E111*CpFromTP((テーブル2[[#This Row],[Tin]]+テーブル2[[#This Row],[Tf]])/2,テーブル2[[#This Row],[P]])*AI111)</f>
        <v/>
      </c>
      <c r="AL111" s="0">
        <f>+K111*I111/J111</f>
        <v/>
      </c>
      <c r="AM111" s="0">
        <f>+gettyp(AC111,AJ111,AK111,AL111)</f>
        <v/>
      </c>
      <c r="AN111" s="0">
        <f>+C111-AM111</f>
        <v/>
      </c>
      <c r="AO111" s="0">
        <f>+AG111-AB111</f>
        <v/>
      </c>
      <c r="AP111" s="0" t="n">
        <v>3.827829827115914</v>
      </c>
      <c r="AQ111" s="0">
        <f>2*PI()*L111*(D111+E111)/(D111*E111*AP111^2)</f>
        <v/>
      </c>
      <c r="AR111" s="0">
        <f>+AO111+AB111/2</f>
        <v/>
      </c>
      <c r="AS111" s="0">
        <f>+AR111*AI111/I111*E111</f>
        <v/>
      </c>
      <c r="AT111" s="0">
        <f>+getublp(AS111)</f>
        <v/>
      </c>
      <c r="AU111" s="0">
        <f>+AT111*AI111</f>
        <v/>
      </c>
      <c r="AV111" s="0">
        <f>+AP111-AU111</f>
        <v/>
      </c>
      <c r="AW111" s="0">
        <f>2/3*AB111/(L111/(9.8*(E111-D111)))^0.5</f>
        <v/>
      </c>
      <c r="AX111" s="0">
        <f>+(2*AQ111*9.8*(E111-D111)/(E111*AW111))^0.5</f>
        <v/>
      </c>
      <c r="AY111" s="0">
        <f>+AV111-AX111</f>
        <v/>
      </c>
      <c r="AZ111" s="0">
        <f>+F111-G111</f>
        <v/>
      </c>
      <c r="BA111" s="0">
        <f>+AQ111/AP111</f>
        <v/>
      </c>
      <c r="BB111" s="15">
        <f>+E111*AO111*AZ111/BA111</f>
        <v/>
      </c>
      <c r="BC111" s="20">
        <f>BB111-S111</f>
        <v/>
      </c>
      <c r="BD111" s="19">
        <f>+(BB111-S111)/S111*100</f>
        <v/>
      </c>
      <c r="BE111" s="15" t="n">
        <v>3974783.4</v>
      </c>
      <c r="BF111" s="16">
        <f>テーブル2[[#This Row],[q_P]]/テーブル2[[#This Row],[q_M]]</f>
        <v/>
      </c>
      <c r="BG111" s="0" t="n">
        <v>1</v>
      </c>
      <c r="BH111" s="0" t="n">
        <v>-0.054</v>
      </c>
      <c r="BI111" s="0" t="n">
        <v>0.046</v>
      </c>
      <c r="BJ111" s="0" t="n">
        <v>5625</v>
      </c>
      <c r="BK111" s="22" t="n">
        <v>1</v>
      </c>
      <c r="BL111" s="0">
        <f>テーブル2[[#This Row],[Ts]]-テーブル2[[#This Row],[Tin]]</f>
        <v/>
      </c>
      <c r="BM111" s="0">
        <f>テーブル2[[#This Row],[q_P]]*0.000001</f>
        <v/>
      </c>
      <c r="BN111" s="0">
        <f>テーブル2[[#This Row],[Tsub]]</f>
        <v/>
      </c>
      <c r="BO111" s="0">
        <f>テーブル2[[#This Row],[Fcorr]]</f>
        <v/>
      </c>
      <c r="BP111" s="0">
        <f>(テーブル2[[#This Row],[Tsub]]-40)^2</f>
        <v/>
      </c>
      <c r="BQ111" t="n">
        <v>1</v>
      </c>
      <c r="BR111" s="0" t="n">
        <v>0.1524</v>
      </c>
    </row>
    <row r="112">
      <c r="A112" s="9" t="inlineStr">
        <is>
          <t>9.01_9</t>
        </is>
      </c>
      <c r="B112" s="0" t="n">
        <v>12065825.2630446</v>
      </c>
      <c r="C112" s="22">
        <f t="array" ref="C112">TsatFromP(テーブル2[[#This Row],[P]])</f>
        <v/>
      </c>
      <c r="D112" s="0">
        <f t="array" ref="D112">RhoGFromP(テーブル2[[#This Row],[P]])</f>
        <v/>
      </c>
      <c r="E112" s="0">
        <f t="array" ref="E112">RhoFFromP(テーブル2[[#This Row],[P]])</f>
        <v/>
      </c>
      <c r="F112" s="0">
        <f t="array" ref="F112">HgFromP(テーブル2[[#This Row],[P]])</f>
        <v/>
      </c>
      <c r="G112" s="0">
        <f t="array" ref="G112">HfFromP(テーブル2[[#This Row],[P]])</f>
        <v/>
      </c>
      <c r="H112" s="0">
        <f t="array" ref="H112">MuGFromP(テーブル2[[#This Row],[P]])</f>
        <v/>
      </c>
      <c r="I112" s="0">
        <f t="array" ref="I112">MuFFromP(テーブル2[[#This Row],[P]])</f>
        <v/>
      </c>
      <c r="J112" s="0">
        <f t="array" ref="J112">KfFromP(テーブル2[[#This Row],[P]])</f>
        <v/>
      </c>
      <c r="K112" s="0">
        <f t="array" ref="K112">CpFFromP(テーブル2[[#This Row],[P]])</f>
        <v/>
      </c>
      <c r="L112" s="0">
        <f t="array" ref="L112">SigmaFromP(テーブル2[[#This Row],[P]])</f>
        <v/>
      </c>
      <c r="M112" s="0" t="n">
        <v>111</v>
      </c>
      <c r="N112" s="0" t="n">
        <v>2590.39910708101</v>
      </c>
      <c r="O112" s="8">
        <f>PI()*Q112^2/4</f>
        <v/>
      </c>
      <c r="P112" s="8">
        <f>PI()*Q112</f>
        <v/>
      </c>
      <c r="Q112" s="8" t="n">
        <v>0.001905</v>
      </c>
      <c r="R112" s="0" t="n">
        <v>0.1524</v>
      </c>
      <c r="S112" s="15" t="n">
        <v>4577493.00390625</v>
      </c>
      <c r="T112" s="0" t="n">
        <v>477.562566862647</v>
      </c>
      <c r="U112" s="37">
        <f>+T112+BG112*S112*テーブル2[[#This Row],[Pw]]*R112/(N112*O112*K112)</f>
        <v/>
      </c>
      <c r="V112" s="0" t="n">
        <v>0.03</v>
      </c>
      <c r="W112" s="8">
        <f>+N112*Q112/I112</f>
        <v/>
      </c>
      <c r="X112" s="0" t="n">
        <v>0.03706400056558467</v>
      </c>
      <c r="Y112" s="0">
        <f>IF(X112&gt;0,1/X112^0.5,1)</f>
        <v/>
      </c>
      <c r="Z112" s="0">
        <f>IF(X112&gt;0,1.14-2*LOG((0.72*L112*E112)/(X112*Q112*N112^2)+9.35/(W112*X112^0.5)),0)</f>
        <v/>
      </c>
      <c r="AA112" s="0">
        <f>+Y112-Z112</f>
        <v/>
      </c>
      <c r="AB112" s="0">
        <f>32/X112*L112*V112*E112/N112^2</f>
        <v/>
      </c>
      <c r="AC112" s="0" t="n">
        <v>683.7451630258626</v>
      </c>
      <c r="AD112" s="0">
        <f>+Q112/2*AI112/I112*E112</f>
        <v/>
      </c>
      <c r="AE112" s="0">
        <f>+gettm2(AD112,AC112,AK112,AL112,テーブル2[[#This Row],[Fcorr]])</f>
        <v/>
      </c>
      <c r="AF112" s="38">
        <f>+AE112-U112</f>
        <v/>
      </c>
      <c r="AG112" s="0" t="n">
        <v>2.204243872811317e-05</v>
      </c>
      <c r="AH112" s="0">
        <f>+X112*N112^2/(8*E112)</f>
        <v/>
      </c>
      <c r="AI112" s="0">
        <f>+(AH112/E112)^0.5</f>
        <v/>
      </c>
      <c r="AJ112" s="0">
        <f>+AG112*AI112/I112*E112</f>
        <v/>
      </c>
      <c r="AK112" s="0">
        <f t="array" ref="AK112">+S112*テーブル2[[#This Row],[F_form]]/(E112*CpFromTP((テーブル2[[#This Row],[Tin]]+テーブル2[[#This Row],[Tf]])/2,テーブル2[[#This Row],[P]])*AI112)</f>
        <v/>
      </c>
      <c r="AL112" s="0">
        <f>+K112*I112/J112</f>
        <v/>
      </c>
      <c r="AM112" s="0">
        <f>+gettyp(AC112,AJ112,AK112,AL112)</f>
        <v/>
      </c>
      <c r="AN112" s="0">
        <f>+C112-AM112</f>
        <v/>
      </c>
      <c r="AO112" s="0">
        <f>+AG112-AB112</f>
        <v/>
      </c>
      <c r="AP112" s="0" t="n">
        <v>3.838283875131816</v>
      </c>
      <c r="AQ112" s="0">
        <f>2*PI()*L112*(D112+E112)/(D112*E112*AP112^2)</f>
        <v/>
      </c>
      <c r="AR112" s="0">
        <f>+AO112+AB112/2</f>
        <v/>
      </c>
      <c r="AS112" s="0">
        <f>+AR112*AI112/I112*E112</f>
        <v/>
      </c>
      <c r="AT112" s="0">
        <f>+getublp(AS112)</f>
        <v/>
      </c>
      <c r="AU112" s="0">
        <f>+AT112*AI112</f>
        <v/>
      </c>
      <c r="AV112" s="0">
        <f>+AP112-AU112</f>
        <v/>
      </c>
      <c r="AW112" s="0">
        <f>2/3*AB112/(L112/(9.8*(E112-D112)))^0.5</f>
        <v/>
      </c>
      <c r="AX112" s="0">
        <f>+(2*AQ112*9.8*(E112-D112)/(E112*AW112))^0.5</f>
        <v/>
      </c>
      <c r="AY112" s="0">
        <f>+AV112-AX112</f>
        <v/>
      </c>
      <c r="AZ112" s="0">
        <f>+F112-G112</f>
        <v/>
      </c>
      <c r="BA112" s="0">
        <f>+AQ112/AP112</f>
        <v/>
      </c>
      <c r="BB112" s="15">
        <f>+E112*AO112*AZ112/BA112</f>
        <v/>
      </c>
      <c r="BC112" s="20">
        <f>BB112-S112</f>
        <v/>
      </c>
      <c r="BD112" s="19">
        <f>+(BB112-S112)/S112*100</f>
        <v/>
      </c>
      <c r="BE112" s="15" t="n">
        <v>4542609.6</v>
      </c>
      <c r="BF112" s="16">
        <f>テーブル2[[#This Row],[q_P]]/テーブル2[[#This Row],[q_M]]</f>
        <v/>
      </c>
      <c r="BG112" s="0" t="n">
        <v>1</v>
      </c>
      <c r="BH112" s="0" t="n">
        <v>-0.047</v>
      </c>
      <c r="BI112" s="0" t="n">
        <v>0.046</v>
      </c>
      <c r="BJ112" s="0" t="n">
        <v>5625</v>
      </c>
      <c r="BK112" s="22" t="n">
        <v>1</v>
      </c>
      <c r="BL112" s="0">
        <f>テーブル2[[#This Row],[Ts]]-テーブル2[[#This Row],[Tin]]</f>
        <v/>
      </c>
      <c r="BM112" s="0">
        <f>テーブル2[[#This Row],[q_P]]*0.000001</f>
        <v/>
      </c>
      <c r="BN112" s="0">
        <f>テーブル2[[#This Row],[Tsub]]</f>
        <v/>
      </c>
      <c r="BO112" s="0">
        <f>テーブル2[[#This Row],[Fcorr]]</f>
        <v/>
      </c>
      <c r="BP112" s="0">
        <f>(テーブル2[[#This Row],[Tsub]]-40)^2</f>
        <v/>
      </c>
      <c r="BQ112" t="n">
        <v>1</v>
      </c>
      <c r="BR112" s="0" t="n">
        <v>0.1524</v>
      </c>
    </row>
    <row r="113">
      <c r="A113" s="9" t="inlineStr">
        <is>
          <t>10.01_9</t>
        </is>
      </c>
      <c r="B113" s="0" t="n">
        <v>12065825.2630446</v>
      </c>
      <c r="C113" s="22">
        <f t="array" ref="C113">TsatFromP(テーブル2[[#This Row],[P]])</f>
        <v/>
      </c>
      <c r="D113" s="0">
        <f t="array" ref="D113">RhoGFromP(テーブル2[[#This Row],[P]])</f>
        <v/>
      </c>
      <c r="E113" s="0">
        <f t="array" ref="E113">RhoFFromP(テーブル2[[#This Row],[P]])</f>
        <v/>
      </c>
      <c r="F113" s="0">
        <f t="array" ref="F113">HgFromP(テーブル2[[#This Row],[P]])</f>
        <v/>
      </c>
      <c r="G113" s="0">
        <f t="array" ref="G113">HfFromP(テーブル2[[#This Row],[P]])</f>
        <v/>
      </c>
      <c r="H113" s="0">
        <f t="array" ref="H113">MuGFromP(テーブル2[[#This Row],[P]])</f>
        <v/>
      </c>
      <c r="I113" s="0">
        <f t="array" ref="I113">MuFFromP(テーブル2[[#This Row],[P]])</f>
        <v/>
      </c>
      <c r="J113" s="0">
        <f t="array" ref="J113">KfFromP(テーブル2[[#This Row],[P]])</f>
        <v/>
      </c>
      <c r="K113" s="0">
        <f t="array" ref="K113">CpFFromP(テーブル2[[#This Row],[P]])</f>
        <v/>
      </c>
      <c r="L113" s="0">
        <f t="array" ref="L113">SigmaFromP(テーブル2[[#This Row],[P]])</f>
        <v/>
      </c>
      <c r="M113" s="0" t="n">
        <v>112</v>
      </c>
      <c r="N113" s="0" t="n">
        <v>2590.39910708101</v>
      </c>
      <c r="O113" s="8">
        <f>PI()*Q113^2/4</f>
        <v/>
      </c>
      <c r="P113" s="8">
        <f>PI()*Q113</f>
        <v/>
      </c>
      <c r="Q113" s="8" t="n">
        <v>0.001905</v>
      </c>
      <c r="R113" s="0" t="n">
        <v>0.1524</v>
      </c>
      <c r="S113" s="15" t="n">
        <v>4093466.73984375</v>
      </c>
      <c r="T113" s="0" t="n">
        <v>490.87515158354</v>
      </c>
      <c r="U113" s="37">
        <f>+T113+BG113*S113*テーブル2[[#This Row],[Pw]]*R113/(N113*O113*K113)</f>
        <v/>
      </c>
      <c r="V113" s="0" t="n">
        <v>0.03</v>
      </c>
      <c r="W113" s="8">
        <f>+N113*Q113/I113</f>
        <v/>
      </c>
      <c r="X113" s="0" t="n">
        <v>0.03706400056558467</v>
      </c>
      <c r="Y113" s="0">
        <f>IF(X113&gt;0,1/X113^0.5,1)</f>
        <v/>
      </c>
      <c r="Z113" s="0">
        <f>IF(X113&gt;0,1.14-2*LOG((0.72*L113*E113)/(X113*Q113*N113^2)+9.35/(W113*X113^0.5)),0)</f>
        <v/>
      </c>
      <c r="AA113" s="0">
        <f>+Y113-Z113</f>
        <v/>
      </c>
      <c r="AB113" s="0">
        <f>32/X113*L113*V113*E113/N113^2</f>
        <v/>
      </c>
      <c r="AC113" s="0" t="n">
        <v>673.4193533589012</v>
      </c>
      <c r="AD113" s="0">
        <f>+Q113/2*AI113/I113*E113</f>
        <v/>
      </c>
      <c r="AE113" s="0">
        <f>+gettm2(AD113,AC113,AK113,AL113,テーブル2[[#This Row],[Fcorr]])</f>
        <v/>
      </c>
      <c r="AF113" s="38">
        <f>+AE113-U113</f>
        <v/>
      </c>
      <c r="AG113" s="0" t="n">
        <v>2.203277205693275e-05</v>
      </c>
      <c r="AH113" s="0">
        <f>+X113*N113^2/(8*E113)</f>
        <v/>
      </c>
      <c r="AI113" s="0">
        <f>+(AH113/E113)^0.5</f>
        <v/>
      </c>
      <c r="AJ113" s="0">
        <f>+AG113*AI113/I113*E113</f>
        <v/>
      </c>
      <c r="AK113" s="0">
        <f t="array" ref="AK113">+S113*テーブル2[[#This Row],[F_form]]/(E113*CpFromTP((テーブル2[[#This Row],[Tin]]+テーブル2[[#This Row],[Tf]])/2,テーブル2[[#This Row],[P]])*AI113)</f>
        <v/>
      </c>
      <c r="AL113" s="0">
        <f>+K113*I113/J113</f>
        <v/>
      </c>
      <c r="AM113" s="0">
        <f>+gettyp(AC113,AJ113,AK113,AL113)</f>
        <v/>
      </c>
      <c r="AN113" s="0">
        <f>+C113-AM113</f>
        <v/>
      </c>
      <c r="AO113" s="0">
        <f>+AG113-AB113</f>
        <v/>
      </c>
      <c r="AP113" s="0" t="n">
        <v>3.837189386066441</v>
      </c>
      <c r="AQ113" s="0">
        <f>2*PI()*L113*(D113+E113)/(D113*E113*AP113^2)</f>
        <v/>
      </c>
      <c r="AR113" s="0">
        <f>+AO113+AB113/2</f>
        <v/>
      </c>
      <c r="AS113" s="0">
        <f>+AR113*AI113/I113*E113</f>
        <v/>
      </c>
      <c r="AT113" s="0">
        <f>+getublp(AS113)</f>
        <v/>
      </c>
      <c r="AU113" s="0">
        <f>+AT113*AI113</f>
        <v/>
      </c>
      <c r="AV113" s="0">
        <f>+AP113-AU113</f>
        <v/>
      </c>
      <c r="AW113" s="0">
        <f>2/3*AB113/(L113/(9.8*(E113-D113)))^0.5</f>
        <v/>
      </c>
      <c r="AX113" s="0">
        <f>+(2*AQ113*9.8*(E113-D113)/(E113*AW113))^0.5</f>
        <v/>
      </c>
      <c r="AY113" s="0">
        <f>+AV113-AX113</f>
        <v/>
      </c>
      <c r="AZ113" s="0">
        <f>+F113-G113</f>
        <v/>
      </c>
      <c r="BA113" s="0">
        <f>+AQ113/AP113</f>
        <v/>
      </c>
      <c r="BB113" s="15">
        <f>+E113*AO113*AZ113/BA113</f>
        <v/>
      </c>
      <c r="BC113" s="20">
        <f>BB113-S113</f>
        <v/>
      </c>
      <c r="BD113" s="19">
        <f>+(BB113-S113)/S113*100</f>
        <v/>
      </c>
      <c r="BE113" s="15" t="n">
        <v>3974783.4</v>
      </c>
      <c r="BF113" s="16">
        <f>テーブル2[[#This Row],[q_P]]/テーブル2[[#This Row],[q_M]]</f>
        <v/>
      </c>
      <c r="BG113" s="0" t="n">
        <v>1</v>
      </c>
      <c r="BH113" s="0" t="n">
        <v>-0.056</v>
      </c>
      <c r="BI113" s="0" t="n">
        <v>0.046</v>
      </c>
      <c r="BJ113" s="0" t="n">
        <v>5625</v>
      </c>
      <c r="BK113" s="22" t="n">
        <v>1</v>
      </c>
      <c r="BL113" s="0">
        <f>テーブル2[[#This Row],[Ts]]-テーブル2[[#This Row],[Tin]]</f>
        <v/>
      </c>
      <c r="BM113" s="0">
        <f>テーブル2[[#This Row],[q_P]]*0.000001</f>
        <v/>
      </c>
      <c r="BN113" s="0">
        <f>テーブル2[[#This Row],[Tsub]]</f>
        <v/>
      </c>
      <c r="BO113" s="0">
        <f>テーブル2[[#This Row],[Fcorr]]</f>
        <v/>
      </c>
      <c r="BP113" s="0">
        <f>(テーブル2[[#This Row],[Tsub]]-40)^2</f>
        <v/>
      </c>
      <c r="BQ113" t="n">
        <v>1</v>
      </c>
      <c r="BR113" s="0" t="n">
        <v>0.1524</v>
      </c>
    </row>
    <row r="114">
      <c r="A114" s="9" t="inlineStr">
        <is>
          <t>11.01_9</t>
        </is>
      </c>
      <c r="B114" s="0" t="n">
        <v>12065825.2630446</v>
      </c>
      <c r="C114" s="22">
        <f t="array" ref="C114">TsatFromP(テーブル2[[#This Row],[P]])</f>
        <v/>
      </c>
      <c r="D114" s="0">
        <f t="array" ref="D114">RhoGFromP(テーブル2[[#This Row],[P]])</f>
        <v/>
      </c>
      <c r="E114" s="0">
        <f t="array" ref="E114">RhoFFromP(テーブル2[[#This Row],[P]])</f>
        <v/>
      </c>
      <c r="F114" s="0">
        <f t="array" ref="F114">HgFromP(テーブル2[[#This Row],[P]])</f>
        <v/>
      </c>
      <c r="G114" s="0">
        <f t="array" ref="G114">HfFromP(テーブル2[[#This Row],[P]])</f>
        <v/>
      </c>
      <c r="H114" s="0">
        <f t="array" ref="H114">MuGFromP(テーブル2[[#This Row],[P]])</f>
        <v/>
      </c>
      <c r="I114" s="0">
        <f t="array" ref="I114">MuFFromP(テーブル2[[#This Row],[P]])</f>
        <v/>
      </c>
      <c r="J114" s="0">
        <f t="array" ref="J114">KfFromP(テーブル2[[#This Row],[P]])</f>
        <v/>
      </c>
      <c r="K114" s="0">
        <f t="array" ref="K114">CpFFromP(テーブル2[[#This Row],[P]])</f>
        <v/>
      </c>
      <c r="L114" s="0">
        <f t="array" ref="L114">SigmaFromP(テーブル2[[#This Row],[P]])</f>
        <v/>
      </c>
      <c r="M114" s="0" t="n">
        <v>113</v>
      </c>
      <c r="N114" s="0" t="n">
        <v>3200.70256162889</v>
      </c>
      <c r="O114" s="8">
        <f>PI()*Q114^2/4</f>
        <v/>
      </c>
      <c r="P114" s="8">
        <f>PI()*Q114</f>
        <v/>
      </c>
      <c r="Q114" s="8" t="n">
        <v>0.001905</v>
      </c>
      <c r="R114" s="0" t="n">
        <v>0.1524</v>
      </c>
      <c r="S114" s="15" t="n">
        <v>6357331.34765625</v>
      </c>
      <c r="T114" s="0" t="n">
        <v>453.647905907136</v>
      </c>
      <c r="U114" s="37">
        <f>+T114+BG114*S114*テーブル2[[#This Row],[Pw]]*R114/(N114*O114*K114)</f>
        <v/>
      </c>
      <c r="V114" s="0" t="n">
        <v>0.03</v>
      </c>
      <c r="W114" s="8">
        <f>+N114*Q114/I114</f>
        <v/>
      </c>
      <c r="X114" s="0" t="n">
        <v>0.03351579701427646</v>
      </c>
      <c r="Y114" s="0">
        <f>IF(X114&gt;0,1/X114^0.5,1)</f>
        <v/>
      </c>
      <c r="Z114" s="0">
        <f>IF(X114&gt;0,1.14-2*LOG((0.72*L114*E114)/(X114*Q114*N114^2)+9.35/(W114*X114^0.5)),0)</f>
        <v/>
      </c>
      <c r="AA114" s="0">
        <f>+Y114-Z114</f>
        <v/>
      </c>
      <c r="AB114" s="0">
        <f>32/X114*L114*V114*E114/N114^2</f>
        <v/>
      </c>
      <c r="AC114" s="0" t="n">
        <v>699.6409732290147</v>
      </c>
      <c r="AD114" s="0">
        <f>+Q114/2*AI114/I114*E114</f>
        <v/>
      </c>
      <c r="AE114" s="0">
        <f>+gettm2(AD114,AC114,AK114,AL114,テーブル2[[#This Row],[Fcorr]])</f>
        <v/>
      </c>
      <c r="AF114" s="38">
        <f>+AE114-U114</f>
        <v/>
      </c>
      <c r="AG114" s="0" t="n">
        <v>1.599365729019268e-05</v>
      </c>
      <c r="AH114" s="0">
        <f>+X114*N114^2/(8*E114)</f>
        <v/>
      </c>
      <c r="AI114" s="0">
        <f>+(AH114/E114)^0.5</f>
        <v/>
      </c>
      <c r="AJ114" s="0">
        <f>+AG114*AI114/I114*E114</f>
        <v/>
      </c>
      <c r="AK114" s="0">
        <f t="array" ref="AK114">+S114*テーブル2[[#This Row],[F_form]]/(E114*CpFromTP((テーブル2[[#This Row],[Tin]]+テーブル2[[#This Row],[Tf]])/2,テーブル2[[#This Row],[P]])*AI114)</f>
        <v/>
      </c>
      <c r="AL114" s="0">
        <f>+K114*I114/J114</f>
        <v/>
      </c>
      <c r="AM114" s="0">
        <f>+gettyp(AC114,AJ114,AK114,AL114)</f>
        <v/>
      </c>
      <c r="AN114" s="0">
        <f>+C114-AM114</f>
        <v/>
      </c>
      <c r="AO114" s="0">
        <f>+AG114-AB114</f>
        <v/>
      </c>
      <c r="AP114" s="0" t="n">
        <v>4.22819648812337</v>
      </c>
      <c r="AQ114" s="0">
        <f>2*PI()*L114*(D114+E114)/(D114*E114*AP114^2)</f>
        <v/>
      </c>
      <c r="AR114" s="0">
        <f>+AO114+AB114/2</f>
        <v/>
      </c>
      <c r="AS114" s="0">
        <f>+AR114*AI114/I114*E114</f>
        <v/>
      </c>
      <c r="AT114" s="0">
        <f>+getublp(AS114)</f>
        <v/>
      </c>
      <c r="AU114" s="0">
        <f>+AT114*AI114</f>
        <v/>
      </c>
      <c r="AV114" s="0">
        <f>+AP114-AU114</f>
        <v/>
      </c>
      <c r="AW114" s="0">
        <f>2/3*AB114/(L114/(9.8*(E114-D114)))^0.5</f>
        <v/>
      </c>
      <c r="AX114" s="0">
        <f>+(2*AQ114*9.8*(E114-D114)/(E114*AW114))^0.5</f>
        <v/>
      </c>
      <c r="AY114" s="0">
        <f>+AV114-AX114</f>
        <v/>
      </c>
      <c r="AZ114" s="0">
        <f>+F114-G114</f>
        <v/>
      </c>
      <c r="BA114" s="0">
        <f>+AQ114/AP114</f>
        <v/>
      </c>
      <c r="BB114" s="15">
        <f>+E114*AO114*AZ114/BA114</f>
        <v/>
      </c>
      <c r="BC114" s="20">
        <f>BB114-S114</f>
        <v/>
      </c>
      <c r="BD114" s="19">
        <f>+(BB114-S114)/S114*100</f>
        <v/>
      </c>
      <c r="BE114" s="15" t="n">
        <v>6561547.199999999</v>
      </c>
      <c r="BF114" s="16">
        <f>テーブル2[[#This Row],[q_P]]/テーブル2[[#This Row],[q_M]]</f>
        <v/>
      </c>
      <c r="BG114" s="0" t="n">
        <v>1</v>
      </c>
      <c r="BH114" s="0" t="n">
        <v>-0.056</v>
      </c>
      <c r="BI114" s="0" t="n">
        <v>0.046</v>
      </c>
      <c r="BJ114" s="0" t="n">
        <v>5625</v>
      </c>
      <c r="BK114" s="22" t="n">
        <v>1</v>
      </c>
      <c r="BL114" s="0">
        <f>テーブル2[[#This Row],[Ts]]-テーブル2[[#This Row],[Tin]]</f>
        <v/>
      </c>
      <c r="BM114" s="0">
        <f>テーブル2[[#This Row],[q_P]]*0.000001</f>
        <v/>
      </c>
      <c r="BN114" s="0">
        <f>テーブル2[[#This Row],[Tsub]]</f>
        <v/>
      </c>
      <c r="BO114" s="0">
        <f>テーブル2[[#This Row],[Fcorr]]</f>
        <v/>
      </c>
      <c r="BP114" s="0">
        <f>(テーブル2[[#This Row],[Tsub]]-40)^2</f>
        <v/>
      </c>
      <c r="BQ114" t="n">
        <v>1</v>
      </c>
      <c r="BR114" s="0" t="n">
        <v>0.1524</v>
      </c>
    </row>
    <row r="115">
      <c r="A115" s="9" t="inlineStr">
        <is>
          <t>12.01_9</t>
        </is>
      </c>
      <c r="B115" s="0" t="n">
        <v>12065825.2630446</v>
      </c>
      <c r="C115" s="22">
        <f t="array" ref="C115">TsatFromP(テーブル2[[#This Row],[P]])</f>
        <v/>
      </c>
      <c r="D115" s="0">
        <f t="array" ref="D115">RhoGFromP(テーブル2[[#This Row],[P]])</f>
        <v/>
      </c>
      <c r="E115" s="0">
        <f t="array" ref="E115">RhoFFromP(テーブル2[[#This Row],[P]])</f>
        <v/>
      </c>
      <c r="F115" s="0">
        <f t="array" ref="F115">HgFromP(テーブル2[[#This Row],[P]])</f>
        <v/>
      </c>
      <c r="G115" s="0">
        <f t="array" ref="G115">HfFromP(テーブル2[[#This Row],[P]])</f>
        <v/>
      </c>
      <c r="H115" s="0">
        <f t="array" ref="H115">MuGFromP(テーブル2[[#This Row],[P]])</f>
        <v/>
      </c>
      <c r="I115" s="0">
        <f t="array" ref="I115">MuFFromP(テーブル2[[#This Row],[P]])</f>
        <v/>
      </c>
      <c r="J115" s="0">
        <f t="array" ref="J115">KfFromP(テーブル2[[#This Row],[P]])</f>
        <v/>
      </c>
      <c r="K115" s="0">
        <f t="array" ref="K115">CpFFromP(テーブル2[[#This Row],[P]])</f>
        <v/>
      </c>
      <c r="L115" s="0">
        <f t="array" ref="L115">SigmaFromP(テーブル2[[#This Row],[P]])</f>
        <v/>
      </c>
      <c r="M115" s="0" t="n">
        <v>114</v>
      </c>
      <c r="N115" s="0" t="n">
        <v>3200.70256162889</v>
      </c>
      <c r="O115" s="8">
        <f>PI()*Q115^2/4</f>
        <v/>
      </c>
      <c r="P115" s="8">
        <f>PI()*Q115</f>
        <v/>
      </c>
      <c r="Q115" s="8" t="n">
        <v>0.001905</v>
      </c>
      <c r="R115" s="0" t="n">
        <v>0.1524</v>
      </c>
      <c r="S115" s="15" t="n">
        <v>4883532.71484375</v>
      </c>
      <c r="T115" s="0" t="n">
        <v>488.662278888572</v>
      </c>
      <c r="U115" s="37">
        <f>+T115+BG115*S115*テーブル2[[#This Row],[Pw]]*R115/(N115*O115*K115)</f>
        <v/>
      </c>
      <c r="V115" s="0" t="n">
        <v>0.03</v>
      </c>
      <c r="W115" s="8">
        <f>+N115*Q115/I115</f>
        <v/>
      </c>
      <c r="X115" s="0" t="n">
        <v>0.03351579701427646</v>
      </c>
      <c r="Y115" s="0">
        <f>IF(X115&gt;0,1/X115^0.5,1)</f>
        <v/>
      </c>
      <c r="Z115" s="0">
        <f>IF(X115&gt;0,1.14-2*LOG((0.72*L115*E115)/(X115*Q115*N115^2)+9.35/(W115*X115^0.5)),0)</f>
        <v/>
      </c>
      <c r="AA115" s="0">
        <f>+Y115-Z115</f>
        <v/>
      </c>
      <c r="AB115" s="0">
        <f>32/X115*L115*V115*E115/N115^2</f>
        <v/>
      </c>
      <c r="AC115" s="0" t="n">
        <v>673.1030117807633</v>
      </c>
      <c r="AD115" s="0">
        <f>+Q115/2*AI115/I115*E115</f>
        <v/>
      </c>
      <c r="AE115" s="0">
        <f>+gettm2(AD115,AC115,AK115,AL115,テーブル2[[#This Row],[Fcorr]])</f>
        <v/>
      </c>
      <c r="AF115" s="38">
        <f>+AE115-U115</f>
        <v/>
      </c>
      <c r="AG115" s="0" t="n">
        <v>1.597244883828498e-05</v>
      </c>
      <c r="AH115" s="0">
        <f>+X115*N115^2/(8*E115)</f>
        <v/>
      </c>
      <c r="AI115" s="0">
        <f>+(AH115/E115)^0.5</f>
        <v/>
      </c>
      <c r="AJ115" s="0">
        <f>+AG115*AI115/I115*E115</f>
        <v/>
      </c>
      <c r="AK115" s="0">
        <f t="array" ref="AK115">+S115*テーブル2[[#This Row],[F_form]]/(E115*CpFromTP((テーブル2[[#This Row],[Tin]]+テーブル2[[#This Row],[Tf]])/2,テーブル2[[#This Row],[P]])*AI115)</f>
        <v/>
      </c>
      <c r="AL115" s="0">
        <f>+K115*I115/J115</f>
        <v/>
      </c>
      <c r="AM115" s="0">
        <f>+gettyp(AC115,AJ115,AK115,AL115)</f>
        <v/>
      </c>
      <c r="AN115" s="0">
        <f>+C115-AM115</f>
        <v/>
      </c>
      <c r="AO115" s="0">
        <f>+AG115-AB115</f>
        <v/>
      </c>
      <c r="AP115" s="0" t="n">
        <v>4.224302547200515</v>
      </c>
      <c r="AQ115" s="0">
        <f>2*PI()*L115*(D115+E115)/(D115*E115*AP115^2)</f>
        <v/>
      </c>
      <c r="AR115" s="0">
        <f>+AO115+AB115/2</f>
        <v/>
      </c>
      <c r="AS115" s="0">
        <f>+AR115*AI115/I115*E115</f>
        <v/>
      </c>
      <c r="AT115" s="0">
        <f>+getublp(AS115)</f>
        <v/>
      </c>
      <c r="AU115" s="0">
        <f>+AT115*AI115</f>
        <v/>
      </c>
      <c r="AV115" s="0">
        <f>+AP115-AU115</f>
        <v/>
      </c>
      <c r="AW115" s="0">
        <f>2/3*AB115/(L115/(9.8*(E115-D115)))^0.5</f>
        <v/>
      </c>
      <c r="AX115" s="0">
        <f>+(2*AQ115*9.8*(E115-D115)/(E115*AW115))^0.5</f>
        <v/>
      </c>
      <c r="AY115" s="0">
        <f>+AV115-AX115</f>
        <v/>
      </c>
      <c r="AZ115" s="0">
        <f>+F115-G115</f>
        <v/>
      </c>
      <c r="BA115" s="0">
        <f>+AQ115/AP115</f>
        <v/>
      </c>
      <c r="BB115" s="15">
        <f>+E115*AO115*AZ115/BA115</f>
        <v/>
      </c>
      <c r="BC115" s="20">
        <f>BB115-S115</f>
        <v/>
      </c>
      <c r="BD115" s="19">
        <f>+(BB115-S115)/S115*100</f>
        <v/>
      </c>
      <c r="BE115" s="15" t="n">
        <v>5205073.5</v>
      </c>
      <c r="BF115" s="16">
        <f>テーブル2[[#This Row],[q_P]]/テーブル2[[#This Row],[q_M]]</f>
        <v/>
      </c>
      <c r="BG115" s="0" t="n">
        <v>1</v>
      </c>
      <c r="BH115" s="0" t="n">
        <v>-0.04</v>
      </c>
      <c r="BI115" s="0" t="n">
        <v>0.046</v>
      </c>
      <c r="BJ115" s="0" t="n">
        <v>5625</v>
      </c>
      <c r="BK115" s="22" t="n">
        <v>1</v>
      </c>
      <c r="BL115" s="0">
        <f>テーブル2[[#This Row],[Ts]]-テーブル2[[#This Row],[Tin]]</f>
        <v/>
      </c>
      <c r="BM115" s="0">
        <f>テーブル2[[#This Row],[q_P]]*0.000001</f>
        <v/>
      </c>
      <c r="BN115" s="0">
        <f>テーブル2[[#This Row],[Tsub]]</f>
        <v/>
      </c>
      <c r="BO115" s="0">
        <f>テーブル2[[#This Row],[Fcorr]]</f>
        <v/>
      </c>
      <c r="BP115" s="0">
        <f>(テーブル2[[#This Row],[Tsub]]-40)^2</f>
        <v/>
      </c>
      <c r="BQ115" t="n">
        <v>1</v>
      </c>
      <c r="BR115" s="0" t="n">
        <v>0.1524</v>
      </c>
    </row>
    <row r="116">
      <c r="A116" s="9" t="inlineStr">
        <is>
          <t>13.01_9</t>
        </is>
      </c>
      <c r="B116" s="0" t="n">
        <v>12065825.2630446</v>
      </c>
      <c r="C116" s="22">
        <f t="array" ref="C116">TsatFromP(テーブル2[[#This Row],[P]])</f>
        <v/>
      </c>
      <c r="D116" s="0">
        <f t="array" ref="D116">RhoGFromP(テーブル2[[#This Row],[P]])</f>
        <v/>
      </c>
      <c r="E116" s="0">
        <f t="array" ref="E116">RhoFFromP(テーブル2[[#This Row],[P]])</f>
        <v/>
      </c>
      <c r="F116" s="0">
        <f t="array" ref="F116">HgFromP(テーブル2[[#This Row],[P]])</f>
        <v/>
      </c>
      <c r="G116" s="0">
        <f t="array" ref="G116">HfFromP(テーブル2[[#This Row],[P]])</f>
        <v/>
      </c>
      <c r="H116" s="0">
        <f t="array" ref="H116">MuGFromP(テーブル2[[#This Row],[P]])</f>
        <v/>
      </c>
      <c r="I116" s="0">
        <f t="array" ref="I116">MuFFromP(テーブル2[[#This Row],[P]])</f>
        <v/>
      </c>
      <c r="J116" s="0">
        <f t="array" ref="J116">KfFromP(テーブル2[[#This Row],[P]])</f>
        <v/>
      </c>
      <c r="K116" s="0">
        <f t="array" ref="K116">CpFFromP(テーブル2[[#This Row],[P]])</f>
        <v/>
      </c>
      <c r="L116" s="0">
        <f t="array" ref="L116">SigmaFromP(テーブル2[[#This Row],[P]])</f>
        <v/>
      </c>
      <c r="M116" s="0" t="n">
        <v>115</v>
      </c>
      <c r="N116" s="0" t="n">
        <v>3200.70256162889</v>
      </c>
      <c r="O116" s="8">
        <f>PI()*Q116^2/4</f>
        <v/>
      </c>
      <c r="P116" s="8">
        <f>PI()*Q116</f>
        <v/>
      </c>
      <c r="Q116" s="8" t="n">
        <v>0.001905</v>
      </c>
      <c r="R116" s="0" t="n">
        <v>0.1524</v>
      </c>
      <c r="S116" s="15" t="n">
        <v>4953449.27734375</v>
      </c>
      <c r="T116" s="0" t="n">
        <v>487.011573387527</v>
      </c>
      <c r="U116" s="37">
        <f>+T116+BG116*S116*テーブル2[[#This Row],[Pw]]*R116/(N116*O116*K116)</f>
        <v/>
      </c>
      <c r="V116" s="0" t="n">
        <v>0.03</v>
      </c>
      <c r="W116" s="8">
        <f>+N116*Q116/I116</f>
        <v/>
      </c>
      <c r="X116" s="0" t="n">
        <v>0.03351579701427646</v>
      </c>
      <c r="Y116" s="0">
        <f>IF(X116&gt;0,1/X116^0.5,1)</f>
        <v/>
      </c>
      <c r="Z116" s="0">
        <f>IF(X116&gt;0,1.14-2*LOG((0.72*L116*E116)/(X116*Q116*N116^2)+9.35/(W116*X116^0.5)),0)</f>
        <v/>
      </c>
      <c r="AA116" s="0">
        <f>+Y116-Z116</f>
        <v/>
      </c>
      <c r="AB116" s="0">
        <f>32/X116*L116*V116*E116/N116^2</f>
        <v/>
      </c>
      <c r="AC116" s="0" t="n">
        <v>674.3395768474545</v>
      </c>
      <c r="AD116" s="0">
        <f>+Q116/2*AI116/I116*E116</f>
        <v/>
      </c>
      <c r="AE116" s="0">
        <f>+gettm2(AD116,AC116,AK116,AL116,テーブル2[[#This Row],[Fcorr]])</f>
        <v/>
      </c>
      <c r="AF116" s="38">
        <f>+AE116-U116</f>
        <v/>
      </c>
      <c r="AG116" s="0" t="n">
        <v>1.597290862092311e-05</v>
      </c>
      <c r="AH116" s="0">
        <f>+X116*N116^2/(8*E116)</f>
        <v/>
      </c>
      <c r="AI116" s="0">
        <f>+(AH116/E116)^0.5</f>
        <v/>
      </c>
      <c r="AJ116" s="0">
        <f>+AG116*AI116/I116*E116</f>
        <v/>
      </c>
      <c r="AK116" s="0">
        <f t="array" ref="AK116">+S116*テーブル2[[#This Row],[F_form]]/(E116*CpFromTP((テーブル2[[#This Row],[Tin]]+テーブル2[[#This Row],[Tf]])/2,テーブル2[[#This Row],[P]])*AI116)</f>
        <v/>
      </c>
      <c r="AL116" s="0">
        <f>+K116*I116/J116</f>
        <v/>
      </c>
      <c r="AM116" s="0">
        <f>+gettyp(AC116,AJ116,AK116,AL116)</f>
        <v/>
      </c>
      <c r="AN116" s="0">
        <f>+C116-AM116</f>
        <v/>
      </c>
      <c r="AO116" s="0">
        <f>+AG116-AB116</f>
        <v/>
      </c>
      <c r="AP116" s="0" t="n">
        <v>4.224387068670959</v>
      </c>
      <c r="AQ116" s="0">
        <f>2*PI()*L116*(D116+E116)/(D116*E116*AP116^2)</f>
        <v/>
      </c>
      <c r="AR116" s="0">
        <f>+AO116+AB116/2</f>
        <v/>
      </c>
      <c r="AS116" s="0">
        <f>+AR116*AI116/I116*E116</f>
        <v/>
      </c>
      <c r="AT116" s="0">
        <f>+getublp(AS116)</f>
        <v/>
      </c>
      <c r="AU116" s="0">
        <f>+AT116*AI116</f>
        <v/>
      </c>
      <c r="AV116" s="0">
        <f>+AP116-AU116</f>
        <v/>
      </c>
      <c r="AW116" s="0">
        <f>2/3*AB116/(L116/(9.8*(E116-D116)))^0.5</f>
        <v/>
      </c>
      <c r="AX116" s="0">
        <f>+(2*AQ116*9.8*(E116-D116)/(E116*AW116))^0.5</f>
        <v/>
      </c>
      <c r="AY116" s="0">
        <f>+AV116-AX116</f>
        <v/>
      </c>
      <c r="AZ116" s="0">
        <f>+F116-G116</f>
        <v/>
      </c>
      <c r="BA116" s="0">
        <f>+AQ116/AP116</f>
        <v/>
      </c>
      <c r="BB116" s="15">
        <f>+E116*AO116*AZ116/BA116</f>
        <v/>
      </c>
      <c r="BC116" s="20">
        <f>BB116-S116</f>
        <v/>
      </c>
      <c r="BD116" s="19">
        <f>+(BB116-S116)/S116*100</f>
        <v/>
      </c>
      <c r="BE116" s="15" t="n">
        <v>5394348.899999999</v>
      </c>
      <c r="BF116" s="16">
        <f>テーブル2[[#This Row],[q_P]]/テーブル2[[#This Row],[q_M]]</f>
        <v/>
      </c>
      <c r="BG116" s="0" t="n">
        <v>1</v>
      </c>
      <c r="BH116" s="0" t="n">
        <v>-0.03</v>
      </c>
      <c r="BI116" s="0" t="n">
        <v>0.046</v>
      </c>
      <c r="BJ116" s="0" t="n">
        <v>5625</v>
      </c>
      <c r="BK116" s="22" t="n">
        <v>1</v>
      </c>
      <c r="BL116" s="0">
        <f>テーブル2[[#This Row],[Ts]]-テーブル2[[#This Row],[Tin]]</f>
        <v/>
      </c>
      <c r="BM116" s="0">
        <f>テーブル2[[#This Row],[q_P]]*0.000001</f>
        <v/>
      </c>
      <c r="BN116" s="0">
        <f>テーブル2[[#This Row],[Tsub]]</f>
        <v/>
      </c>
      <c r="BO116" s="0">
        <f>テーブル2[[#This Row],[Fcorr]]</f>
        <v/>
      </c>
      <c r="BP116" s="0">
        <f>(テーブル2[[#This Row],[Tsub]]-40)^2</f>
        <v/>
      </c>
      <c r="BQ116" t="n">
        <v>1</v>
      </c>
      <c r="BR116" s="0" t="n">
        <v>0.1524</v>
      </c>
    </row>
    <row r="117">
      <c r="A117" s="9" t="inlineStr">
        <is>
          <t>14.01_9</t>
        </is>
      </c>
      <c r="B117" s="0" t="n">
        <v>12065825.2630446</v>
      </c>
      <c r="C117" s="22">
        <f t="array" ref="C117">TsatFromP(テーブル2[[#This Row],[P]])</f>
        <v/>
      </c>
      <c r="D117" s="0">
        <f t="array" ref="D117">RhoGFromP(テーブル2[[#This Row],[P]])</f>
        <v/>
      </c>
      <c r="E117" s="0">
        <f t="array" ref="E117">RhoFFromP(テーブル2[[#This Row],[P]])</f>
        <v/>
      </c>
      <c r="F117" s="0">
        <f t="array" ref="F117">HgFromP(テーブル2[[#This Row],[P]])</f>
        <v/>
      </c>
      <c r="G117" s="0">
        <f t="array" ref="G117">HfFromP(テーブル2[[#This Row],[P]])</f>
        <v/>
      </c>
      <c r="H117" s="0">
        <f t="array" ref="H117">MuGFromP(テーブル2[[#This Row],[P]])</f>
        <v/>
      </c>
      <c r="I117" s="0">
        <f t="array" ref="I117">MuFFromP(テーブル2[[#This Row],[P]])</f>
        <v/>
      </c>
      <c r="J117" s="0">
        <f t="array" ref="J117">KfFromP(テーブル2[[#This Row],[P]])</f>
        <v/>
      </c>
      <c r="K117" s="0">
        <f t="array" ref="K117">CpFFromP(テーブル2[[#This Row],[P]])</f>
        <v/>
      </c>
      <c r="L117" s="0">
        <f t="array" ref="L117">SigmaFromP(テーブル2[[#This Row],[P]])</f>
        <v/>
      </c>
      <c r="M117" s="0" t="n">
        <v>116</v>
      </c>
      <c r="N117" s="0" t="n">
        <v>3200.70256162889</v>
      </c>
      <c r="O117" s="8">
        <f>PI()*Q117^2/4</f>
        <v/>
      </c>
      <c r="P117" s="8">
        <f>PI()*Q117</f>
        <v/>
      </c>
      <c r="Q117" s="8" t="n">
        <v>0.001905</v>
      </c>
      <c r="R117" s="0" t="n">
        <v>0.1524</v>
      </c>
      <c r="S117" s="15" t="n">
        <v>3264593.33015625</v>
      </c>
      <c r="T117" s="0" t="n">
        <v>526.450126344173</v>
      </c>
      <c r="U117" s="37">
        <f>+T117+BG117*S117*テーブル2[[#This Row],[Pw]]*R117/(N117*O117*K117)</f>
        <v/>
      </c>
      <c r="V117" s="0" t="n">
        <v>0.03</v>
      </c>
      <c r="W117" s="8">
        <f>+N117*Q117/I117</f>
        <v/>
      </c>
      <c r="X117" s="0" t="n">
        <v>0.03351579701427646</v>
      </c>
      <c r="Y117" s="0">
        <f>IF(X117&gt;0,1/X117^0.5,1)</f>
        <v/>
      </c>
      <c r="Z117" s="0">
        <f>IF(X117&gt;0,1.14-2*LOG((0.72*L117*E117)/(X117*Q117*N117^2)+9.35/(W117*X117^0.5)),0)</f>
        <v/>
      </c>
      <c r="AA117" s="0">
        <f>+Y117-Z117</f>
        <v/>
      </c>
      <c r="AB117" s="0">
        <f>32/X117*L117*V117*E117/N117^2</f>
        <v/>
      </c>
      <c r="AC117" s="0" t="n">
        <v>645.3139494364988</v>
      </c>
      <c r="AD117" s="0">
        <f>+Q117/2*AI117/I117*E117</f>
        <v/>
      </c>
      <c r="AE117" s="0">
        <f>+gettm2(AD117,AC117,AK117,AL117,テーブル2[[#This Row],[Fcorr]])</f>
        <v/>
      </c>
      <c r="AF117" s="38">
        <f>+AE117-U117</f>
        <v/>
      </c>
      <c r="AG117" s="0" t="n">
        <v>1.59493237445991e-05</v>
      </c>
      <c r="AH117" s="0">
        <f>+X117*N117^2/(8*E117)</f>
        <v/>
      </c>
      <c r="AI117" s="0">
        <f>+(AH117/E117)^0.5</f>
        <v/>
      </c>
      <c r="AJ117" s="0">
        <f>+AG117*AI117/I117*E117</f>
        <v/>
      </c>
      <c r="AK117" s="0">
        <f t="array" ref="AK117">+S117*テーブル2[[#This Row],[F_form]]/(E117*CpFromTP((テーブル2[[#This Row],[Tin]]+テーブル2[[#This Row],[Tf]])/2,テーブル2[[#This Row],[P]])*AI117)</f>
        <v/>
      </c>
      <c r="AL117" s="0">
        <f>+K117*I117/J117</f>
        <v/>
      </c>
      <c r="AM117" s="0">
        <f>+gettyp(AC117,AJ117,AK117,AL117)</f>
        <v/>
      </c>
      <c r="AN117" s="0">
        <f>+C117-AM117</f>
        <v/>
      </c>
      <c r="AO117" s="0">
        <f>+AG117-AB117</f>
        <v/>
      </c>
      <c r="AP117" s="0" t="n">
        <v>4.220045520226408</v>
      </c>
      <c r="AQ117" s="0">
        <f>2*PI()*L117*(D117+E117)/(D117*E117*AP117^2)</f>
        <v/>
      </c>
      <c r="AR117" s="0">
        <f>+AO117+AB117/2</f>
        <v/>
      </c>
      <c r="AS117" s="0">
        <f>+AR117*AI117/I117*E117</f>
        <v/>
      </c>
      <c r="AT117" s="0">
        <f>+getublp(AS117)</f>
        <v/>
      </c>
      <c r="AU117" s="0">
        <f>+AT117*AI117</f>
        <v/>
      </c>
      <c r="AV117" s="0">
        <f>+AP117-AU117</f>
        <v/>
      </c>
      <c r="AW117" s="0">
        <f>2/3*AB117/(L117/(9.8*(E117-D117)))^0.5</f>
        <v/>
      </c>
      <c r="AX117" s="0">
        <f>+(2*AQ117*9.8*(E117-D117)/(E117*AW117))^0.5</f>
        <v/>
      </c>
      <c r="AY117" s="0">
        <f>+AV117-AX117</f>
        <v/>
      </c>
      <c r="AZ117" s="0">
        <f>+F117-G117</f>
        <v/>
      </c>
      <c r="BA117" s="0">
        <f>+AQ117/AP117</f>
        <v/>
      </c>
      <c r="BB117" s="15">
        <f>+E117*AO117*AZ117/BA117</f>
        <v/>
      </c>
      <c r="BC117" s="20">
        <f>BB117-S117</f>
        <v/>
      </c>
      <c r="BD117" s="19">
        <f>+(BB117-S117)/S117*100</f>
        <v/>
      </c>
      <c r="BE117" s="15" t="n">
        <v>3974783.4</v>
      </c>
      <c r="BF117" s="16">
        <f>テーブル2[[#This Row],[q_P]]/テーブル2[[#This Row],[q_M]]</f>
        <v/>
      </c>
      <c r="BG117" s="0" t="n">
        <v>1</v>
      </c>
      <c r="BH117" s="0" t="n">
        <v>0.004</v>
      </c>
      <c r="BI117" s="0" t="n">
        <v>0.046</v>
      </c>
      <c r="BJ117" s="0" t="n">
        <v>5625</v>
      </c>
      <c r="BK117" s="22" t="n">
        <v>1</v>
      </c>
      <c r="BL117" s="0">
        <f>テーブル2[[#This Row],[Ts]]-テーブル2[[#This Row],[Tin]]</f>
        <v/>
      </c>
      <c r="BM117" s="0">
        <f>テーブル2[[#This Row],[q_P]]*0.000001</f>
        <v/>
      </c>
      <c r="BN117" s="0">
        <f>テーブル2[[#This Row],[Tsub]]</f>
        <v/>
      </c>
      <c r="BO117" s="0">
        <f>テーブル2[[#This Row],[Fcorr]]</f>
        <v/>
      </c>
      <c r="BP117" s="0">
        <f>(テーブル2[[#This Row],[Tsub]]-40)^2</f>
        <v/>
      </c>
      <c r="BQ117" t="n">
        <v>1</v>
      </c>
      <c r="BR117" s="0" t="n">
        <v>0.1524</v>
      </c>
    </row>
    <row r="118">
      <c r="A118" s="9" t="inlineStr">
        <is>
          <t>15.01_9</t>
        </is>
      </c>
      <c r="B118" s="0" t="n">
        <v>12065825.2630446</v>
      </c>
      <c r="C118" s="22">
        <f t="array" ref="C118">TsatFromP(テーブル2[[#This Row],[P]])</f>
        <v/>
      </c>
      <c r="D118" s="0">
        <f t="array" ref="D118">RhoGFromP(テーブル2[[#This Row],[P]])</f>
        <v/>
      </c>
      <c r="E118" s="0">
        <f t="array" ref="E118">RhoFFromP(テーブル2[[#This Row],[P]])</f>
        <v/>
      </c>
      <c r="F118" s="0">
        <f t="array" ref="F118">HgFromP(テーブル2[[#This Row],[P]])</f>
        <v/>
      </c>
      <c r="G118" s="0">
        <f t="array" ref="G118">HfFromP(テーブル2[[#This Row],[P]])</f>
        <v/>
      </c>
      <c r="H118" s="0">
        <f t="array" ref="H118">MuGFromP(テーブル2[[#This Row],[P]])</f>
        <v/>
      </c>
      <c r="I118" s="0">
        <f t="array" ref="I118">MuFFromP(テーブル2[[#This Row],[P]])</f>
        <v/>
      </c>
      <c r="J118" s="0">
        <f t="array" ref="J118">KfFromP(テーブル2[[#This Row],[P]])</f>
        <v/>
      </c>
      <c r="K118" s="0">
        <f t="array" ref="K118">CpFFromP(テーブル2[[#This Row],[P]])</f>
        <v/>
      </c>
      <c r="L118" s="0">
        <f t="array" ref="L118">SigmaFromP(テーブル2[[#This Row],[P]])</f>
        <v/>
      </c>
      <c r="M118" s="0" t="n">
        <v>117</v>
      </c>
      <c r="N118" s="0" t="n">
        <v>3214.26486061884</v>
      </c>
      <c r="O118" s="8">
        <f>PI()*Q118^2/4</f>
        <v/>
      </c>
      <c r="P118" s="8">
        <f>PI()*Q118</f>
        <v/>
      </c>
      <c r="Q118" s="8" t="n">
        <v>0.001905</v>
      </c>
      <c r="R118" s="0" t="n">
        <v>0.1524</v>
      </c>
      <c r="S118" s="15" t="n">
        <v>4947044.570468751</v>
      </c>
      <c r="T118" s="0" t="n">
        <v>487.527773572664</v>
      </c>
      <c r="U118" s="37">
        <f>+T118+BG118*S118*テーブル2[[#This Row],[Pw]]*R118/(N118*O118*K118)</f>
        <v/>
      </c>
      <c r="V118" s="0" t="n">
        <v>0.03</v>
      </c>
      <c r="W118" s="8">
        <f>+N118*Q118/I118</f>
        <v/>
      </c>
      <c r="X118" s="0" t="n">
        <v>0.03344993277673544</v>
      </c>
      <c r="Y118" s="0">
        <f>IF(X118&gt;0,1/X118^0.5,1)</f>
        <v/>
      </c>
      <c r="Z118" s="0">
        <f>IF(X118&gt;0,1.14-2*LOG((0.72*L118*E118)/(X118*Q118*N118^2)+9.35/(W118*X118^0.5)),0)</f>
        <v/>
      </c>
      <c r="AA118" s="0">
        <f>+Y118-Z118</f>
        <v/>
      </c>
      <c r="AB118" s="0">
        <f>32/X118*L118*V118*E118/N118^2</f>
        <v/>
      </c>
      <c r="AC118" s="0" t="n">
        <v>673.9097728811727</v>
      </c>
      <c r="AD118" s="0">
        <f>+Q118/2*AI118/I118*E118</f>
        <v/>
      </c>
      <c r="AE118" s="0">
        <f>+gettm2(AD118,AC118,AK118,AL118,テーブル2[[#This Row],[Fcorr]])</f>
        <v/>
      </c>
      <c r="AF118" s="38">
        <f>+AE118-U118</f>
        <v/>
      </c>
      <c r="AG118" s="0" t="n">
        <v>1.587078429930072e-05</v>
      </c>
      <c r="AH118" s="0">
        <f>+X118*N118^2/(8*E118)</f>
        <v/>
      </c>
      <c r="AI118" s="0">
        <f>+(AH118/E118)^0.5</f>
        <v/>
      </c>
      <c r="AJ118" s="0">
        <f>+AG118*AI118/I118*E118</f>
        <v/>
      </c>
      <c r="AK118" s="0">
        <f t="array" ref="AK118">+S118*テーブル2[[#This Row],[F_form]]/(E118*CpFromTP((テーブル2[[#This Row],[Tin]]+テーブル2[[#This Row],[Tf]])/2,テーブル2[[#This Row],[P]])*AI118)</f>
        <v/>
      </c>
      <c r="AL118" s="0">
        <f>+K118*I118/J118</f>
        <v/>
      </c>
      <c r="AM118" s="0">
        <f>+gettyp(AC118,AJ118,AK118,AL118)</f>
        <v/>
      </c>
      <c r="AN118" s="0">
        <f>+C118-AM118</f>
        <v/>
      </c>
      <c r="AO118" s="0">
        <f>+AG118-AB118</f>
        <v/>
      </c>
      <c r="AP118" s="0" t="n">
        <v>4.23259220731773</v>
      </c>
      <c r="AQ118" s="0">
        <f>2*PI()*L118*(D118+E118)/(D118*E118*AP118^2)</f>
        <v/>
      </c>
      <c r="AR118" s="0">
        <f>+AO118+AB118/2</f>
        <v/>
      </c>
      <c r="AS118" s="0">
        <f>+AR118*AI118/I118*E118</f>
        <v/>
      </c>
      <c r="AT118" s="0">
        <f>+getublp(AS118)</f>
        <v/>
      </c>
      <c r="AU118" s="0">
        <f>+AT118*AI118</f>
        <v/>
      </c>
      <c r="AV118" s="0">
        <f>+AP118-AU118</f>
        <v/>
      </c>
      <c r="AW118" s="0">
        <f>2/3*AB118/(L118/(9.8*(E118-D118)))^0.5</f>
        <v/>
      </c>
      <c r="AX118" s="0">
        <f>+(2*AQ118*9.8*(E118-D118)/(E118*AW118))^0.5</f>
        <v/>
      </c>
      <c r="AY118" s="0">
        <f>+AV118-AX118</f>
        <v/>
      </c>
      <c r="AZ118" s="0">
        <f>+F118-G118</f>
        <v/>
      </c>
      <c r="BA118" s="0">
        <f>+AQ118/AP118</f>
        <v/>
      </c>
      <c r="BB118" s="15">
        <f>+E118*AO118*AZ118/BA118</f>
        <v/>
      </c>
      <c r="BC118" s="20">
        <f>BB118-S118</f>
        <v/>
      </c>
      <c r="BD118" s="19">
        <f>+(BB118-S118)/S118*100</f>
        <v/>
      </c>
      <c r="BE118" s="15" t="n">
        <v>5425894.8</v>
      </c>
      <c r="BF118" s="16">
        <f>テーブル2[[#This Row],[q_P]]/テーブル2[[#This Row],[q_M]]</f>
        <v/>
      </c>
      <c r="BG118" s="0" t="n">
        <v>1</v>
      </c>
      <c r="BH118" s="0" t="n">
        <v>-0.028</v>
      </c>
      <c r="BI118" s="0" t="n">
        <v>0.046</v>
      </c>
      <c r="BJ118" s="0" t="n">
        <v>5625</v>
      </c>
      <c r="BK118" s="22" t="n">
        <v>1</v>
      </c>
      <c r="BL118" s="0">
        <f>テーブル2[[#This Row],[Ts]]-テーブル2[[#This Row],[Tin]]</f>
        <v/>
      </c>
      <c r="BM118" s="0">
        <f>テーブル2[[#This Row],[q_P]]*0.000001</f>
        <v/>
      </c>
      <c r="BN118" s="0">
        <f>テーブル2[[#This Row],[Tsub]]</f>
        <v/>
      </c>
      <c r="BO118" s="0">
        <f>テーブル2[[#This Row],[Fcorr]]</f>
        <v/>
      </c>
      <c r="BP118" s="0">
        <f>(テーブル2[[#This Row],[Tsub]]-40)^2</f>
        <v/>
      </c>
      <c r="BQ118" t="n">
        <v>1</v>
      </c>
      <c r="BR118" s="0" t="n">
        <v>0.1524</v>
      </c>
    </row>
    <row r="119">
      <c r="A119" s="9" t="inlineStr">
        <is>
          <t>16.01_9</t>
        </is>
      </c>
      <c r="B119" s="0" t="n">
        <v>12065825.2630446</v>
      </c>
      <c r="C119" s="22">
        <f t="array" ref="C119">TsatFromP(テーブル2[[#This Row],[P]])</f>
        <v/>
      </c>
      <c r="D119" s="0">
        <f t="array" ref="D119">RhoGFromP(テーブル2[[#This Row],[P]])</f>
        <v/>
      </c>
      <c r="E119" s="0">
        <f t="array" ref="E119">RhoFFromP(テーブル2[[#This Row],[P]])</f>
        <v/>
      </c>
      <c r="F119" s="0">
        <f t="array" ref="F119">HgFromP(テーブル2[[#This Row],[P]])</f>
        <v/>
      </c>
      <c r="G119" s="0">
        <f t="array" ref="G119">HfFromP(テーブル2[[#This Row],[P]])</f>
        <v/>
      </c>
      <c r="H119" s="0">
        <f t="array" ref="H119">MuGFromP(テーブル2[[#This Row],[P]])</f>
        <v/>
      </c>
      <c r="I119" s="0">
        <f t="array" ref="I119">MuFFromP(テーブル2[[#This Row],[P]])</f>
        <v/>
      </c>
      <c r="J119" s="0">
        <f t="array" ref="J119">KfFromP(テーブル2[[#This Row],[P]])</f>
        <v/>
      </c>
      <c r="K119" s="0">
        <f t="array" ref="K119">CpFFromP(テーブル2[[#This Row],[P]])</f>
        <v/>
      </c>
      <c r="L119" s="0">
        <f t="array" ref="L119">SigmaFromP(テーブル2[[#This Row],[P]])</f>
        <v/>
      </c>
      <c r="M119" s="0" t="n">
        <v>118</v>
      </c>
      <c r="N119" s="0" t="n">
        <v>3254.9517575887</v>
      </c>
      <c r="O119" s="8">
        <f>PI()*Q119^2/4</f>
        <v/>
      </c>
      <c r="P119" s="8">
        <f>PI()*Q119</f>
        <v/>
      </c>
      <c r="Q119" s="8" t="n">
        <v>0.001905</v>
      </c>
      <c r="R119" s="0" t="n">
        <v>0.1524</v>
      </c>
      <c r="S119" s="15" t="n">
        <v>6246432.357031249</v>
      </c>
      <c r="T119" s="0" t="n">
        <v>458.120796123808</v>
      </c>
      <c r="U119" s="37">
        <f>+T119+BG119*S119*テーブル2[[#This Row],[Pw]]*R119/(N119*O119*K119)</f>
        <v/>
      </c>
      <c r="V119" s="0" t="n">
        <v>0.03</v>
      </c>
      <c r="W119" s="8">
        <f>+N119*Q119/I119</f>
        <v/>
      </c>
      <c r="X119" s="0" t="n">
        <v>0.0332550930875553</v>
      </c>
      <c r="Y119" s="0">
        <f>IF(X119&gt;0,1/X119^0.5,1)</f>
        <v/>
      </c>
      <c r="Z119" s="0">
        <f>IF(X119&gt;0,1.14-2*LOG((0.72*L119*E119)/(X119*Q119*N119^2)+9.35/(W119*X119^0.5)),0)</f>
        <v/>
      </c>
      <c r="AA119" s="0">
        <f>+Y119-Z119</f>
        <v/>
      </c>
      <c r="AB119" s="0">
        <f>32/X119*L119*V119*E119/N119^2</f>
        <v/>
      </c>
      <c r="AC119" s="0" t="n">
        <v>695.9822114674936</v>
      </c>
      <c r="AD119" s="0">
        <f>+Q119/2*AI119/I119*E119</f>
        <v/>
      </c>
      <c r="AE119" s="0">
        <f>+gettm2(AD119,AC119,AK119,AL119,テーブル2[[#This Row],[Fcorr]])</f>
        <v/>
      </c>
      <c r="AF119" s="38">
        <f>+AE119-U119</f>
        <v/>
      </c>
      <c r="AG119" s="0" t="n">
        <v>1.558447137695155e-05</v>
      </c>
      <c r="AH119" s="0">
        <f>+X119*N119^2/(8*E119)</f>
        <v/>
      </c>
      <c r="AI119" s="0">
        <f>+(AH119/E119)^0.5</f>
        <v/>
      </c>
      <c r="AJ119" s="0">
        <f>+AG119*AI119/I119*E119</f>
        <v/>
      </c>
      <c r="AK119" s="0">
        <f t="array" ref="AK119">+S119*テーブル2[[#This Row],[F_form]]/(E119*CpFromTP((テーブル2[[#This Row],[Tin]]+テーブル2[[#This Row],[Tf]])/2,テーブル2[[#This Row],[P]])*AI119)</f>
        <v/>
      </c>
      <c r="AL119" s="0">
        <f>+K119*I119/J119</f>
        <v/>
      </c>
      <c r="AM119" s="0">
        <f>+gettyp(AC119,AJ119,AK119,AL119)</f>
        <v/>
      </c>
      <c r="AN119" s="0">
        <f>+C119-AM119</f>
        <v/>
      </c>
      <c r="AO119" s="0">
        <f>+AG119-AB119</f>
        <v/>
      </c>
      <c r="AP119" s="0" t="n">
        <v>4.259709513607005</v>
      </c>
      <c r="AQ119" s="0">
        <f>2*PI()*L119*(D119+E119)/(D119*E119*AP119^2)</f>
        <v/>
      </c>
      <c r="AR119" s="0">
        <f>+AO119+AB119/2</f>
        <v/>
      </c>
      <c r="AS119" s="0">
        <f>+AR119*AI119/I119*E119</f>
        <v/>
      </c>
      <c r="AT119" s="0">
        <f>+getublp(AS119)</f>
        <v/>
      </c>
      <c r="AU119" s="0">
        <f>+AT119*AI119</f>
        <v/>
      </c>
      <c r="AV119" s="0">
        <f>+AP119-AU119</f>
        <v/>
      </c>
      <c r="AW119" s="0">
        <f>2/3*AB119/(L119/(9.8*(E119-D119)))^0.5</f>
        <v/>
      </c>
      <c r="AX119" s="0">
        <f>+(2*AQ119*9.8*(E119-D119)/(E119*AW119))^0.5</f>
        <v/>
      </c>
      <c r="AY119" s="0">
        <f>+AV119-AX119</f>
        <v/>
      </c>
      <c r="AZ119" s="0">
        <f>+F119-G119</f>
        <v/>
      </c>
      <c r="BA119" s="0">
        <f>+AQ119/AP119</f>
        <v/>
      </c>
      <c r="BB119" s="15">
        <f>+E119*AO119*AZ119/BA119</f>
        <v/>
      </c>
      <c r="BC119" s="20">
        <f>BB119-S119</f>
        <v/>
      </c>
      <c r="BD119" s="19">
        <f>+(BB119-S119)/S119*100</f>
        <v/>
      </c>
      <c r="BE119" s="15" t="n">
        <v>6624639</v>
      </c>
      <c r="BF119" s="16">
        <f>テーブル2[[#This Row],[q_P]]/テーブル2[[#This Row],[q_M]]</f>
        <v/>
      </c>
      <c r="BG119" s="0" t="n">
        <v>1</v>
      </c>
      <c r="BH119" s="0" t="n">
        <v>-0.044</v>
      </c>
      <c r="BI119" s="0" t="n">
        <v>0.046</v>
      </c>
      <c r="BJ119" s="0" t="n">
        <v>5625</v>
      </c>
      <c r="BK119" s="22" t="n">
        <v>1</v>
      </c>
      <c r="BL119" s="0">
        <f>テーブル2[[#This Row],[Ts]]-テーブル2[[#This Row],[Tin]]</f>
        <v/>
      </c>
      <c r="BM119" s="0">
        <f>テーブル2[[#This Row],[q_P]]*0.000001</f>
        <v/>
      </c>
      <c r="BN119" s="0">
        <f>テーブル2[[#This Row],[Tsub]]</f>
        <v/>
      </c>
      <c r="BO119" s="0">
        <f>テーブル2[[#This Row],[Fcorr]]</f>
        <v/>
      </c>
      <c r="BP119" s="0">
        <f>(テーブル2[[#This Row],[Tsub]]-40)^2</f>
        <v/>
      </c>
      <c r="BQ119" t="n">
        <v>1</v>
      </c>
      <c r="BR119" s="0" t="n">
        <v>0.1524</v>
      </c>
    </row>
    <row r="120">
      <c r="A120" s="9" t="inlineStr">
        <is>
          <t>17.01_9</t>
        </is>
      </c>
      <c r="B120" s="0" t="n">
        <v>12065825.2630446</v>
      </c>
      <c r="C120" s="22">
        <f t="array" ref="C120">TsatFromP(テーブル2[[#This Row],[P]])</f>
        <v/>
      </c>
      <c r="D120" s="0">
        <f t="array" ref="D120">RhoGFromP(テーブル2[[#This Row],[P]])</f>
        <v/>
      </c>
      <c r="E120" s="0">
        <f t="array" ref="E120">RhoFFromP(テーブル2[[#This Row],[P]])</f>
        <v/>
      </c>
      <c r="F120" s="0">
        <f t="array" ref="F120">HgFromP(テーブル2[[#This Row],[P]])</f>
        <v/>
      </c>
      <c r="G120" s="0">
        <f t="array" ref="G120">HfFromP(テーブル2[[#This Row],[P]])</f>
        <v/>
      </c>
      <c r="H120" s="0">
        <f t="array" ref="H120">MuGFromP(テーブル2[[#This Row],[P]])</f>
        <v/>
      </c>
      <c r="I120" s="0">
        <f t="array" ref="I120">MuFFromP(テーブル2[[#This Row],[P]])</f>
        <v/>
      </c>
      <c r="J120" s="0">
        <f t="array" ref="J120">KfFromP(テーブル2[[#This Row],[P]])</f>
        <v/>
      </c>
      <c r="K120" s="0">
        <f t="array" ref="K120">CpFFromP(テーブル2[[#This Row],[P]])</f>
        <v/>
      </c>
      <c r="L120" s="0">
        <f t="array" ref="L120">SigmaFromP(テーブル2[[#This Row],[P]])</f>
        <v/>
      </c>
      <c r="M120" s="0" t="n">
        <v>119</v>
      </c>
      <c r="N120" s="0" t="n">
        <v>3295.63865455856</v>
      </c>
      <c r="O120" s="8">
        <f>PI()*Q120^2/4</f>
        <v/>
      </c>
      <c r="P120" s="8">
        <f>PI()*Q120</f>
        <v/>
      </c>
      <c r="Q120" s="8" t="n">
        <v>0.001905</v>
      </c>
      <c r="R120" s="0" t="n">
        <v>0.1524</v>
      </c>
      <c r="S120" s="15" t="n">
        <v>3506963.10546875</v>
      </c>
      <c r="T120" s="0" t="n">
        <v>522.604075032284</v>
      </c>
      <c r="U120" s="37">
        <f>+T120+BG120*S120*テーブル2[[#This Row],[Pw]]*R120/(N120*O120*K120)</f>
        <v/>
      </c>
      <c r="V120" s="0" t="n">
        <v>0.03</v>
      </c>
      <c r="W120" s="8">
        <f>+N120*Q120/I120</f>
        <v/>
      </c>
      <c r="X120" s="0" t="n">
        <v>0.03306427484955955</v>
      </c>
      <c r="Y120" s="0">
        <f>IF(X120&gt;0,1/X120^0.5,1)</f>
        <v/>
      </c>
      <c r="Z120" s="0">
        <f>IF(X120&gt;0,1.14-2*LOG((0.72*L120*E120)/(X120*Q120*N120^2)+9.35/(W120*X120^0.5)),0)</f>
        <v/>
      </c>
      <c r="AA120" s="0">
        <f>+Y120-Z120</f>
        <v/>
      </c>
      <c r="AB120" s="0">
        <f>32/X120*L120*V120*E120/N120^2</f>
        <v/>
      </c>
      <c r="AC120" s="0" t="n">
        <v>647.8956441591363</v>
      </c>
      <c r="AD120" s="0">
        <f>+Q120/2*AI120/I120*E120</f>
        <v/>
      </c>
      <c r="AE120" s="0">
        <f>+gettm2(AD120,AC120,AK120,AL120,テーブル2[[#This Row],[Fcorr]])</f>
        <v/>
      </c>
      <c r="AF120" s="38">
        <f>+AE120-U120</f>
        <v/>
      </c>
      <c r="AG120" s="0" t="n">
        <v>1.525230204098302e-05</v>
      </c>
      <c r="AH120" s="0">
        <f>+X120*N120^2/(8*E120)</f>
        <v/>
      </c>
      <c r="AI120" s="0">
        <f>+(AH120/E120)^0.5</f>
        <v/>
      </c>
      <c r="AJ120" s="0">
        <f>+AG120*AI120/I120*E120</f>
        <v/>
      </c>
      <c r="AK120" s="0">
        <f t="array" ref="AK120">+S120*テーブル2[[#This Row],[F_form]]/(E120*CpFromTP((テーブル2[[#This Row],[Tin]]+テーブル2[[#This Row],[Tf]])/2,テーブル2[[#This Row],[P]])*AI120)</f>
        <v/>
      </c>
      <c r="AL120" s="0">
        <f>+K120*I120/J120</f>
        <v/>
      </c>
      <c r="AM120" s="0">
        <f>+gettyp(AC120,AJ120,AK120,AL120)</f>
        <v/>
      </c>
      <c r="AN120" s="0">
        <f>+C120-AM120</f>
        <v/>
      </c>
      <c r="AO120" s="0">
        <f>+AG120-AB120</f>
        <v/>
      </c>
      <c r="AP120" s="0" t="n">
        <v>4.275983875373538</v>
      </c>
      <c r="AQ120" s="0">
        <f>2*PI()*L120*(D120+E120)/(D120*E120*AP120^2)</f>
        <v/>
      </c>
      <c r="AR120" s="0">
        <f>+AO120+AB120/2</f>
        <v/>
      </c>
      <c r="AS120" s="0">
        <f>+AR120*AI120/I120*E120</f>
        <v/>
      </c>
      <c r="AT120" s="0">
        <f>+getublp(AS120)</f>
        <v/>
      </c>
      <c r="AU120" s="0">
        <f>+AT120*AI120</f>
        <v/>
      </c>
      <c r="AV120" s="0">
        <f>+AP120-AU120</f>
        <v/>
      </c>
      <c r="AW120" s="0">
        <f>2/3*AB120/(L120/(9.8*(E120-D120)))^0.5</f>
        <v/>
      </c>
      <c r="AX120" s="0">
        <f>+(2*AQ120*9.8*(E120-D120)/(E120*AW120))^0.5</f>
        <v/>
      </c>
      <c r="AY120" s="0">
        <f>+AV120-AX120</f>
        <v/>
      </c>
      <c r="AZ120" s="0">
        <f>+F120-G120</f>
        <v/>
      </c>
      <c r="BA120" s="0">
        <f>+AQ120/AP120</f>
        <v/>
      </c>
      <c r="BB120" s="15">
        <f>+E120*AO120*AZ120/BA120</f>
        <v/>
      </c>
      <c r="BC120" s="20">
        <f>BB120-S120</f>
        <v/>
      </c>
      <c r="BD120" s="19">
        <f>+(BB120-S120)/S120*100</f>
        <v/>
      </c>
      <c r="BE120" s="15" t="n">
        <v>4037875.2</v>
      </c>
      <c r="BF120" s="16">
        <f>テーブル2[[#This Row],[q_P]]/テーブル2[[#This Row],[q_M]]</f>
        <v/>
      </c>
      <c r="BG120" s="0" t="n">
        <v>1</v>
      </c>
      <c r="BH120" s="0" t="n">
        <v>-0.016</v>
      </c>
      <c r="BI120" s="0" t="n">
        <v>0.046</v>
      </c>
      <c r="BJ120" s="0" t="n">
        <v>5625</v>
      </c>
      <c r="BK120" s="22" t="n">
        <v>1</v>
      </c>
      <c r="BL120" s="0">
        <f>テーブル2[[#This Row],[Ts]]-テーブル2[[#This Row],[Tin]]</f>
        <v/>
      </c>
      <c r="BM120" s="0">
        <f>テーブル2[[#This Row],[q_P]]*0.000001</f>
        <v/>
      </c>
      <c r="BN120" s="0">
        <f>テーブル2[[#This Row],[Tsub]]</f>
        <v/>
      </c>
      <c r="BO120" s="0">
        <f>テーブル2[[#This Row],[Fcorr]]</f>
        <v/>
      </c>
      <c r="BP120" s="0">
        <f>(テーブル2[[#This Row],[Tsub]]-40)^2</f>
        <v/>
      </c>
      <c r="BQ120" t="n">
        <v>1</v>
      </c>
      <c r="BR120" s="0" t="n">
        <v>0.1524</v>
      </c>
    </row>
    <row r="121">
      <c r="A121" s="9" t="inlineStr">
        <is>
          <t>18.01_9</t>
        </is>
      </c>
      <c r="B121" s="0" t="n">
        <v>12065825.2630446</v>
      </c>
      <c r="C121" s="22">
        <f t="array" ref="C121">TsatFromP(テーブル2[[#This Row],[P]])</f>
        <v/>
      </c>
      <c r="D121" s="0">
        <f t="array" ref="D121">RhoGFromP(テーブル2[[#This Row],[P]])</f>
        <v/>
      </c>
      <c r="E121" s="0">
        <f t="array" ref="E121">RhoFFromP(テーブル2[[#This Row],[P]])</f>
        <v/>
      </c>
      <c r="F121" s="0">
        <f t="array" ref="F121">HgFromP(テーブル2[[#This Row],[P]])</f>
        <v/>
      </c>
      <c r="G121" s="0">
        <f t="array" ref="G121">HfFromP(テーブル2[[#This Row],[P]])</f>
        <v/>
      </c>
      <c r="H121" s="0">
        <f t="array" ref="H121">MuGFromP(テーブル2[[#This Row],[P]])</f>
        <v/>
      </c>
      <c r="I121" s="0">
        <f t="array" ref="I121">MuFFromP(テーブル2[[#This Row],[P]])</f>
        <v/>
      </c>
      <c r="J121" s="0">
        <f t="array" ref="J121">KfFromP(テーブル2[[#This Row],[P]])</f>
        <v/>
      </c>
      <c r="K121" s="0">
        <f t="array" ref="K121">CpFFromP(テーブル2[[#This Row],[P]])</f>
        <v/>
      </c>
      <c r="L121" s="0">
        <f t="array" ref="L121">SigmaFromP(テーブル2[[#This Row],[P]])</f>
        <v/>
      </c>
      <c r="M121" s="0" t="n">
        <v>120</v>
      </c>
      <c r="N121" s="0" t="n">
        <v>3811.00601617677</v>
      </c>
      <c r="O121" s="8">
        <f>PI()*Q121^2/4</f>
        <v/>
      </c>
      <c r="P121" s="8">
        <f>PI()*Q121</f>
        <v/>
      </c>
      <c r="Q121" s="8" t="n">
        <v>0.001905</v>
      </c>
      <c r="R121" s="0" t="n">
        <v>0.1524</v>
      </c>
      <c r="S121" s="15" t="n">
        <v>3272268.95703125</v>
      </c>
      <c r="T121" s="0" t="n">
        <v>535.476890918346</v>
      </c>
      <c r="U121" s="37">
        <f>+T121+BG121*S121*テーブル2[[#This Row],[Pw]]*R121/(N121*O121*K121)</f>
        <v/>
      </c>
      <c r="V121" s="0" t="n">
        <v>0.03</v>
      </c>
      <c r="W121" s="8">
        <f>+N121*Q121/I121</f>
        <v/>
      </c>
      <c r="X121" s="0" t="n">
        <v>0.03094530043948261</v>
      </c>
      <c r="Y121" s="0">
        <f>IF(X121&gt;0,1/X121^0.5,1)</f>
        <v/>
      </c>
      <c r="Z121" s="0">
        <f>IF(X121&gt;0,1.14-2*LOG((0.72*L121*E121)/(X121*Q121*N121^2)+9.35/(W121*X121^0.5)),0)</f>
        <v/>
      </c>
      <c r="AA121" s="0">
        <f>+Y121-Z121</f>
        <v/>
      </c>
      <c r="AB121" s="0">
        <f>32/X121*L121*V121*E121/N121^2</f>
        <v/>
      </c>
      <c r="AC121" s="0" t="n">
        <v>637.9211886630067</v>
      </c>
      <c r="AD121" s="0">
        <f>+Q121/2*AI121/I121*E121</f>
        <v/>
      </c>
      <c r="AE121" s="0">
        <f>+gettm2(AD121,AC121,AK121,AL121,テーブル2[[#This Row],[Fcorr]])</f>
        <v/>
      </c>
      <c r="AF121" s="38">
        <f>+AE121-U121</f>
        <v/>
      </c>
      <c r="AG121" s="0" t="n">
        <v>1.218574744960732e-05</v>
      </c>
      <c r="AH121" s="0">
        <f>+X121*N121^2/(8*E121)</f>
        <v/>
      </c>
      <c r="AI121" s="0">
        <f>+(AH121/E121)^0.5</f>
        <v/>
      </c>
      <c r="AJ121" s="0">
        <f>+AG121*AI121/I121*E121</f>
        <v/>
      </c>
      <c r="AK121" s="0">
        <f t="array" ref="AK121">+S121*テーブル2[[#This Row],[F_form]]/(E121*CpFromTP((テーブル2[[#This Row],[Tin]]+テーブル2[[#This Row],[Tf]])/2,テーブル2[[#This Row],[P]])*AI121)</f>
        <v/>
      </c>
      <c r="AL121" s="0">
        <f>+K121*I121/J121</f>
        <v/>
      </c>
      <c r="AM121" s="0">
        <f>+gettyp(AC121,AJ121,AK121,AL121)</f>
        <v/>
      </c>
      <c r="AN121" s="0">
        <f>+C121-AM121</f>
        <v/>
      </c>
      <c r="AO121" s="0">
        <f>+AG121-AB121</f>
        <v/>
      </c>
      <c r="AP121" s="0" t="n">
        <v>4.558085860862914</v>
      </c>
      <c r="AQ121" s="0">
        <f>2*PI()*L121*(D121+E121)/(D121*E121*AP121^2)</f>
        <v/>
      </c>
      <c r="AR121" s="0">
        <f>+AO121+AB121/2</f>
        <v/>
      </c>
      <c r="AS121" s="0">
        <f>+AR121*AI121/I121*E121</f>
        <v/>
      </c>
      <c r="AT121" s="0">
        <f>+getublp(AS121)</f>
        <v/>
      </c>
      <c r="AU121" s="0">
        <f>+AT121*AI121</f>
        <v/>
      </c>
      <c r="AV121" s="0">
        <f>+AP121-AU121</f>
        <v/>
      </c>
      <c r="AW121" s="0">
        <f>2/3*AB121/(L121/(9.8*(E121-D121)))^0.5</f>
        <v/>
      </c>
      <c r="AX121" s="0">
        <f>+(2*AQ121*9.8*(E121-D121)/(E121*AW121))^0.5</f>
        <v/>
      </c>
      <c r="AY121" s="0">
        <f>+AV121-AX121</f>
        <v/>
      </c>
      <c r="AZ121" s="0">
        <f>+F121-G121</f>
        <v/>
      </c>
      <c r="BA121" s="0">
        <f>+AQ121/AP121</f>
        <v/>
      </c>
      <c r="BB121" s="15">
        <f>+E121*AO121*AZ121/BA121</f>
        <v/>
      </c>
      <c r="BC121" s="20">
        <f>BB121-S121</f>
        <v/>
      </c>
      <c r="BD121" s="19">
        <f>+(BB121-S121)/S121*100</f>
        <v/>
      </c>
      <c r="BE121" s="15" t="n">
        <v>4053648.15</v>
      </c>
      <c r="BF121" s="16">
        <f>テーブル2[[#This Row],[q_P]]/テーブル2[[#This Row],[q_M]]</f>
        <v/>
      </c>
      <c r="BG121" s="0" t="n">
        <v>1</v>
      </c>
      <c r="BH121" s="0" t="n">
        <v>-0.007</v>
      </c>
      <c r="BI121" s="0" t="n">
        <v>0.046</v>
      </c>
      <c r="BJ121" s="0" t="n">
        <v>5625</v>
      </c>
      <c r="BK121" s="22" t="n">
        <v>1</v>
      </c>
      <c r="BL121" s="0">
        <f>テーブル2[[#This Row],[Ts]]-テーブル2[[#This Row],[Tin]]</f>
        <v/>
      </c>
      <c r="BM121" s="0">
        <f>テーブル2[[#This Row],[q_P]]*0.000001</f>
        <v/>
      </c>
      <c r="BN121" s="0">
        <f>テーブル2[[#This Row],[Tsub]]</f>
        <v/>
      </c>
      <c r="BO121" s="0">
        <f>テーブル2[[#This Row],[Fcorr]]</f>
        <v/>
      </c>
      <c r="BP121" s="0">
        <f>(テーブル2[[#This Row],[Tsub]]-40)^2</f>
        <v/>
      </c>
      <c r="BQ121" t="n">
        <v>1</v>
      </c>
      <c r="BR121" s="0" t="n">
        <v>0.1524</v>
      </c>
    </row>
    <row r="122">
      <c r="A122" s="9" t="inlineStr">
        <is>
          <t>19.01_9</t>
        </is>
      </c>
      <c r="B122" s="0" t="n">
        <v>12065825.2630446</v>
      </c>
      <c r="C122" s="22">
        <f t="array" ref="C122">TsatFromP(テーブル2[[#This Row],[P]])</f>
        <v/>
      </c>
      <c r="D122" s="0">
        <f t="array" ref="D122">RhoGFromP(テーブル2[[#This Row],[P]])</f>
        <v/>
      </c>
      <c r="E122" s="0">
        <f t="array" ref="E122">RhoFFromP(テーブル2[[#This Row],[P]])</f>
        <v/>
      </c>
      <c r="F122" s="0">
        <f t="array" ref="F122">HgFromP(テーブル2[[#This Row],[P]])</f>
        <v/>
      </c>
      <c r="G122" s="0">
        <f t="array" ref="G122">HfFromP(テーブル2[[#This Row],[P]])</f>
        <v/>
      </c>
      <c r="H122" s="0">
        <f t="array" ref="H122">MuGFromP(テーブル2[[#This Row],[P]])</f>
        <v/>
      </c>
      <c r="I122" s="0">
        <f t="array" ref="I122">MuFFromP(テーブル2[[#This Row],[P]])</f>
        <v/>
      </c>
      <c r="J122" s="0">
        <f t="array" ref="J122">KfFromP(テーブル2[[#This Row],[P]])</f>
        <v/>
      </c>
      <c r="K122" s="0">
        <f t="array" ref="K122">CpFFromP(テーブル2[[#This Row],[P]])</f>
        <v/>
      </c>
      <c r="L122" s="0">
        <f t="array" ref="L122">SigmaFromP(テーブル2[[#This Row],[P]])</f>
        <v/>
      </c>
      <c r="M122" s="0" t="n">
        <v>121</v>
      </c>
      <c r="N122" s="0" t="n">
        <v>4041.56509900597</v>
      </c>
      <c r="O122" s="8">
        <f>PI()*Q122^2/4</f>
        <v/>
      </c>
      <c r="P122" s="8">
        <f>PI()*Q122</f>
        <v/>
      </c>
      <c r="Q122" s="8" t="n">
        <v>0.001905</v>
      </c>
      <c r="R122" s="0" t="n">
        <v>0.1524</v>
      </c>
      <c r="S122" s="15" t="n">
        <v>3737501.98046875</v>
      </c>
      <c r="T122" s="0" t="n">
        <v>529.302558596925</v>
      </c>
      <c r="U122" s="37">
        <f>+T122+BG122*S122*テーブル2[[#This Row],[Pw]]*R122/(N122*O122*K122)</f>
        <v/>
      </c>
      <c r="V122" s="0" t="n">
        <v>0.03</v>
      </c>
      <c r="W122" s="8">
        <f>+N122*Q122/I122</f>
        <v/>
      </c>
      <c r="X122" s="0" t="n">
        <v>0.03014433756785784</v>
      </c>
      <c r="Y122" s="0">
        <f>IF(X122&gt;0,1/X122^0.5,1)</f>
        <v/>
      </c>
      <c r="Z122" s="0">
        <f>IF(X122&gt;0,1.14-2*LOG((0.72*L122*E122)/(X122*Q122*N122^2)+9.35/(W122*X122^0.5)),0)</f>
        <v/>
      </c>
      <c r="AA122" s="0">
        <f>+Y122-Z122</f>
        <v/>
      </c>
      <c r="AB122" s="0">
        <f>32/X122*L122*V122*E122/N122^2</f>
        <v/>
      </c>
      <c r="AC122" s="0" t="n">
        <v>641.8204090058206</v>
      </c>
      <c r="AD122" s="0">
        <f>+Q122/2*AI122/I122*E122</f>
        <v/>
      </c>
      <c r="AE122" s="0">
        <f>+gettm2(AD122,AC122,AK122,AL122,テーブル2[[#This Row],[Fcorr]])</f>
        <v/>
      </c>
      <c r="AF122" s="38">
        <f>+AE122-U122</f>
        <v/>
      </c>
      <c r="AG122" s="0" t="n">
        <v>1.112827638961348e-05</v>
      </c>
      <c r="AH122" s="0">
        <f>+X122*N122^2/(8*E122)</f>
        <v/>
      </c>
      <c r="AI122" s="0">
        <f>+(AH122/E122)^0.5</f>
        <v/>
      </c>
      <c r="AJ122" s="0">
        <f>+AG122*AI122/I122*E122</f>
        <v/>
      </c>
      <c r="AK122" s="0">
        <f t="array" ref="AK122">+S122*テーブル2[[#This Row],[F_form]]/(E122*CpFromTP((テーブル2[[#This Row],[Tin]]+テーブル2[[#This Row],[Tf]])/2,テーブル2[[#This Row],[P]])*AI122)</f>
        <v/>
      </c>
      <c r="AL122" s="0">
        <f>+K122*I122/J122</f>
        <v/>
      </c>
      <c r="AM122" s="0">
        <f>+gettyp(AC122,AJ122,AK122,AL122)</f>
        <v/>
      </c>
      <c r="AN122" s="0">
        <f>+C122-AM122</f>
        <v/>
      </c>
      <c r="AO122" s="0">
        <f>+AG122-AB122</f>
        <v/>
      </c>
      <c r="AP122" s="0" t="n">
        <v>4.677304206559528</v>
      </c>
      <c r="AQ122" s="0">
        <f>2*PI()*L122*(D122+E122)/(D122*E122*AP122^2)</f>
        <v/>
      </c>
      <c r="AR122" s="0">
        <f>+AO122+AB122/2</f>
        <v/>
      </c>
      <c r="AS122" s="0">
        <f>+AR122*AI122/I122*E122</f>
        <v/>
      </c>
      <c r="AT122" s="0">
        <f>+getublp(AS122)</f>
        <v/>
      </c>
      <c r="AU122" s="0">
        <f>+AT122*AI122</f>
        <v/>
      </c>
      <c r="AV122" s="0">
        <f>+AP122-AU122</f>
        <v/>
      </c>
      <c r="AW122" s="0">
        <f>2/3*AB122/(L122/(9.8*(E122-D122)))^0.5</f>
        <v/>
      </c>
      <c r="AX122" s="0">
        <f>+(2*AQ122*9.8*(E122-D122)/(E122*AW122))^0.5</f>
        <v/>
      </c>
      <c r="AY122" s="0">
        <f>+AV122-AX122</f>
        <v/>
      </c>
      <c r="AZ122" s="0">
        <f>+F122-G122</f>
        <v/>
      </c>
      <c r="BA122" s="0">
        <f>+AQ122/AP122</f>
        <v/>
      </c>
      <c r="BB122" s="15">
        <f>+E122*AO122*AZ122/BA122</f>
        <v/>
      </c>
      <c r="BC122" s="20">
        <f>BB122-S122</f>
        <v/>
      </c>
      <c r="BD122" s="19">
        <f>+(BB122-S122)/S122*100</f>
        <v/>
      </c>
      <c r="BE122" s="15" t="n">
        <v>4653020.25</v>
      </c>
      <c r="BF122" s="16">
        <f>テーブル2[[#This Row],[q_P]]/テーブル2[[#This Row],[q_M]]</f>
        <v/>
      </c>
      <c r="BG122" s="0" t="n">
        <v>1</v>
      </c>
      <c r="BH122" s="0" t="n">
        <v>-0.008999999999999999</v>
      </c>
      <c r="BI122" s="0" t="n">
        <v>0.046</v>
      </c>
      <c r="BJ122" s="0" t="n">
        <v>5625</v>
      </c>
      <c r="BK122" s="22" t="n">
        <v>1</v>
      </c>
      <c r="BL122" s="0">
        <f>テーブル2[[#This Row],[Ts]]-テーブル2[[#This Row],[Tin]]</f>
        <v/>
      </c>
      <c r="BM122" s="0">
        <f>テーブル2[[#This Row],[q_P]]*0.000001</f>
        <v/>
      </c>
      <c r="BN122" s="0">
        <f>テーブル2[[#This Row],[Tsub]]</f>
        <v/>
      </c>
      <c r="BO122" s="0">
        <f>テーブル2[[#This Row],[Fcorr]]</f>
        <v/>
      </c>
      <c r="BP122" s="0">
        <f>(テーブル2[[#This Row],[Tsub]]-40)^2</f>
        <v/>
      </c>
      <c r="BQ122" t="n">
        <v>1</v>
      </c>
      <c r="BR122" s="0" t="n">
        <v>0.1524</v>
      </c>
    </row>
    <row r="123">
      <c r="A123" s="9" t="inlineStr">
        <is>
          <t>20.01_9</t>
        </is>
      </c>
      <c r="B123" s="0" t="n">
        <v>12065825.2630446</v>
      </c>
      <c r="C123" s="22">
        <f t="array" ref="C123">TsatFromP(テーブル2[[#This Row],[P]])</f>
        <v/>
      </c>
      <c r="D123" s="0">
        <f t="array" ref="D123">RhoGFromP(テーブル2[[#This Row],[P]])</f>
        <v/>
      </c>
      <c r="E123" s="0">
        <f t="array" ref="E123">RhoFFromP(テーブル2[[#This Row],[P]])</f>
        <v/>
      </c>
      <c r="F123" s="0">
        <f t="array" ref="F123">HgFromP(テーブル2[[#This Row],[P]])</f>
        <v/>
      </c>
      <c r="G123" s="0">
        <f t="array" ref="G123">HfFromP(テーブル2[[#This Row],[P]])</f>
        <v/>
      </c>
      <c r="H123" s="0">
        <f t="array" ref="H123">MuGFromP(テーブル2[[#This Row],[P]])</f>
        <v/>
      </c>
      <c r="I123" s="0">
        <f t="array" ref="I123">MuFFromP(テーブル2[[#This Row],[P]])</f>
        <v/>
      </c>
      <c r="J123" s="0">
        <f t="array" ref="J123">KfFromP(テーブル2[[#This Row],[P]])</f>
        <v/>
      </c>
      <c r="K123" s="0">
        <f t="array" ref="K123">CpFFromP(テーブル2[[#This Row],[P]])</f>
        <v/>
      </c>
      <c r="L123" s="0">
        <f t="array" ref="L123">SigmaFromP(テーブル2[[#This Row],[P]])</f>
        <v/>
      </c>
      <c r="M123" s="0" t="n">
        <v>122</v>
      </c>
      <c r="N123" s="0" t="n">
        <v>4041.56509900597</v>
      </c>
      <c r="O123" s="8">
        <f>PI()*Q123^2/4</f>
        <v/>
      </c>
      <c r="P123" s="8">
        <f>PI()*Q123</f>
        <v/>
      </c>
      <c r="Q123" s="8" t="n">
        <v>0.001905</v>
      </c>
      <c r="R123" s="0" t="n">
        <v>0.1524</v>
      </c>
      <c r="S123" s="15" t="n">
        <v>3911523.07328125</v>
      </c>
      <c r="T123" s="0" t="n">
        <v>525.916408405958</v>
      </c>
      <c r="U123" s="37">
        <f>+T123+BG123*S123*テーブル2[[#This Row],[Pw]]*R123/(N123*O123*K123)</f>
        <v/>
      </c>
      <c r="V123" s="0" t="n">
        <v>0.03</v>
      </c>
      <c r="W123" s="8">
        <f>+N123*Q123/I123</f>
        <v/>
      </c>
      <c r="X123" s="0" t="n">
        <v>0.03014433756785784</v>
      </c>
      <c r="Y123" s="0">
        <f>IF(X123&gt;0,1/X123^0.5,1)</f>
        <v/>
      </c>
      <c r="Z123" s="0">
        <f>IF(X123&gt;0,1.14-2*LOG((0.72*L123*E123)/(X123*Q123*N123^2)+9.35/(W123*X123^0.5)),0)</f>
        <v/>
      </c>
      <c r="AA123" s="0">
        <f>+Y123-Z123</f>
        <v/>
      </c>
      <c r="AB123" s="0">
        <f>32/X123*L123*V123*E123/N123^2</f>
        <v/>
      </c>
      <c r="AC123" s="0" t="n">
        <v>644.1623943045953</v>
      </c>
      <c r="AD123" s="0">
        <f>+Q123/2*AI123/I123*E123</f>
        <v/>
      </c>
      <c r="AE123" s="0">
        <f>+gettm2(AD123,AC123,AK123,AL123,テーブル2[[#This Row],[Fcorr]])</f>
        <v/>
      </c>
      <c r="AF123" s="38">
        <f>+AE123-U123</f>
        <v/>
      </c>
      <c r="AG123" s="0" t="n">
        <v>1.113018161645498e-05</v>
      </c>
      <c r="AH123" s="0">
        <f>+X123*N123^2/(8*E123)</f>
        <v/>
      </c>
      <c r="AI123" s="0">
        <f>+(AH123/E123)^0.5</f>
        <v/>
      </c>
      <c r="AJ123" s="0">
        <f>+AG123*AI123/I123*E123</f>
        <v/>
      </c>
      <c r="AK123" s="0">
        <f t="array" ref="AK123">+S123*テーブル2[[#This Row],[F_form]]/(E123*CpFromTP((テーブル2[[#This Row],[Tin]]+テーブル2[[#This Row],[Tf]])/2,テーブル2[[#This Row],[P]])*AI123)</f>
        <v/>
      </c>
      <c r="AL123" s="0">
        <f>+K123*I123/J123</f>
        <v/>
      </c>
      <c r="AM123" s="0">
        <f>+gettyp(AC123,AJ123,AK123,AL123)</f>
        <v/>
      </c>
      <c r="AN123" s="0">
        <f>+C123-AM123</f>
        <v/>
      </c>
      <c r="AO123" s="0">
        <f>+AG123-AB123</f>
        <v/>
      </c>
      <c r="AP123" s="0" t="n">
        <v>4.677907597948612</v>
      </c>
      <c r="AQ123" s="0">
        <f>2*PI()*L123*(D123+E123)/(D123*E123*AP123^2)</f>
        <v/>
      </c>
      <c r="AR123" s="0">
        <f>+AO123+AB123/2</f>
        <v/>
      </c>
      <c r="AS123" s="0">
        <f>+AR123*AI123/I123*E123</f>
        <v/>
      </c>
      <c r="AT123" s="0">
        <f>+getublp(AS123)</f>
        <v/>
      </c>
      <c r="AU123" s="0">
        <f>+AT123*AI123</f>
        <v/>
      </c>
      <c r="AV123" s="0">
        <f>+AP123-AU123</f>
        <v/>
      </c>
      <c r="AW123" s="0">
        <f>2/3*AB123/(L123/(9.8*(E123-D123)))^0.5</f>
        <v/>
      </c>
      <c r="AX123" s="0">
        <f>+(2*AQ123*9.8*(E123-D123)/(E123*AW123))^0.5</f>
        <v/>
      </c>
      <c r="AY123" s="0">
        <f>+AV123-AX123</f>
        <v/>
      </c>
      <c r="AZ123" s="0">
        <f>+F123-G123</f>
        <v/>
      </c>
      <c r="BA123" s="0">
        <f>+AQ123/AP123</f>
        <v/>
      </c>
      <c r="BB123" s="15">
        <f>+E123*AO123*AZ123/BA123</f>
        <v/>
      </c>
      <c r="BC123" s="20">
        <f>BB123-S123</f>
        <v/>
      </c>
      <c r="BD123" s="19">
        <f>+(BB123-S123)/S123*100</f>
        <v/>
      </c>
      <c r="BE123" s="15" t="n">
        <v>5173527.6</v>
      </c>
      <c r="BF123" s="16">
        <f>テーブル2[[#This Row],[q_P]]/テーブル2[[#This Row],[q_M]]</f>
        <v/>
      </c>
      <c r="BG123" s="0" t="n">
        <v>1</v>
      </c>
      <c r="BH123" s="0" t="n">
        <v>-0.012</v>
      </c>
      <c r="BI123" s="0" t="n">
        <v>0.046</v>
      </c>
      <c r="BJ123" s="0" t="n">
        <v>5625</v>
      </c>
      <c r="BK123" s="22" t="n">
        <v>1</v>
      </c>
      <c r="BL123" s="0">
        <f>テーブル2[[#This Row],[Ts]]-テーブル2[[#This Row],[Tin]]</f>
        <v/>
      </c>
      <c r="BM123" s="0">
        <f>テーブル2[[#This Row],[q_P]]*0.000001</f>
        <v/>
      </c>
      <c r="BN123" s="0">
        <f>テーブル2[[#This Row],[Tsub]]</f>
        <v/>
      </c>
      <c r="BO123" s="0">
        <f>テーブル2[[#This Row],[Fcorr]]</f>
        <v/>
      </c>
      <c r="BP123" s="0">
        <f>(テーブル2[[#This Row],[Tsub]]-40)^2</f>
        <v/>
      </c>
      <c r="BQ123" t="n">
        <v>1</v>
      </c>
      <c r="BR123" s="0" t="n">
        <v>0.1524</v>
      </c>
    </row>
    <row r="124">
      <c r="A124" s="9" t="inlineStr">
        <is>
          <t>21.01_9</t>
        </is>
      </c>
      <c r="B124" s="0" t="n">
        <v>12065825.2630446</v>
      </c>
      <c r="C124" s="22">
        <f t="array" ref="C124">TsatFromP(テーブル2[[#This Row],[P]])</f>
        <v/>
      </c>
      <c r="D124" s="0">
        <f t="array" ref="D124">RhoGFromP(テーブル2[[#This Row],[P]])</f>
        <v/>
      </c>
      <c r="E124" s="0">
        <f t="array" ref="E124">RhoFFromP(テーブル2[[#This Row],[P]])</f>
        <v/>
      </c>
      <c r="F124" s="0">
        <f t="array" ref="F124">HgFromP(テーブル2[[#This Row],[P]])</f>
        <v/>
      </c>
      <c r="G124" s="0">
        <f t="array" ref="G124">HfFromP(テーブル2[[#This Row],[P]])</f>
        <v/>
      </c>
      <c r="H124" s="0">
        <f t="array" ref="H124">MuGFromP(テーブル2[[#This Row],[P]])</f>
        <v/>
      </c>
      <c r="I124" s="0">
        <f t="array" ref="I124">MuFFromP(テーブル2[[#This Row],[P]])</f>
        <v/>
      </c>
      <c r="J124" s="0">
        <f t="array" ref="J124">KfFromP(テーブル2[[#This Row],[P]])</f>
        <v/>
      </c>
      <c r="K124" s="0">
        <f t="array" ref="K124">CpFFromP(テーブル2[[#This Row],[P]])</f>
        <v/>
      </c>
      <c r="L124" s="0">
        <f t="array" ref="L124">SigmaFromP(テーブル2[[#This Row],[P]])</f>
        <v/>
      </c>
      <c r="M124" s="0" t="n">
        <v>123</v>
      </c>
      <c r="N124" s="0" t="n">
        <v>4082.25199597583</v>
      </c>
      <c r="O124" s="8">
        <f>PI()*Q124^2/4</f>
        <v/>
      </c>
      <c r="P124" s="8">
        <f>PI()*Q124</f>
        <v/>
      </c>
      <c r="Q124" s="8" t="n">
        <v>0.001905</v>
      </c>
      <c r="R124" s="0" t="n">
        <v>0.1524</v>
      </c>
      <c r="S124" s="15" t="n">
        <v>3913093.38671875</v>
      </c>
      <c r="T124" s="0" t="n">
        <v>526.450126344173</v>
      </c>
      <c r="U124" s="37">
        <f>+T124+BG124*S124*テーブル2[[#This Row],[Pw]]*R124/(N124*O124*K124)</f>
        <v/>
      </c>
      <c r="V124" s="0" t="n">
        <v>0.03</v>
      </c>
      <c r="W124" s="8">
        <f>+N124*Q124/I124</f>
        <v/>
      </c>
      <c r="X124" s="0" t="n">
        <v>0.03001077046922809</v>
      </c>
      <c r="Y124" s="0">
        <f>IF(X124&gt;0,1/X124^0.5,1)</f>
        <v/>
      </c>
      <c r="Z124" s="0">
        <f>IF(X124&gt;0,1.14-2*LOG((0.72*L124*E124)/(X124*Q124*N124^2)+9.35/(W124*X124^0.5)),0)</f>
        <v/>
      </c>
      <c r="AA124" s="0">
        <f>+Y124-Z124</f>
        <v/>
      </c>
      <c r="AB124" s="0">
        <f>32/X124*L124*V124*E124/N124^2</f>
        <v/>
      </c>
      <c r="AC124" s="0" t="n">
        <v>643.7229970338174</v>
      </c>
      <c r="AD124" s="0">
        <f>+Q124/2*AI124/I124*E124</f>
        <v/>
      </c>
      <c r="AE124" s="0">
        <f>+gettm2(AD124,AC124,AK124,AL124,テーブル2[[#This Row],[Fcorr]])</f>
        <v/>
      </c>
      <c r="AF124" s="38">
        <f>+AE124-U124</f>
        <v/>
      </c>
      <c r="AG124" s="0" t="n">
        <v>1.095832587509345e-05</v>
      </c>
      <c r="AH124" s="0">
        <f>+X124*N124^2/(8*E124)</f>
        <v/>
      </c>
      <c r="AI124" s="0">
        <f>+(AH124/E124)^0.5</f>
        <v/>
      </c>
      <c r="AJ124" s="0">
        <f>+AG124*AI124/I124*E124</f>
        <v/>
      </c>
      <c r="AK124" s="0">
        <f t="array" ref="AK124">+S124*テーブル2[[#This Row],[F_form]]/(E124*CpFromTP((テーブル2[[#This Row],[Tin]]+テーブル2[[#This Row],[Tf]])/2,テーブル2[[#This Row],[P]])*AI124)</f>
        <v/>
      </c>
      <c r="AL124" s="0">
        <f>+K124*I124/J124</f>
        <v/>
      </c>
      <c r="AM124" s="0">
        <f>+gettyp(AC124,AJ124,AK124,AL124)</f>
        <v/>
      </c>
      <c r="AN124" s="0">
        <f>+C124-AM124</f>
        <v/>
      </c>
      <c r="AO124" s="0">
        <f>+AG124-AB124</f>
        <v/>
      </c>
      <c r="AP124" s="0" t="n">
        <v>4.698265223870965</v>
      </c>
      <c r="AQ124" s="0">
        <f>2*PI()*L124*(D124+E124)/(D124*E124*AP124^2)</f>
        <v/>
      </c>
      <c r="AR124" s="0">
        <f>+AO124+AB124/2</f>
        <v/>
      </c>
      <c r="AS124" s="0">
        <f>+AR124*AI124/I124*E124</f>
        <v/>
      </c>
      <c r="AT124" s="0">
        <f>+getublp(AS124)</f>
        <v/>
      </c>
      <c r="AU124" s="0">
        <f>+AT124*AI124</f>
        <v/>
      </c>
      <c r="AV124" s="0">
        <f>+AP124-AU124</f>
        <v/>
      </c>
      <c r="AW124" s="0">
        <f>2/3*AB124/(L124/(9.8*(E124-D124)))^0.5</f>
        <v/>
      </c>
      <c r="AX124" s="0">
        <f>+(2*AQ124*9.8*(E124-D124)/(E124*AW124))^0.5</f>
        <v/>
      </c>
      <c r="AY124" s="0">
        <f>+AV124-AX124</f>
        <v/>
      </c>
      <c r="AZ124" s="0">
        <f>+F124-G124</f>
        <v/>
      </c>
      <c r="BA124" s="0">
        <f>+AQ124/AP124</f>
        <v/>
      </c>
      <c r="BB124" s="15">
        <f>+E124*AO124*AZ124/BA124</f>
        <v/>
      </c>
      <c r="BC124" s="20">
        <f>BB124-S124</f>
        <v/>
      </c>
      <c r="BD124" s="19">
        <f>+(BB124-S124)/S124*100</f>
        <v/>
      </c>
      <c r="BE124" s="15" t="n">
        <v>4700339.1</v>
      </c>
      <c r="BF124" s="16">
        <f>テーブル2[[#This Row],[q_P]]/テーブル2[[#This Row],[q_M]]</f>
        <v/>
      </c>
      <c r="BG124" s="0" t="n">
        <v>1</v>
      </c>
      <c r="BH124" s="0" t="n">
        <v>-0.02</v>
      </c>
      <c r="BI124" s="0" t="n">
        <v>0.046</v>
      </c>
      <c r="BJ124" s="0" t="n">
        <v>5625</v>
      </c>
      <c r="BK124" s="22" t="n">
        <v>1</v>
      </c>
      <c r="BL124" s="0">
        <f>テーブル2[[#This Row],[Ts]]-テーブル2[[#This Row],[Tin]]</f>
        <v/>
      </c>
      <c r="BM124" s="0">
        <f>テーブル2[[#This Row],[q_P]]*0.000001</f>
        <v/>
      </c>
      <c r="BN124" s="0">
        <f>テーブル2[[#This Row],[Tsub]]</f>
        <v/>
      </c>
      <c r="BO124" s="0">
        <f>テーブル2[[#This Row],[Fcorr]]</f>
        <v/>
      </c>
      <c r="BP124" s="0">
        <f>(テーブル2[[#This Row],[Tsub]]-40)^2</f>
        <v/>
      </c>
      <c r="BQ124" t="n">
        <v>1</v>
      </c>
      <c r="BR124" s="0" t="n">
        <v>0.1524</v>
      </c>
    </row>
    <row r="125">
      <c r="A125" s="9" t="inlineStr">
        <is>
          <t>22.01_9</t>
        </is>
      </c>
      <c r="B125" s="0" t="n">
        <v>12065825.2630446</v>
      </c>
      <c r="C125" s="22">
        <f t="array" ref="C125">TsatFromP(テーブル2[[#This Row],[P]])</f>
        <v/>
      </c>
      <c r="D125" s="0">
        <f t="array" ref="D125">RhoGFromP(テーブル2[[#This Row],[P]])</f>
        <v/>
      </c>
      <c r="E125" s="0">
        <f t="array" ref="E125">RhoFFromP(テーブル2[[#This Row],[P]])</f>
        <v/>
      </c>
      <c r="F125" s="0">
        <f t="array" ref="F125">HgFromP(テーブル2[[#This Row],[P]])</f>
        <v/>
      </c>
      <c r="G125" s="0">
        <f t="array" ref="G125">HfFromP(テーブル2[[#This Row],[P]])</f>
        <v/>
      </c>
      <c r="H125" s="0">
        <f t="array" ref="H125">MuGFromP(テーブル2[[#This Row],[P]])</f>
        <v/>
      </c>
      <c r="I125" s="0">
        <f t="array" ref="I125">MuFFromP(テーブル2[[#This Row],[P]])</f>
        <v/>
      </c>
      <c r="J125" s="0">
        <f t="array" ref="J125">KfFromP(テーブル2[[#This Row],[P]])</f>
        <v/>
      </c>
      <c r="K125" s="0">
        <f t="array" ref="K125">CpFFromP(テーブル2[[#This Row],[P]])</f>
        <v/>
      </c>
      <c r="L125" s="0">
        <f t="array" ref="L125">SigmaFromP(テーブル2[[#This Row],[P]])</f>
        <v/>
      </c>
      <c r="M125" s="0" t="n">
        <v>124</v>
      </c>
      <c r="N125" s="0" t="n">
        <v>2325.93427677693</v>
      </c>
      <c r="O125" s="8">
        <f>PI()*Q125^2/4</f>
        <v/>
      </c>
      <c r="P125" s="8">
        <f>PI()*Q125</f>
        <v/>
      </c>
      <c r="Q125" s="8" t="n">
        <v>0.001905</v>
      </c>
      <c r="R125" s="0" t="n">
        <v>0.69596</v>
      </c>
      <c r="S125" s="15" t="n">
        <v>2963578.97265625</v>
      </c>
      <c r="T125" s="0" t="n">
        <v>298.737706474898</v>
      </c>
      <c r="U125" s="37">
        <f>+T125+BG125*S125*テーブル2[[#This Row],[Pw]]*R125/(N125*O125*K125)</f>
        <v/>
      </c>
      <c r="V125" s="0" t="n">
        <v>0.03</v>
      </c>
      <c r="W125" s="8">
        <f>+N125*Q125/I125</f>
        <v/>
      </c>
      <c r="X125" s="0" t="n">
        <v>0.03907865669831741</v>
      </c>
      <c r="Y125" s="0">
        <f>IF(X125&gt;0,1/X125^0.5,1)</f>
        <v/>
      </c>
      <c r="Z125" s="0">
        <f>IF(X125&gt;0,1.14-2*LOG((0.72*L125*E125)/(X125*Q125*N125^2)+9.35/(W125*X125^0.5)),0)</f>
        <v/>
      </c>
      <c r="AA125" s="0">
        <f>+Y125-Z125</f>
        <v/>
      </c>
      <c r="AB125" s="0">
        <f>32/X125*L125*V125*E125/N125^2</f>
        <v/>
      </c>
      <c r="AC125" s="0" t="n">
        <v>664.8462590175442</v>
      </c>
      <c r="AD125" s="0">
        <f>+Q125/2*AI125/I125*E125</f>
        <v/>
      </c>
      <c r="AE125" s="0">
        <f>+gettm2(AD125,AC125,AK125,AL125,テーブル2[[#This Row],[Fcorr]])</f>
        <v/>
      </c>
      <c r="AF125" s="38">
        <f>+AE125-U125</f>
        <v/>
      </c>
      <c r="AG125" s="0" t="n">
        <v>2.589242296648033e-05</v>
      </c>
      <c r="AH125" s="0">
        <f>+X125*N125^2/(8*E125)</f>
        <v/>
      </c>
      <c r="AI125" s="0">
        <f>+(AH125/E125)^0.5</f>
        <v/>
      </c>
      <c r="AJ125" s="0">
        <f>+AG125*AI125/I125*E125</f>
        <v/>
      </c>
      <c r="AK125" s="0">
        <f t="array" ref="AK125">+S125*テーブル2[[#This Row],[F_form]]/(E125*CpFromTP((テーブル2[[#This Row],[Tin]]+テーブル2[[#This Row],[Tf]])/2,テーブル2[[#This Row],[P]])*AI125)</f>
        <v/>
      </c>
      <c r="AL125" s="0">
        <f>+K125*I125/J125</f>
        <v/>
      </c>
      <c r="AM125" s="0">
        <f>+gettyp(AC125,AJ125,AK125,AL125)</f>
        <v/>
      </c>
      <c r="AN125" s="0">
        <f>+C125-AM125</f>
        <v/>
      </c>
      <c r="AO125" s="0">
        <f>+AG125-AB125</f>
        <v/>
      </c>
      <c r="AP125" s="0" t="n">
        <v>3.650056458981767</v>
      </c>
      <c r="AQ125" s="0">
        <f>2*PI()*L125*(D125+E125)/(D125*E125*AP125^2)</f>
        <v/>
      </c>
      <c r="AR125" s="0">
        <f>+AO125+AB125/2</f>
        <v/>
      </c>
      <c r="AS125" s="0">
        <f>+AR125*AI125/I125*E125</f>
        <v/>
      </c>
      <c r="AT125" s="0">
        <f>+getublp(AS125)</f>
        <v/>
      </c>
      <c r="AU125" s="0">
        <f>+AT125*AI125</f>
        <v/>
      </c>
      <c r="AV125" s="0">
        <f>+AP125-AU125</f>
        <v/>
      </c>
      <c r="AW125" s="0">
        <f>2/3*AB125/(L125/(9.8*(E125-D125)))^0.5</f>
        <v/>
      </c>
      <c r="AX125" s="0">
        <f>+(2*AQ125*9.8*(E125-D125)/(E125*AW125))^0.5</f>
        <v/>
      </c>
      <c r="AY125" s="0">
        <f>+AV125-AX125</f>
        <v/>
      </c>
      <c r="AZ125" s="0">
        <f>+F125-G125</f>
        <v/>
      </c>
      <c r="BA125" s="0">
        <f>+AQ125/AP125</f>
        <v/>
      </c>
      <c r="BB125" s="15">
        <f>+E125*AO125*AZ125/BA125</f>
        <v/>
      </c>
      <c r="BC125" s="20">
        <f>BB125-S125</f>
        <v/>
      </c>
      <c r="BD125" s="19">
        <f>+(BB125-S125)/S125*100</f>
        <v/>
      </c>
      <c r="BE125" s="15" t="n">
        <v>2104111.53</v>
      </c>
      <c r="BF125" s="16">
        <f>テーブル2[[#This Row],[q_P]]/テーブル2[[#This Row],[q_M]]</f>
        <v/>
      </c>
      <c r="BG125" s="0" t="n">
        <v>1</v>
      </c>
      <c r="BH125" s="0" t="n">
        <v>-0.045</v>
      </c>
      <c r="BI125" s="0" t="n">
        <v>0.046</v>
      </c>
      <c r="BJ125" s="0" t="n">
        <v>5625</v>
      </c>
      <c r="BK125" s="22" t="n">
        <v>1</v>
      </c>
      <c r="BL125" s="0">
        <f>テーブル2[[#This Row],[Ts]]-テーブル2[[#This Row],[Tin]]</f>
        <v/>
      </c>
      <c r="BM125" s="0">
        <f>テーブル2[[#This Row],[q_P]]*0.000001</f>
        <v/>
      </c>
      <c r="BN125" s="0">
        <f>テーブル2[[#This Row],[Tsub]]</f>
        <v/>
      </c>
      <c r="BO125" s="0">
        <f>テーブル2[[#This Row],[Fcorr]]</f>
        <v/>
      </c>
      <c r="BP125" s="0">
        <f>(テーブル2[[#This Row],[Tsub]]-40)^2</f>
        <v/>
      </c>
      <c r="BQ125" t="n">
        <v>1</v>
      </c>
      <c r="BR125" s="0" t="n">
        <v>0.69596</v>
      </c>
    </row>
    <row r="126">
      <c r="A126" s="9" t="inlineStr">
        <is>
          <t>23.01_9</t>
        </is>
      </c>
      <c r="B126" s="0" t="n">
        <v>12065825.2630446</v>
      </c>
      <c r="C126" s="22">
        <f t="array" ref="C126">TsatFromP(テーブル2[[#This Row],[P]])</f>
        <v/>
      </c>
      <c r="D126" s="0">
        <f t="array" ref="D126">RhoGFromP(テーブル2[[#This Row],[P]])</f>
        <v/>
      </c>
      <c r="E126" s="0">
        <f t="array" ref="E126">RhoFFromP(テーブル2[[#This Row],[P]])</f>
        <v/>
      </c>
      <c r="F126" s="0">
        <f t="array" ref="F126">HgFromP(テーブル2[[#This Row],[P]])</f>
        <v/>
      </c>
      <c r="G126" s="0">
        <f t="array" ref="G126">HfFromP(テーブル2[[#This Row],[P]])</f>
        <v/>
      </c>
      <c r="H126" s="0">
        <f t="array" ref="H126">MuGFromP(テーブル2[[#This Row],[P]])</f>
        <v/>
      </c>
      <c r="I126" s="0">
        <f t="array" ref="I126">MuFFromP(テーブル2[[#This Row],[P]])</f>
        <v/>
      </c>
      <c r="J126" s="0">
        <f t="array" ref="J126">KfFromP(テーブル2[[#This Row],[P]])</f>
        <v/>
      </c>
      <c r="K126" s="0">
        <f t="array" ref="K126">CpFFromP(テーブル2[[#This Row],[P]])</f>
        <v/>
      </c>
      <c r="L126" s="0">
        <f t="array" ref="L126">SigmaFromP(テーブル2[[#This Row],[P]])</f>
        <v/>
      </c>
      <c r="M126" s="0" t="n">
        <v>125</v>
      </c>
      <c r="N126" s="0" t="n">
        <v>2454.77611718148</v>
      </c>
      <c r="O126" s="8">
        <f>PI()*Q126^2/4</f>
        <v/>
      </c>
      <c r="P126" s="8">
        <f>PI()*Q126</f>
        <v/>
      </c>
      <c r="Q126" s="8" t="n">
        <v>0.001905</v>
      </c>
      <c r="R126" s="0" t="n">
        <v>0.69596</v>
      </c>
      <c r="S126" s="15" t="n">
        <v>3126217.28515625</v>
      </c>
      <c r="T126" s="0" t="n">
        <v>297.6164255806</v>
      </c>
      <c r="U126" s="37">
        <f>+T126+BG126*S126*テーブル2[[#This Row],[Pw]]*R126/(N126*O126*K126)</f>
        <v/>
      </c>
      <c r="V126" s="0" t="n">
        <v>0.03</v>
      </c>
      <c r="W126" s="8">
        <f>+N126*Q126/I126</f>
        <v/>
      </c>
      <c r="X126" s="0" t="n">
        <v>0.03805111879557124</v>
      </c>
      <c r="Y126" s="0">
        <f>IF(X126&gt;0,1/X126^0.5,1)</f>
        <v/>
      </c>
      <c r="Z126" s="0">
        <f>IF(X126&gt;0,1.14-2*LOG((0.72*L126*E126)/(X126*Q126*N126^2)+9.35/(W126*X126^0.5)),0)</f>
        <v/>
      </c>
      <c r="AA126" s="0">
        <f>+Y126-Z126</f>
        <v/>
      </c>
      <c r="AB126" s="0">
        <f>32/X126*L126*V126*E126/N126^2</f>
        <v/>
      </c>
      <c r="AC126" s="0" t="n">
        <v>665.3216026939372</v>
      </c>
      <c r="AD126" s="0">
        <f>+Q126/2*AI126/I126*E126</f>
        <v/>
      </c>
      <c r="AE126" s="0">
        <f>+gettm2(AD126,AC126,AK126,AL126,テーブル2[[#This Row],[Fcorr]])</f>
        <v/>
      </c>
      <c r="AF126" s="38">
        <f>+AE126-U126</f>
        <v/>
      </c>
      <c r="AG126" s="0" t="n">
        <v>2.387715852129293e-05</v>
      </c>
      <c r="AH126" s="0">
        <f>+X126*N126^2/(8*E126)</f>
        <v/>
      </c>
      <c r="AI126" s="0">
        <f>+(AH126/E126)^0.5</f>
        <v/>
      </c>
      <c r="AJ126" s="0">
        <f>+AG126*AI126/I126*E126</f>
        <v/>
      </c>
      <c r="AK126" s="0">
        <f t="array" ref="AK126">+S126*テーブル2[[#This Row],[F_form]]/(E126*CpFromTP((テーブル2[[#This Row],[Tin]]+テーブル2[[#This Row],[Tf]])/2,テーブル2[[#This Row],[P]])*AI126)</f>
        <v/>
      </c>
      <c r="AL126" s="0">
        <f>+K126*I126/J126</f>
        <v/>
      </c>
      <c r="AM126" s="0">
        <f>+gettyp(AC126,AJ126,AK126,AL126)</f>
        <v/>
      </c>
      <c r="AN126" s="0">
        <f>+C126-AM126</f>
        <v/>
      </c>
      <c r="AO126" s="0">
        <f>+AG126-AB126</f>
        <v/>
      </c>
      <c r="AP126" s="0" t="n">
        <v>3.741877272387689</v>
      </c>
      <c r="AQ126" s="0">
        <f>2*PI()*L126*(D126+E126)/(D126*E126*AP126^2)</f>
        <v/>
      </c>
      <c r="AR126" s="0">
        <f>+AO126+AB126/2</f>
        <v/>
      </c>
      <c r="AS126" s="0">
        <f>+AR126*AI126/I126*E126</f>
        <v/>
      </c>
      <c r="AT126" s="0">
        <f>+getublp(AS126)</f>
        <v/>
      </c>
      <c r="AU126" s="0">
        <f>+AT126*AI126</f>
        <v/>
      </c>
      <c r="AV126" s="0">
        <f>+AP126-AU126</f>
        <v/>
      </c>
      <c r="AW126" s="0">
        <f>2/3*AB126/(L126/(9.8*(E126-D126)))^0.5</f>
        <v/>
      </c>
      <c r="AX126" s="0">
        <f>+(2*AQ126*9.8*(E126-D126)/(E126*AW126))^0.5</f>
        <v/>
      </c>
      <c r="AY126" s="0">
        <f>+AV126-AX126</f>
        <v/>
      </c>
      <c r="AZ126" s="0">
        <f>+F126-G126</f>
        <v/>
      </c>
      <c r="BA126" s="0">
        <f>+AQ126/AP126</f>
        <v/>
      </c>
      <c r="BB126" s="15">
        <f>+E126*AO126*AZ126/BA126</f>
        <v/>
      </c>
      <c r="BC126" s="20">
        <f>BB126-S126</f>
        <v/>
      </c>
      <c r="BD126" s="19">
        <f>+(BB126-S126)/S126*100</f>
        <v/>
      </c>
      <c r="BE126" s="15" t="n">
        <v>2161840.527</v>
      </c>
      <c r="BF126" s="16">
        <f>テーブル2[[#This Row],[q_P]]/テーブル2[[#This Row],[q_M]]</f>
        <v/>
      </c>
      <c r="BG126" s="0" t="n">
        <v>1</v>
      </c>
      <c r="BH126" s="0" t="n">
        <v>-0.079</v>
      </c>
      <c r="BI126" s="0" t="n">
        <v>0.046</v>
      </c>
      <c r="BJ126" s="0" t="n">
        <v>5625</v>
      </c>
      <c r="BK126" s="22" t="n">
        <v>1</v>
      </c>
      <c r="BL126" s="0">
        <f>テーブル2[[#This Row],[Ts]]-テーブル2[[#This Row],[Tin]]</f>
        <v/>
      </c>
      <c r="BM126" s="0">
        <f>テーブル2[[#This Row],[q_P]]*0.000001</f>
        <v/>
      </c>
      <c r="BN126" s="0">
        <f>テーブル2[[#This Row],[Tsub]]</f>
        <v/>
      </c>
      <c r="BO126" s="0">
        <f>テーブル2[[#This Row],[Fcorr]]</f>
        <v/>
      </c>
      <c r="BP126" s="0">
        <f>(テーブル2[[#This Row],[Tsub]]-40)^2</f>
        <v/>
      </c>
      <c r="BQ126" t="n">
        <v>1</v>
      </c>
      <c r="BR126" s="0" t="n">
        <v>0.69596</v>
      </c>
    </row>
    <row r="127">
      <c r="A127" s="9" t="inlineStr">
        <is>
          <t>24.01_9</t>
        </is>
      </c>
      <c r="B127" s="0" t="n">
        <v>12065825.2630446</v>
      </c>
      <c r="C127" s="22">
        <f t="array" ref="C127">TsatFromP(テーブル2[[#This Row],[P]])</f>
        <v/>
      </c>
      <c r="D127" s="0">
        <f t="array" ref="D127">RhoGFromP(テーブル2[[#This Row],[P]])</f>
        <v/>
      </c>
      <c r="E127" s="0">
        <f t="array" ref="E127">RhoFFromP(テーブル2[[#This Row],[P]])</f>
        <v/>
      </c>
      <c r="F127" s="0">
        <f t="array" ref="F127">HgFromP(テーブル2[[#This Row],[P]])</f>
        <v/>
      </c>
      <c r="G127" s="0">
        <f t="array" ref="G127">HfFromP(テーブル2[[#This Row],[P]])</f>
        <v/>
      </c>
      <c r="H127" s="0">
        <f t="array" ref="H127">MuGFromP(テーブル2[[#This Row],[P]])</f>
        <v/>
      </c>
      <c r="I127" s="0">
        <f t="array" ref="I127">MuFFromP(テーブル2[[#This Row],[P]])</f>
        <v/>
      </c>
      <c r="J127" s="0">
        <f t="array" ref="J127">KfFromP(テーブル2[[#This Row],[P]])</f>
        <v/>
      </c>
      <c r="K127" s="0">
        <f t="array" ref="K127">CpFFromP(テーブル2[[#This Row],[P]])</f>
        <v/>
      </c>
      <c r="L127" s="0">
        <f t="array" ref="L127">SigmaFromP(テーブル2[[#This Row],[P]])</f>
        <v/>
      </c>
      <c r="M127" s="0" t="n">
        <v>126</v>
      </c>
      <c r="N127" s="0" t="n">
        <v>2739.58439597049</v>
      </c>
      <c r="O127" s="8">
        <f>PI()*Q127^2/4</f>
        <v/>
      </c>
      <c r="P127" s="8">
        <f>PI()*Q127</f>
        <v/>
      </c>
      <c r="Q127" s="8" t="n">
        <v>0.001905</v>
      </c>
      <c r="R127" s="0" t="n">
        <v>0.69596</v>
      </c>
      <c r="S127" s="15" t="n">
        <v>3426558.80265625</v>
      </c>
      <c r="T127" s="0" t="n">
        <v>300.419636479454</v>
      </c>
      <c r="U127" s="37">
        <f>+T127+BG127*S127*テーブル2[[#This Row],[Pw]]*R127/(N127*O127*K127)</f>
        <v/>
      </c>
      <c r="V127" s="0" t="n">
        <v>0.03</v>
      </c>
      <c r="W127" s="8">
        <f>+N127*Q127/I127</f>
        <v/>
      </c>
      <c r="X127" s="0" t="n">
        <v>0.03607446918704538</v>
      </c>
      <c r="Y127" s="0">
        <f>IF(X127&gt;0,1/X127^0.5,1)</f>
        <v/>
      </c>
      <c r="Z127" s="0">
        <f>IF(X127&gt;0,1.14-2*LOG((0.72*L127*E127)/(X127*Q127*N127^2)+9.35/(W127*X127^0.5)),0)</f>
        <v/>
      </c>
      <c r="AA127" s="0">
        <f>+Y127-Z127</f>
        <v/>
      </c>
      <c r="AB127" s="0">
        <f>32/X127*L127*V127*E127/N127^2</f>
        <v/>
      </c>
      <c r="AC127" s="0" t="n">
        <v>664.9893444787548</v>
      </c>
      <c r="AD127" s="0">
        <f>+Q127/2*AI127/I127*E127</f>
        <v/>
      </c>
      <c r="AE127" s="0">
        <f>+gettm2(AD127,AC127,AK127,AL127,テーブル2[[#This Row],[Fcorr]])</f>
        <v/>
      </c>
      <c r="AF127" s="38">
        <f>+AE127-U127</f>
        <v/>
      </c>
      <c r="AG127" s="0" t="n">
        <v>2.022677924799637e-05</v>
      </c>
      <c r="AH127" s="0">
        <f>+X127*N127^2/(8*E127)</f>
        <v/>
      </c>
      <c r="AI127" s="0">
        <f>+(AH127/E127)^0.5</f>
        <v/>
      </c>
      <c r="AJ127" s="0">
        <f>+AG127*AI127/I127*E127</f>
        <v/>
      </c>
      <c r="AK127" s="0">
        <f t="array" ref="AK127">+S127*テーブル2[[#This Row],[F_form]]/(E127*CpFromTP((テーブル2[[#This Row],[Tin]]+テーブル2[[#This Row],[Tf]])/2,テーブル2[[#This Row],[P]])*AI127)</f>
        <v/>
      </c>
      <c r="AL127" s="0">
        <f>+K127*I127/J127</f>
        <v/>
      </c>
      <c r="AM127" s="0">
        <f>+gettyp(AC127,AJ127,AK127,AL127)</f>
        <v/>
      </c>
      <c r="AN127" s="0">
        <f>+C127-AM127</f>
        <v/>
      </c>
      <c r="AO127" s="0">
        <f>+AG127-AB127</f>
        <v/>
      </c>
      <c r="AP127" s="0" t="n">
        <v>3.934684838395631</v>
      </c>
      <c r="AQ127" s="0">
        <f>2*PI()*L127*(D127+E127)/(D127*E127*AP127^2)</f>
        <v/>
      </c>
      <c r="AR127" s="0">
        <f>+AO127+AB127/2</f>
        <v/>
      </c>
      <c r="AS127" s="0">
        <f>+AR127*AI127/I127*E127</f>
        <v/>
      </c>
      <c r="AT127" s="0">
        <f>+getublp(AS127)</f>
        <v/>
      </c>
      <c r="AU127" s="0">
        <f>+AT127*AI127</f>
        <v/>
      </c>
      <c r="AV127" s="0">
        <f>+AP127-AU127</f>
        <v/>
      </c>
      <c r="AW127" s="0">
        <f>2/3*AB127/(L127/(9.8*(E127-D127)))^0.5</f>
        <v/>
      </c>
      <c r="AX127" s="0">
        <f>+(2*AQ127*9.8*(E127-D127)/(E127*AW127))^0.5</f>
        <v/>
      </c>
      <c r="AY127" s="0">
        <f>+AV127-AX127</f>
        <v/>
      </c>
      <c r="AZ127" s="0">
        <f>+F127-G127</f>
        <v/>
      </c>
      <c r="BA127" s="0">
        <f>+AQ127/AP127</f>
        <v/>
      </c>
      <c r="BB127" s="15">
        <f>+E127*AO127*AZ127/BA127</f>
        <v/>
      </c>
      <c r="BC127" s="20">
        <f>BB127-S127</f>
        <v/>
      </c>
      <c r="BD127" s="19">
        <f>+(BB127-S127)/S127*100</f>
        <v/>
      </c>
      <c r="BE127" s="15" t="n">
        <v>2460580.2</v>
      </c>
      <c r="BF127" s="16">
        <f>テーブル2[[#This Row],[q_P]]/テーブル2[[#This Row],[q_M]]</f>
        <v/>
      </c>
      <c r="BG127" s="0" t="n">
        <v>1</v>
      </c>
      <c r="BH127" s="0" t="n">
        <v>-0.047</v>
      </c>
      <c r="BI127" s="0" t="n">
        <v>0.046</v>
      </c>
      <c r="BJ127" s="0" t="n">
        <v>5625</v>
      </c>
      <c r="BK127" s="22" t="n">
        <v>1</v>
      </c>
      <c r="BL127" s="0">
        <f>テーブル2[[#This Row],[Ts]]-テーブル2[[#This Row],[Tin]]</f>
        <v/>
      </c>
      <c r="BM127" s="0">
        <f>テーブル2[[#This Row],[q_P]]*0.000001</f>
        <v/>
      </c>
      <c r="BN127" s="0">
        <f>テーブル2[[#This Row],[Tsub]]</f>
        <v/>
      </c>
      <c r="BO127" s="0">
        <f>テーブル2[[#This Row],[Fcorr]]</f>
        <v/>
      </c>
      <c r="BP127" s="0">
        <f>(テーブル2[[#This Row],[Tsub]]-40)^2</f>
        <v/>
      </c>
      <c r="BQ127" t="n">
        <v>1</v>
      </c>
      <c r="BR127" s="0" t="n">
        <v>0.69596</v>
      </c>
    </row>
    <row r="128">
      <c r="A128" s="9" t="inlineStr">
        <is>
          <t>25.01_9</t>
        </is>
      </c>
      <c r="B128" s="0" t="n">
        <v>12065825.2630446</v>
      </c>
      <c r="C128" s="22">
        <f t="array" ref="C128">TsatFromP(テーブル2[[#This Row],[P]])</f>
        <v/>
      </c>
      <c r="D128" s="0">
        <f t="array" ref="D128">RhoGFromP(テーブル2[[#This Row],[P]])</f>
        <v/>
      </c>
      <c r="E128" s="0">
        <f t="array" ref="E128">RhoFFromP(テーブル2[[#This Row],[P]])</f>
        <v/>
      </c>
      <c r="F128" s="0">
        <f t="array" ref="F128">HgFromP(テーブル2[[#This Row],[P]])</f>
        <v/>
      </c>
      <c r="G128" s="0">
        <f t="array" ref="G128">HfFromP(テーブル2[[#This Row],[P]])</f>
        <v/>
      </c>
      <c r="H128" s="0">
        <f t="array" ref="H128">MuGFromP(テーブル2[[#This Row],[P]])</f>
        <v/>
      </c>
      <c r="I128" s="0">
        <f t="array" ref="I128">MuFFromP(テーブル2[[#This Row],[P]])</f>
        <v/>
      </c>
      <c r="J128" s="0">
        <f t="array" ref="J128">KfFromP(テーブル2[[#This Row],[P]])</f>
        <v/>
      </c>
      <c r="K128" s="0">
        <f t="array" ref="K128">CpFFromP(テーブル2[[#This Row],[P]])</f>
        <v/>
      </c>
      <c r="L128" s="0">
        <f t="array" ref="L128">SigmaFromP(テーブル2[[#This Row],[P]])</f>
        <v/>
      </c>
      <c r="M128" s="0" t="n">
        <v>127</v>
      </c>
      <c r="N128" s="0" t="n">
        <v>2834.52048890016</v>
      </c>
      <c r="O128" s="8">
        <f>PI()*Q128^2/4</f>
        <v/>
      </c>
      <c r="P128" s="8">
        <f>PI()*Q128</f>
        <v/>
      </c>
      <c r="Q128" s="8" t="n">
        <v>0.001905</v>
      </c>
      <c r="R128" s="0" t="n">
        <v>0.69596</v>
      </c>
      <c r="S128" s="15" t="n">
        <v>3568393.84765625</v>
      </c>
      <c r="T128" s="0" t="n">
        <v>297.6164255806</v>
      </c>
      <c r="U128" s="37">
        <f>+T128+BG128*S128*テーブル2[[#This Row],[Pw]]*R128/(N128*O128*K128)</f>
        <v/>
      </c>
      <c r="V128" s="0" t="n">
        <v>0.03</v>
      </c>
      <c r="W128" s="8">
        <f>+N128*Q128/I128</f>
        <v/>
      </c>
      <c r="X128" s="0" t="n">
        <v>0.035490800697076</v>
      </c>
      <c r="Y128" s="0">
        <f>IF(X128&gt;0,1/X128^0.5,1)</f>
        <v/>
      </c>
      <c r="Z128" s="0">
        <f>IF(X128&gt;0,1.14-2*LOG((0.72*L128*E128)/(X128*Q128*N128^2)+9.35/(W128*X128^0.5)),0)</f>
        <v/>
      </c>
      <c r="AA128" s="0">
        <f>+Y128-Z128</f>
        <v/>
      </c>
      <c r="AB128" s="0">
        <f>32/X128*L128*V128*E128/N128^2</f>
        <v/>
      </c>
      <c r="AC128" s="0" t="n">
        <v>665.7709922735427</v>
      </c>
      <c r="AD128" s="0">
        <f>+Q128/2*AI128/I128*E128</f>
        <v/>
      </c>
      <c r="AE128" s="0">
        <f>+gettm2(AD128,AC128,AK128,AL128,テーブル2[[#This Row],[Fcorr]])</f>
        <v/>
      </c>
      <c r="AF128" s="38">
        <f>+AE128-U128</f>
        <v/>
      </c>
      <c r="AG128" s="0" t="n">
        <v>1.92086082032785e-05</v>
      </c>
      <c r="AH128" s="0">
        <f>+X128*N128^2/(8*E128)</f>
        <v/>
      </c>
      <c r="AI128" s="0">
        <f>+(AH128/E128)^0.5</f>
        <v/>
      </c>
      <c r="AJ128" s="0">
        <f>+AG128*AI128/I128*E128</f>
        <v/>
      </c>
      <c r="AK128" s="0">
        <f t="array" ref="AK128">+S128*テーブル2[[#This Row],[F_form]]/(E128*CpFromTP((テーブル2[[#This Row],[Tin]]+テーブル2[[#This Row],[Tf]])/2,テーブル2[[#This Row],[P]])*AI128)</f>
        <v/>
      </c>
      <c r="AL128" s="0">
        <f>+K128*I128/J128</f>
        <v/>
      </c>
      <c r="AM128" s="0">
        <f>+gettyp(AC128,AJ128,AK128,AL128)</f>
        <v/>
      </c>
      <c r="AN128" s="0">
        <f>+C128-AM128</f>
        <v/>
      </c>
      <c r="AO128" s="0">
        <f>+AG128-AB128</f>
        <v/>
      </c>
      <c r="AP128" s="0" t="n">
        <v>3.996351483768052</v>
      </c>
      <c r="AQ128" s="0">
        <f>2*PI()*L128*(D128+E128)/(D128*E128*AP128^2)</f>
        <v/>
      </c>
      <c r="AR128" s="0">
        <f>+AO128+AB128/2</f>
        <v/>
      </c>
      <c r="AS128" s="0">
        <f>+AR128*AI128/I128*E128</f>
        <v/>
      </c>
      <c r="AT128" s="0">
        <f>+getublp(AS128)</f>
        <v/>
      </c>
      <c r="AU128" s="0">
        <f>+AT128*AI128</f>
        <v/>
      </c>
      <c r="AV128" s="0">
        <f>+AP128-AU128</f>
        <v/>
      </c>
      <c r="AW128" s="0">
        <f>2/3*AB128/(L128/(9.8*(E128-D128)))^0.5</f>
        <v/>
      </c>
      <c r="AX128" s="0">
        <f>+(2*AQ128*9.8*(E128-D128)/(E128*AW128))^0.5</f>
        <v/>
      </c>
      <c r="AY128" s="0">
        <f>+AV128-AX128</f>
        <v/>
      </c>
      <c r="AZ128" s="0">
        <f>+F128-G128</f>
        <v/>
      </c>
      <c r="BA128" s="0">
        <f>+AQ128/AP128</f>
        <v/>
      </c>
      <c r="BB128" s="15">
        <f>+E128*AO128*AZ128/BA128</f>
        <v/>
      </c>
      <c r="BC128" s="20">
        <f>BB128-S128</f>
        <v/>
      </c>
      <c r="BD128" s="19">
        <f>+(BB128-S128)/S128*100</f>
        <v/>
      </c>
      <c r="BE128" s="15" t="n">
        <v>2523672</v>
      </c>
      <c r="BF128" s="16">
        <f>テーブル2[[#This Row],[q_P]]/テーブル2[[#This Row],[q_M]]</f>
        <v/>
      </c>
      <c r="BG128" s="0" t="n">
        <v>1</v>
      </c>
      <c r="BH128" s="0" t="n">
        <v>-0.056</v>
      </c>
      <c r="BI128" s="0" t="n">
        <v>0.046</v>
      </c>
      <c r="BJ128" s="0" t="n">
        <v>5625</v>
      </c>
      <c r="BK128" s="22" t="n">
        <v>1</v>
      </c>
      <c r="BL128" s="0">
        <f>テーブル2[[#This Row],[Ts]]-テーブル2[[#This Row],[Tin]]</f>
        <v/>
      </c>
      <c r="BM128" s="0">
        <f>テーブル2[[#This Row],[q_P]]*0.000001</f>
        <v/>
      </c>
      <c r="BN128" s="0">
        <f>テーブル2[[#This Row],[Tsub]]</f>
        <v/>
      </c>
      <c r="BO128" s="0">
        <f>テーブル2[[#This Row],[Fcorr]]</f>
        <v/>
      </c>
      <c r="BP128" s="0">
        <f>(テーブル2[[#This Row],[Tsub]]-40)^2</f>
        <v/>
      </c>
      <c r="BQ128" t="n">
        <v>1</v>
      </c>
      <c r="BR128" s="0" t="n">
        <v>0.69596</v>
      </c>
    </row>
    <row r="129">
      <c r="A129" s="9" t="inlineStr">
        <is>
          <t>26.01_9</t>
        </is>
      </c>
      <c r="B129" s="0" t="n">
        <v>12065825.2630446</v>
      </c>
      <c r="C129" s="22">
        <f t="array" ref="C129">TsatFromP(テーブル2[[#This Row],[P]])</f>
        <v/>
      </c>
      <c r="D129" s="0">
        <f t="array" ref="D129">RhoGFromP(テーブル2[[#This Row],[P]])</f>
        <v/>
      </c>
      <c r="E129" s="0">
        <f t="array" ref="E129">RhoFFromP(テーブル2[[#This Row],[P]])</f>
        <v/>
      </c>
      <c r="F129" s="0">
        <f t="array" ref="F129">HgFromP(テーブル2[[#This Row],[P]])</f>
        <v/>
      </c>
      <c r="G129" s="0">
        <f t="array" ref="G129">HfFromP(テーブル2[[#This Row],[P]])</f>
        <v/>
      </c>
      <c r="H129" s="0">
        <f t="array" ref="H129">MuGFromP(テーブル2[[#This Row],[P]])</f>
        <v/>
      </c>
      <c r="I129" s="0">
        <f t="array" ref="I129">MuFFromP(テーブル2[[#This Row],[P]])</f>
        <v/>
      </c>
      <c r="J129" s="0">
        <f t="array" ref="J129">KfFromP(テーブル2[[#This Row],[P]])</f>
        <v/>
      </c>
      <c r="K129" s="0">
        <f t="array" ref="K129">CpFFromP(テーブル2[[#This Row],[P]])</f>
        <v/>
      </c>
      <c r="L129" s="0">
        <f t="array" ref="L129">SigmaFromP(テーブル2[[#This Row],[P]])</f>
        <v/>
      </c>
      <c r="M129" s="0" t="n">
        <v>128</v>
      </c>
      <c r="N129" s="0" t="n">
        <v>3295.63865455856</v>
      </c>
      <c r="O129" s="8">
        <f>PI()*Q129^2/4</f>
        <v/>
      </c>
      <c r="P129" s="8">
        <f>PI()*Q129</f>
        <v/>
      </c>
      <c r="Q129" s="8" t="n">
        <v>0.001905</v>
      </c>
      <c r="R129" s="0" t="n">
        <v>0.69596</v>
      </c>
      <c r="S129" s="15" t="n">
        <v>4103513.51359375</v>
      </c>
      <c r="T129" s="0" t="n">
        <v>297.11185267539</v>
      </c>
      <c r="U129" s="37">
        <f>+T129+BG129*S129*テーブル2[[#This Row],[Pw]]*R129/(N129*O129*K129)</f>
        <v/>
      </c>
      <c r="V129" s="0" t="n">
        <v>0.03</v>
      </c>
      <c r="W129" s="8">
        <f>+N129*Q129/I129</f>
        <v/>
      </c>
      <c r="X129" s="0" t="n">
        <v>0.03306427484955955</v>
      </c>
      <c r="Y129" s="0">
        <f>IF(X129&gt;0,1/X129^0.5,1)</f>
        <v/>
      </c>
      <c r="Z129" s="0">
        <f>IF(X129&gt;0,1.14-2*LOG((0.72*L129*E129)/(X129*Q129*N129^2)+9.35/(W129*X129^0.5)),0)</f>
        <v/>
      </c>
      <c r="AA129" s="0">
        <f>+Y129-Z129</f>
        <v/>
      </c>
      <c r="AB129" s="0">
        <f>32/X129*L129*V129*E129/N129^2</f>
        <v/>
      </c>
      <c r="AC129" s="0" t="n">
        <v>666.2241118855953</v>
      </c>
      <c r="AD129" s="0">
        <f>+Q129/2*AI129/I129*E129</f>
        <v/>
      </c>
      <c r="AE129" s="0">
        <f>+gettm2(AD129,AC129,AK129,AL129,テーブル2[[#This Row],[Fcorr]])</f>
        <v/>
      </c>
      <c r="AF129" s="38">
        <f>+AE129-U129</f>
        <v/>
      </c>
      <c r="AG129" s="0" t="n">
        <v>1.526117647398811e-05</v>
      </c>
      <c r="AH129" s="0">
        <f>+X129*N129^2/(8*E129)</f>
        <v/>
      </c>
      <c r="AI129" s="0">
        <f>+(AH129/E129)^0.5</f>
        <v/>
      </c>
      <c r="AJ129" s="0">
        <f>+AG129*AI129/I129*E129</f>
        <v/>
      </c>
      <c r="AK129" s="0">
        <f t="array" ref="AK129">+S129*テーブル2[[#This Row],[F_form]]/(E129*CpFromTP((テーブル2[[#This Row],[Tin]]+テーブル2[[#This Row],[Tf]])/2,テーブル2[[#This Row],[P]])*AI129)</f>
        <v/>
      </c>
      <c r="AL129" s="0">
        <f>+K129*I129/J129</f>
        <v/>
      </c>
      <c r="AM129" s="0">
        <f>+gettyp(AC129,AJ129,AK129,AL129)</f>
        <v/>
      </c>
      <c r="AN129" s="0">
        <f>+C129-AM129</f>
        <v/>
      </c>
      <c r="AO129" s="0">
        <f>+AG129-AB129</f>
        <v/>
      </c>
      <c r="AP129" s="0" t="n">
        <v>4.277732523529785</v>
      </c>
      <c r="AQ129" s="0">
        <f>2*PI()*L129*(D129+E129)/(D129*E129*AP129^2)</f>
        <v/>
      </c>
      <c r="AR129" s="0">
        <f>+AO129+AB129/2</f>
        <v/>
      </c>
      <c r="AS129" s="0">
        <f>+AR129*AI129/I129*E129</f>
        <v/>
      </c>
      <c r="AT129" s="0">
        <f>+getublp(AS129)</f>
        <v/>
      </c>
      <c r="AU129" s="0">
        <f>+AT129*AI129</f>
        <v/>
      </c>
      <c r="AV129" s="0">
        <f>+AP129-AU129</f>
        <v/>
      </c>
      <c r="AW129" s="0">
        <f>2/3*AB129/(L129/(9.8*(E129-D129)))^0.5</f>
        <v/>
      </c>
      <c r="AX129" s="0">
        <f>+(2*AQ129*9.8*(E129-D129)/(E129*AW129))^0.5</f>
        <v/>
      </c>
      <c r="AY129" s="0">
        <f>+AV129-AX129</f>
        <v/>
      </c>
      <c r="AZ129" s="0">
        <f>+F129-G129</f>
        <v/>
      </c>
      <c r="BA129" s="0">
        <f>+AQ129/AP129</f>
        <v/>
      </c>
      <c r="BB129" s="15">
        <f>+E129*AO129*AZ129/BA129</f>
        <v/>
      </c>
      <c r="BC129" s="20">
        <f>BB129-S129</f>
        <v/>
      </c>
      <c r="BD129" s="19">
        <f>+(BB129-S129)/S129*100</f>
        <v/>
      </c>
      <c r="BE129" s="15" t="n">
        <v>3006324.27</v>
      </c>
      <c r="BF129" s="16">
        <f>テーブル2[[#This Row],[q_P]]/テーブル2[[#This Row],[q_M]]</f>
        <v/>
      </c>
      <c r="BG129" s="0" t="n">
        <v>1</v>
      </c>
      <c r="BH129" s="0" t="n">
        <v>-0.042</v>
      </c>
      <c r="BI129" s="0" t="n">
        <v>0.046</v>
      </c>
      <c r="BJ129" s="0" t="n">
        <v>5625</v>
      </c>
      <c r="BK129" s="22" t="n">
        <v>1</v>
      </c>
      <c r="BL129" s="0">
        <f>テーブル2[[#This Row],[Ts]]-テーブル2[[#This Row],[Tin]]</f>
        <v/>
      </c>
      <c r="BM129" s="0">
        <f>テーブル2[[#This Row],[q_P]]*0.000001</f>
        <v/>
      </c>
      <c r="BN129" s="0">
        <f>テーブル2[[#This Row],[Tsub]]</f>
        <v/>
      </c>
      <c r="BO129" s="0">
        <f>テーブル2[[#This Row],[Fcorr]]</f>
        <v/>
      </c>
      <c r="BP129" s="0">
        <f>(テーブル2[[#This Row],[Tsub]]-40)^2</f>
        <v/>
      </c>
      <c r="BQ129" t="n">
        <v>1</v>
      </c>
      <c r="BR129" s="0" t="n">
        <v>0.69596</v>
      </c>
    </row>
    <row r="130">
      <c r="A130" s="9" t="inlineStr">
        <is>
          <t>27.01_9</t>
        </is>
      </c>
      <c r="B130" s="0" t="n">
        <v>12065825.2630446</v>
      </c>
      <c r="C130" s="22">
        <f t="array" ref="C130">TsatFromP(テーブル2[[#This Row],[P]])</f>
        <v/>
      </c>
      <c r="D130" s="0">
        <f t="array" ref="D130">RhoGFromP(テーブル2[[#This Row],[P]])</f>
        <v/>
      </c>
      <c r="E130" s="0">
        <f t="array" ref="E130">RhoFFromP(テーブル2[[#This Row],[P]])</f>
        <v/>
      </c>
      <c r="F130" s="0">
        <f t="array" ref="F130">HgFromP(テーブル2[[#This Row],[P]])</f>
        <v/>
      </c>
      <c r="G130" s="0">
        <f t="array" ref="G130">HfFromP(テーブル2[[#This Row],[P]])</f>
        <v/>
      </c>
      <c r="H130" s="0">
        <f t="array" ref="H130">MuGFromP(テーブル2[[#This Row],[P]])</f>
        <v/>
      </c>
      <c r="I130" s="0">
        <f t="array" ref="I130">MuFFromP(テーブル2[[#This Row],[P]])</f>
        <v/>
      </c>
      <c r="J130" s="0">
        <f t="array" ref="J130">KfFromP(テーブル2[[#This Row],[P]])</f>
        <v/>
      </c>
      <c r="K130" s="0">
        <f t="array" ref="K130">CpFFromP(テーブル2[[#This Row],[P]])</f>
        <v/>
      </c>
      <c r="L130" s="0">
        <f t="array" ref="L130">SigmaFromP(テーブル2[[#This Row],[P]])</f>
        <v/>
      </c>
      <c r="M130" s="0" t="n">
        <v>129</v>
      </c>
      <c r="N130" s="0" t="n">
        <v>3471.94854142795</v>
      </c>
      <c r="O130" s="8">
        <f>PI()*Q130^2/4</f>
        <v/>
      </c>
      <c r="P130" s="8">
        <f>PI()*Q130</f>
        <v/>
      </c>
      <c r="Q130" s="8" t="n">
        <v>0.001905</v>
      </c>
      <c r="R130" s="0" t="n">
        <v>0.69596</v>
      </c>
      <c r="S130" s="15" t="n">
        <v>4343195.60546875</v>
      </c>
      <c r="T130" s="0" t="n">
        <v>294.308742220318</v>
      </c>
      <c r="U130" s="37">
        <f>+T130+BG130*S130*テーブル2[[#This Row],[Pw]]*R130/(N130*O130*K130)</f>
        <v/>
      </c>
      <c r="V130" s="0" t="n">
        <v>0.03</v>
      </c>
      <c r="W130" s="8">
        <f>+N130*Q130/I130</f>
        <v/>
      </c>
      <c r="X130" s="0" t="n">
        <v>0.03228071391564742</v>
      </c>
      <c r="Y130" s="0">
        <f>IF(X130&gt;0,1/X130^0.5,1)</f>
        <v/>
      </c>
      <c r="Z130" s="0">
        <f>IF(X130&gt;0,1.14-2*LOG((0.72*L130*E130)/(X130*Q130*N130^2)+9.35/(W130*X130^0.5)),0)</f>
        <v/>
      </c>
      <c r="AA130" s="0">
        <f>+Y130-Z130</f>
        <v/>
      </c>
      <c r="AB130" s="0">
        <f>32/X130*L130*V130*E130/N130^2</f>
        <v/>
      </c>
      <c r="AC130" s="0" t="n">
        <v>666.9936906080935</v>
      </c>
      <c r="AD130" s="0">
        <f>+Q130/2*AI130/I130*E130</f>
        <v/>
      </c>
      <c r="AE130" s="0">
        <f>+gettm2(AD130,AC130,AK130,AL130,テーブル2[[#This Row],[Fcorr]])</f>
        <v/>
      </c>
      <c r="AF130" s="38">
        <f>+AE130-U130</f>
        <v/>
      </c>
      <c r="AG130" s="0" t="n">
        <v>1.408776719755435e-05</v>
      </c>
      <c r="AH130" s="0">
        <f>+X130*N130^2/(8*E130)</f>
        <v/>
      </c>
      <c r="AI130" s="0">
        <f>+(AH130/E130)^0.5</f>
        <v/>
      </c>
      <c r="AJ130" s="0">
        <f>+AG130*AI130/I130*E130</f>
        <v/>
      </c>
      <c r="AK130" s="0">
        <f t="array" ref="AK130">+S130*テーブル2[[#This Row],[F_form]]/(E130*CpFromTP((テーブル2[[#This Row],[Tin]]+テーブル2[[#This Row],[Tf]])/2,テーブル2[[#This Row],[P]])*AI130)</f>
        <v/>
      </c>
      <c r="AL130" s="0">
        <f>+K130*I130/J130</f>
        <v/>
      </c>
      <c r="AM130" s="0">
        <f>+gettyp(AC130,AJ130,AK130,AL130)</f>
        <v/>
      </c>
      <c r="AN130" s="0">
        <f>+C130-AM130</f>
        <v/>
      </c>
      <c r="AO130" s="0">
        <f>+AG130-AB130</f>
        <v/>
      </c>
      <c r="AP130" s="0" t="n">
        <v>4.378476230564531</v>
      </c>
      <c r="AQ130" s="0">
        <f>2*PI()*L130*(D130+E130)/(D130*E130*AP130^2)</f>
        <v/>
      </c>
      <c r="AR130" s="0">
        <f>+AO130+AB130/2</f>
        <v/>
      </c>
      <c r="AS130" s="0">
        <f>+AR130*AI130/I130*E130</f>
        <v/>
      </c>
      <c r="AT130" s="0">
        <f>+getublp(AS130)</f>
        <v/>
      </c>
      <c r="AU130" s="0">
        <f>+AT130*AI130</f>
        <v/>
      </c>
      <c r="AV130" s="0">
        <f>+AP130-AU130</f>
        <v/>
      </c>
      <c r="AW130" s="0">
        <f>2/3*AB130/(L130/(9.8*(E130-D130)))^0.5</f>
        <v/>
      </c>
      <c r="AX130" s="0">
        <f>+(2*AQ130*9.8*(E130-D130)/(E130*AW130))^0.5</f>
        <v/>
      </c>
      <c r="AY130" s="0">
        <f>+AV130-AX130</f>
        <v/>
      </c>
      <c r="AZ130" s="0">
        <f>+F130-G130</f>
        <v/>
      </c>
      <c r="BA130" s="0">
        <f>+AQ130/AP130</f>
        <v/>
      </c>
      <c r="BB130" s="15">
        <f>+E130*AO130*AZ130/BA130</f>
        <v/>
      </c>
      <c r="BC130" s="20">
        <f>BB130-S130</f>
        <v/>
      </c>
      <c r="BD130" s="19">
        <f>+(BB130-S130)/S130*100</f>
        <v/>
      </c>
      <c r="BE130" s="15" t="n">
        <v>3091498.2</v>
      </c>
      <c r="BF130" s="16">
        <f>テーブル2[[#This Row],[q_P]]/テーブル2[[#This Row],[q_M]]</f>
        <v/>
      </c>
      <c r="BG130" s="0" t="n">
        <v>1</v>
      </c>
      <c r="BH130" s="0" t="n">
        <v>-0.078</v>
      </c>
      <c r="BI130" s="0" t="n">
        <v>0.046</v>
      </c>
      <c r="BJ130" s="0" t="n">
        <v>5625</v>
      </c>
      <c r="BK130" s="22" t="n">
        <v>1</v>
      </c>
      <c r="BL130" s="0">
        <f>テーブル2[[#This Row],[Ts]]-テーブル2[[#This Row],[Tin]]</f>
        <v/>
      </c>
      <c r="BM130" s="0">
        <f>テーブル2[[#This Row],[q_P]]*0.000001</f>
        <v/>
      </c>
      <c r="BN130" s="0">
        <f>テーブル2[[#This Row],[Tsub]]</f>
        <v/>
      </c>
      <c r="BO130" s="0">
        <f>テーブル2[[#This Row],[Fcorr]]</f>
        <v/>
      </c>
      <c r="BP130" s="0">
        <f>(テーブル2[[#This Row],[Tsub]]-40)^2</f>
        <v/>
      </c>
      <c r="BQ130" t="n">
        <v>1</v>
      </c>
      <c r="BR130" s="0" t="n">
        <v>0.69596</v>
      </c>
    </row>
    <row r="131">
      <c r="A131" s="9" t="inlineStr">
        <is>
          <t>28.01_9</t>
        </is>
      </c>
      <c r="B131" s="0" t="n">
        <v>12065825.2630446</v>
      </c>
      <c r="C131" s="22">
        <f t="array" ref="C131">TsatFromP(テーブル2[[#This Row],[P]])</f>
        <v/>
      </c>
      <c r="D131" s="0">
        <f t="array" ref="D131">RhoGFromP(テーブル2[[#This Row],[P]])</f>
        <v/>
      </c>
      <c r="E131" s="0">
        <f t="array" ref="E131">RhoFFromP(テーブル2[[#This Row],[P]])</f>
        <v/>
      </c>
      <c r="F131" s="0">
        <f t="array" ref="F131">HgFromP(テーブル2[[#This Row],[P]])</f>
        <v/>
      </c>
      <c r="G131" s="0">
        <f t="array" ref="G131">HfFromP(テーブル2[[#This Row],[P]])</f>
        <v/>
      </c>
      <c r="H131" s="0">
        <f t="array" ref="H131">MuGFromP(テーブル2[[#This Row],[P]])</f>
        <v/>
      </c>
      <c r="I131" s="0">
        <f t="array" ref="I131">MuFFromP(テーブル2[[#This Row],[P]])</f>
        <v/>
      </c>
      <c r="J131" s="0">
        <f t="array" ref="J131">KfFromP(テーブル2[[#This Row],[P]])</f>
        <v/>
      </c>
      <c r="K131" s="0">
        <f t="array" ref="K131">CpFFromP(テーブル2[[#This Row],[P]])</f>
        <v/>
      </c>
      <c r="L131" s="0">
        <f t="array" ref="L131">SigmaFromP(テーブル2[[#This Row],[P]])</f>
        <v/>
      </c>
      <c r="M131" s="0" t="n">
        <v>130</v>
      </c>
      <c r="N131" s="0" t="n">
        <v>4000.87820203611</v>
      </c>
      <c r="O131" s="8">
        <f>PI()*Q131^2/4</f>
        <v/>
      </c>
      <c r="P131" s="8">
        <f>PI()*Q131</f>
        <v/>
      </c>
      <c r="Q131" s="8" t="n">
        <v>0.001905</v>
      </c>
      <c r="R131" s="0" t="n">
        <v>0.69596</v>
      </c>
      <c r="S131" s="15" t="n">
        <v>4853035.18046875</v>
      </c>
      <c r="T131" s="0" t="n">
        <v>299.858992988332</v>
      </c>
      <c r="U131" s="37">
        <f>+T131+BG131*S131*テーブル2[[#This Row],[Pw]]*R131/(N131*O131*K131)</f>
        <v/>
      </c>
      <c r="V131" s="0" t="n">
        <v>0.03</v>
      </c>
      <c r="W131" s="8">
        <f>+N131*Q131/I131</f>
        <v/>
      </c>
      <c r="X131" s="0" t="n">
        <v>0.0302801385561328</v>
      </c>
      <c r="Y131" s="0">
        <f>IF(X131&gt;0,1/X131^0.5,1)</f>
        <v/>
      </c>
      <c r="Z131" s="0">
        <f>IF(X131&gt;0,1.14-2*LOG((0.72*L131*E131)/(X131*Q131*N131^2)+9.35/(W131*X131^0.5)),0)</f>
        <v/>
      </c>
      <c r="AA131" s="0">
        <f>+Y131-Z131</f>
        <v/>
      </c>
      <c r="AB131" s="0">
        <f>32/X131*L131*V131*E131/N131^2</f>
        <v/>
      </c>
      <c r="AC131" s="0" t="n">
        <v>665.75739785602</v>
      </c>
      <c r="AD131" s="0">
        <f>+Q131/2*AI131/I131*E131</f>
        <v/>
      </c>
      <c r="AE131" s="0">
        <f>+gettm2(AD131,AC131,AK131,AL131,テーブル2[[#This Row],[Fcorr]])</f>
        <v/>
      </c>
      <c r="AF131" s="38">
        <f>+AE131-U131</f>
        <v/>
      </c>
      <c r="AG131" s="0" t="n">
        <v>1.1316655590398e-05</v>
      </c>
      <c r="AH131" s="0">
        <f>+X131*N131^2/(8*E131)</f>
        <v/>
      </c>
      <c r="AI131" s="0">
        <f>+(AH131/E131)^0.5</f>
        <v/>
      </c>
      <c r="AJ131" s="0">
        <f>+AG131*AI131/I131*E131</f>
        <v/>
      </c>
      <c r="AK131" s="0">
        <f t="array" ref="AK131">+S131*テーブル2[[#This Row],[F_form]]/(E131*CpFromTP((テーブル2[[#This Row],[Tin]]+テーブル2[[#This Row],[Tf]])/2,テーブル2[[#This Row],[P]])*AI131)</f>
        <v/>
      </c>
      <c r="AL131" s="0">
        <f>+K131*I131/J131</f>
        <v/>
      </c>
      <c r="AM131" s="0">
        <f>+gettyp(AC131,AJ131,AK131,AL131)</f>
        <v/>
      </c>
      <c r="AN131" s="0">
        <f>+C131-AM131</f>
        <v/>
      </c>
      <c r="AO131" s="0">
        <f>+AG131-AB131</f>
        <v/>
      </c>
      <c r="AP131" s="0" t="n">
        <v>4.66056537671087</v>
      </c>
      <c r="AQ131" s="0">
        <f>2*PI()*L131*(D131+E131)/(D131*E131*AP131^2)</f>
        <v/>
      </c>
      <c r="AR131" s="0">
        <f>+AO131+AB131/2</f>
        <v/>
      </c>
      <c r="AS131" s="0">
        <f>+AR131*AI131/I131*E131</f>
        <v/>
      </c>
      <c r="AT131" s="0">
        <f>+getublp(AS131)</f>
        <v/>
      </c>
      <c r="AU131" s="0">
        <f>+AT131*AI131</f>
        <v/>
      </c>
      <c r="AV131" s="0">
        <f>+AP131-AU131</f>
        <v/>
      </c>
      <c r="AW131" s="0">
        <f>2/3*AB131/(L131/(9.8*(E131-D131)))^0.5</f>
        <v/>
      </c>
      <c r="AX131" s="0">
        <f>+(2*AQ131*9.8*(E131-D131)/(E131*AW131))^0.5</f>
        <v/>
      </c>
      <c r="AY131" s="0">
        <f>+AV131-AX131</f>
        <v/>
      </c>
      <c r="AZ131" s="0">
        <f>+F131-G131</f>
        <v/>
      </c>
      <c r="BA131" s="0">
        <f>+AQ131/AP131</f>
        <v/>
      </c>
      <c r="BB131" s="15">
        <f>+E131*AO131*AZ131/BA131</f>
        <v/>
      </c>
      <c r="BC131" s="20">
        <f>BB131-S131</f>
        <v/>
      </c>
      <c r="BD131" s="19">
        <f>+(BB131-S131)/S131*100</f>
        <v/>
      </c>
      <c r="BE131" s="15" t="n">
        <v>3615160.14</v>
      </c>
      <c r="BF131" s="16">
        <f>テーブル2[[#This Row],[q_P]]/テーブル2[[#This Row],[q_M]]</f>
        <v/>
      </c>
      <c r="BG131" s="0" t="n">
        <v>1</v>
      </c>
      <c r="BH131" s="0" t="n">
        <v>-0.043</v>
      </c>
      <c r="BI131" s="0" t="n">
        <v>0.046</v>
      </c>
      <c r="BJ131" s="0" t="n">
        <v>5625</v>
      </c>
      <c r="BK131" s="22" t="n">
        <v>1</v>
      </c>
      <c r="BL131" s="0">
        <f>テーブル2[[#This Row],[Ts]]-テーブル2[[#This Row],[Tin]]</f>
        <v/>
      </c>
      <c r="BM131" s="0">
        <f>テーブル2[[#This Row],[q_P]]*0.000001</f>
        <v/>
      </c>
      <c r="BN131" s="0">
        <f>テーブル2[[#This Row],[Tsub]]</f>
        <v/>
      </c>
      <c r="BO131" s="0">
        <f>テーブル2[[#This Row],[Fcorr]]</f>
        <v/>
      </c>
      <c r="BP131" s="0">
        <f>(テーブル2[[#This Row],[Tsub]]-40)^2</f>
        <v/>
      </c>
      <c r="BQ131" t="n">
        <v>1</v>
      </c>
      <c r="BR131" s="0" t="n">
        <v>0.69596</v>
      </c>
    </row>
    <row r="132">
      <c r="A132" s="9" t="inlineStr">
        <is>
          <t>29.01_9</t>
        </is>
      </c>
      <c r="B132" s="0" t="n">
        <v>12065825.2630446</v>
      </c>
      <c r="C132" s="22">
        <f t="array" ref="C132">TsatFromP(テーブル2[[#This Row],[P]])</f>
        <v/>
      </c>
      <c r="D132" s="0">
        <f t="array" ref="D132">RhoGFromP(テーブル2[[#This Row],[P]])</f>
        <v/>
      </c>
      <c r="E132" s="0">
        <f t="array" ref="E132">RhoFFromP(テーブル2[[#This Row],[P]])</f>
        <v/>
      </c>
      <c r="F132" s="0">
        <f t="array" ref="F132">HgFromP(テーブル2[[#This Row],[P]])</f>
        <v/>
      </c>
      <c r="G132" s="0">
        <f t="array" ref="G132">HfFromP(テーブル2[[#This Row],[P]])</f>
        <v/>
      </c>
      <c r="H132" s="0">
        <f t="array" ref="H132">MuGFromP(テーブル2[[#This Row],[P]])</f>
        <v/>
      </c>
      <c r="I132" s="0">
        <f t="array" ref="I132">MuFFromP(テーブル2[[#This Row],[P]])</f>
        <v/>
      </c>
      <c r="J132" s="0">
        <f t="array" ref="J132">KfFromP(テーブル2[[#This Row],[P]])</f>
        <v/>
      </c>
      <c r="K132" s="0">
        <f t="array" ref="K132">CpFFromP(テーブル2[[#This Row],[P]])</f>
        <v/>
      </c>
      <c r="L132" s="0">
        <f t="array" ref="L132">SigmaFromP(テーブル2[[#This Row],[P]])</f>
        <v/>
      </c>
      <c r="M132" s="0" t="n">
        <v>131</v>
      </c>
      <c r="N132" s="0" t="n">
        <v>4028.00280001602</v>
      </c>
      <c r="O132" s="8">
        <f>PI()*Q132^2/4</f>
        <v/>
      </c>
      <c r="P132" s="8">
        <f>PI()*Q132</f>
        <v/>
      </c>
      <c r="Q132" s="8" t="n">
        <v>0.001905</v>
      </c>
      <c r="R132" s="0" t="n">
        <v>0.69596</v>
      </c>
      <c r="S132" s="15" t="n">
        <v>4927346.81640625</v>
      </c>
      <c r="T132" s="0" t="n">
        <v>297.11185267539</v>
      </c>
      <c r="U132" s="37">
        <f>+T132+BG132*S132*テーブル2[[#This Row],[Pw]]*R132/(N132*O132*K132)</f>
        <v/>
      </c>
      <c r="V132" s="0" t="n">
        <v>0.03</v>
      </c>
      <c r="W132" s="8">
        <f>+N132*Q132/I132</f>
        <v/>
      </c>
      <c r="X132" s="0" t="n">
        <v>0.03018935334258843</v>
      </c>
      <c r="Y132" s="0">
        <f>IF(X132&gt;0,1/X132^0.5,1)</f>
        <v/>
      </c>
      <c r="Z132" s="0">
        <f>IF(X132&gt;0,1.14-2*LOG((0.72*L132*E132)/(X132*Q132*N132^2)+9.35/(W132*X132^0.5)),0)</f>
        <v/>
      </c>
      <c r="AA132" s="0">
        <f>+Y132-Z132</f>
        <v/>
      </c>
      <c r="AB132" s="0">
        <f>32/X132*L132*V132*E132/N132^2</f>
        <v/>
      </c>
      <c r="AC132" s="0" t="n">
        <v>666.4373755555504</v>
      </c>
      <c r="AD132" s="0">
        <f>+Q132/2*AI132/I132*E132</f>
        <v/>
      </c>
      <c r="AE132" s="0">
        <f>+gettm2(AD132,AC132,AK132,AL132,テーブル2[[#This Row],[Fcorr]])</f>
        <v/>
      </c>
      <c r="AF132" s="38">
        <f>+AE132-U132</f>
        <v/>
      </c>
      <c r="AG132" s="0" t="n">
        <v>1.11997733769197e-05</v>
      </c>
      <c r="AH132" s="0">
        <f>+X132*N132^2/(8*E132)</f>
        <v/>
      </c>
      <c r="AI132" s="0">
        <f>+(AH132/E132)^0.5</f>
        <v/>
      </c>
      <c r="AJ132" s="0">
        <f>+AG132*AI132/I132*E132</f>
        <v/>
      </c>
      <c r="AK132" s="0">
        <f t="array" ref="AK132">+S132*テーブル2[[#This Row],[F_form]]/(E132*CpFromTP((テーブル2[[#This Row],[Tin]]+テーブル2[[#This Row],[Tf]])/2,テーブル2[[#This Row],[P]])*AI132)</f>
        <v/>
      </c>
      <c r="AL132" s="0">
        <f>+K132*I132/J132</f>
        <v/>
      </c>
      <c r="AM132" s="0">
        <f>+gettyp(AC132,AJ132,AK132,AL132)</f>
        <v/>
      </c>
      <c r="AN132" s="0">
        <f>+C132-AM132</f>
        <v/>
      </c>
      <c r="AO132" s="0">
        <f>+AG132-AB132</f>
        <v/>
      </c>
      <c r="AP132" s="0" t="n">
        <v>4.67464848359805</v>
      </c>
      <c r="AQ132" s="0">
        <f>2*PI()*L132*(D132+E132)/(D132*E132*AP132^2)</f>
        <v/>
      </c>
      <c r="AR132" s="0">
        <f>+AO132+AB132/2</f>
        <v/>
      </c>
      <c r="AS132" s="0">
        <f>+AR132*AI132/I132*E132</f>
        <v/>
      </c>
      <c r="AT132" s="0">
        <f>+getublp(AS132)</f>
        <v/>
      </c>
      <c r="AU132" s="0">
        <f>+AT132*AI132</f>
        <v/>
      </c>
      <c r="AV132" s="0">
        <f>+AP132-AU132</f>
        <v/>
      </c>
      <c r="AW132" s="0">
        <f>2/3*AB132/(L132/(9.8*(E132-D132)))^0.5</f>
        <v/>
      </c>
      <c r="AX132" s="0">
        <f>+(2*AQ132*9.8*(E132-D132)/(E132*AW132))^0.5</f>
        <v/>
      </c>
      <c r="AY132" s="0">
        <f>+AV132-AX132</f>
        <v/>
      </c>
      <c r="AZ132" s="0">
        <f>+F132-G132</f>
        <v/>
      </c>
      <c r="BA132" s="0">
        <f>+AQ132/AP132</f>
        <v/>
      </c>
      <c r="BB132" s="15">
        <f>+E132*AO132*AZ132/BA132</f>
        <v/>
      </c>
      <c r="BC132" s="20">
        <f>BB132-S132</f>
        <v/>
      </c>
      <c r="BD132" s="19">
        <f>+(BB132-S132)/S132*100</f>
        <v/>
      </c>
      <c r="BE132" s="15" t="n">
        <v>3671942.76</v>
      </c>
      <c r="BF132" s="16">
        <f>テーブル2[[#This Row],[q_P]]/テーブル2[[#This Row],[q_M]]</f>
        <v/>
      </c>
      <c r="BG132" s="0" t="n">
        <v>1</v>
      </c>
      <c r="BH132" s="0" t="n">
        <v>-0.042</v>
      </c>
      <c r="BI132" s="0" t="n">
        <v>0.046</v>
      </c>
      <c r="BJ132" s="0" t="n">
        <v>5625</v>
      </c>
      <c r="BK132" s="22" t="n">
        <v>1</v>
      </c>
      <c r="BL132" s="0">
        <f>テーブル2[[#This Row],[Ts]]-テーブル2[[#This Row],[Tin]]</f>
        <v/>
      </c>
      <c r="BM132" s="0">
        <f>テーブル2[[#This Row],[q_P]]*0.000001</f>
        <v/>
      </c>
      <c r="BN132" s="0">
        <f>テーブル2[[#This Row],[Tsub]]</f>
        <v/>
      </c>
      <c r="BO132" s="0">
        <f>テーブル2[[#This Row],[Fcorr]]</f>
        <v/>
      </c>
      <c r="BP132" s="0">
        <f>(テーブル2[[#This Row],[Tsub]]-40)^2</f>
        <v/>
      </c>
      <c r="BQ132" t="n">
        <v>1</v>
      </c>
      <c r="BR132" s="0" t="n">
        <v>0.69596</v>
      </c>
    </row>
    <row r="133">
      <c r="A133" s="9" t="inlineStr">
        <is>
          <t>30.01_9</t>
        </is>
      </c>
      <c r="B133" s="0" t="n">
        <v>12065825.2630446</v>
      </c>
      <c r="C133" s="22">
        <f t="array" ref="C133">TsatFromP(テーブル2[[#This Row],[P]])</f>
        <v/>
      </c>
      <c r="D133" s="0">
        <f t="array" ref="D133">RhoGFromP(テーブル2[[#This Row],[P]])</f>
        <v/>
      </c>
      <c r="E133" s="0">
        <f t="array" ref="E133">RhoFFromP(テーブル2[[#This Row],[P]])</f>
        <v/>
      </c>
      <c r="F133" s="0">
        <f t="array" ref="F133">HgFromP(テーブル2[[#This Row],[P]])</f>
        <v/>
      </c>
      <c r="G133" s="0">
        <f t="array" ref="G133">HfFromP(テーブル2[[#This Row],[P]])</f>
        <v/>
      </c>
      <c r="H133" s="0">
        <f t="array" ref="H133">MuGFromP(テーブル2[[#This Row],[P]])</f>
        <v/>
      </c>
      <c r="I133" s="0">
        <f t="array" ref="I133">MuFFromP(テーブル2[[#This Row],[P]])</f>
        <v/>
      </c>
      <c r="J133" s="0">
        <f t="array" ref="J133">KfFromP(テーブル2[[#This Row],[P]])</f>
        <v/>
      </c>
      <c r="K133" s="0">
        <f t="array" ref="K133">CpFFromP(テーブル2[[#This Row],[P]])</f>
        <v/>
      </c>
      <c r="L133" s="0">
        <f t="array" ref="L133">SigmaFromP(テーブル2[[#This Row],[P]])</f>
        <v/>
      </c>
      <c r="M133" s="0" t="n">
        <v>132</v>
      </c>
      <c r="N133" s="0" t="n">
        <v>4109.37659395573</v>
      </c>
      <c r="O133" s="8">
        <f>PI()*Q133^2/4</f>
        <v/>
      </c>
      <c r="P133" s="8">
        <f>PI()*Q133</f>
        <v/>
      </c>
      <c r="Q133" s="8" t="n">
        <v>0.001905</v>
      </c>
      <c r="R133" s="0" t="n">
        <v>0.69596</v>
      </c>
      <c r="S133" s="15" t="n">
        <v>5009458.43265625</v>
      </c>
      <c r="T133" s="0" t="n">
        <v>297.6164255806</v>
      </c>
      <c r="U133" s="37">
        <f>+T133+BG133*S133*テーブル2[[#This Row],[Pw]]*R133/(N133*O133*K133)</f>
        <v/>
      </c>
      <c r="V133" s="0" t="n">
        <v>0.03</v>
      </c>
      <c r="W133" s="8">
        <f>+N133*Q133/I133</f>
        <v/>
      </c>
      <c r="X133" s="0" t="n">
        <v>0.02992293723089504</v>
      </c>
      <c r="Y133" s="0">
        <f>IF(X133&gt;0,1/X133^0.5,1)</f>
        <v/>
      </c>
      <c r="Z133" s="0">
        <f>IF(X133&gt;0,1.14-2*LOG((0.72*L133*E133)/(X133*Q133*N133^2)+9.35/(W133*X133^0.5)),0)</f>
        <v/>
      </c>
      <c r="AA133" s="0">
        <f>+Y133-Z133</f>
        <v/>
      </c>
      <c r="AB133" s="0">
        <f>32/X133*L133*V133*E133/N133^2</f>
        <v/>
      </c>
      <c r="AC133" s="0" t="n">
        <v>666.3204925388522</v>
      </c>
      <c r="AD133" s="0">
        <f>+Q133/2*AI133/I133*E133</f>
        <v/>
      </c>
      <c r="AE133" s="0">
        <f>+gettm2(AD133,AC133,AK133,AL133,テーブル2[[#This Row],[Fcorr]])</f>
        <v/>
      </c>
      <c r="AF133" s="38">
        <f>+AE133-U133</f>
        <v/>
      </c>
      <c r="AG133" s="0" t="n">
        <v>1.085753678291349e-05</v>
      </c>
      <c r="AH133" s="0">
        <f>+X133*N133^2/(8*E133)</f>
        <v/>
      </c>
      <c r="AI133" s="0">
        <f>+(AH133/E133)^0.5</f>
        <v/>
      </c>
      <c r="AJ133" s="0">
        <f>+AG133*AI133/I133*E133</f>
        <v/>
      </c>
      <c r="AK133" s="0">
        <f t="array" ref="AK133">+S133*テーブル2[[#This Row],[F_form]]/(E133*CpFromTP((テーブル2[[#This Row],[Tin]]+テーブル2[[#This Row],[Tf]])/2,テーブル2[[#This Row],[P]])*AI133)</f>
        <v/>
      </c>
      <c r="AL133" s="0">
        <f>+K133*I133/J133</f>
        <v/>
      </c>
      <c r="AM133" s="0">
        <f>+gettyp(AC133,AJ133,AK133,AL133)</f>
        <v/>
      </c>
      <c r="AN133" s="0">
        <f>+C133-AM133</f>
        <v/>
      </c>
      <c r="AO133" s="0">
        <f>+AG133-AB133</f>
        <v/>
      </c>
      <c r="AP133" s="0" t="n">
        <v>4.715511971000388</v>
      </c>
      <c r="AQ133" s="0">
        <f>2*PI()*L133*(D133+E133)/(D133*E133*AP133^2)</f>
        <v/>
      </c>
      <c r="AR133" s="0">
        <f>+AO133+AB133/2</f>
        <v/>
      </c>
      <c r="AS133" s="0">
        <f>+AR133*AI133/I133*E133</f>
        <v/>
      </c>
      <c r="AT133" s="0">
        <f>+getublp(AS133)</f>
        <v/>
      </c>
      <c r="AU133" s="0">
        <f>+AT133*AI133</f>
        <v/>
      </c>
      <c r="AV133" s="0">
        <f>+AP133-AU133</f>
        <v/>
      </c>
      <c r="AW133" s="0">
        <f>2/3*AB133/(L133/(9.8*(E133-D133)))^0.5</f>
        <v/>
      </c>
      <c r="AX133" s="0">
        <f>+(2*AQ133*9.8*(E133-D133)/(E133*AW133))^0.5</f>
        <v/>
      </c>
      <c r="AY133" s="0">
        <f>+AV133-AX133</f>
        <v/>
      </c>
      <c r="AZ133" s="0">
        <f>+F133-G133</f>
        <v/>
      </c>
      <c r="BA133" s="0">
        <f>+AQ133/AP133</f>
        <v/>
      </c>
      <c r="BB133" s="15">
        <f>+E133*AO133*AZ133/BA133</f>
        <v/>
      </c>
      <c r="BC133" s="20">
        <f>BB133-S133</f>
        <v/>
      </c>
      <c r="BD133" s="19">
        <f>+(BB133-S133)/S133*100</f>
        <v/>
      </c>
      <c r="BE133" s="15" t="n">
        <v>3653015.22</v>
      </c>
      <c r="BF133" s="16">
        <f>テーブル2[[#This Row],[q_P]]/テーブル2[[#This Row],[q_M]]</f>
        <v/>
      </c>
      <c r="BG133" s="0" t="n">
        <v>1</v>
      </c>
      <c r="BH133" s="0" t="n">
        <v>-0.068</v>
      </c>
      <c r="BI133" s="0" t="n">
        <v>0.046</v>
      </c>
      <c r="BJ133" s="0" t="n">
        <v>5625</v>
      </c>
      <c r="BK133" s="22" t="n">
        <v>1</v>
      </c>
      <c r="BL133" s="0">
        <f>テーブル2[[#This Row],[Ts]]-テーブル2[[#This Row],[Tin]]</f>
        <v/>
      </c>
      <c r="BM133" s="0">
        <f>テーブル2[[#This Row],[q_P]]*0.000001</f>
        <v/>
      </c>
      <c r="BN133" s="0">
        <f>テーブル2[[#This Row],[Tsub]]</f>
        <v/>
      </c>
      <c r="BO133" s="0">
        <f>テーブル2[[#This Row],[Fcorr]]</f>
        <v/>
      </c>
      <c r="BP133" s="0">
        <f>(テーブル2[[#This Row],[Tsub]]-40)^2</f>
        <v/>
      </c>
      <c r="BQ133" t="n">
        <v>1</v>
      </c>
      <c r="BR133" s="0" t="n">
        <v>0.69596</v>
      </c>
    </row>
    <row r="134">
      <c r="A134" s="9" t="inlineStr">
        <is>
          <t>1.01_11</t>
        </is>
      </c>
      <c r="B134" s="0" t="n">
        <v>15513203.9096288</v>
      </c>
      <c r="C134" s="22">
        <f t="array" ref="C134">TsatFromP(テーブル2[[#This Row],[P]])</f>
        <v/>
      </c>
      <c r="D134" s="0">
        <f t="array" ref="D134">RhoGFromP(テーブル2[[#This Row],[P]])</f>
        <v/>
      </c>
      <c r="E134" s="0">
        <f t="array" ref="E134">RhoFFromP(テーブル2[[#This Row],[P]])</f>
        <v/>
      </c>
      <c r="F134" s="0">
        <f t="array" ref="F134">HgFromP(テーブル2[[#This Row],[P]])</f>
        <v/>
      </c>
      <c r="G134" s="0">
        <f t="array" ref="G134">HfFromP(テーブル2[[#This Row],[P]])</f>
        <v/>
      </c>
      <c r="H134" s="0">
        <f t="array" ref="H134">MuGFromP(テーブル2[[#This Row],[P]])</f>
        <v/>
      </c>
      <c r="I134" s="0">
        <f t="array" ref="I134">MuFFromP(テーブル2[[#This Row],[P]])</f>
        <v/>
      </c>
      <c r="J134" s="0">
        <f t="array" ref="J134">KfFromP(テーブル2[[#This Row],[P]])</f>
        <v/>
      </c>
      <c r="K134" s="0">
        <f t="array" ref="K134">CpFFromP(テーブル2[[#This Row],[P]])</f>
        <v/>
      </c>
      <c r="L134" s="0">
        <f t="array" ref="L134">SigmaFromP(テーブル2[[#This Row],[P]])</f>
        <v/>
      </c>
      <c r="M134" s="0" t="n">
        <v>133</v>
      </c>
      <c r="N134" s="0" t="n">
        <v>2034.345</v>
      </c>
      <c r="O134" s="8">
        <f>PI()*Q134^2/4</f>
        <v/>
      </c>
      <c r="P134" s="8">
        <f>PI()*Q134</f>
        <v/>
      </c>
      <c r="Q134" s="8" t="n">
        <v>0.001905</v>
      </c>
      <c r="R134" s="0" t="n">
        <v>0.1524</v>
      </c>
      <c r="S134" s="15" t="n">
        <v>3055865.72265625</v>
      </c>
      <c r="T134" s="0" t="n">
        <v>532.5132067186991</v>
      </c>
      <c r="U134" s="37">
        <f>+T134+BG134*S134*テーブル2[[#This Row],[Pw]]*R134/(N134*O134*K134)</f>
        <v/>
      </c>
      <c r="V134" s="0" t="n">
        <v>0.03</v>
      </c>
      <c r="W134" s="8">
        <f>+N134*Q134/I134</f>
        <v/>
      </c>
      <c r="X134" s="0" t="n">
        <v>0.03519688873332587</v>
      </c>
      <c r="Y134" s="0">
        <f>IF(X134&gt;0,1/X134^0.5,1)</f>
        <v/>
      </c>
      <c r="Z134" s="0">
        <f>IF(X134&gt;0,1.14-2*LOG((0.72*L134*E134)/(X134*Q134*N134^2)+9.35/(W134*X134^0.5)),0)</f>
        <v/>
      </c>
      <c r="AA134" s="0">
        <f>+Y134-Z134</f>
        <v/>
      </c>
      <c r="AB134" s="0">
        <f>32/X134*L134*V134*E134/N134^2</f>
        <v/>
      </c>
      <c r="AC134" s="0" t="n">
        <v>692.4651150238551</v>
      </c>
      <c r="AD134" s="0">
        <f>+Q134/2*AI134/I134*E134</f>
        <v/>
      </c>
      <c r="AE134" s="0">
        <f>+gettm2(AD134,AC134,AK134,AL134,テーブル2[[#This Row],[Fcorr]])</f>
        <v/>
      </c>
      <c r="AF134" s="38">
        <f>+AE134-U134</f>
        <v/>
      </c>
      <c r="AG134" s="0" t="n">
        <v>1.82548978128041e-05</v>
      </c>
      <c r="AH134" s="0">
        <f>+X134*N134^2/(8*E134)</f>
        <v/>
      </c>
      <c r="AI134" s="0">
        <f>+(AH134/E134)^0.5</f>
        <v/>
      </c>
      <c r="AJ134" s="0">
        <f>+AG134*AI134/I134*E134</f>
        <v/>
      </c>
      <c r="AK134" s="0">
        <f t="array" ref="AK134">+S134*テーブル2[[#This Row],[F_form]]/(E134*CpFromTP((テーブル2[[#This Row],[Tin]]+テーブル2[[#This Row],[Tf]])/2,テーブル2[[#This Row],[P]])*AI134)</f>
        <v/>
      </c>
      <c r="AL134" s="0">
        <f>+K134*I134/J134</f>
        <v/>
      </c>
      <c r="AM134" s="0">
        <f>+gettyp(AC134,AJ134,AK134,AL134)</f>
        <v/>
      </c>
      <c r="AN134" s="0">
        <f>+C134-AM134</f>
        <v/>
      </c>
      <c r="AO134" s="0">
        <f>+AG134-AB134</f>
        <v/>
      </c>
      <c r="AP134" s="0" t="n">
        <v>2.832824390793208</v>
      </c>
      <c r="AQ134" s="0">
        <f>2*PI()*L134*(D134+E134)/(D134*E134*AP134^2)</f>
        <v/>
      </c>
      <c r="AR134" s="0">
        <f>+AO134+AB134/2</f>
        <v/>
      </c>
      <c r="AS134" s="0">
        <f>+AR134*AI134/I134*E134</f>
        <v/>
      </c>
      <c r="AT134" s="0">
        <f>+getublp(AS134)</f>
        <v/>
      </c>
      <c r="AU134" s="0">
        <f>+AT134*AI134</f>
        <v/>
      </c>
      <c r="AV134" s="0">
        <f>+AP134-AU134</f>
        <v/>
      </c>
      <c r="AW134" s="0">
        <f>2/3*AB134/(L134/(9.8*(E134-D134)))^0.5</f>
        <v/>
      </c>
      <c r="AX134" s="0">
        <f>+(2*AQ134*9.8*(E134-D134)/(E134*AW134))^0.5</f>
        <v/>
      </c>
      <c r="AY134" s="0">
        <f>+AV134-AX134</f>
        <v/>
      </c>
      <c r="AZ134" s="0">
        <f>+F134-G134</f>
        <v/>
      </c>
      <c r="BA134" s="0">
        <f>+AQ134/AP134</f>
        <v/>
      </c>
      <c r="BB134" s="15">
        <f>+E134*AO134*AZ134/BA134</f>
        <v/>
      </c>
      <c r="BC134" s="20">
        <f>BB134-S134</f>
        <v/>
      </c>
      <c r="BD134" s="19">
        <f>+(BB134-S134)/S134*100</f>
        <v/>
      </c>
      <c r="BE134" s="15" t="n">
        <v>3059952.3</v>
      </c>
      <c r="BF134" s="16">
        <f>テーブル2[[#This Row],[q_P]]/テーブル2[[#This Row],[q_M]]</f>
        <v/>
      </c>
      <c r="BG134" s="0" t="n">
        <v>1</v>
      </c>
      <c r="BH134" s="0" t="n">
        <v>-0.019</v>
      </c>
      <c r="BI134" s="0" t="n">
        <v>0.046</v>
      </c>
      <c r="BJ134" s="0" t="n">
        <v>5625</v>
      </c>
      <c r="BK134" s="22" t="n">
        <v>1</v>
      </c>
      <c r="BL134" s="0">
        <f>テーブル2[[#This Row],[Ts]]-テーブル2[[#This Row],[Tin]]</f>
        <v/>
      </c>
      <c r="BM134" s="0">
        <f>テーブル2[[#This Row],[q_P]]*0.000001</f>
        <v/>
      </c>
      <c r="BN134" s="0">
        <f>テーブル2[[#This Row],[Tsub]]</f>
        <v/>
      </c>
      <c r="BO134" s="0">
        <f>テーブル2[[#This Row],[Fcorr]]</f>
        <v/>
      </c>
      <c r="BP134" s="0">
        <f>(テーブル2[[#This Row],[Tsub]]-40)^2</f>
        <v/>
      </c>
      <c r="BQ134" t="n">
        <v>1</v>
      </c>
      <c r="BR134" s="0" t="n">
        <v>0.1524</v>
      </c>
    </row>
    <row r="135">
      <c r="A135" s="9" t="inlineStr">
        <is>
          <t>2.01_11</t>
        </is>
      </c>
      <c r="B135" s="0" t="n">
        <v>15513203.9096288</v>
      </c>
      <c r="C135" s="22">
        <f t="array" ref="C135">TsatFromP(テーブル2[[#This Row],[P]])</f>
        <v/>
      </c>
      <c r="D135" s="0">
        <f t="array" ref="D135">RhoGFromP(テーブル2[[#This Row],[P]])</f>
        <v/>
      </c>
      <c r="E135" s="0">
        <f t="array" ref="E135">RhoFFromP(テーブル2[[#This Row],[P]])</f>
        <v/>
      </c>
      <c r="F135" s="0">
        <f t="array" ref="F135">HgFromP(テーブル2[[#This Row],[P]])</f>
        <v/>
      </c>
      <c r="G135" s="0">
        <f t="array" ref="G135">HfFromP(テーブル2[[#This Row],[P]])</f>
        <v/>
      </c>
      <c r="H135" s="0">
        <f t="array" ref="H135">MuGFromP(テーブル2[[#This Row],[P]])</f>
        <v/>
      </c>
      <c r="I135" s="0">
        <f t="array" ref="I135">MuFFromP(テーブル2[[#This Row],[P]])</f>
        <v/>
      </c>
      <c r="J135" s="0">
        <f t="array" ref="J135">KfFromP(テーブル2[[#This Row],[P]])</f>
        <v/>
      </c>
      <c r="K135" s="0">
        <f t="array" ref="K135">CpFFromP(テーブル2[[#This Row],[P]])</f>
        <v/>
      </c>
      <c r="L135" s="0">
        <f t="array" ref="L135">SigmaFromP(テーブル2[[#This Row],[P]])</f>
        <v/>
      </c>
      <c r="M135" s="0" t="n">
        <v>134</v>
      </c>
      <c r="N135" s="0" t="n">
        <v>2061.4696</v>
      </c>
      <c r="O135" s="8">
        <f>PI()*Q135^2/4</f>
        <v/>
      </c>
      <c r="P135" s="8">
        <f>PI()*Q135</f>
        <v/>
      </c>
      <c r="Q135" s="8" t="n">
        <v>0.001905</v>
      </c>
      <c r="R135" s="0" t="n">
        <v>0.1524</v>
      </c>
      <c r="S135" s="15" t="n">
        <v>3232979.89834375</v>
      </c>
      <c r="T135" s="0" t="n">
        <v>528.049027863142</v>
      </c>
      <c r="U135" s="37">
        <f>+T135+BG135*S135*テーブル2[[#This Row],[Pw]]*R135/(N135*O135*K135)</f>
        <v/>
      </c>
      <c r="V135" s="0" t="n">
        <v>0.03</v>
      </c>
      <c r="W135" s="8">
        <f>+N135*Q135/I135</f>
        <v/>
      </c>
      <c r="X135" s="0" t="n">
        <v>0.0349782601812614</v>
      </c>
      <c r="Y135" s="0">
        <f>IF(X135&gt;0,1/X135^0.5,1)</f>
        <v/>
      </c>
      <c r="Z135" s="0">
        <f>IF(X135&gt;0,1.14-2*LOG((0.72*L135*E135)/(X135*Q135*N135^2)+9.35/(W135*X135^0.5)),0)</f>
        <v/>
      </c>
      <c r="AA135" s="0">
        <f>+Y135-Z135</f>
        <v/>
      </c>
      <c r="AB135" s="0">
        <f>32/X135*L135*V135*E135/N135^2</f>
        <v/>
      </c>
      <c r="AC135" s="0" t="n">
        <v>696.7160546757411</v>
      </c>
      <c r="AD135" s="0">
        <f>+Q135/2*AI135/I135*E135</f>
        <v/>
      </c>
      <c r="AE135" s="0">
        <f>+gettm2(AD135,AC135,AK135,AL135,テーブル2[[#This Row],[Fcorr]])</f>
        <v/>
      </c>
      <c r="AF135" s="38">
        <f>+AE135-U135</f>
        <v/>
      </c>
      <c r="AG135" s="0" t="n">
        <v>1.789304330498579e-05</v>
      </c>
      <c r="AH135" s="0">
        <f>+X135*N135^2/(8*E135)</f>
        <v/>
      </c>
      <c r="AI135" s="0">
        <f>+(AH135/E135)^0.5</f>
        <v/>
      </c>
      <c r="AJ135" s="0">
        <f>+AG135*AI135/I135*E135</f>
        <v/>
      </c>
      <c r="AK135" s="0">
        <f t="array" ref="AK135">+S135*テーブル2[[#This Row],[F_form]]/(E135*CpFromTP((テーブル2[[#This Row],[Tin]]+テーブル2[[#This Row],[Tf]])/2,テーブル2[[#This Row],[P]])*AI135)</f>
        <v/>
      </c>
      <c r="AL135" s="0">
        <f>+K135*I135/J135</f>
        <v/>
      </c>
      <c r="AM135" s="0">
        <f>+gettyp(AC135,AJ135,AK135,AL135)</f>
        <v/>
      </c>
      <c r="AN135" s="0">
        <f>+C135-AM135</f>
        <v/>
      </c>
      <c r="AO135" s="0">
        <f>+AG135-AB135</f>
        <v/>
      </c>
      <c r="AP135" s="0" t="n">
        <v>2.849225897326985</v>
      </c>
      <c r="AQ135" s="0">
        <f>2*PI()*L135*(D135+E135)/(D135*E135*AP135^2)</f>
        <v/>
      </c>
      <c r="AR135" s="0">
        <f>+AO135+AB135/2</f>
        <v/>
      </c>
      <c r="AS135" s="0">
        <f>+AR135*AI135/I135*E135</f>
        <v/>
      </c>
      <c r="AT135" s="0">
        <f>+getublp(AS135)</f>
        <v/>
      </c>
      <c r="AU135" s="0">
        <f>+AT135*AI135</f>
        <v/>
      </c>
      <c r="AV135" s="0">
        <f>+AP135-AU135</f>
        <v/>
      </c>
      <c r="AW135" s="0">
        <f>2/3*AB135/(L135/(9.8*(E135-D135)))^0.5</f>
        <v/>
      </c>
      <c r="AX135" s="0">
        <f>+(2*AQ135*9.8*(E135-D135)/(E135*AW135))^0.5</f>
        <v/>
      </c>
      <c r="AY135" s="0">
        <f>+AV135-AX135</f>
        <v/>
      </c>
      <c r="AZ135" s="0">
        <f>+F135-G135</f>
        <v/>
      </c>
      <c r="BA135" s="0">
        <f>+AQ135/AP135</f>
        <v/>
      </c>
      <c r="BB135" s="15">
        <f>+E135*AO135*AZ135/BA135</f>
        <v/>
      </c>
      <c r="BC135" s="20">
        <f>BB135-S135</f>
        <v/>
      </c>
      <c r="BD135" s="19">
        <f>+(BB135-S135)/S135*100</f>
        <v/>
      </c>
      <c r="BE135" s="15" t="n">
        <v>3217681.8</v>
      </c>
      <c r="BF135" s="16">
        <f>テーブル2[[#This Row],[q_P]]/テーブル2[[#This Row],[q_M]]</f>
        <v/>
      </c>
      <c r="BG135" s="0" t="n">
        <v>1</v>
      </c>
      <c r="BH135" s="0" t="n">
        <v>-0.022</v>
      </c>
      <c r="BI135" s="0" t="n">
        <v>0.046</v>
      </c>
      <c r="BJ135" s="0" t="n">
        <v>5625</v>
      </c>
      <c r="BK135" s="22" t="n">
        <v>1</v>
      </c>
      <c r="BL135" s="0">
        <f>テーブル2[[#This Row],[Ts]]-テーブル2[[#This Row],[Tin]]</f>
        <v/>
      </c>
      <c r="BM135" s="0">
        <f>テーブル2[[#This Row],[q_P]]*0.000001</f>
        <v/>
      </c>
      <c r="BN135" s="0">
        <f>テーブル2[[#This Row],[Tsub]]</f>
        <v/>
      </c>
      <c r="BO135" s="0">
        <f>テーブル2[[#This Row],[Fcorr]]</f>
        <v/>
      </c>
      <c r="BP135" s="0">
        <f>(テーブル2[[#This Row],[Tsub]]-40)^2</f>
        <v/>
      </c>
      <c r="BQ135" t="n">
        <v>1</v>
      </c>
      <c r="BR135" s="0" t="n">
        <v>0.1524</v>
      </c>
    </row>
    <row r="136">
      <c r="A136" s="9" t="inlineStr">
        <is>
          <t>3.01_11</t>
        </is>
      </c>
      <c r="B136" s="0" t="n">
        <v>15513203.9096288</v>
      </c>
      <c r="C136" s="22">
        <f t="array" ref="C136">TsatFromP(テーブル2[[#This Row],[P]])</f>
        <v/>
      </c>
      <c r="D136" s="0">
        <f t="array" ref="D136">RhoGFromP(テーブル2[[#This Row],[P]])</f>
        <v/>
      </c>
      <c r="E136" s="0">
        <f t="array" ref="E136">RhoFFromP(テーブル2[[#This Row],[P]])</f>
        <v/>
      </c>
      <c r="F136" s="0">
        <f t="array" ref="F136">HgFromP(テーブル2[[#This Row],[P]])</f>
        <v/>
      </c>
      <c r="G136" s="0">
        <f t="array" ref="G136">HfFromP(テーブル2[[#This Row],[P]])</f>
        <v/>
      </c>
      <c r="H136" s="0">
        <f t="array" ref="H136">MuGFromP(テーブル2[[#This Row],[P]])</f>
        <v/>
      </c>
      <c r="I136" s="0">
        <f t="array" ref="I136">MuFFromP(テーブル2[[#This Row],[P]])</f>
        <v/>
      </c>
      <c r="J136" s="0">
        <f t="array" ref="J136">KfFromP(テーブル2[[#This Row],[P]])</f>
        <v/>
      </c>
      <c r="K136" s="0">
        <f t="array" ref="K136">CpFFromP(テーブル2[[#This Row],[P]])</f>
        <v/>
      </c>
      <c r="L136" s="0">
        <f t="array" ref="L136">SigmaFromP(テーブル2[[#This Row],[P]])</f>
        <v/>
      </c>
      <c r="M136" s="0" t="n">
        <v>135</v>
      </c>
      <c r="N136" s="0" t="n">
        <v>2115.7188</v>
      </c>
      <c r="O136" s="8">
        <f>PI()*Q136^2/4</f>
        <v/>
      </c>
      <c r="P136" s="8">
        <f>PI()*Q136</f>
        <v/>
      </c>
      <c r="Q136" s="8" t="n">
        <v>0.001905</v>
      </c>
      <c r="R136" s="0" t="n">
        <v>0.1524</v>
      </c>
      <c r="S136" s="15" t="n">
        <v>3742000.25390625</v>
      </c>
      <c r="T136" s="0" t="n">
        <v>514.673376063079</v>
      </c>
      <c r="U136" s="37">
        <f>+T136+BG136*S136*テーブル2[[#This Row],[Pw]]*R136/(N136*O136*K136)</f>
        <v/>
      </c>
      <c r="V136" s="0" t="n">
        <v>0.03</v>
      </c>
      <c r="W136" s="8">
        <f>+N136*Q136/I136</f>
        <v/>
      </c>
      <c r="X136" s="0" t="n">
        <v>0.03455517461007541</v>
      </c>
      <c r="Y136" s="0">
        <f>IF(X136&gt;0,1/X136^0.5,1)</f>
        <v/>
      </c>
      <c r="Z136" s="0">
        <f>IF(X136&gt;0,1.14-2*LOG((0.72*L136*E136)/(X136*Q136*N136^2)+9.35/(W136*X136^0.5)),0)</f>
        <v/>
      </c>
      <c r="AA136" s="0">
        <f>+Y136-Z136</f>
        <v/>
      </c>
      <c r="AB136" s="0">
        <f>32/X136*L136*V136*E136/N136^2</f>
        <v/>
      </c>
      <c r="AC136" s="0" t="n">
        <v>709.6367037041828</v>
      </c>
      <c r="AD136" s="0">
        <f>+Q136/2*AI136/I136*E136</f>
        <v/>
      </c>
      <c r="AE136" s="0">
        <f>+gettm2(AD136,AC136,AK136,AL136,テーブル2[[#This Row],[Fcorr]])</f>
        <v/>
      </c>
      <c r="AF136" s="38">
        <f>+AE136-U136</f>
        <v/>
      </c>
      <c r="AG136" s="0" t="n">
        <v>1.720744561555765e-05</v>
      </c>
      <c r="AH136" s="0">
        <f>+X136*N136^2/(8*E136)</f>
        <v/>
      </c>
      <c r="AI136" s="0">
        <f>+(AH136/E136)^0.5</f>
        <v/>
      </c>
      <c r="AJ136" s="0">
        <f>+AG136*AI136/I136*E136</f>
        <v/>
      </c>
      <c r="AK136" s="0">
        <f t="array" ref="AK136">+S136*テーブル2[[#This Row],[F_form]]/(E136*CpFromTP((テーブル2[[#This Row],[Tin]]+テーブル2[[#This Row],[Tf]])/2,テーブル2[[#This Row],[P]])*AI136)</f>
        <v/>
      </c>
      <c r="AL136" s="0">
        <f>+K136*I136/J136</f>
        <v/>
      </c>
      <c r="AM136" s="0">
        <f>+gettyp(AC136,AJ136,AK136,AL136)</f>
        <v/>
      </c>
      <c r="AN136" s="0">
        <f>+C136-AM136</f>
        <v/>
      </c>
      <c r="AO136" s="0">
        <f>+AG136-AB136</f>
        <v/>
      </c>
      <c r="AP136" s="0" t="n">
        <v>2.882107328942191</v>
      </c>
      <c r="AQ136" s="0">
        <f>2*PI()*L136*(D136+E136)/(D136*E136*AP136^2)</f>
        <v/>
      </c>
      <c r="AR136" s="0">
        <f>+AO136+AB136/2</f>
        <v/>
      </c>
      <c r="AS136" s="0">
        <f>+AR136*AI136/I136*E136</f>
        <v/>
      </c>
      <c r="AT136" s="0">
        <f>+getublp(AS136)</f>
        <v/>
      </c>
      <c r="AU136" s="0">
        <f>+AT136*AI136</f>
        <v/>
      </c>
      <c r="AV136" s="0">
        <f>+AP136-AU136</f>
        <v/>
      </c>
      <c r="AW136" s="0">
        <f>2/3*AB136/(L136/(9.8*(E136-D136)))^0.5</f>
        <v/>
      </c>
      <c r="AX136" s="0">
        <f>+(2*AQ136*9.8*(E136-D136)/(E136*AW136))^0.5</f>
        <v/>
      </c>
      <c r="AY136" s="0">
        <f>+AV136-AX136</f>
        <v/>
      </c>
      <c r="AZ136" s="0">
        <f>+F136-G136</f>
        <v/>
      </c>
      <c r="BA136" s="0">
        <f>+AQ136/AP136</f>
        <v/>
      </c>
      <c r="BB136" s="15">
        <f>+E136*AO136*AZ136/BA136</f>
        <v/>
      </c>
      <c r="BC136" s="20">
        <f>BB136-S136</f>
        <v/>
      </c>
      <c r="BD136" s="19">
        <f>+(BB136-S136)/S136*100</f>
        <v/>
      </c>
      <c r="BE136" s="15" t="n">
        <v>3722416.2</v>
      </c>
      <c r="BF136" s="16">
        <f>テーブル2[[#This Row],[q_P]]/テーブル2[[#This Row],[q_M]]</f>
        <v/>
      </c>
      <c r="BG136" s="0" t="n">
        <v>1</v>
      </c>
      <c r="BH136" s="0" t="n">
        <v>-0.022</v>
      </c>
      <c r="BI136" s="0" t="n">
        <v>0.046</v>
      </c>
      <c r="BJ136" s="0" t="n">
        <v>5625</v>
      </c>
      <c r="BK136" s="22" t="n">
        <v>1</v>
      </c>
      <c r="BL136" s="0">
        <f>テーブル2[[#This Row],[Ts]]-テーブル2[[#This Row],[Tin]]</f>
        <v/>
      </c>
      <c r="BM136" s="0">
        <f>テーブル2[[#This Row],[q_P]]*0.000001</f>
        <v/>
      </c>
      <c r="BN136" s="0">
        <f>テーブル2[[#This Row],[Tsub]]</f>
        <v/>
      </c>
      <c r="BO136" s="0">
        <f>テーブル2[[#This Row],[Fcorr]]</f>
        <v/>
      </c>
      <c r="BP136" s="0">
        <f>(テーブル2[[#This Row],[Tsub]]-40)^2</f>
        <v/>
      </c>
      <c r="BQ136" t="n">
        <v>1</v>
      </c>
      <c r="BR136" s="0" t="n">
        <v>0.1524</v>
      </c>
    </row>
    <row r="137">
      <c r="A137" s="9" t="inlineStr">
        <is>
          <t>4.01_11</t>
        </is>
      </c>
      <c r="B137" s="0" t="n">
        <v>15513203.9096288</v>
      </c>
      <c r="C137" s="22">
        <f t="array" ref="C137">TsatFromP(テーブル2[[#This Row],[P]])</f>
        <v/>
      </c>
      <c r="D137" s="0">
        <f t="array" ref="D137">RhoGFromP(テーブル2[[#This Row],[P]])</f>
        <v/>
      </c>
      <c r="E137" s="0">
        <f t="array" ref="E137">RhoFFromP(テーブル2[[#This Row],[P]])</f>
        <v/>
      </c>
      <c r="F137" s="0">
        <f t="array" ref="F137">HgFromP(テーブル2[[#This Row],[P]])</f>
        <v/>
      </c>
      <c r="G137" s="0">
        <f t="array" ref="G137">HfFromP(テーブル2[[#This Row],[P]])</f>
        <v/>
      </c>
      <c r="H137" s="0">
        <f t="array" ref="H137">MuGFromP(テーブル2[[#This Row],[P]])</f>
        <v/>
      </c>
      <c r="I137" s="0">
        <f t="array" ref="I137">MuFFromP(テーブル2[[#This Row],[P]])</f>
        <v/>
      </c>
      <c r="J137" s="0">
        <f t="array" ref="J137">KfFromP(テーブル2[[#This Row],[P]])</f>
        <v/>
      </c>
      <c r="K137" s="0">
        <f t="array" ref="K137">CpFFromP(テーブル2[[#This Row],[P]])</f>
        <v/>
      </c>
      <c r="L137" s="0">
        <f t="array" ref="L137">SigmaFromP(テーブル2[[#This Row],[P]])</f>
        <v/>
      </c>
      <c r="M137" s="0" t="n">
        <v>136</v>
      </c>
      <c r="N137" s="0" t="n">
        <v>2156.4057</v>
      </c>
      <c r="O137" s="8">
        <f>PI()*Q137^2/4</f>
        <v/>
      </c>
      <c r="P137" s="8">
        <f>PI()*Q137</f>
        <v/>
      </c>
      <c r="Q137" s="8" t="n">
        <v>0.001905</v>
      </c>
      <c r="R137" s="0" t="n">
        <v>0.1524</v>
      </c>
      <c r="S137" s="15" t="n">
        <v>3829275.96103125</v>
      </c>
      <c r="T137" s="0" t="n">
        <v>513.573705808907</v>
      </c>
      <c r="U137" s="37">
        <f>+T137+BG137*S137*テーブル2[[#This Row],[Pw]]*R137/(N137*O137*K137)</f>
        <v/>
      </c>
      <c r="V137" s="0" t="n">
        <v>0.03</v>
      </c>
      <c r="W137" s="8">
        <f>+N137*Q137/I137</f>
        <v/>
      </c>
      <c r="X137" s="0" t="n">
        <v>0.03424961731281684</v>
      </c>
      <c r="Y137" s="0">
        <f>IF(X137&gt;0,1/X137^0.5,1)</f>
        <v/>
      </c>
      <c r="Z137" s="0">
        <f>IF(X137&gt;0,1.14-2*LOG((0.72*L137*E137)/(X137*Q137*N137^2)+9.35/(W137*X137^0.5)),0)</f>
        <v/>
      </c>
      <c r="AA137" s="0">
        <f>+Y137-Z137</f>
        <v/>
      </c>
      <c r="AB137" s="0">
        <f>32/X137*L137*V137*E137/N137^2</f>
        <v/>
      </c>
      <c r="AC137" s="0" t="n">
        <v>710.4546102960934</v>
      </c>
      <c r="AD137" s="0">
        <f>+Q137/2*AI137/I137*E137</f>
        <v/>
      </c>
      <c r="AE137" s="0">
        <f>+gettm2(AD137,AC137,AK137,AL137,テーブル2[[#This Row],[Fcorr]])</f>
        <v/>
      </c>
      <c r="AF137" s="38">
        <f>+AE137-U137</f>
        <v/>
      </c>
      <c r="AG137" s="0" t="n">
        <v>1.671485875793634e-05</v>
      </c>
      <c r="AH137" s="0">
        <f>+X137*N137^2/(8*E137)</f>
        <v/>
      </c>
      <c r="AI137" s="0">
        <f>+(AH137/E137)^0.5</f>
        <v/>
      </c>
      <c r="AJ137" s="0">
        <f>+AG137*AI137/I137*E137</f>
        <v/>
      </c>
      <c r="AK137" s="0">
        <f t="array" ref="AK137">+S137*テーブル2[[#This Row],[F_form]]/(E137*CpFromTP((テーブル2[[#This Row],[Tin]]+テーブル2[[#This Row],[Tf]])/2,テーブル2[[#This Row],[P]])*AI137)</f>
        <v/>
      </c>
      <c r="AL137" s="0">
        <f>+K137*I137/J137</f>
        <v/>
      </c>
      <c r="AM137" s="0">
        <f>+gettyp(AC137,AJ137,AK137,AL137)</f>
        <v/>
      </c>
      <c r="AN137" s="0">
        <f>+C137-AM137</f>
        <v/>
      </c>
      <c r="AO137" s="0">
        <f>+AG137-AB137</f>
        <v/>
      </c>
      <c r="AP137" s="0" t="n">
        <v>2.905622863806986</v>
      </c>
      <c r="AQ137" s="0">
        <f>2*PI()*L137*(D137+E137)/(D137*E137*AP137^2)</f>
        <v/>
      </c>
      <c r="AR137" s="0">
        <f>+AO137+AB137/2</f>
        <v/>
      </c>
      <c r="AS137" s="0">
        <f>+AR137*AI137/I137*E137</f>
        <v/>
      </c>
      <c r="AT137" s="0">
        <f>+getublp(AS137)</f>
        <v/>
      </c>
      <c r="AU137" s="0">
        <f>+AT137*AI137</f>
        <v/>
      </c>
      <c r="AV137" s="0">
        <f>+AP137-AU137</f>
        <v/>
      </c>
      <c r="AW137" s="0">
        <f>2/3*AB137/(L137/(9.8*(E137-D137)))^0.5</f>
        <v/>
      </c>
      <c r="AX137" s="0">
        <f>+(2*AQ137*9.8*(E137-D137)/(E137*AW137))^0.5</f>
        <v/>
      </c>
      <c r="AY137" s="0">
        <f>+AV137-AX137</f>
        <v/>
      </c>
      <c r="AZ137" s="0">
        <f>+F137-G137</f>
        <v/>
      </c>
      <c r="BA137" s="0">
        <f>+AQ137/AP137</f>
        <v/>
      </c>
      <c r="BB137" s="15">
        <f>+E137*AO137*AZ137/BA137</f>
        <v/>
      </c>
      <c r="BC137" s="20">
        <f>BB137-S137</f>
        <v/>
      </c>
      <c r="BD137" s="19">
        <f>+(BB137-S137)/S137*100</f>
        <v/>
      </c>
      <c r="BE137" s="15" t="n">
        <v>3785508</v>
      </c>
      <c r="BF137" s="16">
        <f>テーブル2[[#This Row],[q_P]]/テーブル2[[#This Row],[q_M]]</f>
        <v/>
      </c>
      <c r="BG137" s="0" t="n">
        <v>1</v>
      </c>
      <c r="BH137" s="0" t="n">
        <v>-0.028</v>
      </c>
      <c r="BI137" s="0" t="n">
        <v>0.046</v>
      </c>
      <c r="BJ137" s="0" t="n">
        <v>5625</v>
      </c>
      <c r="BK137" s="22" t="n">
        <v>1</v>
      </c>
      <c r="BL137" s="0">
        <f>テーブル2[[#This Row],[Ts]]-テーブル2[[#This Row],[Tin]]</f>
        <v/>
      </c>
      <c r="BM137" s="0">
        <f>テーブル2[[#This Row],[q_P]]*0.000001</f>
        <v/>
      </c>
      <c r="BN137" s="0">
        <f>テーブル2[[#This Row],[Tsub]]</f>
        <v/>
      </c>
      <c r="BO137" s="0">
        <f>テーブル2[[#This Row],[Fcorr]]</f>
        <v/>
      </c>
      <c r="BP137" s="0">
        <f>(テーブル2[[#This Row],[Tsub]]-40)^2</f>
        <v/>
      </c>
      <c r="BQ137" t="n">
        <v>1</v>
      </c>
      <c r="BR137" s="0" t="n">
        <v>0.1524</v>
      </c>
    </row>
    <row r="138">
      <c r="A138" s="9" t="inlineStr">
        <is>
          <t>5.01_11</t>
        </is>
      </c>
      <c r="B138" s="0" t="n">
        <v>15513203.9096288</v>
      </c>
      <c r="C138" s="22">
        <f t="array" ref="C138">TsatFromP(テーブル2[[#This Row],[P]])</f>
        <v/>
      </c>
      <c r="D138" s="0">
        <f t="array" ref="D138">RhoGFromP(テーブル2[[#This Row],[P]])</f>
        <v/>
      </c>
      <c r="E138" s="0">
        <f t="array" ref="E138">RhoFFromP(テーブル2[[#This Row],[P]])</f>
        <v/>
      </c>
      <c r="F138" s="0">
        <f t="array" ref="F138">HgFromP(テーブル2[[#This Row],[P]])</f>
        <v/>
      </c>
      <c r="G138" s="0">
        <f t="array" ref="G138">HfFromP(テーブル2[[#This Row],[P]])</f>
        <v/>
      </c>
      <c r="H138" s="0">
        <f t="array" ref="H138">MuGFromP(テーブル2[[#This Row],[P]])</f>
        <v/>
      </c>
      <c r="I138" s="0">
        <f t="array" ref="I138">MuFFromP(テーブル2[[#This Row],[P]])</f>
        <v/>
      </c>
      <c r="J138" s="0">
        <f t="array" ref="J138">KfFromP(テーブル2[[#This Row],[P]])</f>
        <v/>
      </c>
      <c r="K138" s="0">
        <f t="array" ref="K138">CpFFromP(テーブル2[[#This Row],[P]])</f>
        <v/>
      </c>
      <c r="L138" s="0">
        <f t="array" ref="L138">SigmaFromP(テーブル2[[#This Row],[P]])</f>
        <v/>
      </c>
      <c r="M138" s="0" t="n">
        <v>137</v>
      </c>
      <c r="N138" s="0" t="n">
        <v>2251.3418</v>
      </c>
      <c r="O138" s="8">
        <f>PI()*Q138^2/4</f>
        <v/>
      </c>
      <c r="P138" s="8">
        <f>PI()*Q138</f>
        <v/>
      </c>
      <c r="Q138" s="8" t="n">
        <v>0.001905</v>
      </c>
      <c r="R138" s="0" t="n">
        <v>0.1524</v>
      </c>
      <c r="S138" s="15" t="n">
        <v>5268560.482031249</v>
      </c>
      <c r="T138" s="0" t="n">
        <v>475.206308577687</v>
      </c>
      <c r="U138" s="37">
        <f>+T138+BG138*S138*テーブル2[[#This Row],[Pw]]*R138/(N138*O138*K138)</f>
        <v/>
      </c>
      <c r="V138" s="0" t="n">
        <v>0.03</v>
      </c>
      <c r="W138" s="8">
        <f>+N138*Q138/I138</f>
        <v/>
      </c>
      <c r="X138" s="0" t="n">
        <v>0.03357281400257757</v>
      </c>
      <c r="Y138" s="0">
        <f>IF(X138&gt;0,1/X138^0.5,1)</f>
        <v/>
      </c>
      <c r="Z138" s="0">
        <f>IF(X138&gt;0,1.14-2*LOG((0.72*L138*E138)/(X138*Q138*N138^2)+9.35/(W138*X138^0.5)),0)</f>
        <v/>
      </c>
      <c r="AA138" s="0">
        <f>+Y138-Z138</f>
        <v/>
      </c>
      <c r="AB138" s="0">
        <f>32/X138*L138*V138*E138/N138^2</f>
        <v/>
      </c>
      <c r="AC138" s="0" t="n">
        <v>748.0677459354248</v>
      </c>
      <c r="AD138" s="0">
        <f>+Q138/2*AI138/I138*E138</f>
        <v/>
      </c>
      <c r="AE138" s="0">
        <f>+gettm2(AD138,AC138,AK138,AL138,テーブル2[[#This Row],[Fcorr]])</f>
        <v/>
      </c>
      <c r="AF138" s="38">
        <f>+AE138-U138</f>
        <v/>
      </c>
      <c r="AG138" s="0" t="n">
        <v>1.567645819645786e-05</v>
      </c>
      <c r="AH138" s="0">
        <f>+X138*N138^2/(8*E138)</f>
        <v/>
      </c>
      <c r="AI138" s="0">
        <f>+(AH138/E138)^0.5</f>
        <v/>
      </c>
      <c r="AJ138" s="0">
        <f>+AG138*AI138/I138*E138</f>
        <v/>
      </c>
      <c r="AK138" s="0">
        <f t="array" ref="AK138">+S138*テーブル2[[#This Row],[F_form]]/(E138*CpFromTP((テーブル2[[#This Row],[Tin]]+テーブル2[[#This Row],[Tf]])/2,テーブル2[[#This Row],[P]])*AI138)</f>
        <v/>
      </c>
      <c r="AL138" s="0">
        <f>+K138*I138/J138</f>
        <v/>
      </c>
      <c r="AM138" s="0">
        <f>+gettyp(AC138,AJ138,AK138,AL138)</f>
        <v/>
      </c>
      <c r="AN138" s="0">
        <f>+C138-AM138</f>
        <v/>
      </c>
      <c r="AO138" s="0">
        <f>+AG138-AB138</f>
        <v/>
      </c>
      <c r="AP138" s="0" t="n">
        <v>2.963051089026239</v>
      </c>
      <c r="AQ138" s="0">
        <f>2*PI()*L138*(D138+E138)/(D138*E138*AP138^2)</f>
        <v/>
      </c>
      <c r="AR138" s="0">
        <f>+AO138+AB138/2</f>
        <v/>
      </c>
      <c r="AS138" s="0">
        <f>+AR138*AI138/I138*E138</f>
        <v/>
      </c>
      <c r="AT138" s="0">
        <f>+getublp(AS138)</f>
        <v/>
      </c>
      <c r="AU138" s="0">
        <f>+AT138*AI138</f>
        <v/>
      </c>
      <c r="AV138" s="0">
        <f>+AP138-AU138</f>
        <v/>
      </c>
      <c r="AW138" s="0">
        <f>2/3*AB138/(L138/(9.8*(E138-D138)))^0.5</f>
        <v/>
      </c>
      <c r="AX138" s="0">
        <f>+(2*AQ138*9.8*(E138-D138)/(E138*AW138))^0.5</f>
        <v/>
      </c>
      <c r="AY138" s="0">
        <f>+AV138-AX138</f>
        <v/>
      </c>
      <c r="AZ138" s="0">
        <f>+F138-G138</f>
        <v/>
      </c>
      <c r="BA138" s="0">
        <f>+AQ138/AP138</f>
        <v/>
      </c>
      <c r="BB138" s="15">
        <f>+E138*AO138*AZ138/BA138</f>
        <v/>
      </c>
      <c r="BC138" s="20">
        <f>BB138-S138</f>
        <v/>
      </c>
      <c r="BD138" s="19">
        <f>+(BB138-S138)/S138*100</f>
        <v/>
      </c>
      <c r="BE138" s="15" t="n">
        <v>4889614.5</v>
      </c>
      <c r="BF138" s="16">
        <f>テーブル2[[#This Row],[q_P]]/テーブル2[[#This Row],[q_M]]</f>
        <v/>
      </c>
      <c r="BG138" s="0" t="n">
        <v>1</v>
      </c>
      <c r="BH138" s="0" t="n">
        <v>-0.07099999999999999</v>
      </c>
      <c r="BI138" s="0" t="n">
        <v>0.046</v>
      </c>
      <c r="BJ138" s="0" t="n">
        <v>5625</v>
      </c>
      <c r="BK138" s="22" t="n">
        <v>1</v>
      </c>
      <c r="BL138" s="0">
        <f>テーブル2[[#This Row],[Ts]]-テーブル2[[#This Row],[Tin]]</f>
        <v/>
      </c>
      <c r="BM138" s="0">
        <f>テーブル2[[#This Row],[q_P]]*0.000001</f>
        <v/>
      </c>
      <c r="BN138" s="0">
        <f>テーブル2[[#This Row],[Tsub]]</f>
        <v/>
      </c>
      <c r="BO138" s="0">
        <f>テーブル2[[#This Row],[Fcorr]]</f>
        <v/>
      </c>
      <c r="BP138" s="0">
        <f>(テーブル2[[#This Row],[Tsub]]-40)^2</f>
        <v/>
      </c>
      <c r="BQ138" t="n">
        <v>1</v>
      </c>
      <c r="BR138" s="0" t="n">
        <v>0.1524</v>
      </c>
    </row>
    <row r="139">
      <c r="A139" s="9" t="inlineStr">
        <is>
          <t>6.01_11</t>
        </is>
      </c>
      <c r="B139" s="0" t="n">
        <v>15513203.9096288</v>
      </c>
      <c r="C139" s="22">
        <f t="array" ref="C139">TsatFromP(テーブル2[[#This Row],[P]])</f>
        <v/>
      </c>
      <c r="D139" s="0">
        <f t="array" ref="D139">RhoGFromP(テーブル2[[#This Row],[P]])</f>
        <v/>
      </c>
      <c r="E139" s="0">
        <f t="array" ref="E139">RhoFFromP(テーブル2[[#This Row],[P]])</f>
        <v/>
      </c>
      <c r="F139" s="0">
        <f t="array" ref="F139">HgFromP(テーブル2[[#This Row],[P]])</f>
        <v/>
      </c>
      <c r="G139" s="0">
        <f t="array" ref="G139">HfFromP(テーブル2[[#This Row],[P]])</f>
        <v/>
      </c>
      <c r="H139" s="0">
        <f t="array" ref="H139">MuGFromP(テーブル2[[#This Row],[P]])</f>
        <v/>
      </c>
      <c r="I139" s="0">
        <f t="array" ref="I139">MuFFromP(テーブル2[[#This Row],[P]])</f>
        <v/>
      </c>
      <c r="J139" s="0">
        <f t="array" ref="J139">KfFromP(テーブル2[[#This Row],[P]])</f>
        <v/>
      </c>
      <c r="K139" s="0">
        <f t="array" ref="K139">CpFFromP(テーブル2[[#This Row],[P]])</f>
        <v/>
      </c>
      <c r="L139" s="0">
        <f t="array" ref="L139">SigmaFromP(テーブル2[[#This Row],[P]])</f>
        <v/>
      </c>
      <c r="M139" s="0" t="n">
        <v>138</v>
      </c>
      <c r="N139" s="0" t="n">
        <v>2264.9041</v>
      </c>
      <c r="O139" s="8">
        <f>PI()*Q139^2/4</f>
        <v/>
      </c>
      <c r="P139" s="8">
        <f>PI()*Q139</f>
        <v/>
      </c>
      <c r="Q139" s="8" t="n">
        <v>0.001905</v>
      </c>
      <c r="R139" s="0" t="n">
        <v>0.1524</v>
      </c>
      <c r="S139" s="15" t="n">
        <v>5384189.74609375</v>
      </c>
      <c r="T139" s="0" t="n">
        <v>472.471300672398</v>
      </c>
      <c r="U139" s="37">
        <f>+T139+BG139*S139*テーブル2[[#This Row],[Pw]]*R139/(N139*O139*K139)</f>
        <v/>
      </c>
      <c r="V139" s="0" t="n">
        <v>0.03</v>
      </c>
      <c r="W139" s="8">
        <f>+N139*Q139/I139</f>
        <v/>
      </c>
      <c r="X139" s="0" t="n">
        <v>0.03348001219959474</v>
      </c>
      <c r="Y139" s="0">
        <f>IF(X139&gt;0,1/X139^0.5,1)</f>
        <v/>
      </c>
      <c r="Z139" s="0">
        <f>IF(X139&gt;0,1.14-2*LOG((0.72*L139*E139)/(X139*Q139*N139^2)+9.35/(W139*X139^0.5)),0)</f>
        <v/>
      </c>
      <c r="AA139" s="0">
        <f>+Y139-Z139</f>
        <v/>
      </c>
      <c r="AB139" s="0">
        <f>32/X139*L139*V139*E139/N139^2</f>
        <v/>
      </c>
      <c r="AC139" s="0" t="n">
        <v>750.6872854759376</v>
      </c>
      <c r="AD139" s="0">
        <f>+Q139/2*AI139/I139*E139</f>
        <v/>
      </c>
      <c r="AE139" s="0">
        <f>+gettm2(AD139,AC139,AK139,AL139,テーブル2[[#This Row],[Fcorr]])</f>
        <v/>
      </c>
      <c r="AF139" s="38">
        <f>+AE139-U139</f>
        <v/>
      </c>
      <c r="AG139" s="0" t="n">
        <v>1.553572760921543e-05</v>
      </c>
      <c r="AH139" s="0">
        <f>+X139*N139^2/(8*E139)</f>
        <v/>
      </c>
      <c r="AI139" s="0">
        <f>+(AH139/E139)^0.5</f>
        <v/>
      </c>
      <c r="AJ139" s="0">
        <f>+AG139*AI139/I139*E139</f>
        <v/>
      </c>
      <c r="AK139" s="0">
        <f t="array" ref="AK139">+S139*テーブル2[[#This Row],[F_form]]/(E139*CpFromTP((テーブル2[[#This Row],[Tin]]+テーブル2[[#This Row],[Tf]])/2,テーブル2[[#This Row],[P]])*AI139)</f>
        <v/>
      </c>
      <c r="AL139" s="0">
        <f>+K139*I139/J139</f>
        <v/>
      </c>
      <c r="AM139" s="0">
        <f>+gettyp(AC139,AJ139,AK139,AL139)</f>
        <v/>
      </c>
      <c r="AN139" s="0">
        <f>+C139-AM139</f>
        <v/>
      </c>
      <c r="AO139" s="0">
        <f>+AG139-AB139</f>
        <v/>
      </c>
      <c r="AP139" s="0" t="n">
        <v>2.970982804204839</v>
      </c>
      <c r="AQ139" s="0">
        <f>2*PI()*L139*(D139+E139)/(D139*E139*AP139^2)</f>
        <v/>
      </c>
      <c r="AR139" s="0">
        <f>+AO139+AB139/2</f>
        <v/>
      </c>
      <c r="AS139" s="0">
        <f>+AR139*AI139/I139*E139</f>
        <v/>
      </c>
      <c r="AT139" s="0">
        <f>+getublp(AS139)</f>
        <v/>
      </c>
      <c r="AU139" s="0">
        <f>+AT139*AI139</f>
        <v/>
      </c>
      <c r="AV139" s="0">
        <f>+AP139-AU139</f>
        <v/>
      </c>
      <c r="AW139" s="0">
        <f>2/3*AB139/(L139/(9.8*(E139-D139)))^0.5</f>
        <v/>
      </c>
      <c r="AX139" s="0">
        <f>+(2*AQ139*9.8*(E139-D139)/(E139*AW139))^0.5</f>
        <v/>
      </c>
      <c r="AY139" s="0">
        <f>+AV139-AX139</f>
        <v/>
      </c>
      <c r="AZ139" s="0">
        <f>+F139-G139</f>
        <v/>
      </c>
      <c r="BA139" s="0">
        <f>+AQ139/AP139</f>
        <v/>
      </c>
      <c r="BB139" s="15">
        <f>+E139*AO139*AZ139/BA139</f>
        <v/>
      </c>
      <c r="BC139" s="20">
        <f>BB139-S139</f>
        <v/>
      </c>
      <c r="BD139" s="19">
        <f>+(BB139-S139)/S139*100</f>
        <v/>
      </c>
      <c r="BE139" s="15" t="n">
        <v>5015798.1</v>
      </c>
      <c r="BF139" s="16">
        <f>テーブル2[[#This Row],[q_P]]/テーブル2[[#This Row],[q_M]]</f>
        <v/>
      </c>
      <c r="BG139" s="0" t="n">
        <v>1</v>
      </c>
      <c r="BH139" s="0" t="n">
        <v>-0.06900000000000001</v>
      </c>
      <c r="BI139" s="0" t="n">
        <v>0.046</v>
      </c>
      <c r="BJ139" s="0" t="n">
        <v>5625</v>
      </c>
      <c r="BK139" s="22" t="n">
        <v>1</v>
      </c>
      <c r="BL139" s="0">
        <f>テーブル2[[#This Row],[Ts]]-テーブル2[[#This Row],[Tin]]</f>
        <v/>
      </c>
      <c r="BM139" s="0">
        <f>テーブル2[[#This Row],[q_P]]*0.000001</f>
        <v/>
      </c>
      <c r="BN139" s="0">
        <f>テーブル2[[#This Row],[Tsub]]</f>
        <v/>
      </c>
      <c r="BO139" s="0">
        <f>テーブル2[[#This Row],[Fcorr]]</f>
        <v/>
      </c>
      <c r="BP139" s="0">
        <f>(テーブル2[[#This Row],[Tsub]]-40)^2</f>
        <v/>
      </c>
      <c r="BQ139" t="n">
        <v>1</v>
      </c>
      <c r="BR139" s="0" t="n">
        <v>0.1524</v>
      </c>
    </row>
    <row r="140">
      <c r="A140" s="9" t="inlineStr">
        <is>
          <t>7.01_11</t>
        </is>
      </c>
      <c r="B140" s="0" t="n">
        <v>15513203.9096288</v>
      </c>
      <c r="C140" s="22">
        <f t="array" ref="C140">TsatFromP(テーブル2[[#This Row],[P]])</f>
        <v/>
      </c>
      <c r="D140" s="0">
        <f t="array" ref="D140">RhoGFromP(テーブル2[[#This Row],[P]])</f>
        <v/>
      </c>
      <c r="E140" s="0">
        <f t="array" ref="E140">RhoFFromP(テーブル2[[#This Row],[P]])</f>
        <v/>
      </c>
      <c r="F140" s="0">
        <f t="array" ref="F140">HgFromP(テーブル2[[#This Row],[P]])</f>
        <v/>
      </c>
      <c r="G140" s="0">
        <f t="array" ref="G140">HfFromP(テーブル2[[#This Row],[P]])</f>
        <v/>
      </c>
      <c r="H140" s="0">
        <f t="array" ref="H140">MuGFromP(テーブル2[[#This Row],[P]])</f>
        <v/>
      </c>
      <c r="I140" s="0">
        <f t="array" ref="I140">MuFFromP(テーブル2[[#This Row],[P]])</f>
        <v/>
      </c>
      <c r="J140" s="0">
        <f t="array" ref="J140">KfFromP(テーブル2[[#This Row],[P]])</f>
        <v/>
      </c>
      <c r="K140" s="0">
        <f t="array" ref="K140">CpFFromP(テーブル2[[#This Row],[P]])</f>
        <v/>
      </c>
      <c r="L140" s="0">
        <f t="array" ref="L140">SigmaFromP(テーブル2[[#This Row],[P]])</f>
        <v/>
      </c>
      <c r="M140" s="0" t="n">
        <v>139</v>
      </c>
      <c r="N140" s="0" t="n">
        <v>2305.591</v>
      </c>
      <c r="O140" s="8">
        <f>PI()*Q140^2/4</f>
        <v/>
      </c>
      <c r="P140" s="8">
        <f>PI()*Q140</f>
        <v/>
      </c>
      <c r="Q140" s="8" t="n">
        <v>0.001905</v>
      </c>
      <c r="R140" s="0" t="n">
        <v>0.1524</v>
      </c>
      <c r="S140" s="15" t="n">
        <v>4587694.82421875</v>
      </c>
      <c r="T140" s="0" t="n">
        <v>497.214081002506</v>
      </c>
      <c r="U140" s="37">
        <f>+T140+BG140*S140*テーブル2[[#This Row],[Pw]]*R140/(N140*O140*K140)</f>
        <v/>
      </c>
      <c r="V140" s="0" t="n">
        <v>0.03</v>
      </c>
      <c r="W140" s="8">
        <f>+N140*Q140/I140</f>
        <v/>
      </c>
      <c r="X140" s="0" t="n">
        <v>0.03320708983567856</v>
      </c>
      <c r="Y140" s="0">
        <f>IF(X140&gt;0,1/X140^0.5,1)</f>
        <v/>
      </c>
      <c r="Z140" s="0">
        <f>IF(X140&gt;0,1.14-2*LOG((0.72*L140*E140)/(X140*Q140*N140^2)+9.35/(W140*X140^0.5)),0)</f>
        <v/>
      </c>
      <c r="AA140" s="0">
        <f>+Y140-Z140</f>
        <v/>
      </c>
      <c r="AB140" s="0">
        <f>32/X140*L140*V140*E140/N140^2</f>
        <v/>
      </c>
      <c r="AC140" s="0" t="n">
        <v>725.5826628932219</v>
      </c>
      <c r="AD140" s="0">
        <f>+Q140/2*AI140/I140*E140</f>
        <v/>
      </c>
      <c r="AE140" s="0">
        <f>+gettm2(AD140,AC140,AK140,AL140,テーブル2[[#This Row],[Fcorr]])</f>
        <v/>
      </c>
      <c r="AF140" s="38">
        <f>+AE140-U140</f>
        <v/>
      </c>
      <c r="AG140" s="0" t="n">
        <v>1.509884815574196e-05</v>
      </c>
      <c r="AH140" s="0">
        <f>+X140*N140^2/(8*E140)</f>
        <v/>
      </c>
      <c r="AI140" s="0">
        <f>+(AH140/E140)^0.5</f>
        <v/>
      </c>
      <c r="AJ140" s="0">
        <f>+AG140*AI140/I140*E140</f>
        <v/>
      </c>
      <c r="AK140" s="0">
        <f t="array" ref="AK140">+S140*テーブル2[[#This Row],[F_form]]/(E140*CpFromTP((テーブル2[[#This Row],[Tin]]+テーブル2[[#This Row],[Tf]])/2,テーブル2[[#This Row],[P]])*AI140)</f>
        <v/>
      </c>
      <c r="AL140" s="0">
        <f>+K140*I140/J140</f>
        <v/>
      </c>
      <c r="AM140" s="0">
        <f>+gettyp(AC140,AJ140,AK140,AL140)</f>
        <v/>
      </c>
      <c r="AN140" s="0">
        <f>+C140-AM140</f>
        <v/>
      </c>
      <c r="AO140" s="0">
        <f>+AG140-AB140</f>
        <v/>
      </c>
      <c r="AP140" s="0" t="n">
        <v>2.990520484949654</v>
      </c>
      <c r="AQ140" s="0">
        <f>2*PI()*L140*(D140+E140)/(D140*E140*AP140^2)</f>
        <v/>
      </c>
      <c r="AR140" s="0">
        <f>+AO140+AB140/2</f>
        <v/>
      </c>
      <c r="AS140" s="0">
        <f>+AR140*AI140/I140*E140</f>
        <v/>
      </c>
      <c r="AT140" s="0">
        <f>+getublp(AS140)</f>
        <v/>
      </c>
      <c r="AU140" s="0">
        <f>+AT140*AI140</f>
        <v/>
      </c>
      <c r="AV140" s="0">
        <f>+AP140-AU140</f>
        <v/>
      </c>
      <c r="AW140" s="0">
        <f>2/3*AB140/(L140/(9.8*(E140-D140)))^0.5</f>
        <v/>
      </c>
      <c r="AX140" s="0">
        <f>+(2*AQ140*9.8*(E140-D140)/(E140*AW140))^0.5</f>
        <v/>
      </c>
      <c r="AY140" s="0">
        <f>+AV140-AX140</f>
        <v/>
      </c>
      <c r="AZ140" s="0">
        <f>+F140-G140</f>
        <v/>
      </c>
      <c r="BA140" s="0">
        <f>+AQ140/AP140</f>
        <v/>
      </c>
      <c r="BB140" s="15">
        <f>+E140*AO140*AZ140/BA140</f>
        <v/>
      </c>
      <c r="BC140" s="20">
        <f>BB140-S140</f>
        <v/>
      </c>
      <c r="BD140" s="19">
        <f>+(BB140-S140)/S140*100</f>
        <v/>
      </c>
      <c r="BE140" s="15" t="n">
        <v>4416426</v>
      </c>
      <c r="BF140" s="16">
        <f>テーブル2[[#This Row],[q_P]]/テーブル2[[#This Row],[q_M]]</f>
        <v/>
      </c>
      <c r="BG140" s="0" t="n">
        <v>1</v>
      </c>
      <c r="BH140" s="0" t="n">
        <v>-0.053</v>
      </c>
      <c r="BI140" s="0" t="n">
        <v>0.046</v>
      </c>
      <c r="BJ140" s="0" t="n">
        <v>5625</v>
      </c>
      <c r="BK140" s="22" t="n">
        <v>1</v>
      </c>
      <c r="BL140" s="0">
        <f>テーブル2[[#This Row],[Ts]]-テーブル2[[#This Row],[Tin]]</f>
        <v/>
      </c>
      <c r="BM140" s="0">
        <f>テーブル2[[#This Row],[q_P]]*0.000001</f>
        <v/>
      </c>
      <c r="BN140" s="0">
        <f>テーブル2[[#This Row],[Tsub]]</f>
        <v/>
      </c>
      <c r="BO140" s="0">
        <f>テーブル2[[#This Row],[Fcorr]]</f>
        <v/>
      </c>
      <c r="BP140" s="0">
        <f>(テーブル2[[#This Row],[Tsub]]-40)^2</f>
        <v/>
      </c>
      <c r="BQ140" t="n">
        <v>1</v>
      </c>
      <c r="BR140" s="0" t="n">
        <v>0.1524</v>
      </c>
    </row>
    <row r="141">
      <c r="A141" s="9" t="inlineStr">
        <is>
          <t>8.01_11</t>
        </is>
      </c>
      <c r="B141" s="0" t="n">
        <v>15513203.9096288</v>
      </c>
      <c r="C141" s="22">
        <f t="array" ref="C141">TsatFromP(テーブル2[[#This Row],[P]])</f>
        <v/>
      </c>
      <c r="D141" s="0">
        <f t="array" ref="D141">RhoGFromP(テーブル2[[#This Row],[P]])</f>
        <v/>
      </c>
      <c r="E141" s="0">
        <f t="array" ref="E141">RhoFFromP(テーブル2[[#This Row],[P]])</f>
        <v/>
      </c>
      <c r="F141" s="0">
        <f t="array" ref="F141">HgFromP(テーブル2[[#This Row],[P]])</f>
        <v/>
      </c>
      <c r="G141" s="0">
        <f t="array" ref="G141">HfFromP(テーブル2[[#This Row],[P]])</f>
        <v/>
      </c>
      <c r="H141" s="0">
        <f t="array" ref="H141">MuGFromP(テーブル2[[#This Row],[P]])</f>
        <v/>
      </c>
      <c r="I141" s="0">
        <f t="array" ref="I141">MuFFromP(テーブル2[[#This Row],[P]])</f>
        <v/>
      </c>
      <c r="J141" s="0">
        <f t="array" ref="J141">KfFromP(テーブル2[[#This Row],[P]])</f>
        <v/>
      </c>
      <c r="K141" s="0">
        <f t="array" ref="K141">CpFFromP(テーブル2[[#This Row],[P]])</f>
        <v/>
      </c>
      <c r="L141" s="0">
        <f t="array" ref="L141">SigmaFromP(テーブル2[[#This Row],[P]])</f>
        <v/>
      </c>
      <c r="M141" s="0" t="n">
        <v>140</v>
      </c>
      <c r="N141" s="0" t="n">
        <v>2319.1533</v>
      </c>
      <c r="O141" s="8">
        <f>PI()*Q141^2/4</f>
        <v/>
      </c>
      <c r="P141" s="8">
        <f>PI()*Q141</f>
        <v/>
      </c>
      <c r="Q141" s="8" t="n">
        <v>0.001905</v>
      </c>
      <c r="R141" s="0" t="n">
        <v>0.1524</v>
      </c>
      <c r="S141" s="15" t="n">
        <v>3976631.40234375</v>
      </c>
      <c r="T141" s="0" t="n">
        <v>515.022855755247</v>
      </c>
      <c r="U141" s="37">
        <f>+T141+BG141*S141*テーブル2[[#This Row],[Pw]]*R141/(N141*O141*K141)</f>
        <v/>
      </c>
      <c r="V141" s="0" t="n">
        <v>0.03</v>
      </c>
      <c r="W141" s="8">
        <f>+N141*Q141/I141</f>
        <v/>
      </c>
      <c r="X141" s="0" t="n">
        <v>0.03311789431252975</v>
      </c>
      <c r="Y141" s="0">
        <f>IF(X141&gt;0,1/X141^0.5,1)</f>
        <v/>
      </c>
      <c r="Z141" s="0">
        <f>IF(X141&gt;0,1.14-2*LOG((0.72*L141*E141)/(X141*Q141*N141^2)+9.35/(W141*X141^0.5)),0)</f>
        <v/>
      </c>
      <c r="AA141" s="0">
        <f>+Y141-Z141</f>
        <v/>
      </c>
      <c r="AB141" s="0">
        <f>32/X141*L141*V141*E141/N141^2</f>
        <v/>
      </c>
      <c r="AC141" s="0" t="n">
        <v>707.9555752635671</v>
      </c>
      <c r="AD141" s="0">
        <f>+Q141/2*AI141/I141*E141</f>
        <v/>
      </c>
      <c r="AE141" s="0">
        <f>+gettm2(AD141,AC141,AK141,AL141,テーブル2[[#This Row],[Fcorr]])</f>
        <v/>
      </c>
      <c r="AF141" s="38">
        <f>+AE141-U141</f>
        <v/>
      </c>
      <c r="AG141" s="0" t="n">
        <v>1.495024945431101e-05</v>
      </c>
      <c r="AH141" s="0">
        <f>+X141*N141^2/(8*E141)</f>
        <v/>
      </c>
      <c r="AI141" s="0">
        <f>+(AH141/E141)^0.5</f>
        <v/>
      </c>
      <c r="AJ141" s="0">
        <f>+AG141*AI141/I141*E141</f>
        <v/>
      </c>
      <c r="AK141" s="0">
        <f t="array" ref="AK141">+S141*テーブル2[[#This Row],[F_form]]/(E141*CpFromTP((テーブル2[[#This Row],[Tin]]+テーブル2[[#This Row],[Tf]])/2,テーブル2[[#This Row],[P]])*AI141)</f>
        <v/>
      </c>
      <c r="AL141" s="0">
        <f>+K141*I141/J141</f>
        <v/>
      </c>
      <c r="AM141" s="0">
        <f>+gettyp(AC141,AJ141,AK141,AL141)</f>
        <v/>
      </c>
      <c r="AN141" s="0">
        <f>+C141-AM141</f>
        <v/>
      </c>
      <c r="AO141" s="0">
        <f>+AG141-AB141</f>
        <v/>
      </c>
      <c r="AP141" s="0" t="n">
        <v>2.995834749079509</v>
      </c>
      <c r="AQ141" s="0">
        <f>2*PI()*L141*(D141+E141)/(D141*E141*AP141^2)</f>
        <v/>
      </c>
      <c r="AR141" s="0">
        <f>+AO141+AB141/2</f>
        <v/>
      </c>
      <c r="AS141" s="0">
        <f>+AR141*AI141/I141*E141</f>
        <v/>
      </c>
      <c r="AT141" s="0">
        <f>+getublp(AS141)</f>
        <v/>
      </c>
      <c r="AU141" s="0">
        <f>+AT141*AI141</f>
        <v/>
      </c>
      <c r="AV141" s="0">
        <f>+AP141-AU141</f>
        <v/>
      </c>
      <c r="AW141" s="0">
        <f>2/3*AB141/(L141/(9.8*(E141-D141)))^0.5</f>
        <v/>
      </c>
      <c r="AX141" s="0">
        <f>+(2*AQ141*9.8*(E141-D141)/(E141*AW141))^0.5</f>
        <v/>
      </c>
      <c r="AY141" s="0">
        <f>+AV141-AX141</f>
        <v/>
      </c>
      <c r="AZ141" s="0">
        <f>+F141-G141</f>
        <v/>
      </c>
      <c r="BA141" s="0">
        <f>+AQ141/AP141</f>
        <v/>
      </c>
      <c r="BB141" s="15">
        <f>+E141*AO141*AZ141/BA141</f>
        <v/>
      </c>
      <c r="BC141" s="20">
        <f>BB141-S141</f>
        <v/>
      </c>
      <c r="BD141" s="19">
        <f>+(BB141-S141)/S141*100</f>
        <v/>
      </c>
      <c r="BE141" s="15" t="n">
        <v>3848599.8</v>
      </c>
      <c r="BF141" s="16">
        <f>テーブル2[[#This Row],[q_P]]/テーブル2[[#This Row],[q_M]]</f>
        <v/>
      </c>
      <c r="BG141" s="0" t="n">
        <v>1</v>
      </c>
      <c r="BH141" s="0" t="n">
        <v>-0.053</v>
      </c>
      <c r="BI141" s="0" t="n">
        <v>0.046</v>
      </c>
      <c r="BJ141" s="0" t="n">
        <v>5625</v>
      </c>
      <c r="BK141" s="22" t="n">
        <v>1</v>
      </c>
      <c r="BL141" s="0">
        <f>テーブル2[[#This Row],[Ts]]-テーブル2[[#This Row],[Tin]]</f>
        <v/>
      </c>
      <c r="BM141" s="0">
        <f>テーブル2[[#This Row],[q_P]]*0.000001</f>
        <v/>
      </c>
      <c r="BN141" s="0">
        <f>テーブル2[[#This Row],[Tsub]]</f>
        <v/>
      </c>
      <c r="BO141" s="0">
        <f>テーブル2[[#This Row],[Fcorr]]</f>
        <v/>
      </c>
      <c r="BP141" s="0">
        <f>(テーブル2[[#This Row],[Tsub]]-40)^2</f>
        <v/>
      </c>
      <c r="BQ141" t="n">
        <v>1</v>
      </c>
      <c r="BR141" s="0" t="n">
        <v>0.1524</v>
      </c>
    </row>
    <row r="142">
      <c r="A142" s="9" t="inlineStr">
        <is>
          <t>9.01_11</t>
        </is>
      </c>
      <c r="B142" s="0" t="n">
        <v>15513203.9096288</v>
      </c>
      <c r="C142" s="22">
        <f t="array" ref="C142">TsatFromP(テーブル2[[#This Row],[P]])</f>
        <v/>
      </c>
      <c r="D142" s="0">
        <f t="array" ref="D142">RhoGFromP(テーブル2[[#This Row],[P]])</f>
        <v/>
      </c>
      <c r="E142" s="0">
        <f t="array" ref="E142">RhoFFromP(テーブル2[[#This Row],[P]])</f>
        <v/>
      </c>
      <c r="F142" s="0">
        <f t="array" ref="F142">HgFromP(テーブル2[[#This Row],[P]])</f>
        <v/>
      </c>
      <c r="G142" s="0">
        <f t="array" ref="G142">HfFromP(テーブル2[[#This Row],[P]])</f>
        <v/>
      </c>
      <c r="H142" s="0">
        <f t="array" ref="H142">MuGFromP(テーブル2[[#This Row],[P]])</f>
        <v/>
      </c>
      <c r="I142" s="0">
        <f t="array" ref="I142">MuFFromP(テーブル2[[#This Row],[P]])</f>
        <v/>
      </c>
      <c r="J142" s="0">
        <f t="array" ref="J142">KfFromP(テーブル2[[#This Row],[P]])</f>
        <v/>
      </c>
      <c r="K142" s="0">
        <f t="array" ref="K142">CpFFromP(テーブル2[[#This Row],[P]])</f>
        <v/>
      </c>
      <c r="L142" s="0">
        <f t="array" ref="L142">SigmaFromP(テーブル2[[#This Row],[P]])</f>
        <v/>
      </c>
      <c r="M142" s="0" t="n">
        <v>141</v>
      </c>
      <c r="N142" s="0" t="n">
        <v>2319.1533</v>
      </c>
      <c r="O142" s="8">
        <f>PI()*Q142^2/4</f>
        <v/>
      </c>
      <c r="P142" s="8">
        <f>PI()*Q142</f>
        <v/>
      </c>
      <c r="Q142" s="8" t="n">
        <v>0.001905</v>
      </c>
      <c r="R142" s="0" t="n">
        <v>0.1524</v>
      </c>
      <c r="S142" s="15" t="n">
        <v>4040547.41796875</v>
      </c>
      <c r="T142" s="0" t="n">
        <v>513.223397961415</v>
      </c>
      <c r="U142" s="37">
        <f>+T142+BG142*S142*テーブル2[[#This Row],[Pw]]*R142/(N142*O142*K142)</f>
        <v/>
      </c>
      <c r="V142" s="0" t="n">
        <v>0.03</v>
      </c>
      <c r="W142" s="8">
        <f>+N142*Q142/I142</f>
        <v/>
      </c>
      <c r="X142" s="0" t="n">
        <v>0.03311789431252975</v>
      </c>
      <c r="Y142" s="0">
        <f>IF(X142&gt;0,1/X142^0.5,1)</f>
        <v/>
      </c>
      <c r="Z142" s="0">
        <f>IF(X142&gt;0,1.14-2*LOG((0.72*L142*E142)/(X142*Q142*N142^2)+9.35/(W142*X142^0.5)),0)</f>
        <v/>
      </c>
      <c r="AA142" s="0">
        <f>+Y142-Z142</f>
        <v/>
      </c>
      <c r="AB142" s="0">
        <f>32/X142*L142*V142*E142/N142^2</f>
        <v/>
      </c>
      <c r="AC142" s="0" t="n">
        <v>709.7148226153622</v>
      </c>
      <c r="AD142" s="0">
        <f>+Q142/2*AI142/I142*E142</f>
        <v/>
      </c>
      <c r="AE142" s="0">
        <f>+gettm2(AD142,AC142,AK142,AL142,テーブル2[[#This Row],[Fcorr]])</f>
        <v/>
      </c>
      <c r="AF142" s="38">
        <f>+AE142-U142</f>
        <v/>
      </c>
      <c r="AG142" s="0" t="n">
        <v>1.495132599444377e-05</v>
      </c>
      <c r="AH142" s="0">
        <f>+X142*N142^2/(8*E142)</f>
        <v/>
      </c>
      <c r="AI142" s="0">
        <f>+(AH142/E142)^0.5</f>
        <v/>
      </c>
      <c r="AJ142" s="0">
        <f>+AG142*AI142/I142*E142</f>
        <v/>
      </c>
      <c r="AK142" s="0">
        <f t="array" ref="AK142">+S142*テーブル2[[#This Row],[F_form]]/(E142*CpFromTP((テーブル2[[#This Row],[Tin]]+テーブル2[[#This Row],[Tf]])/2,テーブル2[[#This Row],[P]])*AI142)</f>
        <v/>
      </c>
      <c r="AL142" s="0">
        <f>+K142*I142/J142</f>
        <v/>
      </c>
      <c r="AM142" s="0">
        <f>+gettyp(AC142,AJ142,AK142,AL142)</f>
        <v/>
      </c>
      <c r="AN142" s="0">
        <f>+C142-AM142</f>
        <v/>
      </c>
      <c r="AO142" s="0">
        <f>+AG142-AB142</f>
        <v/>
      </c>
      <c r="AP142" s="0" t="n">
        <v>2.996001002801028</v>
      </c>
      <c r="AQ142" s="0">
        <f>2*PI()*L142*(D142+E142)/(D142*E142*AP142^2)</f>
        <v/>
      </c>
      <c r="AR142" s="0">
        <f>+AO142+AB142/2</f>
        <v/>
      </c>
      <c r="AS142" s="0">
        <f>+AR142*AI142/I142*E142</f>
        <v/>
      </c>
      <c r="AT142" s="0">
        <f>+getublp(AS142)</f>
        <v/>
      </c>
      <c r="AU142" s="0">
        <f>+AT142*AI142</f>
        <v/>
      </c>
      <c r="AV142" s="0">
        <f>+AP142-AU142</f>
        <v/>
      </c>
      <c r="AW142" s="0">
        <f>2/3*AB142/(L142/(9.8*(E142-D142)))^0.5</f>
        <v/>
      </c>
      <c r="AX142" s="0">
        <f>+(2*AQ142*9.8*(E142-D142)/(E142*AW142))^0.5</f>
        <v/>
      </c>
      <c r="AY142" s="0">
        <f>+AV142-AX142</f>
        <v/>
      </c>
      <c r="AZ142" s="0">
        <f>+F142-G142</f>
        <v/>
      </c>
      <c r="BA142" s="0">
        <f>+AQ142/AP142</f>
        <v/>
      </c>
      <c r="BB142" s="15">
        <f>+E142*AO142*AZ142/BA142</f>
        <v/>
      </c>
      <c r="BC142" s="20">
        <f>BB142-S142</f>
        <v/>
      </c>
      <c r="BD142" s="19">
        <f>+(BB142-S142)/S142*100</f>
        <v/>
      </c>
      <c r="BE142" s="15" t="n">
        <v>3911691.6</v>
      </c>
      <c r="BF142" s="16">
        <f>テーブル2[[#This Row],[q_P]]/テーブル2[[#This Row],[q_M]]</f>
        <v/>
      </c>
      <c r="BG142" s="0" t="n">
        <v>1</v>
      </c>
      <c r="BH142" s="0" t="n">
        <v>-0.053</v>
      </c>
      <c r="BI142" s="0" t="n">
        <v>0.046</v>
      </c>
      <c r="BJ142" s="0" t="n">
        <v>5625</v>
      </c>
      <c r="BK142" s="22" t="n">
        <v>1</v>
      </c>
      <c r="BL142" s="0">
        <f>テーブル2[[#This Row],[Ts]]-テーブル2[[#This Row],[Tin]]</f>
        <v/>
      </c>
      <c r="BM142" s="0">
        <f>テーブル2[[#This Row],[q_P]]*0.000001</f>
        <v/>
      </c>
      <c r="BN142" s="0">
        <f>テーブル2[[#This Row],[Tsub]]</f>
        <v/>
      </c>
      <c r="BO142" s="0">
        <f>テーブル2[[#This Row],[Fcorr]]</f>
        <v/>
      </c>
      <c r="BP142" s="0">
        <f>(テーブル2[[#This Row],[Tsub]]-40)^2</f>
        <v/>
      </c>
      <c r="BQ142" t="n">
        <v>1</v>
      </c>
      <c r="BR142" s="0" t="n">
        <v>0.1524</v>
      </c>
    </row>
    <row r="143">
      <c r="A143" s="9" t="inlineStr">
        <is>
          <t>10.01_11</t>
        </is>
      </c>
      <c r="B143" s="0" t="n">
        <v>15513203.9096288</v>
      </c>
      <c r="C143" s="22">
        <f t="array" ref="C143">TsatFromP(テーブル2[[#This Row],[P]])</f>
        <v/>
      </c>
      <c r="D143" s="0">
        <f t="array" ref="D143">RhoGFromP(テーブル2[[#This Row],[P]])</f>
        <v/>
      </c>
      <c r="E143" s="0">
        <f t="array" ref="E143">RhoFFromP(テーブル2[[#This Row],[P]])</f>
        <v/>
      </c>
      <c r="F143" s="0">
        <f t="array" ref="F143">HgFromP(テーブル2[[#This Row],[P]])</f>
        <v/>
      </c>
      <c r="G143" s="0">
        <f t="array" ref="G143">HfFromP(テーブル2[[#This Row],[P]])</f>
        <v/>
      </c>
      <c r="H143" s="0">
        <f t="array" ref="H143">MuGFromP(テーブル2[[#This Row],[P]])</f>
        <v/>
      </c>
      <c r="I143" s="0">
        <f t="array" ref="I143">MuFFromP(テーブル2[[#This Row],[P]])</f>
        <v/>
      </c>
      <c r="J143" s="0">
        <f t="array" ref="J143">KfFromP(テーブル2[[#This Row],[P]])</f>
        <v/>
      </c>
      <c r="K143" s="0">
        <f t="array" ref="K143">CpFFromP(テーブル2[[#This Row],[P]])</f>
        <v/>
      </c>
      <c r="L143" s="0">
        <f t="array" ref="L143">SigmaFromP(テーブル2[[#This Row],[P]])</f>
        <v/>
      </c>
      <c r="M143" s="0" t="n">
        <v>142</v>
      </c>
      <c r="N143" s="0" t="n">
        <v>2319.1533</v>
      </c>
      <c r="O143" s="8">
        <f>PI()*Q143^2/4</f>
        <v/>
      </c>
      <c r="P143" s="8">
        <f>PI()*Q143</f>
        <v/>
      </c>
      <c r="Q143" s="8" t="n">
        <v>0.001905</v>
      </c>
      <c r="R143" s="0" t="n">
        <v>0.1524</v>
      </c>
      <c r="S143" s="15" t="n">
        <v>4476734.43359375</v>
      </c>
      <c r="T143" s="0" t="n">
        <v>500.893940043012</v>
      </c>
      <c r="U143" s="37">
        <f>+T143+BG143*S143*テーブル2[[#This Row],[Pw]]*R143/(N143*O143*K143)</f>
        <v/>
      </c>
      <c r="V143" s="0" t="n">
        <v>0.03</v>
      </c>
      <c r="W143" s="8">
        <f>+N143*Q143/I143</f>
        <v/>
      </c>
      <c r="X143" s="0" t="n">
        <v>0.03311789431252975</v>
      </c>
      <c r="Y143" s="0">
        <f>IF(X143&gt;0,1/X143^0.5,1)</f>
        <v/>
      </c>
      <c r="Z143" s="0">
        <f>IF(X143&gt;0,1.14-2*LOG((0.72*L143*E143)/(X143*Q143*N143^2)+9.35/(W143*X143^0.5)),0)</f>
        <v/>
      </c>
      <c r="AA143" s="0">
        <f>+Y143-Z143</f>
        <v/>
      </c>
      <c r="AB143" s="0">
        <f>32/X143*L143*V143*E143/N143^2</f>
        <v/>
      </c>
      <c r="AC143" s="0" t="n">
        <v>721.8382890628192</v>
      </c>
      <c r="AD143" s="0">
        <f>+Q143/2*AI143/I143*E143</f>
        <v/>
      </c>
      <c r="AE143" s="0">
        <f>+gettm2(AD143,AC143,AK143,AL143,テーブル2[[#This Row],[Fcorr]])</f>
        <v/>
      </c>
      <c r="AF143" s="38">
        <f>+AE143-U143</f>
        <v/>
      </c>
      <c r="AG143" s="0" t="n">
        <v>1.496144984130562e-05</v>
      </c>
      <c r="AH143" s="0">
        <f>+X143*N143^2/(8*E143)</f>
        <v/>
      </c>
      <c r="AI143" s="0">
        <f>+(AH143/E143)^0.5</f>
        <v/>
      </c>
      <c r="AJ143" s="0">
        <f>+AG143*AI143/I143*E143</f>
        <v/>
      </c>
      <c r="AK143" s="0">
        <f t="array" ref="AK143">+S143*テーブル2[[#This Row],[F_form]]/(E143*CpFromTP((テーブル2[[#This Row],[Tin]]+テーブル2[[#This Row],[Tf]])/2,テーブル2[[#This Row],[P]])*AI143)</f>
        <v/>
      </c>
      <c r="AL143" s="0">
        <f>+K143*I143/J143</f>
        <v/>
      </c>
      <c r="AM143" s="0">
        <f>+gettyp(AC143,AJ143,AK143,AL143)</f>
        <v/>
      </c>
      <c r="AN143" s="0">
        <f>+C143-AM143</f>
        <v/>
      </c>
      <c r="AO143" s="0">
        <f>+AG143-AB143</f>
        <v/>
      </c>
      <c r="AP143" s="0" t="n">
        <v>2.997563367256123</v>
      </c>
      <c r="AQ143" s="0">
        <f>2*PI()*L143*(D143+E143)/(D143*E143*AP143^2)</f>
        <v/>
      </c>
      <c r="AR143" s="0">
        <f>+AO143+AB143/2</f>
        <v/>
      </c>
      <c r="AS143" s="0">
        <f>+AR143*AI143/I143*E143</f>
        <v/>
      </c>
      <c r="AT143" s="0">
        <f>+getublp(AS143)</f>
        <v/>
      </c>
      <c r="AU143" s="0">
        <f>+AT143*AI143</f>
        <v/>
      </c>
      <c r="AV143" s="0">
        <f>+AP143-AU143</f>
        <v/>
      </c>
      <c r="AW143" s="0">
        <f>2/3*AB143/(L143/(9.8*(E143-D143)))^0.5</f>
        <v/>
      </c>
      <c r="AX143" s="0">
        <f>+(2*AQ143*9.8*(E143-D143)/(E143*AW143))^0.5</f>
        <v/>
      </c>
      <c r="AY143" s="0">
        <f>+AV143-AX143</f>
        <v/>
      </c>
      <c r="AZ143" s="0">
        <f>+F143-G143</f>
        <v/>
      </c>
      <c r="BA143" s="0">
        <f>+AQ143/AP143</f>
        <v/>
      </c>
      <c r="BB143" s="15">
        <f>+E143*AO143*AZ143/BA143</f>
        <v/>
      </c>
      <c r="BC143" s="20">
        <f>BB143-S143</f>
        <v/>
      </c>
      <c r="BD143" s="19">
        <f>+(BB143-S143)/S143*100</f>
        <v/>
      </c>
      <c r="BE143" s="15" t="n">
        <v>4447971.899999999</v>
      </c>
      <c r="BF143" s="16">
        <f>テーブル2[[#This Row],[q_P]]/テーブル2[[#This Row],[q_M]]</f>
        <v/>
      </c>
      <c r="BG143" s="0" t="n">
        <v>1</v>
      </c>
      <c r="BH143" s="0" t="n">
        <v>-0.035</v>
      </c>
      <c r="BI143" s="0" t="n">
        <v>0.046</v>
      </c>
      <c r="BJ143" s="0" t="n">
        <v>5625</v>
      </c>
      <c r="BK143" s="22" t="n">
        <v>1</v>
      </c>
      <c r="BL143" s="0">
        <f>テーブル2[[#This Row],[Ts]]-テーブル2[[#This Row],[Tin]]</f>
        <v/>
      </c>
      <c r="BM143" s="0">
        <f>テーブル2[[#This Row],[q_P]]*0.000001</f>
        <v/>
      </c>
      <c r="BN143" s="0">
        <f>テーブル2[[#This Row],[Tsub]]</f>
        <v/>
      </c>
      <c r="BO143" s="0">
        <f>テーブル2[[#This Row],[Fcorr]]</f>
        <v/>
      </c>
      <c r="BP143" s="0">
        <f>(テーブル2[[#This Row],[Tsub]]-40)^2</f>
        <v/>
      </c>
      <c r="BQ143" t="n">
        <v>1</v>
      </c>
      <c r="BR143" s="0" t="n">
        <v>0.1524</v>
      </c>
    </row>
    <row r="144">
      <c r="A144" s="9" t="inlineStr">
        <is>
          <t>11.01_11</t>
        </is>
      </c>
      <c r="B144" s="0" t="n">
        <v>15513203.9096288</v>
      </c>
      <c r="C144" s="22">
        <f t="array" ref="C144">TsatFromP(テーブル2[[#This Row],[P]])</f>
        <v/>
      </c>
      <c r="D144" s="0">
        <f t="array" ref="D144">RhoGFromP(テーブル2[[#This Row],[P]])</f>
        <v/>
      </c>
      <c r="E144" s="0">
        <f t="array" ref="E144">RhoFFromP(テーブル2[[#This Row],[P]])</f>
        <v/>
      </c>
      <c r="F144" s="0">
        <f t="array" ref="F144">HgFromP(テーブル2[[#This Row],[P]])</f>
        <v/>
      </c>
      <c r="G144" s="0">
        <f t="array" ref="G144">HfFromP(テーブル2[[#This Row],[P]])</f>
        <v/>
      </c>
      <c r="H144" s="0">
        <f t="array" ref="H144">MuGFromP(テーブル2[[#This Row],[P]])</f>
        <v/>
      </c>
      <c r="I144" s="0">
        <f t="array" ref="I144">MuFFromP(テーブル2[[#This Row],[P]])</f>
        <v/>
      </c>
      <c r="J144" s="0">
        <f t="array" ref="J144">KfFromP(テーブル2[[#This Row],[P]])</f>
        <v/>
      </c>
      <c r="K144" s="0">
        <f t="array" ref="K144">CpFFromP(テーブル2[[#This Row],[P]])</f>
        <v/>
      </c>
      <c r="L144" s="0">
        <f t="array" ref="L144">SigmaFromP(テーブル2[[#This Row],[P]])</f>
        <v/>
      </c>
      <c r="M144" s="0" t="n">
        <v>143</v>
      </c>
      <c r="N144" s="0" t="n">
        <v>2875.2076</v>
      </c>
      <c r="O144" s="8">
        <f>PI()*Q144^2/4</f>
        <v/>
      </c>
      <c r="P144" s="8">
        <f>PI()*Q144</f>
        <v/>
      </c>
      <c r="Q144" s="8" t="n">
        <v>0.001905</v>
      </c>
      <c r="R144" s="0" t="n">
        <v>0.1524</v>
      </c>
      <c r="S144" s="15" t="n">
        <v>4713393.58203125</v>
      </c>
      <c r="T144" s="0" t="n">
        <v>511.318290530552</v>
      </c>
      <c r="U144" s="37">
        <f>+T144+BG144*S144*テーブル2[[#This Row],[Pw]]*R144/(N144*O144*K144)</f>
        <v/>
      </c>
      <c r="V144" s="0" t="n">
        <v>0.03</v>
      </c>
      <c r="W144" s="8">
        <f>+N144*Q144/I144</f>
        <v/>
      </c>
      <c r="X144" s="0" t="n">
        <v>0.03007705250927251</v>
      </c>
      <c r="Y144" s="0">
        <f>IF(X144&gt;0,1/X144^0.5,1)</f>
        <v/>
      </c>
      <c r="Z144" s="0">
        <f>IF(X144&gt;0,1.14-2*LOG((0.72*L144*E144)/(X144*Q144*N144^2)+9.35/(W144*X144^0.5)),0)</f>
        <v/>
      </c>
      <c r="AA144" s="0">
        <f>+Y144-Z144</f>
        <v/>
      </c>
      <c r="AB144" s="0">
        <f>32/X144*L144*V144*E144/N144^2</f>
        <v/>
      </c>
      <c r="AC144" s="0" t="n">
        <v>705.9903847143315</v>
      </c>
      <c r="AD144" s="0">
        <f>+Q144/2*AI144/I144*E144</f>
        <v/>
      </c>
      <c r="AE144" s="0">
        <f>+gettm2(AD144,AC144,AK144,AL144,テーブル2[[#This Row],[Fcorr]])</f>
        <v/>
      </c>
      <c r="AF144" s="38">
        <f>+AE144-U144</f>
        <v/>
      </c>
      <c r="AG144" s="0" t="n">
        <v>1.072608329483176e-05</v>
      </c>
      <c r="AH144" s="0">
        <f>+X144*N144^2/(8*E144)</f>
        <v/>
      </c>
      <c r="AI144" s="0">
        <f>+(AH144/E144)^0.5</f>
        <v/>
      </c>
      <c r="AJ144" s="0">
        <f>+AG144*AI144/I144*E144</f>
        <v/>
      </c>
      <c r="AK144" s="0">
        <f t="array" ref="AK144">+S144*テーブル2[[#This Row],[F_form]]/(E144*CpFromTP((テーブル2[[#This Row],[Tin]]+テーブル2[[#This Row],[Tf]])/2,テーブル2[[#This Row],[P]])*AI144)</f>
        <v/>
      </c>
      <c r="AL144" s="0">
        <f>+K144*I144/J144</f>
        <v/>
      </c>
      <c r="AM144" s="0">
        <f>+gettyp(AC144,AJ144,AK144,AL144)</f>
        <v/>
      </c>
      <c r="AN144" s="0">
        <f>+C144-AM144</f>
        <v/>
      </c>
      <c r="AO144" s="0">
        <f>+AG144-AB144</f>
        <v/>
      </c>
      <c r="AP144" s="0" t="n">
        <v>3.27200825328548</v>
      </c>
      <c r="AQ144" s="0">
        <f>2*PI()*L144*(D144+E144)/(D144*E144*AP144^2)</f>
        <v/>
      </c>
      <c r="AR144" s="0">
        <f>+AO144+AB144/2</f>
        <v/>
      </c>
      <c r="AS144" s="0">
        <f>+AR144*AI144/I144*E144</f>
        <v/>
      </c>
      <c r="AT144" s="0">
        <f>+getublp(AS144)</f>
        <v/>
      </c>
      <c r="AU144" s="0">
        <f>+AT144*AI144</f>
        <v/>
      </c>
      <c r="AV144" s="0">
        <f>+AP144-AU144</f>
        <v/>
      </c>
      <c r="AW144" s="0">
        <f>2/3*AB144/(L144/(9.8*(E144-D144)))^0.5</f>
        <v/>
      </c>
      <c r="AX144" s="0">
        <f>+(2*AQ144*9.8*(E144-D144)/(E144*AW144))^0.5</f>
        <v/>
      </c>
      <c r="AY144" s="0">
        <f>+AV144-AX144</f>
        <v/>
      </c>
      <c r="AZ144" s="0">
        <f>+F144-G144</f>
        <v/>
      </c>
      <c r="BA144" s="0">
        <f>+AQ144/AP144</f>
        <v/>
      </c>
      <c r="BB144" s="15">
        <f>+E144*AO144*AZ144/BA144</f>
        <v/>
      </c>
      <c r="BC144" s="20">
        <f>BB144-S144</f>
        <v/>
      </c>
      <c r="BD144" s="19">
        <f>+(BB144-S144)/S144*100</f>
        <v/>
      </c>
      <c r="BE144" s="15" t="n">
        <v>5394348.899999999</v>
      </c>
      <c r="BF144" s="16">
        <f>テーブル2[[#This Row],[q_P]]/テーブル2[[#This Row],[q_M]]</f>
        <v/>
      </c>
      <c r="BG144" s="0" t="n">
        <v>1</v>
      </c>
      <c r="BH144" s="0" t="n">
        <v>0.001</v>
      </c>
      <c r="BI144" s="0" t="n">
        <v>0.046</v>
      </c>
      <c r="BJ144" s="0" t="n">
        <v>5625</v>
      </c>
      <c r="BK144" s="22" t="n">
        <v>1</v>
      </c>
      <c r="BL144" s="0">
        <f>テーブル2[[#This Row],[Ts]]-テーブル2[[#This Row],[Tin]]</f>
        <v/>
      </c>
      <c r="BM144" s="0">
        <f>テーブル2[[#This Row],[q_P]]*0.000001</f>
        <v/>
      </c>
      <c r="BN144" s="0">
        <f>テーブル2[[#This Row],[Tsub]]</f>
        <v/>
      </c>
      <c r="BO144" s="0">
        <f>テーブル2[[#This Row],[Fcorr]]</f>
        <v/>
      </c>
      <c r="BP144" s="0">
        <f>(テーブル2[[#This Row],[Tsub]]-40)^2</f>
        <v/>
      </c>
      <c r="BQ144" t="n">
        <v>1</v>
      </c>
      <c r="BR144" s="0" t="n">
        <v>0.1524</v>
      </c>
    </row>
    <row r="145">
      <c r="A145" s="9" t="inlineStr">
        <is>
          <t>12.01_11</t>
        </is>
      </c>
      <c r="B145" s="0" t="n">
        <v>15513203.9096288</v>
      </c>
      <c r="C145" s="22">
        <f t="array" ref="C145">TsatFromP(テーブル2[[#This Row],[P]])</f>
        <v/>
      </c>
      <c r="D145" s="0">
        <f t="array" ref="D145">RhoGFromP(テーブル2[[#This Row],[P]])</f>
        <v/>
      </c>
      <c r="E145" s="0">
        <f t="array" ref="E145">RhoFFromP(テーブル2[[#This Row],[P]])</f>
        <v/>
      </c>
      <c r="F145" s="0">
        <f t="array" ref="F145">HgFromP(テーブル2[[#This Row],[P]])</f>
        <v/>
      </c>
      <c r="G145" s="0">
        <f t="array" ref="G145">HfFromP(テーブル2[[#This Row],[P]])</f>
        <v/>
      </c>
      <c r="H145" s="0">
        <f t="array" ref="H145">MuGFromP(テーブル2[[#This Row],[P]])</f>
        <v/>
      </c>
      <c r="I145" s="0">
        <f t="array" ref="I145">MuFFromP(テーブル2[[#This Row],[P]])</f>
        <v/>
      </c>
      <c r="J145" s="0">
        <f t="array" ref="J145">KfFromP(テーブル2[[#This Row],[P]])</f>
        <v/>
      </c>
      <c r="K145" s="0">
        <f t="array" ref="K145">CpFFromP(テーブル2[[#This Row],[P]])</f>
        <v/>
      </c>
      <c r="L145" s="0">
        <f t="array" ref="L145">SigmaFromP(テーブル2[[#This Row],[P]])</f>
        <v/>
      </c>
      <c r="M145" s="0" t="n">
        <v>144</v>
      </c>
      <c r="N145" s="0" t="n">
        <v>2929.4568</v>
      </c>
      <c r="O145" s="8">
        <f>PI()*Q145^2/4</f>
        <v/>
      </c>
      <c r="P145" s="8">
        <f>PI()*Q145</f>
        <v/>
      </c>
      <c r="Q145" s="8" t="n">
        <v>0.001905</v>
      </c>
      <c r="R145" s="0" t="n">
        <v>0.1524</v>
      </c>
      <c r="S145" s="15" t="n">
        <v>3544605.82015625</v>
      </c>
      <c r="T145" s="0" t="n">
        <v>540.887072963188</v>
      </c>
      <c r="U145" s="37">
        <f>+T145+BG145*S145*テーブル2[[#This Row],[Pw]]*R145/(N145*O145*K145)</f>
        <v/>
      </c>
      <c r="V145" s="0" t="n">
        <v>0.03</v>
      </c>
      <c r="W145" s="8">
        <f>+N145*Q145/I145</f>
        <v/>
      </c>
      <c r="X145" s="0" t="n">
        <v>0.02983224204053748</v>
      </c>
      <c r="Y145" s="0">
        <f>IF(X145&gt;0,1/X145^0.5,1)</f>
        <v/>
      </c>
      <c r="Z145" s="0">
        <f>IF(X145&gt;0,1.14-2*LOG((0.72*L145*E145)/(X145*Q145*N145^2)+9.35/(W145*X145^0.5)),0)</f>
        <v/>
      </c>
      <c r="AA145" s="0">
        <f>+Y145-Z145</f>
        <v/>
      </c>
      <c r="AB145" s="0">
        <f>32/X145*L145*V145*E145/N145^2</f>
        <v/>
      </c>
      <c r="AC145" s="0" t="n">
        <v>678.8055843521169</v>
      </c>
      <c r="AD145" s="0">
        <f>+Q145/2*AI145/I145*E145</f>
        <v/>
      </c>
      <c r="AE145" s="0">
        <f>+gettm2(AD145,AC145,AK145,AL145,テーブル2[[#This Row],[Fcorr]])</f>
        <v/>
      </c>
      <c r="AF145" s="38">
        <f>+AE145-U145</f>
        <v/>
      </c>
      <c r="AG145" s="0" t="n">
        <v>1.039985266928507e-05</v>
      </c>
      <c r="AH145" s="0">
        <f>+X145*N145^2/(8*E145)</f>
        <v/>
      </c>
      <c r="AI145" s="0">
        <f>+(AH145/E145)^0.5</f>
        <v/>
      </c>
      <c r="AJ145" s="0">
        <f>+AG145*AI145/I145*E145</f>
        <v/>
      </c>
      <c r="AK145" s="0">
        <f t="array" ref="AK145">+S145*テーブル2[[#This Row],[F_form]]/(E145*CpFromTP((テーブル2[[#This Row],[Tin]]+テーブル2[[#This Row],[Tf]])/2,テーブル2[[#This Row],[P]])*AI145)</f>
        <v/>
      </c>
      <c r="AL145" s="0">
        <f>+K145*I145/J145</f>
        <v/>
      </c>
      <c r="AM145" s="0">
        <f>+gettyp(AC145,AJ145,AK145,AL145)</f>
        <v/>
      </c>
      <c r="AN145" s="0">
        <f>+C145-AM145</f>
        <v/>
      </c>
      <c r="AO145" s="0">
        <f>+AG145-AB145</f>
        <v/>
      </c>
      <c r="AP145" s="0" t="n">
        <v>3.291547661326773</v>
      </c>
      <c r="AQ145" s="0">
        <f>2*PI()*L145*(D145+E145)/(D145*E145*AP145^2)</f>
        <v/>
      </c>
      <c r="AR145" s="0">
        <f>+AO145+AB145/2</f>
        <v/>
      </c>
      <c r="AS145" s="0">
        <f>+AR145*AI145/I145*E145</f>
        <v/>
      </c>
      <c r="AT145" s="0">
        <f>+getublp(AS145)</f>
        <v/>
      </c>
      <c r="AU145" s="0">
        <f>+AT145*AI145</f>
        <v/>
      </c>
      <c r="AV145" s="0">
        <f>+AP145-AU145</f>
        <v/>
      </c>
      <c r="AW145" s="0">
        <f>2/3*AB145/(L145/(9.8*(E145-D145)))^0.5</f>
        <v/>
      </c>
      <c r="AX145" s="0">
        <f>+(2*AQ145*9.8*(E145-D145)/(E145*AW145))^0.5</f>
        <v/>
      </c>
      <c r="AY145" s="0">
        <f>+AV145-AX145</f>
        <v/>
      </c>
      <c r="AZ145" s="0">
        <f>+F145-G145</f>
        <v/>
      </c>
      <c r="BA145" s="0">
        <f>+AQ145/AP145</f>
        <v/>
      </c>
      <c r="BB145" s="15">
        <f>+E145*AO145*AZ145/BA145</f>
        <v/>
      </c>
      <c r="BC145" s="20">
        <f>BB145-S145</f>
        <v/>
      </c>
      <c r="BD145" s="19">
        <f>+(BB145-S145)/S145*100</f>
        <v/>
      </c>
      <c r="BE145" s="15" t="n">
        <v>4164058.8</v>
      </c>
      <c r="BF145" s="16">
        <f>テーブル2[[#This Row],[q_P]]/テーブル2[[#This Row],[q_M]]</f>
        <v/>
      </c>
      <c r="BG145" s="0" t="n">
        <v>1</v>
      </c>
      <c r="BH145" s="0" t="n">
        <v>-0.004</v>
      </c>
      <c r="BI145" s="0" t="n">
        <v>0.046</v>
      </c>
      <c r="BJ145" s="0" t="n">
        <v>5625</v>
      </c>
      <c r="BK145" s="22" t="n">
        <v>1</v>
      </c>
      <c r="BL145" s="0">
        <f>テーブル2[[#This Row],[Ts]]-テーブル2[[#This Row],[Tin]]</f>
        <v/>
      </c>
      <c r="BM145" s="0">
        <f>テーブル2[[#This Row],[q_P]]*0.000001</f>
        <v/>
      </c>
      <c r="BN145" s="0">
        <f>テーブル2[[#This Row],[Tsub]]</f>
        <v/>
      </c>
      <c r="BO145" s="0">
        <f>テーブル2[[#This Row],[Fcorr]]</f>
        <v/>
      </c>
      <c r="BP145" s="0">
        <f>(テーブル2[[#This Row],[Tsub]]-40)^2</f>
        <v/>
      </c>
      <c r="BQ145" t="n">
        <v>1</v>
      </c>
      <c r="BR145" s="0" t="n">
        <v>0.1524</v>
      </c>
    </row>
    <row r="146">
      <c r="A146" s="9" t="inlineStr">
        <is>
          <t>13.01_11</t>
        </is>
      </c>
      <c r="B146" s="0" t="n">
        <v>15513203.9096288</v>
      </c>
      <c r="C146" s="22">
        <f t="array" ref="C146">TsatFromP(テーブル2[[#This Row],[P]])</f>
        <v/>
      </c>
      <c r="D146" s="0">
        <f t="array" ref="D146">RhoGFromP(テーブル2[[#This Row],[P]])</f>
        <v/>
      </c>
      <c r="E146" s="0">
        <f t="array" ref="E146">RhoFFromP(テーブル2[[#This Row],[P]])</f>
        <v/>
      </c>
      <c r="F146" s="0">
        <f t="array" ref="F146">HgFromP(テーブル2[[#This Row],[P]])</f>
        <v/>
      </c>
      <c r="G146" s="0">
        <f t="array" ref="G146">HfFromP(テーブル2[[#This Row],[P]])</f>
        <v/>
      </c>
      <c r="H146" s="0">
        <f t="array" ref="H146">MuGFromP(テーブル2[[#This Row],[P]])</f>
        <v/>
      </c>
      <c r="I146" s="0">
        <f t="array" ref="I146">MuFFromP(テーブル2[[#This Row],[P]])</f>
        <v/>
      </c>
      <c r="J146" s="0">
        <f t="array" ref="J146">KfFromP(テーブル2[[#This Row],[P]])</f>
        <v/>
      </c>
      <c r="K146" s="0">
        <f t="array" ref="K146">CpFFromP(テーブル2[[#This Row],[P]])</f>
        <v/>
      </c>
      <c r="L146" s="0">
        <f t="array" ref="L146">SigmaFromP(テーブル2[[#This Row],[P]])</f>
        <v/>
      </c>
      <c r="M146" s="0" t="n">
        <v>145</v>
      </c>
      <c r="N146" s="0" t="n">
        <v>2956.5814</v>
      </c>
      <c r="O146" s="8">
        <f>PI()*Q146^2/4</f>
        <v/>
      </c>
      <c r="P146" s="8">
        <f>PI()*Q146</f>
        <v/>
      </c>
      <c r="Q146" s="8" t="n">
        <v>0.001905</v>
      </c>
      <c r="R146" s="0" t="n">
        <v>0.1524</v>
      </c>
      <c r="S146" s="15" t="n">
        <v>3399087.98828125</v>
      </c>
      <c r="T146" s="0" t="n">
        <v>544.801264914929</v>
      </c>
      <c r="U146" s="37">
        <f>+T146+BG146*S146*テーブル2[[#This Row],[Pw]]*R146/(N146*O146*K146)</f>
        <v/>
      </c>
      <c r="V146" s="0" t="n">
        <v>0.03</v>
      </c>
      <c r="W146" s="8">
        <f>+N146*Q146/I146</f>
        <v/>
      </c>
      <c r="X146" s="0" t="n">
        <v>0.0297126167551003</v>
      </c>
      <c r="Y146" s="0">
        <f>IF(X146&gt;0,1/X146^0.5,1)</f>
        <v/>
      </c>
      <c r="Z146" s="0">
        <f>IF(X146&gt;0,1.14-2*LOG((0.72*L146*E146)/(X146*Q146*N146^2)+9.35/(W146*X146^0.5)),0)</f>
        <v/>
      </c>
      <c r="AA146" s="0">
        <f>+Y146-Z146</f>
        <v/>
      </c>
      <c r="AB146" s="0">
        <f>32/X146*L146*V146*E146/N146^2</f>
        <v/>
      </c>
      <c r="AC146" s="0" t="n">
        <v>675.1461847504827</v>
      </c>
      <c r="AD146" s="0">
        <f>+Q146/2*AI146/I146*E146</f>
        <v/>
      </c>
      <c r="AE146" s="0">
        <f>+gettm2(AD146,AC146,AK146,AL146,テーブル2[[#This Row],[Fcorr]])</f>
        <v/>
      </c>
      <c r="AF146" s="38">
        <f>+AE146-U146</f>
        <v/>
      </c>
      <c r="AG146" s="0" t="n">
        <v>1.024891579847246e-05</v>
      </c>
      <c r="AH146" s="0">
        <f>+X146*N146^2/(8*E146)</f>
        <v/>
      </c>
      <c r="AI146" s="0">
        <f>+(AH146/E146)^0.5</f>
        <v/>
      </c>
      <c r="AJ146" s="0">
        <f>+AG146*AI146/I146*E146</f>
        <v/>
      </c>
      <c r="AK146" s="0">
        <f t="array" ref="AK146">+S146*テーブル2[[#This Row],[F_form]]/(E146*CpFromTP((テーブル2[[#This Row],[Tin]]+テーブル2[[#This Row],[Tf]])/2,テーブル2[[#This Row],[P]])*AI146)</f>
        <v/>
      </c>
      <c r="AL146" s="0">
        <f>+K146*I146/J146</f>
        <v/>
      </c>
      <c r="AM146" s="0">
        <f>+gettyp(AC146,AJ146,AK146,AL146)</f>
        <v/>
      </c>
      <c r="AN146" s="0">
        <f>+C146-AM146</f>
        <v/>
      </c>
      <c r="AO146" s="0">
        <f>+AG146-AB146</f>
        <v/>
      </c>
      <c r="AP146" s="0" t="n">
        <v>3.302885805280546</v>
      </c>
      <c r="AQ146" s="0">
        <f>2*PI()*L146*(D146+E146)/(D146*E146*AP146^2)</f>
        <v/>
      </c>
      <c r="AR146" s="0">
        <f>+AO146+AB146/2</f>
        <v/>
      </c>
      <c r="AS146" s="0">
        <f>+AR146*AI146/I146*E146</f>
        <v/>
      </c>
      <c r="AT146" s="0">
        <f>+getublp(AS146)</f>
        <v/>
      </c>
      <c r="AU146" s="0">
        <f>+AT146*AI146</f>
        <v/>
      </c>
      <c r="AV146" s="0">
        <f>+AP146-AU146</f>
        <v/>
      </c>
      <c r="AW146" s="0">
        <f>2/3*AB146/(L146/(9.8*(E146-D146)))^0.5</f>
        <v/>
      </c>
      <c r="AX146" s="0">
        <f>+(2*AQ146*9.8*(E146-D146)/(E146*AW146))^0.5</f>
        <v/>
      </c>
      <c r="AY146" s="0">
        <f>+AV146-AX146</f>
        <v/>
      </c>
      <c r="AZ146" s="0">
        <f>+F146-G146</f>
        <v/>
      </c>
      <c r="BA146" s="0">
        <f>+AQ146/AP146</f>
        <v/>
      </c>
      <c r="BB146" s="15">
        <f>+E146*AO146*AZ146/BA146</f>
        <v/>
      </c>
      <c r="BC146" s="20">
        <f>BB146-S146</f>
        <v/>
      </c>
      <c r="BD146" s="19">
        <f>+(BB146-S146)/S146*100</f>
        <v/>
      </c>
      <c r="BE146" s="15" t="n">
        <v>4164058.8</v>
      </c>
      <c r="BF146" s="16">
        <f>テーブル2[[#This Row],[q_P]]/テーブル2[[#This Row],[q_M]]</f>
        <v/>
      </c>
      <c r="BG146" s="0" t="n">
        <v>1</v>
      </c>
      <c r="BH146" s="0" t="n">
        <v>0.011</v>
      </c>
      <c r="BI146" s="0" t="n">
        <v>0.046</v>
      </c>
      <c r="BJ146" s="0" t="n">
        <v>5625</v>
      </c>
      <c r="BK146" s="22" t="n">
        <v>1</v>
      </c>
      <c r="BL146" s="0">
        <f>テーブル2[[#This Row],[Ts]]-テーブル2[[#This Row],[Tin]]</f>
        <v/>
      </c>
      <c r="BM146" s="0">
        <f>テーブル2[[#This Row],[q_P]]*0.000001</f>
        <v/>
      </c>
      <c r="BN146" s="0">
        <f>テーブル2[[#This Row],[Tsub]]</f>
        <v/>
      </c>
      <c r="BO146" s="0">
        <f>テーブル2[[#This Row],[Fcorr]]</f>
        <v/>
      </c>
      <c r="BP146" s="0">
        <f>(テーブル2[[#This Row],[Tsub]]-40)^2</f>
        <v/>
      </c>
      <c r="BQ146" t="n">
        <v>1</v>
      </c>
      <c r="BR146" s="0" t="n">
        <v>0.1524</v>
      </c>
    </row>
    <row r="147">
      <c r="A147" s="9" t="inlineStr">
        <is>
          <t>14.01_11</t>
        </is>
      </c>
      <c r="B147" s="0" t="n">
        <v>15513203.9096288</v>
      </c>
      <c r="C147" s="22">
        <f t="array" ref="C147">TsatFromP(テーブル2[[#This Row],[P]])</f>
        <v/>
      </c>
      <c r="D147" s="0">
        <f t="array" ref="D147">RhoGFromP(テーブル2[[#This Row],[P]])</f>
        <v/>
      </c>
      <c r="E147" s="0">
        <f t="array" ref="E147">RhoFFromP(テーブル2[[#This Row],[P]])</f>
        <v/>
      </c>
      <c r="F147" s="0">
        <f t="array" ref="F147">HgFromP(テーブル2[[#This Row],[P]])</f>
        <v/>
      </c>
      <c r="G147" s="0">
        <f t="array" ref="G147">HfFromP(テーブル2[[#This Row],[P]])</f>
        <v/>
      </c>
      <c r="H147" s="0">
        <f t="array" ref="H147">MuGFromP(テーブル2[[#This Row],[P]])</f>
        <v/>
      </c>
      <c r="I147" s="0">
        <f t="array" ref="I147">MuFFromP(テーブル2[[#This Row],[P]])</f>
        <v/>
      </c>
      <c r="J147" s="0">
        <f t="array" ref="J147">KfFromP(テーブル2[[#This Row],[P]])</f>
        <v/>
      </c>
      <c r="K147" s="0">
        <f t="array" ref="K147">CpFFromP(テーブル2[[#This Row],[P]])</f>
        <v/>
      </c>
      <c r="L147" s="0">
        <f t="array" ref="L147">SigmaFromP(テーブル2[[#This Row],[P]])</f>
        <v/>
      </c>
      <c r="M147" s="0" t="n">
        <v>146</v>
      </c>
      <c r="N147" s="0" t="n">
        <v>2983.706</v>
      </c>
      <c r="O147" s="8">
        <f>PI()*Q147^2/4</f>
        <v/>
      </c>
      <c r="P147" s="8">
        <f>PI()*Q147</f>
        <v/>
      </c>
      <c r="Q147" s="8" t="n">
        <v>0.001905</v>
      </c>
      <c r="R147" s="0" t="n">
        <v>0.1524</v>
      </c>
      <c r="S147" s="15" t="n">
        <v>5002398.92578125</v>
      </c>
      <c r="T147" s="0" t="n">
        <v>506.783587165309</v>
      </c>
      <c r="U147" s="37">
        <f>+T147+BG147*S147*テーブル2[[#This Row],[Pw]]*R147/(N147*O147*K147)</f>
        <v/>
      </c>
      <c r="V147" s="0" t="n">
        <v>0.03</v>
      </c>
      <c r="W147" s="8">
        <f>+N147*Q147/I147</f>
        <v/>
      </c>
      <c r="X147" s="0" t="n">
        <v>0.02959478401813164</v>
      </c>
      <c r="Y147" s="0">
        <f>IF(X147&gt;0,1/X147^0.5,1)</f>
        <v/>
      </c>
      <c r="Z147" s="0">
        <f>IF(X147&gt;0,1.14-2*LOG((0.72*L147*E147)/(X147*Q147*N147^2)+9.35/(W147*X147^0.5)),0)</f>
        <v/>
      </c>
      <c r="AA147" s="0">
        <f>+Y147-Z147</f>
        <v/>
      </c>
      <c r="AB147" s="0">
        <f>32/X147*L147*V147*E147/N147^2</f>
        <v/>
      </c>
      <c r="AC147" s="0" t="n">
        <v>708.709835930685</v>
      </c>
      <c r="AD147" s="0">
        <f>+Q147/2*AI147/I147*E147</f>
        <v/>
      </c>
      <c r="AE147" s="0">
        <f>+gettm2(AD147,AC147,AK147,AL147,テーブル2[[#This Row],[Fcorr]])</f>
        <v/>
      </c>
      <c r="AF147" s="38">
        <f>+AE147-U147</f>
        <v/>
      </c>
      <c r="AG147" s="0" t="n">
        <v>1.012819253051503e-05</v>
      </c>
      <c r="AH147" s="0">
        <f>+X147*N147^2/(8*E147)</f>
        <v/>
      </c>
      <c r="AI147" s="0">
        <f>+(AH147/E147)^0.5</f>
        <v/>
      </c>
      <c r="AJ147" s="0">
        <f>+AG147*AI147/I147*E147</f>
        <v/>
      </c>
      <c r="AK147" s="0">
        <f t="array" ref="AK147">+S147*テーブル2[[#This Row],[F_form]]/(E147*CpFromTP((テーブル2[[#This Row],[Tin]]+テーブル2[[#This Row],[Tf]])/2,テーブル2[[#This Row],[P]])*AI147)</f>
        <v/>
      </c>
      <c r="AL147" s="0">
        <f>+K147*I147/J147</f>
        <v/>
      </c>
      <c r="AM147" s="0">
        <f>+gettyp(AC147,AJ147,AK147,AL147)</f>
        <v/>
      </c>
      <c r="AN147" s="0">
        <f>+C147-AM147</f>
        <v/>
      </c>
      <c r="AO147" s="0">
        <f>+AG147-AB147</f>
        <v/>
      </c>
      <c r="AP147" s="0" t="n">
        <v>3.321551431372477</v>
      </c>
      <c r="AQ147" s="0">
        <f>2*PI()*L147*(D147+E147)/(D147*E147*AP147^2)</f>
        <v/>
      </c>
      <c r="AR147" s="0">
        <f>+AO147+AB147/2</f>
        <v/>
      </c>
      <c r="AS147" s="0">
        <f>+AR147*AI147/I147*E147</f>
        <v/>
      </c>
      <c r="AT147" s="0">
        <f>+getublp(AS147)</f>
        <v/>
      </c>
      <c r="AU147" s="0">
        <f>+AT147*AI147</f>
        <v/>
      </c>
      <c r="AV147" s="0">
        <f>+AP147-AU147</f>
        <v/>
      </c>
      <c r="AW147" s="0">
        <f>2/3*AB147/(L147/(9.8*(E147-D147)))^0.5</f>
        <v/>
      </c>
      <c r="AX147" s="0">
        <f>+(2*AQ147*9.8*(E147-D147)/(E147*AW147))^0.5</f>
        <v/>
      </c>
      <c r="AY147" s="0">
        <f>+AV147-AX147</f>
        <v/>
      </c>
      <c r="AZ147" s="0">
        <f>+F147-G147</f>
        <v/>
      </c>
      <c r="BA147" s="0">
        <f>+AQ147/AP147</f>
        <v/>
      </c>
      <c r="BB147" s="15">
        <f>+E147*AO147*AZ147/BA147</f>
        <v/>
      </c>
      <c r="BC147" s="20">
        <f>BB147-S147</f>
        <v/>
      </c>
      <c r="BD147" s="19">
        <f>+(BB147-S147)/S147*100</f>
        <v/>
      </c>
      <c r="BE147" s="15" t="n">
        <v>5520532.5</v>
      </c>
      <c r="BF147" s="16">
        <f>テーブル2[[#This Row],[q_P]]/テーブル2[[#This Row],[q_M]]</f>
        <v/>
      </c>
      <c r="BG147" s="0" t="n">
        <v>1</v>
      </c>
      <c r="BH147" s="0" t="n">
        <v>-0.03</v>
      </c>
      <c r="BI147" s="0" t="n">
        <v>0.046</v>
      </c>
      <c r="BJ147" s="0" t="n">
        <v>5625</v>
      </c>
      <c r="BK147" s="22" t="n">
        <v>1</v>
      </c>
      <c r="BL147" s="0">
        <f>テーブル2[[#This Row],[Ts]]-テーブル2[[#This Row],[Tin]]</f>
        <v/>
      </c>
      <c r="BM147" s="0">
        <f>テーブル2[[#This Row],[q_P]]*0.000001</f>
        <v/>
      </c>
      <c r="BN147" s="0">
        <f>テーブル2[[#This Row],[Tsub]]</f>
        <v/>
      </c>
      <c r="BO147" s="0">
        <f>テーブル2[[#This Row],[Fcorr]]</f>
        <v/>
      </c>
      <c r="BP147" s="0">
        <f>(テーブル2[[#This Row],[Tsub]]-40)^2</f>
        <v/>
      </c>
      <c r="BQ147" t="n">
        <v>1</v>
      </c>
      <c r="BR147" s="0" t="n">
        <v>0.1524</v>
      </c>
    </row>
    <row r="148">
      <c r="A148" s="9" t="inlineStr">
        <is>
          <t>15.01_11</t>
        </is>
      </c>
      <c r="B148" s="0" t="n">
        <v>15513203.9096288</v>
      </c>
      <c r="C148" s="22">
        <f t="array" ref="C148">TsatFromP(テーブル2[[#This Row],[P]])</f>
        <v/>
      </c>
      <c r="D148" s="0">
        <f t="array" ref="D148">RhoGFromP(テーブル2[[#This Row],[P]])</f>
        <v/>
      </c>
      <c r="E148" s="0">
        <f t="array" ref="E148">RhoFFromP(テーブル2[[#This Row],[P]])</f>
        <v/>
      </c>
      <c r="F148" s="0">
        <f t="array" ref="F148">HgFromP(テーブル2[[#This Row],[P]])</f>
        <v/>
      </c>
      <c r="G148" s="0">
        <f t="array" ref="G148">HfFromP(テーブル2[[#This Row],[P]])</f>
        <v/>
      </c>
      <c r="H148" s="0">
        <f t="array" ref="H148">MuGFromP(テーブル2[[#This Row],[P]])</f>
        <v/>
      </c>
      <c r="I148" s="0">
        <f t="array" ref="I148">MuFFromP(テーブル2[[#This Row],[P]])</f>
        <v/>
      </c>
      <c r="J148" s="0">
        <f t="array" ref="J148">KfFromP(テーブル2[[#This Row],[P]])</f>
        <v/>
      </c>
      <c r="K148" s="0">
        <f t="array" ref="K148">CpFFromP(テーブル2[[#This Row],[P]])</f>
        <v/>
      </c>
      <c r="L148" s="0">
        <f t="array" ref="L148">SigmaFromP(テーブル2[[#This Row],[P]])</f>
        <v/>
      </c>
      <c r="M148" s="0" t="n">
        <v>147</v>
      </c>
      <c r="N148" s="0" t="n">
        <v>2997.2683</v>
      </c>
      <c r="O148" s="8">
        <f>PI()*Q148^2/4</f>
        <v/>
      </c>
      <c r="P148" s="8">
        <f>PI()*Q148</f>
        <v/>
      </c>
      <c r="Q148" s="8" t="n">
        <v>0.001905</v>
      </c>
      <c r="R148" s="0" t="n">
        <v>0.1524</v>
      </c>
      <c r="S148" s="15" t="n">
        <v>5076080.76171875</v>
      </c>
      <c r="T148" s="0" t="n">
        <v>505.315818150941</v>
      </c>
      <c r="U148" s="37">
        <f>+T148+BG148*S148*テーブル2[[#This Row],[Pw]]*R148/(N148*O148*K148)</f>
        <v/>
      </c>
      <c r="V148" s="0" t="n">
        <v>0.03</v>
      </c>
      <c r="W148" s="8">
        <f>+N148*Q148/I148</f>
        <v/>
      </c>
      <c r="X148" s="0" t="n">
        <v>0.02953652615932554</v>
      </c>
      <c r="Y148" s="0">
        <f>IF(X148&gt;0,1/X148^0.5,1)</f>
        <v/>
      </c>
      <c r="Z148" s="0">
        <f>IF(X148&gt;0,1.14-2*LOG((0.72*L148*E148)/(X148*Q148*N148^2)+9.35/(W148*X148^0.5)),0)</f>
        <v/>
      </c>
      <c r="AA148" s="0">
        <f>+Y148-Z148</f>
        <v/>
      </c>
      <c r="AB148" s="0">
        <f>32/X148*L148*V148*E148/N148^2</f>
        <v/>
      </c>
      <c r="AC148" s="0" t="n">
        <v>709.8612912242872</v>
      </c>
      <c r="AD148" s="0">
        <f>+Q148/2*AI148/I148*E148</f>
        <v/>
      </c>
      <c r="AE148" s="0">
        <f>+gettm2(AD148,AC148,AK148,AL148,テーブル2[[#This Row],[Fcorr]])</f>
        <v/>
      </c>
      <c r="AF148" s="38">
        <f>+AE148-U148</f>
        <v/>
      </c>
      <c r="AG148" s="0" t="n">
        <v>1.005861786816685e-05</v>
      </c>
      <c r="AH148" s="0">
        <f>+X148*N148^2/(8*E148)</f>
        <v/>
      </c>
      <c r="AI148" s="0">
        <f>+(AH148/E148)^0.5</f>
        <v/>
      </c>
      <c r="AJ148" s="0">
        <f>+AG148*AI148/I148*E148</f>
        <v/>
      </c>
      <c r="AK148" s="0">
        <f t="array" ref="AK148">+S148*テーブル2[[#This Row],[F_form]]/(E148*CpFromTP((テーブル2[[#This Row],[Tin]]+テーブル2[[#This Row],[Tf]])/2,テーブル2[[#This Row],[P]])*AI148)</f>
        <v/>
      </c>
      <c r="AL148" s="0">
        <f>+K148*I148/J148</f>
        <v/>
      </c>
      <c r="AM148" s="0">
        <f>+gettyp(AC148,AJ148,AK148,AL148)</f>
        <v/>
      </c>
      <c r="AN148" s="0">
        <f>+C148-AM148</f>
        <v/>
      </c>
      <c r="AO148" s="0">
        <f>+AG148-AB148</f>
        <v/>
      </c>
      <c r="AP148" s="0" t="n">
        <v>3.3280262779849</v>
      </c>
      <c r="AQ148" s="0">
        <f>2*PI()*L148*(D148+E148)/(D148*E148*AP148^2)</f>
        <v/>
      </c>
      <c r="AR148" s="0">
        <f>+AO148+AB148/2</f>
        <v/>
      </c>
      <c r="AS148" s="0">
        <f>+AR148*AI148/I148*E148</f>
        <v/>
      </c>
      <c r="AT148" s="0">
        <f>+getublp(AS148)</f>
        <v/>
      </c>
      <c r="AU148" s="0">
        <f>+AT148*AI148</f>
        <v/>
      </c>
      <c r="AV148" s="0">
        <f>+AP148-AU148</f>
        <v/>
      </c>
      <c r="AW148" s="0">
        <f>2/3*AB148/(L148/(9.8*(E148-D148)))^0.5</f>
        <v/>
      </c>
      <c r="AX148" s="0">
        <f>+(2*AQ148*9.8*(E148-D148)/(E148*AW148))^0.5</f>
        <v/>
      </c>
      <c r="AY148" s="0">
        <f>+AV148-AX148</f>
        <v/>
      </c>
      <c r="AZ148" s="0">
        <f>+F148-G148</f>
        <v/>
      </c>
      <c r="BA148" s="0">
        <f>+AQ148/AP148</f>
        <v/>
      </c>
      <c r="BB148" s="15">
        <f>+E148*AO148*AZ148/BA148</f>
        <v/>
      </c>
      <c r="BC148" s="20">
        <f>BB148-S148</f>
        <v/>
      </c>
      <c r="BD148" s="19">
        <f>+(BB148-S148)/S148*100</f>
        <v/>
      </c>
      <c r="BE148" s="15" t="n">
        <v>5520532.5</v>
      </c>
      <c r="BF148" s="16">
        <f>テーブル2[[#This Row],[q_P]]/テーブル2[[#This Row],[q_M]]</f>
        <v/>
      </c>
      <c r="BG148" s="0" t="n">
        <v>1</v>
      </c>
      <c r="BH148" s="0" t="n">
        <v>-0.039</v>
      </c>
      <c r="BI148" s="0" t="n">
        <v>0.046</v>
      </c>
      <c r="BJ148" s="0" t="n">
        <v>5625</v>
      </c>
      <c r="BK148" s="22" t="n">
        <v>1</v>
      </c>
      <c r="BL148" s="0">
        <f>テーブル2[[#This Row],[Ts]]-テーブル2[[#This Row],[Tin]]</f>
        <v/>
      </c>
      <c r="BM148" s="0">
        <f>テーブル2[[#This Row],[q_P]]*0.000001</f>
        <v/>
      </c>
      <c r="BN148" s="0">
        <f>テーブル2[[#This Row],[Tsub]]</f>
        <v/>
      </c>
      <c r="BO148" s="0">
        <f>テーブル2[[#This Row],[Fcorr]]</f>
        <v/>
      </c>
      <c r="BP148" s="0">
        <f>(テーブル2[[#This Row],[Tsub]]-40)^2</f>
        <v/>
      </c>
      <c r="BQ148" t="n">
        <v>1</v>
      </c>
      <c r="BR148" s="0" t="n">
        <v>0.1524</v>
      </c>
    </row>
    <row r="149">
      <c r="A149" s="9" t="inlineStr">
        <is>
          <t>16.01_11</t>
        </is>
      </c>
      <c r="B149" s="0" t="n">
        <v>15513203.9096288</v>
      </c>
      <c r="C149" s="22">
        <f t="array" ref="C149">TsatFromP(テーブル2[[#This Row],[P]])</f>
        <v/>
      </c>
      <c r="D149" s="0">
        <f t="array" ref="D149">RhoGFromP(テーブル2[[#This Row],[P]])</f>
        <v/>
      </c>
      <c r="E149" s="0">
        <f t="array" ref="E149">RhoFFromP(テーブル2[[#This Row],[P]])</f>
        <v/>
      </c>
      <c r="F149" s="0">
        <f t="array" ref="F149">HgFromP(テーブル2[[#This Row],[P]])</f>
        <v/>
      </c>
      <c r="G149" s="0">
        <f t="array" ref="G149">HfFromP(テーブル2[[#This Row],[P]])</f>
        <v/>
      </c>
      <c r="H149" s="0">
        <f t="array" ref="H149">MuGFromP(テーブル2[[#This Row],[P]])</f>
        <v/>
      </c>
      <c r="I149" s="0">
        <f t="array" ref="I149">MuFFromP(テーブル2[[#This Row],[P]])</f>
        <v/>
      </c>
      <c r="J149" s="0">
        <f t="array" ref="J149">KfFromP(テーブル2[[#This Row],[P]])</f>
        <v/>
      </c>
      <c r="K149" s="0">
        <f t="array" ref="K149">CpFFromP(テーブル2[[#This Row],[P]])</f>
        <v/>
      </c>
      <c r="L149" s="0">
        <f t="array" ref="L149">SigmaFromP(テーブル2[[#This Row],[P]])</f>
        <v/>
      </c>
      <c r="M149" s="0" t="n">
        <v>148</v>
      </c>
      <c r="N149" s="0" t="n">
        <v>3024.3929</v>
      </c>
      <c r="O149" s="8">
        <f>PI()*Q149^2/4</f>
        <v/>
      </c>
      <c r="P149" s="8">
        <f>PI()*Q149</f>
        <v/>
      </c>
      <c r="Q149" s="8" t="n">
        <v>0.001905</v>
      </c>
      <c r="R149" s="0" t="n">
        <v>0.1524</v>
      </c>
      <c r="S149" s="15" t="n">
        <v>6789642.08984375</v>
      </c>
      <c r="T149" s="0" t="n">
        <v>464.11830000845</v>
      </c>
      <c r="U149" s="37">
        <f>+T149+BG149*S149*テーブル2[[#This Row],[Pw]]*R149/(N149*O149*K149)</f>
        <v/>
      </c>
      <c r="V149" s="0" t="n">
        <v>0.03</v>
      </c>
      <c r="W149" s="8">
        <f>+N149*Q149/I149</f>
        <v/>
      </c>
      <c r="X149" s="0" t="n">
        <v>0.02942130087323908</v>
      </c>
      <c r="Y149" s="0">
        <f>IF(X149&gt;0,1/X149^0.5,1)</f>
        <v/>
      </c>
      <c r="Z149" s="0">
        <f>IF(X149&gt;0,1.14-2*LOG((0.72*L149*E149)/(X149*Q149*N149^2)+9.35/(W149*X149^0.5)),0)</f>
        <v/>
      </c>
      <c r="AA149" s="0">
        <f>+Y149-Z149</f>
        <v/>
      </c>
      <c r="AB149" s="0">
        <f>32/X149*L149*V149*E149/N149^2</f>
        <v/>
      </c>
      <c r="AC149" s="0" t="n">
        <v>746.9210192776031</v>
      </c>
      <c r="AD149" s="0">
        <f>+Q149/2*AI149/I149*E149</f>
        <v/>
      </c>
      <c r="AE149" s="0">
        <f>+gettm2(AD149,AC149,AK149,AL149,テーブル2[[#This Row],[Fcorr]])</f>
        <v/>
      </c>
      <c r="AF149" s="38">
        <f>+AE149-U149</f>
        <v/>
      </c>
      <c r="AG149" s="0" t="n">
        <v>9.94358332079459e-06</v>
      </c>
      <c r="AH149" s="0">
        <f>+X149*N149^2/(8*E149)</f>
        <v/>
      </c>
      <c r="AI149" s="0">
        <f>+(AH149/E149)^0.5</f>
        <v/>
      </c>
      <c r="AJ149" s="0">
        <f>+AG149*AI149/I149*E149</f>
        <v/>
      </c>
      <c r="AK149" s="0">
        <f t="array" ref="AK149">+S149*テーブル2[[#This Row],[F_form]]/(E149*CpFromTP((テーブル2[[#This Row],[Tin]]+テーブル2[[#This Row],[Tf]])/2,テーブル2[[#This Row],[P]])*AI149)</f>
        <v/>
      </c>
      <c r="AL149" s="0">
        <f>+K149*I149/J149</f>
        <v/>
      </c>
      <c r="AM149" s="0">
        <f>+gettyp(AC149,AJ149,AK149,AL149)</f>
        <v/>
      </c>
      <c r="AN149" s="0">
        <f>+C149-AM149</f>
        <v/>
      </c>
      <c r="AO149" s="0">
        <f>+AG149-AB149</f>
        <v/>
      </c>
      <c r="AP149" s="0" t="n">
        <v>3.347126318320145</v>
      </c>
      <c r="AQ149" s="0">
        <f>2*PI()*L149*(D149+E149)/(D149*E149*AP149^2)</f>
        <v/>
      </c>
      <c r="AR149" s="0">
        <f>+AO149+AB149/2</f>
        <v/>
      </c>
      <c r="AS149" s="0">
        <f>+AR149*AI149/I149*E149</f>
        <v/>
      </c>
      <c r="AT149" s="0">
        <f>+getublp(AS149)</f>
        <v/>
      </c>
      <c r="AU149" s="0">
        <f>+AT149*AI149</f>
        <v/>
      </c>
      <c r="AV149" s="0">
        <f>+AP149-AU149</f>
        <v/>
      </c>
      <c r="AW149" s="0">
        <f>2/3*AB149/(L149/(9.8*(E149-D149)))^0.5</f>
        <v/>
      </c>
      <c r="AX149" s="0">
        <f>+(2*AQ149*9.8*(E149-D149)/(E149*AW149))^0.5</f>
        <v/>
      </c>
      <c r="AY149" s="0">
        <f>+AV149-AX149</f>
        <v/>
      </c>
      <c r="AZ149" s="0">
        <f>+F149-G149</f>
        <v/>
      </c>
      <c r="BA149" s="0">
        <f>+AQ149/AP149</f>
        <v/>
      </c>
      <c r="BB149" s="15">
        <f>+E149*AO149*AZ149/BA149</f>
        <v/>
      </c>
      <c r="BC149" s="20">
        <f>BB149-S149</f>
        <v/>
      </c>
      <c r="BD149" s="19">
        <f>+(BB149-S149)/S149*100</f>
        <v/>
      </c>
      <c r="BE149" s="15" t="n">
        <v>6561547.199999999</v>
      </c>
      <c r="BF149" s="16">
        <f>テーブル2[[#This Row],[q_P]]/テーブル2[[#This Row],[q_M]]</f>
        <v/>
      </c>
      <c r="BG149" s="0" t="n">
        <v>1</v>
      </c>
      <c r="BH149" s="0" t="n">
        <v>-0.122</v>
      </c>
      <c r="BI149" s="0" t="n">
        <v>0.046</v>
      </c>
      <c r="BJ149" s="0" t="n">
        <v>5625</v>
      </c>
      <c r="BK149" s="22" t="n">
        <v>1</v>
      </c>
      <c r="BL149" s="0">
        <f>テーブル2[[#This Row],[Ts]]-テーブル2[[#This Row],[Tin]]</f>
        <v/>
      </c>
      <c r="BM149" s="0">
        <f>テーブル2[[#This Row],[q_P]]*0.000001</f>
        <v/>
      </c>
      <c r="BN149" s="0">
        <f>テーブル2[[#This Row],[Tsub]]</f>
        <v/>
      </c>
      <c r="BO149" s="0">
        <f>テーブル2[[#This Row],[Fcorr]]</f>
        <v/>
      </c>
      <c r="BP149" s="0">
        <f>(テーブル2[[#This Row],[Tsub]]-40)^2</f>
        <v/>
      </c>
      <c r="BQ149" t="n">
        <v>1</v>
      </c>
      <c r="BR149" s="0" t="n">
        <v>0.1524</v>
      </c>
    </row>
    <row r="150">
      <c r="A150" s="9" t="inlineStr">
        <is>
          <t>17.01_11</t>
        </is>
      </c>
      <c r="B150" s="0" t="n">
        <v>15513203.9096288</v>
      </c>
      <c r="C150" s="22">
        <f t="array" ref="C150">TsatFromP(テーブル2[[#This Row],[P]])</f>
        <v/>
      </c>
      <c r="D150" s="0">
        <f t="array" ref="D150">RhoGFromP(テーブル2[[#This Row],[P]])</f>
        <v/>
      </c>
      <c r="E150" s="0">
        <f t="array" ref="E150">RhoFFromP(テーブル2[[#This Row],[P]])</f>
        <v/>
      </c>
      <c r="F150" s="0">
        <f t="array" ref="F150">HgFromP(テーブル2[[#This Row],[P]])</f>
        <v/>
      </c>
      <c r="G150" s="0">
        <f t="array" ref="G150">HfFromP(テーブル2[[#This Row],[P]])</f>
        <v/>
      </c>
      <c r="H150" s="0">
        <f t="array" ref="H150">MuGFromP(テーブル2[[#This Row],[P]])</f>
        <v/>
      </c>
      <c r="I150" s="0">
        <f t="array" ref="I150">MuFFromP(テーブル2[[#This Row],[P]])</f>
        <v/>
      </c>
      <c r="J150" s="0">
        <f t="array" ref="J150">KfFromP(テーブル2[[#This Row],[P]])</f>
        <v/>
      </c>
      <c r="K150" s="0">
        <f t="array" ref="K150">CpFFromP(テーブル2[[#This Row],[P]])</f>
        <v/>
      </c>
      <c r="L150" s="0">
        <f t="array" ref="L150">SigmaFromP(テーブル2[[#This Row],[P]])</f>
        <v/>
      </c>
      <c r="M150" s="0" t="n">
        <v>149</v>
      </c>
      <c r="N150" s="0" t="n">
        <v>3024.3929</v>
      </c>
      <c r="O150" s="8">
        <f>PI()*Q150^2/4</f>
        <v/>
      </c>
      <c r="P150" s="8">
        <f>PI()*Q150</f>
        <v/>
      </c>
      <c r="Q150" s="8" t="n">
        <v>0.001905</v>
      </c>
      <c r="R150" s="0" t="n">
        <v>0.1524</v>
      </c>
      <c r="S150" s="15" t="n">
        <v>6744360.3515625</v>
      </c>
      <c r="T150" s="0" t="n">
        <v>465.232089236273</v>
      </c>
      <c r="U150" s="37">
        <f>+T150+BG150*S150*テーブル2[[#This Row],[Pw]]*R150/(N150*O150*K150)</f>
        <v/>
      </c>
      <c r="V150" s="0" t="n">
        <v>0.03</v>
      </c>
      <c r="W150" s="8">
        <f>+N150*Q150/I150</f>
        <v/>
      </c>
      <c r="X150" s="0" t="n">
        <v>0.02942130087323908</v>
      </c>
      <c r="Y150" s="0">
        <f>IF(X150&gt;0,1/X150^0.5,1)</f>
        <v/>
      </c>
      <c r="Z150" s="0">
        <f>IF(X150&gt;0,1.14-2*LOG((0.72*L150*E150)/(X150*Q150*N150^2)+9.35/(W150*X150^0.5)),0)</f>
        <v/>
      </c>
      <c r="AA150" s="0">
        <f>+Y150-Z150</f>
        <v/>
      </c>
      <c r="AB150" s="0">
        <f>32/X150*L150*V150*E150/N150^2</f>
        <v/>
      </c>
      <c r="AC150" s="0" t="n">
        <v>745.9002550063306</v>
      </c>
      <c r="AD150" s="0">
        <f>+Q150/2*AI150/I150*E150</f>
        <v/>
      </c>
      <c r="AE150" s="0">
        <f>+gettm2(AD150,AC150,AK150,AL150,テーブル2[[#This Row],[Fcorr]])</f>
        <v/>
      </c>
      <c r="AF150" s="38">
        <f>+AE150-U150</f>
        <v/>
      </c>
      <c r="AG150" s="0" t="n">
        <v>9.942874400912798e-06</v>
      </c>
      <c r="AH150" s="0">
        <f>+X150*N150^2/(8*E150)</f>
        <v/>
      </c>
      <c r="AI150" s="0">
        <f>+(AH150/E150)^0.5</f>
        <v/>
      </c>
      <c r="AJ150" s="0">
        <f>+AG150*AI150/I150*E150</f>
        <v/>
      </c>
      <c r="AK150" s="0">
        <f t="array" ref="AK150">+S150*テーブル2[[#This Row],[F_form]]/(E150*CpFromTP((テーブル2[[#This Row],[Tin]]+テーブル2[[#This Row],[Tf]])/2,テーブル2[[#This Row],[P]])*AI150)</f>
        <v/>
      </c>
      <c r="AL150" s="0">
        <f>+K150*I150/J150</f>
        <v/>
      </c>
      <c r="AM150" s="0">
        <f>+gettyp(AC150,AJ150,AK150,AL150)</f>
        <v/>
      </c>
      <c r="AN150" s="0">
        <f>+C150-AM150</f>
        <v/>
      </c>
      <c r="AO150" s="0">
        <f>+AG150-AB150</f>
        <v/>
      </c>
      <c r="AP150" s="0" t="n">
        <v>3.346924697318735</v>
      </c>
      <c r="AQ150" s="0">
        <f>2*PI()*L150*(D150+E150)/(D150*E150*AP150^2)</f>
        <v/>
      </c>
      <c r="AR150" s="0">
        <f>+AO150+AB150/2</f>
        <v/>
      </c>
      <c r="AS150" s="0">
        <f>+AR150*AI150/I150*E150</f>
        <v/>
      </c>
      <c r="AT150" s="0">
        <f>+getublp(AS150)</f>
        <v/>
      </c>
      <c r="AU150" s="0">
        <f>+AT150*AI150</f>
        <v/>
      </c>
      <c r="AV150" s="0">
        <f>+AP150-AU150</f>
        <v/>
      </c>
      <c r="AW150" s="0">
        <f>2/3*AB150/(L150/(9.8*(E150-D150)))^0.5</f>
        <v/>
      </c>
      <c r="AX150" s="0">
        <f>+(2*AQ150*9.8*(E150-D150)/(E150*AW150))^0.5</f>
        <v/>
      </c>
      <c r="AY150" s="0">
        <f>+AV150-AX150</f>
        <v/>
      </c>
      <c r="AZ150" s="0">
        <f>+F150-G150</f>
        <v/>
      </c>
      <c r="BA150" s="0">
        <f>+AQ150/AP150</f>
        <v/>
      </c>
      <c r="BB150" s="15">
        <f>+E150*AO150*AZ150/BA150</f>
        <v/>
      </c>
      <c r="BC150" s="20">
        <f>BB150-S150</f>
        <v/>
      </c>
      <c r="BD150" s="19">
        <f>+(BB150-S150)/S150*100</f>
        <v/>
      </c>
      <c r="BE150" s="15" t="n">
        <v>6593093.1</v>
      </c>
      <c r="BF150" s="16">
        <f>テーブル2[[#This Row],[q_P]]/テーブル2[[#This Row],[q_M]]</f>
        <v/>
      </c>
      <c r="BG150" s="0" t="n">
        <v>1</v>
      </c>
      <c r="BH150" s="0" t="n">
        <v>-0.113</v>
      </c>
      <c r="BI150" s="0" t="n">
        <v>0.046</v>
      </c>
      <c r="BJ150" s="0" t="n">
        <v>5625</v>
      </c>
      <c r="BK150" s="22" t="n">
        <v>1</v>
      </c>
      <c r="BL150" s="0">
        <f>テーブル2[[#This Row],[Ts]]-テーブル2[[#This Row],[Tin]]</f>
        <v/>
      </c>
      <c r="BM150" s="0">
        <f>テーブル2[[#This Row],[q_P]]*0.000001</f>
        <v/>
      </c>
      <c r="BN150" s="0">
        <f>テーブル2[[#This Row],[Tsub]]</f>
        <v/>
      </c>
      <c r="BO150" s="0">
        <f>テーブル2[[#This Row],[Fcorr]]</f>
        <v/>
      </c>
      <c r="BP150" s="0">
        <f>(テーブル2[[#This Row],[Tsub]]-40)^2</f>
        <v/>
      </c>
      <c r="BQ150" t="n">
        <v>1</v>
      </c>
      <c r="BR150" s="0" t="n">
        <v>0.1524</v>
      </c>
    </row>
    <row r="151">
      <c r="A151" s="9" t="inlineStr">
        <is>
          <t>18.01_11</t>
        </is>
      </c>
      <c r="B151" s="0" t="n">
        <v>15513203.9096288</v>
      </c>
      <c r="C151" s="22">
        <f t="array" ref="C151">TsatFromP(テーブル2[[#This Row],[P]])</f>
        <v/>
      </c>
      <c r="D151" s="0">
        <f t="array" ref="D151">RhoGFromP(テーブル2[[#This Row],[P]])</f>
        <v/>
      </c>
      <c r="E151" s="0">
        <f t="array" ref="E151">RhoFFromP(テーブル2[[#This Row],[P]])</f>
        <v/>
      </c>
      <c r="F151" s="0">
        <f t="array" ref="F151">HgFromP(テーブル2[[#This Row],[P]])</f>
        <v/>
      </c>
      <c r="G151" s="0">
        <f t="array" ref="G151">HfFromP(テーブル2[[#This Row],[P]])</f>
        <v/>
      </c>
      <c r="H151" s="0">
        <f t="array" ref="H151">MuGFromP(テーブル2[[#This Row],[P]])</f>
        <v/>
      </c>
      <c r="I151" s="0">
        <f t="array" ref="I151">MuFFromP(テーブル2[[#This Row],[P]])</f>
        <v/>
      </c>
      <c r="J151" s="0">
        <f t="array" ref="J151">KfFromP(テーブル2[[#This Row],[P]])</f>
        <v/>
      </c>
      <c r="K151" s="0">
        <f t="array" ref="K151">CpFFromP(テーブル2[[#This Row],[P]])</f>
        <v/>
      </c>
      <c r="L151" s="0">
        <f t="array" ref="L151">SigmaFromP(テーブル2[[#This Row],[P]])</f>
        <v/>
      </c>
      <c r="M151" s="0" t="n">
        <v>150</v>
      </c>
      <c r="N151" s="0" t="n">
        <v>3553.3226</v>
      </c>
      <c r="O151" s="8">
        <f>PI()*Q151^2/4</f>
        <v/>
      </c>
      <c r="P151" s="8">
        <f>PI()*Q151</f>
        <v/>
      </c>
      <c r="Q151" s="8" t="n">
        <v>0.001905</v>
      </c>
      <c r="R151" s="0" t="n">
        <v>0.1524</v>
      </c>
      <c r="S151" s="15" t="n">
        <v>3613308.22265625</v>
      </c>
      <c r="T151" s="0" t="n">
        <v>548.629770529251</v>
      </c>
      <c r="U151" s="37">
        <f>+T151+BG151*S151*テーブル2[[#This Row],[Pw]]*R151/(N151*O151*K151)</f>
        <v/>
      </c>
      <c r="V151" s="0" t="n">
        <v>0.03</v>
      </c>
      <c r="W151" s="8">
        <f>+N151*Q151/I151</f>
        <v/>
      </c>
      <c r="X151" s="0" t="n">
        <v>0.02746819943543007</v>
      </c>
      <c r="Y151" s="0">
        <f>IF(X151&gt;0,1/X151^0.5,1)</f>
        <v/>
      </c>
      <c r="Z151" s="0">
        <f>IF(X151&gt;0,1.14-2*LOG((0.72*L151*E151)/(X151*Q151*N151^2)+9.35/(W151*X151^0.5)),0)</f>
        <v/>
      </c>
      <c r="AA151" s="0">
        <f>+Y151-Z151</f>
        <v/>
      </c>
      <c r="AB151" s="0">
        <f>32/X151*L151*V151*E151/N151^2</f>
        <v/>
      </c>
      <c r="AC151" s="0" t="n">
        <v>667.8142841403901</v>
      </c>
      <c r="AD151" s="0">
        <f>+Q151/2*AI151/I151*E151</f>
        <v/>
      </c>
      <c r="AE151" s="0">
        <f>+gettm2(AD151,AC151,AK151,AL151,テーブル2[[#This Row],[Fcorr]])</f>
        <v/>
      </c>
      <c r="AF151" s="38">
        <f>+AE151-U151</f>
        <v/>
      </c>
      <c r="AG151" s="0" t="n">
        <v>7.680889747637032e-06</v>
      </c>
      <c r="AH151" s="0">
        <f>+X151*N151^2/(8*E151)</f>
        <v/>
      </c>
      <c r="AI151" s="0">
        <f>+(AH151/E151)^0.5</f>
        <v/>
      </c>
      <c r="AJ151" s="0">
        <f>+AG151*AI151/I151*E151</f>
        <v/>
      </c>
      <c r="AK151" s="0">
        <f t="array" ref="AK151">+S151*テーブル2[[#This Row],[F_form]]/(E151*CpFromTP((テーブル2[[#This Row],[Tin]]+テーブル2[[#This Row],[Tf]])/2,テーブル2[[#This Row],[P]])*AI151)</f>
        <v/>
      </c>
      <c r="AL151" s="0">
        <f>+K151*I151/J151</f>
        <v/>
      </c>
      <c r="AM151" s="0">
        <f>+gettyp(AC151,AJ151,AK151,AL151)</f>
        <v/>
      </c>
      <c r="AN151" s="0">
        <f>+C151-AM151</f>
        <v/>
      </c>
      <c r="AO151" s="0">
        <f>+AG151-AB151</f>
        <v/>
      </c>
      <c r="AP151" s="0" t="n">
        <v>3.544644555908299</v>
      </c>
      <c r="AQ151" s="0">
        <f>2*PI()*L151*(D151+E151)/(D151*E151*AP151^2)</f>
        <v/>
      </c>
      <c r="AR151" s="0">
        <f>+AO151+AB151/2</f>
        <v/>
      </c>
      <c r="AS151" s="0">
        <f>+AR151*AI151/I151*E151</f>
        <v/>
      </c>
      <c r="AT151" s="0">
        <f>+getublp(AS151)</f>
        <v/>
      </c>
      <c r="AU151" s="0">
        <f>+AT151*AI151</f>
        <v/>
      </c>
      <c r="AV151" s="0">
        <f>+AP151-AU151</f>
        <v/>
      </c>
      <c r="AW151" s="0">
        <f>2/3*AB151/(L151/(9.8*(E151-D151)))^0.5</f>
        <v/>
      </c>
      <c r="AX151" s="0">
        <f>+(2*AQ151*9.8*(E151-D151)/(E151*AW151))^0.5</f>
        <v/>
      </c>
      <c r="AY151" s="0">
        <f>+AV151-AX151</f>
        <v/>
      </c>
      <c r="AZ151" s="0">
        <f>+F151-G151</f>
        <v/>
      </c>
      <c r="BA151" s="0">
        <f>+AQ151/AP151</f>
        <v/>
      </c>
      <c r="BB151" s="15">
        <f>+E151*AO151*AZ151/BA151</f>
        <v/>
      </c>
      <c r="BC151" s="20">
        <f>BB151-S151</f>
        <v/>
      </c>
      <c r="BD151" s="19">
        <f>+(BB151-S151)/S151*100</f>
        <v/>
      </c>
      <c r="BE151" s="15" t="n">
        <v>4700339.1</v>
      </c>
      <c r="BF151" s="16">
        <f>テーブル2[[#This Row],[q_P]]/テーブル2[[#This Row],[q_M]]</f>
        <v/>
      </c>
      <c r="BG151" s="0" t="n">
        <v>1</v>
      </c>
      <c r="BH151" s="0" t="n">
        <v>0.003</v>
      </c>
      <c r="BI151" s="0" t="n">
        <v>0.046</v>
      </c>
      <c r="BJ151" s="0" t="n">
        <v>5625</v>
      </c>
      <c r="BK151" s="22" t="n">
        <v>1</v>
      </c>
      <c r="BL151" s="0">
        <f>テーブル2[[#This Row],[Ts]]-テーブル2[[#This Row],[Tin]]</f>
        <v/>
      </c>
      <c r="BM151" s="0">
        <f>テーブル2[[#This Row],[q_P]]*0.000001</f>
        <v/>
      </c>
      <c r="BN151" s="0">
        <f>テーブル2[[#This Row],[Tsub]]</f>
        <v/>
      </c>
      <c r="BO151" s="0">
        <f>テーブル2[[#This Row],[Fcorr]]</f>
        <v/>
      </c>
      <c r="BP151" s="0">
        <f>(テーブル2[[#This Row],[Tsub]]-40)^2</f>
        <v/>
      </c>
      <c r="BQ151" t="n">
        <v>1</v>
      </c>
      <c r="BR151" s="0" t="n">
        <v>0.1524</v>
      </c>
    </row>
    <row r="152">
      <c r="A152" s="9" t="inlineStr">
        <is>
          <t>19.01_11</t>
        </is>
      </c>
      <c r="B152" s="0" t="n">
        <v>15513203.9096288</v>
      </c>
      <c r="C152" s="22">
        <f t="array" ref="C152">TsatFromP(テーブル2[[#This Row],[P]])</f>
        <v/>
      </c>
      <c r="D152" s="0">
        <f t="array" ref="D152">RhoGFromP(テーブル2[[#This Row],[P]])</f>
        <v/>
      </c>
      <c r="E152" s="0">
        <f t="array" ref="E152">RhoFFromP(テーブル2[[#This Row],[P]])</f>
        <v/>
      </c>
      <c r="F152" s="0">
        <f t="array" ref="F152">HgFromP(テーブル2[[#This Row],[P]])</f>
        <v/>
      </c>
      <c r="G152" s="0">
        <f t="array" ref="G152">HfFromP(テーブル2[[#This Row],[P]])</f>
        <v/>
      </c>
      <c r="H152" s="0">
        <f t="array" ref="H152">MuGFromP(テーブル2[[#This Row],[P]])</f>
        <v/>
      </c>
      <c r="I152" s="0">
        <f t="array" ref="I152">MuFFromP(テーブル2[[#This Row],[P]])</f>
        <v/>
      </c>
      <c r="J152" s="0">
        <f t="array" ref="J152">KfFromP(テーブル2[[#This Row],[P]])</f>
        <v/>
      </c>
      <c r="K152" s="0">
        <f t="array" ref="K152">CpFFromP(テーブル2[[#This Row],[P]])</f>
        <v/>
      </c>
      <c r="L152" s="0">
        <f t="array" ref="L152">SigmaFromP(テーブル2[[#This Row],[P]])</f>
        <v/>
      </c>
      <c r="M152" s="0" t="n">
        <v>151</v>
      </c>
      <c r="N152" s="0" t="n">
        <v>3675.3833</v>
      </c>
      <c r="O152" s="8">
        <f>PI()*Q152^2/4</f>
        <v/>
      </c>
      <c r="P152" s="8">
        <f>PI()*Q152</f>
        <v/>
      </c>
      <c r="Q152" s="8" t="n">
        <v>0.001905</v>
      </c>
      <c r="R152" s="0" t="n">
        <v>0.1524</v>
      </c>
      <c r="S152" s="15" t="n">
        <v>4028926.32421875</v>
      </c>
      <c r="T152" s="0" t="n">
        <v>541.455340656124</v>
      </c>
      <c r="U152" s="37">
        <f>+T152+BG152*S152*テーブル2[[#This Row],[Pw]]*R152/(N152*O152*K152)</f>
        <v/>
      </c>
      <c r="V152" s="0" t="n">
        <v>0.03</v>
      </c>
      <c r="W152" s="8">
        <f>+N152*Q152/I152</f>
        <v/>
      </c>
      <c r="X152" s="0" t="n">
        <v>0.02708359145704433</v>
      </c>
      <c r="Y152" s="0">
        <f>IF(X152&gt;0,1/X152^0.5,1)</f>
        <v/>
      </c>
      <c r="Z152" s="0">
        <f>IF(X152&gt;0,1.14-2*LOG((0.72*L152*E152)/(X152*Q152*N152^2)+9.35/(W152*X152^0.5)),0)</f>
        <v/>
      </c>
      <c r="AA152" s="0">
        <f>+Y152-Z152</f>
        <v/>
      </c>
      <c r="AB152" s="0">
        <f>32/X152*L152*V152*E152/N152^2</f>
        <v/>
      </c>
      <c r="AC152" s="0" t="n">
        <v>672.7576853376306</v>
      </c>
      <c r="AD152" s="0">
        <f>+Q152/2*AI152/I152*E152</f>
        <v/>
      </c>
      <c r="AE152" s="0">
        <f>+gettm2(AD152,AC152,AK152,AL152,テーブル2[[#This Row],[Fcorr]])</f>
        <v/>
      </c>
      <c r="AF152" s="38">
        <f>+AE152-U152</f>
        <v/>
      </c>
      <c r="AG152" s="0" t="n">
        <v>7.287671165407233e-06</v>
      </c>
      <c r="AH152" s="0">
        <f>+X152*N152^2/(8*E152)</f>
        <v/>
      </c>
      <c r="AI152" s="0">
        <f>+(AH152/E152)^0.5</f>
        <v/>
      </c>
      <c r="AJ152" s="0">
        <f>+AG152*AI152/I152*E152</f>
        <v/>
      </c>
      <c r="AK152" s="0">
        <f t="array" ref="AK152">+S152*テーブル2[[#This Row],[F_form]]/(E152*CpFromTP((テーブル2[[#This Row],[Tin]]+テーブル2[[#This Row],[Tf]])/2,テーブル2[[#This Row],[P]])*AI152)</f>
        <v/>
      </c>
      <c r="AL152" s="0">
        <f>+K152*I152/J152</f>
        <v/>
      </c>
      <c r="AM152" s="0">
        <f>+gettyp(AC152,AJ152,AK152,AL152)</f>
        <v/>
      </c>
      <c r="AN152" s="0">
        <f>+C152-AM152</f>
        <v/>
      </c>
      <c r="AO152" s="0">
        <f>+AG152-AB152</f>
        <v/>
      </c>
      <c r="AP152" s="0" t="n">
        <v>3.591852487816217</v>
      </c>
      <c r="AQ152" s="0">
        <f>2*PI()*L152*(D152+E152)/(D152*E152*AP152^2)</f>
        <v/>
      </c>
      <c r="AR152" s="0">
        <f>+AO152+AB152/2</f>
        <v/>
      </c>
      <c r="AS152" s="0">
        <f>+AR152*AI152/I152*E152</f>
        <v/>
      </c>
      <c r="AT152" s="0">
        <f>+getublp(AS152)</f>
        <v/>
      </c>
      <c r="AU152" s="0">
        <f>+AT152*AI152</f>
        <v/>
      </c>
      <c r="AV152" s="0">
        <f>+AP152-AU152</f>
        <v/>
      </c>
      <c r="AW152" s="0">
        <f>2/3*AB152/(L152/(9.8*(E152-D152)))^0.5</f>
        <v/>
      </c>
      <c r="AX152" s="0">
        <f>+(2*AQ152*9.8*(E152-D152)/(E152*AW152))^0.5</f>
        <v/>
      </c>
      <c r="AY152" s="0">
        <f>+AV152-AX152</f>
        <v/>
      </c>
      <c r="AZ152" s="0">
        <f>+F152-G152</f>
        <v/>
      </c>
      <c r="BA152" s="0">
        <f>+AQ152/AP152</f>
        <v/>
      </c>
      <c r="BB152" s="15">
        <f>+E152*AO152*AZ152/BA152</f>
        <v/>
      </c>
      <c r="BC152" s="20">
        <f>BB152-S152</f>
        <v/>
      </c>
      <c r="BD152" s="19">
        <f>+(BB152-S152)/S152*100</f>
        <v/>
      </c>
      <c r="BE152" s="15" t="n">
        <v>5078889.9</v>
      </c>
      <c r="BF152" s="16">
        <f>テーブル2[[#This Row],[q_P]]/テーブル2[[#This Row],[q_M]]</f>
        <v/>
      </c>
      <c r="BG152" s="0" t="n">
        <v>1</v>
      </c>
      <c r="BH152" s="0" t="n">
        <v>-0.014</v>
      </c>
      <c r="BI152" s="0" t="n">
        <v>0.046</v>
      </c>
      <c r="BJ152" s="0" t="n">
        <v>5625</v>
      </c>
      <c r="BK152" s="22" t="n">
        <v>1</v>
      </c>
      <c r="BL152" s="0">
        <f>テーブル2[[#This Row],[Ts]]-テーブル2[[#This Row],[Tin]]</f>
        <v/>
      </c>
      <c r="BM152" s="0">
        <f>テーブル2[[#This Row],[q_P]]*0.000001</f>
        <v/>
      </c>
      <c r="BN152" s="0">
        <f>テーブル2[[#This Row],[Tsub]]</f>
        <v/>
      </c>
      <c r="BO152" s="0">
        <f>テーブル2[[#This Row],[Fcorr]]</f>
        <v/>
      </c>
      <c r="BP152" s="0">
        <f>(テーブル2[[#This Row],[Tsub]]-40)^2</f>
        <v/>
      </c>
      <c r="BQ152" t="n">
        <v>1</v>
      </c>
      <c r="BR152" s="0" t="n">
        <v>0.1524</v>
      </c>
    </row>
    <row r="153">
      <c r="A153" s="9" t="inlineStr">
        <is>
          <t>20.01_11</t>
        </is>
      </c>
      <c r="B153" s="0" t="n">
        <v>15513203.9096288</v>
      </c>
      <c r="C153" s="22">
        <f t="array" ref="C153">TsatFromP(テーブル2[[#This Row],[P]])</f>
        <v/>
      </c>
      <c r="D153" s="0">
        <f t="array" ref="D153">RhoGFromP(テーブル2[[#This Row],[P]])</f>
        <v/>
      </c>
      <c r="E153" s="0">
        <f t="array" ref="E153">RhoFFromP(テーブル2[[#This Row],[P]])</f>
        <v/>
      </c>
      <c r="F153" s="0">
        <f t="array" ref="F153">HgFromP(テーブル2[[#This Row],[P]])</f>
        <v/>
      </c>
      <c r="G153" s="0">
        <f t="array" ref="G153">HfFromP(テーブル2[[#This Row],[P]])</f>
        <v/>
      </c>
      <c r="H153" s="0">
        <f t="array" ref="H153">MuGFromP(テーブル2[[#This Row],[P]])</f>
        <v/>
      </c>
      <c r="I153" s="0">
        <f t="array" ref="I153">MuFFromP(テーブル2[[#This Row],[P]])</f>
        <v/>
      </c>
      <c r="J153" s="0">
        <f t="array" ref="J153">KfFromP(テーブル2[[#This Row],[P]])</f>
        <v/>
      </c>
      <c r="K153" s="0">
        <f t="array" ref="K153">CpFFromP(テーブル2[[#This Row],[P]])</f>
        <v/>
      </c>
      <c r="L153" s="0">
        <f t="array" ref="L153">SigmaFromP(テーブル2[[#This Row],[P]])</f>
        <v/>
      </c>
      <c r="M153" s="0" t="n">
        <v>152</v>
      </c>
      <c r="N153" s="0" t="n">
        <v>3743.1948</v>
      </c>
      <c r="O153" s="8">
        <f>PI()*Q153^2/4</f>
        <v/>
      </c>
      <c r="P153" s="8">
        <f>PI()*Q153</f>
        <v/>
      </c>
      <c r="Q153" s="8" t="n">
        <v>0.001905</v>
      </c>
      <c r="R153" s="0" t="n">
        <v>0.1524</v>
      </c>
      <c r="S153" s="15" t="n">
        <v>4286578.060156249</v>
      </c>
      <c r="T153" s="0" t="n">
        <v>536.983171992572</v>
      </c>
      <c r="U153" s="37">
        <f>+T153+BG153*S153*テーブル2[[#This Row],[Pw]]*R153/(N153*O153*K153)</f>
        <v/>
      </c>
      <c r="V153" s="0" t="n">
        <v>0.03</v>
      </c>
      <c r="W153" s="8">
        <f>+N153*Q153/I153</f>
        <v/>
      </c>
      <c r="X153" s="0" t="n">
        <v>0.02687877941012845</v>
      </c>
      <c r="Y153" s="0">
        <f>IF(X153&gt;0,1/X153^0.5,1)</f>
        <v/>
      </c>
      <c r="Z153" s="0">
        <f>IF(X153&gt;0,1.14-2*LOG((0.72*L153*E153)/(X153*Q153*N153^2)+9.35/(W153*X153^0.5)),0)</f>
        <v/>
      </c>
      <c r="AA153" s="0">
        <f>+Y153-Z153</f>
        <v/>
      </c>
      <c r="AB153" s="0">
        <f>32/X153*L153*V153*E153/N153^2</f>
        <v/>
      </c>
      <c r="AC153" s="0" t="n">
        <v>675.839116736147</v>
      </c>
      <c r="AD153" s="0">
        <f>+Q153/2*AI153/I153*E153</f>
        <v/>
      </c>
      <c r="AE153" s="0">
        <f>+gettm2(AD153,AC153,AK153,AL153,テーブル2[[#This Row],[Fcorr]])</f>
        <v/>
      </c>
      <c r="AF153" s="38">
        <f>+AE153-U153</f>
        <v/>
      </c>
      <c r="AG153" s="0" t="n">
        <v>7.082625115752532e-06</v>
      </c>
      <c r="AH153" s="0">
        <f>+X153*N153^2/(8*E153)</f>
        <v/>
      </c>
      <c r="AI153" s="0">
        <f>+(AH153/E153)^0.5</f>
        <v/>
      </c>
      <c r="AJ153" s="0">
        <f>+AG153*AI153/I153*E153</f>
        <v/>
      </c>
      <c r="AK153" s="0">
        <f t="array" ref="AK153">+S153*テーブル2[[#This Row],[F_form]]/(E153*CpFromTP((テーブル2[[#This Row],[Tin]]+テーブル2[[#This Row],[Tf]])/2,テーブル2[[#This Row],[P]])*AI153)</f>
        <v/>
      </c>
      <c r="AL153" s="0">
        <f>+K153*I153/J153</f>
        <v/>
      </c>
      <c r="AM153" s="0">
        <f>+gettyp(AC153,AJ153,AK153,AL153)</f>
        <v/>
      </c>
      <c r="AN153" s="0">
        <f>+C153-AM153</f>
        <v/>
      </c>
      <c r="AO153" s="0">
        <f>+AG153-AB153</f>
        <v/>
      </c>
      <c r="AP153" s="0" t="n">
        <v>3.617292374364996</v>
      </c>
      <c r="AQ153" s="0">
        <f>2*PI()*L153*(D153+E153)/(D153*E153*AP153^2)</f>
        <v/>
      </c>
      <c r="AR153" s="0">
        <f>+AO153+AB153/2</f>
        <v/>
      </c>
      <c r="AS153" s="0">
        <f>+AR153*AI153/I153*E153</f>
        <v/>
      </c>
      <c r="AT153" s="0">
        <f>+getublp(AS153)</f>
        <v/>
      </c>
      <c r="AU153" s="0">
        <f>+AT153*AI153</f>
        <v/>
      </c>
      <c r="AV153" s="0">
        <f>+AP153-AU153</f>
        <v/>
      </c>
      <c r="AW153" s="0">
        <f>2/3*AB153/(L153/(9.8*(E153-D153)))^0.5</f>
        <v/>
      </c>
      <c r="AX153" s="0">
        <f>+(2*AQ153*9.8*(E153-D153)/(E153*AW153))^0.5</f>
        <v/>
      </c>
      <c r="AY153" s="0">
        <f>+AV153-AX153</f>
        <v/>
      </c>
      <c r="AZ153" s="0">
        <f>+F153-G153</f>
        <v/>
      </c>
      <c r="BA153" s="0">
        <f>+AQ153/AP153</f>
        <v/>
      </c>
      <c r="BB153" s="15">
        <f>+E153*AO153*AZ153/BA153</f>
        <v/>
      </c>
      <c r="BC153" s="20">
        <f>BB153-S153</f>
        <v/>
      </c>
      <c r="BD153" s="19">
        <f>+(BB153-S153)/S153*100</f>
        <v/>
      </c>
      <c r="BE153" s="15" t="n">
        <v>5552078.4</v>
      </c>
      <c r="BF153" s="16">
        <f>テーブル2[[#This Row],[q_P]]/テーブル2[[#This Row],[q_M]]</f>
        <v/>
      </c>
      <c r="BG153" s="0" t="n">
        <v>1</v>
      </c>
      <c r="BH153" s="0" t="n">
        <v>-0.003</v>
      </c>
      <c r="BI153" s="0" t="n">
        <v>0.046</v>
      </c>
      <c r="BJ153" s="0" t="n">
        <v>5625</v>
      </c>
      <c r="BK153" s="22" t="n">
        <v>1</v>
      </c>
      <c r="BL153" s="0">
        <f>テーブル2[[#This Row],[Ts]]-テーブル2[[#This Row],[Tin]]</f>
        <v/>
      </c>
      <c r="BM153" s="0">
        <f>テーブル2[[#This Row],[q_P]]*0.000001</f>
        <v/>
      </c>
      <c r="BN153" s="0">
        <f>テーブル2[[#This Row],[Tsub]]</f>
        <v/>
      </c>
      <c r="BO153" s="0">
        <f>テーブル2[[#This Row],[Fcorr]]</f>
        <v/>
      </c>
      <c r="BP153" s="0">
        <f>(テーブル2[[#This Row],[Tsub]]-40)^2</f>
        <v/>
      </c>
      <c r="BQ153" t="n">
        <v>1</v>
      </c>
      <c r="BR153" s="0" t="n">
        <v>0.1524</v>
      </c>
    </row>
    <row r="154">
      <c r="A154" s="9" t="inlineStr">
        <is>
          <t>21.01_11</t>
        </is>
      </c>
      <c r="B154" s="0" t="n">
        <v>15513203.9096288</v>
      </c>
      <c r="C154" s="22">
        <f t="array" ref="C154">TsatFromP(テーブル2[[#This Row],[P]])</f>
        <v/>
      </c>
      <c r="D154" s="0">
        <f t="array" ref="D154">RhoGFromP(テーブル2[[#This Row],[P]])</f>
        <v/>
      </c>
      <c r="E154" s="0">
        <f t="array" ref="E154">RhoFFromP(テーブル2[[#This Row],[P]])</f>
        <v/>
      </c>
      <c r="F154" s="0">
        <f t="array" ref="F154">HgFromP(テーブル2[[#This Row],[P]])</f>
        <v/>
      </c>
      <c r="G154" s="0">
        <f t="array" ref="G154">HfFromP(テーブル2[[#This Row],[P]])</f>
        <v/>
      </c>
      <c r="H154" s="0">
        <f t="array" ref="H154">MuGFromP(テーブル2[[#This Row],[P]])</f>
        <v/>
      </c>
      <c r="I154" s="0">
        <f t="array" ref="I154">MuFFromP(テーブル2[[#This Row],[P]])</f>
        <v/>
      </c>
      <c r="J154" s="0">
        <f t="array" ref="J154">KfFromP(テーブル2[[#This Row],[P]])</f>
        <v/>
      </c>
      <c r="K154" s="0">
        <f t="array" ref="K154">CpFFromP(テーブル2[[#This Row],[P]])</f>
        <v/>
      </c>
      <c r="L154" s="0">
        <f t="array" ref="L154">SigmaFromP(テーブル2[[#This Row],[P]])</f>
        <v/>
      </c>
      <c r="M154" s="0" t="n">
        <v>153</v>
      </c>
      <c r="N154" s="0" t="n">
        <v>3811.0063</v>
      </c>
      <c r="O154" s="8">
        <f>PI()*Q154^2/4</f>
        <v/>
      </c>
      <c r="P154" s="8">
        <f>PI()*Q154</f>
        <v/>
      </c>
      <c r="Q154" s="8" t="n">
        <v>0.001905</v>
      </c>
      <c r="R154" s="0" t="n">
        <v>0.1524</v>
      </c>
      <c r="S154" s="15" t="n">
        <v>4116640.52734375</v>
      </c>
      <c r="T154" s="0" t="n">
        <v>541.455340656124</v>
      </c>
      <c r="U154" s="37">
        <f>+T154+BG154*S154*テーブル2[[#This Row],[Pw]]*R154/(N154*O154*K154)</f>
        <v/>
      </c>
      <c r="V154" s="0" t="n">
        <v>0.03</v>
      </c>
      <c r="W154" s="8">
        <f>+N154*Q154/I154</f>
        <v/>
      </c>
      <c r="X154" s="0" t="n">
        <v>0.02667991224564829</v>
      </c>
      <c r="Y154" s="0">
        <f>IF(X154&gt;0,1/X154^0.5,1)</f>
        <v/>
      </c>
      <c r="Z154" s="0">
        <f>IF(X154&gt;0,1.14-2*LOG((0.72*L154*E154)/(X154*Q154*N154^2)+9.35/(W154*X154^0.5)),0)</f>
        <v/>
      </c>
      <c r="AA154" s="0">
        <f>+Y154-Z154</f>
        <v/>
      </c>
      <c r="AB154" s="0">
        <f>32/X154*L154*V154*E154/N154^2</f>
        <v/>
      </c>
      <c r="AC154" s="0" t="n">
        <v>671.8781972169958</v>
      </c>
      <c r="AD154" s="0">
        <f>+Q154/2*AI154/I154*E154</f>
        <v/>
      </c>
      <c r="AE154" s="0">
        <f>+gettm2(AD154,AC154,AK154,AL154,テーブル2[[#This Row],[Fcorr]])</f>
        <v/>
      </c>
      <c r="AF154" s="38">
        <f>+AE154-U154</f>
        <v/>
      </c>
      <c r="AG154" s="0" t="n">
        <v>6.881920918738277e-06</v>
      </c>
      <c r="AH154" s="0">
        <f>+X154*N154^2/(8*E154)</f>
        <v/>
      </c>
      <c r="AI154" s="0">
        <f>+(AH154/E154)^0.5</f>
        <v/>
      </c>
      <c r="AJ154" s="0">
        <f>+AG154*AI154/I154*E154</f>
        <v/>
      </c>
      <c r="AK154" s="0">
        <f t="array" ref="AK154">+S154*テーブル2[[#This Row],[F_form]]/(E154*CpFromTP((テーブル2[[#This Row],[Tin]]+テーブル2[[#This Row],[Tf]])/2,テーブル2[[#This Row],[P]])*AI154)</f>
        <v/>
      </c>
      <c r="AL154" s="0">
        <f>+K154*I154/J154</f>
        <v/>
      </c>
      <c r="AM154" s="0">
        <f>+gettyp(AC154,AJ154,AK154,AL154)</f>
        <v/>
      </c>
      <c r="AN154" s="0">
        <f>+C154-AM154</f>
        <v/>
      </c>
      <c r="AO154" s="0">
        <f>+AG154-AB154</f>
        <v/>
      </c>
      <c r="AP154" s="0" t="n">
        <v>3.639954505042206</v>
      </c>
      <c r="AQ154" s="0">
        <f>2*PI()*L154*(D154+E154)/(D154*E154*AP154^2)</f>
        <v/>
      </c>
      <c r="AR154" s="0">
        <f>+AO154+AB154/2</f>
        <v/>
      </c>
      <c r="AS154" s="0">
        <f>+AR154*AI154/I154*E154</f>
        <v/>
      </c>
      <c r="AT154" s="0">
        <f>+getublp(AS154)</f>
        <v/>
      </c>
      <c r="AU154" s="0">
        <f>+AT154*AI154</f>
        <v/>
      </c>
      <c r="AV154" s="0">
        <f>+AP154-AU154</f>
        <v/>
      </c>
      <c r="AW154" s="0">
        <f>2/3*AB154/(L154/(9.8*(E154-D154)))^0.5</f>
        <v/>
      </c>
      <c r="AX154" s="0">
        <f>+(2*AQ154*9.8*(E154-D154)/(E154*AW154))^0.5</f>
        <v/>
      </c>
      <c r="AY154" s="0">
        <f>+AV154-AX154</f>
        <v/>
      </c>
      <c r="AZ154" s="0">
        <f>+F154-G154</f>
        <v/>
      </c>
      <c r="BA154" s="0">
        <f>+AQ154/AP154</f>
        <v/>
      </c>
      <c r="BB154" s="15">
        <f>+E154*AO154*AZ154/BA154</f>
        <v/>
      </c>
      <c r="BC154" s="20">
        <f>BB154-S154</f>
        <v/>
      </c>
      <c r="BD154" s="19">
        <f>+(BB154-S154)/S154*100</f>
        <v/>
      </c>
      <c r="BE154" s="15" t="n">
        <v>5236619.4</v>
      </c>
      <c r="BF154" s="16">
        <f>テーブル2[[#This Row],[q_P]]/テーブル2[[#This Row],[q_M]]</f>
        <v/>
      </c>
      <c r="BG154" s="0" t="n">
        <v>1</v>
      </c>
      <c r="BH154" s="0" t="n">
        <v>-0.017</v>
      </c>
      <c r="BI154" s="0" t="n">
        <v>0.046</v>
      </c>
      <c r="BJ154" s="0" t="n">
        <v>5625</v>
      </c>
      <c r="BK154" s="22" t="n">
        <v>1</v>
      </c>
      <c r="BL154" s="0">
        <f>テーブル2[[#This Row],[Ts]]-テーブル2[[#This Row],[Tin]]</f>
        <v/>
      </c>
      <c r="BM154" s="0">
        <f>テーブル2[[#This Row],[q_P]]*0.000001</f>
        <v/>
      </c>
      <c r="BN154" s="0">
        <f>テーブル2[[#This Row],[Tsub]]</f>
        <v/>
      </c>
      <c r="BO154" s="0">
        <f>テーブル2[[#This Row],[Fcorr]]</f>
        <v/>
      </c>
      <c r="BP154" s="0">
        <f>(テーブル2[[#This Row],[Tsub]]-40)^2</f>
        <v/>
      </c>
      <c r="BQ154" t="n">
        <v>1</v>
      </c>
      <c r="BR154" s="0" t="n">
        <v>0.1524</v>
      </c>
    </row>
    <row r="155">
      <c r="A155" s="9" t="inlineStr">
        <is>
          <t>22.01_11</t>
        </is>
      </c>
      <c r="B155" s="0" t="n">
        <v>15513203.9096288</v>
      </c>
      <c r="C155" s="22">
        <f t="array" ref="C155">TsatFromP(テーブル2[[#This Row],[P]])</f>
        <v/>
      </c>
      <c r="D155" s="0">
        <f t="array" ref="D155">RhoGFromP(テーブル2[[#This Row],[P]])</f>
        <v/>
      </c>
      <c r="E155" s="0">
        <f t="array" ref="E155">RhoFFromP(テーブル2[[#This Row],[P]])</f>
        <v/>
      </c>
      <c r="F155" s="0">
        <f t="array" ref="F155">HgFromP(テーブル2[[#This Row],[P]])</f>
        <v/>
      </c>
      <c r="G155" s="0">
        <f t="array" ref="G155">HfFromP(テーブル2[[#This Row],[P]])</f>
        <v/>
      </c>
      <c r="H155" s="0">
        <f t="array" ref="H155">MuGFromP(テーブル2[[#This Row],[P]])</f>
        <v/>
      </c>
      <c r="I155" s="0">
        <f t="array" ref="I155">MuFFromP(テーブル2[[#This Row],[P]])</f>
        <v/>
      </c>
      <c r="J155" s="0">
        <f t="array" ref="J155">KfFromP(テーブル2[[#This Row],[P]])</f>
        <v/>
      </c>
      <c r="K155" s="0">
        <f t="array" ref="K155">CpFFromP(テーブル2[[#This Row],[P]])</f>
        <v/>
      </c>
      <c r="L155" s="0">
        <f t="array" ref="L155">SigmaFromP(テーブル2[[#This Row],[P]])</f>
        <v/>
      </c>
      <c r="M155" s="0" t="n">
        <v>154</v>
      </c>
      <c r="N155" s="0" t="n">
        <v>2102.1565</v>
      </c>
      <c r="O155" s="8">
        <f>PI()*Q155^2/4</f>
        <v/>
      </c>
      <c r="P155" s="8">
        <f>PI()*Q155</f>
        <v/>
      </c>
      <c r="Q155" s="8" t="n">
        <v>0.001905</v>
      </c>
      <c r="R155" s="0" t="n">
        <v>0.69596</v>
      </c>
      <c r="S155" s="15" t="n">
        <v>3550235.95703125</v>
      </c>
      <c r="T155" s="0" t="n">
        <v>299.287194296291</v>
      </c>
      <c r="U155" s="37">
        <f>+T155+BG155*S155*テーブル2[[#This Row],[Pw]]*R155/(N155*O155*K155)</f>
        <v/>
      </c>
      <c r="V155" s="0" t="n">
        <v>0.03</v>
      </c>
      <c r="W155" s="8">
        <f>+N155*Q155/I155</f>
        <v/>
      </c>
      <c r="X155" s="0" t="n">
        <v>0.03465922649256742</v>
      </c>
      <c r="Y155" s="0">
        <f>IF(X155&gt;0,1/X155^0.5,1)</f>
        <v/>
      </c>
      <c r="Z155" s="0">
        <f>IF(X155&gt;0,1.14-2*LOG((0.72*L155*E155)/(X155*Q155*N155^2)+9.35/(W155*X155^0.5)),0)</f>
        <v/>
      </c>
      <c r="AA155" s="0">
        <f>+Y155-Z155</f>
        <v/>
      </c>
      <c r="AB155" s="0">
        <f>32/X155*L155*V155*E155/N155^2</f>
        <v/>
      </c>
      <c r="AC155" s="0" t="n">
        <v>719.4843854595488</v>
      </c>
      <c r="AD155" s="0">
        <f>+Q155/2*AI155/I155*E155</f>
        <v/>
      </c>
      <c r="AE155" s="0">
        <f>+gettm2(AD155,AC155,AK155,AL155,テーブル2[[#This Row],[Fcorr]])</f>
        <v/>
      </c>
      <c r="AF155" s="38">
        <f>+AE155-U155</f>
        <v/>
      </c>
      <c r="AG155" s="0" t="n">
        <v>1.737337954058628e-05</v>
      </c>
      <c r="AH155" s="0">
        <f>+X155*N155^2/(8*E155)</f>
        <v/>
      </c>
      <c r="AI155" s="0">
        <f>+(AH155/E155)^0.5</f>
        <v/>
      </c>
      <c r="AJ155" s="0">
        <f>+AG155*AI155/I155*E155</f>
        <v/>
      </c>
      <c r="AK155" s="0">
        <f t="array" ref="AK155">+S155*テーブル2[[#This Row],[F_form]]/(E155*CpFromTP((テーブル2[[#This Row],[Tin]]+テーブル2[[#This Row],[Tf]])/2,テーブル2[[#This Row],[P]])*AI155)</f>
        <v/>
      </c>
      <c r="AL155" s="0">
        <f>+K155*I155/J155</f>
        <v/>
      </c>
      <c r="AM155" s="0">
        <f>+gettyp(AC155,AJ155,AK155,AL155)</f>
        <v/>
      </c>
      <c r="AN155" s="0">
        <f>+C155-AM155</f>
        <v/>
      </c>
      <c r="AO155" s="0">
        <f>+AG155-AB155</f>
        <v/>
      </c>
      <c r="AP155" s="0" t="n">
        <v>2.873766061396849</v>
      </c>
      <c r="AQ155" s="0">
        <f>2*PI()*L155*(D155+E155)/(D155*E155*AP155^2)</f>
        <v/>
      </c>
      <c r="AR155" s="0">
        <f>+AO155+AB155/2</f>
        <v/>
      </c>
      <c r="AS155" s="0">
        <f>+AR155*AI155/I155*E155</f>
        <v/>
      </c>
      <c r="AT155" s="0">
        <f>+getublp(AS155)</f>
        <v/>
      </c>
      <c r="AU155" s="0">
        <f>+AT155*AI155</f>
        <v/>
      </c>
      <c r="AV155" s="0">
        <f>+AP155-AU155</f>
        <v/>
      </c>
      <c r="AW155" s="0">
        <f>2/3*AB155/(L155/(9.8*(E155-D155)))^0.5</f>
        <v/>
      </c>
      <c r="AX155" s="0">
        <f>+(2*AQ155*9.8*(E155-D155)/(E155*AW155))^0.5</f>
        <v/>
      </c>
      <c r="AY155" s="0">
        <f>+AV155-AX155</f>
        <v/>
      </c>
      <c r="AZ155" s="0">
        <f>+F155-G155</f>
        <v/>
      </c>
      <c r="BA155" s="0">
        <f>+AQ155/AP155</f>
        <v/>
      </c>
      <c r="BB155" s="15">
        <f>+E155*AO155*AZ155/BA155</f>
        <v/>
      </c>
      <c r="BC155" s="20">
        <f>BB155-S155</f>
        <v/>
      </c>
      <c r="BD155" s="19">
        <f>+(BB155-S155)/S155*100</f>
        <v/>
      </c>
      <c r="BE155" s="15" t="n">
        <v>2082029.4</v>
      </c>
      <c r="BF155" s="16">
        <f>テーブル2[[#This Row],[q_P]]/テーブル2[[#This Row],[q_M]]</f>
        <v/>
      </c>
      <c r="BG155" s="0" t="n">
        <v>1</v>
      </c>
      <c r="BH155" s="0" t="n">
        <v>-0.061</v>
      </c>
      <c r="BI155" s="0" t="n">
        <v>0.046</v>
      </c>
      <c r="BJ155" s="0" t="n">
        <v>5625</v>
      </c>
      <c r="BK155" s="22" t="n">
        <v>1</v>
      </c>
      <c r="BL155" s="0">
        <f>テーブル2[[#This Row],[Ts]]-テーブル2[[#This Row],[Tin]]</f>
        <v/>
      </c>
      <c r="BM155" s="0">
        <f>テーブル2[[#This Row],[q_P]]*0.000001</f>
        <v/>
      </c>
      <c r="BN155" s="0">
        <f>テーブル2[[#This Row],[Tsub]]</f>
        <v/>
      </c>
      <c r="BO155" s="0">
        <f>テーブル2[[#This Row],[Fcorr]]</f>
        <v/>
      </c>
      <c r="BP155" s="0">
        <f>(テーブル2[[#This Row],[Tsub]]-40)^2</f>
        <v/>
      </c>
      <c r="BQ155" t="n">
        <v>1</v>
      </c>
      <c r="BR155" s="0" t="n">
        <v>0.69596</v>
      </c>
    </row>
    <row r="156">
      <c r="A156" s="9" t="inlineStr">
        <is>
          <t>23.01_11</t>
        </is>
      </c>
      <c r="B156" s="0" t="n">
        <v>15513203.9096288</v>
      </c>
      <c r="C156" s="22">
        <f t="array" ref="C156">TsatFromP(テーブル2[[#This Row],[P]])</f>
        <v/>
      </c>
      <c r="D156" s="0">
        <f t="array" ref="D156">RhoGFromP(テーブル2[[#This Row],[P]])</f>
        <v/>
      </c>
      <c r="E156" s="0">
        <f t="array" ref="E156">RhoFFromP(テーブル2[[#This Row],[P]])</f>
        <v/>
      </c>
      <c r="F156" s="0">
        <f t="array" ref="F156">HgFromP(テーブル2[[#This Row],[P]])</f>
        <v/>
      </c>
      <c r="G156" s="0">
        <f t="array" ref="G156">HfFromP(テーブル2[[#This Row],[P]])</f>
        <v/>
      </c>
      <c r="H156" s="0">
        <f t="array" ref="H156">MuGFromP(テーブル2[[#This Row],[P]])</f>
        <v/>
      </c>
      <c r="I156" s="0">
        <f t="array" ref="I156">MuFFromP(テーブル2[[#This Row],[P]])</f>
        <v/>
      </c>
      <c r="J156" s="0">
        <f t="array" ref="J156">KfFromP(テーブル2[[#This Row],[P]])</f>
        <v/>
      </c>
      <c r="K156" s="0">
        <f t="array" ref="K156">CpFFromP(テーブル2[[#This Row],[P]])</f>
        <v/>
      </c>
      <c r="L156" s="0">
        <f t="array" ref="L156">SigmaFromP(テーブル2[[#This Row],[P]])</f>
        <v/>
      </c>
      <c r="M156" s="0" t="n">
        <v>155</v>
      </c>
      <c r="N156" s="0" t="n">
        <v>2197.0926</v>
      </c>
      <c r="O156" s="8">
        <f>PI()*Q156^2/4</f>
        <v/>
      </c>
      <c r="P156" s="8">
        <f>PI()*Q156</f>
        <v/>
      </c>
      <c r="Q156" s="8" t="n">
        <v>0.001905</v>
      </c>
      <c r="R156" s="0" t="n">
        <v>0.69596</v>
      </c>
      <c r="S156" s="15" t="n">
        <v>3712322.02193125</v>
      </c>
      <c r="T156" s="0" t="n">
        <v>297.601629447065</v>
      </c>
      <c r="U156" s="37">
        <f>+T156+BG156*S156*テーブル2[[#This Row],[Pw]]*R156/(N156*O156*K156)</f>
        <v/>
      </c>
      <c r="V156" s="0" t="n">
        <v>0.03</v>
      </c>
      <c r="W156" s="8">
        <f>+N156*Q156/I156</f>
        <v/>
      </c>
      <c r="X156" s="0" t="n">
        <v>0.03395356844651478</v>
      </c>
      <c r="Y156" s="0">
        <f>IF(X156&gt;0,1/X156^0.5,1)</f>
        <v/>
      </c>
      <c r="Z156" s="0">
        <f>IF(X156&gt;0,1.14-2*LOG((0.72*L156*E156)/(X156*Q156*N156^2)+9.35/(W156*X156^0.5)),0)</f>
        <v/>
      </c>
      <c r="AA156" s="0">
        <f>+Y156-Z156</f>
        <v/>
      </c>
      <c r="AB156" s="0">
        <f>32/X156*L156*V156*E156/N156^2</f>
        <v/>
      </c>
      <c r="AC156" s="0" t="n">
        <v>720.1789347989658</v>
      </c>
      <c r="AD156" s="0">
        <f>+Q156/2*AI156/I156*E156</f>
        <v/>
      </c>
      <c r="AE156" s="0">
        <f>+gettm2(AD156,AC156,AK156,AL156,テーブル2[[#This Row],[Fcorr]])</f>
        <v/>
      </c>
      <c r="AF156" s="38">
        <f>+AE156-U156</f>
        <v/>
      </c>
      <c r="AG156" s="0" t="n">
        <v>1.623978755637746e-05</v>
      </c>
      <c r="AH156" s="0">
        <f>+X156*N156^2/(8*E156)</f>
        <v/>
      </c>
      <c r="AI156" s="0">
        <f>+(AH156/E156)^0.5</f>
        <v/>
      </c>
      <c r="AJ156" s="0">
        <f>+AG156*AI156/I156*E156</f>
        <v/>
      </c>
      <c r="AK156" s="0">
        <f t="array" ref="AK156">+S156*テーブル2[[#This Row],[F_form]]/(E156*CpFromTP((テーブル2[[#This Row],[Tin]]+テーブル2[[#This Row],[Tf]])/2,テーブル2[[#This Row],[P]])*AI156)</f>
        <v/>
      </c>
      <c r="AL156" s="0">
        <f>+K156*I156/J156</f>
        <v/>
      </c>
      <c r="AM156" s="0">
        <f>+gettyp(AC156,AJ156,AK156,AL156)</f>
        <v/>
      </c>
      <c r="AN156" s="0">
        <f>+C156-AM156</f>
        <v/>
      </c>
      <c r="AO156" s="0">
        <f>+AG156-AB156</f>
        <v/>
      </c>
      <c r="AP156" s="0" t="n">
        <v>2.928155422999181</v>
      </c>
      <c r="AQ156" s="0">
        <f>2*PI()*L156*(D156+E156)/(D156*E156*AP156^2)</f>
        <v/>
      </c>
      <c r="AR156" s="0">
        <f>+AO156+AB156/2</f>
        <v/>
      </c>
      <c r="AS156" s="0">
        <f>+AR156*AI156/I156*E156</f>
        <v/>
      </c>
      <c r="AT156" s="0">
        <f>+getublp(AS156)</f>
        <v/>
      </c>
      <c r="AU156" s="0">
        <f>+AT156*AI156</f>
        <v/>
      </c>
      <c r="AV156" s="0">
        <f>+AP156-AU156</f>
        <v/>
      </c>
      <c r="AW156" s="0">
        <f>2/3*AB156/(L156/(9.8*(E156-D156)))^0.5</f>
        <v/>
      </c>
      <c r="AX156" s="0">
        <f>+(2*AQ156*9.8*(E156-D156)/(E156*AW156))^0.5</f>
        <v/>
      </c>
      <c r="AY156" s="0">
        <f>+AV156-AX156</f>
        <v/>
      </c>
      <c r="AZ156" s="0">
        <f>+F156-G156</f>
        <v/>
      </c>
      <c r="BA156" s="0">
        <f>+AQ156/AP156</f>
        <v/>
      </c>
      <c r="BB156" s="15">
        <f>+E156*AO156*AZ156/BA156</f>
        <v/>
      </c>
      <c r="BC156" s="20">
        <f>BB156-S156</f>
        <v/>
      </c>
      <c r="BD156" s="19">
        <f>+(BB156-S156)/S156*100</f>
        <v/>
      </c>
      <c r="BE156" s="15" t="n">
        <v>2145121.2</v>
      </c>
      <c r="BF156" s="16">
        <f>テーブル2[[#This Row],[q_P]]/テーブル2[[#This Row],[q_M]]</f>
        <v/>
      </c>
      <c r="BG156" s="0" t="n">
        <v>1</v>
      </c>
      <c r="BH156" s="0" t="n">
        <v>-0.09</v>
      </c>
      <c r="BI156" s="0" t="n">
        <v>0.046</v>
      </c>
      <c r="BJ156" s="0" t="n">
        <v>5625</v>
      </c>
      <c r="BK156" s="22" t="n">
        <v>1</v>
      </c>
      <c r="BL156" s="0">
        <f>テーブル2[[#This Row],[Ts]]-テーブル2[[#This Row],[Tin]]</f>
        <v/>
      </c>
      <c r="BM156" s="0">
        <f>テーブル2[[#This Row],[q_P]]*0.000001</f>
        <v/>
      </c>
      <c r="BN156" s="0">
        <f>テーブル2[[#This Row],[Tsub]]</f>
        <v/>
      </c>
      <c r="BO156" s="0">
        <f>テーブル2[[#This Row],[Fcorr]]</f>
        <v/>
      </c>
      <c r="BP156" s="0">
        <f>(テーブル2[[#This Row],[Tsub]]-40)^2</f>
        <v/>
      </c>
      <c r="BQ156" t="n">
        <v>1</v>
      </c>
      <c r="BR156" s="0" t="n">
        <v>0.69596</v>
      </c>
    </row>
    <row r="157">
      <c r="A157" s="9" t="inlineStr">
        <is>
          <t>24.01_11</t>
        </is>
      </c>
      <c r="B157" s="0" t="n">
        <v>15513203.9096288</v>
      </c>
      <c r="C157" s="22">
        <f t="array" ref="C157">TsatFromP(テーブル2[[#This Row],[P]])</f>
        <v/>
      </c>
      <c r="D157" s="0">
        <f t="array" ref="D157">RhoGFromP(テーブル2[[#This Row],[P]])</f>
        <v/>
      </c>
      <c r="E157" s="0">
        <f t="array" ref="E157">RhoFFromP(テーブル2[[#This Row],[P]])</f>
        <v/>
      </c>
      <c r="F157" s="0">
        <f t="array" ref="F157">HgFromP(テーブル2[[#This Row],[P]])</f>
        <v/>
      </c>
      <c r="G157" s="0">
        <f t="array" ref="G157">HfFromP(テーブル2[[#This Row],[P]])</f>
        <v/>
      </c>
      <c r="H157" s="0">
        <f t="array" ref="H157">MuGFromP(テーブル2[[#This Row],[P]])</f>
        <v/>
      </c>
      <c r="I157" s="0">
        <f t="array" ref="I157">MuFFromP(テーブル2[[#This Row],[P]])</f>
        <v/>
      </c>
      <c r="J157" s="0">
        <f t="array" ref="J157">KfFromP(テーブル2[[#This Row],[P]])</f>
        <v/>
      </c>
      <c r="K157" s="0">
        <f t="array" ref="K157">CpFFromP(テーブル2[[#This Row],[P]])</f>
        <v/>
      </c>
      <c r="L157" s="0">
        <f t="array" ref="L157">SigmaFromP(テーブル2[[#This Row],[P]])</f>
        <v/>
      </c>
      <c r="M157" s="0" t="n">
        <v>156</v>
      </c>
      <c r="N157" s="0" t="n">
        <v>2454.7763</v>
      </c>
      <c r="O157" s="8">
        <f>PI()*Q157^2/4</f>
        <v/>
      </c>
      <c r="P157" s="8">
        <f>PI()*Q157</f>
        <v/>
      </c>
      <c r="Q157" s="8" t="n">
        <v>0.001905</v>
      </c>
      <c r="R157" s="0" t="n">
        <v>0.69596</v>
      </c>
      <c r="S157" s="15" t="n">
        <v>4097869.28671875</v>
      </c>
      <c r="T157" s="0" t="n">
        <v>297.601629447065</v>
      </c>
      <c r="U157" s="37">
        <f>+T157+BG157*S157*テーブル2[[#This Row],[Pw]]*R157/(N157*O157*K157)</f>
        <v/>
      </c>
      <c r="V157" s="0" t="n">
        <v>0.03</v>
      </c>
      <c r="W157" s="8">
        <f>+N157*Q157/I157</f>
        <v/>
      </c>
      <c r="X157" s="0" t="n">
        <v>0.03227140578803565</v>
      </c>
      <c r="Y157" s="0">
        <f>IF(X157&gt;0,1/X157^0.5,1)</f>
        <v/>
      </c>
      <c r="Z157" s="0">
        <f>IF(X157&gt;0,1.14-2*LOG((0.72*L157*E157)/(X157*Q157*N157^2)+9.35/(W157*X157^0.5)),0)</f>
        <v/>
      </c>
      <c r="AA157" s="0">
        <f>+Y157-Z157</f>
        <v/>
      </c>
      <c r="AB157" s="0">
        <f>32/X157*L157*V157*E157/N157^2</f>
        <v/>
      </c>
      <c r="AC157" s="0" t="n">
        <v>720.3547316246941</v>
      </c>
      <c r="AD157" s="0">
        <f>+Q157/2*AI157/I157*E157</f>
        <v/>
      </c>
      <c r="AE157" s="0">
        <f>+gettm2(AD157,AC157,AK157,AL157,テーブル2[[#This Row],[Fcorr]])</f>
        <v/>
      </c>
      <c r="AF157" s="38">
        <f>+AE157-U157</f>
        <v/>
      </c>
      <c r="AG157" s="0" t="n">
        <v>1.369768559168046e-05</v>
      </c>
      <c r="AH157" s="0">
        <f>+X157*N157^2/(8*E157)</f>
        <v/>
      </c>
      <c r="AI157" s="0">
        <f>+(AH157/E157)^0.5</f>
        <v/>
      </c>
      <c r="AJ157" s="0">
        <f>+AG157*AI157/I157*E157</f>
        <v/>
      </c>
      <c r="AK157" s="0">
        <f t="array" ref="AK157">+S157*テーブル2[[#This Row],[F_form]]/(E157*CpFromTP((テーブル2[[#This Row],[Tin]]+テーブル2[[#This Row],[Tf]])/2,テーブル2[[#This Row],[P]])*AI157)</f>
        <v/>
      </c>
      <c r="AL157" s="0">
        <f>+K157*I157/J157</f>
        <v/>
      </c>
      <c r="AM157" s="0">
        <f>+gettyp(AC157,AJ157,AK157,AL157)</f>
        <v/>
      </c>
      <c r="AN157" s="0">
        <f>+C157-AM157</f>
        <v/>
      </c>
      <c r="AO157" s="0">
        <f>+AG157-AB157</f>
        <v/>
      </c>
      <c r="AP157" s="0" t="n">
        <v>3.067392999822184</v>
      </c>
      <c r="AQ157" s="0">
        <f>2*PI()*L157*(D157+E157)/(D157*E157*AP157^2)</f>
        <v/>
      </c>
      <c r="AR157" s="0">
        <f>+AO157+AB157/2</f>
        <v/>
      </c>
      <c r="AS157" s="0">
        <f>+AR157*AI157/I157*E157</f>
        <v/>
      </c>
      <c r="AT157" s="0">
        <f>+getublp(AS157)</f>
        <v/>
      </c>
      <c r="AU157" s="0">
        <f>+AT157*AI157</f>
        <v/>
      </c>
      <c r="AV157" s="0">
        <f>+AP157-AU157</f>
        <v/>
      </c>
      <c r="AW157" s="0">
        <f>2/3*AB157/(L157/(9.8*(E157-D157)))^0.5</f>
        <v/>
      </c>
      <c r="AX157" s="0">
        <f>+(2*AQ157*9.8*(E157-D157)/(E157*AW157))^0.5</f>
        <v/>
      </c>
      <c r="AY157" s="0">
        <f>+AV157-AX157</f>
        <v/>
      </c>
      <c r="AZ157" s="0">
        <f>+F157-G157</f>
        <v/>
      </c>
      <c r="BA157" s="0">
        <f>+AQ157/AP157</f>
        <v/>
      </c>
      <c r="BB157" s="15">
        <f>+E157*AO157*AZ157/BA157</f>
        <v/>
      </c>
      <c r="BC157" s="20">
        <f>BB157-S157</f>
        <v/>
      </c>
      <c r="BD157" s="19">
        <f>+(BB157-S157)/S157*100</f>
        <v/>
      </c>
      <c r="BE157" s="15" t="n">
        <v>2492126.1</v>
      </c>
      <c r="BF157" s="16">
        <f>テーブル2[[#This Row],[q_P]]/テーブル2[[#This Row],[q_M]]</f>
        <v/>
      </c>
      <c r="BG157" s="0" t="n">
        <v>1</v>
      </c>
      <c r="BH157" s="0" t="n">
        <v>-0.031</v>
      </c>
      <c r="BI157" s="0" t="n">
        <v>0.046</v>
      </c>
      <c r="BJ157" s="0" t="n">
        <v>5625</v>
      </c>
      <c r="BK157" s="22" t="n">
        <v>1</v>
      </c>
      <c r="BL157" s="0">
        <f>テーブル2[[#This Row],[Ts]]-テーブル2[[#This Row],[Tin]]</f>
        <v/>
      </c>
      <c r="BM157" s="0">
        <f>テーブル2[[#This Row],[q_P]]*0.000001</f>
        <v/>
      </c>
      <c r="BN157" s="0">
        <f>テーブル2[[#This Row],[Tsub]]</f>
        <v/>
      </c>
      <c r="BO157" s="0">
        <f>テーブル2[[#This Row],[Fcorr]]</f>
        <v/>
      </c>
      <c r="BP157" s="0">
        <f>(テーブル2[[#This Row],[Tsub]]-40)^2</f>
        <v/>
      </c>
      <c r="BQ157" t="n">
        <v>1</v>
      </c>
      <c r="BR157" s="0" t="n">
        <v>0.69596</v>
      </c>
    </row>
    <row r="158">
      <c r="A158" s="9" t="inlineStr">
        <is>
          <t>25.01_11</t>
        </is>
      </c>
      <c r="B158" s="0" t="n">
        <v>15513203.9096288</v>
      </c>
      <c r="C158" s="22">
        <f t="array" ref="C158">TsatFromP(テーブル2[[#This Row],[P]])</f>
        <v/>
      </c>
      <c r="D158" s="0">
        <f t="array" ref="D158">RhoGFromP(テーブル2[[#This Row],[P]])</f>
        <v/>
      </c>
      <c r="E158" s="0">
        <f t="array" ref="E158">RhoFFromP(テーブル2[[#This Row],[P]])</f>
        <v/>
      </c>
      <c r="F158" s="0">
        <f t="array" ref="F158">HgFromP(テーブル2[[#This Row],[P]])</f>
        <v/>
      </c>
      <c r="G158" s="0">
        <f t="array" ref="G158">HfFromP(テーブル2[[#This Row],[P]])</f>
        <v/>
      </c>
      <c r="H158" s="0">
        <f t="array" ref="H158">MuGFromP(テーブル2[[#This Row],[P]])</f>
        <v/>
      </c>
      <c r="I158" s="0">
        <f t="array" ref="I158">MuFFromP(テーブル2[[#This Row],[P]])</f>
        <v/>
      </c>
      <c r="J158" s="0">
        <f t="array" ref="J158">KfFromP(テーブル2[[#This Row],[P]])</f>
        <v/>
      </c>
      <c r="K158" s="0">
        <f t="array" ref="K158">CpFFromP(テーブル2[[#This Row],[P]])</f>
        <v/>
      </c>
      <c r="L158" s="0">
        <f t="array" ref="L158">SigmaFromP(テーブル2[[#This Row],[P]])</f>
        <v/>
      </c>
      <c r="M158" s="0" t="n">
        <v>157</v>
      </c>
      <c r="N158" s="0" t="n">
        <v>2495.4632</v>
      </c>
      <c r="O158" s="8">
        <f>PI()*Q158^2/4</f>
        <v/>
      </c>
      <c r="P158" s="8">
        <f>PI()*Q158</f>
        <v/>
      </c>
      <c r="Q158" s="8" t="n">
        <v>0.001905</v>
      </c>
      <c r="R158" s="0" t="n">
        <v>0.69596</v>
      </c>
      <c r="S158" s="15" t="n">
        <v>4136705.84140625</v>
      </c>
      <c r="T158" s="0" t="n">
        <v>299.287194296291</v>
      </c>
      <c r="U158" s="37">
        <f>+T158+BG158*S158*テーブル2[[#This Row],[Pw]]*R158/(N158*O158*K158)</f>
        <v/>
      </c>
      <c r="V158" s="0" t="n">
        <v>0.03</v>
      </c>
      <c r="W158" s="8">
        <f>+N158*Q158/I158</f>
        <v/>
      </c>
      <c r="X158" s="0" t="n">
        <v>0.0320324617818341</v>
      </c>
      <c r="Y158" s="0">
        <f>IF(X158&gt;0,1/X158^0.5,1)</f>
        <v/>
      </c>
      <c r="Z158" s="0">
        <f>IF(X158&gt;0,1.14-2*LOG((0.72*L158*E158)/(X158*Q158*N158^2)+9.35/(W158*X158^0.5)),0)</f>
        <v/>
      </c>
      <c r="AA158" s="0">
        <f>+Y158-Z158</f>
        <v/>
      </c>
      <c r="AB158" s="0">
        <f>32/X158*L158*V158*E158/N158^2</f>
        <v/>
      </c>
      <c r="AC158" s="0" t="n">
        <v>719.7788707829795</v>
      </c>
      <c r="AD158" s="0">
        <f>+Q158/2*AI158/I158*E158</f>
        <v/>
      </c>
      <c r="AE158" s="0">
        <f>+gettm2(AD158,AC158,AK158,AL158,テーブル2[[#This Row],[Fcorr]])</f>
        <v/>
      </c>
      <c r="AF158" s="38">
        <f>+AE158-U158</f>
        <v/>
      </c>
      <c r="AG158" s="0" t="n">
        <v>1.335424669371587e-05</v>
      </c>
      <c r="AH158" s="0">
        <f>+X158*N158^2/(8*E158)</f>
        <v/>
      </c>
      <c r="AI158" s="0">
        <f>+(AH158/E158)^0.5</f>
        <v/>
      </c>
      <c r="AJ158" s="0">
        <f>+AG158*AI158/I158*E158</f>
        <v/>
      </c>
      <c r="AK158" s="0">
        <f t="array" ref="AK158">+S158*テーブル2[[#This Row],[F_form]]/(E158*CpFromTP((テーブル2[[#This Row],[Tin]]+テーブル2[[#This Row],[Tf]])/2,テーブル2[[#This Row],[P]])*AI158)</f>
        <v/>
      </c>
      <c r="AL158" s="0">
        <f>+K158*I158/J158</f>
        <v/>
      </c>
      <c r="AM158" s="0">
        <f>+gettyp(AC158,AJ158,AK158,AL158)</f>
        <v/>
      </c>
      <c r="AN158" s="0">
        <f>+C158-AM158</f>
        <v/>
      </c>
      <c r="AO158" s="0">
        <f>+AG158-AB158</f>
        <v/>
      </c>
      <c r="AP158" s="0" t="n">
        <v>3.088194079264814</v>
      </c>
      <c r="AQ158" s="0">
        <f>2*PI()*L158*(D158+E158)/(D158*E158*AP158^2)</f>
        <v/>
      </c>
      <c r="AR158" s="0">
        <f>+AO158+AB158/2</f>
        <v/>
      </c>
      <c r="AS158" s="0">
        <f>+AR158*AI158/I158*E158</f>
        <v/>
      </c>
      <c r="AT158" s="0">
        <f>+getublp(AS158)</f>
        <v/>
      </c>
      <c r="AU158" s="0">
        <f>+AT158*AI158</f>
        <v/>
      </c>
      <c r="AV158" s="0">
        <f>+AP158-AU158</f>
        <v/>
      </c>
      <c r="AW158" s="0">
        <f>2/3*AB158/(L158/(9.8*(E158-D158)))^0.5</f>
        <v/>
      </c>
      <c r="AX158" s="0">
        <f>+(2*AQ158*9.8*(E158-D158)/(E158*AW158))^0.5</f>
        <v/>
      </c>
      <c r="AY158" s="0">
        <f>+AV158-AX158</f>
        <v/>
      </c>
      <c r="AZ158" s="0">
        <f>+F158-G158</f>
        <v/>
      </c>
      <c r="BA158" s="0">
        <f>+AQ158/AP158</f>
        <v/>
      </c>
      <c r="BB158" s="15">
        <f>+E158*AO158*AZ158/BA158</f>
        <v/>
      </c>
      <c r="BC158" s="20">
        <f>BB158-S158</f>
        <v/>
      </c>
      <c r="BD158" s="19">
        <f>+(BB158-S158)/S158*100</f>
        <v/>
      </c>
      <c r="BE158" s="15" t="n">
        <v>2429034.3</v>
      </c>
      <c r="BF158" s="16">
        <f>テーブル2[[#This Row],[q_P]]/テーブル2[[#This Row],[q_M]]</f>
        <v/>
      </c>
      <c r="BG158" s="0" t="n">
        <v>1</v>
      </c>
      <c r="BH158" s="0" t="n">
        <v>-0.08699999999999999</v>
      </c>
      <c r="BI158" s="0" t="n">
        <v>0.046</v>
      </c>
      <c r="BJ158" s="0" t="n">
        <v>5625</v>
      </c>
      <c r="BK158" s="22" t="n">
        <v>1</v>
      </c>
      <c r="BL158" s="0">
        <f>テーブル2[[#This Row],[Ts]]-テーブル2[[#This Row],[Tin]]</f>
        <v/>
      </c>
      <c r="BM158" s="0">
        <f>テーブル2[[#This Row],[q_P]]*0.000001</f>
        <v/>
      </c>
      <c r="BN158" s="0">
        <f>テーブル2[[#This Row],[Tsub]]</f>
        <v/>
      </c>
      <c r="BO158" s="0">
        <f>テーブル2[[#This Row],[Fcorr]]</f>
        <v/>
      </c>
      <c r="BP158" s="0">
        <f>(テーブル2[[#This Row],[Tsub]]-40)^2</f>
        <v/>
      </c>
      <c r="BQ158" t="n">
        <v>1</v>
      </c>
      <c r="BR158" s="0" t="n">
        <v>0.69596</v>
      </c>
    </row>
    <row r="159">
      <c r="A159" s="9" t="inlineStr">
        <is>
          <t>26.01_11</t>
        </is>
      </c>
      <c r="B159" s="0" t="n">
        <v>15513203.9096288</v>
      </c>
      <c r="C159" s="22">
        <f t="array" ref="C159">TsatFromP(テーブル2[[#This Row],[P]])</f>
        <v/>
      </c>
      <c r="D159" s="0">
        <f t="array" ref="D159">RhoGFromP(テーブル2[[#This Row],[P]])</f>
        <v/>
      </c>
      <c r="E159" s="0">
        <f t="array" ref="E159">RhoFFromP(テーブル2[[#This Row],[P]])</f>
        <v/>
      </c>
      <c r="F159" s="0">
        <f t="array" ref="F159">HgFromP(テーブル2[[#This Row],[P]])</f>
        <v/>
      </c>
      <c r="G159" s="0">
        <f t="array" ref="G159">HfFromP(テーブル2[[#This Row],[P]])</f>
        <v/>
      </c>
      <c r="H159" s="0">
        <f t="array" ref="H159">MuGFromP(テーブル2[[#This Row],[P]])</f>
        <v/>
      </c>
      <c r="I159" s="0">
        <f t="array" ref="I159">MuFFromP(テーブル2[[#This Row],[P]])</f>
        <v/>
      </c>
      <c r="J159" s="0">
        <f t="array" ref="J159">KfFromP(テーブル2[[#This Row],[P]])</f>
        <v/>
      </c>
      <c r="K159" s="0">
        <f t="array" ref="K159">CpFFromP(テーブル2[[#This Row],[P]])</f>
        <v/>
      </c>
      <c r="L159" s="0">
        <f t="array" ref="L159">SigmaFromP(テーブル2[[#This Row],[P]])</f>
        <v/>
      </c>
      <c r="M159" s="0" t="n">
        <v>158</v>
      </c>
      <c r="N159" s="0" t="n">
        <v>3065.0798</v>
      </c>
      <c r="O159" s="8">
        <f>PI()*Q159^2/4</f>
        <v/>
      </c>
      <c r="P159" s="8">
        <f>PI()*Q159</f>
        <v/>
      </c>
      <c r="Q159" s="8" t="n">
        <v>0.001905</v>
      </c>
      <c r="R159" s="0" t="n">
        <v>0.69596</v>
      </c>
      <c r="S159" s="15" t="n">
        <v>4954920.55078125</v>
      </c>
      <c r="T159" s="0" t="n">
        <v>297.601629447065</v>
      </c>
      <c r="U159" s="37">
        <f>+T159+BG159*S159*テーブル2[[#This Row],[Pw]]*R159/(N159*O159*K159)</f>
        <v/>
      </c>
      <c r="V159" s="0" t="n">
        <v>0.03</v>
      </c>
      <c r="W159" s="8">
        <f>+N159*Q159/I159</f>
        <v/>
      </c>
      <c r="X159" s="0" t="n">
        <v>0.02925161222024462</v>
      </c>
      <c r="Y159" s="0">
        <f>IF(X159&gt;0,1/X159^0.5,1)</f>
        <v/>
      </c>
      <c r="Z159" s="0">
        <f>IF(X159&gt;0,1.14-2*LOG((0.72*L159*E159)/(X159*Q159*N159^2)+9.35/(W159*X159^0.5)),0)</f>
        <v/>
      </c>
      <c r="AA159" s="0">
        <f>+Y159-Z159</f>
        <v/>
      </c>
      <c r="AB159" s="0">
        <f>32/X159*L159*V159*E159/N159^2</f>
        <v/>
      </c>
      <c r="AC159" s="0" t="n">
        <v>717.5233727657279</v>
      </c>
      <c r="AD159" s="0">
        <f>+Q159/2*AI159/I159*E159</f>
        <v/>
      </c>
      <c r="AE159" s="0">
        <f>+gettm2(AD159,AC159,AK159,AL159,テーブル2[[#This Row],[Fcorr]])</f>
        <v/>
      </c>
      <c r="AF159" s="38">
        <f>+AE159-U159</f>
        <v/>
      </c>
      <c r="AG159" s="0" t="n">
        <v>9.710860966742981e-06</v>
      </c>
      <c r="AH159" s="0">
        <f>+X159*N159^2/(8*E159)</f>
        <v/>
      </c>
      <c r="AI159" s="0">
        <f>+(AH159/E159)^0.5</f>
        <v/>
      </c>
      <c r="AJ159" s="0">
        <f>+AG159*AI159/I159*E159</f>
        <v/>
      </c>
      <c r="AK159" s="0">
        <f t="array" ref="AK159">+S159*テーブル2[[#This Row],[F_form]]/(E159*CpFromTP((テーブル2[[#This Row],[Tin]]+テーブル2[[#This Row],[Tf]])/2,テーブル2[[#This Row],[P]])*AI159)</f>
        <v/>
      </c>
      <c r="AL159" s="0">
        <f>+K159*I159/J159</f>
        <v/>
      </c>
      <c r="AM159" s="0">
        <f>+gettyp(AC159,AJ159,AK159,AL159)</f>
        <v/>
      </c>
      <c r="AN159" s="0">
        <f>+C159-AM159</f>
        <v/>
      </c>
      <c r="AO159" s="0">
        <f>+AG159-AB159</f>
        <v/>
      </c>
      <c r="AP159" s="0" t="n">
        <v>3.356768858259388</v>
      </c>
      <c r="AQ159" s="0">
        <f>2*PI()*L159*(D159+E159)/(D159*E159*AP159^2)</f>
        <v/>
      </c>
      <c r="AR159" s="0">
        <f>+AO159+AB159/2</f>
        <v/>
      </c>
      <c r="AS159" s="0">
        <f>+AR159*AI159/I159*E159</f>
        <v/>
      </c>
      <c r="AT159" s="0">
        <f>+getublp(AS159)</f>
        <v/>
      </c>
      <c r="AU159" s="0">
        <f>+AT159*AI159</f>
        <v/>
      </c>
      <c r="AV159" s="0">
        <f>+AP159-AU159</f>
        <v/>
      </c>
      <c r="AW159" s="0">
        <f>2/3*AB159/(L159/(9.8*(E159-D159)))^0.5</f>
        <v/>
      </c>
      <c r="AX159" s="0">
        <f>+(2*AQ159*9.8*(E159-D159)/(E159*AW159))^0.5</f>
        <v/>
      </c>
      <c r="AY159" s="0">
        <f>+AV159-AX159</f>
        <v/>
      </c>
      <c r="AZ159" s="0">
        <f>+F159-G159</f>
        <v/>
      </c>
      <c r="BA159" s="0">
        <f>+AQ159/AP159</f>
        <v/>
      </c>
      <c r="BB159" s="15">
        <f>+E159*AO159*AZ159/BA159</f>
        <v/>
      </c>
      <c r="BC159" s="20">
        <f>BB159-S159</f>
        <v/>
      </c>
      <c r="BD159" s="19">
        <f>+(BB159-S159)/S159*100</f>
        <v/>
      </c>
      <c r="BE159" s="15" t="n">
        <v>2996860.5</v>
      </c>
      <c r="BF159" s="16">
        <f>テーブル2[[#This Row],[q_P]]/テーブル2[[#This Row],[q_M]]</f>
        <v/>
      </c>
      <c r="BG159" s="0" t="n">
        <v>1</v>
      </c>
      <c r="BH159" s="0" t="n">
        <v>-0.08799999999999999</v>
      </c>
      <c r="BI159" s="0" t="n">
        <v>0.046</v>
      </c>
      <c r="BJ159" s="0" t="n">
        <v>5625</v>
      </c>
      <c r="BK159" s="22" t="n">
        <v>1</v>
      </c>
      <c r="BL159" s="0">
        <f>テーブル2[[#This Row],[Ts]]-テーブル2[[#This Row],[Tin]]</f>
        <v/>
      </c>
      <c r="BM159" s="0">
        <f>テーブル2[[#This Row],[q_P]]*0.000001</f>
        <v/>
      </c>
      <c r="BN159" s="0">
        <f>テーブル2[[#This Row],[Tsub]]</f>
        <v/>
      </c>
      <c r="BO159" s="0">
        <f>テーブル2[[#This Row],[Fcorr]]</f>
        <v/>
      </c>
      <c r="BP159" s="0">
        <f>(テーブル2[[#This Row],[Tsub]]-40)^2</f>
        <v/>
      </c>
      <c r="BQ159" t="n">
        <v>1</v>
      </c>
      <c r="BR159" s="0" t="n">
        <v>0.69596</v>
      </c>
    </row>
    <row r="160">
      <c r="A160" s="9" t="inlineStr">
        <is>
          <t>27.01_11</t>
        </is>
      </c>
      <c r="B160" s="0" t="n">
        <v>15513203.9096288</v>
      </c>
      <c r="C160" s="22">
        <f t="array" ref="C160">TsatFromP(テーブル2[[#This Row],[P]])</f>
        <v/>
      </c>
      <c r="D160" s="0">
        <f t="array" ref="D160">RhoGFromP(テーブル2[[#This Row],[P]])</f>
        <v/>
      </c>
      <c r="E160" s="0">
        <f t="array" ref="E160">RhoFFromP(テーブル2[[#This Row],[P]])</f>
        <v/>
      </c>
      <c r="F160" s="0">
        <f t="array" ref="F160">HgFromP(テーブル2[[#This Row],[P]])</f>
        <v/>
      </c>
      <c r="G160" s="0">
        <f t="array" ref="G160">HfFromP(テーブル2[[#This Row],[P]])</f>
        <v/>
      </c>
      <c r="H160" s="0">
        <f t="array" ref="H160">MuGFromP(テーブル2[[#This Row],[P]])</f>
        <v/>
      </c>
      <c r="I160" s="0">
        <f t="array" ref="I160">MuFFromP(テーブル2[[#This Row],[P]])</f>
        <v/>
      </c>
      <c r="J160" s="0">
        <f t="array" ref="J160">KfFromP(テーブル2[[#This Row],[P]])</f>
        <v/>
      </c>
      <c r="K160" s="0">
        <f t="array" ref="K160">CpFFromP(テーブル2[[#This Row],[P]])</f>
        <v/>
      </c>
      <c r="L160" s="0">
        <f t="array" ref="L160">SigmaFromP(テーブル2[[#This Row],[P]])</f>
        <v/>
      </c>
      <c r="M160" s="0" t="n">
        <v>159</v>
      </c>
      <c r="N160" s="0" t="n">
        <v>3173.5782</v>
      </c>
      <c r="O160" s="8">
        <f>PI()*Q160^2/4</f>
        <v/>
      </c>
      <c r="P160" s="8">
        <f>PI()*Q160</f>
        <v/>
      </c>
      <c r="Q160" s="8" t="n">
        <v>0.001905</v>
      </c>
      <c r="R160" s="0" t="n">
        <v>0.69596</v>
      </c>
      <c r="S160" s="15" t="n">
        <v>5110644.04296875</v>
      </c>
      <c r="T160" s="0" t="n">
        <v>297.039761934161</v>
      </c>
      <c r="U160" s="37">
        <f>+T160+BG160*S160*テーブル2[[#This Row],[Pw]]*R160/(N160*O160*K160)</f>
        <v/>
      </c>
      <c r="V160" s="0" t="n">
        <v>0.03</v>
      </c>
      <c r="W160" s="8">
        <f>+N160*Q160/I160</f>
        <v/>
      </c>
      <c r="X160" s="0" t="n">
        <v>0.02881665650625713</v>
      </c>
      <c r="Y160" s="0">
        <f>IF(X160&gt;0,1/X160^0.5,1)</f>
        <v/>
      </c>
      <c r="Z160" s="0">
        <f>IF(X160&gt;0,1.14-2*LOG((0.72*L160*E160)/(X160*Q160*N160^2)+9.35/(W160*X160^0.5)),0)</f>
        <v/>
      </c>
      <c r="AA160" s="0">
        <f>+Y160-Z160</f>
        <v/>
      </c>
      <c r="AB160" s="0">
        <f>32/X160*L160*V160*E160/N160^2</f>
        <v/>
      </c>
      <c r="AC160" s="0" t="n">
        <v>717.0612385459519</v>
      </c>
      <c r="AD160" s="0">
        <f>+Q160/2*AI160/I160*E160</f>
        <v/>
      </c>
      <c r="AE160" s="0">
        <f>+gettm2(AD160,AC160,AK160,AL160,テーブル2[[#This Row],[Fcorr]])</f>
        <v/>
      </c>
      <c r="AF160" s="38">
        <f>+AE160-U160</f>
        <v/>
      </c>
      <c r="AG160" s="0" t="n">
        <v>9.197792084510302e-06</v>
      </c>
      <c r="AH160" s="0">
        <f>+X160*N160^2/(8*E160)</f>
        <v/>
      </c>
      <c r="AI160" s="0">
        <f>+(AH160/E160)^0.5</f>
        <v/>
      </c>
      <c r="AJ160" s="0">
        <f>+AG160*AI160/I160*E160</f>
        <v/>
      </c>
      <c r="AK160" s="0">
        <f t="array" ref="AK160">+S160*テーブル2[[#This Row],[F_form]]/(E160*CpFromTP((テーブル2[[#This Row],[Tin]]+テーブル2[[#This Row],[Tf]])/2,テーブル2[[#This Row],[P]])*AI160)</f>
        <v/>
      </c>
      <c r="AL160" s="0">
        <f>+K160*I160/J160</f>
        <v/>
      </c>
      <c r="AM160" s="0">
        <f>+gettyp(AC160,AJ160,AK160,AL160)</f>
        <v/>
      </c>
      <c r="AN160" s="0">
        <f>+C160-AM160</f>
        <v/>
      </c>
      <c r="AO160" s="0">
        <f>+AG160-AB160</f>
        <v/>
      </c>
      <c r="AP160" s="0" t="n">
        <v>3.4030833130258</v>
      </c>
      <c r="AQ160" s="0">
        <f>2*PI()*L160*(D160+E160)/(D160*E160*AP160^2)</f>
        <v/>
      </c>
      <c r="AR160" s="0">
        <f>+AO160+AB160/2</f>
        <v/>
      </c>
      <c r="AS160" s="0">
        <f>+AR160*AI160/I160*E160</f>
        <v/>
      </c>
      <c r="AT160" s="0">
        <f>+getublp(AS160)</f>
        <v/>
      </c>
      <c r="AU160" s="0">
        <f>+AT160*AI160</f>
        <v/>
      </c>
      <c r="AV160" s="0">
        <f>+AP160-AU160</f>
        <v/>
      </c>
      <c r="AW160" s="0">
        <f>2/3*AB160/(L160/(9.8*(E160-D160)))^0.5</f>
        <v/>
      </c>
      <c r="AX160" s="0">
        <f>+(2*AQ160*9.8*(E160-D160)/(E160*AW160))^0.5</f>
        <v/>
      </c>
      <c r="AY160" s="0">
        <f>+AV160-AX160</f>
        <v/>
      </c>
      <c r="AZ160" s="0">
        <f>+F160-G160</f>
        <v/>
      </c>
      <c r="BA160" s="0">
        <f>+AQ160/AP160</f>
        <v/>
      </c>
      <c r="BB160" s="15">
        <f>+E160*AO160*AZ160/BA160</f>
        <v/>
      </c>
      <c r="BC160" s="20">
        <f>BB160-S160</f>
        <v/>
      </c>
      <c r="BD160" s="19">
        <f>+(BB160-S160)/S160*100</f>
        <v/>
      </c>
      <c r="BE160" s="15" t="n">
        <v>3091498.2</v>
      </c>
      <c r="BF160" s="16">
        <f>テーブル2[[#This Row],[q_P]]/テーブル2[[#This Row],[q_M]]</f>
        <v/>
      </c>
      <c r="BG160" s="0" t="n">
        <v>1</v>
      </c>
      <c r="BH160" s="0" t="n">
        <v>-0.096</v>
      </c>
      <c r="BI160" s="0" t="n">
        <v>0.046</v>
      </c>
      <c r="BJ160" s="0" t="n">
        <v>5625</v>
      </c>
      <c r="BK160" s="22" t="n">
        <v>1</v>
      </c>
      <c r="BL160" s="0">
        <f>テーブル2[[#This Row],[Ts]]-テーブル2[[#This Row],[Tin]]</f>
        <v/>
      </c>
      <c r="BM160" s="0">
        <f>テーブル2[[#This Row],[q_P]]*0.000001</f>
        <v/>
      </c>
      <c r="BN160" s="0">
        <f>テーブル2[[#This Row],[Tsub]]</f>
        <v/>
      </c>
      <c r="BO160" s="0">
        <f>テーブル2[[#This Row],[Fcorr]]</f>
        <v/>
      </c>
      <c r="BP160" s="0">
        <f>(テーブル2[[#This Row],[Tsub]]-40)^2</f>
        <v/>
      </c>
      <c r="BQ160" t="n">
        <v>1</v>
      </c>
      <c r="BR160" s="0" t="n">
        <v>0.69596</v>
      </c>
    </row>
    <row r="161">
      <c r="A161" s="9" t="inlineStr">
        <is>
          <t>28.01_11</t>
        </is>
      </c>
      <c r="B161" s="0" t="n">
        <v>15513203.9096288</v>
      </c>
      <c r="C161" s="22">
        <f t="array" ref="C161">TsatFromP(テーブル2[[#This Row],[P]])</f>
        <v/>
      </c>
      <c r="D161" s="0">
        <f t="array" ref="D161">RhoGFromP(テーブル2[[#This Row],[P]])</f>
        <v/>
      </c>
      <c r="E161" s="0">
        <f t="array" ref="E161">RhoFFromP(テーブル2[[#This Row],[P]])</f>
        <v/>
      </c>
      <c r="F161" s="0">
        <f t="array" ref="F161">HgFromP(テーブル2[[#This Row],[P]])</f>
        <v/>
      </c>
      <c r="G161" s="0">
        <f t="array" ref="G161">HfFromP(テーブル2[[#This Row],[P]])</f>
        <v/>
      </c>
      <c r="H161" s="0">
        <f t="array" ref="H161">MuGFromP(テーブル2[[#This Row],[P]])</f>
        <v/>
      </c>
      <c r="I161" s="0">
        <f t="array" ref="I161">MuFFromP(テーブル2[[#This Row],[P]])</f>
        <v/>
      </c>
      <c r="J161" s="0">
        <f t="array" ref="J161">KfFromP(テーブル2[[#This Row],[P]])</f>
        <v/>
      </c>
      <c r="K161" s="0">
        <f t="array" ref="K161">CpFFromP(テーブル2[[#This Row],[P]])</f>
        <v/>
      </c>
      <c r="L161" s="0">
        <f t="array" ref="L161">SigmaFromP(テーブル2[[#This Row],[P]])</f>
        <v/>
      </c>
      <c r="M161" s="0" t="n">
        <v>160</v>
      </c>
      <c r="N161" s="0" t="n">
        <v>3688.9456</v>
      </c>
      <c r="O161" s="8">
        <f>PI()*Q161^2/4</f>
        <v/>
      </c>
      <c r="P161" s="8">
        <f>PI()*Q161</f>
        <v/>
      </c>
      <c r="Q161" s="8" t="n">
        <v>0.001905</v>
      </c>
      <c r="R161" s="0" t="n">
        <v>0.69596</v>
      </c>
      <c r="S161" s="15" t="n">
        <v>5747924.19921875</v>
      </c>
      <c r="T161" s="0" t="n">
        <v>299.792851167598</v>
      </c>
      <c r="U161" s="37">
        <f>+T161+BG161*S161*テーブル2[[#This Row],[Pw]]*R161/(N161*O161*K161)</f>
        <v/>
      </c>
      <c r="V161" s="0" t="n">
        <v>0.03</v>
      </c>
      <c r="W161" s="8">
        <f>+N161*Q161/I161</f>
        <v/>
      </c>
      <c r="X161" s="0" t="n">
        <v>0.02704213944152231</v>
      </c>
      <c r="Y161" s="0">
        <f>IF(X161&gt;0,1/X161^0.5,1)</f>
        <v/>
      </c>
      <c r="Z161" s="0">
        <f>IF(X161&gt;0,1.14-2*LOG((0.72*L161*E161)/(X161*Q161*N161^2)+9.35/(W161*X161^0.5)),0)</f>
        <v/>
      </c>
      <c r="AA161" s="0">
        <f>+Y161-Z161</f>
        <v/>
      </c>
      <c r="AB161" s="0">
        <f>32/X161*L161*V161*E161/N161^2</f>
        <v/>
      </c>
      <c r="AC161" s="0" t="n">
        <v>713.1660377501148</v>
      </c>
      <c r="AD161" s="0">
        <f>+Q161/2*AI161/I161*E161</f>
        <v/>
      </c>
      <c r="AE161" s="0">
        <f>+gettm2(AD161,AC161,AK161,AL161,テーブル2[[#This Row],[Fcorr]])</f>
        <v/>
      </c>
      <c r="AF161" s="38">
        <f>+AE161-U161</f>
        <v/>
      </c>
      <c r="AG161" s="0" t="n">
        <v>7.265664574408395e-06</v>
      </c>
      <c r="AH161" s="0">
        <f>+X161*N161^2/(8*E161)</f>
        <v/>
      </c>
      <c r="AI161" s="0">
        <f>+(AH161/E161)^0.5</f>
        <v/>
      </c>
      <c r="AJ161" s="0">
        <f>+AG161*AI161/I161*E161</f>
        <v/>
      </c>
      <c r="AK161" s="0">
        <f t="array" ref="AK161">+S161*テーブル2[[#This Row],[F_form]]/(E161*CpFromTP((テーブル2[[#This Row],[Tin]]+テーブル2[[#This Row],[Tf]])/2,テーブル2[[#This Row],[P]])*AI161)</f>
        <v/>
      </c>
      <c r="AL161" s="0">
        <f>+K161*I161/J161</f>
        <v/>
      </c>
      <c r="AM161" s="0">
        <f>+gettyp(AC161,AJ161,AK161,AL161)</f>
        <v/>
      </c>
      <c r="AN161" s="0">
        <f>+C161-AM161</f>
        <v/>
      </c>
      <c r="AO161" s="0">
        <f>+AG161-AB161</f>
        <v/>
      </c>
      <c r="AP161" s="0" t="n">
        <v>3.605992657081579</v>
      </c>
      <c r="AQ161" s="0">
        <f>2*PI()*L161*(D161+E161)/(D161*E161*AP161^2)</f>
        <v/>
      </c>
      <c r="AR161" s="0">
        <f>+AO161+AB161/2</f>
        <v/>
      </c>
      <c r="AS161" s="0">
        <f>+AR161*AI161/I161*E161</f>
        <v/>
      </c>
      <c r="AT161" s="0">
        <f>+getublp(AS161)</f>
        <v/>
      </c>
      <c r="AU161" s="0">
        <f>+AT161*AI161</f>
        <v/>
      </c>
      <c r="AV161" s="0">
        <f>+AP161-AU161</f>
        <v/>
      </c>
      <c r="AW161" s="0">
        <f>2/3*AB161/(L161/(9.8*(E161-D161)))^0.5</f>
        <v/>
      </c>
      <c r="AX161" s="0">
        <f>+(2*AQ161*9.8*(E161-D161)/(E161*AW161))^0.5</f>
        <v/>
      </c>
      <c r="AY161" s="0">
        <f>+AV161-AX161</f>
        <v/>
      </c>
      <c r="AZ161" s="0">
        <f>+F161-G161</f>
        <v/>
      </c>
      <c r="BA161" s="0">
        <f>+AQ161/AP161</f>
        <v/>
      </c>
      <c r="BB161" s="15">
        <f>+E161*AO161*AZ161/BA161</f>
        <v/>
      </c>
      <c r="BC161" s="20">
        <f>BB161-S161</f>
        <v/>
      </c>
      <c r="BD161" s="19">
        <f>+(BB161-S161)/S161*100</f>
        <v/>
      </c>
      <c r="BE161" s="15" t="n">
        <v>3523677.03</v>
      </c>
      <c r="BF161" s="16">
        <f>テーブル2[[#This Row],[q_P]]/テーブル2[[#This Row],[q_M]]</f>
        <v/>
      </c>
      <c r="BG161" s="0" t="n">
        <v>1</v>
      </c>
      <c r="BH161" s="0" t="n">
        <v>-0.044</v>
      </c>
      <c r="BI161" s="0" t="n">
        <v>0.046</v>
      </c>
      <c r="BJ161" s="0" t="n">
        <v>5625</v>
      </c>
      <c r="BK161" s="22" t="n">
        <v>1</v>
      </c>
      <c r="BL161" s="0">
        <f>テーブル2[[#This Row],[Ts]]-テーブル2[[#This Row],[Tin]]</f>
        <v/>
      </c>
      <c r="BM161" s="0">
        <f>テーブル2[[#This Row],[q_P]]*0.000001</f>
        <v/>
      </c>
      <c r="BN161" s="0">
        <f>テーブル2[[#This Row],[Tsub]]</f>
        <v/>
      </c>
      <c r="BO161" s="0">
        <f>テーブル2[[#This Row],[Fcorr]]</f>
        <v/>
      </c>
      <c r="BP161" s="0">
        <f>(テーブル2[[#This Row],[Tsub]]-40)^2</f>
        <v/>
      </c>
      <c r="BQ161" t="n">
        <v>1</v>
      </c>
      <c r="BR161" s="0" t="n">
        <v>0.69596</v>
      </c>
    </row>
    <row r="162">
      <c r="A162" s="9" t="inlineStr">
        <is>
          <t>29.01_11</t>
        </is>
      </c>
      <c r="B162" s="0" t="n">
        <v>15513203.9096288</v>
      </c>
      <c r="C162" s="22">
        <f t="array" ref="C162">TsatFromP(テーブル2[[#This Row],[P]])</f>
        <v/>
      </c>
      <c r="D162" s="0">
        <f t="array" ref="D162">RhoGFromP(テーブル2[[#This Row],[P]])</f>
        <v/>
      </c>
      <c r="E162" s="0">
        <f t="array" ref="E162">RhoFFromP(テーブル2[[#This Row],[P]])</f>
        <v/>
      </c>
      <c r="F162" s="0">
        <f t="array" ref="F162">HgFromP(テーブル2[[#This Row],[P]])</f>
        <v/>
      </c>
      <c r="G162" s="0">
        <f t="array" ref="G162">HfFromP(テーブル2[[#This Row],[P]])</f>
        <v/>
      </c>
      <c r="H162" s="0">
        <f t="array" ref="H162">MuGFromP(テーブル2[[#This Row],[P]])</f>
        <v/>
      </c>
      <c r="I162" s="0">
        <f t="array" ref="I162">MuFFromP(テーブル2[[#This Row],[P]])</f>
        <v/>
      </c>
      <c r="J162" s="0">
        <f t="array" ref="J162">KfFromP(テーブル2[[#This Row],[P]])</f>
        <v/>
      </c>
      <c r="K162" s="0">
        <f t="array" ref="K162">CpFFromP(テーブル2[[#This Row],[P]])</f>
        <v/>
      </c>
      <c r="L162" s="0">
        <f t="array" ref="L162">SigmaFromP(テーブル2[[#This Row],[P]])</f>
        <v/>
      </c>
      <c r="M162" s="0" t="n">
        <v>161</v>
      </c>
      <c r="N162" s="0" t="n">
        <v>3743.1948</v>
      </c>
      <c r="O162" s="8">
        <f>PI()*Q162^2/4</f>
        <v/>
      </c>
      <c r="P162" s="8">
        <f>PI()*Q162</f>
        <v/>
      </c>
      <c r="Q162" s="8" t="n">
        <v>0.001905</v>
      </c>
      <c r="R162" s="0" t="n">
        <v>0.69596</v>
      </c>
      <c r="S162" s="15" t="n">
        <v>5818430.76171875</v>
      </c>
      <c r="T162" s="0" t="n">
        <v>299.792851167598</v>
      </c>
      <c r="U162" s="37">
        <f>+T162+BG162*S162*テーブル2[[#This Row],[Pw]]*R162/(N162*O162*K162)</f>
        <v/>
      </c>
      <c r="V162" s="0" t="n">
        <v>0.03</v>
      </c>
      <c r="W162" s="8">
        <f>+N162*Q162/I162</f>
        <v/>
      </c>
      <c r="X162" s="0" t="n">
        <v>0.02687877941012845</v>
      </c>
      <c r="Y162" s="0">
        <f>IF(X162&gt;0,1/X162^0.5,1)</f>
        <v/>
      </c>
      <c r="Z162" s="0">
        <f>IF(X162&gt;0,1.14-2*LOG((0.72*L162*E162)/(X162*Q162*N162^2)+9.35/(W162*X162^0.5)),0)</f>
        <v/>
      </c>
      <c r="AA162" s="0">
        <f>+Y162-Z162</f>
        <v/>
      </c>
      <c r="AB162" s="0">
        <f>32/X162*L162*V162*E162/N162^2</f>
        <v/>
      </c>
      <c r="AC162" s="0" t="n">
        <v>712.8688097351878</v>
      </c>
      <c r="AD162" s="0">
        <f>+Q162/2*AI162/I162*E162</f>
        <v/>
      </c>
      <c r="AE162" s="0">
        <f>+gettm2(AD162,AC162,AK162,AL162,テーブル2[[#This Row],[Fcorr]])</f>
        <v/>
      </c>
      <c r="AF162" s="38">
        <f>+AE162-U162</f>
        <v/>
      </c>
      <c r="AG162" s="0" t="n">
        <v>7.101691083076225e-06</v>
      </c>
      <c r="AH162" s="0">
        <f>+X162*N162^2/(8*E162)</f>
        <v/>
      </c>
      <c r="AI162" s="0">
        <f>+(AH162/E162)^0.5</f>
        <v/>
      </c>
      <c r="AJ162" s="0">
        <f>+AG162*AI162/I162*E162</f>
        <v/>
      </c>
      <c r="AK162" s="0">
        <f t="array" ref="AK162">+S162*テーブル2[[#This Row],[F_form]]/(E162*CpFromTP((テーブル2[[#This Row],[Tin]]+テーブル2[[#This Row],[Tf]])/2,テーブル2[[#This Row],[P]])*AI162)</f>
        <v/>
      </c>
      <c r="AL162" s="0">
        <f>+K162*I162/J162</f>
        <v/>
      </c>
      <c r="AM162" s="0">
        <f>+gettyp(AC162,AJ162,AK162,AL162)</f>
        <v/>
      </c>
      <c r="AN162" s="0">
        <f>+C162-AM162</f>
        <v/>
      </c>
      <c r="AO162" s="0">
        <f>+AG162-AB162</f>
        <v/>
      </c>
      <c r="AP162" s="0" t="n">
        <v>3.626295023263684</v>
      </c>
      <c r="AQ162" s="0">
        <f>2*PI()*L162*(D162+E162)/(D162*E162*AP162^2)</f>
        <v/>
      </c>
      <c r="AR162" s="0">
        <f>+AO162+AB162/2</f>
        <v/>
      </c>
      <c r="AS162" s="0">
        <f>+AR162*AI162/I162*E162</f>
        <v/>
      </c>
      <c r="AT162" s="0">
        <f>+getublp(AS162)</f>
        <v/>
      </c>
      <c r="AU162" s="0">
        <f>+AT162*AI162</f>
        <v/>
      </c>
      <c r="AV162" s="0">
        <f>+AP162-AU162</f>
        <v/>
      </c>
      <c r="AW162" s="0">
        <f>2/3*AB162/(L162/(9.8*(E162-D162)))^0.5</f>
        <v/>
      </c>
      <c r="AX162" s="0">
        <f>+(2*AQ162*9.8*(E162-D162)/(E162*AW162))^0.5</f>
        <v/>
      </c>
      <c r="AY162" s="0">
        <f>+AV162-AX162</f>
        <v/>
      </c>
      <c r="AZ162" s="0">
        <f>+F162-G162</f>
        <v/>
      </c>
      <c r="BA162" s="0">
        <f>+AQ162/AP162</f>
        <v/>
      </c>
      <c r="BB162" s="15">
        <f>+E162*AO162*AZ162/BA162</f>
        <v/>
      </c>
      <c r="BC162" s="20">
        <f>BB162-S162</f>
        <v/>
      </c>
      <c r="BD162" s="19">
        <f>+(BB162-S162)/S162*100</f>
        <v/>
      </c>
      <c r="BE162" s="15" t="n">
        <v>3722416.2</v>
      </c>
      <c r="BF162" s="16">
        <f>テーブル2[[#This Row],[q_P]]/テーブル2[[#This Row],[q_M]]</f>
        <v/>
      </c>
      <c r="BG162" s="0" t="n">
        <v>1</v>
      </c>
      <c r="BH162" s="0" t="n">
        <v>-0.06</v>
      </c>
      <c r="BI162" s="0" t="n">
        <v>0.046</v>
      </c>
      <c r="BJ162" s="0" t="n">
        <v>5625</v>
      </c>
      <c r="BK162" s="22" t="n">
        <v>1</v>
      </c>
      <c r="BL162" s="0">
        <f>テーブル2[[#This Row],[Ts]]-テーブル2[[#This Row],[Tin]]</f>
        <v/>
      </c>
      <c r="BM162" s="0">
        <f>テーブル2[[#This Row],[q_P]]*0.000001</f>
        <v/>
      </c>
      <c r="BN162" s="0">
        <f>テーブル2[[#This Row],[Tsub]]</f>
        <v/>
      </c>
      <c r="BO162" s="0">
        <f>テーブル2[[#This Row],[Fcorr]]</f>
        <v/>
      </c>
      <c r="BP162" s="0">
        <f>(テーブル2[[#This Row],[Tsub]]-40)^2</f>
        <v/>
      </c>
      <c r="BQ162" t="n">
        <v>1</v>
      </c>
      <c r="BR162" s="0" t="n">
        <v>0.69596</v>
      </c>
    </row>
    <row r="163">
      <c r="A163" s="9" t="inlineStr">
        <is>
          <t>30.01_11</t>
        </is>
      </c>
      <c r="B163" s="0" t="n">
        <v>15513203.9096288</v>
      </c>
      <c r="C163" s="22">
        <f t="array" ref="C163">TsatFromP(テーブル2[[#This Row],[P]])</f>
        <v/>
      </c>
      <c r="D163" s="0">
        <f t="array" ref="D163">RhoGFromP(テーブル2[[#This Row],[P]])</f>
        <v/>
      </c>
      <c r="E163" s="0">
        <f t="array" ref="E163">RhoFFromP(テーブル2[[#This Row],[P]])</f>
        <v/>
      </c>
      <c r="F163" s="0">
        <f t="array" ref="F163">HgFromP(テーブル2[[#This Row],[P]])</f>
        <v/>
      </c>
      <c r="G163" s="0">
        <f t="array" ref="G163">HfFromP(テーブル2[[#This Row],[P]])</f>
        <v/>
      </c>
      <c r="H163" s="0">
        <f t="array" ref="H163">MuGFromP(テーブル2[[#This Row],[P]])</f>
        <v/>
      </c>
      <c r="I163" s="0">
        <f t="array" ref="I163">MuFFromP(テーブル2[[#This Row],[P]])</f>
        <v/>
      </c>
      <c r="J163" s="0">
        <f t="array" ref="J163">KfFromP(テーブル2[[#This Row],[P]])</f>
        <v/>
      </c>
      <c r="K163" s="0">
        <f t="array" ref="K163">CpFFromP(テーブル2[[#This Row],[P]])</f>
        <v/>
      </c>
      <c r="L163" s="0">
        <f t="array" ref="L163">SigmaFromP(テーブル2[[#This Row],[P]])</f>
        <v/>
      </c>
      <c r="M163" s="0" t="n">
        <v>162</v>
      </c>
      <c r="N163" s="0" t="n">
        <v>3878.8178</v>
      </c>
      <c r="O163" s="8">
        <f>PI()*Q163^2/4</f>
        <v/>
      </c>
      <c r="P163" s="8">
        <f>PI()*Q163</f>
        <v/>
      </c>
      <c r="Q163" s="8" t="n">
        <v>0.001905</v>
      </c>
      <c r="R163" s="0" t="n">
        <v>0.69596</v>
      </c>
      <c r="S163" s="15" t="n">
        <v>5983178.7109375</v>
      </c>
      <c r="T163" s="0" t="n">
        <v>300.354684512175</v>
      </c>
      <c r="U163" s="37">
        <f>+T163+BG163*S163*テーブル2[[#This Row],[Pw]]*R163/(N163*O163*K163)</f>
        <v/>
      </c>
      <c r="V163" s="0" t="n">
        <v>0.03</v>
      </c>
      <c r="W163" s="8">
        <f>+N163*Q163/I163</f>
        <v/>
      </c>
      <c r="X163" s="0" t="n">
        <v>0.02648671141585706</v>
      </c>
      <c r="Y163" s="0">
        <f>IF(X163&gt;0,1/X163^0.5,1)</f>
        <v/>
      </c>
      <c r="Z163" s="0">
        <f>IF(X163&gt;0,1.14-2*LOG((0.72*L163*E163)/(X163*Q163*N163^2)+9.35/(W163*X163^0.5)),0)</f>
        <v/>
      </c>
      <c r="AA163" s="0">
        <f>+Y163-Z163</f>
        <v/>
      </c>
      <c r="AB163" s="0">
        <f>32/X163*L163*V163*E163/N163^2</f>
        <v/>
      </c>
      <c r="AC163" s="0" t="n">
        <v>711.93507646886</v>
      </c>
      <c r="AD163" s="0">
        <f>+Q163/2*AI163/I163*E163</f>
        <v/>
      </c>
      <c r="AE163" s="0">
        <f>+gettm2(AD163,AC163,AK163,AL163,テーブル2[[#This Row],[Fcorr]])</f>
        <v/>
      </c>
      <c r="AF163" s="38">
        <f>+AE163-U163</f>
        <v/>
      </c>
      <c r="AG163" s="0" t="n">
        <v>6.714003402353744e-06</v>
      </c>
      <c r="AH163" s="0">
        <f>+X163*N163^2/(8*E163)</f>
        <v/>
      </c>
      <c r="AI163" s="0">
        <f>+(AH163/E163)^0.5</f>
        <v/>
      </c>
      <c r="AJ163" s="0">
        <f>+AG163*AI163/I163*E163</f>
        <v/>
      </c>
      <c r="AK163" s="0">
        <f t="array" ref="AK163">+S163*テーブル2[[#This Row],[F_form]]/(E163*CpFromTP((テーブル2[[#This Row],[Tin]]+テーブル2[[#This Row],[Tf]])/2,テーブル2[[#This Row],[P]])*AI163)</f>
        <v/>
      </c>
      <c r="AL163" s="0">
        <f>+K163*I163/J163</f>
        <v/>
      </c>
      <c r="AM163" s="0">
        <f>+gettyp(AC163,AJ163,AK163,AL163)</f>
        <v/>
      </c>
      <c r="AN163" s="0">
        <f>+C163-AM163</f>
        <v/>
      </c>
      <c r="AO163" s="0">
        <f>+AG163-AB163</f>
        <v/>
      </c>
      <c r="AP163" s="0" t="n">
        <v>3.674454000659055</v>
      </c>
      <c r="AQ163" s="0">
        <f>2*PI()*L163*(D163+E163)/(D163*E163*AP163^2)</f>
        <v/>
      </c>
      <c r="AR163" s="0">
        <f>+AO163+AB163/2</f>
        <v/>
      </c>
      <c r="AS163" s="0">
        <f>+AR163*AI163/I163*E163</f>
        <v/>
      </c>
      <c r="AT163" s="0">
        <f>+getublp(AS163)</f>
        <v/>
      </c>
      <c r="AU163" s="0">
        <f>+AT163*AI163</f>
        <v/>
      </c>
      <c r="AV163" s="0">
        <f>+AP163-AU163</f>
        <v/>
      </c>
      <c r="AW163" s="0">
        <f>2/3*AB163/(L163/(9.8*(E163-D163)))^0.5</f>
        <v/>
      </c>
      <c r="AX163" s="0">
        <f>+(2*AQ163*9.8*(E163-D163)/(E163*AW163))^0.5</f>
        <v/>
      </c>
      <c r="AY163" s="0">
        <f>+AV163-AX163</f>
        <v/>
      </c>
      <c r="AZ163" s="0">
        <f>+F163-G163</f>
        <v/>
      </c>
      <c r="BA163" s="0">
        <f>+AQ163/AP163</f>
        <v/>
      </c>
      <c r="BB163" s="15">
        <f>+E163*AO163*AZ163/BA163</f>
        <v/>
      </c>
      <c r="BC163" s="20">
        <f>BB163-S163</f>
        <v/>
      </c>
      <c r="BD163" s="19">
        <f>+(BB163-S163)/S163*100</f>
        <v/>
      </c>
      <c r="BE163" s="15" t="n">
        <v>3753962.1</v>
      </c>
      <c r="BF163" s="16">
        <f>テーブル2[[#This Row],[q_P]]/テーブル2[[#This Row],[q_M]]</f>
        <v/>
      </c>
      <c r="BG163" s="0" t="n">
        <v>1</v>
      </c>
      <c r="BH163" s="0" t="n">
        <v>-0.105</v>
      </c>
      <c r="BI163" s="0" t="n">
        <v>0.046</v>
      </c>
      <c r="BJ163" s="0" t="n">
        <v>5625</v>
      </c>
      <c r="BK163" s="22" t="n">
        <v>1</v>
      </c>
      <c r="BL163" s="0">
        <f>テーブル2[[#This Row],[Ts]]-テーブル2[[#This Row],[Tin]]</f>
        <v/>
      </c>
      <c r="BM163" s="0">
        <f>テーブル2[[#This Row],[q_P]]*0.000001</f>
        <v/>
      </c>
      <c r="BN163" s="0">
        <f>テーブル2[[#This Row],[Tsub]]</f>
        <v/>
      </c>
      <c r="BO163" s="0">
        <f>テーブル2[[#This Row],[Fcorr]]</f>
        <v/>
      </c>
      <c r="BP163" s="0">
        <f>(テーブル2[[#This Row],[Tsub]]-40)^2</f>
        <v/>
      </c>
      <c r="BQ163" t="n">
        <v>1</v>
      </c>
      <c r="BR163" s="0" t="n">
        <v>0.69596</v>
      </c>
    </row>
    <row r="164">
      <c r="A164" s="9" t="inlineStr">
        <is>
          <t>1.01_12</t>
        </is>
      </c>
      <c r="B164" s="0" t="n">
        <v>17236893.2329209</v>
      </c>
      <c r="C164" s="22">
        <f t="array" ref="C164">TsatFromP(テーブル2[[#This Row],[P]])</f>
        <v/>
      </c>
      <c r="D164" s="0">
        <f t="array" ref="D164">RhoGFromP(テーブル2[[#This Row],[P]])</f>
        <v/>
      </c>
      <c r="E164" s="0">
        <f t="array" ref="E164">RhoFFromP(テーブル2[[#This Row],[P]])</f>
        <v/>
      </c>
      <c r="F164" s="0">
        <f t="array" ref="F164">HgFromP(テーブル2[[#This Row],[P]])</f>
        <v/>
      </c>
      <c r="G164" s="0">
        <f t="array" ref="G164">HfFromP(テーブル2[[#This Row],[P]])</f>
        <v/>
      </c>
      <c r="H164" s="0">
        <f t="array" ref="H164">MuGFromP(テーブル2[[#This Row],[P]])</f>
        <v/>
      </c>
      <c r="I164" s="0">
        <f t="array" ref="I164">MuFFromP(テーブル2[[#This Row],[P]])</f>
        <v/>
      </c>
      <c r="J164" s="0">
        <f t="array" ref="J164">KfFromP(テーブル2[[#This Row],[P]])</f>
        <v/>
      </c>
      <c r="K164" s="0">
        <f t="array" ref="K164">CpFFromP(テーブル2[[#This Row],[P]])</f>
        <v/>
      </c>
      <c r="L164" s="0">
        <f t="array" ref="L164">SigmaFromP(テーブル2[[#This Row],[P]])</f>
        <v/>
      </c>
      <c r="M164" s="0" t="n">
        <v>163</v>
      </c>
      <c r="N164" s="0" t="n">
        <v>1939.4089</v>
      </c>
      <c r="O164" s="8">
        <f>PI()*Q164^2/4</f>
        <v/>
      </c>
      <c r="P164" s="8">
        <f>PI()*Q164</f>
        <v/>
      </c>
      <c r="Q164" s="8" t="n">
        <v>0.001905</v>
      </c>
      <c r="R164" s="0" t="n">
        <v>0.1524</v>
      </c>
      <c r="S164" s="15" t="n">
        <v>2969197.51953125</v>
      </c>
      <c r="T164" s="0" t="n">
        <v>544.387788472817</v>
      </c>
      <c r="U164" s="37">
        <f>+T164+BG164*S164*テーブル2[[#This Row],[Pw]]*R164/(N164*O164*K164)</f>
        <v/>
      </c>
      <c r="V164" s="0" t="n">
        <v>0.03</v>
      </c>
      <c r="W164" s="8">
        <f>+N164*Q164/I164</f>
        <v/>
      </c>
      <c r="X164" s="0" t="n">
        <v>0.03235778510426617</v>
      </c>
      <c r="Y164" s="0">
        <f>IF(X164&gt;0,1/X164^0.5,1)</f>
        <v/>
      </c>
      <c r="Z164" s="0">
        <f>IF(X164&gt;0,1.14-2*LOG((0.72*L164*E164)/(X164*Q164*N164^2)+9.35/(W164*X164^0.5)),0)</f>
        <v/>
      </c>
      <c r="AA164" s="0">
        <f>+Y164-Z164</f>
        <v/>
      </c>
      <c r="AB164" s="0">
        <f>32/X164*L164*V164*E164/N164^2</f>
        <v/>
      </c>
      <c r="AC164" s="0" t="n">
        <v>708.5418521952939</v>
      </c>
      <c r="AD164" s="0">
        <f>+Q164/2*AI164/I164*E164</f>
        <v/>
      </c>
      <c r="AE164" s="0">
        <f>+gettm2(AD164,AC164,AK164,AL164,テーブル2[[#This Row],[Fcorr]])</f>
        <v/>
      </c>
      <c r="AF164" s="38">
        <f>+AE164-U164</f>
        <v/>
      </c>
      <c r="AG164" s="0" t="n">
        <v>1.347637951341768e-05</v>
      </c>
      <c r="AH164" s="0">
        <f>+X164*N164^2/(8*E164)</f>
        <v/>
      </c>
      <c r="AI164" s="0">
        <f>+(AH164/E164)^0.5</f>
        <v/>
      </c>
      <c r="AJ164" s="0">
        <f>+AG164*AI164/I164*E164</f>
        <v/>
      </c>
      <c r="AK164" s="0">
        <f t="array" ref="AK164">+S164*テーブル2[[#This Row],[F_form]]/(E164*CpFromTP((テーブル2[[#This Row],[Tin]]+テーブル2[[#This Row],[Tf]])/2,テーブル2[[#This Row],[P]])*AI164)</f>
        <v/>
      </c>
      <c r="AL164" s="0">
        <f>+K164*I164/J164</f>
        <v/>
      </c>
      <c r="AM164" s="0">
        <f>+gettyp(AC164,AJ164,AK164,AL164)</f>
        <v/>
      </c>
      <c r="AN164" s="0">
        <f>+C164-AM164</f>
        <v/>
      </c>
      <c r="AO164" s="0">
        <f>+AG164-AB164</f>
        <v/>
      </c>
      <c r="AP164" s="0" t="n">
        <v>2.376670472224247</v>
      </c>
      <c r="AQ164" s="0">
        <f>2*PI()*L164*(D164+E164)/(D164*E164*AP164^2)</f>
        <v/>
      </c>
      <c r="AR164" s="0">
        <f>+AO164+AB164/2</f>
        <v/>
      </c>
      <c r="AS164" s="0">
        <f>+AR164*AI164/I164*E164</f>
        <v/>
      </c>
      <c r="AT164" s="0">
        <f>+getublp(AS164)</f>
        <v/>
      </c>
      <c r="AU164" s="0">
        <f>+AT164*AI164</f>
        <v/>
      </c>
      <c r="AV164" s="0">
        <f>+AP164-AU164</f>
        <v/>
      </c>
      <c r="AW164" s="0">
        <f>2/3*AB164/(L164/(9.8*(E164-D164)))^0.5</f>
        <v/>
      </c>
      <c r="AX164" s="0">
        <f>+(2*AQ164*9.8*(E164-D164)/(E164*AW164))^0.5</f>
        <v/>
      </c>
      <c r="AY164" s="0">
        <f>+AV164-AX164</f>
        <v/>
      </c>
      <c r="AZ164" s="0">
        <f>+F164-G164</f>
        <v/>
      </c>
      <c r="BA164" s="0">
        <f>+AQ164/AP164</f>
        <v/>
      </c>
      <c r="BB164" s="15">
        <f>+E164*AO164*AZ164/BA164</f>
        <v/>
      </c>
      <c r="BC164" s="20">
        <f>BB164-S164</f>
        <v/>
      </c>
      <c r="BD164" s="19">
        <f>+(BB164-S164)/S164*100</f>
        <v/>
      </c>
      <c r="BE164" s="15" t="n">
        <v>2839131</v>
      </c>
      <c r="BF164" s="16">
        <f>テーブル2[[#This Row],[q_P]]/テーブル2[[#This Row],[q_M]]</f>
        <v/>
      </c>
      <c r="BG164" s="0" t="n">
        <v>1</v>
      </c>
      <c r="BH164" s="0" t="n">
        <v>-0.051</v>
      </c>
      <c r="BI164" s="0" t="n">
        <v>0.046</v>
      </c>
      <c r="BJ164" s="0" t="n">
        <v>5625</v>
      </c>
      <c r="BK164" s="22" t="n">
        <v>1</v>
      </c>
      <c r="BL164" s="0">
        <f>テーブル2[[#This Row],[Ts]]-テーブル2[[#This Row],[Tin]]</f>
        <v/>
      </c>
      <c r="BM164" s="0">
        <f>テーブル2[[#This Row],[q_P]]*0.000001</f>
        <v/>
      </c>
      <c r="BN164" s="0">
        <f>テーブル2[[#This Row],[Tsub]]</f>
        <v/>
      </c>
      <c r="BO164" s="0">
        <f>テーブル2[[#This Row],[Fcorr]]</f>
        <v/>
      </c>
      <c r="BP164" s="0">
        <f>(テーブル2[[#This Row],[Tsub]]-40)^2</f>
        <v/>
      </c>
      <c r="BQ164" t="n">
        <v>1</v>
      </c>
      <c r="BR164" s="0" t="n">
        <v>0.1524</v>
      </c>
    </row>
    <row r="165">
      <c r="A165" s="9" t="inlineStr">
        <is>
          <t>2.01_12</t>
        </is>
      </c>
      <c r="B165" s="0" t="n">
        <v>17236893.2329209</v>
      </c>
      <c r="C165" s="22">
        <f t="array" ref="C165">TsatFromP(テーブル2[[#This Row],[P]])</f>
        <v/>
      </c>
      <c r="D165" s="0">
        <f t="array" ref="D165">RhoGFromP(テーブル2[[#This Row],[P]])</f>
        <v/>
      </c>
      <c r="E165" s="0">
        <f t="array" ref="E165">RhoFFromP(テーブル2[[#This Row],[P]])</f>
        <v/>
      </c>
      <c r="F165" s="0">
        <f t="array" ref="F165">HgFromP(テーブル2[[#This Row],[P]])</f>
        <v/>
      </c>
      <c r="G165" s="0">
        <f t="array" ref="G165">HfFromP(テーブル2[[#This Row],[P]])</f>
        <v/>
      </c>
      <c r="H165" s="0">
        <f t="array" ref="H165">MuGFromP(テーブル2[[#This Row],[P]])</f>
        <v/>
      </c>
      <c r="I165" s="0">
        <f t="array" ref="I165">MuFFromP(テーブル2[[#This Row],[P]])</f>
        <v/>
      </c>
      <c r="J165" s="0">
        <f t="array" ref="J165">KfFromP(テーブル2[[#This Row],[P]])</f>
        <v/>
      </c>
      <c r="K165" s="0">
        <f t="array" ref="K165">CpFFromP(テーブル2[[#This Row],[P]])</f>
        <v/>
      </c>
      <c r="L165" s="0">
        <f t="array" ref="L165">SigmaFromP(テーブル2[[#This Row],[P]])</f>
        <v/>
      </c>
      <c r="M165" s="0" t="n">
        <v>164</v>
      </c>
      <c r="N165" s="0" t="n">
        <v>1952.9712</v>
      </c>
      <c r="O165" s="8">
        <f>PI()*Q165^2/4</f>
        <v/>
      </c>
      <c r="P165" s="8">
        <f>PI()*Q165</f>
        <v/>
      </c>
      <c r="Q165" s="8" t="n">
        <v>0.001905</v>
      </c>
      <c r="R165" s="0" t="n">
        <v>0.1524</v>
      </c>
      <c r="S165" s="15" t="n">
        <v>3088448.73046875</v>
      </c>
      <c r="T165" s="0" t="n">
        <v>541.020552122238</v>
      </c>
      <c r="U165" s="37">
        <f>+T165+BG165*S165*テーブル2[[#This Row],[Pw]]*R165/(N165*O165*K165)</f>
        <v/>
      </c>
      <c r="V165" s="0" t="n">
        <v>0.03</v>
      </c>
      <c r="W165" s="8">
        <f>+N165*Q165/I165</f>
        <v/>
      </c>
      <c r="X165" s="0" t="n">
        <v>0.03225672492570621</v>
      </c>
      <c r="Y165" s="0">
        <f>IF(X165&gt;0,1/X165^0.5,1)</f>
        <v/>
      </c>
      <c r="Z165" s="0">
        <f>IF(X165&gt;0,1.14-2*LOG((0.72*L165*E165)/(X165*Q165*N165^2)+9.35/(W165*X165^0.5)),0)</f>
        <v/>
      </c>
      <c r="AA165" s="0">
        <f>+Y165-Z165</f>
        <v/>
      </c>
      <c r="AB165" s="0">
        <f>32/X165*L165*V165*E165/N165^2</f>
        <v/>
      </c>
      <c r="AC165" s="0" t="n">
        <v>712.0961594586805</v>
      </c>
      <c r="AD165" s="0">
        <f>+Q165/2*AI165/I165*E165</f>
        <v/>
      </c>
      <c r="AE165" s="0">
        <f>+gettm2(AD165,AC165,AK165,AL165,テーブル2[[#This Row],[Fcorr]])</f>
        <v/>
      </c>
      <c r="AF165" s="38">
        <f>+AE165-U165</f>
        <v/>
      </c>
      <c r="AG165" s="0" t="n">
        <v>1.333474752495543e-05</v>
      </c>
      <c r="AH165" s="0">
        <f>+X165*N165^2/(8*E165)</f>
        <v/>
      </c>
      <c r="AI165" s="0">
        <f>+(AH165/E165)^0.5</f>
        <v/>
      </c>
      <c r="AJ165" s="0">
        <f>+AG165*AI165/I165*E165</f>
        <v/>
      </c>
      <c r="AK165" s="0">
        <f t="array" ref="AK165">+S165*テーブル2[[#This Row],[F_form]]/(E165*CpFromTP((テーブル2[[#This Row],[Tin]]+テーブル2[[#This Row],[Tf]])/2,テーブル2[[#This Row],[P]])*AI165)</f>
        <v/>
      </c>
      <c r="AL165" s="0">
        <f>+K165*I165/J165</f>
        <v/>
      </c>
      <c r="AM165" s="0">
        <f>+gettyp(AC165,AJ165,AK165,AL165)</f>
        <v/>
      </c>
      <c r="AN165" s="0">
        <f>+C165-AM165</f>
        <v/>
      </c>
      <c r="AO165" s="0">
        <f>+AG165-AB165</f>
        <v/>
      </c>
      <c r="AP165" s="0" t="n">
        <v>2.383474440713551</v>
      </c>
      <c r="AQ165" s="0">
        <f>2*PI()*L165*(D165+E165)/(D165*E165*AP165^2)</f>
        <v/>
      </c>
      <c r="AR165" s="0">
        <f>+AO165+AB165/2</f>
        <v/>
      </c>
      <c r="AS165" s="0">
        <f>+AR165*AI165/I165*E165</f>
        <v/>
      </c>
      <c r="AT165" s="0">
        <f>+getublp(AS165)</f>
        <v/>
      </c>
      <c r="AU165" s="0">
        <f>+AT165*AI165</f>
        <v/>
      </c>
      <c r="AV165" s="0">
        <f>+AP165-AU165</f>
        <v/>
      </c>
      <c r="AW165" s="0">
        <f>2/3*AB165/(L165/(9.8*(E165-D165)))^0.5</f>
        <v/>
      </c>
      <c r="AX165" s="0">
        <f>+(2*AQ165*9.8*(E165-D165)/(E165*AW165))^0.5</f>
        <v/>
      </c>
      <c r="AY165" s="0">
        <f>+AV165-AX165</f>
        <v/>
      </c>
      <c r="AZ165" s="0">
        <f>+F165-G165</f>
        <v/>
      </c>
      <c r="BA165" s="0">
        <f>+AQ165/AP165</f>
        <v/>
      </c>
      <c r="BB165" s="15">
        <f>+E165*AO165*AZ165/BA165</f>
        <v/>
      </c>
      <c r="BC165" s="20">
        <f>BB165-S165</f>
        <v/>
      </c>
      <c r="BD165" s="19">
        <f>+(BB165-S165)/S165*100</f>
        <v/>
      </c>
      <c r="BE165" s="15" t="n">
        <v>3059952.3</v>
      </c>
      <c r="BF165" s="16">
        <f>テーブル2[[#This Row],[q_P]]/テーブル2[[#This Row],[q_M]]</f>
        <v/>
      </c>
      <c r="BG165" s="0" t="n">
        <v>1</v>
      </c>
      <c r="BH165" s="0" t="n">
        <v>-0.031</v>
      </c>
      <c r="BI165" s="0" t="n">
        <v>0.046</v>
      </c>
      <c r="BJ165" s="0" t="n">
        <v>5625</v>
      </c>
      <c r="BK165" s="22" t="n">
        <v>1</v>
      </c>
      <c r="BL165" s="0">
        <f>テーブル2[[#This Row],[Ts]]-テーブル2[[#This Row],[Tin]]</f>
        <v/>
      </c>
      <c r="BM165" s="0">
        <f>テーブル2[[#This Row],[q_P]]*0.000001</f>
        <v/>
      </c>
      <c r="BN165" s="0">
        <f>テーブル2[[#This Row],[Tsub]]</f>
        <v/>
      </c>
      <c r="BO165" s="0">
        <f>テーブル2[[#This Row],[Fcorr]]</f>
        <v/>
      </c>
      <c r="BP165" s="0">
        <f>(テーブル2[[#This Row],[Tsub]]-40)^2</f>
        <v/>
      </c>
      <c r="BQ165" t="n">
        <v>1</v>
      </c>
      <c r="BR165" s="0" t="n">
        <v>0.1524</v>
      </c>
    </row>
    <row r="166">
      <c r="A166" s="9" t="inlineStr">
        <is>
          <t>3.01_12</t>
        </is>
      </c>
      <c r="B166" s="0" t="n">
        <v>17236893.2329209</v>
      </c>
      <c r="C166" s="22">
        <f t="array" ref="C166">TsatFromP(テーブル2[[#This Row],[P]])</f>
        <v/>
      </c>
      <c r="D166" s="0">
        <f t="array" ref="D166">RhoGFromP(テーブル2[[#This Row],[P]])</f>
        <v/>
      </c>
      <c r="E166" s="0">
        <f t="array" ref="E166">RhoFFromP(テーブル2[[#This Row],[P]])</f>
        <v/>
      </c>
      <c r="F166" s="0">
        <f t="array" ref="F166">HgFromP(テーブル2[[#This Row],[P]])</f>
        <v/>
      </c>
      <c r="G166" s="0">
        <f t="array" ref="G166">HfFromP(テーブル2[[#This Row],[P]])</f>
        <v/>
      </c>
      <c r="H166" s="0">
        <f t="array" ref="H166">MuGFromP(テーブル2[[#This Row],[P]])</f>
        <v/>
      </c>
      <c r="I166" s="0">
        <f t="array" ref="I166">MuFFromP(テーブル2[[#This Row],[P]])</f>
        <v/>
      </c>
      <c r="J166" s="0">
        <f t="array" ref="J166">KfFromP(テーブル2[[#This Row],[P]])</f>
        <v/>
      </c>
      <c r="K166" s="0">
        <f t="array" ref="K166">CpFFromP(テーブル2[[#This Row],[P]])</f>
        <v/>
      </c>
      <c r="L166" s="0">
        <f t="array" ref="L166">SigmaFromP(テーブル2[[#This Row],[P]])</f>
        <v/>
      </c>
      <c r="M166" s="0" t="n">
        <v>165</v>
      </c>
      <c r="N166" s="0" t="n">
        <v>2007.2204</v>
      </c>
      <c r="O166" s="8">
        <f>PI()*Q166^2/4</f>
        <v/>
      </c>
      <c r="P166" s="8">
        <f>PI()*Q166</f>
        <v/>
      </c>
      <c r="Q166" s="8" t="n">
        <v>0.001905</v>
      </c>
      <c r="R166" s="0" t="n">
        <v>0.1524</v>
      </c>
      <c r="S166" s="15" t="n">
        <v>3690665.33203125</v>
      </c>
      <c r="T166" s="0" t="n">
        <v>523.753552525262</v>
      </c>
      <c r="U166" s="37">
        <f>+T166+BG166*S166*テーブル2[[#This Row],[Pw]]*R166/(N166*O166*K166)</f>
        <v/>
      </c>
      <c r="V166" s="0" t="n">
        <v>0.03</v>
      </c>
      <c r="W166" s="8">
        <f>+N166*Q166/I166</f>
        <v/>
      </c>
      <c r="X166" s="0" t="n">
        <v>0.03186387611845842</v>
      </c>
      <c r="Y166" s="0">
        <f>IF(X166&gt;0,1/X166^0.5,1)</f>
        <v/>
      </c>
      <c r="Z166" s="0">
        <f>IF(X166&gt;0,1.14-2*LOG((0.72*L166*E166)/(X166*Q166*N166^2)+9.35/(W166*X166^0.5)),0)</f>
        <v/>
      </c>
      <c r="AA166" s="0">
        <f>+Y166-Z166</f>
        <v/>
      </c>
      <c r="AB166" s="0">
        <f>32/X166*L166*V166*E166/N166^2</f>
        <v/>
      </c>
      <c r="AC166" s="0" t="n">
        <v>730.4917215721294</v>
      </c>
      <c r="AD166" s="0">
        <f>+Q166/2*AI166/I166*E166</f>
        <v/>
      </c>
      <c r="AE166" s="0">
        <f>+gettm2(AD166,AC166,AK166,AL166,テーブル2[[#This Row],[Fcorr]])</f>
        <v/>
      </c>
      <c r="AF166" s="38">
        <f>+AE166-U166</f>
        <v/>
      </c>
      <c r="AG166" s="0" t="n">
        <v>1.279675794529488e-05</v>
      </c>
      <c r="AH166" s="0">
        <f>+X166*N166^2/(8*E166)</f>
        <v/>
      </c>
      <c r="AI166" s="0">
        <f>+(AH166/E166)^0.5</f>
        <v/>
      </c>
      <c r="AJ166" s="0">
        <f>+AG166*AI166/I166*E166</f>
        <v/>
      </c>
      <c r="AK166" s="0">
        <f t="array" ref="AK166">+S166*テーブル2[[#This Row],[F_form]]/(E166*CpFromTP((テーブル2[[#This Row],[Tin]]+テーブル2[[#This Row],[Tf]])/2,テーブル2[[#This Row],[P]])*AI166)</f>
        <v/>
      </c>
      <c r="AL166" s="0">
        <f>+K166*I166/J166</f>
        <v/>
      </c>
      <c r="AM166" s="0">
        <f>+gettyp(AC166,AJ166,AK166,AL166)</f>
        <v/>
      </c>
      <c r="AN166" s="0">
        <f>+C166-AM166</f>
        <v/>
      </c>
      <c r="AO166" s="0">
        <f>+AG166-AB166</f>
        <v/>
      </c>
      <c r="AP166" s="0" t="n">
        <v>2.411146185560647</v>
      </c>
      <c r="AQ166" s="0">
        <f>2*PI()*L166*(D166+E166)/(D166*E166*AP166^2)</f>
        <v/>
      </c>
      <c r="AR166" s="0">
        <f>+AO166+AB166/2</f>
        <v/>
      </c>
      <c r="AS166" s="0">
        <f>+AR166*AI166/I166*E166</f>
        <v/>
      </c>
      <c r="AT166" s="0">
        <f>+getublp(AS166)</f>
        <v/>
      </c>
      <c r="AU166" s="0">
        <f>+AT166*AI166</f>
        <v/>
      </c>
      <c r="AV166" s="0">
        <f>+AP166-AU166</f>
        <v/>
      </c>
      <c r="AW166" s="0">
        <f>2/3*AB166/(L166/(9.8*(E166-D166)))^0.5</f>
        <v/>
      </c>
      <c r="AX166" s="0">
        <f>+(2*AQ166*9.8*(E166-D166)/(E166*AW166))^0.5</f>
        <v/>
      </c>
      <c r="AY166" s="0">
        <f>+AV166-AX166</f>
        <v/>
      </c>
      <c r="AZ166" s="0">
        <f>+F166-G166</f>
        <v/>
      </c>
      <c r="BA166" s="0">
        <f>+AQ166/AP166</f>
        <v/>
      </c>
      <c r="BB166" s="15">
        <f>+E166*AO166*AZ166/BA166</f>
        <v/>
      </c>
      <c r="BC166" s="20">
        <f>BB166-S166</f>
        <v/>
      </c>
      <c r="BD166" s="19">
        <f>+(BB166-S166)/S166*100</f>
        <v/>
      </c>
      <c r="BE166" s="15" t="n">
        <v>3533140.8</v>
      </c>
      <c r="BF166" s="16">
        <f>テーブル2[[#This Row],[q_P]]/テーブル2[[#This Row],[q_M]]</f>
        <v/>
      </c>
      <c r="BG166" s="0" t="n">
        <v>1</v>
      </c>
      <c r="BH166" s="0" t="n">
        <v>-0.056</v>
      </c>
      <c r="BI166" s="0" t="n">
        <v>0.046</v>
      </c>
      <c r="BJ166" s="0" t="n">
        <v>5625</v>
      </c>
      <c r="BK166" s="22" t="n">
        <v>1</v>
      </c>
      <c r="BL166" s="0">
        <f>テーブル2[[#This Row],[Ts]]-テーブル2[[#This Row],[Tin]]</f>
        <v/>
      </c>
      <c r="BM166" s="0">
        <f>テーブル2[[#This Row],[q_P]]*0.000001</f>
        <v/>
      </c>
      <c r="BN166" s="0">
        <f>テーブル2[[#This Row],[Tsub]]</f>
        <v/>
      </c>
      <c r="BO166" s="0">
        <f>テーブル2[[#This Row],[Fcorr]]</f>
        <v/>
      </c>
      <c r="BP166" s="0">
        <f>(テーブル2[[#This Row],[Tsub]]-40)^2</f>
        <v/>
      </c>
      <c r="BQ166" t="n">
        <v>1</v>
      </c>
      <c r="BR166" s="0" t="n">
        <v>0.1524</v>
      </c>
    </row>
    <row r="167">
      <c r="A167" s="9" t="inlineStr">
        <is>
          <t>4.01_12</t>
        </is>
      </c>
      <c r="B167" s="0" t="n">
        <v>17236893.2329209</v>
      </c>
      <c r="C167" s="22">
        <f t="array" ref="C167">TsatFromP(テーブル2[[#This Row],[P]])</f>
        <v/>
      </c>
      <c r="D167" s="0">
        <f t="array" ref="D167">RhoGFromP(テーブル2[[#This Row],[P]])</f>
        <v/>
      </c>
      <c r="E167" s="0">
        <f t="array" ref="E167">RhoFFromP(テーブル2[[#This Row],[P]])</f>
        <v/>
      </c>
      <c r="F167" s="0">
        <f t="array" ref="F167">HgFromP(テーブル2[[#This Row],[P]])</f>
        <v/>
      </c>
      <c r="G167" s="0">
        <f t="array" ref="G167">HfFromP(テーブル2[[#This Row],[P]])</f>
        <v/>
      </c>
      <c r="H167" s="0">
        <f t="array" ref="H167">MuGFromP(テーブル2[[#This Row],[P]])</f>
        <v/>
      </c>
      <c r="I167" s="0">
        <f t="array" ref="I167">MuFFromP(テーブル2[[#This Row],[P]])</f>
        <v/>
      </c>
      <c r="J167" s="0">
        <f t="array" ref="J167">KfFromP(テーブル2[[#This Row],[P]])</f>
        <v/>
      </c>
      <c r="K167" s="0">
        <f t="array" ref="K167">CpFFromP(テーブル2[[#This Row],[P]])</f>
        <v/>
      </c>
      <c r="L167" s="0">
        <f t="array" ref="L167">SigmaFromP(テーブル2[[#This Row],[P]])</f>
        <v/>
      </c>
      <c r="M167" s="0" t="n">
        <v>166</v>
      </c>
      <c r="N167" s="0" t="n">
        <v>2007.2204</v>
      </c>
      <c r="O167" s="8">
        <f>PI()*Q167^2/4</f>
        <v/>
      </c>
      <c r="P167" s="8">
        <f>PI()*Q167</f>
        <v/>
      </c>
      <c r="Q167" s="8" t="n">
        <v>0.001905</v>
      </c>
      <c r="R167" s="0" t="n">
        <v>0.1524</v>
      </c>
      <c r="S167" s="15" t="n">
        <v>3654352.05078125</v>
      </c>
      <c r="T167" s="0" t="n">
        <v>524.88712944745</v>
      </c>
      <c r="U167" s="37">
        <f>+T167+BG167*S167*テーブル2[[#This Row],[Pw]]*R167/(N167*O167*K167)</f>
        <v/>
      </c>
      <c r="V167" s="0" t="n">
        <v>0.03</v>
      </c>
      <c r="W167" s="8">
        <f>+N167*Q167/I167</f>
        <v/>
      </c>
      <c r="X167" s="0" t="n">
        <v>0.03186387611845842</v>
      </c>
      <c r="Y167" s="0">
        <f>IF(X167&gt;0,1/X167^0.5,1)</f>
        <v/>
      </c>
      <c r="Z167" s="0">
        <f>IF(X167&gt;0,1.14-2*LOG((0.72*L167*E167)/(X167*Q167*N167^2)+9.35/(W167*X167^0.5)),0)</f>
        <v/>
      </c>
      <c r="AA167" s="0">
        <f>+Y167-Z167</f>
        <v/>
      </c>
      <c r="AB167" s="0">
        <f>32/X167*L167*V167*E167/N167^2</f>
        <v/>
      </c>
      <c r="AC167" s="0" t="n">
        <v>729.2085035039916</v>
      </c>
      <c r="AD167" s="0">
        <f>+Q167/2*AI167/I167*E167</f>
        <v/>
      </c>
      <c r="AE167" s="0">
        <f>+gettm2(AD167,AC167,AK167,AL167,テーブル2[[#This Row],[Fcorr]])</f>
        <v/>
      </c>
      <c r="AF167" s="38">
        <f>+AE167-U167</f>
        <v/>
      </c>
      <c r="AG167" s="0" t="n">
        <v>1.279548186620126e-05</v>
      </c>
      <c r="AH167" s="0">
        <f>+X167*N167^2/(8*E167)</f>
        <v/>
      </c>
      <c r="AI167" s="0">
        <f>+(AH167/E167)^0.5</f>
        <v/>
      </c>
      <c r="AJ167" s="0">
        <f>+AG167*AI167/I167*E167</f>
        <v/>
      </c>
      <c r="AK167" s="0">
        <f t="array" ref="AK167">+S167*テーブル2[[#This Row],[F_form]]/(E167*CpFromTP((テーブル2[[#This Row],[Tin]]+テーブル2[[#This Row],[Tf]])/2,テーブル2[[#This Row],[P]])*AI167)</f>
        <v/>
      </c>
      <c r="AL167" s="0">
        <f>+K167*I167/J167</f>
        <v/>
      </c>
      <c r="AM167" s="0">
        <f>+gettyp(AC167,AJ167,AK167,AL167)</f>
        <v/>
      </c>
      <c r="AN167" s="0">
        <f>+C167-AM167</f>
        <v/>
      </c>
      <c r="AO167" s="0">
        <f>+AG167-AB167</f>
        <v/>
      </c>
      <c r="AP167" s="0" t="n">
        <v>2.410941432104019</v>
      </c>
      <c r="AQ167" s="0">
        <f>2*PI()*L167*(D167+E167)/(D167*E167*AP167^2)</f>
        <v/>
      </c>
      <c r="AR167" s="0">
        <f>+AO167+AB167/2</f>
        <v/>
      </c>
      <c r="AS167" s="0">
        <f>+AR167*AI167/I167*E167</f>
        <v/>
      </c>
      <c r="AT167" s="0">
        <f>+getublp(AS167)</f>
        <v/>
      </c>
      <c r="AU167" s="0">
        <f>+AT167*AI167</f>
        <v/>
      </c>
      <c r="AV167" s="0">
        <f>+AP167-AU167</f>
        <v/>
      </c>
      <c r="AW167" s="0">
        <f>2/3*AB167/(L167/(9.8*(E167-D167)))^0.5</f>
        <v/>
      </c>
      <c r="AX167" s="0">
        <f>+(2*AQ167*9.8*(E167-D167)/(E167*AW167))^0.5</f>
        <v/>
      </c>
      <c r="AY167" s="0">
        <f>+AV167-AX167</f>
        <v/>
      </c>
      <c r="AZ167" s="0">
        <f>+F167-G167</f>
        <v/>
      </c>
      <c r="BA167" s="0">
        <f>+AQ167/AP167</f>
        <v/>
      </c>
      <c r="BB167" s="15">
        <f>+E167*AO167*AZ167/BA167</f>
        <v/>
      </c>
      <c r="BC167" s="20">
        <f>BB167-S167</f>
        <v/>
      </c>
      <c r="BD167" s="19">
        <f>+(BB167-S167)/S167*100</f>
        <v/>
      </c>
      <c r="BE167" s="15" t="n">
        <v>3501594.9</v>
      </c>
      <c r="BF167" s="16">
        <f>テーブル2[[#This Row],[q_P]]/テーブル2[[#This Row],[q_M]]</f>
        <v/>
      </c>
      <c r="BG167" s="0" t="n">
        <v>1</v>
      </c>
      <c r="BH167" s="0" t="n">
        <v>-0.056</v>
      </c>
      <c r="BI167" s="0" t="n">
        <v>0.046</v>
      </c>
      <c r="BJ167" s="0" t="n">
        <v>5625</v>
      </c>
      <c r="BK167" s="22" t="n">
        <v>1</v>
      </c>
      <c r="BL167" s="0">
        <f>テーブル2[[#This Row],[Ts]]-テーブル2[[#This Row],[Tin]]</f>
        <v/>
      </c>
      <c r="BM167" s="0">
        <f>テーブル2[[#This Row],[q_P]]*0.000001</f>
        <v/>
      </c>
      <c r="BN167" s="0">
        <f>テーブル2[[#This Row],[Tsub]]</f>
        <v/>
      </c>
      <c r="BO167" s="0">
        <f>テーブル2[[#This Row],[Fcorr]]</f>
        <v/>
      </c>
      <c r="BP167" s="0">
        <f>(テーブル2[[#This Row],[Tsub]]-40)^2</f>
        <v/>
      </c>
      <c r="BQ167" t="n">
        <v>1</v>
      </c>
      <c r="BR167" s="0" t="n">
        <v>0.1524</v>
      </c>
    </row>
    <row r="168">
      <c r="A168" s="9" t="inlineStr">
        <is>
          <t>5.01_12</t>
        </is>
      </c>
      <c r="B168" s="0" t="n">
        <v>17236893.2329209</v>
      </c>
      <c r="C168" s="22">
        <f t="array" ref="C168">TsatFromP(テーブル2[[#This Row],[P]])</f>
        <v/>
      </c>
      <c r="D168" s="0">
        <f t="array" ref="D168">RhoGFromP(テーブル2[[#This Row],[P]])</f>
        <v/>
      </c>
      <c r="E168" s="0">
        <f t="array" ref="E168">RhoFFromP(テーブル2[[#This Row],[P]])</f>
        <v/>
      </c>
      <c r="F168" s="0">
        <f t="array" ref="F168">HgFromP(テーブル2[[#This Row],[P]])</f>
        <v/>
      </c>
      <c r="G168" s="0">
        <f t="array" ref="G168">HfFromP(テーブル2[[#This Row],[P]])</f>
        <v/>
      </c>
      <c r="H168" s="0">
        <f t="array" ref="H168">MuGFromP(テーブル2[[#This Row],[P]])</f>
        <v/>
      </c>
      <c r="I168" s="0">
        <f t="array" ref="I168">MuFFromP(テーブル2[[#This Row],[P]])</f>
        <v/>
      </c>
      <c r="J168" s="0">
        <f t="array" ref="J168">KfFromP(テーブル2[[#This Row],[P]])</f>
        <v/>
      </c>
      <c r="K168" s="0">
        <f t="array" ref="K168">CpFFromP(テーブル2[[#This Row],[P]])</f>
        <v/>
      </c>
      <c r="L168" s="0">
        <f t="array" ref="L168">SigmaFromP(テーブル2[[#This Row],[P]])</f>
        <v/>
      </c>
      <c r="M168" s="0" t="n">
        <v>167</v>
      </c>
      <c r="N168" s="0" t="n">
        <v>2183.5303</v>
      </c>
      <c r="O168" s="8">
        <f>PI()*Q168^2/4</f>
        <v/>
      </c>
      <c r="P168" s="8">
        <f>PI()*Q168</f>
        <v/>
      </c>
      <c r="Q168" s="8" t="n">
        <v>0.001905</v>
      </c>
      <c r="R168" s="0" t="n">
        <v>0.1524</v>
      </c>
      <c r="S168" s="15" t="n">
        <v>5398006.11328125</v>
      </c>
      <c r="T168" s="0" t="n">
        <v>476.976730037404</v>
      </c>
      <c r="U168" s="37">
        <f>+T168+BG168*S168*テーブル2[[#This Row],[Pw]]*R168/(N168*O168*K168)</f>
        <v/>
      </c>
      <c r="V168" s="0" t="n">
        <v>0.03</v>
      </c>
      <c r="W168" s="8">
        <f>+N168*Q168/I168</f>
        <v/>
      </c>
      <c r="X168" s="0" t="n">
        <v>0.03070016313861225</v>
      </c>
      <c r="Y168" s="0">
        <f>IF(X168&gt;0,1/X168^0.5,1)</f>
        <v/>
      </c>
      <c r="Z168" s="0">
        <f>IF(X168&gt;0,1.14-2*LOG((0.72*L168*E168)/(X168*Q168*N168^2)+9.35/(W168*X168^0.5)),0)</f>
        <v/>
      </c>
      <c r="AA168" s="0">
        <f>+Y168-Z168</f>
        <v/>
      </c>
      <c r="AB168" s="0">
        <f>32/X168*L168*V168*E168/N168^2</f>
        <v/>
      </c>
      <c r="AC168" s="0" t="n">
        <v>778.0127093413615</v>
      </c>
      <c r="AD168" s="0">
        <f>+Q168/2*AI168/I168*E168</f>
        <v/>
      </c>
      <c r="AE168" s="0">
        <f>+gettm2(AD168,AC168,AK168,AL168,テーブル2[[#This Row],[Fcorr]])</f>
        <v/>
      </c>
      <c r="AF168" s="38">
        <f>+AE168-U168</f>
        <v/>
      </c>
      <c r="AG168" s="0" t="n">
        <v>1.126997378032779e-05</v>
      </c>
      <c r="AH168" s="0">
        <f>+X168*N168^2/(8*E168)</f>
        <v/>
      </c>
      <c r="AI168" s="0">
        <f>+(AH168/E168)^0.5</f>
        <v/>
      </c>
      <c r="AJ168" s="0">
        <f>+AG168*AI168/I168*E168</f>
        <v/>
      </c>
      <c r="AK168" s="0">
        <f t="array" ref="AK168">+S168*テーブル2[[#This Row],[F_form]]/(E168*CpFromTP((テーブル2[[#This Row],[Tin]]+テーブル2[[#This Row],[Tf]])/2,テーブル2[[#This Row],[P]])*AI168)</f>
        <v/>
      </c>
      <c r="AL168" s="0">
        <f>+K168*I168/J168</f>
        <v/>
      </c>
      <c r="AM168" s="0">
        <f>+gettyp(AC168,AJ168,AK168,AL168)</f>
        <v/>
      </c>
      <c r="AN168" s="0">
        <f>+C168-AM168</f>
        <v/>
      </c>
      <c r="AO168" s="0">
        <f>+AG168-AB168</f>
        <v/>
      </c>
      <c r="AP168" s="0" t="n">
        <v>2.497106918914818</v>
      </c>
      <c r="AQ168" s="0">
        <f>2*PI()*L168*(D168+E168)/(D168*E168*AP168^2)</f>
        <v/>
      </c>
      <c r="AR168" s="0">
        <f>+AO168+AB168/2</f>
        <v/>
      </c>
      <c r="AS168" s="0">
        <f>+AR168*AI168/I168*E168</f>
        <v/>
      </c>
      <c r="AT168" s="0">
        <f>+getublp(AS168)</f>
        <v/>
      </c>
      <c r="AU168" s="0">
        <f>+AT168*AI168</f>
        <v/>
      </c>
      <c r="AV168" s="0">
        <f>+AP168-AU168</f>
        <v/>
      </c>
      <c r="AW168" s="0">
        <f>2/3*AB168/(L168/(9.8*(E168-D168)))^0.5</f>
        <v/>
      </c>
      <c r="AX168" s="0">
        <f>+(2*AQ168*9.8*(E168-D168)/(E168*AW168))^0.5</f>
        <v/>
      </c>
      <c r="AY168" s="0">
        <f>+AV168-AX168</f>
        <v/>
      </c>
      <c r="AZ168" s="0">
        <f>+F168-G168</f>
        <v/>
      </c>
      <c r="BA168" s="0">
        <f>+AQ168/AP168</f>
        <v/>
      </c>
      <c r="BB168" s="15">
        <f>+E168*AO168*AZ168/BA168</f>
        <v/>
      </c>
      <c r="BC168" s="20">
        <f>BB168-S168</f>
        <v/>
      </c>
      <c r="BD168" s="19">
        <f>+(BB168-S168)/S168*100</f>
        <v/>
      </c>
      <c r="BE168" s="15" t="n">
        <v>4763430.9</v>
      </c>
      <c r="BF168" s="16">
        <f>テーブル2[[#This Row],[q_P]]/テーブル2[[#This Row],[q_M]]</f>
        <v/>
      </c>
      <c r="BG168" s="0" t="n">
        <v>1</v>
      </c>
      <c r="BH168" s="0" t="n">
        <v>-0.15</v>
      </c>
      <c r="BI168" s="0" t="n">
        <v>0.046</v>
      </c>
      <c r="BJ168" s="0" t="n">
        <v>5625</v>
      </c>
      <c r="BK168" s="22" t="n">
        <v>1</v>
      </c>
      <c r="BL168" s="0">
        <f>テーブル2[[#This Row],[Ts]]-テーブル2[[#This Row],[Tin]]</f>
        <v/>
      </c>
      <c r="BM168" s="0">
        <f>テーブル2[[#This Row],[q_P]]*0.000001</f>
        <v/>
      </c>
      <c r="BN168" s="0">
        <f>テーブル2[[#This Row],[Tsub]]</f>
        <v/>
      </c>
      <c r="BO168" s="0">
        <f>テーブル2[[#This Row],[Fcorr]]</f>
        <v/>
      </c>
      <c r="BP168" s="0">
        <f>(テーブル2[[#This Row],[Tsub]]-40)^2</f>
        <v/>
      </c>
      <c r="BQ168" t="n">
        <v>1</v>
      </c>
      <c r="BR168" s="0" t="n">
        <v>0.1524</v>
      </c>
    </row>
    <row r="169">
      <c r="A169" s="9" t="inlineStr">
        <is>
          <t>6.01_12</t>
        </is>
      </c>
      <c r="B169" s="0" t="n">
        <v>17236893.2329209</v>
      </c>
      <c r="C169" s="22">
        <f t="array" ref="C169">TsatFromP(テーブル2[[#This Row],[P]])</f>
        <v/>
      </c>
      <c r="D169" s="0">
        <f t="array" ref="D169">RhoGFromP(テーブル2[[#This Row],[P]])</f>
        <v/>
      </c>
      <c r="E169" s="0">
        <f t="array" ref="E169">RhoFFromP(テーブル2[[#This Row],[P]])</f>
        <v/>
      </c>
      <c r="F169" s="0">
        <f t="array" ref="F169">HgFromP(テーブル2[[#This Row],[P]])</f>
        <v/>
      </c>
      <c r="G169" s="0">
        <f t="array" ref="G169">HfFromP(テーブル2[[#This Row],[P]])</f>
        <v/>
      </c>
      <c r="H169" s="0">
        <f t="array" ref="H169">MuGFromP(テーブル2[[#This Row],[P]])</f>
        <v/>
      </c>
      <c r="I169" s="0">
        <f t="array" ref="I169">MuFFromP(テーブル2[[#This Row],[P]])</f>
        <v/>
      </c>
      <c r="J169" s="0">
        <f t="array" ref="J169">KfFromP(テーブル2[[#This Row],[P]])</f>
        <v/>
      </c>
      <c r="K169" s="0">
        <f t="array" ref="K169">CpFFromP(テーブル2[[#This Row],[P]])</f>
        <v/>
      </c>
      <c r="L169" s="0">
        <f t="array" ref="L169">SigmaFromP(テーブル2[[#This Row],[P]])</f>
        <v/>
      </c>
      <c r="M169" s="0" t="n">
        <v>168</v>
      </c>
      <c r="N169" s="0" t="n">
        <v>2183.5303</v>
      </c>
      <c r="O169" s="8">
        <f>PI()*Q169^2/4</f>
        <v/>
      </c>
      <c r="P169" s="8">
        <f>PI()*Q169</f>
        <v/>
      </c>
      <c r="Q169" s="8" t="n">
        <v>0.001905</v>
      </c>
      <c r="R169" s="0" t="n">
        <v>0.1524</v>
      </c>
      <c r="S169" s="15" t="n">
        <v>5339900.64453125</v>
      </c>
      <c r="T169" s="0" t="n">
        <v>478.761435898188</v>
      </c>
      <c r="U169" s="37">
        <f>+T169+BG169*S169*テーブル2[[#This Row],[Pw]]*R169/(N169*O169*K169)</f>
        <v/>
      </c>
      <c r="V169" s="0" t="n">
        <v>0.03</v>
      </c>
      <c r="W169" s="8">
        <f>+N169*Q169/I169</f>
        <v/>
      </c>
      <c r="X169" s="0" t="n">
        <v>0.03070016313861225</v>
      </c>
      <c r="Y169" s="0">
        <f>IF(X169&gt;0,1/X169^0.5,1)</f>
        <v/>
      </c>
      <c r="Z169" s="0">
        <f>IF(X169&gt;0,1.14-2*LOG((0.72*L169*E169)/(X169*Q169*N169^2)+9.35/(W169*X169^0.5)),0)</f>
        <v/>
      </c>
      <c r="AA169" s="0">
        <f>+Y169-Z169</f>
        <v/>
      </c>
      <c r="AB169" s="0">
        <f>32/X169*L169*V169*E169/N169^2</f>
        <v/>
      </c>
      <c r="AC169" s="0" t="n">
        <v>776.0373281496613</v>
      </c>
      <c r="AD169" s="0">
        <f>+Q169/2*AI169/I169*E169</f>
        <v/>
      </c>
      <c r="AE169" s="0">
        <f>+gettm2(AD169,AC169,AK169,AL169,テーブル2[[#This Row],[Fcorr]])</f>
        <v/>
      </c>
      <c r="AF169" s="38">
        <f>+AE169-U169</f>
        <v/>
      </c>
      <c r="AG169" s="0" t="n">
        <v>1.12690119816845e-05</v>
      </c>
      <c r="AH169" s="0">
        <f>+X169*N169^2/(8*E169)</f>
        <v/>
      </c>
      <c r="AI169" s="0">
        <f>+(AH169/E169)^0.5</f>
        <v/>
      </c>
      <c r="AJ169" s="0">
        <f>+AG169*AI169/I169*E169</f>
        <v/>
      </c>
      <c r="AK169" s="0">
        <f t="array" ref="AK169">+S169*テーブル2[[#This Row],[F_form]]/(E169*CpFromTP((テーブル2[[#This Row],[Tin]]+テーブル2[[#This Row],[Tf]])/2,テーブル2[[#This Row],[P]])*AI169)</f>
        <v/>
      </c>
      <c r="AL169" s="0">
        <f>+K169*I169/J169</f>
        <v/>
      </c>
      <c r="AM169" s="0">
        <f>+gettyp(AC169,AJ169,AK169,AL169)</f>
        <v/>
      </c>
      <c r="AN169" s="0">
        <f>+C169-AM169</f>
        <v/>
      </c>
      <c r="AO169" s="0">
        <f>+AG169-AB169</f>
        <v/>
      </c>
      <c r="AP169" s="0" t="n">
        <v>2.496920495341196</v>
      </c>
      <c r="AQ169" s="0">
        <f>2*PI()*L169*(D169+E169)/(D169*E169*AP169^2)</f>
        <v/>
      </c>
      <c r="AR169" s="0">
        <f>+AO169+AB169/2</f>
        <v/>
      </c>
      <c r="AS169" s="0">
        <f>+AR169*AI169/I169*E169</f>
        <v/>
      </c>
      <c r="AT169" s="0">
        <f>+getublp(AS169)</f>
        <v/>
      </c>
      <c r="AU169" s="0">
        <f>+AT169*AI169</f>
        <v/>
      </c>
      <c r="AV169" s="0">
        <f>+AP169-AU169</f>
        <v/>
      </c>
      <c r="AW169" s="0">
        <f>2/3*AB169/(L169/(9.8*(E169-D169)))^0.5</f>
        <v/>
      </c>
      <c r="AX169" s="0">
        <f>+(2*AQ169*9.8*(E169-D169)/(E169*AW169))^0.5</f>
        <v/>
      </c>
      <c r="AY169" s="0">
        <f>+AV169-AX169</f>
        <v/>
      </c>
      <c r="AZ169" s="0">
        <f>+F169-G169</f>
        <v/>
      </c>
      <c r="BA169" s="0">
        <f>+AQ169/AP169</f>
        <v/>
      </c>
      <c r="BB169" s="15">
        <f>+E169*AO169*AZ169/BA169</f>
        <v/>
      </c>
      <c r="BC169" s="20">
        <f>BB169-S169</f>
        <v/>
      </c>
      <c r="BD169" s="19">
        <f>+(BB169-S169)/S169*100</f>
        <v/>
      </c>
      <c r="BE169" s="15" t="n">
        <v>4763430.9</v>
      </c>
      <c r="BF169" s="16">
        <f>テーブル2[[#This Row],[q_P]]/テーブル2[[#This Row],[q_M]]</f>
        <v/>
      </c>
      <c r="BG169" s="0" t="n">
        <v>1</v>
      </c>
      <c r="BH169" s="0" t="n">
        <v>-0.14</v>
      </c>
      <c r="BI169" s="0" t="n">
        <v>0.046</v>
      </c>
      <c r="BJ169" s="0" t="n">
        <v>5625</v>
      </c>
      <c r="BK169" s="22" t="n">
        <v>1</v>
      </c>
      <c r="BL169" s="0">
        <f>テーブル2[[#This Row],[Ts]]-テーブル2[[#This Row],[Tin]]</f>
        <v/>
      </c>
      <c r="BM169" s="0">
        <f>テーブル2[[#This Row],[q_P]]*0.000001</f>
        <v/>
      </c>
      <c r="BN169" s="0">
        <f>テーブル2[[#This Row],[Tsub]]</f>
        <v/>
      </c>
      <c r="BO169" s="0">
        <f>テーブル2[[#This Row],[Fcorr]]</f>
        <v/>
      </c>
      <c r="BP169" s="0">
        <f>(テーブル2[[#This Row],[Tsub]]-40)^2</f>
        <v/>
      </c>
      <c r="BQ169" t="n">
        <v>1</v>
      </c>
      <c r="BR169" s="0" t="n">
        <v>0.1524</v>
      </c>
    </row>
    <row r="170">
      <c r="A170" s="9" t="inlineStr">
        <is>
          <t>7.01_12</t>
        </is>
      </c>
      <c r="B170" s="0" t="n">
        <v>17236893.2329209</v>
      </c>
      <c r="C170" s="22">
        <f t="array" ref="C170">TsatFromP(テーブル2[[#This Row],[P]])</f>
        <v/>
      </c>
      <c r="D170" s="0">
        <f t="array" ref="D170">RhoGFromP(テーブル2[[#This Row],[P]])</f>
        <v/>
      </c>
      <c r="E170" s="0">
        <f t="array" ref="E170">RhoFFromP(テーブル2[[#This Row],[P]])</f>
        <v/>
      </c>
      <c r="F170" s="0">
        <f t="array" ref="F170">HgFromP(テーブル2[[#This Row],[P]])</f>
        <v/>
      </c>
      <c r="G170" s="0">
        <f t="array" ref="G170">HfFromP(テーブル2[[#This Row],[P]])</f>
        <v/>
      </c>
      <c r="H170" s="0">
        <f t="array" ref="H170">MuGFromP(テーブル2[[#This Row],[P]])</f>
        <v/>
      </c>
      <c r="I170" s="0">
        <f t="array" ref="I170">MuFFromP(テーブル2[[#This Row],[P]])</f>
        <v/>
      </c>
      <c r="J170" s="0">
        <f t="array" ref="J170">KfFromP(テーブル2[[#This Row],[P]])</f>
        <v/>
      </c>
      <c r="K170" s="0">
        <f t="array" ref="K170">CpFFromP(テーブル2[[#This Row],[P]])</f>
        <v/>
      </c>
      <c r="L170" s="0">
        <f t="array" ref="L170">SigmaFromP(テーブル2[[#This Row],[P]])</f>
        <v/>
      </c>
      <c r="M170" s="0" t="n">
        <v>169</v>
      </c>
      <c r="N170" s="0" t="n">
        <v>2183.5303</v>
      </c>
      <c r="O170" s="8">
        <f>PI()*Q170^2/4</f>
        <v/>
      </c>
      <c r="P170" s="8">
        <f>PI()*Q170</f>
        <v/>
      </c>
      <c r="Q170" s="8" t="n">
        <v>0.001905</v>
      </c>
      <c r="R170" s="0" t="n">
        <v>0.1524</v>
      </c>
      <c r="S170" s="15" t="n">
        <v>4504947.16796875</v>
      </c>
      <c r="T170" s="0" t="n">
        <v>504.249773939844</v>
      </c>
      <c r="U170" s="37">
        <f>+T170+BG170*S170*テーブル2[[#This Row],[Pw]]*R170/(N170*O170*K170)</f>
        <v/>
      </c>
      <c r="V170" s="0" t="n">
        <v>0.03</v>
      </c>
      <c r="W170" s="8">
        <f>+N170*Q170/I170</f>
        <v/>
      </c>
      <c r="X170" s="0" t="n">
        <v>0.03070016313861225</v>
      </c>
      <c r="Y170" s="0">
        <f>IF(X170&gt;0,1/X170^0.5,1)</f>
        <v/>
      </c>
      <c r="Z170" s="0">
        <f>IF(X170&gt;0,1.14-2*LOG((0.72*L170*E170)/(X170*Q170*N170^2)+9.35/(W170*X170^0.5)),0)</f>
        <v/>
      </c>
      <c r="AA170" s="0">
        <f>+Y170-Z170</f>
        <v/>
      </c>
      <c r="AB170" s="0">
        <f>32/X170*L170*V170*E170/N170^2</f>
        <v/>
      </c>
      <c r="AC170" s="0" t="n">
        <v>747.9153638628349</v>
      </c>
      <c r="AD170" s="0">
        <f>+Q170/2*AI170/I170*E170</f>
        <v/>
      </c>
      <c r="AE170" s="0">
        <f>+gettm2(AD170,AC170,AK170,AL170,テーブル2[[#This Row],[Fcorr]])</f>
        <v/>
      </c>
      <c r="AF170" s="38">
        <f>+AE170-U170</f>
        <v/>
      </c>
      <c r="AG170" s="0" t="n">
        <v>1.124791283683817e-05</v>
      </c>
      <c r="AH170" s="0">
        <f>+X170*N170^2/(8*E170)</f>
        <v/>
      </c>
      <c r="AI170" s="0">
        <f>+(AH170/E170)^0.5</f>
        <v/>
      </c>
      <c r="AJ170" s="0">
        <f>+AG170*AI170/I170*E170</f>
        <v/>
      </c>
      <c r="AK170" s="0">
        <f t="array" ref="AK170">+S170*テーブル2[[#This Row],[F_form]]/(E170*CpFromTP((テーブル2[[#This Row],[Tin]]+テーブル2[[#This Row],[Tf]])/2,テーブル2[[#This Row],[P]])*AI170)</f>
        <v/>
      </c>
      <c r="AL170" s="0">
        <f>+K170*I170/J170</f>
        <v/>
      </c>
      <c r="AM170" s="0">
        <f>+gettyp(AC170,AJ170,AK170,AL170)</f>
        <v/>
      </c>
      <c r="AN170" s="0">
        <f>+C170-AM170</f>
        <v/>
      </c>
      <c r="AO170" s="0">
        <f>+AG170-AB170</f>
        <v/>
      </c>
      <c r="AP170" s="0" t="n">
        <v>2.492823552492254</v>
      </c>
      <c r="AQ170" s="0">
        <f>2*PI()*L170*(D170+E170)/(D170*E170*AP170^2)</f>
        <v/>
      </c>
      <c r="AR170" s="0">
        <f>+AO170+AB170/2</f>
        <v/>
      </c>
      <c r="AS170" s="0">
        <f>+AR170*AI170/I170*E170</f>
        <v/>
      </c>
      <c r="AT170" s="0">
        <f>+getublp(AS170)</f>
        <v/>
      </c>
      <c r="AU170" s="0">
        <f>+AT170*AI170</f>
        <v/>
      </c>
      <c r="AV170" s="0">
        <f>+AP170-AU170</f>
        <v/>
      </c>
      <c r="AW170" s="0">
        <f>2/3*AB170/(L170/(9.8*(E170-D170)))^0.5</f>
        <v/>
      </c>
      <c r="AX170" s="0">
        <f>+(2*AQ170*9.8*(E170-D170)/(E170*AW170))^0.5</f>
        <v/>
      </c>
      <c r="AY170" s="0">
        <f>+AV170-AX170</f>
        <v/>
      </c>
      <c r="AZ170" s="0">
        <f>+F170-G170</f>
        <v/>
      </c>
      <c r="BA170" s="0">
        <f>+AQ170/AP170</f>
        <v/>
      </c>
      <c r="BB170" s="15">
        <f>+E170*AO170*AZ170/BA170</f>
        <v/>
      </c>
      <c r="BC170" s="20">
        <f>BB170-S170</f>
        <v/>
      </c>
      <c r="BD170" s="19">
        <f>+(BB170-S170)/S170*100</f>
        <v/>
      </c>
      <c r="BE170" s="15" t="n">
        <v>4321788.3</v>
      </c>
      <c r="BF170" s="16">
        <f>テーブル2[[#This Row],[q_P]]/テーブル2[[#This Row],[q_M]]</f>
        <v/>
      </c>
      <c r="BG170" s="0" t="n">
        <v>1</v>
      </c>
      <c r="BH170" s="0" t="n">
        <v>-0.081</v>
      </c>
      <c r="BI170" s="0" t="n">
        <v>0.046</v>
      </c>
      <c r="BJ170" s="0" t="n">
        <v>5625</v>
      </c>
      <c r="BK170" s="22" t="n">
        <v>1</v>
      </c>
      <c r="BL170" s="0">
        <f>テーブル2[[#This Row],[Ts]]-テーブル2[[#This Row],[Tin]]</f>
        <v/>
      </c>
      <c r="BM170" s="0">
        <f>テーブル2[[#This Row],[q_P]]*0.000001</f>
        <v/>
      </c>
      <c r="BN170" s="0">
        <f>テーブル2[[#This Row],[Tsub]]</f>
        <v/>
      </c>
      <c r="BO170" s="0">
        <f>テーブル2[[#This Row],[Fcorr]]</f>
        <v/>
      </c>
      <c r="BP170" s="0">
        <f>(テーブル2[[#This Row],[Tsub]]-40)^2</f>
        <v/>
      </c>
      <c r="BQ170" t="n">
        <v>1</v>
      </c>
      <c r="BR170" s="0" t="n">
        <v>0.1524</v>
      </c>
    </row>
    <row r="171">
      <c r="A171" s="9" t="inlineStr">
        <is>
          <t>8.01_12</t>
        </is>
      </c>
      <c r="B171" s="0" t="n">
        <v>17236893.2329209</v>
      </c>
      <c r="C171" s="22">
        <f t="array" ref="C171">TsatFromP(テーブル2[[#This Row],[P]])</f>
        <v/>
      </c>
      <c r="D171" s="0">
        <f t="array" ref="D171">RhoGFromP(テーブル2[[#This Row],[P]])</f>
        <v/>
      </c>
      <c r="E171" s="0">
        <f t="array" ref="E171">RhoFFromP(テーブル2[[#This Row],[P]])</f>
        <v/>
      </c>
      <c r="F171" s="0">
        <f t="array" ref="F171">HgFromP(テーブル2[[#This Row],[P]])</f>
        <v/>
      </c>
      <c r="G171" s="0">
        <f t="array" ref="G171">HfFromP(テーブル2[[#This Row],[P]])</f>
        <v/>
      </c>
      <c r="H171" s="0">
        <f t="array" ref="H171">MuGFromP(テーブル2[[#This Row],[P]])</f>
        <v/>
      </c>
      <c r="I171" s="0">
        <f t="array" ref="I171">MuFFromP(テーブル2[[#This Row],[P]])</f>
        <v/>
      </c>
      <c r="J171" s="0">
        <f t="array" ref="J171">KfFromP(テーブル2[[#This Row],[P]])</f>
        <v/>
      </c>
      <c r="K171" s="0">
        <f t="array" ref="K171">CpFFromP(テーブル2[[#This Row],[P]])</f>
        <v/>
      </c>
      <c r="L171" s="0">
        <f t="array" ref="L171">SigmaFromP(テーブル2[[#This Row],[P]])</f>
        <v/>
      </c>
      <c r="M171" s="0" t="n">
        <v>170</v>
      </c>
      <c r="N171" s="0" t="n">
        <v>2197.0926</v>
      </c>
      <c r="O171" s="8">
        <f>PI()*Q171^2/4</f>
        <v/>
      </c>
      <c r="P171" s="8">
        <f>PI()*Q171</f>
        <v/>
      </c>
      <c r="Q171" s="8" t="n">
        <v>0.001905</v>
      </c>
      <c r="R171" s="0" t="n">
        <v>0.1524</v>
      </c>
      <c r="S171" s="15" t="n">
        <v>3889929.19921875</v>
      </c>
      <c r="T171" s="0" t="n">
        <v>523.2105820642111</v>
      </c>
      <c r="U171" s="37">
        <f>+T171+BG171*S171*テーブル2[[#This Row],[Pw]]*R171/(N171*O171*K171)</f>
        <v/>
      </c>
      <c r="V171" s="0" t="n">
        <v>0.03</v>
      </c>
      <c r="W171" s="8">
        <f>+N171*Q171/I171</f>
        <v/>
      </c>
      <c r="X171" s="0" t="n">
        <v>0.03061708500335688</v>
      </c>
      <c r="Y171" s="0">
        <f>IF(X171&gt;0,1/X171^0.5,1)</f>
        <v/>
      </c>
      <c r="Z171" s="0">
        <f>IF(X171&gt;0,1.14-2*LOG((0.72*L171*E171)/(X171*Q171*N171^2)+9.35/(W171*X171^0.5)),0)</f>
        <v/>
      </c>
      <c r="AA171" s="0">
        <f>+Y171-Z171</f>
        <v/>
      </c>
      <c r="AB171" s="0">
        <f>32/X171*L171*V171*E171/N171^2</f>
        <v/>
      </c>
      <c r="AC171" s="0" t="n">
        <v>726.9415023007161</v>
      </c>
      <c r="AD171" s="0">
        <f>+Q171/2*AI171/I171*E171</f>
        <v/>
      </c>
      <c r="AE171" s="0">
        <f>+gettm2(AD171,AC171,AK171,AL171,テーブル2[[#This Row],[Fcorr]])</f>
        <v/>
      </c>
      <c r="AF171" s="38">
        <f>+AE171-U171</f>
        <v/>
      </c>
      <c r="AG171" s="0" t="n">
        <v>1.112508700963306e-05</v>
      </c>
      <c r="AH171" s="0">
        <f>+X171*N171^2/(8*E171)</f>
        <v/>
      </c>
      <c r="AI171" s="0">
        <f>+(AH171/E171)^0.5</f>
        <v/>
      </c>
      <c r="AJ171" s="0">
        <f>+AG171*AI171/I171*E171</f>
        <v/>
      </c>
      <c r="AK171" s="0">
        <f t="array" ref="AK171">+S171*テーブル2[[#This Row],[F_form]]/(E171*CpFromTP((テーブル2[[#This Row],[Tin]]+テーブル2[[#This Row],[Tf]])/2,テーブル2[[#This Row],[P]])*AI171)</f>
        <v/>
      </c>
      <c r="AL171" s="0">
        <f>+K171*I171/J171</f>
        <v/>
      </c>
      <c r="AM171" s="0">
        <f>+gettyp(AC171,AJ171,AK171,AL171)</f>
        <v/>
      </c>
      <c r="AN171" s="0">
        <f>+C171-AM171</f>
        <v/>
      </c>
      <c r="AO171" s="0">
        <f>+AG171-AB171</f>
        <v/>
      </c>
      <c r="AP171" s="0" t="n">
        <v>2.495644991581841</v>
      </c>
      <c r="AQ171" s="0">
        <f>2*PI()*L171*(D171+E171)/(D171*E171*AP171^2)</f>
        <v/>
      </c>
      <c r="AR171" s="0">
        <f>+AO171+AB171/2</f>
        <v/>
      </c>
      <c r="AS171" s="0">
        <f>+AR171*AI171/I171*E171</f>
        <v/>
      </c>
      <c r="AT171" s="0">
        <f>+getublp(AS171)</f>
        <v/>
      </c>
      <c r="AU171" s="0">
        <f>+AT171*AI171</f>
        <v/>
      </c>
      <c r="AV171" s="0">
        <f>+AP171-AU171</f>
        <v/>
      </c>
      <c r="AW171" s="0">
        <f>2/3*AB171/(L171/(9.8*(E171-D171)))^0.5</f>
        <v/>
      </c>
      <c r="AX171" s="0">
        <f>+(2*AQ171*9.8*(E171-D171)/(E171*AW171))^0.5</f>
        <v/>
      </c>
      <c r="AY171" s="0">
        <f>+AV171-AX171</f>
        <v/>
      </c>
      <c r="AZ171" s="0">
        <f>+F171-G171</f>
        <v/>
      </c>
      <c r="BA171" s="0">
        <f>+AQ171/AP171</f>
        <v/>
      </c>
      <c r="BB171" s="15">
        <f>+E171*AO171*AZ171/BA171</f>
        <v/>
      </c>
      <c r="BC171" s="20">
        <f>BB171-S171</f>
        <v/>
      </c>
      <c r="BD171" s="19">
        <f>+(BB171-S171)/S171*100</f>
        <v/>
      </c>
      <c r="BE171" s="15" t="n">
        <v>3817053.9</v>
      </c>
      <c r="BF171" s="16">
        <f>テーブル2[[#This Row],[q_P]]/テーブル2[[#This Row],[q_M]]</f>
        <v/>
      </c>
      <c r="BG171" s="0" t="n">
        <v>1</v>
      </c>
      <c r="BH171" s="0" t="n">
        <v>-0.068</v>
      </c>
      <c r="BI171" s="0" t="n">
        <v>0.046</v>
      </c>
      <c r="BJ171" s="0" t="n">
        <v>5625</v>
      </c>
      <c r="BK171" s="22" t="n">
        <v>1</v>
      </c>
      <c r="BL171" s="0">
        <f>テーブル2[[#This Row],[Ts]]-テーブル2[[#This Row],[Tin]]</f>
        <v/>
      </c>
      <c r="BM171" s="0">
        <f>テーブル2[[#This Row],[q_P]]*0.000001</f>
        <v/>
      </c>
      <c r="BN171" s="0">
        <f>テーブル2[[#This Row],[Tsub]]</f>
        <v/>
      </c>
      <c r="BO171" s="0">
        <f>テーブル2[[#This Row],[Fcorr]]</f>
        <v/>
      </c>
      <c r="BP171" s="0">
        <f>(テーブル2[[#This Row],[Tsub]]-40)^2</f>
        <v/>
      </c>
      <c r="BQ171" t="n">
        <v>1</v>
      </c>
      <c r="BR171" s="0" t="n">
        <v>0.1524</v>
      </c>
    </row>
    <row r="172">
      <c r="A172" s="9" t="inlineStr">
        <is>
          <t>9.01_12</t>
        </is>
      </c>
      <c r="B172" s="0" t="n">
        <v>17236893.2329209</v>
      </c>
      <c r="C172" s="22">
        <f t="array" ref="C172">TsatFromP(テーブル2[[#This Row],[P]])</f>
        <v/>
      </c>
      <c r="D172" s="0">
        <f t="array" ref="D172">RhoGFromP(テーブル2[[#This Row],[P]])</f>
        <v/>
      </c>
      <c r="E172" s="0">
        <f t="array" ref="E172">RhoFFromP(テーブル2[[#This Row],[P]])</f>
        <v/>
      </c>
      <c r="F172" s="0">
        <f t="array" ref="F172">HgFromP(テーブル2[[#This Row],[P]])</f>
        <v/>
      </c>
      <c r="G172" s="0">
        <f t="array" ref="G172">HfFromP(テーブル2[[#This Row],[P]])</f>
        <v/>
      </c>
      <c r="H172" s="0">
        <f t="array" ref="H172">MuGFromP(テーブル2[[#This Row],[P]])</f>
        <v/>
      </c>
      <c r="I172" s="0">
        <f t="array" ref="I172">MuFFromP(テーブル2[[#This Row],[P]])</f>
        <v/>
      </c>
      <c r="J172" s="0">
        <f t="array" ref="J172">KfFromP(テーブル2[[#This Row],[P]])</f>
        <v/>
      </c>
      <c r="K172" s="0">
        <f t="array" ref="K172">CpFFromP(テーブル2[[#This Row],[P]])</f>
        <v/>
      </c>
      <c r="L172" s="0">
        <f t="array" ref="L172">SigmaFromP(テーブル2[[#This Row],[P]])</f>
        <v/>
      </c>
      <c r="M172" s="0" t="n">
        <v>171</v>
      </c>
      <c r="N172" s="0" t="n">
        <v>2210.6549</v>
      </c>
      <c r="O172" s="8">
        <f>PI()*Q172^2/4</f>
        <v/>
      </c>
      <c r="P172" s="8">
        <f>PI()*Q172</f>
        <v/>
      </c>
      <c r="Q172" s="8" t="n">
        <v>0.001905</v>
      </c>
      <c r="R172" s="0" t="n">
        <v>0.1524</v>
      </c>
      <c r="S172" s="15" t="n">
        <v>4404618.59765625</v>
      </c>
      <c r="T172" s="0" t="n">
        <v>508.157298809511</v>
      </c>
      <c r="U172" s="37">
        <f>+T172+BG172*S172*テーブル2[[#This Row],[Pw]]*R172/(N172*O172*K172)</f>
        <v/>
      </c>
      <c r="V172" s="0" t="n">
        <v>0.03</v>
      </c>
      <c r="W172" s="8">
        <f>+N172*Q172/I172</f>
        <v/>
      </c>
      <c r="X172" s="0" t="n">
        <v>0.03053484997087235</v>
      </c>
      <c r="Y172" s="0">
        <f>IF(X172&gt;0,1/X172^0.5,1)</f>
        <v/>
      </c>
      <c r="Z172" s="0">
        <f>IF(X172&gt;0,1.14-2*LOG((0.72*L172*E172)/(X172*Q172*N172^2)+9.35/(W172*X172^0.5)),0)</f>
        <v/>
      </c>
      <c r="AA172" s="0">
        <f>+Y172-Z172</f>
        <v/>
      </c>
      <c r="AB172" s="0">
        <f>32/X172*L172*V172*E172/N172^2</f>
        <v/>
      </c>
      <c r="AC172" s="0" t="n">
        <v>742.9671550220933</v>
      </c>
      <c r="AD172" s="0">
        <f>+Q172/2*AI172/I172*E172</f>
        <v/>
      </c>
      <c r="AE172" s="0">
        <f>+gettm2(AD172,AC172,AK172,AL172,テーブル2[[#This Row],[Fcorr]])</f>
        <v/>
      </c>
      <c r="AF172" s="38">
        <f>+AE172-U172</f>
        <v/>
      </c>
      <c r="AG172" s="0" t="n">
        <v>1.103148532235502e-05</v>
      </c>
      <c r="AH172" s="0">
        <f>+X172*N172^2/(8*E172)</f>
        <v/>
      </c>
      <c r="AI172" s="0">
        <f>+(AH172/E172)^0.5</f>
        <v/>
      </c>
      <c r="AJ172" s="0">
        <f>+AG172*AI172/I172*E172</f>
        <v/>
      </c>
      <c r="AK172" s="0">
        <f t="array" ref="AK172">+S172*テーブル2[[#This Row],[F_form]]/(E172*CpFromTP((テーブル2[[#This Row],[Tin]]+テーブル2[[#This Row],[Tf]])/2,テーブル2[[#This Row],[P]])*AI172)</f>
        <v/>
      </c>
      <c r="AL172" s="0">
        <f>+K172*I172/J172</f>
        <v/>
      </c>
      <c r="AM172" s="0">
        <f>+gettyp(AC172,AJ172,AK172,AL172)</f>
        <v/>
      </c>
      <c r="AN172" s="0">
        <f>+C172-AM172</f>
        <v/>
      </c>
      <c r="AO172" s="0">
        <f>+AG172-AB172</f>
        <v/>
      </c>
      <c r="AP172" s="0" t="n">
        <v>2.503874833350225</v>
      </c>
      <c r="AQ172" s="0">
        <f>2*PI()*L172*(D172+E172)/(D172*E172*AP172^2)</f>
        <v/>
      </c>
      <c r="AR172" s="0">
        <f>+AO172+AB172/2</f>
        <v/>
      </c>
      <c r="AS172" s="0">
        <f>+AR172*AI172/I172*E172</f>
        <v/>
      </c>
      <c r="AT172" s="0">
        <f>+getublp(AS172)</f>
        <v/>
      </c>
      <c r="AU172" s="0">
        <f>+AT172*AI172</f>
        <v/>
      </c>
      <c r="AV172" s="0">
        <f>+AP172-AU172</f>
        <v/>
      </c>
      <c r="AW172" s="0">
        <f>2/3*AB172/(L172/(9.8*(E172-D172)))^0.5</f>
        <v/>
      </c>
      <c r="AX172" s="0">
        <f>+(2*AQ172*9.8*(E172-D172)/(E172*AW172))^0.5</f>
        <v/>
      </c>
      <c r="AY172" s="0">
        <f>+AV172-AX172</f>
        <v/>
      </c>
      <c r="AZ172" s="0">
        <f>+F172-G172</f>
        <v/>
      </c>
      <c r="BA172" s="0">
        <f>+AQ172/AP172</f>
        <v/>
      </c>
      <c r="BB172" s="15">
        <f>+E172*AO172*AZ172/BA172</f>
        <v/>
      </c>
      <c r="BC172" s="20">
        <f>BB172-S172</f>
        <v/>
      </c>
      <c r="BD172" s="19">
        <f>+(BB172-S172)/S172*100</f>
        <v/>
      </c>
      <c r="BE172" s="15" t="n">
        <v>4353334.2</v>
      </c>
      <c r="BF172" s="16">
        <f>テーブル2[[#This Row],[q_P]]/テーブル2[[#This Row],[q_M]]</f>
        <v/>
      </c>
      <c r="BG172" s="0" t="n">
        <v>1</v>
      </c>
      <c r="BH172" s="0" t="n">
        <v>-0.063</v>
      </c>
      <c r="BI172" s="0" t="n">
        <v>0.046</v>
      </c>
      <c r="BJ172" s="0" t="n">
        <v>5625</v>
      </c>
      <c r="BK172" s="22" t="n">
        <v>1</v>
      </c>
      <c r="BL172" s="0">
        <f>テーブル2[[#This Row],[Ts]]-テーブル2[[#This Row],[Tin]]</f>
        <v/>
      </c>
      <c r="BM172" s="0">
        <f>テーブル2[[#This Row],[q_P]]*0.000001</f>
        <v/>
      </c>
      <c r="BN172" s="0">
        <f>テーブル2[[#This Row],[Tsub]]</f>
        <v/>
      </c>
      <c r="BO172" s="0">
        <f>テーブル2[[#This Row],[Fcorr]]</f>
        <v/>
      </c>
      <c r="BP172" s="0">
        <f>(テーブル2[[#This Row],[Tsub]]-40)^2</f>
        <v/>
      </c>
      <c r="BQ172" t="n">
        <v>1</v>
      </c>
      <c r="BR172" s="0" t="n">
        <v>0.1524</v>
      </c>
    </row>
    <row r="173">
      <c r="A173" s="9" t="inlineStr">
        <is>
          <t>10.01_12</t>
        </is>
      </c>
      <c r="B173" s="0" t="n">
        <v>17236893.2329209</v>
      </c>
      <c r="C173" s="22">
        <f t="array" ref="C173">TsatFromP(テーブル2[[#This Row],[P]])</f>
        <v/>
      </c>
      <c r="D173" s="0">
        <f t="array" ref="D173">RhoGFromP(テーブル2[[#This Row],[P]])</f>
        <v/>
      </c>
      <c r="E173" s="0">
        <f t="array" ref="E173">RhoFFromP(テーブル2[[#This Row],[P]])</f>
        <v/>
      </c>
      <c r="F173" s="0">
        <f t="array" ref="F173">HgFromP(テーブル2[[#This Row],[P]])</f>
        <v/>
      </c>
      <c r="G173" s="0">
        <f t="array" ref="G173">HfFromP(テーブル2[[#This Row],[P]])</f>
        <v/>
      </c>
      <c r="H173" s="0">
        <f t="array" ref="H173">MuGFromP(テーブル2[[#This Row],[P]])</f>
        <v/>
      </c>
      <c r="I173" s="0">
        <f t="array" ref="I173">MuFFromP(テーブル2[[#This Row],[P]])</f>
        <v/>
      </c>
      <c r="J173" s="0">
        <f t="array" ref="J173">KfFromP(テーブル2[[#This Row],[P]])</f>
        <v/>
      </c>
      <c r="K173" s="0">
        <f t="array" ref="K173">CpFFromP(テーブル2[[#This Row],[P]])</f>
        <v/>
      </c>
      <c r="L173" s="0">
        <f t="array" ref="L173">SigmaFromP(テーブル2[[#This Row],[P]])</f>
        <v/>
      </c>
      <c r="M173" s="0" t="n">
        <v>172</v>
      </c>
      <c r="N173" s="0" t="n">
        <v>2210.6549</v>
      </c>
      <c r="O173" s="8">
        <f>PI()*Q173^2/4</f>
        <v/>
      </c>
      <c r="P173" s="8">
        <f>PI()*Q173</f>
        <v/>
      </c>
      <c r="Q173" s="8" t="n">
        <v>0.001905</v>
      </c>
      <c r="R173" s="0" t="n">
        <v>0.1524</v>
      </c>
      <c r="S173" s="15" t="n">
        <v>3902650.29296875</v>
      </c>
      <c r="T173" s="0" t="n">
        <v>523.2105820642111</v>
      </c>
      <c r="U173" s="37">
        <f>+T173+BG173*S173*テーブル2[[#This Row],[Pw]]*R173/(N173*O173*K173)</f>
        <v/>
      </c>
      <c r="V173" s="0" t="n">
        <v>0.03</v>
      </c>
      <c r="W173" s="8">
        <f>+N173*Q173/I173</f>
        <v/>
      </c>
      <c r="X173" s="0" t="n">
        <v>0.03053484997087235</v>
      </c>
      <c r="Y173" s="0">
        <f>IF(X173&gt;0,1/X173^0.5,1)</f>
        <v/>
      </c>
      <c r="Z173" s="0">
        <f>IF(X173&gt;0,1.14-2*LOG((0.72*L173*E173)/(X173*Q173*N173^2)+9.35/(W173*X173^0.5)),0)</f>
        <v/>
      </c>
      <c r="AA173" s="0">
        <f>+Y173-Z173</f>
        <v/>
      </c>
      <c r="AB173" s="0">
        <f>32/X173*L173*V173*E173/N173^2</f>
        <v/>
      </c>
      <c r="AC173" s="0" t="n">
        <v>726.6599302913166</v>
      </c>
      <c r="AD173" s="0">
        <f>+Q173/2*AI173/I173*E173</f>
        <v/>
      </c>
      <c r="AE173" s="0">
        <f>+gettm2(AD173,AC173,AK173,AL173,テーブル2[[#This Row],[Fcorr]])</f>
        <v/>
      </c>
      <c r="AF173" s="38">
        <f>+AE173-U173</f>
        <v/>
      </c>
      <c r="AG173" s="0" t="n">
        <v>1.10192118964619e-05</v>
      </c>
      <c r="AH173" s="0">
        <f>+X173*N173^2/(8*E173)</f>
        <v/>
      </c>
      <c r="AI173" s="0">
        <f>+(AH173/E173)^0.5</f>
        <v/>
      </c>
      <c r="AJ173" s="0">
        <f>+AG173*AI173/I173*E173</f>
        <v/>
      </c>
      <c r="AK173" s="0">
        <f t="array" ref="AK173">+S173*テーブル2[[#This Row],[F_form]]/(E173*CpFromTP((テーブル2[[#This Row],[Tin]]+テーブル2[[#This Row],[Tf]])/2,テーブル2[[#This Row],[P]])*AI173)</f>
        <v/>
      </c>
      <c r="AL173" s="0">
        <f>+K173*I173/J173</f>
        <v/>
      </c>
      <c r="AM173" s="0">
        <f>+gettyp(AC173,AJ173,AK173,AL173)</f>
        <v/>
      </c>
      <c r="AN173" s="0">
        <f>+C173-AM173</f>
        <v/>
      </c>
      <c r="AO173" s="0">
        <f>+AG173-AB173</f>
        <v/>
      </c>
      <c r="AP173" s="0" t="n">
        <v>2.501414440356</v>
      </c>
      <c r="AQ173" s="0">
        <f>2*PI()*L173*(D173+E173)/(D173*E173*AP173^2)</f>
        <v/>
      </c>
      <c r="AR173" s="0">
        <f>+AO173+AB173/2</f>
        <v/>
      </c>
      <c r="AS173" s="0">
        <f>+AR173*AI173/I173*E173</f>
        <v/>
      </c>
      <c r="AT173" s="0">
        <f>+getublp(AS173)</f>
        <v/>
      </c>
      <c r="AU173" s="0">
        <f>+AT173*AI173</f>
        <v/>
      </c>
      <c r="AV173" s="0">
        <f>+AP173-AU173</f>
        <v/>
      </c>
      <c r="AW173" s="0">
        <f>2/3*AB173/(L173/(9.8*(E173-D173)))^0.5</f>
        <v/>
      </c>
      <c r="AX173" s="0">
        <f>+(2*AQ173*9.8*(E173-D173)/(E173*AW173))^0.5</f>
        <v/>
      </c>
      <c r="AY173" s="0">
        <f>+AV173-AX173</f>
        <v/>
      </c>
      <c r="AZ173" s="0">
        <f>+F173-G173</f>
        <v/>
      </c>
      <c r="BA173" s="0">
        <f>+AQ173/AP173</f>
        <v/>
      </c>
      <c r="BB173" s="15">
        <f>+E173*AO173*AZ173/BA173</f>
        <v/>
      </c>
      <c r="BC173" s="20">
        <f>BB173-S173</f>
        <v/>
      </c>
      <c r="BD173" s="19">
        <f>+(BB173-S173)/S173*100</f>
        <v/>
      </c>
      <c r="BE173" s="15" t="n">
        <v>3785508</v>
      </c>
      <c r="BF173" s="16">
        <f>テーブル2[[#This Row],[q_P]]/テーブル2[[#This Row],[q_M]]</f>
        <v/>
      </c>
      <c r="BG173" s="0" t="n">
        <v>1</v>
      </c>
      <c r="BH173" s="0" t="n">
        <v>-0.078</v>
      </c>
      <c r="BI173" s="0" t="n">
        <v>0.046</v>
      </c>
      <c r="BJ173" s="0" t="n">
        <v>5625</v>
      </c>
      <c r="BK173" s="22" t="n">
        <v>1</v>
      </c>
      <c r="BL173" s="0">
        <f>テーブル2[[#This Row],[Ts]]-テーブル2[[#This Row],[Tin]]</f>
        <v/>
      </c>
      <c r="BM173" s="0">
        <f>テーブル2[[#This Row],[q_P]]*0.000001</f>
        <v/>
      </c>
      <c r="BN173" s="0">
        <f>テーブル2[[#This Row],[Tsub]]</f>
        <v/>
      </c>
      <c r="BO173" s="0">
        <f>テーブル2[[#This Row],[Fcorr]]</f>
        <v/>
      </c>
      <c r="BP173" s="0">
        <f>(テーブル2[[#This Row],[Tsub]]-40)^2</f>
        <v/>
      </c>
      <c r="BQ173" t="n">
        <v>1</v>
      </c>
      <c r="BR173" s="0" t="n">
        <v>0.1524</v>
      </c>
    </row>
    <row r="174">
      <c r="A174" s="9" t="inlineStr">
        <is>
          <t>11.01_12</t>
        </is>
      </c>
      <c r="B174" s="0" t="n">
        <v>17236893.2329209</v>
      </c>
      <c r="C174" s="22">
        <f t="array" ref="C174">TsatFromP(テーブル2[[#This Row],[P]])</f>
        <v/>
      </c>
      <c r="D174" s="0">
        <f t="array" ref="D174">RhoGFromP(テーブル2[[#This Row],[P]])</f>
        <v/>
      </c>
      <c r="E174" s="0">
        <f t="array" ref="E174">RhoFFromP(テーブル2[[#This Row],[P]])</f>
        <v/>
      </c>
      <c r="F174" s="0">
        <f t="array" ref="F174">HgFromP(テーブル2[[#This Row],[P]])</f>
        <v/>
      </c>
      <c r="G174" s="0">
        <f t="array" ref="G174">HfFromP(テーブル2[[#This Row],[P]])</f>
        <v/>
      </c>
      <c r="H174" s="0">
        <f t="array" ref="H174">MuGFromP(テーブル2[[#This Row],[P]])</f>
        <v/>
      </c>
      <c r="I174" s="0">
        <f t="array" ref="I174">MuFFromP(テーブル2[[#This Row],[P]])</f>
        <v/>
      </c>
      <c r="J174" s="0">
        <f t="array" ref="J174">KfFromP(テーブル2[[#This Row],[P]])</f>
        <v/>
      </c>
      <c r="K174" s="0">
        <f t="array" ref="K174">CpFFromP(テーブル2[[#This Row],[P]])</f>
        <v/>
      </c>
      <c r="L174" s="0">
        <f t="array" ref="L174">SigmaFromP(テーブル2[[#This Row],[P]])</f>
        <v/>
      </c>
      <c r="M174" s="0" t="n">
        <v>173</v>
      </c>
      <c r="N174" s="0" t="n">
        <v>2766.7092</v>
      </c>
      <c r="O174" s="8">
        <f>PI()*Q174^2/4</f>
        <v/>
      </c>
      <c r="P174" s="8">
        <f>PI()*Q174</f>
        <v/>
      </c>
      <c r="Q174" s="8" t="n">
        <v>0.001905</v>
      </c>
      <c r="R174" s="0" t="n">
        <v>0.1524</v>
      </c>
      <c r="S174" s="15" t="n">
        <v>4545068.359375</v>
      </c>
      <c r="T174" s="0" t="n">
        <v>519.295685471341</v>
      </c>
      <c r="U174" s="37">
        <f>+T174+BG174*S174*テーブル2[[#This Row],[Pw]]*R174/(N174*O174*K174)</f>
        <v/>
      </c>
      <c r="V174" s="0" t="n">
        <v>0.03</v>
      </c>
      <c r="W174" s="8">
        <f>+N174*Q174/I174</f>
        <v/>
      </c>
      <c r="X174" s="0" t="n">
        <v>0.02774915362447418</v>
      </c>
      <c r="Y174" s="0">
        <f>IF(X174&gt;0,1/X174^0.5,1)</f>
        <v/>
      </c>
      <c r="Z174" s="0">
        <f>IF(X174&gt;0,1.14-2*LOG((0.72*L174*E174)/(X174*Q174*N174^2)+9.35/(W174*X174^0.5)),0)</f>
        <v/>
      </c>
      <c r="AA174" s="0">
        <f>+Y174-Z174</f>
        <v/>
      </c>
      <c r="AB174" s="0">
        <f>32/X174*L174*V174*E174/N174^2</f>
        <v/>
      </c>
      <c r="AC174" s="0" t="n">
        <v>720.3707113832263</v>
      </c>
      <c r="AD174" s="0">
        <f>+Q174/2*AI174/I174*E174</f>
        <v/>
      </c>
      <c r="AE174" s="0">
        <f>+gettm2(AD174,AC174,AK174,AL174,テーブル2[[#This Row],[Fcorr]])</f>
        <v/>
      </c>
      <c r="AF174" s="38">
        <f>+AE174-U174</f>
        <v/>
      </c>
      <c r="AG174" s="0" t="n">
        <v>7.761794717248156e-06</v>
      </c>
      <c r="AH174" s="0">
        <f>+X174*N174^2/(8*E174)</f>
        <v/>
      </c>
      <c r="AI174" s="0">
        <f>+(AH174/E174)^0.5</f>
        <v/>
      </c>
      <c r="AJ174" s="0">
        <f>+AG174*AI174/I174*E174</f>
        <v/>
      </c>
      <c r="AK174" s="0">
        <f t="array" ref="AK174">+S174*テーブル2[[#This Row],[F_form]]/(E174*CpFromTP((テーブル2[[#This Row],[Tin]]+テーブル2[[#This Row],[Tf]])/2,テーブル2[[#This Row],[P]])*AI174)</f>
        <v/>
      </c>
      <c r="AL174" s="0">
        <f>+K174*I174/J174</f>
        <v/>
      </c>
      <c r="AM174" s="0">
        <f>+gettyp(AC174,AJ174,AK174,AL174)</f>
        <v/>
      </c>
      <c r="AN174" s="0">
        <f>+C174-AM174</f>
        <v/>
      </c>
      <c r="AO174" s="0">
        <f>+AG174-AB174</f>
        <v/>
      </c>
      <c r="AP174" s="0" t="n">
        <v>2.713711899702879</v>
      </c>
      <c r="AQ174" s="0">
        <f>2*PI()*L174*(D174+E174)/(D174*E174*AP174^2)</f>
        <v/>
      </c>
      <c r="AR174" s="0">
        <f>+AO174+AB174/2</f>
        <v/>
      </c>
      <c r="AS174" s="0">
        <f>+AR174*AI174/I174*E174</f>
        <v/>
      </c>
      <c r="AT174" s="0">
        <f>+getublp(AS174)</f>
        <v/>
      </c>
      <c r="AU174" s="0">
        <f>+AT174*AI174</f>
        <v/>
      </c>
      <c r="AV174" s="0">
        <f>+AP174-AU174</f>
        <v/>
      </c>
      <c r="AW174" s="0">
        <f>2/3*AB174/(L174/(9.8*(E174-D174)))^0.5</f>
        <v/>
      </c>
      <c r="AX174" s="0">
        <f>+(2*AQ174*9.8*(E174-D174)/(E174*AW174))^0.5</f>
        <v/>
      </c>
      <c r="AY174" s="0">
        <f>+AV174-AX174</f>
        <v/>
      </c>
      <c r="AZ174" s="0">
        <f>+F174-G174</f>
        <v/>
      </c>
      <c r="BA174" s="0">
        <f>+AQ174/AP174</f>
        <v/>
      </c>
      <c r="BB174" s="15">
        <f>+E174*AO174*AZ174/BA174</f>
        <v/>
      </c>
      <c r="BC174" s="20">
        <f>BB174-S174</f>
        <v/>
      </c>
      <c r="BD174" s="19">
        <f>+(BB174-S174)/S174*100</f>
        <v/>
      </c>
      <c r="BE174" s="15" t="n">
        <v>4952706.3</v>
      </c>
      <c r="BF174" s="16">
        <f>テーブル2[[#This Row],[q_P]]/テーブル2[[#This Row],[q_M]]</f>
        <v/>
      </c>
      <c r="BG174" s="0" t="n">
        <v>1</v>
      </c>
      <c r="BH174" s="0" t="n">
        <v>-0.07000000000000001</v>
      </c>
      <c r="BI174" s="0" t="n">
        <v>0.046</v>
      </c>
      <c r="BJ174" s="0" t="n">
        <v>5625</v>
      </c>
      <c r="BK174" s="22" t="n">
        <v>1</v>
      </c>
      <c r="BL174" s="0">
        <f>テーブル2[[#This Row],[Ts]]-テーブル2[[#This Row],[Tin]]</f>
        <v/>
      </c>
      <c r="BM174" s="0">
        <f>テーブル2[[#This Row],[q_P]]*0.000001</f>
        <v/>
      </c>
      <c r="BN174" s="0">
        <f>テーブル2[[#This Row],[Tsub]]</f>
        <v/>
      </c>
      <c r="BO174" s="0">
        <f>テーブル2[[#This Row],[Fcorr]]</f>
        <v/>
      </c>
      <c r="BP174" s="0">
        <f>(テーブル2[[#This Row],[Tsub]]-40)^2</f>
        <v/>
      </c>
      <c r="BQ174" t="n">
        <v>1</v>
      </c>
      <c r="BR174" s="0" t="n">
        <v>0.1524</v>
      </c>
    </row>
    <row r="175">
      <c r="A175" s="9" t="inlineStr">
        <is>
          <t>12.01_12</t>
        </is>
      </c>
      <c r="B175" s="0" t="n">
        <v>17236893.2329209</v>
      </c>
      <c r="C175" s="22">
        <f t="array" ref="C175">TsatFromP(テーブル2[[#This Row],[P]])</f>
        <v/>
      </c>
      <c r="D175" s="0">
        <f t="array" ref="D175">RhoGFromP(テーブル2[[#This Row],[P]])</f>
        <v/>
      </c>
      <c r="E175" s="0">
        <f t="array" ref="E175">RhoFFromP(テーブル2[[#This Row],[P]])</f>
        <v/>
      </c>
      <c r="F175" s="0">
        <f t="array" ref="F175">HgFromP(テーブル2[[#This Row],[P]])</f>
        <v/>
      </c>
      <c r="G175" s="0">
        <f t="array" ref="G175">HfFromP(テーブル2[[#This Row],[P]])</f>
        <v/>
      </c>
      <c r="H175" s="0">
        <f t="array" ref="H175">MuGFromP(テーブル2[[#This Row],[P]])</f>
        <v/>
      </c>
      <c r="I175" s="0">
        <f t="array" ref="I175">MuFFromP(テーブル2[[#This Row],[P]])</f>
        <v/>
      </c>
      <c r="J175" s="0">
        <f t="array" ref="J175">KfFromP(テーブル2[[#This Row],[P]])</f>
        <v/>
      </c>
      <c r="K175" s="0">
        <f t="array" ref="K175">CpFFromP(テーブル2[[#This Row],[P]])</f>
        <v/>
      </c>
      <c r="L175" s="0">
        <f t="array" ref="L175">SigmaFromP(テーブル2[[#This Row],[P]])</f>
        <v/>
      </c>
      <c r="M175" s="0" t="n">
        <v>174</v>
      </c>
      <c r="N175" s="0" t="n">
        <v>2820.9584</v>
      </c>
      <c r="O175" s="8">
        <f>PI()*Q175^2/4</f>
        <v/>
      </c>
      <c r="P175" s="8">
        <f>PI()*Q175</f>
        <v/>
      </c>
      <c r="Q175" s="8" t="n">
        <v>0.001905</v>
      </c>
      <c r="R175" s="0" t="n">
        <v>0.1524</v>
      </c>
      <c r="S175" s="15" t="n">
        <v>3380886.34765625</v>
      </c>
      <c r="T175" s="0" t="n">
        <v>551.038140756696</v>
      </c>
      <c r="U175" s="37">
        <f>+T175+BG175*S175*テーブル2[[#This Row],[Pw]]*R175/(N175*O175*K175)</f>
        <v/>
      </c>
      <c r="V175" s="0" t="n">
        <v>0.03</v>
      </c>
      <c r="W175" s="8">
        <f>+N175*Q175/I175</f>
        <v/>
      </c>
      <c r="X175" s="0" t="n">
        <v>0.02752630879726752</v>
      </c>
      <c r="Y175" s="0">
        <f>IF(X175&gt;0,1/X175^0.5,1)</f>
        <v/>
      </c>
      <c r="Z175" s="0">
        <f>IF(X175&gt;0,1.14-2*LOG((0.72*L175*E175)/(X175*Q175*N175^2)+9.35/(W175*X175^0.5)),0)</f>
        <v/>
      </c>
      <c r="AA175" s="0">
        <f>+Y175-Z175</f>
        <v/>
      </c>
      <c r="AB175" s="0">
        <f>32/X175*L175*V175*E175/N175^2</f>
        <v/>
      </c>
      <c r="AC175" s="0" t="n">
        <v>689.5616905188648</v>
      </c>
      <c r="AD175" s="0">
        <f>+Q175/2*AI175/I175*E175</f>
        <v/>
      </c>
      <c r="AE175" s="0">
        <f>+gettm2(AD175,AC175,AK175,AL175,テーブル2[[#This Row],[Fcorr]])</f>
        <v/>
      </c>
      <c r="AF175" s="38">
        <f>+AE175-U175</f>
        <v/>
      </c>
      <c r="AG175" s="0" t="n">
        <v>7.505605098165202e-06</v>
      </c>
      <c r="AH175" s="0">
        <f>+X175*N175^2/(8*E175)</f>
        <v/>
      </c>
      <c r="AI175" s="0">
        <f>+(AH175/E175)^0.5</f>
        <v/>
      </c>
      <c r="AJ175" s="0">
        <f>+AG175*AI175/I175*E175</f>
        <v/>
      </c>
      <c r="AK175" s="0">
        <f t="array" ref="AK175">+S175*テーブル2[[#This Row],[F_form]]/(E175*CpFromTP((テーブル2[[#This Row],[Tin]]+テーブル2[[#This Row],[Tf]])/2,テーブル2[[#This Row],[P]])*AI175)</f>
        <v/>
      </c>
      <c r="AL175" s="0">
        <f>+K175*I175/J175</f>
        <v/>
      </c>
      <c r="AM175" s="0">
        <f>+gettyp(AC175,AJ175,AK175,AL175)</f>
        <v/>
      </c>
      <c r="AN175" s="0">
        <f>+C175-AM175</f>
        <v/>
      </c>
      <c r="AO175" s="0">
        <f>+AG175-AB175</f>
        <v/>
      </c>
      <c r="AP175" s="0" t="n">
        <v>2.723941013860774</v>
      </c>
      <c r="AQ175" s="0">
        <f>2*PI()*L175*(D175+E175)/(D175*E175*AP175^2)</f>
        <v/>
      </c>
      <c r="AR175" s="0">
        <f>+AO175+AB175/2</f>
        <v/>
      </c>
      <c r="AS175" s="0">
        <f>+AR175*AI175/I175*E175</f>
        <v/>
      </c>
      <c r="AT175" s="0">
        <f>+getublp(AS175)</f>
        <v/>
      </c>
      <c r="AU175" s="0">
        <f>+AT175*AI175</f>
        <v/>
      </c>
      <c r="AV175" s="0">
        <f>+AP175-AU175</f>
        <v/>
      </c>
      <c r="AW175" s="0">
        <f>2/3*AB175/(L175/(9.8*(E175-D175)))^0.5</f>
        <v/>
      </c>
      <c r="AX175" s="0">
        <f>+(2*AQ175*9.8*(E175-D175)/(E175*AW175))^0.5</f>
        <v/>
      </c>
      <c r="AY175" s="0">
        <f>+AV175-AX175</f>
        <v/>
      </c>
      <c r="AZ175" s="0">
        <f>+F175-G175</f>
        <v/>
      </c>
      <c r="BA175" s="0">
        <f>+AQ175/AP175</f>
        <v/>
      </c>
      <c r="BB175" s="15">
        <f>+E175*AO175*AZ175/BA175</f>
        <v/>
      </c>
      <c r="BC175" s="20">
        <f>BB175-S175</f>
        <v/>
      </c>
      <c r="BD175" s="19">
        <f>+(BB175-S175)/S175*100</f>
        <v/>
      </c>
      <c r="BE175" s="15" t="n">
        <v>4132512.9</v>
      </c>
      <c r="BF175" s="16">
        <f>テーブル2[[#This Row],[q_P]]/テーブル2[[#This Row],[q_M]]</f>
        <v/>
      </c>
      <c r="BG175" s="0" t="n">
        <v>1</v>
      </c>
      <c r="BH175" s="0" t="n">
        <v>-0.011</v>
      </c>
      <c r="BI175" s="0" t="n">
        <v>0.046</v>
      </c>
      <c r="BJ175" s="0" t="n">
        <v>5625</v>
      </c>
      <c r="BK175" s="22" t="n">
        <v>1</v>
      </c>
      <c r="BL175" s="0">
        <f>テーブル2[[#This Row],[Ts]]-テーブル2[[#This Row],[Tin]]</f>
        <v/>
      </c>
      <c r="BM175" s="0">
        <f>テーブル2[[#This Row],[q_P]]*0.000001</f>
        <v/>
      </c>
      <c r="BN175" s="0">
        <f>テーブル2[[#This Row],[Tsub]]</f>
        <v/>
      </c>
      <c r="BO175" s="0">
        <f>テーブル2[[#This Row],[Fcorr]]</f>
        <v/>
      </c>
      <c r="BP175" s="0">
        <f>(テーブル2[[#This Row],[Tsub]]-40)^2</f>
        <v/>
      </c>
      <c r="BQ175" t="n">
        <v>1</v>
      </c>
      <c r="BR175" s="0" t="n">
        <v>0.1524</v>
      </c>
    </row>
    <row r="176">
      <c r="A176" s="9" t="inlineStr">
        <is>
          <t>13.01_12</t>
        </is>
      </c>
      <c r="B176" s="0" t="n">
        <v>17236893.2329209</v>
      </c>
      <c r="C176" s="22">
        <f t="array" ref="C176">TsatFromP(テーブル2[[#This Row],[P]])</f>
        <v/>
      </c>
      <c r="D176" s="0">
        <f t="array" ref="D176">RhoGFromP(テーブル2[[#This Row],[P]])</f>
        <v/>
      </c>
      <c r="E176" s="0">
        <f t="array" ref="E176">RhoFFromP(テーブル2[[#This Row],[P]])</f>
        <v/>
      </c>
      <c r="F176" s="0">
        <f t="array" ref="F176">HgFromP(テーブル2[[#This Row],[P]])</f>
        <v/>
      </c>
      <c r="G176" s="0">
        <f t="array" ref="G176">HfFromP(テーブル2[[#This Row],[P]])</f>
        <v/>
      </c>
      <c r="H176" s="0">
        <f t="array" ref="H176">MuGFromP(テーブル2[[#This Row],[P]])</f>
        <v/>
      </c>
      <c r="I176" s="0">
        <f t="array" ref="I176">MuFFromP(テーブル2[[#This Row],[P]])</f>
        <v/>
      </c>
      <c r="J176" s="0">
        <f t="array" ref="J176">KfFromP(テーブル2[[#This Row],[P]])</f>
        <v/>
      </c>
      <c r="K176" s="0">
        <f t="array" ref="K176">CpFFromP(テーブル2[[#This Row],[P]])</f>
        <v/>
      </c>
      <c r="L176" s="0">
        <f t="array" ref="L176">SigmaFromP(テーブル2[[#This Row],[P]])</f>
        <v/>
      </c>
      <c r="M176" s="0" t="n">
        <v>175</v>
      </c>
      <c r="N176" s="0" t="n">
        <v>2848.083</v>
      </c>
      <c r="O176" s="8">
        <f>PI()*Q176^2/4</f>
        <v/>
      </c>
      <c r="P176" s="8">
        <f>PI()*Q176</f>
        <v/>
      </c>
      <c r="Q176" s="8" t="n">
        <v>0.001905</v>
      </c>
      <c r="R176" s="0" t="n">
        <v>0.1524</v>
      </c>
      <c r="S176" s="15" t="n">
        <v>6278063.96484375</v>
      </c>
      <c r="T176" s="0" t="n">
        <v>474.873077811616</v>
      </c>
      <c r="U176" s="37">
        <f>+T176+BG176*S176*テーブル2[[#This Row],[Pw]]*R176/(N176*O176*K176)</f>
        <v/>
      </c>
      <c r="V176" s="0" t="n">
        <v>0.03</v>
      </c>
      <c r="W176" s="8">
        <f>+N176*Q176/I176</f>
        <v/>
      </c>
      <c r="X176" s="0" t="n">
        <v>0.02741748925357368</v>
      </c>
      <c r="Y176" s="0">
        <f>IF(X176&gt;0,1/X176^0.5,1)</f>
        <v/>
      </c>
      <c r="Z176" s="0">
        <f>IF(X176&gt;0,1.14-2*LOG((0.72*L176*E176)/(X176*Q176*N176^2)+9.35/(W176*X176^0.5)),0)</f>
        <v/>
      </c>
      <c r="AA176" s="0">
        <f>+Y176-Z176</f>
        <v/>
      </c>
      <c r="AB176" s="0">
        <f>32/X176*L176*V176*E176/N176^2</f>
        <v/>
      </c>
      <c r="AC176" s="0" t="n">
        <v>761.5976222336549</v>
      </c>
      <c r="AD176" s="0">
        <f>+Q176/2*AI176/I176*E176</f>
        <v/>
      </c>
      <c r="AE176" s="0">
        <f>+gettm2(AD176,AC176,AK176,AL176,テーブル2[[#This Row],[Fcorr]])</f>
        <v/>
      </c>
      <c r="AF176" s="38">
        <f>+AE176-U176</f>
        <v/>
      </c>
      <c r="AG176" s="0" t="n">
        <v>7.446823220758972e-06</v>
      </c>
      <c r="AH176" s="0">
        <f>+X176*N176^2/(8*E176)</f>
        <v/>
      </c>
      <c r="AI176" s="0">
        <f>+(AH176/E176)^0.5</f>
        <v/>
      </c>
      <c r="AJ176" s="0">
        <f>+AG176*AI176/I176*E176</f>
        <v/>
      </c>
      <c r="AK176" s="0">
        <f t="array" ref="AK176">+S176*テーブル2[[#This Row],[F_form]]/(E176*CpFromTP((テーブル2[[#This Row],[Tin]]+テーブル2[[#This Row],[Tf]])/2,テーブル2[[#This Row],[P]])*AI176)</f>
        <v/>
      </c>
      <c r="AL176" s="0">
        <f>+K176*I176/J176</f>
        <v/>
      </c>
      <c r="AM176" s="0">
        <f>+gettyp(AC176,AJ176,AK176,AL176)</f>
        <v/>
      </c>
      <c r="AN176" s="0">
        <f>+C176-AM176</f>
        <v/>
      </c>
      <c r="AO176" s="0">
        <f>+AG176-AB176</f>
        <v/>
      </c>
      <c r="AP176" s="0" t="n">
        <v>2.752233140949587</v>
      </c>
      <c r="AQ176" s="0">
        <f>2*PI()*L176*(D176+E176)/(D176*E176*AP176^2)</f>
        <v/>
      </c>
      <c r="AR176" s="0">
        <f>+AO176+AB176/2</f>
        <v/>
      </c>
      <c r="AS176" s="0">
        <f>+AR176*AI176/I176*E176</f>
        <v/>
      </c>
      <c r="AT176" s="0">
        <f>+getublp(AS176)</f>
        <v/>
      </c>
      <c r="AU176" s="0">
        <f>+AT176*AI176</f>
        <v/>
      </c>
      <c r="AV176" s="0">
        <f>+AP176-AU176</f>
        <v/>
      </c>
      <c r="AW176" s="0">
        <f>2/3*AB176/(L176/(9.8*(E176-D176)))^0.5</f>
        <v/>
      </c>
      <c r="AX176" s="0">
        <f>+(2*AQ176*9.8*(E176-D176)/(E176*AW176))^0.5</f>
        <v/>
      </c>
      <c r="AY176" s="0">
        <f>+AV176-AX176</f>
        <v/>
      </c>
      <c r="AZ176" s="0">
        <f>+F176-G176</f>
        <v/>
      </c>
      <c r="BA176" s="0">
        <f>+AQ176/AP176</f>
        <v/>
      </c>
      <c r="BB176" s="15">
        <f>+E176*AO176*AZ176/BA176</f>
        <v/>
      </c>
      <c r="BC176" s="20">
        <f>BB176-S176</f>
        <v/>
      </c>
      <c r="BD176" s="19">
        <f>+(BB176-S176)/S176*100</f>
        <v/>
      </c>
      <c r="BE176" s="15" t="n">
        <v>6056812.800000001</v>
      </c>
      <c r="BF176" s="16">
        <f>テーブル2[[#This Row],[q_P]]/テーブル2[[#This Row],[q_M]]</f>
        <v/>
      </c>
      <c r="BG176" s="0" t="n">
        <v>1</v>
      </c>
      <c r="BH176" s="0" t="n">
        <v>-0.182</v>
      </c>
      <c r="BI176" s="0" t="n">
        <v>0.046</v>
      </c>
      <c r="BJ176" s="0" t="n">
        <v>5625</v>
      </c>
      <c r="BK176" s="22" t="n">
        <v>1</v>
      </c>
      <c r="BL176" s="0">
        <f>テーブル2[[#This Row],[Ts]]-テーブル2[[#This Row],[Tin]]</f>
        <v/>
      </c>
      <c r="BM176" s="0">
        <f>テーブル2[[#This Row],[q_P]]*0.000001</f>
        <v/>
      </c>
      <c r="BN176" s="0">
        <f>テーブル2[[#This Row],[Tsub]]</f>
        <v/>
      </c>
      <c r="BO176" s="0">
        <f>テーブル2[[#This Row],[Fcorr]]</f>
        <v/>
      </c>
      <c r="BP176" s="0">
        <f>(テーブル2[[#This Row],[Tsub]]-40)^2</f>
        <v/>
      </c>
      <c r="BQ176" t="n">
        <v>1</v>
      </c>
      <c r="BR176" s="0" t="n">
        <v>0.1524</v>
      </c>
    </row>
    <row r="177">
      <c r="A177" s="9" t="inlineStr">
        <is>
          <t>14.01_12</t>
        </is>
      </c>
      <c r="B177" s="0" t="n">
        <v>17236893.2329209</v>
      </c>
      <c r="C177" s="22">
        <f t="array" ref="C177">TsatFromP(テーブル2[[#This Row],[P]])</f>
        <v/>
      </c>
      <c r="D177" s="0">
        <f t="array" ref="D177">RhoGFromP(テーブル2[[#This Row],[P]])</f>
        <v/>
      </c>
      <c r="E177" s="0">
        <f t="array" ref="E177">RhoFFromP(テーブル2[[#This Row],[P]])</f>
        <v/>
      </c>
      <c r="F177" s="0">
        <f t="array" ref="F177">HgFromP(テーブル2[[#This Row],[P]])</f>
        <v/>
      </c>
      <c r="G177" s="0">
        <f t="array" ref="G177">HfFromP(テーブル2[[#This Row],[P]])</f>
        <v/>
      </c>
      <c r="H177" s="0">
        <f t="array" ref="H177">MuGFromP(テーブル2[[#This Row],[P]])</f>
        <v/>
      </c>
      <c r="I177" s="0">
        <f t="array" ref="I177">MuFFromP(テーブル2[[#This Row],[P]])</f>
        <v/>
      </c>
      <c r="J177" s="0">
        <f t="array" ref="J177">KfFromP(テーブル2[[#This Row],[P]])</f>
        <v/>
      </c>
      <c r="K177" s="0">
        <f t="array" ref="K177">CpFFromP(テーブル2[[#This Row],[P]])</f>
        <v/>
      </c>
      <c r="L177" s="0">
        <f t="array" ref="L177">SigmaFromP(テーブル2[[#This Row],[P]])</f>
        <v/>
      </c>
      <c r="M177" s="0" t="n">
        <v>176</v>
      </c>
      <c r="N177" s="0" t="n">
        <v>2848.083</v>
      </c>
      <c r="O177" s="8">
        <f>PI()*Q177^2/4</f>
        <v/>
      </c>
      <c r="P177" s="8">
        <f>PI()*Q177</f>
        <v/>
      </c>
      <c r="Q177" s="8" t="n">
        <v>0.001905</v>
      </c>
      <c r="R177" s="0" t="n">
        <v>0.1524</v>
      </c>
      <c r="S177" s="15" t="n">
        <v>3378851.07421875</v>
      </c>
      <c r="T177" s="0" t="n">
        <v>551.548441132118</v>
      </c>
      <c r="U177" s="37">
        <f>+T177+BG177*S177*テーブル2[[#This Row],[Pw]]*R177/(N177*O177*K177)</f>
        <v/>
      </c>
      <c r="V177" s="0" t="n">
        <v>0.03</v>
      </c>
      <c r="W177" s="8">
        <f>+N177*Q177/I177</f>
        <v/>
      </c>
      <c r="X177" s="0" t="n">
        <v>0.02741748925357368</v>
      </c>
      <c r="Y177" s="0">
        <f>IF(X177&gt;0,1/X177^0.5,1)</f>
        <v/>
      </c>
      <c r="Z177" s="0">
        <f>IF(X177&gt;0,1.14-2*LOG((0.72*L177*E177)/(X177*Q177*N177^2)+9.35/(W177*X177^0.5)),0)</f>
        <v/>
      </c>
      <c r="AA177" s="0">
        <f>+Y177-Z177</f>
        <v/>
      </c>
      <c r="AB177" s="0">
        <f>32/X177*L177*V177*E177/N177^2</f>
        <v/>
      </c>
      <c r="AC177" s="0" t="n">
        <v>688.8048478882815</v>
      </c>
      <c r="AD177" s="0">
        <f>+Q177/2*AI177/I177*E177</f>
        <v/>
      </c>
      <c r="AE177" s="0">
        <f>+gettm2(AD177,AC177,AK177,AL177,テーブル2[[#This Row],[Fcorr]])</f>
        <v/>
      </c>
      <c r="AF177" s="38">
        <f>+AE177-U177</f>
        <v/>
      </c>
      <c r="AG177" s="0" t="n">
        <v>7.393110000305384e-06</v>
      </c>
      <c r="AH177" s="0">
        <f>+X177*N177^2/(8*E177)</f>
        <v/>
      </c>
      <c r="AI177" s="0">
        <f>+(AH177/E177)^0.5</f>
        <v/>
      </c>
      <c r="AJ177" s="0">
        <f>+AG177*AI177/I177*E177</f>
        <v/>
      </c>
      <c r="AK177" s="0">
        <f t="array" ref="AK177">+S177*テーブル2[[#This Row],[F_form]]/(E177*CpFromTP((テーブル2[[#This Row],[Tin]]+テーブル2[[#This Row],[Tf]])/2,テーブル2[[#This Row],[P]])*AI177)</f>
        <v/>
      </c>
      <c r="AL177" s="0">
        <f>+K177*I177/J177</f>
        <v/>
      </c>
      <c r="AM177" s="0">
        <f>+gettyp(AC177,AJ177,AK177,AL177)</f>
        <v/>
      </c>
      <c r="AN177" s="0">
        <f>+C177-AM177</f>
        <v/>
      </c>
      <c r="AO177" s="0">
        <f>+AG177-AB177</f>
        <v/>
      </c>
      <c r="AP177" s="0" t="n">
        <v>2.732784920101029</v>
      </c>
      <c r="AQ177" s="0">
        <f>2*PI()*L177*(D177+E177)/(D177*E177*AP177^2)</f>
        <v/>
      </c>
      <c r="AR177" s="0">
        <f>+AO177+AB177/2</f>
        <v/>
      </c>
      <c r="AS177" s="0">
        <f>+AR177*AI177/I177*E177</f>
        <v/>
      </c>
      <c r="AT177" s="0">
        <f>+getublp(AS177)</f>
        <v/>
      </c>
      <c r="AU177" s="0">
        <f>+AT177*AI177</f>
        <v/>
      </c>
      <c r="AV177" s="0">
        <f>+AP177-AU177</f>
        <v/>
      </c>
      <c r="AW177" s="0">
        <f>2/3*AB177/(L177/(9.8*(E177-D177)))^0.5</f>
        <v/>
      </c>
      <c r="AX177" s="0">
        <f>+(2*AQ177*9.8*(E177-D177)/(E177*AW177))^0.5</f>
        <v/>
      </c>
      <c r="AY177" s="0">
        <f>+AV177-AX177</f>
        <v/>
      </c>
      <c r="AZ177" s="0">
        <f>+F177-G177</f>
        <v/>
      </c>
      <c r="BA177" s="0">
        <f>+AQ177/AP177</f>
        <v/>
      </c>
      <c r="BB177" s="15">
        <f>+E177*AO177*AZ177/BA177</f>
        <v/>
      </c>
      <c r="BC177" s="20">
        <f>BB177-S177</f>
        <v/>
      </c>
      <c r="BD177" s="19">
        <f>+(BB177-S177)/S177*100</f>
        <v/>
      </c>
      <c r="BE177" s="15" t="n">
        <v>4195604.699999999</v>
      </c>
      <c r="BF177" s="16">
        <f>テーブル2[[#This Row],[q_P]]/テーブル2[[#This Row],[q_M]]</f>
        <v/>
      </c>
      <c r="BG177" s="0" t="n">
        <v>1</v>
      </c>
      <c r="BH177" s="0" t="n">
        <v>-0.005</v>
      </c>
      <c r="BI177" s="0" t="n">
        <v>0.046</v>
      </c>
      <c r="BJ177" s="0" t="n">
        <v>5625</v>
      </c>
      <c r="BK177" s="22" t="n">
        <v>1</v>
      </c>
      <c r="BL177" s="0">
        <f>テーブル2[[#This Row],[Ts]]-テーブル2[[#This Row],[Tin]]</f>
        <v/>
      </c>
      <c r="BM177" s="0">
        <f>テーブル2[[#This Row],[q_P]]*0.000001</f>
        <v/>
      </c>
      <c r="BN177" s="0">
        <f>テーブル2[[#This Row],[Tsub]]</f>
        <v/>
      </c>
      <c r="BO177" s="0">
        <f>テーブル2[[#This Row],[Fcorr]]</f>
        <v/>
      </c>
      <c r="BP177" s="0">
        <f>(テーブル2[[#This Row],[Tsub]]-40)^2</f>
        <v/>
      </c>
      <c r="BQ177" t="n">
        <v>1</v>
      </c>
      <c r="BR177" s="0" t="n">
        <v>0.1524</v>
      </c>
    </row>
    <row r="178">
      <c r="A178" s="9" t="inlineStr">
        <is>
          <t>15.01_12</t>
        </is>
      </c>
      <c r="B178" s="0" t="n">
        <v>17236893.2329209</v>
      </c>
      <c r="C178" s="22">
        <f t="array" ref="C178">TsatFromP(テーブル2[[#This Row],[P]])</f>
        <v/>
      </c>
      <c r="D178" s="0">
        <f t="array" ref="D178">RhoGFromP(テーブル2[[#This Row],[P]])</f>
        <v/>
      </c>
      <c r="E178" s="0">
        <f t="array" ref="E178">RhoFFromP(テーブル2[[#This Row],[P]])</f>
        <v/>
      </c>
      <c r="F178" s="0">
        <f t="array" ref="F178">HgFromP(テーブル2[[#This Row],[P]])</f>
        <v/>
      </c>
      <c r="G178" s="0">
        <f t="array" ref="G178">HfFromP(テーブル2[[#This Row],[P]])</f>
        <v/>
      </c>
      <c r="H178" s="0">
        <f t="array" ref="H178">MuGFromP(テーブル2[[#This Row],[P]])</f>
        <v/>
      </c>
      <c r="I178" s="0">
        <f t="array" ref="I178">MuFFromP(テーブル2[[#This Row],[P]])</f>
        <v/>
      </c>
      <c r="J178" s="0">
        <f t="array" ref="J178">KfFromP(テーブル2[[#This Row],[P]])</f>
        <v/>
      </c>
      <c r="K178" s="0">
        <f t="array" ref="K178">CpFFromP(テーブル2[[#This Row],[P]])</f>
        <v/>
      </c>
      <c r="L178" s="0">
        <f t="array" ref="L178">SigmaFromP(テーブル2[[#This Row],[P]])</f>
        <v/>
      </c>
      <c r="M178" s="0" t="n">
        <v>177</v>
      </c>
      <c r="N178" s="0" t="n">
        <v>2875.2076</v>
      </c>
      <c r="O178" s="8">
        <f>PI()*Q178^2/4</f>
        <v/>
      </c>
      <c r="P178" s="8">
        <f>PI()*Q178</f>
        <v/>
      </c>
      <c r="Q178" s="8" t="n">
        <v>0.001905</v>
      </c>
      <c r="R178" s="0" t="n">
        <v>0.1524</v>
      </c>
      <c r="S178" s="15" t="n">
        <v>4998843.65234375</v>
      </c>
      <c r="T178" s="0" t="n">
        <v>509.825211117234</v>
      </c>
      <c r="U178" s="37">
        <f>+T178+BG178*S178*テーブル2[[#This Row],[Pw]]*R178/(N178*O178*K178)</f>
        <v/>
      </c>
      <c r="V178" s="0" t="n">
        <v>0.03</v>
      </c>
      <c r="W178" s="8">
        <f>+N178*Q178/I178</f>
        <v/>
      </c>
      <c r="X178" s="0" t="n">
        <v>0.02731034661172054</v>
      </c>
      <c r="Y178" s="0">
        <f>IF(X178&gt;0,1/X178^0.5,1)</f>
        <v/>
      </c>
      <c r="Z178" s="0">
        <f>IF(X178&gt;0,1.14-2*LOG((0.72*L178*E178)/(X178*Q178*N178^2)+9.35/(W178*X178^0.5)),0)</f>
        <v/>
      </c>
      <c r="AA178" s="0">
        <f>+Y178-Z178</f>
        <v/>
      </c>
      <c r="AB178" s="0">
        <f>32/X178*L178*V178*E178/N178^2</f>
        <v/>
      </c>
      <c r="AC178" s="0" t="n">
        <v>727.5790742825931</v>
      </c>
      <c r="AD178" s="0">
        <f>+Q178/2*AI178/I178*E178</f>
        <v/>
      </c>
      <c r="AE178" s="0">
        <f>+gettm2(AD178,AC178,AK178,AL178,テーブル2[[#This Row],[Fcorr]])</f>
        <v/>
      </c>
      <c r="AF178" s="38">
        <f>+AE178-U178</f>
        <v/>
      </c>
      <c r="AG178" s="0" t="n">
        <v>7.313238447677363e-06</v>
      </c>
      <c r="AH178" s="0">
        <f>+X178*N178^2/(8*E178)</f>
        <v/>
      </c>
      <c r="AI178" s="0">
        <f>+(AH178/E178)^0.5</f>
        <v/>
      </c>
      <c r="AJ178" s="0">
        <f>+AG178*AI178/I178*E178</f>
        <v/>
      </c>
      <c r="AK178" s="0">
        <f t="array" ref="AK178">+S178*テーブル2[[#This Row],[F_form]]/(E178*CpFromTP((テーブル2[[#This Row],[Tin]]+テーブル2[[#This Row],[Tf]])/2,テーブル2[[#This Row],[P]])*AI178)</f>
        <v/>
      </c>
      <c r="AL178" s="0">
        <f>+K178*I178/J178</f>
        <v/>
      </c>
      <c r="AM178" s="0">
        <f>+gettyp(AC178,AJ178,AK178,AL178)</f>
        <v/>
      </c>
      <c r="AN178" s="0">
        <f>+C178-AM178</f>
        <v/>
      </c>
      <c r="AO178" s="0">
        <f>+AG178-AB178</f>
        <v/>
      </c>
      <c r="AP178" s="0" t="n">
        <v>2.752655304508346</v>
      </c>
      <c r="AQ178" s="0">
        <f>2*PI()*L178*(D178+E178)/(D178*E178*AP178^2)</f>
        <v/>
      </c>
      <c r="AR178" s="0">
        <f>+AO178+AB178/2</f>
        <v/>
      </c>
      <c r="AS178" s="0">
        <f>+AR178*AI178/I178*E178</f>
        <v/>
      </c>
      <c r="AT178" s="0">
        <f>+getublp(AS178)</f>
        <v/>
      </c>
      <c r="AU178" s="0">
        <f>+AT178*AI178</f>
        <v/>
      </c>
      <c r="AV178" s="0">
        <f>+AP178-AU178</f>
        <v/>
      </c>
      <c r="AW178" s="0">
        <f>2/3*AB178/(L178/(9.8*(E178-D178)))^0.5</f>
        <v/>
      </c>
      <c r="AX178" s="0">
        <f>+(2*AQ178*9.8*(E178-D178)/(E178*AW178))^0.5</f>
        <v/>
      </c>
      <c r="AY178" s="0">
        <f>+AV178-AX178</f>
        <v/>
      </c>
      <c r="AZ178" s="0">
        <f>+F178-G178</f>
        <v/>
      </c>
      <c r="BA178" s="0">
        <f>+AQ178/AP178</f>
        <v/>
      </c>
      <c r="BB178" s="15">
        <f>+E178*AO178*AZ178/BA178</f>
        <v/>
      </c>
      <c r="BC178" s="20">
        <f>BB178-S178</f>
        <v/>
      </c>
      <c r="BD178" s="19">
        <f>+(BB178-S178)/S178*100</f>
        <v/>
      </c>
      <c r="BE178" s="15" t="n">
        <v>5078889.9</v>
      </c>
      <c r="BF178" s="16">
        <f>テーブル2[[#This Row],[q_P]]/テーブル2[[#This Row],[q_M]]</f>
        <v/>
      </c>
      <c r="BG178" s="0" t="n">
        <v>1</v>
      </c>
      <c r="BH178" s="0" t="n">
        <v>-0.131</v>
      </c>
      <c r="BI178" s="0" t="n">
        <v>0.046</v>
      </c>
      <c r="BJ178" s="0" t="n">
        <v>5625</v>
      </c>
      <c r="BK178" s="22" t="n">
        <v>1</v>
      </c>
      <c r="BL178" s="0">
        <f>テーブル2[[#This Row],[Ts]]-テーブル2[[#This Row],[Tin]]</f>
        <v/>
      </c>
      <c r="BM178" s="0">
        <f>テーブル2[[#This Row],[q_P]]*0.000001</f>
        <v/>
      </c>
      <c r="BN178" s="0">
        <f>テーブル2[[#This Row],[Tsub]]</f>
        <v/>
      </c>
      <c r="BO178" s="0">
        <f>テーブル2[[#This Row],[Fcorr]]</f>
        <v/>
      </c>
      <c r="BP178" s="0">
        <f>(テーブル2[[#This Row],[Tsub]]-40)^2</f>
        <v/>
      </c>
      <c r="BQ178" t="n">
        <v>1</v>
      </c>
      <c r="BR178" s="0" t="n">
        <v>0.1524</v>
      </c>
    </row>
    <row r="179">
      <c r="A179" s="9" t="inlineStr">
        <is>
          <t>16.01_12</t>
        </is>
      </c>
      <c r="B179" s="0" t="n">
        <v>17236893.2329209</v>
      </c>
      <c r="C179" s="22">
        <f t="array" ref="C179">TsatFromP(テーブル2[[#This Row],[P]])</f>
        <v/>
      </c>
      <c r="D179" s="0">
        <f t="array" ref="D179">RhoGFromP(テーブル2[[#This Row],[P]])</f>
        <v/>
      </c>
      <c r="E179" s="0">
        <f t="array" ref="E179">RhoFFromP(テーブル2[[#This Row],[P]])</f>
        <v/>
      </c>
      <c r="F179" s="0">
        <f t="array" ref="F179">HgFromP(テーブル2[[#This Row],[P]])</f>
        <v/>
      </c>
      <c r="G179" s="0">
        <f t="array" ref="G179">HfFromP(テーブル2[[#This Row],[P]])</f>
        <v/>
      </c>
      <c r="H179" s="0">
        <f t="array" ref="H179">MuGFromP(テーブル2[[#This Row],[P]])</f>
        <v/>
      </c>
      <c r="I179" s="0">
        <f t="array" ref="I179">MuFFromP(テーブル2[[#This Row],[P]])</f>
        <v/>
      </c>
      <c r="J179" s="0">
        <f t="array" ref="J179">KfFromP(テーブル2[[#This Row],[P]])</f>
        <v/>
      </c>
      <c r="K179" s="0">
        <f t="array" ref="K179">CpFFromP(テーブル2[[#This Row],[P]])</f>
        <v/>
      </c>
      <c r="L179" s="0">
        <f t="array" ref="L179">SigmaFromP(テーブル2[[#This Row],[P]])</f>
        <v/>
      </c>
      <c r="M179" s="0" t="n">
        <v>178</v>
      </c>
      <c r="N179" s="0" t="n">
        <v>2888.7699</v>
      </c>
      <c r="O179" s="8">
        <f>PI()*Q179^2/4</f>
        <v/>
      </c>
      <c r="P179" s="8">
        <f>PI()*Q179</f>
        <v/>
      </c>
      <c r="Q179" s="8" t="n">
        <v>0.001905</v>
      </c>
      <c r="R179" s="0" t="n">
        <v>0.1524</v>
      </c>
      <c r="S179" s="15" t="n">
        <v>6305664.0625</v>
      </c>
      <c r="T179" s="0" t="n">
        <v>475.399391342301</v>
      </c>
      <c r="U179" s="37">
        <f>+T179+BG179*S179*テーブル2[[#This Row],[Pw]]*R179/(N179*O179*K179)</f>
        <v/>
      </c>
      <c r="V179" s="0" t="n">
        <v>0.03</v>
      </c>
      <c r="W179" s="8">
        <f>+N179*Q179/I179</f>
        <v/>
      </c>
      <c r="X179" s="0" t="n">
        <v>0.02725739080054396</v>
      </c>
      <c r="Y179" s="0">
        <f>IF(X179&gt;0,1/X179^0.5,1)</f>
        <v/>
      </c>
      <c r="Z179" s="0">
        <f>IF(X179&gt;0,1.14-2*LOG((0.72*L179*E179)/(X179*Q179*N179^2)+9.35/(W179*X179^0.5)),0)</f>
        <v/>
      </c>
      <c r="AA179" s="0">
        <f>+Y179-Z179</f>
        <v/>
      </c>
      <c r="AB179" s="0">
        <f>32/X179*L179*V179*E179/N179^2</f>
        <v/>
      </c>
      <c r="AC179" s="0" t="n">
        <v>760.1371531723497</v>
      </c>
      <c r="AD179" s="0">
        <f>+Q179/2*AI179/I179*E179</f>
        <v/>
      </c>
      <c r="AE179" s="0">
        <f>+gettm2(AD179,AC179,AK179,AL179,テーブル2[[#This Row],[Fcorr]])</f>
        <v/>
      </c>
      <c r="AF179" s="38">
        <f>+AE179-U179</f>
        <v/>
      </c>
      <c r="AG179" s="0" t="n">
        <v>7.283177831678565e-06</v>
      </c>
      <c r="AH179" s="0">
        <f>+X179*N179^2/(8*E179)</f>
        <v/>
      </c>
      <c r="AI179" s="0">
        <f>+(AH179/E179)^0.5</f>
        <v/>
      </c>
      <c r="AJ179" s="0">
        <f>+AG179*AI179/I179*E179</f>
        <v/>
      </c>
      <c r="AK179" s="0">
        <f t="array" ref="AK179">+S179*テーブル2[[#This Row],[F_form]]/(E179*CpFromTP((テーブル2[[#This Row],[Tin]]+テーブル2[[#This Row],[Tf]])/2,テーブル2[[#This Row],[P]])*AI179)</f>
        <v/>
      </c>
      <c r="AL179" s="0">
        <f>+K179*I179/J179</f>
        <v/>
      </c>
      <c r="AM179" s="0">
        <f>+gettyp(AC179,AJ179,AK179,AL179)</f>
        <v/>
      </c>
      <c r="AN179" s="0">
        <f>+C179-AM179</f>
        <v/>
      </c>
      <c r="AO179" s="0">
        <f>+AG179-AB179</f>
        <v/>
      </c>
      <c r="AP179" s="0" t="n">
        <v>2.766022505835688</v>
      </c>
      <c r="AQ179" s="0">
        <f>2*PI()*L179*(D179+E179)/(D179*E179*AP179^2)</f>
        <v/>
      </c>
      <c r="AR179" s="0">
        <f>+AO179+AB179/2</f>
        <v/>
      </c>
      <c r="AS179" s="0">
        <f>+AR179*AI179/I179*E179</f>
        <v/>
      </c>
      <c r="AT179" s="0">
        <f>+getublp(AS179)</f>
        <v/>
      </c>
      <c r="AU179" s="0">
        <f>+AT179*AI179</f>
        <v/>
      </c>
      <c r="AV179" s="0">
        <f>+AP179-AU179</f>
        <v/>
      </c>
      <c r="AW179" s="0">
        <f>2/3*AB179/(L179/(9.8*(E179-D179)))^0.5</f>
        <v/>
      </c>
      <c r="AX179" s="0">
        <f>+(2*AQ179*9.8*(E179-D179)/(E179*AW179))^0.5</f>
        <v/>
      </c>
      <c r="AY179" s="0">
        <f>+AV179-AX179</f>
        <v/>
      </c>
      <c r="AZ179" s="0">
        <f>+F179-G179</f>
        <v/>
      </c>
      <c r="BA179" s="0">
        <f>+AQ179/AP179</f>
        <v/>
      </c>
      <c r="BB179" s="15">
        <f>+E179*AO179*AZ179/BA179</f>
        <v/>
      </c>
      <c r="BC179" s="20">
        <f>BB179-S179</f>
        <v/>
      </c>
      <c r="BD179" s="19">
        <f>+(BB179-S179)/S179*100</f>
        <v/>
      </c>
      <c r="BE179" s="15" t="n">
        <v>5993721</v>
      </c>
      <c r="BF179" s="16">
        <f>テーブル2[[#This Row],[q_P]]/テーブル2[[#This Row],[q_M]]</f>
        <v/>
      </c>
      <c r="BG179" s="0" t="n">
        <v>1</v>
      </c>
      <c r="BH179" s="0" t="n">
        <v>-0.199</v>
      </c>
      <c r="BI179" s="0" t="n">
        <v>0.046</v>
      </c>
      <c r="BJ179" s="0" t="n">
        <v>5625</v>
      </c>
      <c r="BK179" s="22" t="n">
        <v>1</v>
      </c>
      <c r="BL179" s="0">
        <f>テーブル2[[#This Row],[Ts]]-テーブル2[[#This Row],[Tin]]</f>
        <v/>
      </c>
      <c r="BM179" s="0">
        <f>テーブル2[[#This Row],[q_P]]*0.000001</f>
        <v/>
      </c>
      <c r="BN179" s="0">
        <f>テーブル2[[#This Row],[Tsub]]</f>
        <v/>
      </c>
      <c r="BO179" s="0">
        <f>テーブル2[[#This Row],[Fcorr]]</f>
        <v/>
      </c>
      <c r="BP179" s="0">
        <f>(テーブル2[[#This Row],[Tsub]]-40)^2</f>
        <v/>
      </c>
      <c r="BQ179" t="n">
        <v>1</v>
      </c>
      <c r="BR179" s="0" t="n">
        <v>0.1524</v>
      </c>
    </row>
    <row r="180">
      <c r="A180" s="9" t="inlineStr">
        <is>
          <t>17.01_12</t>
        </is>
      </c>
      <c r="B180" s="0" t="n">
        <v>17236893.2329209</v>
      </c>
      <c r="C180" s="22">
        <f t="array" ref="C180">TsatFromP(テーブル2[[#This Row],[P]])</f>
        <v/>
      </c>
      <c r="D180" s="0">
        <f t="array" ref="D180">RhoGFromP(テーブル2[[#This Row],[P]])</f>
        <v/>
      </c>
      <c r="E180" s="0">
        <f t="array" ref="E180">RhoFFromP(テーブル2[[#This Row],[P]])</f>
        <v/>
      </c>
      <c r="F180" s="0">
        <f t="array" ref="F180">HgFromP(テーブル2[[#This Row],[P]])</f>
        <v/>
      </c>
      <c r="G180" s="0">
        <f t="array" ref="G180">HfFromP(テーブル2[[#This Row],[P]])</f>
        <v/>
      </c>
      <c r="H180" s="0">
        <f t="array" ref="H180">MuGFromP(テーブル2[[#This Row],[P]])</f>
        <v/>
      </c>
      <c r="I180" s="0">
        <f t="array" ref="I180">MuFFromP(テーブル2[[#This Row],[P]])</f>
        <v/>
      </c>
      <c r="J180" s="0">
        <f t="array" ref="J180">KfFromP(テーブル2[[#This Row],[P]])</f>
        <v/>
      </c>
      <c r="K180" s="0">
        <f t="array" ref="K180">CpFFromP(テーブル2[[#This Row],[P]])</f>
        <v/>
      </c>
      <c r="L180" s="0">
        <f t="array" ref="L180">SigmaFromP(テーブル2[[#This Row],[P]])</f>
        <v/>
      </c>
      <c r="M180" s="0" t="n">
        <v>179</v>
      </c>
      <c r="N180" s="0" t="n">
        <v>2888.7699</v>
      </c>
      <c r="O180" s="8">
        <f>PI()*Q180^2/4</f>
        <v/>
      </c>
      <c r="P180" s="8">
        <f>PI()*Q180</f>
        <v/>
      </c>
      <c r="Q180" s="8" t="n">
        <v>0.001905</v>
      </c>
      <c r="R180" s="0" t="n">
        <v>0.1524</v>
      </c>
      <c r="S180" s="15" t="n">
        <v>5011364.74609375</v>
      </c>
      <c r="T180" s="0" t="n">
        <v>509.825211117234</v>
      </c>
      <c r="U180" s="37">
        <f>+T180+BG180*S180*テーブル2[[#This Row],[Pw]]*R180/(N180*O180*K180)</f>
        <v/>
      </c>
      <c r="V180" s="0" t="n">
        <v>0.03</v>
      </c>
      <c r="W180" s="8">
        <f>+N180*Q180/I180</f>
        <v/>
      </c>
      <c r="X180" s="0" t="n">
        <v>0.02725739080054396</v>
      </c>
      <c r="Y180" s="0">
        <f>IF(X180&gt;0,1/X180^0.5,1)</f>
        <v/>
      </c>
      <c r="Z180" s="0">
        <f>IF(X180&gt;0,1.14-2*LOG((0.72*L180*E180)/(X180*Q180*N180^2)+9.35/(W180*X180^0.5)),0)</f>
        <v/>
      </c>
      <c r="AA180" s="0">
        <f>+Y180-Z180</f>
        <v/>
      </c>
      <c r="AB180" s="0">
        <f>32/X180*L180*V180*E180/N180^2</f>
        <v/>
      </c>
      <c r="AC180" s="0" t="n">
        <v>727.3408116852244</v>
      </c>
      <c r="AD180" s="0">
        <f>+Q180/2*AI180/I180*E180</f>
        <v/>
      </c>
      <c r="AE180" s="0">
        <f>+gettm2(AD180,AC180,AK180,AL180,テーブル2[[#This Row],[Fcorr]])</f>
        <v/>
      </c>
      <c r="AF180" s="38">
        <f>+AE180-U180</f>
        <v/>
      </c>
      <c r="AG180" s="0" t="n">
        <v>7.258991637425843e-06</v>
      </c>
      <c r="AH180" s="0">
        <f>+X180*N180^2/(8*E180)</f>
        <v/>
      </c>
      <c r="AI180" s="0">
        <f>+(AH180/E180)^0.5</f>
        <v/>
      </c>
      <c r="AJ180" s="0">
        <f>+AG180*AI180/I180*E180</f>
        <v/>
      </c>
      <c r="AK180" s="0">
        <f t="array" ref="AK180">+S180*テーブル2[[#This Row],[F_form]]/(E180*CpFromTP((テーブル2[[#This Row],[Tin]]+テーブル2[[#This Row],[Tf]])/2,テーブル2[[#This Row],[P]])*AI180)</f>
        <v/>
      </c>
      <c r="AL180" s="0">
        <f>+K180*I180/J180</f>
        <v/>
      </c>
      <c r="AM180" s="0">
        <f>+gettyp(AC180,AJ180,AK180,AL180)</f>
        <v/>
      </c>
      <c r="AN180" s="0">
        <f>+C180-AM180</f>
        <v/>
      </c>
      <c r="AO180" s="0">
        <f>+AG180-AB180</f>
        <v/>
      </c>
      <c r="AP180" s="0" t="n">
        <v>2.757002658031952</v>
      </c>
      <c r="AQ180" s="0">
        <f>2*PI()*L180*(D180+E180)/(D180*E180*AP180^2)</f>
        <v/>
      </c>
      <c r="AR180" s="0">
        <f>+AO180+AB180/2</f>
        <v/>
      </c>
      <c r="AS180" s="0">
        <f>+AR180*AI180/I180*E180</f>
        <v/>
      </c>
      <c r="AT180" s="0">
        <f>+getublp(AS180)</f>
        <v/>
      </c>
      <c r="AU180" s="0">
        <f>+AT180*AI180</f>
        <v/>
      </c>
      <c r="AV180" s="0">
        <f>+AP180-AU180</f>
        <v/>
      </c>
      <c r="AW180" s="0">
        <f>2/3*AB180/(L180/(9.8*(E180-D180)))^0.5</f>
        <v/>
      </c>
      <c r="AX180" s="0">
        <f>+(2*AQ180*9.8*(E180-D180)/(E180*AW180))^0.5</f>
        <v/>
      </c>
      <c r="AY180" s="0">
        <f>+AV180-AX180</f>
        <v/>
      </c>
      <c r="AZ180" s="0">
        <f>+F180-G180</f>
        <v/>
      </c>
      <c r="BA180" s="0">
        <f>+AQ180/AP180</f>
        <v/>
      </c>
      <c r="BB180" s="15">
        <f>+E180*AO180*AZ180/BA180</f>
        <v/>
      </c>
      <c r="BC180" s="20">
        <f>BB180-S180</f>
        <v/>
      </c>
      <c r="BD180" s="19">
        <f>+(BB180-S180)/S180*100</f>
        <v/>
      </c>
      <c r="BE180" s="15" t="n">
        <v>5078889.9</v>
      </c>
      <c r="BF180" s="16">
        <f>テーブル2[[#This Row],[q_P]]/テーブル2[[#This Row],[q_M]]</f>
        <v/>
      </c>
      <c r="BG180" s="0" t="n">
        <v>1</v>
      </c>
      <c r="BH180" s="0" t="n">
        <v>-0.135</v>
      </c>
      <c r="BI180" s="0" t="n">
        <v>0.046</v>
      </c>
      <c r="BJ180" s="0" t="n">
        <v>5625</v>
      </c>
      <c r="BK180" s="22" t="n">
        <v>1</v>
      </c>
      <c r="BL180" s="0">
        <f>テーブル2[[#This Row],[Ts]]-テーブル2[[#This Row],[Tin]]</f>
        <v/>
      </c>
      <c r="BM180" s="0">
        <f>テーブル2[[#This Row],[q_P]]*0.000001</f>
        <v/>
      </c>
      <c r="BN180" s="0">
        <f>テーブル2[[#This Row],[Tsub]]</f>
        <v/>
      </c>
      <c r="BO180" s="0">
        <f>テーブル2[[#This Row],[Fcorr]]</f>
        <v/>
      </c>
      <c r="BP180" s="0">
        <f>(テーブル2[[#This Row],[Tsub]]-40)^2</f>
        <v/>
      </c>
      <c r="BQ180" t="n">
        <v>1</v>
      </c>
      <c r="BR180" s="0" t="n">
        <v>0.1524</v>
      </c>
    </row>
    <row r="181">
      <c r="A181" s="9" t="inlineStr">
        <is>
          <t>18.01_12</t>
        </is>
      </c>
      <c r="B181" s="0" t="n">
        <v>17236893.2329209</v>
      </c>
      <c r="C181" s="22">
        <f t="array" ref="C181">TsatFromP(テーブル2[[#This Row],[P]])</f>
        <v/>
      </c>
      <c r="D181" s="0">
        <f t="array" ref="D181">RhoGFromP(テーブル2[[#This Row],[P]])</f>
        <v/>
      </c>
      <c r="E181" s="0">
        <f t="array" ref="E181">RhoFFromP(テーブル2[[#This Row],[P]])</f>
        <v/>
      </c>
      <c r="F181" s="0">
        <f t="array" ref="F181">HgFromP(テーブル2[[#This Row],[P]])</f>
        <v/>
      </c>
      <c r="G181" s="0">
        <f t="array" ref="G181">HfFromP(テーブル2[[#This Row],[P]])</f>
        <v/>
      </c>
      <c r="H181" s="0">
        <f t="array" ref="H181">MuGFromP(テーブル2[[#This Row],[P]])</f>
        <v/>
      </c>
      <c r="I181" s="0">
        <f t="array" ref="I181">MuFFromP(テーブル2[[#This Row],[P]])</f>
        <v/>
      </c>
      <c r="J181" s="0">
        <f t="array" ref="J181">KfFromP(テーブル2[[#This Row],[P]])</f>
        <v/>
      </c>
      <c r="K181" s="0">
        <f t="array" ref="K181">CpFFromP(テーブル2[[#This Row],[P]])</f>
        <v/>
      </c>
      <c r="L181" s="0">
        <f t="array" ref="L181">SigmaFromP(テーブル2[[#This Row],[P]])</f>
        <v/>
      </c>
      <c r="M181" s="0" t="n">
        <v>180</v>
      </c>
      <c r="N181" s="0" t="n">
        <v>3444.8242</v>
      </c>
      <c r="O181" s="8">
        <f>PI()*Q181^2/4</f>
        <v/>
      </c>
      <c r="P181" s="8">
        <f>PI()*Q181</f>
        <v/>
      </c>
      <c r="Q181" s="8" t="n">
        <v>0.001905</v>
      </c>
      <c r="R181" s="0" t="n">
        <v>0.1524</v>
      </c>
      <c r="S181" s="15" t="n">
        <v>3631959.86328125</v>
      </c>
      <c r="T181" s="0" t="n">
        <v>554.365097682416</v>
      </c>
      <c r="U181" s="37">
        <f>+T181+BG181*S181*テーブル2[[#This Row],[Pw]]*R181/(N181*O181*K181)</f>
        <v/>
      </c>
      <c r="V181" s="0" t="n">
        <v>0.03</v>
      </c>
      <c r="W181" s="8">
        <f>+N181*Q181/I181</f>
        <v/>
      </c>
      <c r="X181" s="0" t="n">
        <v>0.02538420862457146</v>
      </c>
      <c r="Y181" s="0">
        <f>IF(X181&gt;0,1/X181^0.5,1)</f>
        <v/>
      </c>
      <c r="Z181" s="0">
        <f>IF(X181&gt;0,1.14-2*LOG((0.72*L181*E181)/(X181*Q181*N181^2)+9.35/(W181*X181^0.5)),0)</f>
        <v/>
      </c>
      <c r="AA181" s="0">
        <f>+Y181-Z181</f>
        <v/>
      </c>
      <c r="AB181" s="0">
        <f>32/X181*L181*V181*E181/N181^2</f>
        <v/>
      </c>
      <c r="AC181" s="0" t="n">
        <v>680.9236807668401</v>
      </c>
      <c r="AD181" s="0">
        <f>+Q181/2*AI181/I181*E181</f>
        <v/>
      </c>
      <c r="AE181" s="0">
        <f>+gettm2(AD181,AC181,AK181,AL181,テーブル2[[#This Row],[Fcorr]])</f>
        <v/>
      </c>
      <c r="AF181" s="38">
        <f>+AE181-U181</f>
        <v/>
      </c>
      <c r="AG181" s="0" t="n">
        <v>5.467894882240411e-06</v>
      </c>
      <c r="AH181" s="0">
        <f>+X181*N181^2/(8*E181)</f>
        <v/>
      </c>
      <c r="AI181" s="0">
        <f>+(AH181/E181)^0.5</f>
        <v/>
      </c>
      <c r="AJ181" s="0">
        <f>+AG181*AI181/I181*E181</f>
        <v/>
      </c>
      <c r="AK181" s="0">
        <f t="array" ref="AK181">+S181*テーブル2[[#This Row],[F_form]]/(E181*CpFromTP((テーブル2[[#This Row],[Tin]]+テーブル2[[#This Row],[Tf]])/2,テーブル2[[#This Row],[P]])*AI181)</f>
        <v/>
      </c>
      <c r="AL181" s="0">
        <f>+K181*I181/J181</f>
        <v/>
      </c>
      <c r="AM181" s="0">
        <f>+gettyp(AC181,AJ181,AK181,AL181)</f>
        <v/>
      </c>
      <c r="AN181" s="0">
        <f>+C181-AM181</f>
        <v/>
      </c>
      <c r="AO181" s="0">
        <f>+AG181-AB181</f>
        <v/>
      </c>
      <c r="AP181" s="0" t="n">
        <v>2.905818109617612</v>
      </c>
      <c r="AQ181" s="0">
        <f>2*PI()*L181*(D181+E181)/(D181*E181*AP181^2)</f>
        <v/>
      </c>
      <c r="AR181" s="0">
        <f>+AO181+AB181/2</f>
        <v/>
      </c>
      <c r="AS181" s="0">
        <f>+AR181*AI181/I181*E181</f>
        <v/>
      </c>
      <c r="AT181" s="0">
        <f>+getublp(AS181)</f>
        <v/>
      </c>
      <c r="AU181" s="0">
        <f>+AT181*AI181</f>
        <v/>
      </c>
      <c r="AV181" s="0">
        <f>+AP181-AU181</f>
        <v/>
      </c>
      <c r="AW181" s="0">
        <f>2/3*AB181/(L181/(9.8*(E181-D181)))^0.5</f>
        <v/>
      </c>
      <c r="AX181" s="0">
        <f>+(2*AQ181*9.8*(E181-D181)/(E181*AW181))^0.5</f>
        <v/>
      </c>
      <c r="AY181" s="0">
        <f>+AV181-AX181</f>
        <v/>
      </c>
      <c r="AZ181" s="0">
        <f>+F181-G181</f>
        <v/>
      </c>
      <c r="BA181" s="0">
        <f>+AQ181/AP181</f>
        <v/>
      </c>
      <c r="BB181" s="15">
        <f>+E181*AO181*AZ181/BA181</f>
        <v/>
      </c>
      <c r="BC181" s="20">
        <f>BB181-S181</f>
        <v/>
      </c>
      <c r="BD181" s="19">
        <f>+(BB181-S181)/S181*100</f>
        <v/>
      </c>
      <c r="BE181" s="15" t="n">
        <v>4921160.399999999</v>
      </c>
      <c r="BF181" s="16">
        <f>テーブル2[[#This Row],[q_P]]/テーブル2[[#This Row],[q_M]]</f>
        <v/>
      </c>
      <c r="BG181" s="0" t="n">
        <v>1</v>
      </c>
      <c r="BH181" s="0" t="n">
        <v>-0.005</v>
      </c>
      <c r="BI181" s="0" t="n">
        <v>0.046</v>
      </c>
      <c r="BJ181" s="0" t="n">
        <v>5625</v>
      </c>
      <c r="BK181" s="22" t="n">
        <v>1</v>
      </c>
      <c r="BL181" s="0">
        <f>テーブル2[[#This Row],[Ts]]-テーブル2[[#This Row],[Tin]]</f>
        <v/>
      </c>
      <c r="BM181" s="0">
        <f>テーブル2[[#This Row],[q_P]]*0.000001</f>
        <v/>
      </c>
      <c r="BN181" s="0">
        <f>テーブル2[[#This Row],[Tsub]]</f>
        <v/>
      </c>
      <c r="BO181" s="0">
        <f>テーブル2[[#This Row],[Fcorr]]</f>
        <v/>
      </c>
      <c r="BP181" s="0">
        <f>(テーブル2[[#This Row],[Tsub]]-40)^2</f>
        <v/>
      </c>
      <c r="BQ181" t="n">
        <v>1</v>
      </c>
      <c r="BR181" s="0" t="n">
        <v>0.1524</v>
      </c>
    </row>
    <row r="182">
      <c r="A182" s="9" t="inlineStr">
        <is>
          <t>19.01_12</t>
        </is>
      </c>
      <c r="B182" s="0" t="n">
        <v>17236893.2329209</v>
      </c>
      <c r="C182" s="22">
        <f t="array" ref="C182">TsatFromP(テーブル2[[#This Row],[P]])</f>
        <v/>
      </c>
      <c r="D182" s="0">
        <f t="array" ref="D182">RhoGFromP(テーブル2[[#This Row],[P]])</f>
        <v/>
      </c>
      <c r="E182" s="0">
        <f t="array" ref="E182">RhoFFromP(テーブル2[[#This Row],[P]])</f>
        <v/>
      </c>
      <c r="F182" s="0">
        <f t="array" ref="F182">HgFromP(テーブル2[[#This Row],[P]])</f>
        <v/>
      </c>
      <c r="G182" s="0">
        <f t="array" ref="G182">HfFromP(テーブル2[[#This Row],[P]])</f>
        <v/>
      </c>
      <c r="H182" s="0">
        <f t="array" ref="H182">MuGFromP(テーブル2[[#This Row],[P]])</f>
        <v/>
      </c>
      <c r="I182" s="0">
        <f t="array" ref="I182">MuFFromP(テーブル2[[#This Row],[P]])</f>
        <v/>
      </c>
      <c r="J182" s="0">
        <f t="array" ref="J182">KfFromP(テーブル2[[#This Row],[P]])</f>
        <v/>
      </c>
      <c r="K182" s="0">
        <f t="array" ref="K182">CpFFromP(テーブル2[[#This Row],[P]])</f>
        <v/>
      </c>
      <c r="L182" s="0">
        <f t="array" ref="L182">SigmaFromP(テーブル2[[#This Row],[P]])</f>
        <v/>
      </c>
      <c r="M182" s="0" t="n">
        <v>181</v>
      </c>
      <c r="N182" s="0" t="n">
        <v>3580.4472</v>
      </c>
      <c r="O182" s="8">
        <f>PI()*Q182^2/4</f>
        <v/>
      </c>
      <c r="P182" s="8">
        <f>PI()*Q182</f>
        <v/>
      </c>
      <c r="Q182" s="8" t="n">
        <v>0.001905</v>
      </c>
      <c r="R182" s="0" t="n">
        <v>0.1524</v>
      </c>
      <c r="S182" s="15" t="n">
        <v>4221380.37109375</v>
      </c>
      <c r="T182" s="0" t="n">
        <v>542.6838536885469</v>
      </c>
      <c r="U182" s="37">
        <f>+T182+BG182*S182*テーブル2[[#This Row],[Pw]]*R182/(N182*O182*K182)</f>
        <v/>
      </c>
      <c r="V182" s="0" t="n">
        <v>0.03</v>
      </c>
      <c r="W182" s="8">
        <f>+N182*Q182/I182</f>
        <v/>
      </c>
      <c r="X182" s="0" t="n">
        <v>0.02499992991697146</v>
      </c>
      <c r="Y182" s="0">
        <f>IF(X182&gt;0,1/X182^0.5,1)</f>
        <v/>
      </c>
      <c r="Z182" s="0">
        <f>IF(X182&gt;0,1.14-2*LOG((0.72*L182*E182)/(X182*Q182*N182^2)+9.35/(W182*X182^0.5)),0)</f>
        <v/>
      </c>
      <c r="AA182" s="0">
        <f>+Y182-Z182</f>
        <v/>
      </c>
      <c r="AB182" s="0">
        <f>32/X182*L182*V182*E182/N182^2</f>
        <v/>
      </c>
      <c r="AC182" s="0" t="n">
        <v>689.4761393360692</v>
      </c>
      <c r="AD182" s="0">
        <f>+Q182/2*AI182/I182*E182</f>
        <v/>
      </c>
      <c r="AE182" s="0">
        <f>+gettm2(AD182,AC182,AK182,AL182,テーブル2[[#This Row],[Fcorr]])</f>
        <v/>
      </c>
      <c r="AF182" s="38">
        <f>+AE182-U182</f>
        <v/>
      </c>
      <c r="AG182" s="0" t="n">
        <v>5.150189042270915e-06</v>
      </c>
      <c r="AH182" s="0">
        <f>+X182*N182^2/(8*E182)</f>
        <v/>
      </c>
      <c r="AI182" s="0">
        <f>+(AH182/E182)^0.5</f>
        <v/>
      </c>
      <c r="AJ182" s="0">
        <f>+AG182*AI182/I182*E182</f>
        <v/>
      </c>
      <c r="AK182" s="0">
        <f t="array" ref="AK182">+S182*テーブル2[[#This Row],[F_form]]/(E182*CpFromTP((テーブル2[[#This Row],[Tin]]+テーブル2[[#This Row],[Tf]])/2,テーブル2[[#This Row],[P]])*AI182)</f>
        <v/>
      </c>
      <c r="AL182" s="0">
        <f>+K182*I182/J182</f>
        <v/>
      </c>
      <c r="AM182" s="0">
        <f>+gettyp(AC182,AJ182,AK182,AL182)</f>
        <v/>
      </c>
      <c r="AN182" s="0">
        <f>+C182-AM182</f>
        <v/>
      </c>
      <c r="AO182" s="0">
        <f>+AG182-AB182</f>
        <v/>
      </c>
      <c r="AP182" s="0" t="n">
        <v>2.945462621087445</v>
      </c>
      <c r="AQ182" s="0">
        <f>2*PI()*L182*(D182+E182)/(D182*E182*AP182^2)</f>
        <v/>
      </c>
      <c r="AR182" s="0">
        <f>+AO182+AB182/2</f>
        <v/>
      </c>
      <c r="AS182" s="0">
        <f>+AR182*AI182/I182*E182</f>
        <v/>
      </c>
      <c r="AT182" s="0">
        <f>+getublp(AS182)</f>
        <v/>
      </c>
      <c r="AU182" s="0">
        <f>+AT182*AI182</f>
        <v/>
      </c>
      <c r="AV182" s="0">
        <f>+AP182-AU182</f>
        <v/>
      </c>
      <c r="AW182" s="0">
        <f>2/3*AB182/(L182/(9.8*(E182-D182)))^0.5</f>
        <v/>
      </c>
      <c r="AX182" s="0">
        <f>+(2*AQ182*9.8*(E182-D182)/(E182*AW182))^0.5</f>
        <v/>
      </c>
      <c r="AY182" s="0">
        <f>+AV182-AX182</f>
        <v/>
      </c>
      <c r="AZ182" s="0">
        <f>+F182-G182</f>
        <v/>
      </c>
      <c r="BA182" s="0">
        <f>+AQ182/AP182</f>
        <v/>
      </c>
      <c r="BB182" s="15">
        <f>+E182*AO182*AZ182/BA182</f>
        <v/>
      </c>
      <c r="BC182" s="20">
        <f>BB182-S182</f>
        <v/>
      </c>
      <c r="BD182" s="19">
        <f>+(BB182-S182)/S182*100</f>
        <v/>
      </c>
      <c r="BE182" s="15" t="n">
        <v>5394348.899999999</v>
      </c>
      <c r="BF182" s="16">
        <f>テーブル2[[#This Row],[q_P]]/テーブル2[[#This Row],[q_M]]</f>
        <v/>
      </c>
      <c r="BG182" s="0" t="n">
        <v>1</v>
      </c>
      <c r="BH182" s="0" t="n">
        <v>-0.045</v>
      </c>
      <c r="BI182" s="0" t="n">
        <v>0.046</v>
      </c>
      <c r="BJ182" s="0" t="n">
        <v>5625</v>
      </c>
      <c r="BK182" s="22" t="n">
        <v>1</v>
      </c>
      <c r="BL182" s="0">
        <f>テーブル2[[#This Row],[Ts]]-テーブル2[[#This Row],[Tin]]</f>
        <v/>
      </c>
      <c r="BM182" s="0">
        <f>テーブル2[[#This Row],[q_P]]*0.000001</f>
        <v/>
      </c>
      <c r="BN182" s="0">
        <f>テーブル2[[#This Row],[Tsub]]</f>
        <v/>
      </c>
      <c r="BO182" s="0">
        <f>テーブル2[[#This Row],[Fcorr]]</f>
        <v/>
      </c>
      <c r="BP182" s="0">
        <f>(テーブル2[[#This Row],[Tsub]]-40)^2</f>
        <v/>
      </c>
      <c r="BQ182" t="n">
        <v>1</v>
      </c>
      <c r="BR182" s="0" t="n">
        <v>0.1524</v>
      </c>
    </row>
    <row r="183">
      <c r="A183" s="9" t="inlineStr">
        <is>
          <t>20.01_12</t>
        </is>
      </c>
      <c r="B183" s="0" t="n">
        <v>17236893.2329209</v>
      </c>
      <c r="C183" s="22">
        <f t="array" ref="C183">TsatFromP(テーブル2[[#This Row],[P]])</f>
        <v/>
      </c>
      <c r="D183" s="0">
        <f t="array" ref="D183">RhoGFromP(テーブル2[[#This Row],[P]])</f>
        <v/>
      </c>
      <c r="E183" s="0">
        <f t="array" ref="E183">RhoFFromP(テーブル2[[#This Row],[P]])</f>
        <v/>
      </c>
      <c r="F183" s="0">
        <f t="array" ref="F183">HgFromP(テーブル2[[#This Row],[P]])</f>
        <v/>
      </c>
      <c r="G183" s="0">
        <f t="array" ref="G183">HfFromP(テーブル2[[#This Row],[P]])</f>
        <v/>
      </c>
      <c r="H183" s="0">
        <f t="array" ref="H183">MuGFromP(テーブル2[[#This Row],[P]])</f>
        <v/>
      </c>
      <c r="I183" s="0">
        <f t="array" ref="I183">MuFFromP(テーブル2[[#This Row],[P]])</f>
        <v/>
      </c>
      <c r="J183" s="0">
        <f t="array" ref="J183">KfFromP(テーブル2[[#This Row],[P]])</f>
        <v/>
      </c>
      <c r="K183" s="0">
        <f t="array" ref="K183">CpFFromP(テーブル2[[#This Row],[P]])</f>
        <v/>
      </c>
      <c r="L183" s="0">
        <f t="array" ref="L183">SigmaFromP(テーブル2[[#This Row],[P]])</f>
        <v/>
      </c>
      <c r="M183" s="0" t="n">
        <v>182</v>
      </c>
      <c r="N183" s="0" t="n">
        <v>3607.5718</v>
      </c>
      <c r="O183" s="8">
        <f>PI()*Q183^2/4</f>
        <v/>
      </c>
      <c r="P183" s="8">
        <f>PI()*Q183</f>
        <v/>
      </c>
      <c r="Q183" s="8" t="n">
        <v>0.001905</v>
      </c>
      <c r="R183" s="0" t="n">
        <v>0.1524</v>
      </c>
      <c r="S183" s="15" t="n">
        <v>4115340.52734375</v>
      </c>
      <c r="T183" s="0" t="n">
        <v>545.519798806095</v>
      </c>
      <c r="U183" s="37">
        <f>+T183+BG183*S183*テーブル2[[#This Row],[Pw]]*R183/(N183*O183*K183)</f>
        <v/>
      </c>
      <c r="V183" s="0" t="n">
        <v>0.03</v>
      </c>
      <c r="W183" s="8">
        <f>+N183*Q183/I183</f>
        <v/>
      </c>
      <c r="X183" s="0" t="n">
        <v>0.02492588120939414</v>
      </c>
      <c r="Y183" s="0">
        <f>IF(X183&gt;0,1/X183^0.5,1)</f>
        <v/>
      </c>
      <c r="Z183" s="0">
        <f>IF(X183&gt;0,1.14-2*LOG((0.72*L183*E183)/(X183*Q183*N183^2)+9.35/(W183*X183^0.5)),0)</f>
        <v/>
      </c>
      <c r="AA183" s="0">
        <f>+Y183-Z183</f>
        <v/>
      </c>
      <c r="AB183" s="0">
        <f>32/X183*L183*V183*E183/N183^2</f>
        <v/>
      </c>
      <c r="AC183" s="0" t="n">
        <v>686.9043953151794</v>
      </c>
      <c r="AD183" s="0">
        <f>+Q183/2*AI183/I183*E183</f>
        <v/>
      </c>
      <c r="AE183" s="0">
        <f>+gettm2(AD183,AC183,AK183,AL183,テーブル2[[#This Row],[Fcorr]])</f>
        <v/>
      </c>
      <c r="AF183" s="38">
        <f>+AE183-U183</f>
        <v/>
      </c>
      <c r="AG183" s="0" t="n">
        <v>5.086867483185845e-06</v>
      </c>
      <c r="AH183" s="0">
        <f>+X183*N183^2/(8*E183)</f>
        <v/>
      </c>
      <c r="AI183" s="0">
        <f>+(AH183/E183)^0.5</f>
        <v/>
      </c>
      <c r="AJ183" s="0">
        <f>+AG183*AI183/I183*E183</f>
        <v/>
      </c>
      <c r="AK183" s="0">
        <f t="array" ref="AK183">+S183*テーブル2[[#This Row],[F_form]]/(E183*CpFromTP((テーブル2[[#This Row],[Tin]]+テーブル2[[#This Row],[Tf]])/2,テーブル2[[#This Row],[P]])*AI183)</f>
        <v/>
      </c>
      <c r="AL183" s="0">
        <f>+K183*I183/J183</f>
        <v/>
      </c>
      <c r="AM183" s="0">
        <f>+gettyp(AC183,AJ183,AK183,AL183)</f>
        <v/>
      </c>
      <c r="AN183" s="0">
        <f>+C183-AM183</f>
        <v/>
      </c>
      <c r="AO183" s="0">
        <f>+AG183-AB183</f>
        <v/>
      </c>
      <c r="AP183" s="0" t="n">
        <v>2.951067763824688</v>
      </c>
      <c r="AQ183" s="0">
        <f>2*PI()*L183*(D183+E183)/(D183*E183*AP183^2)</f>
        <v/>
      </c>
      <c r="AR183" s="0">
        <f>+AO183+AB183/2</f>
        <v/>
      </c>
      <c r="AS183" s="0">
        <f>+AR183*AI183/I183*E183</f>
        <v/>
      </c>
      <c r="AT183" s="0">
        <f>+getublp(AS183)</f>
        <v/>
      </c>
      <c r="AU183" s="0">
        <f>+AT183*AI183</f>
        <v/>
      </c>
      <c r="AV183" s="0">
        <f>+AP183-AU183</f>
        <v/>
      </c>
      <c r="AW183" s="0">
        <f>2/3*AB183/(L183/(9.8*(E183-D183)))^0.5</f>
        <v/>
      </c>
      <c r="AX183" s="0">
        <f>+(2*AQ183*9.8*(E183-D183)/(E183*AW183))^0.5</f>
        <v/>
      </c>
      <c r="AY183" s="0">
        <f>+AV183-AX183</f>
        <v/>
      </c>
      <c r="AZ183" s="0">
        <f>+F183-G183</f>
        <v/>
      </c>
      <c r="BA183" s="0">
        <f>+AQ183/AP183</f>
        <v/>
      </c>
      <c r="BB183" s="15">
        <f>+E183*AO183*AZ183/BA183</f>
        <v/>
      </c>
      <c r="BC183" s="20">
        <f>BB183-S183</f>
        <v/>
      </c>
      <c r="BD183" s="19">
        <f>+(BB183-S183)/S183*100</f>
        <v/>
      </c>
      <c r="BE183" s="15" t="n">
        <v>4984252.2</v>
      </c>
      <c r="BF183" s="16">
        <f>テーブル2[[#This Row],[q_P]]/テーブル2[[#This Row],[q_M]]</f>
        <v/>
      </c>
      <c r="BG183" s="0" t="n">
        <v>1</v>
      </c>
      <c r="BH183" s="0" t="n">
        <v>-0.076</v>
      </c>
      <c r="BI183" s="0" t="n">
        <v>0.046</v>
      </c>
      <c r="BJ183" s="0" t="n">
        <v>5625</v>
      </c>
      <c r="BK183" s="22" t="n">
        <v>1</v>
      </c>
      <c r="BL183" s="0">
        <f>テーブル2[[#This Row],[Ts]]-テーブル2[[#This Row],[Tin]]</f>
        <v/>
      </c>
      <c r="BM183" s="0">
        <f>テーブル2[[#This Row],[q_P]]*0.000001</f>
        <v/>
      </c>
      <c r="BN183" s="0">
        <f>テーブル2[[#This Row],[Tsub]]</f>
        <v/>
      </c>
      <c r="BO183" s="0">
        <f>テーブル2[[#This Row],[Fcorr]]</f>
        <v/>
      </c>
      <c r="BP183" s="0">
        <f>(テーブル2[[#This Row],[Tsub]]-40)^2</f>
        <v/>
      </c>
      <c r="BQ183" t="n">
        <v>1</v>
      </c>
      <c r="BR183" s="0" t="n">
        <v>0.1524</v>
      </c>
    </row>
    <row r="184">
      <c r="A184" s="9" t="inlineStr">
        <is>
          <t>21.01_12</t>
        </is>
      </c>
      <c r="B184" s="0" t="n">
        <v>17236893.2329209</v>
      </c>
      <c r="C184" s="22">
        <f t="array" ref="C184">TsatFromP(テーブル2[[#This Row],[P]])</f>
        <v/>
      </c>
      <c r="D184" s="0">
        <f t="array" ref="D184">RhoGFromP(テーブル2[[#This Row],[P]])</f>
        <v/>
      </c>
      <c r="E184" s="0">
        <f t="array" ref="E184">RhoFFromP(テーブル2[[#This Row],[P]])</f>
        <v/>
      </c>
      <c r="F184" s="0">
        <f t="array" ref="F184">HgFromP(テーブル2[[#This Row],[P]])</f>
        <v/>
      </c>
      <c r="G184" s="0">
        <f t="array" ref="G184">HfFromP(テーブル2[[#This Row],[P]])</f>
        <v/>
      </c>
      <c r="H184" s="0">
        <f t="array" ref="H184">MuGFromP(テーブル2[[#This Row],[P]])</f>
        <v/>
      </c>
      <c r="I184" s="0">
        <f t="array" ref="I184">MuFFromP(テーブル2[[#This Row],[P]])</f>
        <v/>
      </c>
      <c r="J184" s="0">
        <f t="array" ref="J184">KfFromP(テーブル2[[#This Row],[P]])</f>
        <v/>
      </c>
      <c r="K184" s="0">
        <f t="array" ref="K184">CpFFromP(テーブル2[[#This Row],[P]])</f>
        <v/>
      </c>
      <c r="L184" s="0">
        <f t="array" ref="L184">SigmaFromP(テーブル2[[#This Row],[P]])</f>
        <v/>
      </c>
      <c r="M184" s="0" t="n">
        <v>183</v>
      </c>
      <c r="N184" s="0" t="n">
        <v>3621.1341</v>
      </c>
      <c r="O184" s="8">
        <f>PI()*Q184^2/4</f>
        <v/>
      </c>
      <c r="P184" s="8">
        <f>PI()*Q184</f>
        <v/>
      </c>
      <c r="Q184" s="8" t="n">
        <v>0.001905</v>
      </c>
      <c r="R184" s="0" t="n">
        <v>0.1524</v>
      </c>
      <c r="S184" s="15" t="n">
        <v>3801870.99609375</v>
      </c>
      <c r="T184" s="0" t="n">
        <v>552.844127088244</v>
      </c>
      <c r="U184" s="37">
        <f>+T184+BG184*S184*テーブル2[[#This Row],[Pw]]*R184/(N184*O184*K184)</f>
        <v/>
      </c>
      <c r="V184" s="0" t="n">
        <v>0.03</v>
      </c>
      <c r="W184" s="8">
        <f>+N184*Q184/I184</f>
        <v/>
      </c>
      <c r="X184" s="0" t="n">
        <v>0.02488919257528851</v>
      </c>
      <c r="Y184" s="0">
        <f>IF(X184&gt;0,1/X184^0.5,1)</f>
        <v/>
      </c>
      <c r="Z184" s="0">
        <f>IF(X184&gt;0,1.14-2*LOG((0.72*L184*E184)/(X184*Q184*N184^2)+9.35/(W184*X184^0.5)),0)</f>
        <v/>
      </c>
      <c r="AA184" s="0">
        <f>+Y184-Z184</f>
        <v/>
      </c>
      <c r="AB184" s="0">
        <f>32/X184*L184*V184*E184/N184^2</f>
        <v/>
      </c>
      <c r="AC184" s="0" t="n">
        <v>680.8129354178462</v>
      </c>
      <c r="AD184" s="0">
        <f>+Q184/2*AI184/I184*E184</f>
        <v/>
      </c>
      <c r="AE184" s="0">
        <f>+gettm2(AD184,AC184,AK184,AL184,テーブル2[[#This Row],[Fcorr]])</f>
        <v/>
      </c>
      <c r="AF184" s="38">
        <f>+AE184-U184</f>
        <v/>
      </c>
      <c r="AG184" s="0" t="n">
        <v>5.05193082825389e-06</v>
      </c>
      <c r="AH184" s="0">
        <f>+X184*N184^2/(8*E184)</f>
        <v/>
      </c>
      <c r="AI184" s="0">
        <f>+(AH184/E184)^0.5</f>
        <v/>
      </c>
      <c r="AJ184" s="0">
        <f>+AG184*AI184/I184*E184</f>
        <v/>
      </c>
      <c r="AK184" s="0">
        <f t="array" ref="AK184">+S184*テーブル2[[#This Row],[F_form]]/(E184*CpFromTP((テーブル2[[#This Row],[Tin]]+テーブル2[[#This Row],[Tf]])/2,テーブル2[[#This Row],[P]])*AI184)</f>
        <v/>
      </c>
      <c r="AL184" s="0">
        <f>+K184*I184/J184</f>
        <v/>
      </c>
      <c r="AM184" s="0">
        <f>+gettyp(AC184,AJ184,AK184,AL184)</f>
        <v/>
      </c>
      <c r="AN184" s="0">
        <f>+C184-AM184</f>
        <v/>
      </c>
      <c r="AO184" s="0">
        <f>+AG184-AB184</f>
        <v/>
      </c>
      <c r="AP184" s="0" t="n">
        <v>2.951445081366454</v>
      </c>
      <c r="AQ184" s="0">
        <f>2*PI()*L184*(D184+E184)/(D184*E184*AP184^2)</f>
        <v/>
      </c>
      <c r="AR184" s="0">
        <f>+AO184+AB184/2</f>
        <v/>
      </c>
      <c r="AS184" s="0">
        <f>+AR184*AI184/I184*E184</f>
        <v/>
      </c>
      <c r="AT184" s="0">
        <f>+getublp(AS184)</f>
        <v/>
      </c>
      <c r="AU184" s="0">
        <f>+AT184*AI184</f>
        <v/>
      </c>
      <c r="AV184" s="0">
        <f>+AP184-AU184</f>
        <v/>
      </c>
      <c r="AW184" s="0">
        <f>2/3*AB184/(L184/(9.8*(E184-D184)))^0.5</f>
        <v/>
      </c>
      <c r="AX184" s="0">
        <f>+(2*AQ184*9.8*(E184-D184)/(E184*AW184))^0.5</f>
        <v/>
      </c>
      <c r="AY184" s="0">
        <f>+AV184-AX184</f>
        <v/>
      </c>
      <c r="AZ184" s="0">
        <f>+F184-G184</f>
        <v/>
      </c>
      <c r="BA184" s="0">
        <f>+AQ184/AP184</f>
        <v/>
      </c>
      <c r="BB184" s="15">
        <f>+E184*AO184*AZ184/BA184</f>
        <v/>
      </c>
      <c r="BC184" s="20">
        <f>BB184-S184</f>
        <v/>
      </c>
      <c r="BD184" s="19">
        <f>+(BB184-S184)/S184*100</f>
        <v/>
      </c>
      <c r="BE184" s="15" t="n">
        <v>5110435.800000001</v>
      </c>
      <c r="BF184" s="16">
        <f>テーブル2[[#This Row],[q_P]]/テーブル2[[#This Row],[q_M]]</f>
        <v/>
      </c>
      <c r="BG184" s="0" t="n">
        <v>1</v>
      </c>
      <c r="BH184" s="0" t="n">
        <v>-0.021</v>
      </c>
      <c r="BI184" s="0" t="n">
        <v>0.046</v>
      </c>
      <c r="BJ184" s="0" t="n">
        <v>5625</v>
      </c>
      <c r="BK184" s="22" t="n">
        <v>1</v>
      </c>
      <c r="BL184" s="0">
        <f>テーブル2[[#This Row],[Ts]]-テーブル2[[#This Row],[Tin]]</f>
        <v/>
      </c>
      <c r="BM184" s="0">
        <f>テーブル2[[#This Row],[q_P]]*0.000001</f>
        <v/>
      </c>
      <c r="BN184" s="0">
        <f>テーブル2[[#This Row],[Tsub]]</f>
        <v/>
      </c>
      <c r="BO184" s="0">
        <f>テーブル2[[#This Row],[Fcorr]]</f>
        <v/>
      </c>
      <c r="BP184" s="0">
        <f>(テーブル2[[#This Row],[Tsub]]-40)^2</f>
        <v/>
      </c>
      <c r="BQ184" t="n">
        <v>1</v>
      </c>
      <c r="BR184" s="0" t="n">
        <v>0.1524</v>
      </c>
    </row>
    <row r="185">
      <c r="A185" s="9" t="inlineStr">
        <is>
          <t>22.01_12</t>
        </is>
      </c>
      <c r="B185" s="0" t="n">
        <v>17236893.2329209</v>
      </c>
      <c r="C185" s="22">
        <f t="array" ref="C185">TsatFromP(テーブル2[[#This Row],[P]])</f>
        <v/>
      </c>
      <c r="D185" s="0">
        <f t="array" ref="D185">RhoGFromP(テーブル2[[#This Row],[P]])</f>
        <v/>
      </c>
      <c r="E185" s="0">
        <f t="array" ref="E185">RhoFFromP(テーブル2[[#This Row],[P]])</f>
        <v/>
      </c>
      <c r="F185" s="0">
        <f t="array" ref="F185">HgFromP(テーブル2[[#This Row],[P]])</f>
        <v/>
      </c>
      <c r="G185" s="0">
        <f t="array" ref="G185">HfFromP(テーブル2[[#This Row],[P]])</f>
        <v/>
      </c>
      <c r="H185" s="0">
        <f t="array" ref="H185">MuGFromP(テーブル2[[#This Row],[P]])</f>
        <v/>
      </c>
      <c r="I185" s="0">
        <f t="array" ref="I185">MuFFromP(テーブル2[[#This Row],[P]])</f>
        <v/>
      </c>
      <c r="J185" s="0">
        <f t="array" ref="J185">KfFromP(テーブル2[[#This Row],[P]])</f>
        <v/>
      </c>
      <c r="K185" s="0">
        <f t="array" ref="K185">CpFFromP(テーブル2[[#This Row],[P]])</f>
        <v/>
      </c>
      <c r="L185" s="0">
        <f t="array" ref="L185">SigmaFromP(テーブル2[[#This Row],[P]])</f>
        <v/>
      </c>
      <c r="M185" s="0" t="n">
        <v>184</v>
      </c>
      <c r="N185" s="0" t="n">
        <v>2088.5942</v>
      </c>
      <c r="O185" s="8">
        <f>PI()*Q185^2/4</f>
        <v/>
      </c>
      <c r="P185" s="8">
        <f>PI()*Q185</f>
        <v/>
      </c>
      <c r="Q185" s="8" t="n">
        <v>0.001905</v>
      </c>
      <c r="R185" s="0" t="n">
        <v>0.69596</v>
      </c>
      <c r="S185" s="15" t="n">
        <v>4209182.877343751</v>
      </c>
      <c r="T185" s="0" t="n">
        <v>296.598009128606</v>
      </c>
      <c r="U185" s="37">
        <f>+T185+BG185*S185*テーブル2[[#This Row],[Pw]]*R185/(N185*O185*K185)</f>
        <v/>
      </c>
      <c r="V185" s="0" t="n">
        <v>0.03</v>
      </c>
      <c r="W185" s="8">
        <f>+N185*Q185/I185</f>
        <v/>
      </c>
      <c r="X185" s="0" t="n">
        <v>0.0313065578340144</v>
      </c>
      <c r="Y185" s="0">
        <f>IF(X185&gt;0,1/X185^0.5,1)</f>
        <v/>
      </c>
      <c r="Z185" s="0">
        <f>IF(X185&gt;0,1.14-2*LOG((0.72*L185*E185)/(X185*Q185*N185^2)+9.35/(W185*X185^0.5)),0)</f>
        <v/>
      </c>
      <c r="AA185" s="0">
        <f>+Y185-Z185</f>
        <v/>
      </c>
      <c r="AB185" s="0">
        <f>32/X185*L185*V185*E185/N185^2</f>
        <v/>
      </c>
      <c r="AC185" s="0" t="n">
        <v>760.8598909269173</v>
      </c>
      <c r="AD185" s="0">
        <f>+Q185/2*AI185/I185*E185</f>
        <v/>
      </c>
      <c r="AE185" s="0">
        <f>+gettm2(AD185,AC185,AK185,AL185,テーブル2[[#This Row],[Fcorr]])</f>
        <v/>
      </c>
      <c r="AF185" s="38">
        <f>+AE185-U185</f>
        <v/>
      </c>
      <c r="AG185" s="0" t="n">
        <v>1.204565639971865e-05</v>
      </c>
      <c r="AH185" s="0">
        <f>+X185*N185^2/(8*E185)</f>
        <v/>
      </c>
      <c r="AI185" s="0">
        <f>+(AH185/E185)^0.5</f>
        <v/>
      </c>
      <c r="AJ185" s="0">
        <f>+AG185*AI185/I185*E185</f>
        <v/>
      </c>
      <c r="AK185" s="0">
        <f t="array" ref="AK185">+S185*テーブル2[[#This Row],[F_form]]/(E185*CpFromTP((テーブル2[[#This Row],[Tin]]+テーブル2[[#This Row],[Tf]])/2,テーブル2[[#This Row],[P]])*AI185)</f>
        <v/>
      </c>
      <c r="AL185" s="0">
        <f>+K185*I185/J185</f>
        <v/>
      </c>
      <c r="AM185" s="0">
        <f>+gettyp(AC185,AJ185,AK185,AL185)</f>
        <v/>
      </c>
      <c r="AN185" s="0">
        <f>+C185-AM185</f>
        <v/>
      </c>
      <c r="AO185" s="0">
        <f>+AG185-AB185</f>
        <v/>
      </c>
      <c r="AP185" s="0" t="n">
        <v>2.450258775076119</v>
      </c>
      <c r="AQ185" s="0">
        <f>2*PI()*L185*(D185+E185)/(D185*E185*AP185^2)</f>
        <v/>
      </c>
      <c r="AR185" s="0">
        <f>+AO185+AB185/2</f>
        <v/>
      </c>
      <c r="AS185" s="0">
        <f>+AR185*AI185/I185*E185</f>
        <v/>
      </c>
      <c r="AT185" s="0">
        <f>+getublp(AS185)</f>
        <v/>
      </c>
      <c r="AU185" s="0">
        <f>+AT185*AI185</f>
        <v/>
      </c>
      <c r="AV185" s="0">
        <f>+AP185-AU185</f>
        <v/>
      </c>
      <c r="AW185" s="0">
        <f>2/3*AB185/(L185/(9.8*(E185-D185)))^0.5</f>
        <v/>
      </c>
      <c r="AX185" s="0">
        <f>+(2*AQ185*9.8*(E185-D185)/(E185*AW185))^0.5</f>
        <v/>
      </c>
      <c r="AY185" s="0">
        <f>+AV185-AX185</f>
        <v/>
      </c>
      <c r="AZ185" s="0">
        <f>+F185-G185</f>
        <v/>
      </c>
      <c r="BA185" s="0">
        <f>+AQ185/AP185</f>
        <v/>
      </c>
      <c r="BB185" s="15">
        <f>+E185*AO185*AZ185/BA185</f>
        <v/>
      </c>
      <c r="BC185" s="20">
        <f>BB185-S185</f>
        <v/>
      </c>
      <c r="BD185" s="19">
        <f>+(BB185-S185)/S185*100</f>
        <v/>
      </c>
      <c r="BE185" s="15" t="n">
        <v>2113575.3</v>
      </c>
      <c r="BF185" s="16">
        <f>テーブル2[[#This Row],[q_P]]/テーブル2[[#This Row],[q_M]]</f>
        <v/>
      </c>
      <c r="BG185" s="0" t="n">
        <v>1</v>
      </c>
      <c r="BH185" s="0" t="n">
        <v>-0.127</v>
      </c>
      <c r="BI185" s="0" t="n">
        <v>0.046</v>
      </c>
      <c r="BJ185" s="0" t="n">
        <v>5625</v>
      </c>
      <c r="BK185" s="22" t="n">
        <v>1</v>
      </c>
      <c r="BL185" s="0">
        <f>テーブル2[[#This Row],[Ts]]-テーブル2[[#This Row],[Tin]]</f>
        <v/>
      </c>
      <c r="BM185" s="0">
        <f>テーブル2[[#This Row],[q_P]]*0.000001</f>
        <v/>
      </c>
      <c r="BN185" s="0">
        <f>テーブル2[[#This Row],[Tsub]]</f>
        <v/>
      </c>
      <c r="BO185" s="0">
        <f>テーブル2[[#This Row],[Fcorr]]</f>
        <v/>
      </c>
      <c r="BP185" s="0">
        <f>(テーブル2[[#This Row],[Tsub]]-40)^2</f>
        <v/>
      </c>
      <c r="BQ185" t="n">
        <v>1</v>
      </c>
      <c r="BR185" s="0" t="n">
        <v>0.69596</v>
      </c>
    </row>
    <row r="186">
      <c r="A186" s="9" t="inlineStr">
        <is>
          <t>23.01_12</t>
        </is>
      </c>
      <c r="B186" s="0" t="n">
        <v>17236893.2329209</v>
      </c>
      <c r="C186" s="22">
        <f t="array" ref="C186">TsatFromP(テーブル2[[#This Row],[P]])</f>
        <v/>
      </c>
      <c r="D186" s="0">
        <f t="array" ref="D186">RhoGFromP(テーブル2[[#This Row],[P]])</f>
        <v/>
      </c>
      <c r="E186" s="0">
        <f t="array" ref="E186">RhoFFromP(テーブル2[[#This Row],[P]])</f>
        <v/>
      </c>
      <c r="F186" s="0">
        <f t="array" ref="F186">HgFromP(テーブル2[[#This Row],[P]])</f>
        <v/>
      </c>
      <c r="G186" s="0">
        <f t="array" ref="G186">HfFromP(テーブル2[[#This Row],[P]])</f>
        <v/>
      </c>
      <c r="H186" s="0">
        <f t="array" ref="H186">MuGFromP(テーブル2[[#This Row],[P]])</f>
        <v/>
      </c>
      <c r="I186" s="0">
        <f t="array" ref="I186">MuFFromP(テーブル2[[#This Row],[P]])</f>
        <v/>
      </c>
      <c r="J186" s="0">
        <f t="array" ref="J186">KfFromP(テーブル2[[#This Row],[P]])</f>
        <v/>
      </c>
      <c r="K186" s="0">
        <f t="array" ref="K186">CpFFromP(テーブル2[[#This Row],[P]])</f>
        <v/>
      </c>
      <c r="L186" s="0">
        <f t="array" ref="L186">SigmaFromP(テーブル2[[#This Row],[P]])</f>
        <v/>
      </c>
      <c r="M186" s="0" t="n">
        <v>185</v>
      </c>
      <c r="N186" s="0" t="n">
        <v>2088.5942</v>
      </c>
      <c r="O186" s="8">
        <f>PI()*Q186^2/4</f>
        <v/>
      </c>
      <c r="P186" s="8">
        <f>PI()*Q186</f>
        <v/>
      </c>
      <c r="Q186" s="8" t="n">
        <v>0.001905</v>
      </c>
      <c r="R186" s="0" t="n">
        <v>0.69596</v>
      </c>
      <c r="S186" s="15" t="n">
        <v>4174835.99609375</v>
      </c>
      <c r="T186" s="0" t="n">
        <v>299.354067376705</v>
      </c>
      <c r="U186" s="37">
        <f>+T186+BG186*S186*テーブル2[[#This Row],[Pw]]*R186/(N186*O186*K186)</f>
        <v/>
      </c>
      <c r="V186" s="0" t="n">
        <v>0.03</v>
      </c>
      <c r="W186" s="8">
        <f>+N186*Q186/I186</f>
        <v/>
      </c>
      <c r="X186" s="0" t="n">
        <v>0.0313065578340144</v>
      </c>
      <c r="Y186" s="0">
        <f>IF(X186&gt;0,1/X186^0.5,1)</f>
        <v/>
      </c>
      <c r="Z186" s="0">
        <f>IF(X186&gt;0,1.14-2*LOG((0.72*L186*E186)/(X186*Q186*N186^2)+9.35/(W186*X186^0.5)),0)</f>
        <v/>
      </c>
      <c r="AA186" s="0">
        <f>+Y186-Z186</f>
        <v/>
      </c>
      <c r="AB186" s="0">
        <f>32/X186*L186*V186*E186/N186^2</f>
        <v/>
      </c>
      <c r="AC186" s="0" t="n">
        <v>759.6341346509562</v>
      </c>
      <c r="AD186" s="0">
        <f>+Q186/2*AI186/I186*E186</f>
        <v/>
      </c>
      <c r="AE186" s="0">
        <f>+gettm2(AD186,AC186,AK186,AL186,テーブル2[[#This Row],[Fcorr]])</f>
        <v/>
      </c>
      <c r="AF186" s="38">
        <f>+AE186-U186</f>
        <v/>
      </c>
      <c r="AG186" s="0" t="n">
        <v>1.204527784765983e-05</v>
      </c>
      <c r="AH186" s="0">
        <f>+X186*N186^2/(8*E186)</f>
        <v/>
      </c>
      <c r="AI186" s="0">
        <f>+(AH186/E186)^0.5</f>
        <v/>
      </c>
      <c r="AJ186" s="0">
        <f>+AG186*AI186/I186*E186</f>
        <v/>
      </c>
      <c r="AK186" s="0">
        <f t="array" ref="AK186">+S186*テーブル2[[#This Row],[F_form]]/(E186*CpFromTP((テーブル2[[#This Row],[Tin]]+テーブル2[[#This Row],[Tf]])/2,テーブル2[[#This Row],[P]])*AI186)</f>
        <v/>
      </c>
      <c r="AL186" s="0">
        <f>+K186*I186/J186</f>
        <v/>
      </c>
      <c r="AM186" s="0">
        <f>+gettyp(AC186,AJ186,AK186,AL186)</f>
        <v/>
      </c>
      <c r="AN186" s="0">
        <f>+C186-AM186</f>
        <v/>
      </c>
      <c r="AO186" s="0">
        <f>+AG186-AB186</f>
        <v/>
      </c>
      <c r="AP186" s="0" t="n">
        <v>2.450192305911981</v>
      </c>
      <c r="AQ186" s="0">
        <f>2*PI()*L186*(D186+E186)/(D186*E186*AP186^2)</f>
        <v/>
      </c>
      <c r="AR186" s="0">
        <f>+AO186+AB186/2</f>
        <v/>
      </c>
      <c r="AS186" s="0">
        <f>+AR186*AI186/I186*E186</f>
        <v/>
      </c>
      <c r="AT186" s="0">
        <f>+getublp(AS186)</f>
        <v/>
      </c>
      <c r="AU186" s="0">
        <f>+AT186*AI186</f>
        <v/>
      </c>
      <c r="AV186" s="0">
        <f>+AP186-AU186</f>
        <v/>
      </c>
      <c r="AW186" s="0">
        <f>2/3*AB186/(L186/(9.8*(E186-D186)))^0.5</f>
        <v/>
      </c>
      <c r="AX186" s="0">
        <f>+(2*AQ186*9.8*(E186-D186)/(E186*AW186))^0.5</f>
        <v/>
      </c>
      <c r="AY186" s="0">
        <f>+AV186-AX186</f>
        <v/>
      </c>
      <c r="AZ186" s="0">
        <f>+F186-G186</f>
        <v/>
      </c>
      <c r="BA186" s="0">
        <f>+AQ186/AP186</f>
        <v/>
      </c>
      <c r="BB186" s="15">
        <f>+E186*AO186*AZ186/BA186</f>
        <v/>
      </c>
      <c r="BC186" s="20">
        <f>BB186-S186</f>
        <v/>
      </c>
      <c r="BD186" s="19">
        <f>+(BB186-S186)/S186*100</f>
        <v/>
      </c>
      <c r="BE186" s="15" t="n">
        <v>2082029.4</v>
      </c>
      <c r="BF186" s="16">
        <f>テーブル2[[#This Row],[q_P]]/テーブル2[[#This Row],[q_M]]</f>
        <v/>
      </c>
      <c r="BG186" s="0" t="n">
        <v>1</v>
      </c>
      <c r="BH186" s="0" t="n">
        <v>-0.14</v>
      </c>
      <c r="BI186" s="0" t="n">
        <v>0.046</v>
      </c>
      <c r="BJ186" s="0" t="n">
        <v>5625</v>
      </c>
      <c r="BK186" s="22" t="n">
        <v>1</v>
      </c>
      <c r="BL186" s="0">
        <f>テーブル2[[#This Row],[Ts]]-テーブル2[[#This Row],[Tin]]</f>
        <v/>
      </c>
      <c r="BM186" s="0">
        <f>テーブル2[[#This Row],[q_P]]*0.000001</f>
        <v/>
      </c>
      <c r="BN186" s="0">
        <f>テーブル2[[#This Row],[Tsub]]</f>
        <v/>
      </c>
      <c r="BO186" s="0">
        <f>テーブル2[[#This Row],[Fcorr]]</f>
        <v/>
      </c>
      <c r="BP186" s="0">
        <f>(テーブル2[[#This Row],[Tsub]]-40)^2</f>
        <v/>
      </c>
      <c r="BQ186" t="n">
        <v>1</v>
      </c>
      <c r="BR186" s="0" t="n">
        <v>0.69596</v>
      </c>
    </row>
    <row r="187">
      <c r="A187" s="9" t="inlineStr">
        <is>
          <t>24.01_12</t>
        </is>
      </c>
      <c r="B187" s="0" t="n">
        <v>17236893.2329209</v>
      </c>
      <c r="C187" s="22">
        <f t="array" ref="C187">TsatFromP(テーブル2[[#This Row],[P]])</f>
        <v/>
      </c>
      <c r="D187" s="0">
        <f t="array" ref="D187">RhoGFromP(テーブル2[[#This Row],[P]])</f>
        <v/>
      </c>
      <c r="E187" s="0">
        <f t="array" ref="E187">RhoFFromP(テーブル2[[#This Row],[P]])</f>
        <v/>
      </c>
      <c r="F187" s="0">
        <f t="array" ref="F187">HgFromP(テーブル2[[#This Row],[P]])</f>
        <v/>
      </c>
      <c r="G187" s="0">
        <f t="array" ref="G187">HfFromP(テーブル2[[#This Row],[P]])</f>
        <v/>
      </c>
      <c r="H187" s="0">
        <f t="array" ref="H187">MuGFromP(テーブル2[[#This Row],[P]])</f>
        <v/>
      </c>
      <c r="I187" s="0">
        <f t="array" ref="I187">MuFFromP(テーブル2[[#This Row],[P]])</f>
        <v/>
      </c>
      <c r="J187" s="0">
        <f t="array" ref="J187">KfFromP(テーブル2[[#This Row],[P]])</f>
        <v/>
      </c>
      <c r="K187" s="0">
        <f t="array" ref="K187">CpFFromP(テーブル2[[#This Row],[P]])</f>
        <v/>
      </c>
      <c r="L187" s="0">
        <f t="array" ref="L187">SigmaFromP(テーブル2[[#This Row],[P]])</f>
        <v/>
      </c>
      <c r="M187" s="0" t="n">
        <v>186</v>
      </c>
      <c r="N187" s="0" t="n">
        <v>2197.0926</v>
      </c>
      <c r="O187" s="8">
        <f>PI()*Q187^2/4</f>
        <v/>
      </c>
      <c r="P187" s="8">
        <f>PI()*Q187</f>
        <v/>
      </c>
      <c r="Q187" s="8" t="n">
        <v>0.001905</v>
      </c>
      <c r="R187" s="0" t="n">
        <v>0.69596</v>
      </c>
      <c r="S187" s="15" t="n">
        <v>4356434.22265625</v>
      </c>
      <c r="T187" s="0" t="n">
        <v>298.847871974403</v>
      </c>
      <c r="U187" s="37">
        <f>+T187+BG187*S187*テーブル2[[#This Row],[Pw]]*R187/(N187*O187*K187)</f>
        <v/>
      </c>
      <c r="V187" s="0" t="n">
        <v>0.03</v>
      </c>
      <c r="W187" s="8">
        <f>+N187*Q187/I187</f>
        <v/>
      </c>
      <c r="X187" s="0" t="n">
        <v>0.03061708500335688</v>
      </c>
      <c r="Y187" s="0">
        <f>IF(X187&gt;0,1/X187^0.5,1)</f>
        <v/>
      </c>
      <c r="Z187" s="0">
        <f>IF(X187&gt;0,1.14-2*LOG((0.72*L187*E187)/(X187*Q187*N187^2)+9.35/(W187*X187^0.5)),0)</f>
        <v/>
      </c>
      <c r="AA187" s="0">
        <f>+Y187-Z187</f>
        <v/>
      </c>
      <c r="AB187" s="0">
        <f>32/X187*L187*V187*E187/N187^2</f>
        <v/>
      </c>
      <c r="AC187" s="0" t="n">
        <v>758.5844649407918</v>
      </c>
      <c r="AD187" s="0">
        <f>+Q187/2*AI187/I187*E187</f>
        <v/>
      </c>
      <c r="AE187" s="0">
        <f>+gettm2(AD187,AC187,AK187,AL187,テーブル2[[#This Row],[Fcorr]])</f>
        <v/>
      </c>
      <c r="AF187" s="38">
        <f>+AE187-U187</f>
        <v/>
      </c>
      <c r="AG187" s="0" t="n">
        <v>1.113746020916425e-05</v>
      </c>
      <c r="AH187" s="0">
        <f>+X187*N187^2/(8*E187)</f>
        <v/>
      </c>
      <c r="AI187" s="0">
        <f>+(AH187/E187)^0.5</f>
        <v/>
      </c>
      <c r="AJ187" s="0">
        <f>+AG187*AI187/I187*E187</f>
        <v/>
      </c>
      <c r="AK187" s="0">
        <f t="array" ref="AK187">+S187*テーブル2[[#This Row],[F_form]]/(E187*CpFromTP((テーブル2[[#This Row],[Tin]]+テーブル2[[#This Row],[Tf]])/2,テーブル2[[#This Row],[P]])*AI187)</f>
        <v/>
      </c>
      <c r="AL187" s="0">
        <f>+K187*I187/J187</f>
        <v/>
      </c>
      <c r="AM187" s="0">
        <f>+gettyp(AC187,AJ187,AK187,AL187)</f>
        <v/>
      </c>
      <c r="AN187" s="0">
        <f>+C187-AM187</f>
        <v/>
      </c>
      <c r="AO187" s="0">
        <f>+AG187-AB187</f>
        <v/>
      </c>
      <c r="AP187" s="0" t="n">
        <v>2.498090170317988</v>
      </c>
      <c r="AQ187" s="0">
        <f>2*PI()*L187*(D187+E187)/(D187*E187*AP187^2)</f>
        <v/>
      </c>
      <c r="AR187" s="0">
        <f>+AO187+AB187/2</f>
        <v/>
      </c>
      <c r="AS187" s="0">
        <f>+AR187*AI187/I187*E187</f>
        <v/>
      </c>
      <c r="AT187" s="0">
        <f>+getublp(AS187)</f>
        <v/>
      </c>
      <c r="AU187" s="0">
        <f>+AT187*AI187</f>
        <v/>
      </c>
      <c r="AV187" s="0">
        <f>+AP187-AU187</f>
        <v/>
      </c>
      <c r="AW187" s="0">
        <f>2/3*AB187/(L187/(9.8*(E187-D187)))^0.5</f>
        <v/>
      </c>
      <c r="AX187" s="0">
        <f>+(2*AQ187*9.8*(E187-D187)/(E187*AW187))^0.5</f>
        <v/>
      </c>
      <c r="AY187" s="0">
        <f>+AV187-AX187</f>
        <v/>
      </c>
      <c r="AZ187" s="0">
        <f>+F187-G187</f>
        <v/>
      </c>
      <c r="BA187" s="0">
        <f>+AQ187/AP187</f>
        <v/>
      </c>
      <c r="BB187" s="15">
        <f>+E187*AO187*AZ187/BA187</f>
        <v/>
      </c>
      <c r="BC187" s="20">
        <f>BB187-S187</f>
        <v/>
      </c>
      <c r="BD187" s="19">
        <f>+(BB187-S187)/S187*100</f>
        <v/>
      </c>
      <c r="BE187" s="15" t="n">
        <v>2429034.3</v>
      </c>
      <c r="BF187" s="16">
        <f>テーブル2[[#This Row],[q_P]]/テーブル2[[#This Row],[q_M]]</f>
        <v/>
      </c>
      <c r="BG187" s="0" t="n">
        <v>1</v>
      </c>
      <c r="BH187" s="0" t="n">
        <v>-0.047</v>
      </c>
      <c r="BI187" s="0" t="n">
        <v>0.046</v>
      </c>
      <c r="BJ187" s="0" t="n">
        <v>5625</v>
      </c>
      <c r="BK187" s="22" t="n">
        <v>1</v>
      </c>
      <c r="BL187" s="0">
        <f>テーブル2[[#This Row],[Ts]]-テーブル2[[#This Row],[Tin]]</f>
        <v/>
      </c>
      <c r="BM187" s="0">
        <f>テーブル2[[#This Row],[q_P]]*0.000001</f>
        <v/>
      </c>
      <c r="BN187" s="0">
        <f>テーブル2[[#This Row],[Tsub]]</f>
        <v/>
      </c>
      <c r="BO187" s="0">
        <f>テーブル2[[#This Row],[Fcorr]]</f>
        <v/>
      </c>
      <c r="BP187" s="0">
        <f>(テーブル2[[#This Row],[Tsub]]-40)^2</f>
        <v/>
      </c>
      <c r="BQ187" t="n">
        <v>1</v>
      </c>
      <c r="BR187" s="0" t="n">
        <v>0.69596</v>
      </c>
    </row>
    <row r="188">
      <c r="A188" s="9" t="inlineStr">
        <is>
          <t>25.01_12</t>
        </is>
      </c>
      <c r="B188" s="0" t="n">
        <v>17236893.2329209</v>
      </c>
      <c r="C188" s="22">
        <f t="array" ref="C188">TsatFromP(テーブル2[[#This Row],[P]])</f>
        <v/>
      </c>
      <c r="D188" s="0">
        <f t="array" ref="D188">RhoGFromP(テーブル2[[#This Row],[P]])</f>
        <v/>
      </c>
      <c r="E188" s="0">
        <f t="array" ref="E188">RhoFFromP(テーブル2[[#This Row],[P]])</f>
        <v/>
      </c>
      <c r="F188" s="0">
        <f t="array" ref="F188">HgFromP(テーブル2[[#This Row],[P]])</f>
        <v/>
      </c>
      <c r="G188" s="0">
        <f t="array" ref="G188">HfFromP(テーブル2[[#This Row],[P]])</f>
        <v/>
      </c>
      <c r="H188" s="0">
        <f t="array" ref="H188">MuGFromP(テーブル2[[#This Row],[P]])</f>
        <v/>
      </c>
      <c r="I188" s="0">
        <f t="array" ref="I188">MuFFromP(テーブル2[[#This Row],[P]])</f>
        <v/>
      </c>
      <c r="J188" s="0">
        <f t="array" ref="J188">KfFromP(テーブル2[[#This Row],[P]])</f>
        <v/>
      </c>
      <c r="K188" s="0">
        <f t="array" ref="K188">CpFFromP(テーブル2[[#This Row],[P]])</f>
        <v/>
      </c>
      <c r="L188" s="0">
        <f t="array" ref="L188">SigmaFromP(テーブル2[[#This Row],[P]])</f>
        <v/>
      </c>
      <c r="M188" s="0" t="n">
        <v>187</v>
      </c>
      <c r="N188" s="0" t="n">
        <v>2414.0894</v>
      </c>
      <c r="O188" s="8">
        <f>PI()*Q188^2/4</f>
        <v/>
      </c>
      <c r="P188" s="8">
        <f>PI()*Q188</f>
        <v/>
      </c>
      <c r="Q188" s="8" t="n">
        <v>0.001905</v>
      </c>
      <c r="R188" s="0" t="n">
        <v>0.69596</v>
      </c>
      <c r="S188" s="15" t="n">
        <v>4716479.4921875</v>
      </c>
      <c r="T188" s="0" t="n">
        <v>297.722961239361</v>
      </c>
      <c r="U188" s="37">
        <f>+T188+BG188*S188*テーブル2[[#This Row],[Pw]]*R188/(N188*O188*K188)</f>
        <v/>
      </c>
      <c r="V188" s="0" t="n">
        <v>0.03</v>
      </c>
      <c r="W188" s="8">
        <f>+N188*Q188/I188</f>
        <v/>
      </c>
      <c r="X188" s="0" t="n">
        <v>0.02939372957822275</v>
      </c>
      <c r="Y188" s="0">
        <f>IF(X188&gt;0,1/X188^0.5,1)</f>
        <v/>
      </c>
      <c r="Z188" s="0">
        <f>IF(X188&gt;0,1.14-2*LOG((0.72*L188*E188)/(X188*Q188*N188^2)+9.35/(W188*X188^0.5)),0)</f>
        <v/>
      </c>
      <c r="AA188" s="0">
        <f>+Y188-Z188</f>
        <v/>
      </c>
      <c r="AB188" s="0">
        <f>32/X188*L188*V188*E188/N188^2</f>
        <v/>
      </c>
      <c r="AC188" s="0" t="n">
        <v>756.5631520242832</v>
      </c>
      <c r="AD188" s="0">
        <f>+Q188/2*AI188/I188*E188</f>
        <v/>
      </c>
      <c r="AE188" s="0">
        <f>+gettm2(AD188,AC188,AK188,AL188,テーブル2[[#This Row],[Fcorr]])</f>
        <v/>
      </c>
      <c r="AF188" s="38">
        <f>+AE188-U188</f>
        <v/>
      </c>
      <c r="AG188" s="0" t="n">
        <v>9.619982683519183e-06</v>
      </c>
      <c r="AH188" s="0">
        <f>+X188*N188^2/(8*E188)</f>
        <v/>
      </c>
      <c r="AI188" s="0">
        <f>+(AH188/E188)^0.5</f>
        <v/>
      </c>
      <c r="AJ188" s="0">
        <f>+AG188*AI188/I188*E188</f>
        <v/>
      </c>
      <c r="AK188" s="0">
        <f t="array" ref="AK188">+S188*テーブル2[[#This Row],[F_form]]/(E188*CpFromTP((テーブル2[[#This Row],[Tin]]+テーブル2[[#This Row],[Tf]])/2,テーブル2[[#This Row],[P]])*AI188)</f>
        <v/>
      </c>
      <c r="AL188" s="0">
        <f>+K188*I188/J188</f>
        <v/>
      </c>
      <c r="AM188" s="0">
        <f>+gettyp(AC188,AJ188,AK188,AL188)</f>
        <v/>
      </c>
      <c r="AN188" s="0">
        <f>+C188-AM188</f>
        <v/>
      </c>
      <c r="AO188" s="0">
        <f>+AG188-AB188</f>
        <v/>
      </c>
      <c r="AP188" s="0" t="n">
        <v>2.587392032443663</v>
      </c>
      <c r="AQ188" s="0">
        <f>2*PI()*L188*(D188+E188)/(D188*E188*AP188^2)</f>
        <v/>
      </c>
      <c r="AR188" s="0">
        <f>+AO188+AB188/2</f>
        <v/>
      </c>
      <c r="AS188" s="0">
        <f>+AR188*AI188/I188*E188</f>
        <v/>
      </c>
      <c r="AT188" s="0">
        <f>+getublp(AS188)</f>
        <v/>
      </c>
      <c r="AU188" s="0">
        <f>+AT188*AI188</f>
        <v/>
      </c>
      <c r="AV188" s="0">
        <f>+AP188-AU188</f>
        <v/>
      </c>
      <c r="AW188" s="0">
        <f>2/3*AB188/(L188/(9.8*(E188-D188)))^0.5</f>
        <v/>
      </c>
      <c r="AX188" s="0">
        <f>+(2*AQ188*9.8*(E188-D188)/(E188*AW188))^0.5</f>
        <v/>
      </c>
      <c r="AY188" s="0">
        <f>+AV188-AX188</f>
        <v/>
      </c>
      <c r="AZ188" s="0">
        <f>+F188-G188</f>
        <v/>
      </c>
      <c r="BA188" s="0">
        <f>+AQ188/AP188</f>
        <v/>
      </c>
      <c r="BB188" s="15">
        <f>+E188*AO188*AZ188/BA188</f>
        <v/>
      </c>
      <c r="BC188" s="20">
        <f>BB188-S188</f>
        <v/>
      </c>
      <c r="BD188" s="19">
        <f>+(BB188-S188)/S188*100</f>
        <v/>
      </c>
      <c r="BE188" s="15" t="n">
        <v>2492126.1</v>
      </c>
      <c r="BF188" s="16">
        <f>テーブル2[[#This Row],[q_P]]/テーブル2[[#This Row],[q_M]]</f>
        <v/>
      </c>
      <c r="BG188" s="0" t="n">
        <v>1</v>
      </c>
      <c r="BH188" s="0" t="n">
        <v>-0.08599999999999999</v>
      </c>
      <c r="BI188" s="0" t="n">
        <v>0.046</v>
      </c>
      <c r="BJ188" s="0" t="n">
        <v>5625</v>
      </c>
      <c r="BK188" s="22" t="n">
        <v>1</v>
      </c>
      <c r="BL188" s="0">
        <f>テーブル2[[#This Row],[Ts]]-テーブル2[[#This Row],[Tin]]</f>
        <v/>
      </c>
      <c r="BM188" s="0">
        <f>テーブル2[[#This Row],[q_P]]*0.000001</f>
        <v/>
      </c>
      <c r="BN188" s="0">
        <f>テーブル2[[#This Row],[Tsub]]</f>
        <v/>
      </c>
      <c r="BO188" s="0">
        <f>テーブル2[[#This Row],[Fcorr]]</f>
        <v/>
      </c>
      <c r="BP188" s="0">
        <f>(テーブル2[[#This Row],[Tsub]]-40)^2</f>
        <v/>
      </c>
      <c r="BQ188" t="n">
        <v>1</v>
      </c>
      <c r="BR188" s="0" t="n">
        <v>0.69596</v>
      </c>
    </row>
    <row r="189">
      <c r="A189" s="9" t="inlineStr">
        <is>
          <t>26.01_12</t>
        </is>
      </c>
      <c r="B189" s="0" t="n">
        <v>17236893.2329209</v>
      </c>
      <c r="C189" s="22">
        <f t="array" ref="C189">TsatFromP(テーブル2[[#This Row],[P]])</f>
        <v/>
      </c>
      <c r="D189" s="0">
        <f t="array" ref="D189">RhoGFromP(テーブル2[[#This Row],[P]])</f>
        <v/>
      </c>
      <c r="E189" s="0">
        <f t="array" ref="E189">RhoFFromP(テーブル2[[#This Row],[P]])</f>
        <v/>
      </c>
      <c r="F189" s="0">
        <f t="array" ref="F189">HgFromP(テーブル2[[#This Row],[P]])</f>
        <v/>
      </c>
      <c r="G189" s="0">
        <f t="array" ref="G189">HfFromP(テーブル2[[#This Row],[P]])</f>
        <v/>
      </c>
      <c r="H189" s="0">
        <f t="array" ref="H189">MuGFromP(テーブル2[[#This Row],[P]])</f>
        <v/>
      </c>
      <c r="I189" s="0">
        <f t="array" ref="I189">MuFFromP(テーブル2[[#This Row],[P]])</f>
        <v/>
      </c>
      <c r="J189" s="0">
        <f t="array" ref="J189">KfFromP(テーブル2[[#This Row],[P]])</f>
        <v/>
      </c>
      <c r="K189" s="0">
        <f t="array" ref="K189">CpFFromP(テーブル2[[#This Row],[P]])</f>
        <v/>
      </c>
      <c r="L189" s="0">
        <f t="array" ref="L189">SigmaFromP(テーブル2[[#This Row],[P]])</f>
        <v/>
      </c>
      <c r="M189" s="0" t="n">
        <v>188</v>
      </c>
      <c r="N189" s="0" t="n">
        <v>2983.706</v>
      </c>
      <c r="O189" s="8">
        <f>PI()*Q189^2/4</f>
        <v/>
      </c>
      <c r="P189" s="8">
        <f>PI()*Q189</f>
        <v/>
      </c>
      <c r="Q189" s="8" t="n">
        <v>0.001905</v>
      </c>
      <c r="R189" s="0" t="n">
        <v>0.69596</v>
      </c>
      <c r="S189" s="15" t="n">
        <v>5580558.33984375</v>
      </c>
      <c r="T189" s="0" t="n">
        <v>298.285421999838</v>
      </c>
      <c r="U189" s="37">
        <f>+T189+BG189*S189*テーブル2[[#This Row],[Pw]]*R189/(N189*O189*K189)</f>
        <v/>
      </c>
      <c r="V189" s="0" t="n">
        <v>0.03</v>
      </c>
      <c r="W189" s="8">
        <f>+N189*Q189/I189</f>
        <v/>
      </c>
      <c r="X189" s="0" t="n">
        <v>0.0268977240407712</v>
      </c>
      <c r="Y189" s="0">
        <f>IF(X189&gt;0,1/X189^0.5,1)</f>
        <v/>
      </c>
      <c r="Z189" s="0">
        <f>IF(X189&gt;0,1.14-2*LOG((0.72*L189*E189)/(X189*Q189*N189^2)+9.35/(W189*X189^0.5)),0)</f>
        <v/>
      </c>
      <c r="AA189" s="0">
        <f>+Y189-Z189</f>
        <v/>
      </c>
      <c r="AB189" s="0">
        <f>32/X189*L189*V189*E189/N189^2</f>
        <v/>
      </c>
      <c r="AC189" s="0" t="n">
        <v>750.1671990055592</v>
      </c>
      <c r="AD189" s="0">
        <f>+Q189/2*AI189/I189*E189</f>
        <v/>
      </c>
      <c r="AE189" s="0">
        <f>+gettm2(AD189,AC189,AK189,AL189,テーブル2[[#This Row],[Fcorr]])</f>
        <v/>
      </c>
      <c r="AF189" s="38">
        <f>+AE189-U189</f>
        <v/>
      </c>
      <c r="AG189" s="0" t="n">
        <v>6.907801052755576e-06</v>
      </c>
      <c r="AH189" s="0">
        <f>+X189*N189^2/(8*E189)</f>
        <v/>
      </c>
      <c r="AI189" s="0">
        <f>+(AH189/E189)^0.5</f>
        <v/>
      </c>
      <c r="AJ189" s="0">
        <f>+AG189*AI189/I189*E189</f>
        <v/>
      </c>
      <c r="AK189" s="0">
        <f t="array" ref="AK189">+S189*テーブル2[[#This Row],[F_form]]/(E189*CpFromTP((テーブル2[[#This Row],[Tin]]+テーブル2[[#This Row],[Tf]])/2,テーブル2[[#This Row],[P]])*AI189)</f>
        <v/>
      </c>
      <c r="AL189" s="0">
        <f>+K189*I189/J189</f>
        <v/>
      </c>
      <c r="AM189" s="0">
        <f>+gettyp(AC189,AJ189,AK189,AL189)</f>
        <v/>
      </c>
      <c r="AN189" s="0">
        <f>+C189-AM189</f>
        <v/>
      </c>
      <c r="AO189" s="0">
        <f>+AG189-AB189</f>
        <v/>
      </c>
      <c r="AP189" s="0" t="n">
        <v>2.791297582450481</v>
      </c>
      <c r="AQ189" s="0">
        <f>2*PI()*L189*(D189+E189)/(D189*E189*AP189^2)</f>
        <v/>
      </c>
      <c r="AR189" s="0">
        <f>+AO189+AB189/2</f>
        <v/>
      </c>
      <c r="AS189" s="0">
        <f>+AR189*AI189/I189*E189</f>
        <v/>
      </c>
      <c r="AT189" s="0">
        <f>+getublp(AS189)</f>
        <v/>
      </c>
      <c r="AU189" s="0">
        <f>+AT189*AI189</f>
        <v/>
      </c>
      <c r="AV189" s="0">
        <f>+AP189-AU189</f>
        <v/>
      </c>
      <c r="AW189" s="0">
        <f>2/3*AB189/(L189/(9.8*(E189-D189)))^0.5</f>
        <v/>
      </c>
      <c r="AX189" s="0">
        <f>+(2*AQ189*9.8*(E189-D189)/(E189*AW189))^0.5</f>
        <v/>
      </c>
      <c r="AY189" s="0">
        <f>+AV189-AX189</f>
        <v/>
      </c>
      <c r="AZ189" s="0">
        <f>+F189-G189</f>
        <v/>
      </c>
      <c r="BA189" s="0">
        <f>+AQ189/AP189</f>
        <v/>
      </c>
      <c r="BB189" s="15">
        <f>+E189*AO189*AZ189/BA189</f>
        <v/>
      </c>
      <c r="BC189" s="20">
        <f>BB189-S189</f>
        <v/>
      </c>
      <c r="BD189" s="19">
        <f>+(BB189-S189)/S189*100</f>
        <v/>
      </c>
      <c r="BE189" s="15" t="n">
        <v>3028406.4</v>
      </c>
      <c r="BF189" s="16">
        <f>テーブル2[[#This Row],[q_P]]/テーブル2[[#This Row],[q_M]]</f>
        <v/>
      </c>
      <c r="BG189" s="0" t="n">
        <v>1</v>
      </c>
      <c r="BH189" s="0" t="n">
        <v>-0.114</v>
      </c>
      <c r="BI189" s="0" t="n">
        <v>0.046</v>
      </c>
      <c r="BJ189" s="0" t="n">
        <v>5625</v>
      </c>
      <c r="BK189" s="22" t="n">
        <v>1</v>
      </c>
      <c r="BL189" s="0">
        <f>テーブル2[[#This Row],[Ts]]-テーブル2[[#This Row],[Tin]]</f>
        <v/>
      </c>
      <c r="BM189" s="0">
        <f>テーブル2[[#This Row],[q_P]]*0.000001</f>
        <v/>
      </c>
      <c r="BN189" s="0">
        <f>テーブル2[[#This Row],[Tsub]]</f>
        <v/>
      </c>
      <c r="BO189" s="0">
        <f>テーブル2[[#This Row],[Fcorr]]</f>
        <v/>
      </c>
      <c r="BP189" s="0">
        <f>(テーブル2[[#This Row],[Tsub]]-40)^2</f>
        <v/>
      </c>
      <c r="BQ189" t="n">
        <v>1</v>
      </c>
      <c r="BR189" s="0" t="n">
        <v>0.69596</v>
      </c>
    </row>
    <row r="190">
      <c r="A190" s="9" t="inlineStr">
        <is>
          <t>27.01_12</t>
        </is>
      </c>
      <c r="B190" s="0" t="n">
        <v>17236893.2329209</v>
      </c>
      <c r="C190" s="22">
        <f t="array" ref="C190">TsatFromP(テーブル2[[#This Row],[P]])</f>
        <v/>
      </c>
      <c r="D190" s="0">
        <f t="array" ref="D190">RhoGFromP(テーブル2[[#This Row],[P]])</f>
        <v/>
      </c>
      <c r="E190" s="0">
        <f t="array" ref="E190">RhoFFromP(テーブル2[[#This Row],[P]])</f>
        <v/>
      </c>
      <c r="F190" s="0">
        <f t="array" ref="F190">HgFromP(テーブル2[[#This Row],[P]])</f>
        <v/>
      </c>
      <c r="G190" s="0">
        <f t="array" ref="G190">HfFromP(テーブル2[[#This Row],[P]])</f>
        <v/>
      </c>
      <c r="H190" s="0">
        <f t="array" ref="H190">MuGFromP(テーブル2[[#This Row],[P]])</f>
        <v/>
      </c>
      <c r="I190" s="0">
        <f t="array" ref="I190">MuFFromP(テーブル2[[#This Row],[P]])</f>
        <v/>
      </c>
      <c r="J190" s="0">
        <f t="array" ref="J190">KfFromP(テーブル2[[#This Row],[P]])</f>
        <v/>
      </c>
      <c r="K190" s="0">
        <f t="array" ref="K190">CpFFromP(テーブル2[[#This Row],[P]])</f>
        <v/>
      </c>
      <c r="L190" s="0">
        <f t="array" ref="L190">SigmaFromP(テーブル2[[#This Row],[P]])</f>
        <v/>
      </c>
      <c r="M190" s="0" t="n">
        <v>189</v>
      </c>
      <c r="N190" s="0" t="n">
        <v>3051.5175</v>
      </c>
      <c r="O190" s="8">
        <f>PI()*Q190^2/4</f>
        <v/>
      </c>
      <c r="P190" s="8">
        <f>PI()*Q190</f>
        <v/>
      </c>
      <c r="Q190" s="8" t="n">
        <v>0.001905</v>
      </c>
      <c r="R190" s="0" t="n">
        <v>0.69596</v>
      </c>
      <c r="S190" s="15" t="n">
        <v>5690958.73046875</v>
      </c>
      <c r="T190" s="0" t="n">
        <v>297.722961239361</v>
      </c>
      <c r="U190" s="37">
        <f>+T190+BG190*S190*テーブル2[[#This Row],[Pw]]*R190/(N190*O190*K190)</f>
        <v/>
      </c>
      <c r="V190" s="0" t="n">
        <v>0.03</v>
      </c>
      <c r="W190" s="8">
        <f>+N190*Q190/I190</f>
        <v/>
      </c>
      <c r="X190" s="0" t="n">
        <v>0.02665201889941064</v>
      </c>
      <c r="Y190" s="0">
        <f>IF(X190&gt;0,1/X190^0.5,1)</f>
        <v/>
      </c>
      <c r="Z190" s="0">
        <f>IF(X190&gt;0,1.14-2*LOG((0.72*L190*E190)/(X190*Q190*N190^2)+9.35/(W190*X190^0.5)),0)</f>
        <v/>
      </c>
      <c r="AA190" s="0">
        <f>+Y190-Z190</f>
        <v/>
      </c>
      <c r="AB190" s="0">
        <f>32/X190*L190*V190*E190/N190^2</f>
        <v/>
      </c>
      <c r="AC190" s="0" t="n">
        <v>749.7000742647823</v>
      </c>
      <c r="AD190" s="0">
        <f>+Q190/2*AI190/I190*E190</f>
        <v/>
      </c>
      <c r="AE190" s="0">
        <f>+gettm2(AD190,AC190,AK190,AL190,テーブル2[[#This Row],[Fcorr]])</f>
        <v/>
      </c>
      <c r="AF190" s="38">
        <f>+AE190-U190</f>
        <v/>
      </c>
      <c r="AG190" s="0" t="n">
        <v>6.668112848516011e-06</v>
      </c>
      <c r="AH190" s="0">
        <f>+X190*N190^2/(8*E190)</f>
        <v/>
      </c>
      <c r="AI190" s="0">
        <f>+(AH190/E190)^0.5</f>
        <v/>
      </c>
      <c r="AJ190" s="0">
        <f>+AG190*AI190/I190*E190</f>
        <v/>
      </c>
      <c r="AK190" s="0">
        <f t="array" ref="AK190">+S190*テーブル2[[#This Row],[F_form]]/(E190*CpFromTP((テーブル2[[#This Row],[Tin]]+テーブル2[[#This Row],[Tf]])/2,テーブル2[[#This Row],[P]])*AI190)</f>
        <v/>
      </c>
      <c r="AL190" s="0">
        <f>+K190*I190/J190</f>
        <v/>
      </c>
      <c r="AM190" s="0">
        <f>+gettyp(AC190,AJ190,AK190,AL190)</f>
        <v/>
      </c>
      <c r="AN190" s="0">
        <f>+C190-AM190</f>
        <v/>
      </c>
      <c r="AO190" s="0">
        <f>+AG190-AB190</f>
        <v/>
      </c>
      <c r="AP190" s="0" t="n">
        <v>2.81290980295609</v>
      </c>
      <c r="AQ190" s="0">
        <f>2*PI()*L190*(D190+E190)/(D190*E190*AP190^2)</f>
        <v/>
      </c>
      <c r="AR190" s="0">
        <f>+AO190+AB190/2</f>
        <v/>
      </c>
      <c r="AS190" s="0">
        <f>+AR190*AI190/I190*E190</f>
        <v/>
      </c>
      <c r="AT190" s="0">
        <f>+getublp(AS190)</f>
        <v/>
      </c>
      <c r="AU190" s="0">
        <f>+AT190*AI190</f>
        <v/>
      </c>
      <c r="AV190" s="0">
        <f>+AP190-AU190</f>
        <v/>
      </c>
      <c r="AW190" s="0">
        <f>2/3*AB190/(L190/(9.8*(E190-D190)))^0.5</f>
        <v/>
      </c>
      <c r="AX190" s="0">
        <f>+(2*AQ190*9.8*(E190-D190)/(E190*AW190))^0.5</f>
        <v/>
      </c>
      <c r="AY190" s="0">
        <f>+AV190-AX190</f>
        <v/>
      </c>
      <c r="AZ190" s="0">
        <f>+F190-G190</f>
        <v/>
      </c>
      <c r="BA190" s="0">
        <f>+AQ190/AP190</f>
        <v/>
      </c>
      <c r="BB190" s="15">
        <f>+E190*AO190*AZ190/BA190</f>
        <v/>
      </c>
      <c r="BC190" s="20">
        <f>BB190-S190</f>
        <v/>
      </c>
      <c r="BD190" s="19">
        <f>+(BB190-S190)/S190*100</f>
        <v/>
      </c>
      <c r="BE190" s="15" t="n">
        <v>3028406.4</v>
      </c>
      <c r="BF190" s="16">
        <f>テーブル2[[#This Row],[q_P]]/テーブル2[[#This Row],[q_M]]</f>
        <v/>
      </c>
      <c r="BG190" s="0" t="n">
        <v>1</v>
      </c>
      <c r="BH190" s="0" t="n">
        <v>-0.156</v>
      </c>
      <c r="BI190" s="0" t="n">
        <v>0.046</v>
      </c>
      <c r="BJ190" s="0" t="n">
        <v>5625</v>
      </c>
      <c r="BK190" s="22" t="n">
        <v>1</v>
      </c>
      <c r="BL190" s="0">
        <f>テーブル2[[#This Row],[Ts]]-テーブル2[[#This Row],[Tin]]</f>
        <v/>
      </c>
      <c r="BM190" s="0">
        <f>テーブル2[[#This Row],[q_P]]*0.000001</f>
        <v/>
      </c>
      <c r="BN190" s="0">
        <f>テーブル2[[#This Row],[Tsub]]</f>
        <v/>
      </c>
      <c r="BO190" s="0">
        <f>テーブル2[[#This Row],[Fcorr]]</f>
        <v/>
      </c>
      <c r="BP190" s="0">
        <f>(テーブル2[[#This Row],[Tsub]]-40)^2</f>
        <v/>
      </c>
      <c r="BQ190" t="n">
        <v>1</v>
      </c>
      <c r="BR190" s="0" t="n">
        <v>0.69596</v>
      </c>
    </row>
    <row r="191">
      <c r="A191" s="9" t="inlineStr">
        <is>
          <t>28.01_12</t>
        </is>
      </c>
      <c r="B191" s="0" t="n">
        <v>17236893.2329209</v>
      </c>
      <c r="C191" s="22">
        <f t="array" ref="C191">TsatFromP(テーブル2[[#This Row],[P]])</f>
        <v/>
      </c>
      <c r="D191" s="0">
        <f t="array" ref="D191">RhoGFromP(テーブル2[[#This Row],[P]])</f>
        <v/>
      </c>
      <c r="E191" s="0">
        <f t="array" ref="E191">RhoFFromP(テーブル2[[#This Row],[P]])</f>
        <v/>
      </c>
      <c r="F191" s="0">
        <f t="array" ref="F191">HgFromP(テーブル2[[#This Row],[P]])</f>
        <v/>
      </c>
      <c r="G191" s="0">
        <f t="array" ref="G191">HfFromP(テーブル2[[#This Row],[P]])</f>
        <v/>
      </c>
      <c r="H191" s="0">
        <f t="array" ref="H191">MuGFromP(テーブル2[[#This Row],[P]])</f>
        <v/>
      </c>
      <c r="I191" s="0">
        <f t="array" ref="I191">MuFFromP(テーブル2[[#This Row],[P]])</f>
        <v/>
      </c>
      <c r="J191" s="0">
        <f t="array" ref="J191">KfFromP(テーブル2[[#This Row],[P]])</f>
        <v/>
      </c>
      <c r="K191" s="0">
        <f t="array" ref="K191">CpFFromP(テーブル2[[#This Row],[P]])</f>
        <v/>
      </c>
      <c r="L191" s="0">
        <f t="array" ref="L191">SigmaFromP(テーブル2[[#This Row],[P]])</f>
        <v/>
      </c>
      <c r="M191" s="0" t="n">
        <v>190</v>
      </c>
      <c r="N191" s="0" t="n">
        <v>3607.5718</v>
      </c>
      <c r="O191" s="8">
        <f>PI()*Q191^2/4</f>
        <v/>
      </c>
      <c r="P191" s="8">
        <f>PI()*Q191</f>
        <v/>
      </c>
      <c r="Q191" s="8" t="n">
        <v>0.001905</v>
      </c>
      <c r="R191" s="0" t="n">
        <v>0.69596</v>
      </c>
      <c r="S191" s="15" t="n">
        <v>6458440.91796875</v>
      </c>
      <c r="T191" s="0" t="n">
        <v>299.916495691192</v>
      </c>
      <c r="U191" s="37">
        <f>+T191+BG191*S191*テーブル2[[#This Row],[Pw]]*R191/(N191*O191*K191)</f>
        <v/>
      </c>
      <c r="V191" s="0" t="n">
        <v>0.03</v>
      </c>
      <c r="W191" s="8">
        <f>+N191*Q191/I191</f>
        <v/>
      </c>
      <c r="X191" s="0" t="n">
        <v>0.02492588120939414</v>
      </c>
      <c r="Y191" s="0">
        <f>IF(X191&gt;0,1/X191^0.5,1)</f>
        <v/>
      </c>
      <c r="Z191" s="0">
        <f>IF(X191&gt;0,1.14-2*LOG((0.72*L191*E191)/(X191*Q191*N191^2)+9.35/(W191*X191^0.5)),0)</f>
        <v/>
      </c>
      <c r="AA191" s="0">
        <f>+Y191-Z191</f>
        <v/>
      </c>
      <c r="AB191" s="0">
        <f>32/X191*L191*V191*E191/N191^2</f>
        <v/>
      </c>
      <c r="AC191" s="0" t="n">
        <v>743.4544891043018</v>
      </c>
      <c r="AD191" s="0">
        <f>+Q191/2*AI191/I191*E191</f>
        <v/>
      </c>
      <c r="AE191" s="0">
        <f>+gettm2(AD191,AC191,AK191,AL191,テーブル2[[#This Row],[Fcorr]])</f>
        <v/>
      </c>
      <c r="AF191" s="38">
        <f>+AE191-U191</f>
        <v/>
      </c>
      <c r="AG191" s="0" t="n">
        <v>5.121478724623622e-06</v>
      </c>
      <c r="AH191" s="0">
        <f>+X191*N191^2/(8*E191)</f>
        <v/>
      </c>
      <c r="AI191" s="0">
        <f>+(AH191/E191)^0.5</f>
        <v/>
      </c>
      <c r="AJ191" s="0">
        <f>+AG191*AI191/I191*E191</f>
        <v/>
      </c>
      <c r="AK191" s="0">
        <f t="array" ref="AK191">+S191*テーブル2[[#This Row],[F_form]]/(E191*CpFromTP((テーブル2[[#This Row],[Tin]]+テーブル2[[#This Row],[Tf]])/2,テーブル2[[#This Row],[P]])*AI191)</f>
        <v/>
      </c>
      <c r="AL191" s="0">
        <f>+K191*I191/J191</f>
        <v/>
      </c>
      <c r="AM191" s="0">
        <f>+gettyp(AC191,AJ191,AK191,AL191)</f>
        <v/>
      </c>
      <c r="AN191" s="0">
        <f>+C191-AM191</f>
        <v/>
      </c>
      <c r="AO191" s="0">
        <f>+AG191-AB191</f>
        <v/>
      </c>
      <c r="AP191" s="0" t="n">
        <v>2.972931227261847</v>
      </c>
      <c r="AQ191" s="0">
        <f>2*PI()*L191*(D191+E191)/(D191*E191*AP191^2)</f>
        <v/>
      </c>
      <c r="AR191" s="0">
        <f>+AO191+AB191/2</f>
        <v/>
      </c>
      <c r="AS191" s="0">
        <f>+AR191*AI191/I191*E191</f>
        <v/>
      </c>
      <c r="AT191" s="0">
        <f>+getublp(AS191)</f>
        <v/>
      </c>
      <c r="AU191" s="0">
        <f>+AT191*AI191</f>
        <v/>
      </c>
      <c r="AV191" s="0">
        <f>+AP191-AU191</f>
        <v/>
      </c>
      <c r="AW191" s="0">
        <f>2/3*AB191/(L191/(9.8*(E191-D191)))^0.5</f>
        <v/>
      </c>
      <c r="AX191" s="0">
        <f>+(2*AQ191*9.8*(E191-D191)/(E191*AW191))^0.5</f>
        <v/>
      </c>
      <c r="AY191" s="0">
        <f>+AV191-AX191</f>
        <v/>
      </c>
      <c r="AZ191" s="0">
        <f>+F191-G191</f>
        <v/>
      </c>
      <c r="BA191" s="0">
        <f>+AQ191/AP191</f>
        <v/>
      </c>
      <c r="BB191" s="15">
        <f>+E191*AO191*AZ191/BA191</f>
        <v/>
      </c>
      <c r="BC191" s="20">
        <f>BB191-S191</f>
        <v/>
      </c>
      <c r="BD191" s="19">
        <f>+(BB191-S191)/S191*100</f>
        <v/>
      </c>
      <c r="BE191" s="15" t="n">
        <v>3722416.2</v>
      </c>
      <c r="BF191" s="16">
        <f>テーブル2[[#This Row],[q_P]]/テーブル2[[#This Row],[q_M]]</f>
        <v/>
      </c>
      <c r="BG191" s="0" t="n">
        <v>1</v>
      </c>
      <c r="BH191" s="0" t="n">
        <v>-0.076</v>
      </c>
      <c r="BI191" s="0" t="n">
        <v>0.046</v>
      </c>
      <c r="BJ191" s="0" t="n">
        <v>5625</v>
      </c>
      <c r="BK191" s="22" t="n">
        <v>1</v>
      </c>
      <c r="BL191" s="0">
        <f>テーブル2[[#This Row],[Ts]]-テーブル2[[#This Row],[Tin]]</f>
        <v/>
      </c>
      <c r="BM191" s="0">
        <f>テーブル2[[#This Row],[q_P]]*0.000001</f>
        <v/>
      </c>
      <c r="BN191" s="0">
        <f>テーブル2[[#This Row],[Tsub]]</f>
        <v/>
      </c>
      <c r="BO191" s="0">
        <f>テーブル2[[#This Row],[Fcorr]]</f>
        <v/>
      </c>
      <c r="BP191" s="0">
        <f>(テーブル2[[#This Row],[Tsub]]-40)^2</f>
        <v/>
      </c>
      <c r="BQ191" t="n">
        <v>1</v>
      </c>
      <c r="BR191" s="0" t="n">
        <v>0.69596</v>
      </c>
    </row>
    <row r="192">
      <c r="A192" s="9" t="inlineStr">
        <is>
          <t>29.01_12</t>
        </is>
      </c>
      <c r="B192" s="0" t="n">
        <v>17236893.2329209</v>
      </c>
      <c r="C192" s="22">
        <f t="array" ref="C192">TsatFromP(テーブル2[[#This Row],[P]])</f>
        <v/>
      </c>
      <c r="D192" s="0">
        <f t="array" ref="D192">RhoGFromP(テーブル2[[#This Row],[P]])</f>
        <v/>
      </c>
      <c r="E192" s="0">
        <f t="array" ref="E192">RhoFFromP(テーブル2[[#This Row],[P]])</f>
        <v/>
      </c>
      <c r="F192" s="0">
        <f t="array" ref="F192">HgFromP(テーブル2[[#This Row],[P]])</f>
        <v/>
      </c>
      <c r="G192" s="0">
        <f t="array" ref="G192">HfFromP(テーブル2[[#This Row],[P]])</f>
        <v/>
      </c>
      <c r="H192" s="0">
        <f t="array" ref="H192">MuGFromP(テーブル2[[#This Row],[P]])</f>
        <v/>
      </c>
      <c r="I192" s="0">
        <f t="array" ref="I192">MuFFromP(テーブル2[[#This Row],[P]])</f>
        <v/>
      </c>
      <c r="J192" s="0">
        <f t="array" ref="J192">KfFromP(テーブル2[[#This Row],[P]])</f>
        <v/>
      </c>
      <c r="K192" s="0">
        <f t="array" ref="K192">CpFFromP(テーブル2[[#This Row],[P]])</f>
        <v/>
      </c>
      <c r="L192" s="0">
        <f t="array" ref="L192">SigmaFromP(テーブル2[[#This Row],[P]])</f>
        <v/>
      </c>
      <c r="M192" s="0" t="n">
        <v>191</v>
      </c>
      <c r="N192" s="0" t="n">
        <v>3648.2587</v>
      </c>
      <c r="O192" s="8">
        <f>PI()*Q192^2/4</f>
        <v/>
      </c>
      <c r="P192" s="8">
        <f>PI()*Q192</f>
        <v/>
      </c>
      <c r="Q192" s="8" t="n">
        <v>0.001905</v>
      </c>
      <c r="R192" s="0" t="n">
        <v>0.69596</v>
      </c>
      <c r="S192" s="15" t="n">
        <v>6580462.40234375</v>
      </c>
      <c r="T192" s="0" t="n">
        <v>296.598009128606</v>
      </c>
      <c r="U192" s="37">
        <f>+T192+BG192*S192*テーブル2[[#This Row],[Pw]]*R192/(N192*O192*K192)</f>
        <v/>
      </c>
      <c r="V192" s="0" t="n">
        <v>0.03</v>
      </c>
      <c r="W192" s="8">
        <f>+N192*Q192/I192</f>
        <v/>
      </c>
      <c r="X192" s="0" t="n">
        <v>0.02481647567960062</v>
      </c>
      <c r="Y192" s="0">
        <f>IF(X192&gt;0,1/X192^0.5,1)</f>
        <v/>
      </c>
      <c r="Z192" s="0">
        <f>IF(X192&gt;0,1.14-2*LOG((0.72*L192*E192)/(X192*Q192*N192^2)+9.35/(W192*X192^0.5)),0)</f>
        <v/>
      </c>
      <c r="AA192" s="0">
        <f>+Y192-Z192</f>
        <v/>
      </c>
      <c r="AB192" s="0">
        <f>32/X192*L192*V192*E192/N192^2</f>
        <v/>
      </c>
      <c r="AC192" s="0" t="n">
        <v>744.3651952898969</v>
      </c>
      <c r="AD192" s="0">
        <f>+Q192/2*AI192/I192*E192</f>
        <v/>
      </c>
      <c r="AE192" s="0">
        <f>+gettm2(AD192,AC192,AK192,AL192,テーブル2[[#This Row],[Fcorr]])</f>
        <v/>
      </c>
      <c r="AF192" s="38">
        <f>+AE192-U192</f>
        <v/>
      </c>
      <c r="AG192" s="0" t="n">
        <v>5.032544146978372e-06</v>
      </c>
      <c r="AH192" s="0">
        <f>+X192*N192^2/(8*E192)</f>
        <v/>
      </c>
      <c r="AI192" s="0">
        <f>+(AH192/E192)^0.5</f>
        <v/>
      </c>
      <c r="AJ192" s="0">
        <f>+AG192*AI192/I192*E192</f>
        <v/>
      </c>
      <c r="AK192" s="0">
        <f t="array" ref="AK192">+S192*テーブル2[[#This Row],[F_form]]/(E192*CpFromTP((テーブル2[[#This Row],[Tin]]+テーブル2[[#This Row],[Tf]])/2,テーブル2[[#This Row],[P]])*AI192)</f>
        <v/>
      </c>
      <c r="AL192" s="0">
        <f>+K192*I192/J192</f>
        <v/>
      </c>
      <c r="AM192" s="0">
        <f>+gettyp(AC192,AJ192,AK192,AL192)</f>
        <v/>
      </c>
      <c r="AN192" s="0">
        <f>+C192-AM192</f>
        <v/>
      </c>
      <c r="AO192" s="0">
        <f>+AG192-AB192</f>
        <v/>
      </c>
      <c r="AP192" s="0" t="n">
        <v>2.984237150321718</v>
      </c>
      <c r="AQ192" s="0">
        <f>2*PI()*L192*(D192+E192)/(D192*E192*AP192^2)</f>
        <v/>
      </c>
      <c r="AR192" s="0">
        <f>+AO192+AB192/2</f>
        <v/>
      </c>
      <c r="AS192" s="0">
        <f>+AR192*AI192/I192*E192</f>
        <v/>
      </c>
      <c r="AT192" s="0">
        <f>+getublp(AS192)</f>
        <v/>
      </c>
      <c r="AU192" s="0">
        <f>+AT192*AI192</f>
        <v/>
      </c>
      <c r="AV192" s="0">
        <f>+AP192-AU192</f>
        <v/>
      </c>
      <c r="AW192" s="0">
        <f>2/3*AB192/(L192/(9.8*(E192-D192)))^0.5</f>
        <v/>
      </c>
      <c r="AX192" s="0">
        <f>+(2*AQ192*9.8*(E192-D192)/(E192*AW192))^0.5</f>
        <v/>
      </c>
      <c r="AY192" s="0">
        <f>+AV192-AX192</f>
        <v/>
      </c>
      <c r="AZ192" s="0">
        <f>+F192-G192</f>
        <v/>
      </c>
      <c r="BA192" s="0">
        <f>+AQ192/AP192</f>
        <v/>
      </c>
      <c r="BB192" s="15">
        <f>+E192*AO192*AZ192/BA192</f>
        <v/>
      </c>
      <c r="BC192" s="20">
        <f>BB192-S192</f>
        <v/>
      </c>
      <c r="BD192" s="19">
        <f>+(BB192-S192)/S192*100</f>
        <v/>
      </c>
      <c r="BE192" s="15" t="n">
        <v>3753962.1</v>
      </c>
      <c r="BF192" s="16">
        <f>テーブル2[[#This Row],[q_P]]/テーブル2[[#This Row],[q_M]]</f>
        <v/>
      </c>
      <c r="BG192" s="0" t="n">
        <v>1</v>
      </c>
      <c r="BH192" s="0" t="n">
        <v>-0.097</v>
      </c>
      <c r="BI192" s="0" t="n">
        <v>0.046</v>
      </c>
      <c r="BJ192" s="0" t="n">
        <v>5625</v>
      </c>
      <c r="BK192" s="22" t="n">
        <v>1</v>
      </c>
      <c r="BL192" s="0">
        <f>テーブル2[[#This Row],[Ts]]-テーブル2[[#This Row],[Tin]]</f>
        <v/>
      </c>
      <c r="BM192" s="0">
        <f>テーブル2[[#This Row],[q_P]]*0.000001</f>
        <v/>
      </c>
      <c r="BN192" s="0">
        <f>テーブル2[[#This Row],[Tsub]]</f>
        <v/>
      </c>
      <c r="BO192" s="0">
        <f>テーブル2[[#This Row],[Fcorr]]</f>
        <v/>
      </c>
      <c r="BP192" s="0">
        <f>(テーブル2[[#This Row],[Tsub]]-40)^2</f>
        <v/>
      </c>
      <c r="BQ192" t="n">
        <v>1</v>
      </c>
      <c r="BR192" s="0" t="n">
        <v>0.69596</v>
      </c>
    </row>
    <row r="193">
      <c r="A193" s="9" t="inlineStr">
        <is>
          <t>30.01_12</t>
        </is>
      </c>
      <c r="B193" s="0" t="n">
        <v>17236893.2329209</v>
      </c>
      <c r="C193" s="22">
        <f t="array" ref="C193">TsatFromP(テーブル2[[#This Row],[P]])</f>
        <v/>
      </c>
      <c r="D193" s="0">
        <f t="array" ref="D193">RhoGFromP(テーブル2[[#This Row],[P]])</f>
        <v/>
      </c>
      <c r="E193" s="0">
        <f t="array" ref="E193">RhoFFromP(テーブル2[[#This Row],[P]])</f>
        <v/>
      </c>
      <c r="F193" s="0">
        <f t="array" ref="F193">HgFromP(テーブル2[[#This Row],[P]])</f>
        <v/>
      </c>
      <c r="G193" s="0">
        <f t="array" ref="G193">HfFromP(テーブル2[[#This Row],[P]])</f>
        <v/>
      </c>
      <c r="H193" s="0">
        <f t="array" ref="H193">MuGFromP(テーブル2[[#This Row],[P]])</f>
        <v/>
      </c>
      <c r="I193" s="0">
        <f t="array" ref="I193">MuFFromP(テーブル2[[#This Row],[P]])</f>
        <v/>
      </c>
      <c r="J193" s="0">
        <f t="array" ref="J193">KfFromP(テーブル2[[#This Row],[P]])</f>
        <v/>
      </c>
      <c r="K193" s="0">
        <f t="array" ref="K193">CpFFromP(テーブル2[[#This Row],[P]])</f>
        <v/>
      </c>
      <c r="L193" s="0">
        <f t="array" ref="L193">SigmaFromP(テーブル2[[#This Row],[P]])</f>
        <v/>
      </c>
      <c r="M193" s="0" t="n">
        <v>192</v>
      </c>
      <c r="N193" s="0" t="n">
        <v>3661.821</v>
      </c>
      <c r="O193" s="8">
        <f>PI()*Q193^2/4</f>
        <v/>
      </c>
      <c r="P193" s="8">
        <f>PI()*Q193</f>
        <v/>
      </c>
      <c r="Q193" s="8" t="n">
        <v>0.001905</v>
      </c>
      <c r="R193" s="0" t="n">
        <v>0.69596</v>
      </c>
      <c r="S193" s="15" t="n">
        <v>6556070.21484375</v>
      </c>
      <c r="T193" s="0" t="n">
        <v>298.847871974403</v>
      </c>
      <c r="U193" s="37">
        <f>+T193+BG193*S193*テーブル2[[#This Row],[Pw]]*R193/(N193*O193*K193)</f>
        <v/>
      </c>
      <c r="V193" s="0" t="n">
        <v>0.03</v>
      </c>
      <c r="W193" s="8">
        <f>+N193*Q193/I193</f>
        <v/>
      </c>
      <c r="X193" s="0" t="n">
        <v>0.02478044308208324</v>
      </c>
      <c r="Y193" s="0">
        <f>IF(X193&gt;0,1/X193^0.5,1)</f>
        <v/>
      </c>
      <c r="Z193" s="0">
        <f>IF(X193&gt;0,1.14-2*LOG((0.72*L193*E193)/(X193*Q193*N193^2)+9.35/(W193*X193^0.5)),0)</f>
        <v/>
      </c>
      <c r="AA193" s="0">
        <f>+Y193-Z193</f>
        <v/>
      </c>
      <c r="AB193" s="0">
        <f>32/X193*L193*V193*E193/N193^2</f>
        <v/>
      </c>
      <c r="AC193" s="0" t="n">
        <v>743.3749208680917</v>
      </c>
      <c r="AD193" s="0">
        <f>+Q193/2*AI193/I193*E193</f>
        <v/>
      </c>
      <c r="AE193" s="0">
        <f>+gettm2(AD193,AC193,AK193,AL193,テーブル2[[#This Row],[Fcorr]])</f>
        <v/>
      </c>
      <c r="AF193" s="38">
        <f>+AE193-U193</f>
        <v/>
      </c>
      <c r="AG193" s="0" t="n">
        <v>5.002683425561036e-06</v>
      </c>
      <c r="AH193" s="0">
        <f>+X193*N193^2/(8*E193)</f>
        <v/>
      </c>
      <c r="AI193" s="0">
        <f>+(AH193/E193)^0.5</f>
        <v/>
      </c>
      <c r="AJ193" s="0">
        <f>+AG193*AI193/I193*E193</f>
        <v/>
      </c>
      <c r="AK193" s="0">
        <f t="array" ref="AK193">+S193*テーブル2[[#This Row],[F_form]]/(E193*CpFromTP((テーブル2[[#This Row],[Tin]]+テーブル2[[#This Row],[Tf]])/2,テーブル2[[#This Row],[P]])*AI193)</f>
        <v/>
      </c>
      <c r="AL193" s="0">
        <f>+K193*I193/J193</f>
        <v/>
      </c>
      <c r="AM193" s="0">
        <f>+gettyp(AC193,AJ193,AK193,AL193)</f>
        <v/>
      </c>
      <c r="AN193" s="0">
        <f>+C193-AM193</f>
        <v/>
      </c>
      <c r="AO193" s="0">
        <f>+AG193-AB193</f>
        <v/>
      </c>
      <c r="AP193" s="0" t="n">
        <v>2.987475169595214</v>
      </c>
      <c r="AQ193" s="0">
        <f>2*PI()*L193*(D193+E193)/(D193*E193*AP193^2)</f>
        <v/>
      </c>
      <c r="AR193" s="0">
        <f>+AO193+AB193/2</f>
        <v/>
      </c>
      <c r="AS193" s="0">
        <f>+AR193*AI193/I193*E193</f>
        <v/>
      </c>
      <c r="AT193" s="0">
        <f>+getublp(AS193)</f>
        <v/>
      </c>
      <c r="AU193" s="0">
        <f>+AT193*AI193</f>
        <v/>
      </c>
      <c r="AV193" s="0">
        <f>+AP193-AU193</f>
        <v/>
      </c>
      <c r="AW193" s="0">
        <f>2/3*AB193/(L193/(9.8*(E193-D193)))^0.5</f>
        <v/>
      </c>
      <c r="AX193" s="0">
        <f>+(2*AQ193*9.8*(E193-D193)/(E193*AW193))^0.5</f>
        <v/>
      </c>
      <c r="AY193" s="0">
        <f>+AV193-AX193</f>
        <v/>
      </c>
      <c r="AZ193" s="0">
        <f>+F193-G193</f>
        <v/>
      </c>
      <c r="BA193" s="0">
        <f>+AQ193/AP193</f>
        <v/>
      </c>
      <c r="BB193" s="15">
        <f>+E193*AO193*AZ193/BA193</f>
        <v/>
      </c>
      <c r="BC193" s="20">
        <f>BB193-S193</f>
        <v/>
      </c>
      <c r="BD193" s="19">
        <f>+(BB193-S193)/S193*100</f>
        <v/>
      </c>
      <c r="BE193" s="15" t="n">
        <v>3659324.4</v>
      </c>
      <c r="BF193" s="16">
        <f>テーブル2[[#This Row],[q_P]]/テーブル2[[#This Row],[q_M]]</f>
        <v/>
      </c>
      <c r="BG193" s="0" t="n">
        <v>1</v>
      </c>
      <c r="BH193" s="0" t="n">
        <v>-0.138</v>
      </c>
      <c r="BI193" s="0" t="n">
        <v>0.046</v>
      </c>
      <c r="BJ193" s="0" t="n">
        <v>5625</v>
      </c>
      <c r="BK193" s="22" t="n">
        <v>1</v>
      </c>
      <c r="BL193" s="0">
        <f>テーブル2[[#This Row],[Ts]]-テーブル2[[#This Row],[Tin]]</f>
        <v/>
      </c>
      <c r="BM193" s="0">
        <f>テーブル2[[#This Row],[q_P]]*0.000001</f>
        <v/>
      </c>
      <c r="BN193" s="0">
        <f>テーブル2[[#This Row],[Tsub]]</f>
        <v/>
      </c>
      <c r="BO193" s="0">
        <f>テーブル2[[#This Row],[Fcorr]]</f>
        <v/>
      </c>
      <c r="BP193" s="0">
        <f>(テーブル2[[#This Row],[Tsub]]-40)^2</f>
        <v/>
      </c>
      <c r="BQ193" t="n">
        <v>1</v>
      </c>
      <c r="BR193" s="0" t="n">
        <v>0.69596</v>
      </c>
    </row>
    <row r="194">
      <c r="A194" s="9" t="inlineStr">
        <is>
          <t>9.07_13</t>
        </is>
      </c>
      <c r="B194" s="0" t="n">
        <v>18271106.8268962</v>
      </c>
      <c r="C194" s="22">
        <f t="array" ref="C194">TsatFromP(テーブル2[[#This Row],[P]])</f>
        <v/>
      </c>
      <c r="D194" s="0">
        <f t="array" ref="D194">RhoGFromP(テーブル2[[#This Row],[P]])</f>
        <v/>
      </c>
      <c r="E194" s="0">
        <f t="array" ref="E194">RhoFFromP(テーブル2[[#This Row],[P]])</f>
        <v/>
      </c>
      <c r="F194" s="0">
        <f t="array" ref="F194">HgFromP(テーブル2[[#This Row],[P]])</f>
        <v/>
      </c>
      <c r="G194" s="0">
        <f t="array" ref="G194">HfFromP(テーブル2[[#This Row],[P]])</f>
        <v/>
      </c>
      <c r="H194" s="0">
        <f t="array" ref="H194">MuGFromP(テーブル2[[#This Row],[P]])</f>
        <v/>
      </c>
      <c r="I194" s="0">
        <f t="array" ref="I194">MuFFromP(テーブル2[[#This Row],[P]])</f>
        <v/>
      </c>
      <c r="J194" s="0">
        <f t="array" ref="J194">KfFromP(テーブル2[[#This Row],[P]])</f>
        <v/>
      </c>
      <c r="K194" s="0">
        <f t="array" ref="K194">CpFFromP(テーブル2[[#This Row],[P]])</f>
        <v/>
      </c>
      <c r="L194" s="0">
        <f t="array" ref="L194">SigmaFromP(テーブル2[[#This Row],[P]])</f>
        <v/>
      </c>
      <c r="M194" s="0" t="n">
        <v>193</v>
      </c>
      <c r="N194" s="0" t="n">
        <v>2739.5846</v>
      </c>
      <c r="O194" s="8">
        <f>PI()*Q194^2/4</f>
        <v/>
      </c>
      <c r="P194" s="8">
        <f>PI()*Q194</f>
        <v/>
      </c>
      <c r="Q194" s="8" t="n">
        <v>0.0029972</v>
      </c>
      <c r="R194" s="0" t="n">
        <v>0.150114</v>
      </c>
      <c r="S194" s="15" t="n">
        <v>1151168.84765625</v>
      </c>
      <c r="T194" s="0" t="n">
        <v>612.683046212142</v>
      </c>
      <c r="U194" s="37">
        <f>+T194+BG194*S194*テーブル2[[#This Row],[Pw]]*R194/(N194*O194*K194)</f>
        <v/>
      </c>
      <c r="V194" s="0" t="n">
        <v>0.03</v>
      </c>
      <c r="W194" s="8">
        <f>+N194*Q194/I194</f>
        <v/>
      </c>
      <c r="X194" s="0" t="n">
        <v>0.02358706090902573</v>
      </c>
      <c r="Y194" s="0">
        <f>IF(X194&gt;0,1/X194^0.5,1)</f>
        <v/>
      </c>
      <c r="Z194" s="0">
        <f>IF(X194&gt;0,1.14-2*LOG((0.72*L194*E194)/(X194*Q194*N194^2)+9.35/(W194*X194^0.5)),0)</f>
        <v/>
      </c>
      <c r="AA194" s="0">
        <f>+Y194-Z194</f>
        <v/>
      </c>
      <c r="AB194" s="0">
        <f>32/X194*L194*V194*E194/N194^2</f>
        <v/>
      </c>
      <c r="AC194" s="0" t="n">
        <v>648.6297400493002</v>
      </c>
      <c r="AD194" s="0">
        <f>+Q194/2*AI194/I194*E194</f>
        <v/>
      </c>
      <c r="AE194" s="0">
        <f>+gettm2(AD194,AC194,AK194,AL194,テーブル2[[#This Row],[Fcorr]])</f>
        <v/>
      </c>
      <c r="AF194" s="38">
        <f>+AE194-U194</f>
        <v/>
      </c>
      <c r="AG194" s="0" t="n">
        <v>6.456621723736608e-06</v>
      </c>
      <c r="AH194" s="0">
        <f>+X194*N194^2/(8*E194)</f>
        <v/>
      </c>
      <c r="AI194" s="0">
        <f>+(AH194/E194)^0.5</f>
        <v/>
      </c>
      <c r="AJ194" s="0">
        <f>+AG194*AI194/I194*E194</f>
        <v/>
      </c>
      <c r="AK194" s="0">
        <f t="array" ref="AK194">+S194*テーブル2[[#This Row],[F_form]]/(E194*CpFromTP((テーブル2[[#This Row],[Tin]]+テーブル2[[#This Row],[Tf]])/2,テーブル2[[#This Row],[P]])*AI194)</f>
        <v/>
      </c>
      <c r="AL194" s="0">
        <f>+K194*I194/J194</f>
        <v/>
      </c>
      <c r="AM194" s="0">
        <f>+gettyp(AC194,AJ194,AK194,AL194)</f>
        <v/>
      </c>
      <c r="AN194" s="0">
        <f>+C194-AM194</f>
        <v/>
      </c>
      <c r="AO194" s="0">
        <f>+AG194-AB194</f>
        <v/>
      </c>
      <c r="AP194" s="0" t="n">
        <v>2.265618810104193</v>
      </c>
      <c r="AQ194" s="0">
        <f>2*PI()*L194*(D194+E194)/(D194*E194*AP194^2)</f>
        <v/>
      </c>
      <c r="AR194" s="0">
        <f>+AO194+AB194/2</f>
        <v/>
      </c>
      <c r="AS194" s="0">
        <f>+AR194*AI194/I194*E194</f>
        <v/>
      </c>
      <c r="AT194" s="0">
        <f>+getublp(AS194)</f>
        <v/>
      </c>
      <c r="AU194" s="0">
        <f>+AT194*AI194</f>
        <v/>
      </c>
      <c r="AV194" s="0">
        <f>+AP194-AU194</f>
        <v/>
      </c>
      <c r="AW194" s="0">
        <f>2/3*AB194/(L194/(9.8*(E194-D194)))^0.5</f>
        <v/>
      </c>
      <c r="AX194" s="0">
        <f>+(2*AQ194*9.8*(E194-D194)/(E194*AW194))^0.5</f>
        <v/>
      </c>
      <c r="AY194" s="0">
        <f>+AV194-AX194</f>
        <v/>
      </c>
      <c r="AZ194" s="0">
        <f>+F194-G194</f>
        <v/>
      </c>
      <c r="BA194" s="0">
        <f>+AQ194/AP194</f>
        <v/>
      </c>
      <c r="BB194" s="15">
        <f>+E194*AO194*AZ194/BA194</f>
        <v/>
      </c>
      <c r="BC194" s="20">
        <f>BB194-S194</f>
        <v/>
      </c>
      <c r="BD194" s="19">
        <f>+(BB194-S194)/S194*100</f>
        <v/>
      </c>
      <c r="BE194" s="15" t="n">
        <v>1722406.14</v>
      </c>
      <c r="BF194" s="16">
        <f>テーブル2[[#This Row],[q_P]]/テーブル2[[#This Row],[q_M]]</f>
        <v/>
      </c>
      <c r="BG194" s="0" t="n">
        <v>1</v>
      </c>
      <c r="BH194" s="0" t="n">
        <v>-0.057</v>
      </c>
      <c r="BI194" s="0" t="n">
        <v>0.046</v>
      </c>
      <c r="BJ194" s="0" t="n">
        <v>5625</v>
      </c>
      <c r="BK194" s="22" t="n">
        <v>1</v>
      </c>
      <c r="BL194" s="0">
        <f>テーブル2[[#This Row],[Ts]]-テーブル2[[#This Row],[Tin]]</f>
        <v/>
      </c>
      <c r="BM194" s="0">
        <f>テーブル2[[#This Row],[q_P]]*0.000001</f>
        <v/>
      </c>
      <c r="BN194" s="0">
        <f>テーブル2[[#This Row],[Tsub]]</f>
        <v/>
      </c>
      <c r="BO194" s="0">
        <f>テーブル2[[#This Row],[Fcorr]]</f>
        <v/>
      </c>
      <c r="BP194" s="0">
        <f>(テーブル2[[#This Row],[Tsub]]-40)^2</f>
        <v/>
      </c>
      <c r="BQ194" t="n">
        <v>1</v>
      </c>
      <c r="BR194" s="0" t="n">
        <v>0.150114</v>
      </c>
    </row>
    <row r="195">
      <c r="A195" s="9" t="inlineStr">
        <is>
          <t>10.07_13</t>
        </is>
      </c>
      <c r="B195" s="0" t="n">
        <v>18271106.8268962</v>
      </c>
      <c r="C195" s="22">
        <f t="array" ref="C195">TsatFromP(テーブル2[[#This Row],[P]])</f>
        <v/>
      </c>
      <c r="D195" s="0">
        <f t="array" ref="D195">RhoGFromP(テーブル2[[#This Row],[P]])</f>
        <v/>
      </c>
      <c r="E195" s="0">
        <f t="array" ref="E195">RhoFFromP(テーブル2[[#This Row],[P]])</f>
        <v/>
      </c>
      <c r="F195" s="0">
        <f t="array" ref="F195">HgFromP(テーブル2[[#This Row],[P]])</f>
        <v/>
      </c>
      <c r="G195" s="0">
        <f t="array" ref="G195">HfFromP(テーブル2[[#This Row],[P]])</f>
        <v/>
      </c>
      <c r="H195" s="0">
        <f t="array" ref="H195">MuGFromP(テーブル2[[#This Row],[P]])</f>
        <v/>
      </c>
      <c r="I195" s="0">
        <f t="array" ref="I195">MuFFromP(テーブル2[[#This Row],[P]])</f>
        <v/>
      </c>
      <c r="J195" s="0">
        <f t="array" ref="J195">KfFromP(テーブル2[[#This Row],[P]])</f>
        <v/>
      </c>
      <c r="K195" s="0">
        <f t="array" ref="K195">CpFFromP(テーブル2[[#This Row],[P]])</f>
        <v/>
      </c>
      <c r="L195" s="0">
        <f t="array" ref="L195">SigmaFromP(テーブル2[[#This Row],[P]])</f>
        <v/>
      </c>
      <c r="M195" s="0" t="n">
        <v>194</v>
      </c>
      <c r="N195" s="0" t="n">
        <v>2753.1469</v>
      </c>
      <c r="O195" s="8">
        <f>PI()*Q195^2/4</f>
        <v/>
      </c>
      <c r="P195" s="8">
        <f>PI()*Q195</f>
        <v/>
      </c>
      <c r="Q195" s="8" t="n">
        <v>0.0029972</v>
      </c>
      <c r="R195" s="0" t="n">
        <v>0.150114</v>
      </c>
      <c r="S195" s="15" t="n">
        <v>1154111.62109375</v>
      </c>
      <c r="T195" s="0" t="n">
        <v>612.683046212142</v>
      </c>
      <c r="U195" s="37">
        <f>+T195+BG195*S195*テーブル2[[#This Row],[Pw]]*R195/(N195*O195*K195)</f>
        <v/>
      </c>
      <c r="V195" s="0" t="n">
        <v>0.03</v>
      </c>
      <c r="W195" s="8">
        <f>+N195*Q195/I195</f>
        <v/>
      </c>
      <c r="X195" s="0" t="n">
        <v>0.02354243418371152</v>
      </c>
      <c r="Y195" s="0">
        <f>IF(X195&gt;0,1/X195^0.5,1)</f>
        <v/>
      </c>
      <c r="Z195" s="0">
        <f>IF(X195&gt;0,1.14-2*LOG((0.72*L195*E195)/(X195*Q195*N195^2)+9.35/(W195*X195^0.5)),0)</f>
        <v/>
      </c>
      <c r="AA195" s="0">
        <f>+Y195-Z195</f>
        <v/>
      </c>
      <c r="AB195" s="0">
        <f>32/X195*L195*V195*E195/N195^2</f>
        <v/>
      </c>
      <c r="AC195" s="0" t="n">
        <v>648.5821520165534</v>
      </c>
      <c r="AD195" s="0">
        <f>+Q195/2*AI195/I195*E195</f>
        <v/>
      </c>
      <c r="AE195" s="0">
        <f>+gettm2(AD195,AC195,AK195,AL195,テーブル2[[#This Row],[Fcorr]])</f>
        <v/>
      </c>
      <c r="AF195" s="38">
        <f>+AE195-U195</f>
        <v/>
      </c>
      <c r="AG195" s="0" t="n">
        <v>6.405369648659697e-06</v>
      </c>
      <c r="AH195" s="0">
        <f>+X195*N195^2/(8*E195)</f>
        <v/>
      </c>
      <c r="AI195" s="0">
        <f>+(AH195/E195)^0.5</f>
        <v/>
      </c>
      <c r="AJ195" s="0">
        <f>+AG195*AI195/I195*E195</f>
        <v/>
      </c>
      <c r="AK195" s="0">
        <f t="array" ref="AK195">+S195*テーブル2[[#This Row],[F_form]]/(E195*CpFromTP((テーブル2[[#This Row],[Tin]]+テーブル2[[#This Row],[Tf]])/2,テーブル2[[#This Row],[P]])*AI195)</f>
        <v/>
      </c>
      <c r="AL195" s="0">
        <f>+K195*I195/J195</f>
        <v/>
      </c>
      <c r="AM195" s="0">
        <f>+gettyp(AC195,AJ195,AK195,AL195)</f>
        <v/>
      </c>
      <c r="AN195" s="0">
        <f>+C195-AM195</f>
        <v/>
      </c>
      <c r="AO195" s="0">
        <f>+AG195-AB195</f>
        <v/>
      </c>
      <c r="AP195" s="0" t="n">
        <v>2.268805754809071</v>
      </c>
      <c r="AQ195" s="0">
        <f>2*PI()*L195*(D195+E195)/(D195*E195*AP195^2)</f>
        <v/>
      </c>
      <c r="AR195" s="0">
        <f>+AO195+AB195/2</f>
        <v/>
      </c>
      <c r="AS195" s="0">
        <f>+AR195*AI195/I195*E195</f>
        <v/>
      </c>
      <c r="AT195" s="0">
        <f>+getublp(AS195)</f>
        <v/>
      </c>
      <c r="AU195" s="0">
        <f>+AT195*AI195</f>
        <v/>
      </c>
      <c r="AV195" s="0">
        <f>+AP195-AU195</f>
        <v/>
      </c>
      <c r="AW195" s="0">
        <f>2/3*AB195/(L195/(9.8*(E195-D195)))^0.5</f>
        <v/>
      </c>
      <c r="AX195" s="0">
        <f>+(2*AQ195*9.8*(E195-D195)/(E195*AW195))^0.5</f>
        <v/>
      </c>
      <c r="AY195" s="0">
        <f>+AV195-AX195</f>
        <v/>
      </c>
      <c r="AZ195" s="0">
        <f>+F195-G195</f>
        <v/>
      </c>
      <c r="BA195" s="0">
        <f>+AQ195/AP195</f>
        <v/>
      </c>
      <c r="BB195" s="15">
        <f>+E195*AO195*AZ195/BA195</f>
        <v/>
      </c>
      <c r="BC195" s="20">
        <f>BB195-S195</f>
        <v/>
      </c>
      <c r="BD195" s="19">
        <f>+(BB195-S195)/S195*100</f>
        <v/>
      </c>
      <c r="BE195" s="15" t="n">
        <v>1747642.86</v>
      </c>
      <c r="BF195" s="16">
        <f>テーブル2[[#This Row],[q_P]]/テーブル2[[#This Row],[q_M]]</f>
        <v/>
      </c>
      <c r="BG195" s="0" t="n">
        <v>1</v>
      </c>
      <c r="BH195" s="0" t="n">
        <v>-0.055</v>
      </c>
      <c r="BI195" s="0" t="n">
        <v>0.046</v>
      </c>
      <c r="BJ195" s="0" t="n">
        <v>5625</v>
      </c>
      <c r="BK195" s="22" t="n">
        <v>1</v>
      </c>
      <c r="BL195" s="0">
        <f>テーブル2[[#This Row],[Ts]]-テーブル2[[#This Row],[Tin]]</f>
        <v/>
      </c>
      <c r="BM195" s="0">
        <f>テーブル2[[#This Row],[q_P]]*0.000001</f>
        <v/>
      </c>
      <c r="BN195" s="0">
        <f>テーブル2[[#This Row],[Tsub]]</f>
        <v/>
      </c>
      <c r="BO195" s="0">
        <f>テーブル2[[#This Row],[Fcorr]]</f>
        <v/>
      </c>
      <c r="BP195" s="0">
        <f>(テーブル2[[#This Row],[Tsub]]-40)^2</f>
        <v/>
      </c>
      <c r="BQ195" t="n">
        <v>1</v>
      </c>
      <c r="BR195" s="0" t="n">
        <v>0.150114</v>
      </c>
    </row>
    <row r="196">
      <c r="A196" s="9" t="inlineStr">
        <is>
          <t>1.01_14</t>
        </is>
      </c>
      <c r="B196" s="0" t="n">
        <v>18960582.556213</v>
      </c>
      <c r="C196" s="22">
        <f t="array" ref="C196">TsatFromP(テーブル2[[#This Row],[P]])</f>
        <v/>
      </c>
      <c r="D196" s="0">
        <f t="array" ref="D196">RhoGFromP(テーブル2[[#This Row],[P]])</f>
        <v/>
      </c>
      <c r="E196" s="0">
        <f t="array" ref="E196">RhoFFromP(テーブル2[[#This Row],[P]])</f>
        <v/>
      </c>
      <c r="F196" s="0">
        <f t="array" ref="F196">HgFromP(テーブル2[[#This Row],[P]])</f>
        <v/>
      </c>
      <c r="G196" s="0">
        <f t="array" ref="G196">HfFromP(テーブル2[[#This Row],[P]])</f>
        <v/>
      </c>
      <c r="H196" s="0">
        <f t="array" ref="H196">MuGFromP(テーブル2[[#This Row],[P]])</f>
        <v/>
      </c>
      <c r="I196" s="0">
        <f t="array" ref="I196">MuFFromP(テーブル2[[#This Row],[P]])</f>
        <v/>
      </c>
      <c r="J196" s="0">
        <f t="array" ref="J196">KfFromP(テーブル2[[#This Row],[P]])</f>
        <v/>
      </c>
      <c r="K196" s="0">
        <f t="array" ref="K196">CpFFromP(テーブル2[[#This Row],[P]])</f>
        <v/>
      </c>
      <c r="L196" s="0">
        <f t="array" ref="L196">SigmaFromP(テーブル2[[#This Row],[P]])</f>
        <v/>
      </c>
      <c r="M196" s="0" t="n">
        <v>195</v>
      </c>
      <c r="N196" s="0" t="n">
        <v>1844.4728</v>
      </c>
      <c r="O196" s="8">
        <f>PI()*Q196^2/4</f>
        <v/>
      </c>
      <c r="P196" s="8">
        <f>PI()*Q196</f>
        <v/>
      </c>
      <c r="Q196" s="8" t="n">
        <v>0.001905</v>
      </c>
      <c r="R196" s="0" t="n">
        <v>0.1524</v>
      </c>
      <c r="S196" s="15" t="n">
        <v>2584217.42578125</v>
      </c>
      <c r="T196" s="0" t="n">
        <v>558.46565244537</v>
      </c>
      <c r="U196" s="37">
        <f>+T196+BG196*S196*テーブル2[[#This Row],[Pw]]*R196/(N196*O196*K196)</f>
        <v/>
      </c>
      <c r="V196" s="0" t="n">
        <v>0.03</v>
      </c>
      <c r="W196" s="8">
        <f>+N196*Q196/I196</f>
        <v/>
      </c>
      <c r="X196" s="0" t="n">
        <v>0.02890389008300534</v>
      </c>
      <c r="Y196" s="0">
        <f>IF(X196&gt;0,1/X196^0.5,1)</f>
        <v/>
      </c>
      <c r="Z196" s="0">
        <f>IF(X196&gt;0,1.14-2*LOG((0.72*L196*E196)/(X196*Q196*N196^2)+9.35/(W196*X196^0.5)),0)</f>
        <v/>
      </c>
      <c r="AA196" s="0">
        <f>+Y196-Z196</f>
        <v/>
      </c>
      <c r="AB196" s="0">
        <f>32/X196*L196*V196*E196/N196^2</f>
        <v/>
      </c>
      <c r="AC196" s="0" t="n">
        <v>718.6919671801721</v>
      </c>
      <c r="AD196" s="0">
        <f>+Q196/2*AI196/I196*E196</f>
        <v/>
      </c>
      <c r="AE196" s="0">
        <f>+gettm2(AD196,AC196,AK196,AL196,テーブル2[[#This Row],[Fcorr]])</f>
        <v/>
      </c>
      <c r="AF196" s="38">
        <f>+AE196-U196</f>
        <v/>
      </c>
      <c r="AG196" s="0" t="n">
        <v>8.557930864843843e-06</v>
      </c>
      <c r="AH196" s="0">
        <f>+X196*N196^2/(8*E196)</f>
        <v/>
      </c>
      <c r="AI196" s="0">
        <f>+(AH196/E196)^0.5</f>
        <v/>
      </c>
      <c r="AJ196" s="0">
        <f>+AG196*AI196/I196*E196</f>
        <v/>
      </c>
      <c r="AK196" s="0">
        <f t="array" ref="AK196">+S196*テーブル2[[#This Row],[F_form]]/(E196*CpFromTP((テーブル2[[#This Row],[Tin]]+テーブル2[[#This Row],[Tf]])/2,テーブル2[[#This Row],[P]])*AI196)</f>
        <v/>
      </c>
      <c r="AL196" s="0">
        <f>+K196*I196/J196</f>
        <v/>
      </c>
      <c r="AM196" s="0">
        <f>+gettyp(AC196,AJ196,AK196,AL196)</f>
        <v/>
      </c>
      <c r="AN196" s="0">
        <f>+C196-AM196</f>
        <v/>
      </c>
      <c r="AO196" s="0">
        <f>+AG196-AB196</f>
        <v/>
      </c>
      <c r="AP196" s="0" t="n">
        <v>1.792847861978187</v>
      </c>
      <c r="AQ196" s="0">
        <f>2*PI()*L196*(D196+E196)/(D196*E196*AP196^2)</f>
        <v/>
      </c>
      <c r="AR196" s="0">
        <f>+AO196+AB196/2</f>
        <v/>
      </c>
      <c r="AS196" s="0">
        <f>+AR196*AI196/I196*E196</f>
        <v/>
      </c>
      <c r="AT196" s="0">
        <f>+getublp(AS196)</f>
        <v/>
      </c>
      <c r="AU196" s="0">
        <f>+AT196*AI196</f>
        <v/>
      </c>
      <c r="AV196" s="0">
        <f>+AP196-AU196</f>
        <v/>
      </c>
      <c r="AW196" s="0">
        <f>2/3*AB196/(L196/(9.8*(E196-D196)))^0.5</f>
        <v/>
      </c>
      <c r="AX196" s="0">
        <f>+(2*AQ196*9.8*(E196-D196)/(E196*AW196))^0.5</f>
        <v/>
      </c>
      <c r="AY196" s="0">
        <f>+AV196-AX196</f>
        <v/>
      </c>
      <c r="AZ196" s="0">
        <f>+F196-G196</f>
        <v/>
      </c>
      <c r="BA196" s="0">
        <f>+AQ196/AP196</f>
        <v/>
      </c>
      <c r="BB196" s="15">
        <f>+E196*AO196*AZ196/BA196</f>
        <v/>
      </c>
      <c r="BC196" s="20">
        <f>BB196-S196</f>
        <v/>
      </c>
      <c r="BD196" s="19">
        <f>+(BB196-S196)/S196*100</f>
        <v/>
      </c>
      <c r="BE196" s="15" t="n">
        <v>2555217.9</v>
      </c>
      <c r="BF196" s="16">
        <f>テーブル2[[#This Row],[q_P]]/テーブル2[[#This Row],[q_M]]</f>
        <v/>
      </c>
      <c r="BG196" s="0" t="n">
        <v>1</v>
      </c>
      <c r="BH196" s="0" t="n">
        <v>-0.103</v>
      </c>
      <c r="BI196" s="0" t="n">
        <v>0.046</v>
      </c>
      <c r="BJ196" s="0" t="n">
        <v>5625</v>
      </c>
      <c r="BK196" s="22" t="n">
        <v>1</v>
      </c>
      <c r="BL196" s="0">
        <f>テーブル2[[#This Row],[Ts]]-テーブル2[[#This Row],[Tin]]</f>
        <v/>
      </c>
      <c r="BM196" s="0">
        <f>テーブル2[[#This Row],[q_P]]*0.000001</f>
        <v/>
      </c>
      <c r="BN196" s="0">
        <f>テーブル2[[#This Row],[Tsub]]</f>
        <v/>
      </c>
      <c r="BO196" s="0">
        <f>テーブル2[[#This Row],[Fcorr]]</f>
        <v/>
      </c>
      <c r="BP196" s="0">
        <f>(テーブル2[[#This Row],[Tsub]]-40)^2</f>
        <v/>
      </c>
      <c r="BQ196" t="n">
        <v>1</v>
      </c>
      <c r="BR196" s="0" t="n">
        <v>0.1524</v>
      </c>
    </row>
    <row r="197">
      <c r="A197" s="9" t="inlineStr">
        <is>
          <t>2.01_14</t>
        </is>
      </c>
      <c r="B197" s="0" t="n">
        <v>18960582.556213</v>
      </c>
      <c r="C197" s="22">
        <f t="array" ref="C197">TsatFromP(テーブル2[[#This Row],[P]])</f>
        <v/>
      </c>
      <c r="D197" s="0">
        <f t="array" ref="D197">RhoGFromP(テーブル2[[#This Row],[P]])</f>
        <v/>
      </c>
      <c r="E197" s="0">
        <f t="array" ref="E197">RhoFFromP(テーブル2[[#This Row],[P]])</f>
        <v/>
      </c>
      <c r="F197" s="0">
        <f t="array" ref="F197">HgFromP(テーブル2[[#This Row],[P]])</f>
        <v/>
      </c>
      <c r="G197" s="0">
        <f t="array" ref="G197">HfFromP(テーブル2[[#This Row],[P]])</f>
        <v/>
      </c>
      <c r="H197" s="0">
        <f t="array" ref="H197">MuGFromP(テーブル2[[#This Row],[P]])</f>
        <v/>
      </c>
      <c r="I197" s="0">
        <f t="array" ref="I197">MuFFromP(テーブル2[[#This Row],[P]])</f>
        <v/>
      </c>
      <c r="J197" s="0">
        <f t="array" ref="J197">KfFromP(テーブル2[[#This Row],[P]])</f>
        <v/>
      </c>
      <c r="K197" s="0">
        <f t="array" ref="K197">CpFFromP(テーブル2[[#This Row],[P]])</f>
        <v/>
      </c>
      <c r="L197" s="0">
        <f t="array" ref="L197">SigmaFromP(テーブル2[[#This Row],[P]])</f>
        <v/>
      </c>
      <c r="M197" s="0" t="n">
        <v>196</v>
      </c>
      <c r="N197" s="0" t="n">
        <v>1858.0351</v>
      </c>
      <c r="O197" s="8">
        <f>PI()*Q197^2/4</f>
        <v/>
      </c>
      <c r="P197" s="8">
        <f>PI()*Q197</f>
        <v/>
      </c>
      <c r="Q197" s="8" t="n">
        <v>0.001905</v>
      </c>
      <c r="R197" s="0" t="n">
        <v>0.1524</v>
      </c>
      <c r="S197" s="15" t="n">
        <v>2654687.98828125</v>
      </c>
      <c r="T197" s="0" t="n">
        <v>556.262958086546</v>
      </c>
      <c r="U197" s="37">
        <f>+T197+BG197*S197*テーブル2[[#This Row],[Pw]]*R197/(N197*O197*K197)</f>
        <v/>
      </c>
      <c r="V197" s="0" t="n">
        <v>0.03</v>
      </c>
      <c r="W197" s="8">
        <f>+N197*Q197/I197</f>
        <v/>
      </c>
      <c r="X197" s="0" t="n">
        <v>0.02881589879320575</v>
      </c>
      <c r="Y197" s="0">
        <f>IF(X197&gt;0,1/X197^0.5,1)</f>
        <v/>
      </c>
      <c r="Z197" s="0">
        <f>IF(X197&gt;0,1.14-2*LOG((0.72*L197*E197)/(X197*Q197*N197^2)+9.35/(W197*X197^0.5)),0)</f>
        <v/>
      </c>
      <c r="AA197" s="0">
        <f>+Y197-Z197</f>
        <v/>
      </c>
      <c r="AB197" s="0">
        <f>32/X197*L197*V197*E197/N197^2</f>
        <v/>
      </c>
      <c r="AC197" s="0" t="n">
        <v>721.0717243907019</v>
      </c>
      <c r="AD197" s="0">
        <f>+Q197/2*AI197/I197*E197</f>
        <v/>
      </c>
      <c r="AE197" s="0">
        <f>+gettm2(AD197,AC197,AK197,AL197,テーブル2[[#This Row],[Fcorr]])</f>
        <v/>
      </c>
      <c r="AF197" s="38">
        <f>+AE197-U197</f>
        <v/>
      </c>
      <c r="AG197" s="0" t="n">
        <v>8.462080408093945e-06</v>
      </c>
      <c r="AH197" s="0">
        <f>+X197*N197^2/(8*E197)</f>
        <v/>
      </c>
      <c r="AI197" s="0">
        <f>+(AH197/E197)^0.5</f>
        <v/>
      </c>
      <c r="AJ197" s="0">
        <f>+AG197*AI197/I197*E197</f>
        <v/>
      </c>
      <c r="AK197" s="0">
        <f t="array" ref="AK197">+S197*テーブル2[[#This Row],[F_form]]/(E197*CpFromTP((テーブル2[[#This Row],[Tin]]+テーブル2[[#This Row],[Tf]])/2,テーブル2[[#This Row],[P]])*AI197)</f>
        <v/>
      </c>
      <c r="AL197" s="0">
        <f>+K197*I197/J197</f>
        <v/>
      </c>
      <c r="AM197" s="0">
        <f>+gettyp(AC197,AJ197,AK197,AL197)</f>
        <v/>
      </c>
      <c r="AN197" s="0">
        <f>+C197-AM197</f>
        <v/>
      </c>
      <c r="AO197" s="0">
        <f>+AG197-AB197</f>
        <v/>
      </c>
      <c r="AP197" s="0" t="n">
        <v>1.797247785497471</v>
      </c>
      <c r="AQ197" s="0">
        <f>2*PI()*L197*(D197+E197)/(D197*E197*AP197^2)</f>
        <v/>
      </c>
      <c r="AR197" s="0">
        <f>+AO197+AB197/2</f>
        <v/>
      </c>
      <c r="AS197" s="0">
        <f>+AR197*AI197/I197*E197</f>
        <v/>
      </c>
      <c r="AT197" s="0">
        <f>+getublp(AS197)</f>
        <v/>
      </c>
      <c r="AU197" s="0">
        <f>+AT197*AI197</f>
        <v/>
      </c>
      <c r="AV197" s="0">
        <f>+AP197-AU197</f>
        <v/>
      </c>
      <c r="AW197" s="0">
        <f>2/3*AB197/(L197/(9.8*(E197-D197)))^0.5</f>
        <v/>
      </c>
      <c r="AX197" s="0">
        <f>+(2*AQ197*9.8*(E197-D197)/(E197*AW197))^0.5</f>
        <v/>
      </c>
      <c r="AY197" s="0">
        <f>+AV197-AX197</f>
        <v/>
      </c>
      <c r="AZ197" s="0">
        <f>+F197-G197</f>
        <v/>
      </c>
      <c r="BA197" s="0">
        <f>+AQ197/AP197</f>
        <v/>
      </c>
      <c r="BB197" s="15">
        <f>+E197*AO197*AZ197/BA197</f>
        <v/>
      </c>
      <c r="BC197" s="20">
        <f>BB197-S197</f>
        <v/>
      </c>
      <c r="BD197" s="19">
        <f>+(BB197-S197)/S197*100</f>
        <v/>
      </c>
      <c r="BE197" s="15" t="n">
        <v>2744493.3</v>
      </c>
      <c r="BF197" s="16">
        <f>テーブル2[[#This Row],[q_P]]/テーブル2[[#This Row],[q_M]]</f>
        <v/>
      </c>
      <c r="BG197" s="0" t="n">
        <v>1</v>
      </c>
      <c r="BH197" s="0" t="n">
        <v>-0.077</v>
      </c>
      <c r="BI197" s="0" t="n">
        <v>0.046</v>
      </c>
      <c r="BJ197" s="0" t="n">
        <v>5625</v>
      </c>
      <c r="BK197" s="22" t="n">
        <v>1</v>
      </c>
      <c r="BL197" s="0">
        <f>テーブル2[[#This Row],[Ts]]-テーブル2[[#This Row],[Tin]]</f>
        <v/>
      </c>
      <c r="BM197" s="0">
        <f>テーブル2[[#This Row],[q_P]]*0.000001</f>
        <v/>
      </c>
      <c r="BN197" s="0">
        <f>テーブル2[[#This Row],[Tsub]]</f>
        <v/>
      </c>
      <c r="BO197" s="0">
        <f>テーブル2[[#This Row],[Fcorr]]</f>
        <v/>
      </c>
      <c r="BP197" s="0">
        <f>(テーブル2[[#This Row],[Tsub]]-40)^2</f>
        <v/>
      </c>
      <c r="BQ197" t="n">
        <v>1</v>
      </c>
      <c r="BR197" s="0" t="n">
        <v>0.1524</v>
      </c>
    </row>
    <row r="198">
      <c r="A198" s="9" t="inlineStr">
        <is>
          <t>3.01_14</t>
        </is>
      </c>
      <c r="B198" s="0" t="n">
        <v>18960582.556213</v>
      </c>
      <c r="C198" s="22">
        <f t="array" ref="C198">TsatFromP(テーブル2[[#This Row],[P]])</f>
        <v/>
      </c>
      <c r="D198" s="0">
        <f t="array" ref="D198">RhoGFromP(テーブル2[[#This Row],[P]])</f>
        <v/>
      </c>
      <c r="E198" s="0">
        <f t="array" ref="E198">RhoFFromP(テーブル2[[#This Row],[P]])</f>
        <v/>
      </c>
      <c r="F198" s="0">
        <f t="array" ref="F198">HgFromP(テーブル2[[#This Row],[P]])</f>
        <v/>
      </c>
      <c r="G198" s="0">
        <f t="array" ref="G198">HfFromP(テーブル2[[#This Row],[P]])</f>
        <v/>
      </c>
      <c r="H198" s="0">
        <f t="array" ref="H198">MuGFromP(テーブル2[[#This Row],[P]])</f>
        <v/>
      </c>
      <c r="I198" s="0">
        <f t="array" ref="I198">MuFFromP(テーブル2[[#This Row],[P]])</f>
        <v/>
      </c>
      <c r="J198" s="0">
        <f t="array" ref="J198">KfFromP(テーブル2[[#This Row],[P]])</f>
        <v/>
      </c>
      <c r="K198" s="0">
        <f t="array" ref="K198">CpFFromP(テーブル2[[#This Row],[P]])</f>
        <v/>
      </c>
      <c r="L198" s="0">
        <f t="array" ref="L198">SigmaFromP(テーブル2[[#This Row],[P]])</f>
        <v/>
      </c>
      <c r="M198" s="0" t="n">
        <v>197</v>
      </c>
      <c r="N198" s="0" t="n">
        <v>1871.5974</v>
      </c>
      <c r="O198" s="8">
        <f>PI()*Q198^2/4</f>
        <v/>
      </c>
      <c r="P198" s="8">
        <f>PI()*Q198</f>
        <v/>
      </c>
      <c r="Q198" s="8" t="n">
        <v>0.001905</v>
      </c>
      <c r="R198" s="0" t="n">
        <v>0.1524</v>
      </c>
      <c r="S198" s="15" t="n">
        <v>3157560.29296875</v>
      </c>
      <c r="T198" s="0" t="n">
        <v>538.502454571743</v>
      </c>
      <c r="U198" s="37">
        <f>+T198+BG198*S198*テーブル2[[#This Row],[Pw]]*R198/(N198*O198*K198)</f>
        <v/>
      </c>
      <c r="V198" s="0" t="n">
        <v>0.03</v>
      </c>
      <c r="W198" s="8">
        <f>+N198*Q198/I198</f>
        <v/>
      </c>
      <c r="X198" s="0" t="n">
        <v>0.02872895543349727</v>
      </c>
      <c r="Y198" s="0">
        <f>IF(X198&gt;0,1/X198^0.5,1)</f>
        <v/>
      </c>
      <c r="Z198" s="0">
        <f>IF(X198&gt;0,1.14-2*LOG((0.72*L198*E198)/(X198*Q198*N198^2)+9.35/(W198*X198^0.5)),0)</f>
        <v/>
      </c>
      <c r="AA198" s="0">
        <f>+Y198-Z198</f>
        <v/>
      </c>
      <c r="AB198" s="0">
        <f>32/X198*L198*V198*E198/N198^2</f>
        <v/>
      </c>
      <c r="AC198" s="0" t="n">
        <v>742.6318235233447</v>
      </c>
      <c r="AD198" s="0">
        <f>+Q198/2*AI198/I198*E198</f>
        <v/>
      </c>
      <c r="AE198" s="0">
        <f>+gettm2(AD198,AC198,AK198,AL198,テーブル2[[#This Row],[Fcorr]])</f>
        <v/>
      </c>
      <c r="AF198" s="38">
        <f>+AE198-U198</f>
        <v/>
      </c>
      <c r="AG198" s="0" t="n">
        <v>8.388160213887692e-06</v>
      </c>
      <c r="AH198" s="0">
        <f>+X198*N198^2/(8*E198)</f>
        <v/>
      </c>
      <c r="AI198" s="0">
        <f>+(AH198/E198)^0.5</f>
        <v/>
      </c>
      <c r="AJ198" s="0">
        <f>+AG198*AI198/I198*E198</f>
        <v/>
      </c>
      <c r="AK198" s="0">
        <f t="array" ref="AK198">+S198*テーブル2[[#This Row],[F_form]]/(E198*CpFromTP((テーブル2[[#This Row],[Tin]]+テーブル2[[#This Row],[Tf]])/2,テーブル2[[#This Row],[P]])*AI198)</f>
        <v/>
      </c>
      <c r="AL198" s="0">
        <f>+K198*I198/J198</f>
        <v/>
      </c>
      <c r="AM198" s="0">
        <f>+gettyp(AC198,AJ198,AK198,AL198)</f>
        <v/>
      </c>
      <c r="AN198" s="0">
        <f>+C198-AM198</f>
        <v/>
      </c>
      <c r="AO198" s="0">
        <f>+AG198-AB198</f>
        <v/>
      </c>
      <c r="AP198" s="0" t="n">
        <v>1.80618173777312</v>
      </c>
      <c r="AQ198" s="0">
        <f>2*PI()*L198*(D198+E198)/(D198*E198*AP198^2)</f>
        <v/>
      </c>
      <c r="AR198" s="0">
        <f>+AO198+AB198/2</f>
        <v/>
      </c>
      <c r="AS198" s="0">
        <f>+AR198*AI198/I198*E198</f>
        <v/>
      </c>
      <c r="AT198" s="0">
        <f>+getublp(AS198)</f>
        <v/>
      </c>
      <c r="AU198" s="0">
        <f>+AT198*AI198</f>
        <v/>
      </c>
      <c r="AV198" s="0">
        <f>+AP198-AU198</f>
        <v/>
      </c>
      <c r="AW198" s="0">
        <f>2/3*AB198/(L198/(9.8*(E198-D198)))^0.5</f>
        <v/>
      </c>
      <c r="AX198" s="0">
        <f>+(2*AQ198*9.8*(E198-D198)/(E198*AW198))^0.5</f>
        <v/>
      </c>
      <c r="AY198" s="0">
        <f>+AV198-AX198</f>
        <v/>
      </c>
      <c r="AZ198" s="0">
        <f>+F198-G198</f>
        <v/>
      </c>
      <c r="BA198" s="0">
        <f>+AQ198/AP198</f>
        <v/>
      </c>
      <c r="BB198" s="15">
        <f>+E198*AO198*AZ198/BA198</f>
        <v/>
      </c>
      <c r="BC198" s="20">
        <f>BB198-S198</f>
        <v/>
      </c>
      <c r="BD198" s="19">
        <f>+(BB198-S198)/S198*100</f>
        <v/>
      </c>
      <c r="BE198" s="15" t="n">
        <v>3186135.9</v>
      </c>
      <c r="BF198" s="16">
        <f>テーブル2[[#This Row],[q_P]]/テーブル2[[#This Row],[q_M]]</f>
        <v/>
      </c>
      <c r="BG198" s="0" t="n">
        <v>1</v>
      </c>
      <c r="BH198" s="0" t="n">
        <v>-0.1</v>
      </c>
      <c r="BI198" s="0" t="n">
        <v>0.046</v>
      </c>
      <c r="BJ198" s="0" t="n">
        <v>5625</v>
      </c>
      <c r="BK198" s="22" t="n">
        <v>1</v>
      </c>
      <c r="BL198" s="0">
        <f>テーブル2[[#This Row],[Ts]]-テーブル2[[#This Row],[Tin]]</f>
        <v/>
      </c>
      <c r="BM198" s="0">
        <f>テーブル2[[#This Row],[q_P]]*0.000001</f>
        <v/>
      </c>
      <c r="BN198" s="0">
        <f>テーブル2[[#This Row],[Tsub]]</f>
        <v/>
      </c>
      <c r="BO198" s="0">
        <f>テーブル2[[#This Row],[Fcorr]]</f>
        <v/>
      </c>
      <c r="BP198" s="0">
        <f>(テーブル2[[#This Row],[Tsub]]-40)^2</f>
        <v/>
      </c>
      <c r="BQ198" t="n">
        <v>1</v>
      </c>
      <c r="BR198" s="0" t="n">
        <v>0.1524</v>
      </c>
    </row>
    <row r="199">
      <c r="A199" s="9" t="inlineStr">
        <is>
          <t>4.01_14</t>
        </is>
      </c>
      <c r="B199" s="0" t="n">
        <v>18960582.556213</v>
      </c>
      <c r="C199" s="22">
        <f t="array" ref="C199">TsatFromP(テーブル2[[#This Row],[P]])</f>
        <v/>
      </c>
      <c r="D199" s="0">
        <f t="array" ref="D199">RhoGFromP(テーブル2[[#This Row],[P]])</f>
        <v/>
      </c>
      <c r="E199" s="0">
        <f t="array" ref="E199">RhoFFromP(テーブル2[[#This Row],[P]])</f>
        <v/>
      </c>
      <c r="F199" s="0">
        <f t="array" ref="F199">HgFromP(テーブル2[[#This Row],[P]])</f>
        <v/>
      </c>
      <c r="G199" s="0">
        <f t="array" ref="G199">HfFromP(テーブル2[[#This Row],[P]])</f>
        <v/>
      </c>
      <c r="H199" s="0">
        <f t="array" ref="H199">MuGFromP(テーブル2[[#This Row],[P]])</f>
        <v/>
      </c>
      <c r="I199" s="0">
        <f t="array" ref="I199">MuFFromP(テーブル2[[#This Row],[P]])</f>
        <v/>
      </c>
      <c r="J199" s="0">
        <f t="array" ref="J199">KfFromP(テーブル2[[#This Row],[P]])</f>
        <v/>
      </c>
      <c r="K199" s="0">
        <f t="array" ref="K199">CpFFromP(テーブル2[[#This Row],[P]])</f>
        <v/>
      </c>
      <c r="L199" s="0">
        <f t="array" ref="L199">SigmaFromP(テーブル2[[#This Row],[P]])</f>
        <v/>
      </c>
      <c r="M199" s="0" t="n">
        <v>198</v>
      </c>
      <c r="N199" s="0" t="n">
        <v>1885.1597</v>
      </c>
      <c r="O199" s="8">
        <f>PI()*Q199^2/4</f>
        <v/>
      </c>
      <c r="P199" s="8">
        <f>PI()*Q199</f>
        <v/>
      </c>
      <c r="Q199" s="8" t="n">
        <v>0.001905</v>
      </c>
      <c r="R199" s="0" t="n">
        <v>0.1524</v>
      </c>
      <c r="S199" s="15" t="n">
        <v>3199926.7578125</v>
      </c>
      <c r="T199" s="0" t="n">
        <v>537.34621978095</v>
      </c>
      <c r="U199" s="37">
        <f>+T199+BG199*S199*テーブル2[[#This Row],[Pw]]*R199/(N199*O199*K199)</f>
        <v/>
      </c>
      <c r="V199" s="0" t="n">
        <v>0.03</v>
      </c>
      <c r="W199" s="8">
        <f>+N199*Q199/I199</f>
        <v/>
      </c>
      <c r="X199" s="0" t="n">
        <v>0.02864303899650424</v>
      </c>
      <c r="Y199" s="0">
        <f>IF(X199&gt;0,1/X199^0.5,1)</f>
        <v/>
      </c>
      <c r="Z199" s="0">
        <f>IF(X199&gt;0,1.14-2*LOG((0.72*L199*E199)/(X199*Q199*N199^2)+9.35/(W199*X199^0.5)),0)</f>
        <v/>
      </c>
      <c r="AA199" s="0">
        <f>+Y199-Z199</f>
        <v/>
      </c>
      <c r="AB199" s="0">
        <f>32/X199*L199*V199*E199/N199^2</f>
        <v/>
      </c>
      <c r="AC199" s="0" t="n">
        <v>743.6262860081139</v>
      </c>
      <c r="AD199" s="0">
        <f>+Q199/2*AI199/I199*E199</f>
        <v/>
      </c>
      <c r="AE199" s="0">
        <f>+gettm2(AD199,AC199,AK199,AL199,テーブル2[[#This Row],[Fcorr]])</f>
        <v/>
      </c>
      <c r="AF199" s="38">
        <f>+AE199-U199</f>
        <v/>
      </c>
      <c r="AG199" s="0" t="n">
        <v>8.293804850733115e-06</v>
      </c>
      <c r="AH199" s="0">
        <f>+X199*N199^2/(8*E199)</f>
        <v/>
      </c>
      <c r="AI199" s="0">
        <f>+(AH199/E199)^0.5</f>
        <v/>
      </c>
      <c r="AJ199" s="0">
        <f>+AG199*AI199/I199*E199</f>
        <v/>
      </c>
      <c r="AK199" s="0">
        <f t="array" ref="AK199">+S199*テーブル2[[#This Row],[F_form]]/(E199*CpFromTP((テーブル2[[#This Row],[Tin]]+テーブル2[[#This Row],[Tf]])/2,テーブル2[[#This Row],[P]])*AI199)</f>
        <v/>
      </c>
      <c r="AL199" s="0">
        <f>+K199*I199/J199</f>
        <v/>
      </c>
      <c r="AM199" s="0">
        <f>+gettyp(AC199,AJ199,AK199,AL199)</f>
        <v/>
      </c>
      <c r="AN199" s="0">
        <f>+C199-AM199</f>
        <v/>
      </c>
      <c r="AO199" s="0">
        <f>+AG199-AB199</f>
        <v/>
      </c>
      <c r="AP199" s="0" t="n">
        <v>1.810148878374978</v>
      </c>
      <c r="AQ199" s="0">
        <f>2*PI()*L199*(D199+E199)/(D199*E199*AP199^2)</f>
        <v/>
      </c>
      <c r="AR199" s="0">
        <f>+AO199+AB199/2</f>
        <v/>
      </c>
      <c r="AS199" s="0">
        <f>+AR199*AI199/I199*E199</f>
        <v/>
      </c>
      <c r="AT199" s="0">
        <f>+getublp(AS199)</f>
        <v/>
      </c>
      <c r="AU199" s="0">
        <f>+AT199*AI199</f>
        <v/>
      </c>
      <c r="AV199" s="0">
        <f>+AP199-AU199</f>
        <v/>
      </c>
      <c r="AW199" s="0">
        <f>2/3*AB199/(L199/(9.8*(E199-D199)))^0.5</f>
        <v/>
      </c>
      <c r="AX199" s="0">
        <f>+(2*AQ199*9.8*(E199-D199)/(E199*AW199))^0.5</f>
        <v/>
      </c>
      <c r="AY199" s="0">
        <f>+AV199-AX199</f>
        <v/>
      </c>
      <c r="AZ199" s="0">
        <f>+F199-G199</f>
        <v/>
      </c>
      <c r="BA199" s="0">
        <f>+AQ199/AP199</f>
        <v/>
      </c>
      <c r="BB199" s="15">
        <f>+E199*AO199*AZ199/BA199</f>
        <v/>
      </c>
      <c r="BC199" s="20">
        <f>BB199-S199</f>
        <v/>
      </c>
      <c r="BD199" s="19">
        <f>+(BB199-S199)/S199*100</f>
        <v/>
      </c>
      <c r="BE199" s="15" t="n">
        <v>3091498.2</v>
      </c>
      <c r="BF199" s="16">
        <f>テーブル2[[#This Row],[q_P]]/テーブル2[[#This Row],[q_M]]</f>
        <v/>
      </c>
      <c r="BG199" s="0" t="n">
        <v>1</v>
      </c>
      <c r="BH199" s="0" t="n">
        <v>-0.136</v>
      </c>
      <c r="BI199" s="0" t="n">
        <v>0.046</v>
      </c>
      <c r="BJ199" s="0" t="n">
        <v>5625</v>
      </c>
      <c r="BK199" s="22" t="n">
        <v>1</v>
      </c>
      <c r="BL199" s="0">
        <f>テーブル2[[#This Row],[Ts]]-テーブル2[[#This Row],[Tin]]</f>
        <v/>
      </c>
      <c r="BM199" s="0">
        <f>テーブル2[[#This Row],[q_P]]*0.000001</f>
        <v/>
      </c>
      <c r="BN199" s="0">
        <f>テーブル2[[#This Row],[Tsub]]</f>
        <v/>
      </c>
      <c r="BO199" s="0">
        <f>テーブル2[[#This Row],[Fcorr]]</f>
        <v/>
      </c>
      <c r="BP199" s="0">
        <f>(テーブル2[[#This Row],[Tsub]]-40)^2</f>
        <v/>
      </c>
      <c r="BQ199" t="n">
        <v>1</v>
      </c>
      <c r="BR199" s="0" t="n">
        <v>0.1524</v>
      </c>
    </row>
    <row r="200">
      <c r="A200" s="9" t="inlineStr">
        <is>
          <t>5.01_14</t>
        </is>
      </c>
      <c r="B200" s="0" t="n">
        <v>18960582.556213</v>
      </c>
      <c r="C200" s="22">
        <f t="array" ref="C200">TsatFromP(テーブル2[[#This Row],[P]])</f>
        <v/>
      </c>
      <c r="D200" s="0">
        <f t="array" ref="D200">RhoGFromP(テーブル2[[#This Row],[P]])</f>
        <v/>
      </c>
      <c r="E200" s="0">
        <f t="array" ref="E200">RhoFFromP(テーブル2[[#This Row],[P]])</f>
        <v/>
      </c>
      <c r="F200" s="0">
        <f t="array" ref="F200">HgFromP(テーブル2[[#This Row],[P]])</f>
        <v/>
      </c>
      <c r="G200" s="0">
        <f t="array" ref="G200">HfFromP(テーブル2[[#This Row],[P]])</f>
        <v/>
      </c>
      <c r="H200" s="0">
        <f t="array" ref="H200">MuGFromP(テーブル2[[#This Row],[P]])</f>
        <v/>
      </c>
      <c r="I200" s="0">
        <f t="array" ref="I200">MuFFromP(テーブル2[[#This Row],[P]])</f>
        <v/>
      </c>
      <c r="J200" s="0">
        <f t="array" ref="J200">KfFromP(テーブル2[[#This Row],[P]])</f>
        <v/>
      </c>
      <c r="K200" s="0">
        <f t="array" ref="K200">CpFFromP(テーブル2[[#This Row],[P]])</f>
        <v/>
      </c>
      <c r="L200" s="0">
        <f t="array" ref="L200">SigmaFromP(テーブル2[[#This Row],[P]])</f>
        <v/>
      </c>
      <c r="M200" s="0" t="n">
        <v>199</v>
      </c>
      <c r="N200" s="0" t="n">
        <v>2034.345</v>
      </c>
      <c r="O200" s="8">
        <f>PI()*Q200^2/4</f>
        <v/>
      </c>
      <c r="P200" s="8">
        <f>PI()*Q200</f>
        <v/>
      </c>
      <c r="Q200" s="8" t="n">
        <v>0.001905</v>
      </c>
      <c r="R200" s="0" t="n">
        <v>0.1524</v>
      </c>
      <c r="S200" s="15" t="n">
        <v>4617700.1953125</v>
      </c>
      <c r="T200" s="0" t="n">
        <v>491.169378472797</v>
      </c>
      <c r="U200" s="37">
        <f>+T200+BG200*S200*テーブル2[[#This Row],[Pw]]*R200/(N200*O200*K200)</f>
        <v/>
      </c>
      <c r="V200" s="0" t="n">
        <v>0.03</v>
      </c>
      <c r="W200" s="8">
        <f>+N200*Q200/I200</f>
        <v/>
      </c>
      <c r="X200" s="0" t="n">
        <v>0.02776046638943676</v>
      </c>
      <c r="Y200" s="0">
        <f>IF(X200&gt;0,1/X200^0.5,1)</f>
        <v/>
      </c>
      <c r="Z200" s="0">
        <f>IF(X200&gt;0,1.14-2*LOG((0.72*L200*E200)/(X200*Q200*N200^2)+9.35/(W200*X200^0.5)),0)</f>
        <v/>
      </c>
      <c r="AA200" s="0">
        <f>+Y200-Z200</f>
        <v/>
      </c>
      <c r="AB200" s="0">
        <f>32/X200*L200*V200*E200/N200^2</f>
        <v/>
      </c>
      <c r="AC200" s="0" t="n">
        <v>794.1842651994288</v>
      </c>
      <c r="AD200" s="0">
        <f>+Q200/2*AI200/I200*E200</f>
        <v/>
      </c>
      <c r="AE200" s="0">
        <f>+gettm2(AD200,AC200,AK200,AL200,テーブル2[[#This Row],[Fcorr]])</f>
        <v/>
      </c>
      <c r="AF200" s="38">
        <f>+AE200-U200</f>
        <v/>
      </c>
      <c r="AG200" s="0" t="n">
        <v>7.405810977798782e-06</v>
      </c>
      <c r="AH200" s="0">
        <f>+X200*N200^2/(8*E200)</f>
        <v/>
      </c>
      <c r="AI200" s="0">
        <f>+(AH200/E200)^0.5</f>
        <v/>
      </c>
      <c r="AJ200" s="0">
        <f>+AG200*AI200/I200*E200</f>
        <v/>
      </c>
      <c r="AK200" s="0">
        <f t="array" ref="AK200">+S200*テーブル2[[#This Row],[F_form]]/(E200*CpFromTP((テーブル2[[#This Row],[Tin]]+テーブル2[[#This Row],[Tf]])/2,テーブル2[[#This Row],[P]])*AI200)</f>
        <v/>
      </c>
      <c r="AL200" s="0">
        <f>+K200*I200/J200</f>
        <v/>
      </c>
      <c r="AM200" s="0">
        <f>+gettyp(AC200,AJ200,AK200,AL200)</f>
        <v/>
      </c>
      <c r="AN200" s="0">
        <f>+C200-AM200</f>
        <v/>
      </c>
      <c r="AO200" s="0">
        <f>+AG200-AB200</f>
        <v/>
      </c>
      <c r="AP200" s="0" t="n">
        <v>1.864222108268455</v>
      </c>
      <c r="AQ200" s="0">
        <f>2*PI()*L200*(D200+E200)/(D200*E200*AP200^2)</f>
        <v/>
      </c>
      <c r="AR200" s="0">
        <f>+AO200+AB200/2</f>
        <v/>
      </c>
      <c r="AS200" s="0">
        <f>+AR200*AI200/I200*E200</f>
        <v/>
      </c>
      <c r="AT200" s="0">
        <f>+getublp(AS200)</f>
        <v/>
      </c>
      <c r="AU200" s="0">
        <f>+AT200*AI200</f>
        <v/>
      </c>
      <c r="AV200" s="0">
        <f>+AP200-AU200</f>
        <v/>
      </c>
      <c r="AW200" s="0">
        <f>2/3*AB200/(L200/(9.8*(E200-D200)))^0.5</f>
        <v/>
      </c>
      <c r="AX200" s="0">
        <f>+(2*AQ200*9.8*(E200-D200)/(E200*AW200))^0.5</f>
        <v/>
      </c>
      <c r="AY200" s="0">
        <f>+AV200-AX200</f>
        <v/>
      </c>
      <c r="AZ200" s="0">
        <f>+F200-G200</f>
        <v/>
      </c>
      <c r="BA200" s="0">
        <f>+AQ200/AP200</f>
        <v/>
      </c>
      <c r="BB200" s="15">
        <f>+E200*AO200*AZ200/BA200</f>
        <v/>
      </c>
      <c r="BC200" s="20">
        <f>BB200-S200</f>
        <v/>
      </c>
      <c r="BD200" s="19">
        <f>+(BB200-S200)/S200*100</f>
        <v/>
      </c>
      <c r="BE200" s="15" t="n">
        <v>4164058.8</v>
      </c>
      <c r="BF200" s="16">
        <f>テーブル2[[#This Row],[q_P]]/テーブル2[[#This Row],[q_M]]</f>
        <v/>
      </c>
      <c r="BG200" s="0" t="n">
        <v>1</v>
      </c>
      <c r="BH200" s="0" t="n">
        <v>-0.257</v>
      </c>
      <c r="BI200" s="0" t="n">
        <v>0.046</v>
      </c>
      <c r="BJ200" s="0" t="n">
        <v>5625</v>
      </c>
      <c r="BK200" s="22" t="n">
        <v>1</v>
      </c>
      <c r="BL200" s="0">
        <f>テーブル2[[#This Row],[Ts]]-テーブル2[[#This Row],[Tin]]</f>
        <v/>
      </c>
      <c r="BM200" s="0">
        <f>テーブル2[[#This Row],[q_P]]*0.000001</f>
        <v/>
      </c>
      <c r="BN200" s="0">
        <f>テーブル2[[#This Row],[Tsub]]</f>
        <v/>
      </c>
      <c r="BO200" s="0">
        <f>テーブル2[[#This Row],[Fcorr]]</f>
        <v/>
      </c>
      <c r="BP200" s="0">
        <f>(テーブル2[[#This Row],[Tsub]]-40)^2</f>
        <v/>
      </c>
      <c r="BQ200" t="n">
        <v>1</v>
      </c>
      <c r="BR200" s="0" t="n">
        <v>0.1524</v>
      </c>
    </row>
    <row r="201">
      <c r="A201" s="9" t="inlineStr">
        <is>
          <t>6.01_14</t>
        </is>
      </c>
      <c r="B201" s="0" t="n">
        <v>18960582.556213</v>
      </c>
      <c r="C201" s="22">
        <f t="array" ref="C201">TsatFromP(テーブル2[[#This Row],[P]])</f>
        <v/>
      </c>
      <c r="D201" s="0">
        <f t="array" ref="D201">RhoGFromP(テーブル2[[#This Row],[P]])</f>
        <v/>
      </c>
      <c r="E201" s="0">
        <f t="array" ref="E201">RhoFFromP(テーブル2[[#This Row],[P]])</f>
        <v/>
      </c>
      <c r="F201" s="0">
        <f t="array" ref="F201">HgFromP(テーブル2[[#This Row],[P]])</f>
        <v/>
      </c>
      <c r="G201" s="0">
        <f t="array" ref="G201">HfFromP(テーブル2[[#This Row],[P]])</f>
        <v/>
      </c>
      <c r="H201" s="0">
        <f t="array" ref="H201">MuGFromP(テーブル2[[#This Row],[P]])</f>
        <v/>
      </c>
      <c r="I201" s="0">
        <f t="array" ref="I201">MuFFromP(テーブル2[[#This Row],[P]])</f>
        <v/>
      </c>
      <c r="J201" s="0">
        <f t="array" ref="J201">KfFromP(テーブル2[[#This Row],[P]])</f>
        <v/>
      </c>
      <c r="K201" s="0">
        <f t="array" ref="K201">CpFFromP(テーブル2[[#This Row],[P]])</f>
        <v/>
      </c>
      <c r="L201" s="0">
        <f t="array" ref="L201">SigmaFromP(テーブル2[[#This Row],[P]])</f>
        <v/>
      </c>
      <c r="M201" s="0" t="n">
        <v>200</v>
      </c>
      <c r="N201" s="0" t="n">
        <v>2034.345</v>
      </c>
      <c r="O201" s="8">
        <f>PI()*Q201^2/4</f>
        <v/>
      </c>
      <c r="P201" s="8">
        <f>PI()*Q201</f>
        <v/>
      </c>
      <c r="Q201" s="8" t="n">
        <v>0.001905</v>
      </c>
      <c r="R201" s="0" t="n">
        <v>0.1524</v>
      </c>
      <c r="S201" s="15" t="n">
        <v>3898645.01953125</v>
      </c>
      <c r="T201" s="0" t="n">
        <v>516.780766639971</v>
      </c>
      <c r="U201" s="37">
        <f>+T201+BG201*S201*テーブル2[[#This Row],[Pw]]*R201/(N201*O201*K201)</f>
        <v/>
      </c>
      <c r="V201" s="0" t="n">
        <v>0.03</v>
      </c>
      <c r="W201" s="8">
        <f>+N201*Q201/I201</f>
        <v/>
      </c>
      <c r="X201" s="0" t="n">
        <v>0.02776046638943676</v>
      </c>
      <c r="Y201" s="0">
        <f>IF(X201&gt;0,1/X201^0.5,1)</f>
        <v/>
      </c>
      <c r="Z201" s="0">
        <f>IF(X201&gt;0,1.14-2*LOG((0.72*L201*E201)/(X201*Q201*N201^2)+9.35/(W201*X201^0.5)),0)</f>
        <v/>
      </c>
      <c r="AA201" s="0">
        <f>+Y201-Z201</f>
        <v/>
      </c>
      <c r="AB201" s="0">
        <f>32/X201*L201*V201*E201/N201^2</f>
        <v/>
      </c>
      <c r="AC201" s="0" t="n">
        <v>763.5607851872236</v>
      </c>
      <c r="AD201" s="0">
        <f>+Q201/2*AI201/I201*E201</f>
        <v/>
      </c>
      <c r="AE201" s="0">
        <f>+gettm2(AD201,AC201,AK201,AL201,テーブル2[[#This Row],[Fcorr]])</f>
        <v/>
      </c>
      <c r="AF201" s="38">
        <f>+AE201-U201</f>
        <v/>
      </c>
      <c r="AG201" s="0" t="n">
        <v>7.380125399951233e-06</v>
      </c>
      <c r="AH201" s="0">
        <f>+X201*N201^2/(8*E201)</f>
        <v/>
      </c>
      <c r="AI201" s="0">
        <f>+(AH201/E201)^0.5</f>
        <v/>
      </c>
      <c r="AJ201" s="0">
        <f>+AG201*AI201/I201*E201</f>
        <v/>
      </c>
      <c r="AK201" s="0">
        <f t="array" ref="AK201">+S201*テーブル2[[#This Row],[F_form]]/(E201*CpFromTP((テーブル2[[#This Row],[Tin]]+テーブル2[[#This Row],[Tf]])/2,テーブル2[[#This Row],[P]])*AI201)</f>
        <v/>
      </c>
      <c r="AL201" s="0">
        <f>+K201*I201/J201</f>
        <v/>
      </c>
      <c r="AM201" s="0">
        <f>+gettyp(AC201,AJ201,AK201,AL201)</f>
        <v/>
      </c>
      <c r="AN201" s="0">
        <f>+C201-AM201</f>
        <v/>
      </c>
      <c r="AO201" s="0">
        <f>+AG201-AB201</f>
        <v/>
      </c>
      <c r="AP201" s="0" t="n">
        <v>1.857242256433528</v>
      </c>
      <c r="AQ201" s="0">
        <f>2*PI()*L201*(D201+E201)/(D201*E201*AP201^2)</f>
        <v/>
      </c>
      <c r="AR201" s="0">
        <f>+AO201+AB201/2</f>
        <v/>
      </c>
      <c r="AS201" s="0">
        <f>+AR201*AI201/I201*E201</f>
        <v/>
      </c>
      <c r="AT201" s="0">
        <f>+getublp(AS201)</f>
        <v/>
      </c>
      <c r="AU201" s="0">
        <f>+AT201*AI201</f>
        <v/>
      </c>
      <c r="AV201" s="0">
        <f>+AP201-AU201</f>
        <v/>
      </c>
      <c r="AW201" s="0">
        <f>2/3*AB201/(L201/(9.8*(E201-D201)))^0.5</f>
        <v/>
      </c>
      <c r="AX201" s="0">
        <f>+(2*AQ201*9.8*(E201-D201)/(E201*AW201))^0.5</f>
        <v/>
      </c>
      <c r="AY201" s="0">
        <f>+AV201-AX201</f>
        <v/>
      </c>
      <c r="AZ201" s="0">
        <f>+F201-G201</f>
        <v/>
      </c>
      <c r="BA201" s="0">
        <f>+AQ201/AP201</f>
        <v/>
      </c>
      <c r="BB201" s="15">
        <f>+E201*AO201*AZ201/BA201</f>
        <v/>
      </c>
      <c r="BC201" s="20">
        <f>BB201-S201</f>
        <v/>
      </c>
      <c r="BD201" s="19">
        <f>+(BB201-S201)/S201*100</f>
        <v/>
      </c>
      <c r="BE201" s="15" t="n">
        <v>3722416.2</v>
      </c>
      <c r="BF201" s="16">
        <f>テーブル2[[#This Row],[q_P]]/テーブル2[[#This Row],[q_M]]</f>
        <v/>
      </c>
      <c r="BG201" s="0" t="n">
        <v>1</v>
      </c>
      <c r="BH201" s="0" t="n">
        <v>-0.189</v>
      </c>
      <c r="BI201" s="0" t="n">
        <v>0.046</v>
      </c>
      <c r="BJ201" s="0" t="n">
        <v>5625</v>
      </c>
      <c r="BK201" s="22" t="n">
        <v>1</v>
      </c>
      <c r="BL201" s="0">
        <f>テーブル2[[#This Row],[Ts]]-テーブル2[[#This Row],[Tin]]</f>
        <v/>
      </c>
      <c r="BM201" s="0">
        <f>テーブル2[[#This Row],[q_P]]*0.000001</f>
        <v/>
      </c>
      <c r="BN201" s="0">
        <f>テーブル2[[#This Row],[Tsub]]</f>
        <v/>
      </c>
      <c r="BO201" s="0">
        <f>テーブル2[[#This Row],[Fcorr]]</f>
        <v/>
      </c>
      <c r="BP201" s="0">
        <f>(テーブル2[[#This Row],[Tsub]]-40)^2</f>
        <v/>
      </c>
      <c r="BQ201" t="n">
        <v>1</v>
      </c>
      <c r="BR201" s="0" t="n">
        <v>0.1524</v>
      </c>
    </row>
    <row r="202">
      <c r="A202" s="9" t="inlineStr">
        <is>
          <t>7.01_14</t>
        </is>
      </c>
      <c r="B202" s="0" t="n">
        <v>18960582.556213</v>
      </c>
      <c r="C202" s="22">
        <f t="array" ref="C202">TsatFromP(テーブル2[[#This Row],[P]])</f>
        <v/>
      </c>
      <c r="D202" s="0">
        <f t="array" ref="D202">RhoGFromP(テーブル2[[#This Row],[P]])</f>
        <v/>
      </c>
      <c r="E202" s="0">
        <f t="array" ref="E202">RhoFFromP(テーブル2[[#This Row],[P]])</f>
        <v/>
      </c>
      <c r="F202" s="0">
        <f t="array" ref="F202">HgFromP(テーブル2[[#This Row],[P]])</f>
        <v/>
      </c>
      <c r="G202" s="0">
        <f t="array" ref="G202">HfFromP(テーブル2[[#This Row],[P]])</f>
        <v/>
      </c>
      <c r="H202" s="0">
        <f t="array" ref="H202">MuGFromP(テーブル2[[#This Row],[P]])</f>
        <v/>
      </c>
      <c r="I202" s="0">
        <f t="array" ref="I202">MuFFromP(テーブル2[[#This Row],[P]])</f>
        <v/>
      </c>
      <c r="J202" s="0">
        <f t="array" ref="J202">KfFromP(テーブル2[[#This Row],[P]])</f>
        <v/>
      </c>
      <c r="K202" s="0">
        <f t="array" ref="K202">CpFFromP(テーブル2[[#This Row],[P]])</f>
        <v/>
      </c>
      <c r="L202" s="0">
        <f t="array" ref="L202">SigmaFromP(テーブル2[[#This Row],[P]])</f>
        <v/>
      </c>
      <c r="M202" s="0" t="n">
        <v>201</v>
      </c>
      <c r="N202" s="0" t="n">
        <v>2047.9073</v>
      </c>
      <c r="O202" s="8">
        <f>PI()*Q202^2/4</f>
        <v/>
      </c>
      <c r="P202" s="8">
        <f>PI()*Q202</f>
        <v/>
      </c>
      <c r="Q202" s="8" t="n">
        <v>0.001905</v>
      </c>
      <c r="R202" s="0" t="n">
        <v>0.1524</v>
      </c>
      <c r="S202" s="15" t="n">
        <v>4632226.5625</v>
      </c>
      <c r="T202" s="0" t="n">
        <v>491.169378472797</v>
      </c>
      <c r="U202" s="37">
        <f>+T202+BG202*S202*テーブル2[[#This Row],[Pw]]*R202/(N202*O202*K202)</f>
        <v/>
      </c>
      <c r="V202" s="0" t="n">
        <v>0.03</v>
      </c>
      <c r="W202" s="8">
        <f>+N202*Q202/I202</f>
        <v/>
      </c>
      <c r="X202" s="0" t="n">
        <v>0.02768547481126576</v>
      </c>
      <c r="Y202" s="0">
        <f>IF(X202&gt;0,1/X202^0.5,1)</f>
        <v/>
      </c>
      <c r="Z202" s="0">
        <f>IF(X202&gt;0,1.14-2*LOG((0.72*L202*E202)/(X202*Q202*N202^2)+9.35/(W202*X202^0.5)),0)</f>
        <v/>
      </c>
      <c r="AA202" s="0">
        <f>+Y202-Z202</f>
        <v/>
      </c>
      <c r="AB202" s="0">
        <f>32/X202*L202*V202*E202/N202^2</f>
        <v/>
      </c>
      <c r="AC202" s="0" t="n">
        <v>793.6170867372052</v>
      </c>
      <c r="AD202" s="0">
        <f>+Q202/2*AI202/I202*E202</f>
        <v/>
      </c>
      <c r="AE202" s="0">
        <f>+gettm2(AD202,AC202,AK202,AL202,テーブル2[[#This Row],[Fcorr]])</f>
        <v/>
      </c>
      <c r="AF202" s="38">
        <f>+AE202-U202</f>
        <v/>
      </c>
      <c r="AG202" s="0" t="n">
        <v>7.331110359721409e-06</v>
      </c>
      <c r="AH202" s="0">
        <f>+X202*N202^2/(8*E202)</f>
        <v/>
      </c>
      <c r="AI202" s="0">
        <f>+(AH202/E202)^0.5</f>
        <v/>
      </c>
      <c r="AJ202" s="0">
        <f>+AG202*AI202/I202*E202</f>
        <v/>
      </c>
      <c r="AK202" s="0">
        <f t="array" ref="AK202">+S202*テーブル2[[#This Row],[F_form]]/(E202*CpFromTP((テーブル2[[#This Row],[Tin]]+テーブル2[[#This Row],[Tf]])/2,テーブル2[[#This Row],[P]])*AI202)</f>
        <v/>
      </c>
      <c r="AL202" s="0">
        <f>+K202*I202/J202</f>
        <v/>
      </c>
      <c r="AM202" s="0">
        <f>+gettyp(AC202,AJ202,AK202,AL202)</f>
        <v/>
      </c>
      <c r="AN202" s="0">
        <f>+C202-AM202</f>
        <v/>
      </c>
      <c r="AO202" s="0">
        <f>+AG202-AB202</f>
        <v/>
      </c>
      <c r="AP202" s="0" t="n">
        <v>1.868479842549314</v>
      </c>
      <c r="AQ202" s="0">
        <f>2*PI()*L202*(D202+E202)/(D202*E202*AP202^2)</f>
        <v/>
      </c>
      <c r="AR202" s="0">
        <f>+AO202+AB202/2</f>
        <v/>
      </c>
      <c r="AS202" s="0">
        <f>+AR202*AI202/I202*E202</f>
        <v/>
      </c>
      <c r="AT202" s="0">
        <f>+getublp(AS202)</f>
        <v/>
      </c>
      <c r="AU202" s="0">
        <f>+AT202*AI202</f>
        <v/>
      </c>
      <c r="AV202" s="0">
        <f>+AP202-AU202</f>
        <v/>
      </c>
      <c r="AW202" s="0">
        <f>2/3*AB202/(L202/(9.8*(E202-D202)))^0.5</f>
        <v/>
      </c>
      <c r="AX202" s="0">
        <f>+(2*AQ202*9.8*(E202-D202)/(E202*AW202))^0.5</f>
        <v/>
      </c>
      <c r="AY202" s="0">
        <f>+AV202-AX202</f>
        <v/>
      </c>
      <c r="AZ202" s="0">
        <f>+F202-G202</f>
        <v/>
      </c>
      <c r="BA202" s="0">
        <f>+AQ202/AP202</f>
        <v/>
      </c>
      <c r="BB202" s="15">
        <f>+E202*AO202*AZ202/BA202</f>
        <v/>
      </c>
      <c r="BC202" s="20">
        <f>BB202-S202</f>
        <v/>
      </c>
      <c r="BD202" s="19">
        <f>+(BB202-S202)/S202*100</f>
        <v/>
      </c>
      <c r="BE202" s="15" t="n">
        <v>4164058.8</v>
      </c>
      <c r="BF202" s="16">
        <f>テーブル2[[#This Row],[q_P]]/テーブル2[[#This Row],[q_M]]</f>
        <v/>
      </c>
      <c r="BG202" s="0" t="n">
        <v>1</v>
      </c>
      <c r="BH202" s="0" t="n">
        <v>-0.263</v>
      </c>
      <c r="BI202" s="0" t="n">
        <v>0.046</v>
      </c>
      <c r="BJ202" s="0" t="n">
        <v>5625</v>
      </c>
      <c r="BK202" s="22" t="n">
        <v>1</v>
      </c>
      <c r="BL202" s="0">
        <f>テーブル2[[#This Row],[Ts]]-テーブル2[[#This Row],[Tin]]</f>
        <v/>
      </c>
      <c r="BM202" s="0">
        <f>テーブル2[[#This Row],[q_P]]*0.000001</f>
        <v/>
      </c>
      <c r="BN202" s="0">
        <f>テーブル2[[#This Row],[Tsub]]</f>
        <v/>
      </c>
      <c r="BO202" s="0">
        <f>テーブル2[[#This Row],[Fcorr]]</f>
        <v/>
      </c>
      <c r="BP202" s="0">
        <f>(テーブル2[[#This Row],[Tsub]]-40)^2</f>
        <v/>
      </c>
      <c r="BQ202" t="n">
        <v>1</v>
      </c>
      <c r="BR202" s="0" t="n">
        <v>0.1524</v>
      </c>
    </row>
    <row r="203">
      <c r="A203" s="9" t="inlineStr">
        <is>
          <t>8.01_14</t>
        </is>
      </c>
      <c r="B203" s="0" t="n">
        <v>18960582.556213</v>
      </c>
      <c r="C203" s="22">
        <f t="array" ref="C203">TsatFromP(テーブル2[[#This Row],[P]])</f>
        <v/>
      </c>
      <c r="D203" s="0">
        <f t="array" ref="D203">RhoGFromP(テーブル2[[#This Row],[P]])</f>
        <v/>
      </c>
      <c r="E203" s="0">
        <f t="array" ref="E203">RhoFFromP(テーブル2[[#This Row],[P]])</f>
        <v/>
      </c>
      <c r="F203" s="0">
        <f t="array" ref="F203">HgFromP(テーブル2[[#This Row],[P]])</f>
        <v/>
      </c>
      <c r="G203" s="0">
        <f t="array" ref="G203">HfFromP(テーブル2[[#This Row],[P]])</f>
        <v/>
      </c>
      <c r="H203" s="0">
        <f t="array" ref="H203">MuGFromP(テーブル2[[#This Row],[P]])</f>
        <v/>
      </c>
      <c r="I203" s="0">
        <f t="array" ref="I203">MuFFromP(テーブル2[[#This Row],[P]])</f>
        <v/>
      </c>
      <c r="J203" s="0">
        <f t="array" ref="J203">KfFromP(テーブル2[[#This Row],[P]])</f>
        <v/>
      </c>
      <c r="K203" s="0">
        <f t="array" ref="K203">CpFFromP(テーブル2[[#This Row],[P]])</f>
        <v/>
      </c>
      <c r="L203" s="0">
        <f t="array" ref="L203">SigmaFromP(テーブル2[[#This Row],[P]])</f>
        <v/>
      </c>
      <c r="M203" s="0" t="n">
        <v>202</v>
      </c>
      <c r="N203" s="0" t="n">
        <v>2047.9073</v>
      </c>
      <c r="O203" s="8">
        <f>PI()*Q203^2/4</f>
        <v/>
      </c>
      <c r="P203" s="8">
        <f>PI()*Q203</f>
        <v/>
      </c>
      <c r="Q203" s="8" t="n">
        <v>0.001905</v>
      </c>
      <c r="R203" s="0" t="n">
        <v>0.1524</v>
      </c>
      <c r="S203" s="15" t="n">
        <v>3879760.7421875</v>
      </c>
      <c r="T203" s="0" t="n">
        <v>517.881938735954</v>
      </c>
      <c r="U203" s="37">
        <f>+T203+BG203*S203*テーブル2[[#This Row],[Pw]]*R203/(N203*O203*K203)</f>
        <v/>
      </c>
      <c r="V203" s="0" t="n">
        <v>0.03</v>
      </c>
      <c r="W203" s="8">
        <f>+N203*Q203/I203</f>
        <v/>
      </c>
      <c r="X203" s="0" t="n">
        <v>0.02768547481126576</v>
      </c>
      <c r="Y203" s="0">
        <f>IF(X203&gt;0,1/X203^0.5,1)</f>
        <v/>
      </c>
      <c r="Z203" s="0">
        <f>IF(X203&gt;0,1.14-2*LOG((0.72*L203*E203)/(X203*Q203*N203^2)+9.35/(W203*X203^0.5)),0)</f>
        <v/>
      </c>
      <c r="AA203" s="0">
        <f>+Y203-Z203</f>
        <v/>
      </c>
      <c r="AB203" s="0">
        <f>32/X203*L203*V203*E203/N203^2</f>
        <v/>
      </c>
      <c r="AC203" s="0" t="n">
        <v>761.7957494884216</v>
      </c>
      <c r="AD203" s="0">
        <f>+Q203/2*AI203/I203*E203</f>
        <v/>
      </c>
      <c r="AE203" s="0">
        <f>+gettm2(AD203,AC203,AK203,AL203,テーブル2[[#This Row],[Fcorr]])</f>
        <v/>
      </c>
      <c r="AF203" s="38">
        <f>+AE203-U203</f>
        <v/>
      </c>
      <c r="AG203" s="0" t="n">
        <v>7.303913552640175e-06</v>
      </c>
      <c r="AH203" s="0">
        <f>+X203*N203^2/(8*E203)</f>
        <v/>
      </c>
      <c r="AI203" s="0">
        <f>+(AH203/E203)^0.5</f>
        <v/>
      </c>
      <c r="AJ203" s="0">
        <f>+AG203*AI203/I203*E203</f>
        <v/>
      </c>
      <c r="AK203" s="0">
        <f t="array" ref="AK203">+S203*テーブル2[[#This Row],[F_form]]/(E203*CpFromTP((テーブル2[[#This Row],[Tin]]+テーブル2[[#This Row],[Tf]])/2,テーブル2[[#This Row],[P]])*AI203)</f>
        <v/>
      </c>
      <c r="AL203" s="0">
        <f>+K203*I203/J203</f>
        <v/>
      </c>
      <c r="AM203" s="0">
        <f>+gettyp(AC203,AJ203,AK203,AL203)</f>
        <v/>
      </c>
      <c r="AN203" s="0">
        <f>+C203-AM203</f>
        <v/>
      </c>
      <c r="AO203" s="0">
        <f>+AG203-AB203</f>
        <v/>
      </c>
      <c r="AP203" s="0" t="n">
        <v>1.860976641972382</v>
      </c>
      <c r="AQ203" s="0">
        <f>2*PI()*L203*(D203+E203)/(D203*E203*AP203^2)</f>
        <v/>
      </c>
      <c r="AR203" s="0">
        <f>+AO203+AB203/2</f>
        <v/>
      </c>
      <c r="AS203" s="0">
        <f>+AR203*AI203/I203*E203</f>
        <v/>
      </c>
      <c r="AT203" s="0">
        <f>+getublp(AS203)</f>
        <v/>
      </c>
      <c r="AU203" s="0">
        <f>+AT203*AI203</f>
        <v/>
      </c>
      <c r="AV203" s="0">
        <f>+AP203-AU203</f>
        <v/>
      </c>
      <c r="AW203" s="0">
        <f>2/3*AB203/(L203/(9.8*(E203-D203)))^0.5</f>
        <v/>
      </c>
      <c r="AX203" s="0">
        <f>+(2*AQ203*9.8*(E203-D203)/(E203*AW203))^0.5</f>
        <v/>
      </c>
      <c r="AY203" s="0">
        <f>+AV203-AX203</f>
        <v/>
      </c>
      <c r="AZ203" s="0">
        <f>+F203-G203</f>
        <v/>
      </c>
      <c r="BA203" s="0">
        <f>+AQ203/AP203</f>
        <v/>
      </c>
      <c r="BB203" s="15">
        <f>+E203*AO203*AZ203/BA203</f>
        <v/>
      </c>
      <c r="BC203" s="20">
        <f>BB203-S203</f>
        <v/>
      </c>
      <c r="BD203" s="19">
        <f>+(BB203-S203)/S203*100</f>
        <v/>
      </c>
      <c r="BE203" s="15" t="n">
        <v>3722416.2</v>
      </c>
      <c r="BF203" s="16">
        <f>テーブル2[[#This Row],[q_P]]/テーブル2[[#This Row],[q_M]]</f>
        <v/>
      </c>
      <c r="BG203" s="0" t="n">
        <v>1</v>
      </c>
      <c r="BH203" s="0" t="n">
        <v>-0.187</v>
      </c>
      <c r="BI203" s="0" t="n">
        <v>0.046</v>
      </c>
      <c r="BJ203" s="0" t="n">
        <v>5625</v>
      </c>
      <c r="BK203" s="22" t="n">
        <v>1</v>
      </c>
      <c r="BL203" s="0">
        <f>テーブル2[[#This Row],[Ts]]-テーブル2[[#This Row],[Tin]]</f>
        <v/>
      </c>
      <c r="BM203" s="0">
        <f>テーブル2[[#This Row],[q_P]]*0.000001</f>
        <v/>
      </c>
      <c r="BN203" s="0">
        <f>テーブル2[[#This Row],[Tsub]]</f>
        <v/>
      </c>
      <c r="BO203" s="0">
        <f>テーブル2[[#This Row],[Fcorr]]</f>
        <v/>
      </c>
      <c r="BP203" s="0">
        <f>(テーブル2[[#This Row],[Tsub]]-40)^2</f>
        <v/>
      </c>
      <c r="BQ203" t="n">
        <v>1</v>
      </c>
      <c r="BR203" s="0" t="n">
        <v>0.1524</v>
      </c>
    </row>
    <row r="204">
      <c r="A204" s="9" t="inlineStr">
        <is>
          <t>9.01_14</t>
        </is>
      </c>
      <c r="B204" s="0" t="n">
        <v>18960582.556213</v>
      </c>
      <c r="C204" s="22">
        <f t="array" ref="C204">TsatFromP(テーブル2[[#This Row],[P]])</f>
        <v/>
      </c>
      <c r="D204" s="0">
        <f t="array" ref="D204">RhoGFromP(テーブル2[[#This Row],[P]])</f>
        <v/>
      </c>
      <c r="E204" s="0">
        <f t="array" ref="E204">RhoFFromP(テーブル2[[#This Row],[P]])</f>
        <v/>
      </c>
      <c r="F204" s="0">
        <f t="array" ref="F204">HgFromP(テーブル2[[#This Row],[P]])</f>
        <v/>
      </c>
      <c r="G204" s="0">
        <f t="array" ref="G204">HfFromP(テーブル2[[#This Row],[P]])</f>
        <v/>
      </c>
      <c r="H204" s="0">
        <f t="array" ref="H204">MuGFromP(テーブル2[[#This Row],[P]])</f>
        <v/>
      </c>
      <c r="I204" s="0">
        <f t="array" ref="I204">MuFFromP(テーブル2[[#This Row],[P]])</f>
        <v/>
      </c>
      <c r="J204" s="0">
        <f t="array" ref="J204">KfFromP(テーブル2[[#This Row],[P]])</f>
        <v/>
      </c>
      <c r="K204" s="0">
        <f t="array" ref="K204">CpFFromP(テーブル2[[#This Row],[P]])</f>
        <v/>
      </c>
      <c r="L204" s="0">
        <f t="array" ref="L204">SigmaFromP(テーブル2[[#This Row],[P]])</f>
        <v/>
      </c>
      <c r="M204" s="0" t="n">
        <v>203</v>
      </c>
      <c r="N204" s="0" t="n">
        <v>2061.4696</v>
      </c>
      <c r="O204" s="8">
        <f>PI()*Q204^2/4</f>
        <v/>
      </c>
      <c r="P204" s="8">
        <f>PI()*Q204</f>
        <v/>
      </c>
      <c r="Q204" s="8" t="n">
        <v>0.001905</v>
      </c>
      <c r="R204" s="0" t="n">
        <v>0.1524</v>
      </c>
      <c r="S204" s="15" t="n">
        <v>3430295.99609375</v>
      </c>
      <c r="T204" s="0" t="n">
        <v>534.054874883332</v>
      </c>
      <c r="U204" s="37">
        <f>+T204+BG204*S204*テーブル2[[#This Row],[Pw]]*R204/(N204*O204*K204)</f>
        <v/>
      </c>
      <c r="V204" s="0" t="n">
        <v>0.03</v>
      </c>
      <c r="W204" s="8">
        <f>+N204*Q204/I204</f>
        <v/>
      </c>
      <c r="X204" s="0" t="n">
        <v>0.02761129022690777</v>
      </c>
      <c r="Y204" s="0">
        <f>IF(X204&gt;0,1/X204^0.5,1)</f>
        <v/>
      </c>
      <c r="Z204" s="0">
        <f>IF(X204&gt;0,1.14-2*LOG((0.72*L204*E204)/(X204*Q204*N204^2)+9.35/(W204*X204^0.5)),0)</f>
        <v/>
      </c>
      <c r="AA204" s="0">
        <f>+Y204-Z204</f>
        <v/>
      </c>
      <c r="AB204" s="0">
        <f>32/X204*L204*V204*E204/N204^2</f>
        <v/>
      </c>
      <c r="AC204" s="0" t="n">
        <v>742.2848910703773</v>
      </c>
      <c r="AD204" s="0">
        <f>+Q204/2*AI204/I204*E204</f>
        <v/>
      </c>
      <c r="AE204" s="0">
        <f>+gettm2(AD204,AC204,AK204,AL204,テーブル2[[#This Row],[Fcorr]])</f>
        <v/>
      </c>
      <c r="AF204" s="38">
        <f>+AE204-U204</f>
        <v/>
      </c>
      <c r="AG204" s="0" t="n">
        <v>7.210969179026872e-06</v>
      </c>
      <c r="AH204" s="0">
        <f>+X204*N204^2/(8*E204)</f>
        <v/>
      </c>
      <c r="AI204" s="0">
        <f>+(AH204/E204)^0.5</f>
        <v/>
      </c>
      <c r="AJ204" s="0">
        <f>+AG204*AI204/I204*E204</f>
        <v/>
      </c>
      <c r="AK204" s="0">
        <f t="array" ref="AK204">+S204*テーブル2[[#This Row],[F_form]]/(E204*CpFromTP((テーブル2[[#This Row],[Tin]]+テーブル2[[#This Row],[Tf]])/2,テーブル2[[#This Row],[P]])*AI204)</f>
        <v/>
      </c>
      <c r="AL204" s="0">
        <f>+K204*I204/J204</f>
        <v/>
      </c>
      <c r="AM204" s="0">
        <f>+gettyp(AC204,AJ204,AK204,AL204)</f>
        <v/>
      </c>
      <c r="AN204" s="0">
        <f>+C204-AM204</f>
        <v/>
      </c>
      <c r="AO204" s="0">
        <f>+AG204-AB204</f>
        <v/>
      </c>
      <c r="AP204" s="0" t="n">
        <v>1.859612820409328</v>
      </c>
      <c r="AQ204" s="0">
        <f>2*PI()*L204*(D204+E204)/(D204*E204*AP204^2)</f>
        <v/>
      </c>
      <c r="AR204" s="0">
        <f>+AO204+AB204/2</f>
        <v/>
      </c>
      <c r="AS204" s="0">
        <f>+AR204*AI204/I204*E204</f>
        <v/>
      </c>
      <c r="AT204" s="0">
        <f>+getublp(AS204)</f>
        <v/>
      </c>
      <c r="AU204" s="0">
        <f>+AT204*AI204</f>
        <v/>
      </c>
      <c r="AV204" s="0">
        <f>+AP204-AU204</f>
        <v/>
      </c>
      <c r="AW204" s="0">
        <f>2/3*AB204/(L204/(9.8*(E204-D204)))^0.5</f>
        <v/>
      </c>
      <c r="AX204" s="0">
        <f>+(2*AQ204*9.8*(E204-D204)/(E204*AW204))^0.5</f>
        <v/>
      </c>
      <c r="AY204" s="0">
        <f>+AV204-AX204</f>
        <v/>
      </c>
      <c r="AZ204" s="0">
        <f>+F204-G204</f>
        <v/>
      </c>
      <c r="BA204" s="0">
        <f>+AQ204/AP204</f>
        <v/>
      </c>
      <c r="BB204" s="15">
        <f>+E204*AO204*AZ204/BA204</f>
        <v/>
      </c>
      <c r="BC204" s="20">
        <f>BB204-S204</f>
        <v/>
      </c>
      <c r="BD204" s="19">
        <f>+(BB204-S204)/S204*100</f>
        <v/>
      </c>
      <c r="BE204" s="15" t="n">
        <v>3438503.1</v>
      </c>
      <c r="BF204" s="16">
        <f>テーブル2[[#This Row],[q_P]]/テーブル2[[#This Row],[q_M]]</f>
        <v/>
      </c>
      <c r="BG204" s="0" t="n">
        <v>1</v>
      </c>
      <c r="BH204" s="0" t="n">
        <v>-0.146</v>
      </c>
      <c r="BI204" s="0" t="n">
        <v>0.046</v>
      </c>
      <c r="BJ204" s="0" t="n">
        <v>5625</v>
      </c>
      <c r="BK204" s="22" t="n">
        <v>1</v>
      </c>
      <c r="BL204" s="0">
        <f>テーブル2[[#This Row],[Ts]]-テーブル2[[#This Row],[Tin]]</f>
        <v/>
      </c>
      <c r="BM204" s="0">
        <f>テーブル2[[#This Row],[q_P]]*0.000001</f>
        <v/>
      </c>
      <c r="BN204" s="0">
        <f>テーブル2[[#This Row],[Tsub]]</f>
        <v/>
      </c>
      <c r="BO204" s="0">
        <f>テーブル2[[#This Row],[Fcorr]]</f>
        <v/>
      </c>
      <c r="BP204" s="0">
        <f>(テーブル2[[#This Row],[Tsub]]-40)^2</f>
        <v/>
      </c>
      <c r="BQ204" t="n">
        <v>1</v>
      </c>
      <c r="BR204" s="0" t="n">
        <v>0.1524</v>
      </c>
    </row>
    <row r="205">
      <c r="A205" s="9" t="inlineStr">
        <is>
          <t>10.01_14</t>
        </is>
      </c>
      <c r="B205" s="0" t="n">
        <v>18960582.556213</v>
      </c>
      <c r="C205" s="22">
        <f t="array" ref="C205">TsatFromP(テーブル2[[#This Row],[P]])</f>
        <v/>
      </c>
      <c r="D205" s="0">
        <f t="array" ref="D205">RhoGFromP(テーブル2[[#This Row],[P]])</f>
        <v/>
      </c>
      <c r="E205" s="0">
        <f t="array" ref="E205">RhoFFromP(テーブル2[[#This Row],[P]])</f>
        <v/>
      </c>
      <c r="F205" s="0">
        <f t="array" ref="F205">HgFromP(テーブル2[[#This Row],[P]])</f>
        <v/>
      </c>
      <c r="G205" s="0">
        <f t="array" ref="G205">HfFromP(テーブル2[[#This Row],[P]])</f>
        <v/>
      </c>
      <c r="H205" s="0">
        <f t="array" ref="H205">MuGFromP(テーブル2[[#This Row],[P]])</f>
        <v/>
      </c>
      <c r="I205" s="0">
        <f t="array" ref="I205">MuFFromP(テーブル2[[#This Row],[P]])</f>
        <v/>
      </c>
      <c r="J205" s="0">
        <f t="array" ref="J205">KfFromP(テーブル2[[#This Row],[P]])</f>
        <v/>
      </c>
      <c r="K205" s="0">
        <f t="array" ref="K205">CpFFromP(テーブル2[[#This Row],[P]])</f>
        <v/>
      </c>
      <c r="L205" s="0">
        <f t="array" ref="L205">SigmaFromP(テーブル2[[#This Row],[P]])</f>
        <v/>
      </c>
      <c r="M205" s="0" t="n">
        <v>204</v>
      </c>
      <c r="N205" s="0" t="n">
        <v>2075.0319</v>
      </c>
      <c r="O205" s="8">
        <f>PI()*Q205^2/4</f>
        <v/>
      </c>
      <c r="P205" s="8">
        <f>PI()*Q205</f>
        <v/>
      </c>
      <c r="Q205" s="8" t="n">
        <v>0.001905</v>
      </c>
      <c r="R205" s="0" t="n">
        <v>0.1524</v>
      </c>
      <c r="S205" s="15" t="n">
        <v>3329451.42578125</v>
      </c>
      <c r="T205" s="0" t="n">
        <v>537.924695212861</v>
      </c>
      <c r="U205" s="37">
        <f>+T205+BG205*S205*テーブル2[[#This Row],[Pw]]*R205/(N205*O205*K205)</f>
        <v/>
      </c>
      <c r="V205" s="0" t="n">
        <v>0.03</v>
      </c>
      <c r="W205" s="8">
        <f>+N205*Q205/I205</f>
        <v/>
      </c>
      <c r="X205" s="0" t="n">
        <v>0.02753789775873242</v>
      </c>
      <c r="Y205" s="0">
        <f>IF(X205&gt;0,1/X205^0.5,1)</f>
        <v/>
      </c>
      <c r="Z205" s="0">
        <f>IF(X205&gt;0,1.14-2*LOG((0.72*L205*E205)/(X205*Q205*N205^2)+9.35/(W205*X205^0.5)),0)</f>
        <v/>
      </c>
      <c r="AA205" s="0">
        <f>+Y205-Z205</f>
        <v/>
      </c>
      <c r="AB205" s="0">
        <f>32/X205*L205*V205*E205/N205^2</f>
        <v/>
      </c>
      <c r="AC205" s="0" t="n">
        <v>737.3785646291351</v>
      </c>
      <c r="AD205" s="0">
        <f>+Q205/2*AI205/I205*E205</f>
        <v/>
      </c>
      <c r="AE205" s="0">
        <f>+gettm2(AD205,AC205,AK205,AL205,テーブル2[[#This Row],[Fcorr]])</f>
        <v/>
      </c>
      <c r="AF205" s="38">
        <f>+AE205-U205</f>
        <v/>
      </c>
      <c r="AG205" s="0" t="n">
        <v>7.132872396194881e-06</v>
      </c>
      <c r="AH205" s="0">
        <f>+X205*N205^2/(8*E205)</f>
        <v/>
      </c>
      <c r="AI205" s="0">
        <f>+(AH205/E205)^0.5</f>
        <v/>
      </c>
      <c r="AJ205" s="0">
        <f>+AG205*AI205/I205*E205</f>
        <v/>
      </c>
      <c r="AK205" s="0">
        <f t="array" ref="AK205">+S205*テーブル2[[#This Row],[F_form]]/(E205*CpFromTP((テーブル2[[#This Row],[Tin]]+テーブル2[[#This Row],[Tf]])/2,テーブル2[[#This Row],[P]])*AI205)</f>
        <v/>
      </c>
      <c r="AL205" s="0">
        <f>+K205*I205/J205</f>
        <v/>
      </c>
      <c r="AM205" s="0">
        <f>+gettyp(AC205,AJ205,AK205,AL205)</f>
        <v/>
      </c>
      <c r="AN205" s="0">
        <f>+C205-AM205</f>
        <v/>
      </c>
      <c r="AO205" s="0">
        <f>+AG205-AB205</f>
        <v/>
      </c>
      <c r="AP205" s="0" t="n">
        <v>1.861953158499333</v>
      </c>
      <c r="AQ205" s="0">
        <f>2*PI()*L205*(D205+E205)/(D205*E205*AP205^2)</f>
        <v/>
      </c>
      <c r="AR205" s="0">
        <f>+AO205+AB205/2</f>
        <v/>
      </c>
      <c r="AS205" s="0">
        <f>+AR205*AI205/I205*E205</f>
        <v/>
      </c>
      <c r="AT205" s="0">
        <f>+getublp(AS205)</f>
        <v/>
      </c>
      <c r="AU205" s="0">
        <f>+AT205*AI205</f>
        <v/>
      </c>
      <c r="AV205" s="0">
        <f>+AP205-AU205</f>
        <v/>
      </c>
      <c r="AW205" s="0">
        <f>2/3*AB205/(L205/(9.8*(E205-D205)))^0.5</f>
        <v/>
      </c>
      <c r="AX205" s="0">
        <f>+(2*AQ205*9.8*(E205-D205)/(E205*AW205))^0.5</f>
        <v/>
      </c>
      <c r="AY205" s="0">
        <f>+AV205-AX205</f>
        <v/>
      </c>
      <c r="AZ205" s="0">
        <f>+F205-G205</f>
        <v/>
      </c>
      <c r="BA205" s="0">
        <f>+AQ205/AP205</f>
        <v/>
      </c>
      <c r="BB205" s="15">
        <f>+E205*AO205*AZ205/BA205</f>
        <v/>
      </c>
      <c r="BC205" s="20">
        <f>BB205-S205</f>
        <v/>
      </c>
      <c r="BD205" s="19">
        <f>+(BB205-S205)/S205*100</f>
        <v/>
      </c>
      <c r="BE205" s="15" t="n">
        <v>3375411.3</v>
      </c>
      <c r="BF205" s="16">
        <f>テーブル2[[#This Row],[q_P]]/テーブル2[[#This Row],[q_M]]</f>
        <v/>
      </c>
      <c r="BG205" s="0" t="n">
        <v>1</v>
      </c>
      <c r="BH205" s="0" t="n">
        <v>-0.138</v>
      </c>
      <c r="BI205" s="0" t="n">
        <v>0.046</v>
      </c>
      <c r="BJ205" s="0" t="n">
        <v>5625</v>
      </c>
      <c r="BK205" s="22" t="n">
        <v>1</v>
      </c>
      <c r="BL205" s="0">
        <f>テーブル2[[#This Row],[Ts]]-テーブル2[[#This Row],[Tin]]</f>
        <v/>
      </c>
      <c r="BM205" s="0">
        <f>テーブル2[[#This Row],[q_P]]*0.000001</f>
        <v/>
      </c>
      <c r="BN205" s="0">
        <f>テーブル2[[#This Row],[Tsub]]</f>
        <v/>
      </c>
      <c r="BO205" s="0">
        <f>テーブル2[[#This Row],[Fcorr]]</f>
        <v/>
      </c>
      <c r="BP205" s="0">
        <f>(テーブル2[[#This Row],[Tsub]]-40)^2</f>
        <v/>
      </c>
      <c r="BQ205" t="n">
        <v>1</v>
      </c>
      <c r="BR205" s="0" t="n">
        <v>0.1524</v>
      </c>
    </row>
    <row r="206">
      <c r="A206" s="9" t="inlineStr">
        <is>
          <t>11.01_14</t>
        </is>
      </c>
      <c r="B206" s="0" t="n">
        <v>18960582.556213</v>
      </c>
      <c r="C206" s="22">
        <f t="array" ref="C206">TsatFromP(テーブル2[[#This Row],[P]])</f>
        <v/>
      </c>
      <c r="D206" s="0">
        <f t="array" ref="D206">RhoGFromP(テーブル2[[#This Row],[P]])</f>
        <v/>
      </c>
      <c r="E206" s="0">
        <f t="array" ref="E206">RhoFFromP(テーブル2[[#This Row],[P]])</f>
        <v/>
      </c>
      <c r="F206" s="0">
        <f t="array" ref="F206">HgFromP(テーブル2[[#This Row],[P]])</f>
        <v/>
      </c>
      <c r="G206" s="0">
        <f t="array" ref="G206">HfFromP(テーブル2[[#This Row],[P]])</f>
        <v/>
      </c>
      <c r="H206" s="0">
        <f t="array" ref="H206">MuGFromP(テーブル2[[#This Row],[P]])</f>
        <v/>
      </c>
      <c r="I206" s="0">
        <f t="array" ref="I206">MuFFromP(テーブル2[[#This Row],[P]])</f>
        <v/>
      </c>
      <c r="J206" s="0">
        <f t="array" ref="J206">KfFromP(テーブル2[[#This Row],[P]])</f>
        <v/>
      </c>
      <c r="K206" s="0">
        <f t="array" ref="K206">CpFFromP(テーブル2[[#This Row],[P]])</f>
        <v/>
      </c>
      <c r="L206" s="0">
        <f t="array" ref="L206">SigmaFromP(テーブル2[[#This Row],[P]])</f>
        <v/>
      </c>
      <c r="M206" s="0" t="n">
        <v>205</v>
      </c>
      <c r="N206" s="0" t="n">
        <v>2685.3354</v>
      </c>
      <c r="O206" s="8">
        <f>PI()*Q206^2/4</f>
        <v/>
      </c>
      <c r="P206" s="8">
        <f>PI()*Q206</f>
        <v/>
      </c>
      <c r="Q206" s="8" t="n">
        <v>0.001905</v>
      </c>
      <c r="R206" s="0" t="n">
        <v>0.1524</v>
      </c>
      <c r="S206" s="15" t="n">
        <v>3002368.1640625</v>
      </c>
      <c r="T206" s="0" t="n">
        <v>561.2895088807931</v>
      </c>
      <c r="U206" s="37">
        <f>+T206+BG206*S206*テーブル2[[#This Row],[Pw]]*R206/(N206*O206*K206)</f>
        <v/>
      </c>
      <c r="V206" s="0" t="n">
        <v>0.03</v>
      </c>
      <c r="W206" s="8">
        <f>+N206*Q206/I206</f>
        <v/>
      </c>
      <c r="X206" s="0" t="n">
        <v>0.02487838074581067</v>
      </c>
      <c r="Y206" s="0">
        <f>IF(X206&gt;0,1/X206^0.5,1)</f>
        <v/>
      </c>
      <c r="Z206" s="0">
        <f>IF(X206&gt;0,1.14-2*LOG((0.72*L206*E206)/(X206*Q206*N206^2)+9.35/(W206*X206^0.5)),0)</f>
        <v/>
      </c>
      <c r="AA206" s="0">
        <f>+Y206-Z206</f>
        <v/>
      </c>
      <c r="AB206" s="0">
        <f>32/X206*L206*V206*E206/N206^2</f>
        <v/>
      </c>
      <c r="AC206" s="0" t="n">
        <v>700.1921831620483</v>
      </c>
      <c r="AD206" s="0">
        <f>+Q206/2*AI206/I206*E206</f>
        <v/>
      </c>
      <c r="AE206" s="0">
        <f>+gettm2(AD206,AC206,AK206,AL206,テーブル2[[#This Row],[Fcorr]])</f>
        <v/>
      </c>
      <c r="AF206" s="38">
        <f>+AE206-U206</f>
        <v/>
      </c>
      <c r="AG206" s="0" t="n">
        <v>4.72565195657413e-06</v>
      </c>
      <c r="AH206" s="0">
        <f>+X206*N206^2/(8*E206)</f>
        <v/>
      </c>
      <c r="AI206" s="0">
        <f>+(AH206/E206)^0.5</f>
        <v/>
      </c>
      <c r="AJ206" s="0">
        <f>+AG206*AI206/I206*E206</f>
        <v/>
      </c>
      <c r="AK206" s="0">
        <f t="array" ref="AK206">+S206*テーブル2[[#This Row],[F_form]]/(E206*CpFromTP((テーブル2[[#This Row],[Tin]]+テーブル2[[#This Row],[Tf]])/2,テーブル2[[#This Row],[P]])*AI206)</f>
        <v/>
      </c>
      <c r="AL206" s="0">
        <f>+K206*I206/J206</f>
        <v/>
      </c>
      <c r="AM206" s="0">
        <f>+gettyp(AC206,AJ206,AK206,AL206)</f>
        <v/>
      </c>
      <c r="AN206" s="0">
        <f>+C206-AM206</f>
        <v/>
      </c>
      <c r="AO206" s="0">
        <f>+AG206-AB206</f>
        <v/>
      </c>
      <c r="AP206" s="0" t="n">
        <v>1.982016925628435</v>
      </c>
      <c r="AQ206" s="0">
        <f>2*PI()*L206*(D206+E206)/(D206*E206*AP206^2)</f>
        <v/>
      </c>
      <c r="AR206" s="0">
        <f>+AO206+AB206/2</f>
        <v/>
      </c>
      <c r="AS206" s="0">
        <f>+AR206*AI206/I206*E206</f>
        <v/>
      </c>
      <c r="AT206" s="0">
        <f>+getublp(AS206)</f>
        <v/>
      </c>
      <c r="AU206" s="0">
        <f>+AT206*AI206</f>
        <v/>
      </c>
      <c r="AV206" s="0">
        <f>+AP206-AU206</f>
        <v/>
      </c>
      <c r="AW206" s="0">
        <f>2/3*AB206/(L206/(9.8*(E206-D206)))^0.5</f>
        <v/>
      </c>
      <c r="AX206" s="0">
        <f>+(2*AQ206*9.8*(E206-D206)/(E206*AW206))^0.5</f>
        <v/>
      </c>
      <c r="AY206" s="0">
        <f>+AV206-AX206</f>
        <v/>
      </c>
      <c r="AZ206" s="0">
        <f>+F206-G206</f>
        <v/>
      </c>
      <c r="BA206" s="0">
        <f>+AQ206/AP206</f>
        <v/>
      </c>
      <c r="BB206" s="15">
        <f>+E206*AO206*AZ206/BA206</f>
        <v/>
      </c>
      <c r="BC206" s="20">
        <f>BB206-S206</f>
        <v/>
      </c>
      <c r="BD206" s="19">
        <f>+(BB206-S206)/S206*100</f>
        <v/>
      </c>
      <c r="BE206" s="15" t="n">
        <v>3596232.6</v>
      </c>
      <c r="BF206" s="16">
        <f>テーブル2[[#This Row],[q_P]]/テーブル2[[#This Row],[q_M]]</f>
        <v/>
      </c>
      <c r="BG206" s="0" t="n">
        <v>1</v>
      </c>
      <c r="BH206" s="0" t="n">
        <v>-0.104</v>
      </c>
      <c r="BI206" s="0" t="n">
        <v>0.046</v>
      </c>
      <c r="BJ206" s="0" t="n">
        <v>5625</v>
      </c>
      <c r="BK206" s="22" t="n">
        <v>1</v>
      </c>
      <c r="BL206" s="0">
        <f>テーブル2[[#This Row],[Ts]]-テーブル2[[#This Row],[Tin]]</f>
        <v/>
      </c>
      <c r="BM206" s="0">
        <f>テーブル2[[#This Row],[q_P]]*0.000001</f>
        <v/>
      </c>
      <c r="BN206" s="0">
        <f>テーブル2[[#This Row],[Tsub]]</f>
        <v/>
      </c>
      <c r="BO206" s="0">
        <f>テーブル2[[#This Row],[Fcorr]]</f>
        <v/>
      </c>
      <c r="BP206" s="0">
        <f>(テーブル2[[#This Row],[Tsub]]-40)^2</f>
        <v/>
      </c>
      <c r="BQ206" t="n">
        <v>1</v>
      </c>
      <c r="BR206" s="0" t="n">
        <v>0.1524</v>
      </c>
    </row>
    <row r="207">
      <c r="A207" s="9" t="inlineStr">
        <is>
          <t>12.01_14</t>
        </is>
      </c>
      <c r="B207" s="0" t="n">
        <v>18960582.556213</v>
      </c>
      <c r="C207" s="22">
        <f t="array" ref="C207">TsatFromP(テーブル2[[#This Row],[P]])</f>
        <v/>
      </c>
      <c r="D207" s="0">
        <f t="array" ref="D207">RhoGFromP(テーブル2[[#This Row],[P]])</f>
        <v/>
      </c>
      <c r="E207" s="0">
        <f t="array" ref="E207">RhoFFromP(テーブル2[[#This Row],[P]])</f>
        <v/>
      </c>
      <c r="F207" s="0">
        <f t="array" ref="F207">HgFromP(テーブル2[[#This Row],[P]])</f>
        <v/>
      </c>
      <c r="G207" s="0">
        <f t="array" ref="G207">HfFromP(テーブル2[[#This Row],[P]])</f>
        <v/>
      </c>
      <c r="H207" s="0">
        <f t="array" ref="H207">MuGFromP(テーブル2[[#This Row],[P]])</f>
        <v/>
      </c>
      <c r="I207" s="0">
        <f t="array" ref="I207">MuFFromP(テーブル2[[#This Row],[P]])</f>
        <v/>
      </c>
      <c r="J207" s="0">
        <f t="array" ref="J207">KfFromP(テーブル2[[#This Row],[P]])</f>
        <v/>
      </c>
      <c r="K207" s="0">
        <f t="array" ref="K207">CpFFromP(テーブル2[[#This Row],[P]])</f>
        <v/>
      </c>
      <c r="L207" s="0">
        <f t="array" ref="L207">SigmaFromP(テーブル2[[#This Row],[P]])</f>
        <v/>
      </c>
      <c r="M207" s="0" t="n">
        <v>206</v>
      </c>
      <c r="N207" s="0" t="n">
        <v>2698.8977</v>
      </c>
      <c r="O207" s="8">
        <f>PI()*Q207^2/4</f>
        <v/>
      </c>
      <c r="P207" s="8">
        <f>PI()*Q207</f>
        <v/>
      </c>
      <c r="Q207" s="8" t="n">
        <v>0.001905</v>
      </c>
      <c r="R207" s="0" t="n">
        <v>0.1524</v>
      </c>
      <c r="S207" s="15" t="n">
        <v>4171740.72265625</v>
      </c>
      <c r="T207" s="0" t="n">
        <v>525.632840339095</v>
      </c>
      <c r="U207" s="37">
        <f>+T207+BG207*S207*テーブル2[[#This Row],[Pw]]*R207/(N207*O207*K207)</f>
        <v/>
      </c>
      <c r="V207" s="0" t="n">
        <v>0.03</v>
      </c>
      <c r="W207" s="8">
        <f>+N207*Q207/I207</f>
        <v/>
      </c>
      <c r="X207" s="0" t="n">
        <v>0.02483052585910227</v>
      </c>
      <c r="Y207" s="0">
        <f>IF(X207&gt;0,1/X207^0.5,1)</f>
        <v/>
      </c>
      <c r="Z207" s="0">
        <f>IF(X207&gt;0,1.14-2*LOG((0.72*L207*E207)/(X207*Q207*N207^2)+9.35/(W207*X207^0.5)),0)</f>
        <v/>
      </c>
      <c r="AA207" s="0">
        <f>+Y207-Z207</f>
        <v/>
      </c>
      <c r="AB207" s="0">
        <f>32/X207*L207*V207*E207/N207^2</f>
        <v/>
      </c>
      <c r="AC207" s="0" t="n">
        <v>735.4534969647093</v>
      </c>
      <c r="AD207" s="0">
        <f>+Q207/2*AI207/I207*E207</f>
        <v/>
      </c>
      <c r="AE207" s="0">
        <f>+gettm2(AD207,AC207,AK207,AL207,テーブル2[[#This Row],[Fcorr]])</f>
        <v/>
      </c>
      <c r="AF207" s="38">
        <f>+AE207-U207</f>
        <v/>
      </c>
      <c r="AG207" s="0" t="n">
        <v>4.72197813862989e-06</v>
      </c>
      <c r="AH207" s="0">
        <f>+X207*N207^2/(8*E207)</f>
        <v/>
      </c>
      <c r="AI207" s="0">
        <f>+(AH207/E207)^0.5</f>
        <v/>
      </c>
      <c r="AJ207" s="0">
        <f>+AG207*AI207/I207*E207</f>
        <v/>
      </c>
      <c r="AK207" s="0">
        <f t="array" ref="AK207">+S207*テーブル2[[#This Row],[F_form]]/(E207*CpFromTP((テーブル2[[#This Row],[Tin]]+テーブル2[[#This Row],[Tf]])/2,テーブル2[[#This Row],[P]])*AI207)</f>
        <v/>
      </c>
      <c r="AL207" s="0">
        <f>+K207*I207/J207</f>
        <v/>
      </c>
      <c r="AM207" s="0">
        <f>+gettyp(AC207,AJ207,AK207,AL207)</f>
        <v/>
      </c>
      <c r="AN207" s="0">
        <f>+C207-AM207</f>
        <v/>
      </c>
      <c r="AO207" s="0">
        <f>+AG207-AB207</f>
        <v/>
      </c>
      <c r="AP207" s="0" t="n">
        <v>2.00232754116071</v>
      </c>
      <c r="AQ207" s="0">
        <f>2*PI()*L207*(D207+E207)/(D207*E207*AP207^2)</f>
        <v/>
      </c>
      <c r="AR207" s="0">
        <f>+AO207+AB207/2</f>
        <v/>
      </c>
      <c r="AS207" s="0">
        <f>+AR207*AI207/I207*E207</f>
        <v/>
      </c>
      <c r="AT207" s="0">
        <f>+getublp(AS207)</f>
        <v/>
      </c>
      <c r="AU207" s="0">
        <f>+AT207*AI207</f>
        <v/>
      </c>
      <c r="AV207" s="0">
        <f>+AP207-AU207</f>
        <v/>
      </c>
      <c r="AW207" s="0">
        <f>2/3*AB207/(L207/(9.8*(E207-D207)))^0.5</f>
        <v/>
      </c>
      <c r="AX207" s="0">
        <f>+(2*AQ207*9.8*(E207-D207)/(E207*AW207))^0.5</f>
        <v/>
      </c>
      <c r="AY207" s="0">
        <f>+AV207-AX207</f>
        <v/>
      </c>
      <c r="AZ207" s="0">
        <f>+F207-G207</f>
        <v/>
      </c>
      <c r="BA207" s="0">
        <f>+AQ207/AP207</f>
        <v/>
      </c>
      <c r="BB207" s="15">
        <f>+E207*AO207*AZ207/BA207</f>
        <v/>
      </c>
      <c r="BC207" s="20">
        <f>BB207-S207</f>
        <v/>
      </c>
      <c r="BD207" s="19">
        <f>+(BB207-S207)/S207*100</f>
        <v/>
      </c>
      <c r="BE207" s="15" t="n">
        <v>4511063.7</v>
      </c>
      <c r="BF207" s="16">
        <f>テーブル2[[#This Row],[q_P]]/テーブル2[[#This Row],[q_M]]</f>
        <v/>
      </c>
      <c r="BG207" s="0" t="n">
        <v>1</v>
      </c>
      <c r="BH207" s="0" t="n">
        <v>-0.202</v>
      </c>
      <c r="BI207" s="0" t="n">
        <v>0.046</v>
      </c>
      <c r="BJ207" s="0" t="n">
        <v>5625</v>
      </c>
      <c r="BK207" s="22" t="n">
        <v>1</v>
      </c>
      <c r="BL207" s="0">
        <f>テーブル2[[#This Row],[Ts]]-テーブル2[[#This Row],[Tin]]</f>
        <v/>
      </c>
      <c r="BM207" s="0">
        <f>テーブル2[[#This Row],[q_P]]*0.000001</f>
        <v/>
      </c>
      <c r="BN207" s="0">
        <f>テーブル2[[#This Row],[Tsub]]</f>
        <v/>
      </c>
      <c r="BO207" s="0">
        <f>テーブル2[[#This Row],[Fcorr]]</f>
        <v/>
      </c>
      <c r="BP207" s="0">
        <f>(テーブル2[[#This Row],[Tsub]]-40)^2</f>
        <v/>
      </c>
      <c r="BQ207" t="n">
        <v>1</v>
      </c>
      <c r="BR207" s="0" t="n">
        <v>0.1524</v>
      </c>
    </row>
    <row r="208">
      <c r="A208" s="9" t="inlineStr">
        <is>
          <t>13.01_14</t>
        </is>
      </c>
      <c r="B208" s="0" t="n">
        <v>18960582.556213</v>
      </c>
      <c r="C208" s="22">
        <f t="array" ref="C208">TsatFromP(テーブル2[[#This Row],[P]])</f>
        <v/>
      </c>
      <c r="D208" s="0">
        <f t="array" ref="D208">RhoGFromP(テーブル2[[#This Row],[P]])</f>
        <v/>
      </c>
      <c r="E208" s="0">
        <f t="array" ref="E208">RhoFFromP(テーブル2[[#This Row],[P]])</f>
        <v/>
      </c>
      <c r="F208" s="0">
        <f t="array" ref="F208">HgFromP(テーブル2[[#This Row],[P]])</f>
        <v/>
      </c>
      <c r="G208" s="0">
        <f t="array" ref="G208">HfFromP(テーブル2[[#This Row],[P]])</f>
        <v/>
      </c>
      <c r="H208" s="0">
        <f t="array" ref="H208">MuGFromP(テーブル2[[#This Row],[P]])</f>
        <v/>
      </c>
      <c r="I208" s="0">
        <f t="array" ref="I208">MuFFromP(テーブル2[[#This Row],[P]])</f>
        <v/>
      </c>
      <c r="J208" s="0">
        <f t="array" ref="J208">KfFromP(テーブル2[[#This Row],[P]])</f>
        <v/>
      </c>
      <c r="K208" s="0">
        <f t="array" ref="K208">CpFFromP(テーブル2[[#This Row],[P]])</f>
        <v/>
      </c>
      <c r="L208" s="0">
        <f t="array" ref="L208">SigmaFromP(テーブル2[[#This Row],[P]])</f>
        <v/>
      </c>
      <c r="M208" s="0" t="n">
        <v>207</v>
      </c>
      <c r="N208" s="0" t="n">
        <v>2726.0223</v>
      </c>
      <c r="O208" s="8">
        <f>PI()*Q208^2/4</f>
        <v/>
      </c>
      <c r="P208" s="8">
        <f>PI()*Q208</f>
        <v/>
      </c>
      <c r="Q208" s="8" t="n">
        <v>0.001905</v>
      </c>
      <c r="R208" s="0" t="n">
        <v>0.1524</v>
      </c>
      <c r="S208" s="15" t="n">
        <v>5599682.6171875</v>
      </c>
      <c r="T208" s="0" t="n">
        <v>481.733471256628</v>
      </c>
      <c r="U208" s="37">
        <f>+T208+BG208*S208*テーブル2[[#This Row],[Pw]]*R208/(N208*O208*K208)</f>
        <v/>
      </c>
      <c r="V208" s="0" t="n">
        <v>0.03</v>
      </c>
      <c r="W208" s="8">
        <f>+N208*Q208/I208</f>
        <v/>
      </c>
      <c r="X208" s="0" t="n">
        <v>0.02473596936029296</v>
      </c>
      <c r="Y208" s="0">
        <f>IF(X208&gt;0,1/X208^0.5,1)</f>
        <v/>
      </c>
      <c r="Z208" s="0">
        <f>IF(X208&gt;0,1.14-2*LOG((0.72*L208*E208)/(X208*Q208*N208^2)+9.35/(W208*X208^0.5)),0)</f>
        <v/>
      </c>
      <c r="AA208" s="0">
        <f>+Y208-Z208</f>
        <v/>
      </c>
      <c r="AB208" s="0">
        <f>32/X208*L208*V208*E208/N208^2</f>
        <v/>
      </c>
      <c r="AC208" s="0" t="n">
        <v>779.0396479199211</v>
      </c>
      <c r="AD208" s="0">
        <f>+Q208/2*AI208/I208*E208</f>
        <v/>
      </c>
      <c r="AE208" s="0">
        <f>+gettm2(AD208,AC208,AK208,AL208,テーブル2[[#This Row],[Fcorr]])</f>
        <v/>
      </c>
      <c r="AF208" s="38">
        <f>+AE208-U208</f>
        <v/>
      </c>
      <c r="AG208" s="0" t="n">
        <v>4.687174913191499e-06</v>
      </c>
      <c r="AH208" s="0">
        <f>+X208*N208^2/(8*E208)</f>
        <v/>
      </c>
      <c r="AI208" s="0">
        <f>+(AH208/E208)^0.5</f>
        <v/>
      </c>
      <c r="AJ208" s="0">
        <f>+AG208*AI208/I208*E208</f>
        <v/>
      </c>
      <c r="AK208" s="0">
        <f t="array" ref="AK208">+S208*テーブル2[[#This Row],[F_form]]/(E208*CpFromTP((テーブル2[[#This Row],[Tin]]+テーブル2[[#This Row],[Tf]])/2,テーブル2[[#This Row],[P]])*AI208)</f>
        <v/>
      </c>
      <c r="AL208" s="0">
        <f>+K208*I208/J208</f>
        <v/>
      </c>
      <c r="AM208" s="0">
        <f>+gettyp(AC208,AJ208,AK208,AL208)</f>
        <v/>
      </c>
      <c r="AN208" s="0">
        <f>+C208-AM208</f>
        <v/>
      </c>
      <c r="AO208" s="0">
        <f>+AG208-AB208</f>
        <v/>
      </c>
      <c r="AP208" s="0" t="n">
        <v>2.028226670259673</v>
      </c>
      <c r="AQ208" s="0">
        <f>2*PI()*L208*(D208+E208)/(D208*E208*AP208^2)</f>
        <v/>
      </c>
      <c r="AR208" s="0">
        <f>+AO208+AB208/2</f>
        <v/>
      </c>
      <c r="AS208" s="0">
        <f>+AR208*AI208/I208*E208</f>
        <v/>
      </c>
      <c r="AT208" s="0">
        <f>+getublp(AS208)</f>
        <v/>
      </c>
      <c r="AU208" s="0">
        <f>+AT208*AI208</f>
        <v/>
      </c>
      <c r="AV208" s="0">
        <f>+AP208-AU208</f>
        <v/>
      </c>
      <c r="AW208" s="0">
        <f>2/3*AB208/(L208/(9.8*(E208-D208)))^0.5</f>
        <v/>
      </c>
      <c r="AX208" s="0">
        <f>+(2*AQ208*9.8*(E208-D208)/(E208*AW208))^0.5</f>
        <v/>
      </c>
      <c r="AY208" s="0">
        <f>+AV208-AX208</f>
        <v/>
      </c>
      <c r="AZ208" s="0">
        <f>+F208-G208</f>
        <v/>
      </c>
      <c r="BA208" s="0">
        <f>+AQ208/AP208</f>
        <v/>
      </c>
      <c r="BB208" s="15">
        <f>+E208*AO208*AZ208/BA208</f>
        <v/>
      </c>
      <c r="BC208" s="20">
        <f>BB208-S208</f>
        <v/>
      </c>
      <c r="BD208" s="19">
        <f>+(BB208-S208)/S208*100</f>
        <v/>
      </c>
      <c r="BE208" s="15" t="n">
        <v>5236619.4</v>
      </c>
      <c r="BF208" s="16">
        <f>テーブル2[[#This Row],[q_P]]/テーブル2[[#This Row],[q_M]]</f>
        <v/>
      </c>
      <c r="BG208" s="0" t="n">
        <v>1</v>
      </c>
      <c r="BH208" s="0" t="n">
        <v>-0.376</v>
      </c>
      <c r="BI208" s="0" t="n">
        <v>0.046</v>
      </c>
      <c r="BJ208" s="0" t="n">
        <v>5625</v>
      </c>
      <c r="BK208" s="22" t="n">
        <v>1</v>
      </c>
      <c r="BL208" s="0">
        <f>テーブル2[[#This Row],[Ts]]-テーブル2[[#This Row],[Tin]]</f>
        <v/>
      </c>
      <c r="BM208" s="0">
        <f>テーブル2[[#This Row],[q_P]]*0.000001</f>
        <v/>
      </c>
      <c r="BN208" s="0">
        <f>テーブル2[[#This Row],[Tsub]]</f>
        <v/>
      </c>
      <c r="BO208" s="0">
        <f>テーブル2[[#This Row],[Fcorr]]</f>
        <v/>
      </c>
      <c r="BP208" s="0">
        <f>(テーブル2[[#This Row],[Tsub]]-40)^2</f>
        <v/>
      </c>
      <c r="BQ208" t="n">
        <v>1</v>
      </c>
      <c r="BR208" s="0" t="n">
        <v>0.1524</v>
      </c>
    </row>
    <row r="209">
      <c r="A209" s="9" t="inlineStr">
        <is>
          <t>14.01_14</t>
        </is>
      </c>
      <c r="B209" s="0" t="n">
        <v>18960582.556213</v>
      </c>
      <c r="C209" s="22">
        <f t="array" ref="C209">TsatFromP(テーブル2[[#This Row],[P]])</f>
        <v/>
      </c>
      <c r="D209" s="0">
        <f t="array" ref="D209">RhoGFromP(テーブル2[[#This Row],[P]])</f>
        <v/>
      </c>
      <c r="E209" s="0">
        <f t="array" ref="E209">RhoFFromP(テーブル2[[#This Row],[P]])</f>
        <v/>
      </c>
      <c r="F209" s="0">
        <f t="array" ref="F209">HgFromP(テーブル2[[#This Row],[P]])</f>
        <v/>
      </c>
      <c r="G209" s="0">
        <f t="array" ref="G209">HfFromP(テーブル2[[#This Row],[P]])</f>
        <v/>
      </c>
      <c r="H209" s="0">
        <f t="array" ref="H209">MuGFromP(テーブル2[[#This Row],[P]])</f>
        <v/>
      </c>
      <c r="I209" s="0">
        <f t="array" ref="I209">MuFFromP(テーブル2[[#This Row],[P]])</f>
        <v/>
      </c>
      <c r="J209" s="0">
        <f t="array" ref="J209">KfFromP(テーブル2[[#This Row],[P]])</f>
        <v/>
      </c>
      <c r="K209" s="0">
        <f t="array" ref="K209">CpFFromP(テーブル2[[#This Row],[P]])</f>
        <v/>
      </c>
      <c r="L209" s="0">
        <f t="array" ref="L209">SigmaFromP(テーブル2[[#This Row],[P]])</f>
        <v/>
      </c>
      <c r="M209" s="0" t="n">
        <v>208</v>
      </c>
      <c r="N209" s="0" t="n">
        <v>2726.0223</v>
      </c>
      <c r="O209" s="8">
        <f>PI()*Q209^2/4</f>
        <v/>
      </c>
      <c r="P209" s="8">
        <f>PI()*Q209</f>
        <v/>
      </c>
      <c r="Q209" s="8" t="n">
        <v>0.001905</v>
      </c>
      <c r="R209" s="0" t="n">
        <v>0.1524</v>
      </c>
      <c r="S209" s="15" t="n">
        <v>5580798.33984375</v>
      </c>
      <c r="T209" s="0" t="n">
        <v>482.309622116844</v>
      </c>
      <c r="U209" s="37">
        <f>+T209+BG209*S209*テーブル2[[#This Row],[Pw]]*R209/(N209*O209*K209)</f>
        <v/>
      </c>
      <c r="V209" s="0" t="n">
        <v>0.03</v>
      </c>
      <c r="W209" s="8">
        <f>+N209*Q209/I209</f>
        <v/>
      </c>
      <c r="X209" s="0" t="n">
        <v>0.02473596936029296</v>
      </c>
      <c r="Y209" s="0">
        <f>IF(X209&gt;0,1/X209^0.5,1)</f>
        <v/>
      </c>
      <c r="Z209" s="0">
        <f>IF(X209&gt;0,1.14-2*LOG((0.72*L209*E209)/(X209*Q209*N209^2)+9.35/(W209*X209^0.5)),0)</f>
        <v/>
      </c>
      <c r="AA209" s="0">
        <f>+Y209-Z209</f>
        <v/>
      </c>
      <c r="AB209" s="0">
        <f>32/X209*L209*V209*E209/N209^2</f>
        <v/>
      </c>
      <c r="AC209" s="0" t="n">
        <v>778.4295357138164</v>
      </c>
      <c r="AD209" s="0">
        <f>+Q209/2*AI209/I209*E209</f>
        <v/>
      </c>
      <c r="AE209" s="0">
        <f>+gettm2(AD209,AC209,AK209,AL209,テーブル2[[#This Row],[Fcorr]])</f>
        <v/>
      </c>
      <c r="AF209" s="38">
        <f>+AE209-U209</f>
        <v/>
      </c>
      <c r="AG209" s="0" t="n">
        <v>4.685468446739608e-06</v>
      </c>
      <c r="AH209" s="0">
        <f>+X209*N209^2/(8*E209)</f>
        <v/>
      </c>
      <c r="AI209" s="0">
        <f>+(AH209/E209)^0.5</f>
        <v/>
      </c>
      <c r="AJ209" s="0">
        <f>+AG209*AI209/I209*E209</f>
        <v/>
      </c>
      <c r="AK209" s="0">
        <f t="array" ref="AK209">+S209*テーブル2[[#This Row],[F_form]]/(E209*CpFromTP((テーブル2[[#This Row],[Tin]]+テーブル2[[#This Row],[Tf]])/2,テーブル2[[#This Row],[P]])*AI209)</f>
        <v/>
      </c>
      <c r="AL209" s="0">
        <f>+K209*I209/J209</f>
        <v/>
      </c>
      <c r="AM209" s="0">
        <f>+gettyp(AC209,AJ209,AK209,AL209)</f>
        <v/>
      </c>
      <c r="AN209" s="0">
        <f>+C209-AM209</f>
        <v/>
      </c>
      <c r="AO209" s="0">
        <f>+AG209-AB209</f>
        <v/>
      </c>
      <c r="AP209" s="0" t="n">
        <v>2.027319964072568</v>
      </c>
      <c r="AQ209" s="0">
        <f>2*PI()*L209*(D209+E209)/(D209*E209*AP209^2)</f>
        <v/>
      </c>
      <c r="AR209" s="0">
        <f>+AO209+AB209/2</f>
        <v/>
      </c>
      <c r="AS209" s="0">
        <f>+AR209*AI209/I209*E209</f>
        <v/>
      </c>
      <c r="AT209" s="0">
        <f>+getublp(AS209)</f>
        <v/>
      </c>
      <c r="AU209" s="0">
        <f>+AT209*AI209</f>
        <v/>
      </c>
      <c r="AV209" s="0">
        <f>+AP209-AU209</f>
        <v/>
      </c>
      <c r="AW209" s="0">
        <f>2/3*AB209/(L209/(9.8*(E209-D209)))^0.5</f>
        <v/>
      </c>
      <c r="AX209" s="0">
        <f>+(2*AQ209*9.8*(E209-D209)/(E209*AW209))^0.5</f>
        <v/>
      </c>
      <c r="AY209" s="0">
        <f>+AV209-AX209</f>
        <v/>
      </c>
      <c r="AZ209" s="0">
        <f>+F209-G209</f>
        <v/>
      </c>
      <c r="BA209" s="0">
        <f>+AQ209/AP209</f>
        <v/>
      </c>
      <c r="BB209" s="15">
        <f>+E209*AO209*AZ209/BA209</f>
        <v/>
      </c>
      <c r="BC209" s="20">
        <f>BB209-S209</f>
        <v/>
      </c>
      <c r="BD209" s="19">
        <f>+(BB209-S209)/S209*100</f>
        <v/>
      </c>
      <c r="BE209" s="15" t="n">
        <v>5110435.800000001</v>
      </c>
      <c r="BF209" s="16">
        <f>テーブル2[[#This Row],[q_P]]/テーブル2[[#This Row],[q_M]]</f>
        <v/>
      </c>
      <c r="BG209" s="0" t="n">
        <v>1</v>
      </c>
      <c r="BH209" s="0" t="n">
        <v>-0.393</v>
      </c>
      <c r="BI209" s="0" t="n">
        <v>0.046</v>
      </c>
      <c r="BJ209" s="0" t="n">
        <v>5625</v>
      </c>
      <c r="BK209" s="22" t="n">
        <v>1</v>
      </c>
      <c r="BL209" s="0">
        <f>テーブル2[[#This Row],[Ts]]-テーブル2[[#This Row],[Tin]]</f>
        <v/>
      </c>
      <c r="BM209" s="0">
        <f>テーブル2[[#This Row],[q_P]]*0.000001</f>
        <v/>
      </c>
      <c r="BN209" s="0">
        <f>テーブル2[[#This Row],[Tsub]]</f>
        <v/>
      </c>
      <c r="BO209" s="0">
        <f>テーブル2[[#This Row],[Fcorr]]</f>
        <v/>
      </c>
      <c r="BP209" s="0">
        <f>(テーブル2[[#This Row],[Tsub]]-40)^2</f>
        <v/>
      </c>
      <c r="BQ209" t="n">
        <v>1</v>
      </c>
      <c r="BR209" s="0" t="n">
        <v>0.1524</v>
      </c>
    </row>
    <row r="210">
      <c r="A210" s="9" t="inlineStr">
        <is>
          <t>15.01_14</t>
        </is>
      </c>
      <c r="B210" s="0" t="n">
        <v>18960582.556213</v>
      </c>
      <c r="C210" s="22">
        <f t="array" ref="C210">TsatFromP(テーブル2[[#This Row],[P]])</f>
        <v/>
      </c>
      <c r="D210" s="0">
        <f t="array" ref="D210">RhoGFromP(テーブル2[[#This Row],[P]])</f>
        <v/>
      </c>
      <c r="E210" s="0">
        <f t="array" ref="E210">RhoFFromP(テーブル2[[#This Row],[P]])</f>
        <v/>
      </c>
      <c r="F210" s="0">
        <f t="array" ref="F210">HgFromP(テーブル2[[#This Row],[P]])</f>
        <v/>
      </c>
      <c r="G210" s="0">
        <f t="array" ref="G210">HfFromP(テーブル2[[#This Row],[P]])</f>
        <v/>
      </c>
      <c r="H210" s="0">
        <f t="array" ref="H210">MuGFromP(テーブル2[[#This Row],[P]])</f>
        <v/>
      </c>
      <c r="I210" s="0">
        <f t="array" ref="I210">MuFFromP(テーブル2[[#This Row],[P]])</f>
        <v/>
      </c>
      <c r="J210" s="0">
        <f t="array" ref="J210">KfFromP(テーブル2[[#This Row],[P]])</f>
        <v/>
      </c>
      <c r="K210" s="0">
        <f t="array" ref="K210">CpFFromP(テーブル2[[#This Row],[P]])</f>
        <v/>
      </c>
      <c r="L210" s="0">
        <f t="array" ref="L210">SigmaFromP(テーブル2[[#This Row],[P]])</f>
        <v/>
      </c>
      <c r="M210" s="0" t="n">
        <v>209</v>
      </c>
      <c r="N210" s="0" t="n">
        <v>2726.0223</v>
      </c>
      <c r="O210" s="8">
        <f>PI()*Q210^2/4</f>
        <v/>
      </c>
      <c r="P210" s="8">
        <f>PI()*Q210</f>
        <v/>
      </c>
      <c r="Q210" s="8" t="n">
        <v>0.001905</v>
      </c>
      <c r="R210" s="0" t="n">
        <v>0.1524</v>
      </c>
      <c r="S210" s="15" t="n">
        <v>3080810.546875</v>
      </c>
      <c r="T210" s="0" t="n">
        <v>559.607229068804</v>
      </c>
      <c r="U210" s="37">
        <f>+T210+BG210*S210*テーブル2[[#This Row],[Pw]]*R210/(N210*O210*K210)</f>
        <v/>
      </c>
      <c r="V210" s="0" t="n">
        <v>0.03</v>
      </c>
      <c r="W210" s="8">
        <f>+N210*Q210/I210</f>
        <v/>
      </c>
      <c r="X210" s="0" t="n">
        <v>0.02473596936029296</v>
      </c>
      <c r="Y210" s="0">
        <f>IF(X210&gt;0,1/X210^0.5,1)</f>
        <v/>
      </c>
      <c r="Z210" s="0">
        <f>IF(X210&gt;0,1.14-2*LOG((0.72*L210*E210)/(X210*Q210*N210^2)+9.35/(W210*X210^0.5)),0)</f>
        <v/>
      </c>
      <c r="AA210" s="0">
        <f>+Y210-Z210</f>
        <v/>
      </c>
      <c r="AB210" s="0">
        <f>32/X210*L210*V210*E210/N210^2</f>
        <v/>
      </c>
      <c r="AC210" s="0" t="n">
        <v>701.2813217155773</v>
      </c>
      <c r="AD210" s="0">
        <f>+Q210/2*AI210/I210*E210</f>
        <v/>
      </c>
      <c r="AE210" s="0">
        <f>+gettm2(AD210,AC210,AK210,AL210,テーブル2[[#This Row],[Fcorr]])</f>
        <v/>
      </c>
      <c r="AF210" s="38">
        <f>+AE210-U210</f>
        <v/>
      </c>
      <c r="AG210" s="0" t="n">
        <v>4.616625922874725e-06</v>
      </c>
      <c r="AH210" s="0">
        <f>+X210*N210^2/(8*E210)</f>
        <v/>
      </c>
      <c r="AI210" s="0">
        <f>+(AH210/E210)^0.5</f>
        <v/>
      </c>
      <c r="AJ210" s="0">
        <f>+AG210*AI210/I210*E210</f>
        <v/>
      </c>
      <c r="AK210" s="0">
        <f t="array" ref="AK210">+S210*テーブル2[[#This Row],[F_form]]/(E210*CpFromTP((テーブル2[[#This Row],[Tin]]+テーブル2[[#This Row],[Tf]])/2,テーブル2[[#This Row],[P]])*AI210)</f>
        <v/>
      </c>
      <c r="AL210" s="0">
        <f>+K210*I210/J210</f>
        <v/>
      </c>
      <c r="AM210" s="0">
        <f>+gettyp(AC210,AJ210,AK210,AL210)</f>
        <v/>
      </c>
      <c r="AN210" s="0">
        <f>+C210-AM210</f>
        <v/>
      </c>
      <c r="AO210" s="0">
        <f>+AG210-AB210</f>
        <v/>
      </c>
      <c r="AP210" s="0" t="n">
        <v>1.990280364754464</v>
      </c>
      <c r="AQ210" s="0">
        <f>2*PI()*L210*(D210+E210)/(D210*E210*AP210^2)</f>
        <v/>
      </c>
      <c r="AR210" s="0">
        <f>+AO210+AB210/2</f>
        <v/>
      </c>
      <c r="AS210" s="0">
        <f>+AR210*AI210/I210*E210</f>
        <v/>
      </c>
      <c r="AT210" s="0">
        <f>+getublp(AS210)</f>
        <v/>
      </c>
      <c r="AU210" s="0">
        <f>+AT210*AI210</f>
        <v/>
      </c>
      <c r="AV210" s="0">
        <f>+AP210-AU210</f>
        <v/>
      </c>
      <c r="AW210" s="0">
        <f>2/3*AB210/(L210/(9.8*(E210-D210)))^0.5</f>
        <v/>
      </c>
      <c r="AX210" s="0">
        <f>+(2*AQ210*9.8*(E210-D210)/(E210*AW210))^0.5</f>
        <v/>
      </c>
      <c r="AY210" s="0">
        <f>+AV210-AX210</f>
        <v/>
      </c>
      <c r="AZ210" s="0">
        <f>+F210-G210</f>
        <v/>
      </c>
      <c r="BA210" s="0">
        <f>+AQ210/AP210</f>
        <v/>
      </c>
      <c r="BB210" s="15">
        <f>+E210*AO210*AZ210/BA210</f>
        <v/>
      </c>
      <c r="BC210" s="20">
        <f>BB210-S210</f>
        <v/>
      </c>
      <c r="BD210" s="19">
        <f>+(BB210-S210)/S210*100</f>
        <v/>
      </c>
      <c r="BE210" s="15" t="n">
        <v>3785508</v>
      </c>
      <c r="BF210" s="16">
        <f>テーブル2[[#This Row],[q_P]]/テーブル2[[#This Row],[q_M]]</f>
        <v/>
      </c>
      <c r="BG210" s="0" t="n">
        <v>1</v>
      </c>
      <c r="BH210" s="0" t="n">
        <v>-0.093</v>
      </c>
      <c r="BI210" s="0" t="n">
        <v>0.046</v>
      </c>
      <c r="BJ210" s="0" t="n">
        <v>5625</v>
      </c>
      <c r="BK210" s="22" t="n">
        <v>1</v>
      </c>
      <c r="BL210" s="0">
        <f>テーブル2[[#This Row],[Ts]]-テーブル2[[#This Row],[Tin]]</f>
        <v/>
      </c>
      <c r="BM210" s="0">
        <f>テーブル2[[#This Row],[q_P]]*0.000001</f>
        <v/>
      </c>
      <c r="BN210" s="0">
        <f>テーブル2[[#This Row],[Tsub]]</f>
        <v/>
      </c>
      <c r="BO210" s="0">
        <f>テーブル2[[#This Row],[Fcorr]]</f>
        <v/>
      </c>
      <c r="BP210" s="0">
        <f>(テーブル2[[#This Row],[Tsub]]-40)^2</f>
        <v/>
      </c>
      <c r="BQ210" t="n">
        <v>1</v>
      </c>
      <c r="BR210" s="0" t="n">
        <v>0.1524</v>
      </c>
    </row>
    <row r="211">
      <c r="A211" s="9" t="inlineStr">
        <is>
          <t>16.01_14</t>
        </is>
      </c>
      <c r="B211" s="0" t="n">
        <v>18960582.556213</v>
      </c>
      <c r="C211" s="22">
        <f t="array" ref="C211">TsatFromP(テーブル2[[#This Row],[P]])</f>
        <v/>
      </c>
      <c r="D211" s="0">
        <f t="array" ref="D211">RhoGFromP(テーブル2[[#This Row],[P]])</f>
        <v/>
      </c>
      <c r="E211" s="0">
        <f t="array" ref="E211">RhoFFromP(テーブル2[[#This Row],[P]])</f>
        <v/>
      </c>
      <c r="F211" s="0">
        <f t="array" ref="F211">HgFromP(テーブル2[[#This Row],[P]])</f>
        <v/>
      </c>
      <c r="G211" s="0">
        <f t="array" ref="G211">HfFromP(テーブル2[[#This Row],[P]])</f>
        <v/>
      </c>
      <c r="H211" s="0">
        <f t="array" ref="H211">MuGFromP(テーブル2[[#This Row],[P]])</f>
        <v/>
      </c>
      <c r="I211" s="0">
        <f t="array" ref="I211">MuFFromP(テーブル2[[#This Row],[P]])</f>
        <v/>
      </c>
      <c r="J211" s="0">
        <f t="array" ref="J211">KfFromP(テーブル2[[#This Row],[P]])</f>
        <v/>
      </c>
      <c r="K211" s="0">
        <f t="array" ref="K211">CpFFromP(テーブル2[[#This Row],[P]])</f>
        <v/>
      </c>
      <c r="L211" s="0">
        <f t="array" ref="L211">SigmaFromP(テーブル2[[#This Row],[P]])</f>
        <v/>
      </c>
      <c r="M211" s="0" t="n">
        <v>210</v>
      </c>
      <c r="N211" s="0" t="n">
        <v>2739.5846</v>
      </c>
      <c r="O211" s="8">
        <f>PI()*Q211^2/4</f>
        <v/>
      </c>
      <c r="P211" s="8">
        <f>PI()*Q211</f>
        <v/>
      </c>
      <c r="Q211" s="8" t="n">
        <v>0.001905</v>
      </c>
      <c r="R211" s="0" t="n">
        <v>0.1524</v>
      </c>
      <c r="S211" s="15" t="n">
        <v>4507299.8046875</v>
      </c>
      <c r="T211" s="0" t="n">
        <v>516.179310855423</v>
      </c>
      <c r="U211" s="37">
        <f>+T211+BG211*S211*テーブル2[[#This Row],[Pw]]*R211/(N211*O211*K211)</f>
        <v/>
      </c>
      <c r="V211" s="0" t="n">
        <v>0.03</v>
      </c>
      <c r="W211" s="8">
        <f>+N211*Q211/I211</f>
        <v/>
      </c>
      <c r="X211" s="0" t="n">
        <v>0.02468925762544872</v>
      </c>
      <c r="Y211" s="0">
        <f>IF(X211&gt;0,1/X211^0.5,1)</f>
        <v/>
      </c>
      <c r="Z211" s="0">
        <f>IF(X211&gt;0,1.14-2*LOG((0.72*L211*E211)/(X211*Q211*N211^2)+9.35/(W211*X211^0.5)),0)</f>
        <v/>
      </c>
      <c r="AA211" s="0">
        <f>+Y211-Z211</f>
        <v/>
      </c>
      <c r="AB211" s="0">
        <f>32/X211*L211*V211*E211/N211^2</f>
        <v/>
      </c>
      <c r="AC211" s="0" t="n">
        <v>743.9753389287515</v>
      </c>
      <c r="AD211" s="0">
        <f>+Q211/2*AI211/I211*E211</f>
        <v/>
      </c>
      <c r="AE211" s="0">
        <f>+gettm2(AD211,AC211,AK211,AL211,テーブル2[[#This Row],[Fcorr]])</f>
        <v/>
      </c>
      <c r="AF211" s="38">
        <f>+AE211-U211</f>
        <v/>
      </c>
      <c r="AG211" s="0" t="n">
        <v>4.619110652165609e-06</v>
      </c>
      <c r="AH211" s="0">
        <f>+X211*N211^2/(8*E211)</f>
        <v/>
      </c>
      <c r="AI211" s="0">
        <f>+(AH211/E211)^0.5</f>
        <v/>
      </c>
      <c r="AJ211" s="0">
        <f>+AG211*AI211/I211*E211</f>
        <v/>
      </c>
      <c r="AK211" s="0">
        <f t="array" ref="AK211">+S211*テーブル2[[#This Row],[F_form]]/(E211*CpFromTP((テーブル2[[#This Row],[Tin]]+テーブル2[[#This Row],[Tf]])/2,テーブル2[[#This Row],[P]])*AI211)</f>
        <v/>
      </c>
      <c r="AL211" s="0">
        <f>+K211*I211/J211</f>
        <v/>
      </c>
      <c r="AM211" s="0">
        <f>+gettyp(AC211,AJ211,AK211,AL211)</f>
        <v/>
      </c>
      <c r="AN211" s="0">
        <f>+C211-AM211</f>
        <v/>
      </c>
      <c r="AO211" s="0">
        <f>+AG211-AB211</f>
        <v/>
      </c>
      <c r="AP211" s="0" t="n">
        <v>2.013742939234977</v>
      </c>
      <c r="AQ211" s="0">
        <f>2*PI()*L211*(D211+E211)/(D211*E211*AP211^2)</f>
        <v/>
      </c>
      <c r="AR211" s="0">
        <f>+AO211+AB211/2</f>
        <v/>
      </c>
      <c r="AS211" s="0">
        <f>+AR211*AI211/I211*E211</f>
        <v/>
      </c>
      <c r="AT211" s="0">
        <f>+getublp(AS211)</f>
        <v/>
      </c>
      <c r="AU211" s="0">
        <f>+AT211*AI211</f>
        <v/>
      </c>
      <c r="AV211" s="0">
        <f>+AP211-AU211</f>
        <v/>
      </c>
      <c r="AW211" s="0">
        <f>2/3*AB211/(L211/(9.8*(E211-D211)))^0.5</f>
        <v/>
      </c>
      <c r="AX211" s="0">
        <f>+(2*AQ211*9.8*(E211-D211)/(E211*AW211))^0.5</f>
        <v/>
      </c>
      <c r="AY211" s="0">
        <f>+AV211-AX211</f>
        <v/>
      </c>
      <c r="AZ211" s="0">
        <f>+F211-G211</f>
        <v/>
      </c>
      <c r="BA211" s="0">
        <f>+AQ211/AP211</f>
        <v/>
      </c>
      <c r="BB211" s="15">
        <f>+E211*AO211*AZ211/BA211</f>
        <v/>
      </c>
      <c r="BC211" s="20">
        <f>BB211-S211</f>
        <v/>
      </c>
      <c r="BD211" s="19">
        <f>+(BB211-S211)/S211*100</f>
        <v/>
      </c>
      <c r="BE211" s="15" t="n">
        <v>4574155.5</v>
      </c>
      <c r="BF211" s="16">
        <f>テーブル2[[#This Row],[q_P]]/テーブル2[[#This Row],[q_M]]</f>
        <v/>
      </c>
      <c r="BG211" s="0" t="n">
        <v>1</v>
      </c>
      <c r="BH211" s="0" t="n">
        <v>-0.267</v>
      </c>
      <c r="BI211" s="0" t="n">
        <v>0.046</v>
      </c>
      <c r="BJ211" s="0" t="n">
        <v>5625</v>
      </c>
      <c r="BK211" s="22" t="n">
        <v>1</v>
      </c>
      <c r="BL211" s="0">
        <f>テーブル2[[#This Row],[Ts]]-テーブル2[[#This Row],[Tin]]</f>
        <v/>
      </c>
      <c r="BM211" s="0">
        <f>テーブル2[[#This Row],[q_P]]*0.000001</f>
        <v/>
      </c>
      <c r="BN211" s="0">
        <f>テーブル2[[#This Row],[Tsub]]</f>
        <v/>
      </c>
      <c r="BO211" s="0">
        <f>テーブル2[[#This Row],[Fcorr]]</f>
        <v/>
      </c>
      <c r="BP211" s="0">
        <f>(テーブル2[[#This Row],[Tsub]]-40)^2</f>
        <v/>
      </c>
      <c r="BQ211" t="n">
        <v>1</v>
      </c>
      <c r="BR211" s="0" t="n">
        <v>0.1524</v>
      </c>
    </row>
    <row r="212">
      <c r="A212" s="9" t="inlineStr">
        <is>
          <t>17.01_14</t>
        </is>
      </c>
      <c r="B212" s="0" t="n">
        <v>18960582.556213</v>
      </c>
      <c r="C212" s="22">
        <f t="array" ref="C212">TsatFromP(テーブル2[[#This Row],[P]])</f>
        <v/>
      </c>
      <c r="D212" s="0">
        <f t="array" ref="D212">RhoGFromP(テーブル2[[#This Row],[P]])</f>
        <v/>
      </c>
      <c r="E212" s="0">
        <f t="array" ref="E212">RhoFFromP(テーブル2[[#This Row],[P]])</f>
        <v/>
      </c>
      <c r="F212" s="0">
        <f t="array" ref="F212">HgFromP(テーブル2[[#This Row],[P]])</f>
        <v/>
      </c>
      <c r="G212" s="0">
        <f t="array" ref="G212">HfFromP(テーブル2[[#This Row],[P]])</f>
        <v/>
      </c>
      <c r="H212" s="0">
        <f t="array" ref="H212">MuGFromP(テーブル2[[#This Row],[P]])</f>
        <v/>
      </c>
      <c r="I212" s="0">
        <f t="array" ref="I212">MuFFromP(テーブル2[[#This Row],[P]])</f>
        <v/>
      </c>
      <c r="J212" s="0">
        <f t="array" ref="J212">KfFromP(テーブル2[[#This Row],[P]])</f>
        <v/>
      </c>
      <c r="K212" s="0">
        <f t="array" ref="K212">CpFFromP(テーブル2[[#This Row],[P]])</f>
        <v/>
      </c>
      <c r="L212" s="0">
        <f t="array" ref="L212">SigmaFromP(テーブル2[[#This Row],[P]])</f>
        <v/>
      </c>
      <c r="M212" s="0" t="n">
        <v>211</v>
      </c>
      <c r="N212" s="0" t="n">
        <v>2766.7092</v>
      </c>
      <c r="O212" s="8">
        <f>PI()*Q212^2/4</f>
        <v/>
      </c>
      <c r="P212" s="8">
        <f>PI()*Q212</f>
        <v/>
      </c>
      <c r="Q212" s="8" t="n">
        <v>0.001905</v>
      </c>
      <c r="R212" s="0" t="n">
        <v>0.1524</v>
      </c>
      <c r="S212" s="15" t="n">
        <v>4529089.35546875</v>
      </c>
      <c r="T212" s="0" t="n">
        <v>516.179310855423</v>
      </c>
      <c r="U212" s="37">
        <f>+T212+BG212*S212*テーブル2[[#This Row],[Pw]]*R212/(N212*O212*K212)</f>
        <v/>
      </c>
      <c r="V212" s="0" t="n">
        <v>0.03</v>
      </c>
      <c r="W212" s="8">
        <f>+N212*Q212/I212</f>
        <v/>
      </c>
      <c r="X212" s="0" t="n">
        <v>0.02459694256493547</v>
      </c>
      <c r="Y212" s="0">
        <f>IF(X212&gt;0,1/X212^0.5,1)</f>
        <v/>
      </c>
      <c r="Z212" s="0">
        <f>IF(X212&gt;0,1.14-2*LOG((0.72*L212*E212)/(X212*Q212*N212^2)+9.35/(W212*X212^0.5)),0)</f>
        <v/>
      </c>
      <c r="AA212" s="0">
        <f>+Y212-Z212</f>
        <v/>
      </c>
      <c r="AB212" s="0">
        <f>32/X212*L212*V212*E212/N212^2</f>
        <v/>
      </c>
      <c r="AC212" s="0" t="n">
        <v>743.3546662339311</v>
      </c>
      <c r="AD212" s="0">
        <f>+Q212/2*AI212/I212*E212</f>
        <v/>
      </c>
      <c r="AE212" s="0">
        <f>+gettm2(AD212,AC212,AK212,AL212,テーブル2[[#This Row],[Fcorr]])</f>
        <v/>
      </c>
      <c r="AF212" s="38">
        <f>+AE212-U212</f>
        <v/>
      </c>
      <c r="AG212" s="0" t="n">
        <v>4.548553471013985e-06</v>
      </c>
      <c r="AH212" s="0">
        <f>+X212*N212^2/(8*E212)</f>
        <v/>
      </c>
      <c r="AI212" s="0">
        <f>+(AH212/E212)^0.5</f>
        <v/>
      </c>
      <c r="AJ212" s="0">
        <f>+AG212*AI212/I212*E212</f>
        <v/>
      </c>
      <c r="AK212" s="0">
        <f t="array" ref="AK212">+S212*テーブル2[[#This Row],[F_form]]/(E212*CpFromTP((テーブル2[[#This Row],[Tin]]+テーブル2[[#This Row],[Tf]])/2,テーブル2[[#This Row],[P]])*AI212)</f>
        <v/>
      </c>
      <c r="AL212" s="0">
        <f>+K212*I212/J212</f>
        <v/>
      </c>
      <c r="AM212" s="0">
        <f>+gettyp(AC212,AJ212,AK212,AL212)</f>
        <v/>
      </c>
      <c r="AN212" s="0">
        <f>+C212-AM212</f>
        <v/>
      </c>
      <c r="AO212" s="0">
        <f>+AG212-AB212</f>
        <v/>
      </c>
      <c r="AP212" s="0" t="n">
        <v>2.019032493506571</v>
      </c>
      <c r="AQ212" s="0">
        <f>2*PI()*L212*(D212+E212)/(D212*E212*AP212^2)</f>
        <v/>
      </c>
      <c r="AR212" s="0">
        <f>+AO212+AB212/2</f>
        <v/>
      </c>
      <c r="AS212" s="0">
        <f>+AR212*AI212/I212*E212</f>
        <v/>
      </c>
      <c r="AT212" s="0">
        <f>+getublp(AS212)</f>
        <v/>
      </c>
      <c r="AU212" s="0">
        <f>+AT212*AI212</f>
        <v/>
      </c>
      <c r="AV212" s="0">
        <f>+AP212-AU212</f>
        <v/>
      </c>
      <c r="AW212" s="0">
        <f>2/3*AB212/(L212/(9.8*(E212-D212)))^0.5</f>
        <v/>
      </c>
      <c r="AX212" s="0">
        <f>+(2*AQ212*9.8*(E212-D212)/(E212*AW212))^0.5</f>
        <v/>
      </c>
      <c r="AY212" s="0">
        <f>+AV212-AX212</f>
        <v/>
      </c>
      <c r="AZ212" s="0">
        <f>+F212-G212</f>
        <v/>
      </c>
      <c r="BA212" s="0">
        <f>+AQ212/AP212</f>
        <v/>
      </c>
      <c r="BB212" s="15">
        <f>+E212*AO212*AZ212/BA212</f>
        <v/>
      </c>
      <c r="BC212" s="20">
        <f>BB212-S212</f>
        <v/>
      </c>
      <c r="BD212" s="19">
        <f>+(BB212-S212)/S212*100</f>
        <v/>
      </c>
      <c r="BE212" s="15" t="n">
        <v>4479517.8</v>
      </c>
      <c r="BF212" s="16">
        <f>テーブル2[[#This Row],[q_P]]/テーブル2[[#This Row],[q_M]]</f>
        <v/>
      </c>
      <c r="BG212" s="0" t="n">
        <v>1</v>
      </c>
      <c r="BH212" s="0" t="n">
        <v>-0.29</v>
      </c>
      <c r="BI212" s="0" t="n">
        <v>0.046</v>
      </c>
      <c r="BJ212" s="0" t="n">
        <v>5625</v>
      </c>
      <c r="BK212" s="22" t="n">
        <v>1</v>
      </c>
      <c r="BL212" s="0">
        <f>テーブル2[[#This Row],[Ts]]-テーブル2[[#This Row],[Tin]]</f>
        <v/>
      </c>
      <c r="BM212" s="0">
        <f>テーブル2[[#This Row],[q_P]]*0.000001</f>
        <v/>
      </c>
      <c r="BN212" s="0">
        <f>テーブル2[[#This Row],[Tsub]]</f>
        <v/>
      </c>
      <c r="BO212" s="0">
        <f>テーブル2[[#This Row],[Fcorr]]</f>
        <v/>
      </c>
      <c r="BP212" s="0">
        <f>(テーブル2[[#This Row],[Tsub]]-40)^2</f>
        <v/>
      </c>
      <c r="BQ212" t="n">
        <v>1</v>
      </c>
      <c r="BR212" s="0" t="n">
        <v>0.1524</v>
      </c>
    </row>
    <row r="213">
      <c r="A213" s="9" t="inlineStr">
        <is>
          <t>18.01_14</t>
        </is>
      </c>
      <c r="B213" s="0" t="n">
        <v>18960582.556213</v>
      </c>
      <c r="C213" s="22">
        <f t="array" ref="C213">TsatFromP(テーブル2[[#This Row],[P]])</f>
        <v/>
      </c>
      <c r="D213" s="0">
        <f t="array" ref="D213">RhoGFromP(テーブル2[[#This Row],[P]])</f>
        <v/>
      </c>
      <c r="E213" s="0">
        <f t="array" ref="E213">RhoFFromP(テーブル2[[#This Row],[P]])</f>
        <v/>
      </c>
      <c r="F213" s="0">
        <f t="array" ref="F213">HgFromP(テーブル2[[#This Row],[P]])</f>
        <v/>
      </c>
      <c r="G213" s="0">
        <f t="array" ref="G213">HfFromP(テーブル2[[#This Row],[P]])</f>
        <v/>
      </c>
      <c r="H213" s="0">
        <f t="array" ref="H213">MuGFromP(テーブル2[[#This Row],[P]])</f>
        <v/>
      </c>
      <c r="I213" s="0">
        <f t="array" ref="I213">MuFFromP(テーブル2[[#This Row],[P]])</f>
        <v/>
      </c>
      <c r="J213" s="0">
        <f t="array" ref="J213">KfFromP(テーブル2[[#This Row],[P]])</f>
        <v/>
      </c>
      <c r="K213" s="0">
        <f t="array" ref="K213">CpFFromP(テーブル2[[#This Row],[P]])</f>
        <v/>
      </c>
      <c r="L213" s="0">
        <f t="array" ref="L213">SigmaFromP(テーブル2[[#This Row],[P]])</f>
        <v/>
      </c>
      <c r="M213" s="0" t="n">
        <v>212</v>
      </c>
      <c r="N213" s="0" t="n">
        <v>3377.0127</v>
      </c>
      <c r="O213" s="8">
        <f>PI()*Q213^2/4</f>
        <v/>
      </c>
      <c r="P213" s="8">
        <f>PI()*Q213</f>
        <v/>
      </c>
      <c r="Q213" s="8" t="n">
        <v>0.001905</v>
      </c>
      <c r="R213" s="0" t="n">
        <v>0.1524</v>
      </c>
      <c r="S213" s="15" t="n">
        <v>3469864.55078125</v>
      </c>
      <c r="T213" s="0" t="n">
        <v>558.46565244537</v>
      </c>
      <c r="U213" s="37">
        <f>+T213+BG213*S213*テーブル2[[#This Row],[Pw]]*R213/(N213*O213*K213)</f>
        <v/>
      </c>
      <c r="V213" s="0" t="n">
        <v>0.03</v>
      </c>
      <c r="W213" s="8">
        <f>+N213*Q213/I213</f>
        <v/>
      </c>
      <c r="X213" s="0" t="n">
        <v>0.02284285374908599</v>
      </c>
      <c r="Y213" s="0">
        <f>IF(X213&gt;0,1/X213^0.5,1)</f>
        <v/>
      </c>
      <c r="Z213" s="0">
        <f>IF(X213&gt;0,1.14-2*LOG((0.72*L213*E213)/(X213*Q213*N213^2)+9.35/(W213*X213^0.5)),0)</f>
        <v/>
      </c>
      <c r="AA213" s="0">
        <f>+Y213-Z213</f>
        <v/>
      </c>
      <c r="AB213" s="0">
        <f>32/X213*L213*V213*E213/N213^2</f>
        <v/>
      </c>
      <c r="AC213" s="0" t="n">
        <v>694.2883105142472</v>
      </c>
      <c r="AD213" s="0">
        <f>+Q213/2*AI213/I213*E213</f>
        <v/>
      </c>
      <c r="AE213" s="0">
        <f>+gettm2(AD213,AC213,AK213,AL213,テーブル2[[#This Row],[Fcorr]])</f>
        <v/>
      </c>
      <c r="AF213" s="38">
        <f>+AE213-U213</f>
        <v/>
      </c>
      <c r="AG213" s="0" t="n">
        <v>3.284866520639209e-06</v>
      </c>
      <c r="AH213" s="0">
        <f>+X213*N213^2/(8*E213)</f>
        <v/>
      </c>
      <c r="AI213" s="0">
        <f>+(AH213/E213)^0.5</f>
        <v/>
      </c>
      <c r="AJ213" s="0">
        <f>+AG213*AI213/I213*E213</f>
        <v/>
      </c>
      <c r="AK213" s="0">
        <f t="array" ref="AK213">+S213*テーブル2[[#This Row],[F_form]]/(E213*CpFromTP((テーブル2[[#This Row],[Tin]]+テーブル2[[#This Row],[Tf]])/2,テーブル2[[#This Row],[P]])*AI213)</f>
        <v/>
      </c>
      <c r="AL213" s="0">
        <f>+K213*I213/J213</f>
        <v/>
      </c>
      <c r="AM213" s="0">
        <f>+gettyp(AC213,AJ213,AK213,AL213)</f>
        <v/>
      </c>
      <c r="AN213" s="0">
        <f>+C213-AM213</f>
        <v/>
      </c>
      <c r="AO213" s="0">
        <f>+AG213-AB213</f>
        <v/>
      </c>
      <c r="AP213" s="0" t="n">
        <v>2.081350831557026</v>
      </c>
      <c r="AQ213" s="0">
        <f>2*PI()*L213*(D213+E213)/(D213*E213*AP213^2)</f>
        <v/>
      </c>
      <c r="AR213" s="0">
        <f>+AO213+AB213/2</f>
        <v/>
      </c>
      <c r="AS213" s="0">
        <f>+AR213*AI213/I213*E213</f>
        <v/>
      </c>
      <c r="AT213" s="0">
        <f>+getublp(AS213)</f>
        <v/>
      </c>
      <c r="AU213" s="0">
        <f>+AT213*AI213</f>
        <v/>
      </c>
      <c r="AV213" s="0">
        <f>+AP213-AU213</f>
        <v/>
      </c>
      <c r="AW213" s="0">
        <f>2/3*AB213/(L213/(9.8*(E213-D213)))^0.5</f>
        <v/>
      </c>
      <c r="AX213" s="0">
        <f>+(2*AQ213*9.8*(E213-D213)/(E213*AW213))^0.5</f>
        <v/>
      </c>
      <c r="AY213" s="0">
        <f>+AV213-AX213</f>
        <v/>
      </c>
      <c r="AZ213" s="0">
        <f>+F213-G213</f>
        <v/>
      </c>
      <c r="BA213" s="0">
        <f>+AQ213/AP213</f>
        <v/>
      </c>
      <c r="BB213" s="15">
        <f>+E213*AO213*AZ213/BA213</f>
        <v/>
      </c>
      <c r="BC213" s="20">
        <f>BB213-S213</f>
        <v/>
      </c>
      <c r="BD213" s="19">
        <f>+(BB213-S213)/S213*100</f>
        <v/>
      </c>
      <c r="BE213" s="15" t="n">
        <v>4258696.5</v>
      </c>
      <c r="BF213" s="16">
        <f>テーブル2[[#This Row],[q_P]]/テーブル2[[#This Row],[q_M]]</f>
        <v/>
      </c>
      <c r="BG213" s="0" t="n">
        <v>1</v>
      </c>
      <c r="BH213" s="0" t="n">
        <v>-0.161</v>
      </c>
      <c r="BI213" s="0" t="n">
        <v>0.046</v>
      </c>
      <c r="BJ213" s="0" t="n">
        <v>5625</v>
      </c>
      <c r="BK213" s="22" t="n">
        <v>1</v>
      </c>
      <c r="BL213" s="0">
        <f>テーブル2[[#This Row],[Ts]]-テーブル2[[#This Row],[Tin]]</f>
        <v/>
      </c>
      <c r="BM213" s="0">
        <f>テーブル2[[#This Row],[q_P]]*0.000001</f>
        <v/>
      </c>
      <c r="BN213" s="0">
        <f>テーブル2[[#This Row],[Tsub]]</f>
        <v/>
      </c>
      <c r="BO213" s="0">
        <f>テーブル2[[#This Row],[Fcorr]]</f>
        <v/>
      </c>
      <c r="BP213" s="0">
        <f>(テーブル2[[#This Row],[Tsub]]-40)^2</f>
        <v/>
      </c>
      <c r="BQ213" t="n">
        <v>1</v>
      </c>
      <c r="BR213" s="0" t="n">
        <v>0.1524</v>
      </c>
    </row>
    <row r="214">
      <c r="A214" s="9" t="inlineStr">
        <is>
          <t>19.01_14</t>
        </is>
      </c>
      <c r="B214" s="0" t="n">
        <v>18960582.556213</v>
      </c>
      <c r="C214" s="22">
        <f t="array" ref="C214">TsatFromP(テーブル2[[#This Row],[P]])</f>
        <v/>
      </c>
      <c r="D214" s="0">
        <f t="array" ref="D214">RhoGFromP(テーブル2[[#This Row],[P]])</f>
        <v/>
      </c>
      <c r="E214" s="0">
        <f t="array" ref="E214">RhoFFromP(テーブル2[[#This Row],[P]])</f>
        <v/>
      </c>
      <c r="F214" s="0">
        <f t="array" ref="F214">HgFromP(テーブル2[[#This Row],[P]])</f>
        <v/>
      </c>
      <c r="G214" s="0">
        <f t="array" ref="G214">HfFromP(テーブル2[[#This Row],[P]])</f>
        <v/>
      </c>
      <c r="H214" s="0">
        <f t="array" ref="H214">MuGFromP(テーブル2[[#This Row],[P]])</f>
        <v/>
      </c>
      <c r="I214" s="0">
        <f t="array" ref="I214">MuFFromP(テーブル2[[#This Row],[P]])</f>
        <v/>
      </c>
      <c r="J214" s="0">
        <f t="array" ref="J214">KfFromP(テーブル2[[#This Row],[P]])</f>
        <v/>
      </c>
      <c r="K214" s="0">
        <f t="array" ref="K214">CpFFromP(テーブル2[[#This Row],[P]])</f>
        <v/>
      </c>
      <c r="L214" s="0">
        <f t="array" ref="L214">SigmaFromP(テーブル2[[#This Row],[P]])</f>
        <v/>
      </c>
      <c r="M214" s="0" t="n">
        <v>213</v>
      </c>
      <c r="N214" s="0" t="n">
        <v>3458.3865</v>
      </c>
      <c r="O214" s="8">
        <f>PI()*Q214^2/4</f>
        <v/>
      </c>
      <c r="P214" s="8">
        <f>PI()*Q214</f>
        <v/>
      </c>
      <c r="Q214" s="8" t="n">
        <v>0.001905</v>
      </c>
      <c r="R214" s="0" t="n">
        <v>0.1524</v>
      </c>
      <c r="S214" s="15" t="n">
        <v>3695875.87890625</v>
      </c>
      <c r="T214" s="0" t="n">
        <v>553.489954636295</v>
      </c>
      <c r="U214" s="37">
        <f>+T214+BG214*S214*テーブル2[[#This Row],[Pw]]*R214/(N214*O214*K214)</f>
        <v/>
      </c>
      <c r="V214" s="0" t="n">
        <v>0.03</v>
      </c>
      <c r="W214" s="8">
        <f>+N214*Q214/I214</f>
        <v/>
      </c>
      <c r="X214" s="0" t="n">
        <v>0.02264701976543209</v>
      </c>
      <c r="Y214" s="0">
        <f>IF(X214&gt;0,1/X214^0.5,1)</f>
        <v/>
      </c>
      <c r="Z214" s="0">
        <f>IF(X214&gt;0,1.14-2*LOG((0.72*L214*E214)/(X214*Q214*N214^2)+9.35/(W214*X214^0.5)),0)</f>
        <v/>
      </c>
      <c r="AA214" s="0">
        <f>+Y214-Z214</f>
        <v/>
      </c>
      <c r="AB214" s="0">
        <f>32/X214*L214*V214*E214/N214^2</f>
        <v/>
      </c>
      <c r="AC214" s="0" t="n">
        <v>697.6317837757107</v>
      </c>
      <c r="AD214" s="0">
        <f>+Q214/2*AI214/I214*E214</f>
        <v/>
      </c>
      <c r="AE214" s="0">
        <f>+gettm2(AD214,AC214,AK214,AL214,テーブル2[[#This Row],[Fcorr]])</f>
        <v/>
      </c>
      <c r="AF214" s="38">
        <f>+AE214-U214</f>
        <v/>
      </c>
      <c r="AG214" s="0" t="n">
        <v>3.166792667802716e-06</v>
      </c>
      <c r="AH214" s="0">
        <f>+X214*N214^2/(8*E214)</f>
        <v/>
      </c>
      <c r="AI214" s="0">
        <f>+(AH214/E214)^0.5</f>
        <v/>
      </c>
      <c r="AJ214" s="0">
        <f>+AG214*AI214/I214*E214</f>
        <v/>
      </c>
      <c r="AK214" s="0">
        <f t="array" ref="AK214">+S214*テーブル2[[#This Row],[F_form]]/(E214*CpFromTP((テーブル2[[#This Row],[Tin]]+テーブル2[[#This Row],[Tf]])/2,テーブル2[[#This Row],[P]])*AI214)</f>
        <v/>
      </c>
      <c r="AL214" s="0">
        <f>+K214*I214/J214</f>
        <v/>
      </c>
      <c r="AM214" s="0">
        <f>+gettyp(AC214,AJ214,AK214,AL214)</f>
        <v/>
      </c>
      <c r="AN214" s="0">
        <f>+C214-AM214</f>
        <v/>
      </c>
      <c r="AO214" s="0">
        <f>+AG214-AB214</f>
        <v/>
      </c>
      <c r="AP214" s="0" t="n">
        <v>2.094207490550964</v>
      </c>
      <c r="AQ214" s="0">
        <f>2*PI()*L214*(D214+E214)/(D214*E214*AP214^2)</f>
        <v/>
      </c>
      <c r="AR214" s="0">
        <f>+AO214+AB214/2</f>
        <v/>
      </c>
      <c r="AS214" s="0">
        <f>+AR214*AI214/I214*E214</f>
        <v/>
      </c>
      <c r="AT214" s="0">
        <f>+getublp(AS214)</f>
        <v/>
      </c>
      <c r="AU214" s="0">
        <f>+AT214*AI214</f>
        <v/>
      </c>
      <c r="AV214" s="0">
        <f>+AP214-AU214</f>
        <v/>
      </c>
      <c r="AW214" s="0">
        <f>2/3*AB214/(L214/(9.8*(E214-D214)))^0.5</f>
        <v/>
      </c>
      <c r="AX214" s="0">
        <f>+(2*AQ214*9.8*(E214-D214)/(E214*AW214))^0.5</f>
        <v/>
      </c>
      <c r="AY214" s="0">
        <f>+AV214-AX214</f>
        <v/>
      </c>
      <c r="AZ214" s="0">
        <f>+F214-G214</f>
        <v/>
      </c>
      <c r="BA214" s="0">
        <f>+AQ214/AP214</f>
        <v/>
      </c>
      <c r="BB214" s="15">
        <f>+E214*AO214*AZ214/BA214</f>
        <v/>
      </c>
      <c r="BC214" s="20">
        <f>BB214-S214</f>
        <v/>
      </c>
      <c r="BD214" s="19">
        <f>+(BB214-S214)/S214*100</f>
        <v/>
      </c>
      <c r="BE214" s="15" t="n">
        <v>4668793.199999999</v>
      </c>
      <c r="BF214" s="16">
        <f>テーブル2[[#This Row],[q_P]]/テーブル2[[#This Row],[q_M]]</f>
        <v/>
      </c>
      <c r="BG214" s="0" t="n">
        <v>1</v>
      </c>
      <c r="BH214" s="0" t="n">
        <v>-0.156</v>
      </c>
      <c r="BI214" s="0" t="n">
        <v>0.046</v>
      </c>
      <c r="BJ214" s="0" t="n">
        <v>5625</v>
      </c>
      <c r="BK214" s="22" t="n">
        <v>1</v>
      </c>
      <c r="BL214" s="0">
        <f>テーブル2[[#This Row],[Ts]]-テーブル2[[#This Row],[Tin]]</f>
        <v/>
      </c>
      <c r="BM214" s="0">
        <f>テーブル2[[#This Row],[q_P]]*0.000001</f>
        <v/>
      </c>
      <c r="BN214" s="0">
        <f>テーブル2[[#This Row],[Tsub]]</f>
        <v/>
      </c>
      <c r="BO214" s="0">
        <f>テーブル2[[#This Row],[Fcorr]]</f>
        <v/>
      </c>
      <c r="BP214" s="0">
        <f>(テーブル2[[#This Row],[Tsub]]-40)^2</f>
        <v/>
      </c>
      <c r="BQ214" t="n">
        <v>1</v>
      </c>
      <c r="BR214" s="0" t="n">
        <v>0.1524</v>
      </c>
    </row>
    <row r="215">
      <c r="A215" s="9" t="inlineStr">
        <is>
          <t>20.01_14</t>
        </is>
      </c>
      <c r="B215" s="0" t="n">
        <v>18960582.556213</v>
      </c>
      <c r="C215" s="22">
        <f t="array" ref="C215">TsatFromP(テーブル2[[#This Row],[P]])</f>
        <v/>
      </c>
      <c r="D215" s="0">
        <f t="array" ref="D215">RhoGFromP(テーブル2[[#This Row],[P]])</f>
        <v/>
      </c>
      <c r="E215" s="0">
        <f t="array" ref="E215">RhoFFromP(テーブル2[[#This Row],[P]])</f>
        <v/>
      </c>
      <c r="F215" s="0">
        <f t="array" ref="F215">HgFromP(テーブル2[[#This Row],[P]])</f>
        <v/>
      </c>
      <c r="G215" s="0">
        <f t="array" ref="G215">HfFromP(テーブル2[[#This Row],[P]])</f>
        <v/>
      </c>
      <c r="H215" s="0">
        <f t="array" ref="H215">MuGFromP(テーブル2[[#This Row],[P]])</f>
        <v/>
      </c>
      <c r="I215" s="0">
        <f t="array" ref="I215">MuFFromP(テーブル2[[#This Row],[P]])</f>
        <v/>
      </c>
      <c r="J215" s="0">
        <f t="array" ref="J215">KfFromP(テーブル2[[#This Row],[P]])</f>
        <v/>
      </c>
      <c r="K215" s="0">
        <f t="array" ref="K215">CpFFromP(テーブル2[[#This Row],[P]])</f>
        <v/>
      </c>
      <c r="L215" s="0">
        <f t="array" ref="L215">SigmaFromP(テーブル2[[#This Row],[P]])</f>
        <v/>
      </c>
      <c r="M215" s="0" t="n">
        <v>214</v>
      </c>
      <c r="N215" s="0" t="n">
        <v>3485.5111</v>
      </c>
      <c r="O215" s="8">
        <f>PI()*Q215^2/4</f>
        <v/>
      </c>
      <c r="P215" s="8">
        <f>PI()*Q215</f>
        <v/>
      </c>
      <c r="Q215" s="8" t="n">
        <v>0.001905</v>
      </c>
      <c r="R215" s="0" t="n">
        <v>0.1524</v>
      </c>
      <c r="S215" s="15" t="n">
        <v>3753381.34765625</v>
      </c>
      <c r="T215" s="0" t="n">
        <v>552.328244858423</v>
      </c>
      <c r="U215" s="37">
        <f>+T215+BG215*S215*テーブル2[[#This Row],[Pw]]*R215/(N215*O215*K215)</f>
        <v/>
      </c>
      <c r="V215" s="0" t="n">
        <v>0.03</v>
      </c>
      <c r="W215" s="8">
        <f>+N215*Q215/I215</f>
        <v/>
      </c>
      <c r="X215" s="0" t="n">
        <v>0.02258336690634047</v>
      </c>
      <c r="Y215" s="0">
        <f>IF(X215&gt;0,1/X215^0.5,1)</f>
        <v/>
      </c>
      <c r="Z215" s="0">
        <f>IF(X215&gt;0,1.14-2*LOG((0.72*L215*E215)/(X215*Q215*N215^2)+9.35/(W215*X215^0.5)),0)</f>
        <v/>
      </c>
      <c r="AA215" s="0">
        <f>+Y215-Z215</f>
        <v/>
      </c>
      <c r="AB215" s="0">
        <f>32/X215*L215*V215*E215/N215^2</f>
        <v/>
      </c>
      <c r="AC215" s="0" t="n">
        <v>698.3048345565373</v>
      </c>
      <c r="AD215" s="0">
        <f>+Q215/2*AI215/I215*E215</f>
        <v/>
      </c>
      <c r="AE215" s="0">
        <f>+gettm2(AD215,AC215,AK215,AL215,テーブル2[[#This Row],[Fcorr]])</f>
        <v/>
      </c>
      <c r="AF215" s="38">
        <f>+AE215-U215</f>
        <v/>
      </c>
      <c r="AG215" s="0" t="n">
        <v>3.128421966787275e-06</v>
      </c>
      <c r="AH215" s="0">
        <f>+X215*N215^2/(8*E215)</f>
        <v/>
      </c>
      <c r="AI215" s="0">
        <f>+(AH215/E215)^0.5</f>
        <v/>
      </c>
      <c r="AJ215" s="0">
        <f>+AG215*AI215/I215*E215</f>
        <v/>
      </c>
      <c r="AK215" s="0">
        <f t="array" ref="AK215">+S215*テーブル2[[#This Row],[F_form]]/(E215*CpFromTP((テーブル2[[#This Row],[Tin]]+テーブル2[[#This Row],[Tf]])/2,テーブル2[[#This Row],[P]])*AI215)</f>
        <v/>
      </c>
      <c r="AL215" s="0">
        <f>+K215*I215/J215</f>
        <v/>
      </c>
      <c r="AM215" s="0">
        <f>+gettyp(AC215,AJ215,AK215,AL215)</f>
        <v/>
      </c>
      <c r="AN215" s="0">
        <f>+C215-AM215</f>
        <v/>
      </c>
      <c r="AO215" s="0">
        <f>+AG215-AB215</f>
        <v/>
      </c>
      <c r="AP215" s="0" t="n">
        <v>2.097864007156559</v>
      </c>
      <c r="AQ215" s="0">
        <f>2*PI()*L215*(D215+E215)/(D215*E215*AP215^2)</f>
        <v/>
      </c>
      <c r="AR215" s="0">
        <f>+AO215+AB215/2</f>
        <v/>
      </c>
      <c r="AS215" s="0">
        <f>+AR215*AI215/I215*E215</f>
        <v/>
      </c>
      <c r="AT215" s="0">
        <f>+getublp(AS215)</f>
        <v/>
      </c>
      <c r="AU215" s="0">
        <f>+AT215*AI215</f>
        <v/>
      </c>
      <c r="AV215" s="0">
        <f>+AP215-AU215</f>
        <v/>
      </c>
      <c r="AW215" s="0">
        <f>2/3*AB215/(L215/(9.8*(E215-D215)))^0.5</f>
        <v/>
      </c>
      <c r="AX215" s="0">
        <f>+(2*AQ215*9.8*(E215-D215)/(E215*AW215))^0.5</f>
        <v/>
      </c>
      <c r="AY215" s="0">
        <f>+AV215-AX215</f>
        <v/>
      </c>
      <c r="AZ215" s="0">
        <f>+F215-G215</f>
        <v/>
      </c>
      <c r="BA215" s="0">
        <f>+AQ215/AP215</f>
        <v/>
      </c>
      <c r="BB215" s="15">
        <f>+E215*AO215*AZ215/BA215</f>
        <v/>
      </c>
      <c r="BC215" s="20">
        <f>BB215-S215</f>
        <v/>
      </c>
      <c r="BD215" s="19">
        <f>+(BB215-S215)/S215*100</f>
        <v/>
      </c>
      <c r="BE215" s="15" t="n">
        <v>4542609.6</v>
      </c>
      <c r="BF215" s="16">
        <f>テーブル2[[#This Row],[q_P]]/テーブル2[[#This Row],[q_M]]</f>
        <v/>
      </c>
      <c r="BG215" s="0" t="n">
        <v>1</v>
      </c>
      <c r="BH215" s="0" t="n">
        <v>-0.186</v>
      </c>
      <c r="BI215" s="0" t="n">
        <v>0.046</v>
      </c>
      <c r="BJ215" s="0" t="n">
        <v>5625</v>
      </c>
      <c r="BK215" s="22" t="n">
        <v>1</v>
      </c>
      <c r="BL215" s="0">
        <f>テーブル2[[#This Row],[Ts]]-テーブル2[[#This Row],[Tin]]</f>
        <v/>
      </c>
      <c r="BM215" s="0">
        <f>テーブル2[[#This Row],[q_P]]*0.000001</f>
        <v/>
      </c>
      <c r="BN215" s="0">
        <f>テーブル2[[#This Row],[Tsub]]</f>
        <v/>
      </c>
      <c r="BO215" s="0">
        <f>テーブル2[[#This Row],[Fcorr]]</f>
        <v/>
      </c>
      <c r="BP215" s="0">
        <f>(テーブル2[[#This Row],[Tsub]]-40)^2</f>
        <v/>
      </c>
      <c r="BQ215" t="n">
        <v>1</v>
      </c>
      <c r="BR215" s="0" t="n">
        <v>0.1524</v>
      </c>
    </row>
    <row r="216">
      <c r="A216" s="9" t="inlineStr">
        <is>
          <t>21.01_14</t>
        </is>
      </c>
      <c r="B216" s="0" t="n">
        <v>18960582.556213</v>
      </c>
      <c r="C216" s="22">
        <f t="array" ref="C216">TsatFromP(テーブル2[[#This Row],[P]])</f>
        <v/>
      </c>
      <c r="D216" s="0">
        <f t="array" ref="D216">RhoGFromP(テーブル2[[#This Row],[P]])</f>
        <v/>
      </c>
      <c r="E216" s="0">
        <f t="array" ref="E216">RhoFFromP(テーブル2[[#This Row],[P]])</f>
        <v/>
      </c>
      <c r="F216" s="0">
        <f t="array" ref="F216">HgFromP(テーブル2[[#This Row],[P]])</f>
        <v/>
      </c>
      <c r="G216" s="0">
        <f t="array" ref="G216">HfFromP(テーブル2[[#This Row],[P]])</f>
        <v/>
      </c>
      <c r="H216" s="0">
        <f t="array" ref="H216">MuGFromP(テーブル2[[#This Row],[P]])</f>
        <v/>
      </c>
      <c r="I216" s="0">
        <f t="array" ref="I216">MuFFromP(テーブル2[[#This Row],[P]])</f>
        <v/>
      </c>
      <c r="J216" s="0">
        <f t="array" ref="J216">KfFromP(テーブル2[[#This Row],[P]])</f>
        <v/>
      </c>
      <c r="K216" s="0">
        <f t="array" ref="K216">CpFFromP(テーブル2[[#This Row],[P]])</f>
        <v/>
      </c>
      <c r="L216" s="0">
        <f t="array" ref="L216">SigmaFromP(テーブル2[[#This Row],[P]])</f>
        <v/>
      </c>
      <c r="M216" s="0" t="n">
        <v>215</v>
      </c>
      <c r="N216" s="0" t="n">
        <v>3499.0734</v>
      </c>
      <c r="O216" s="8">
        <f>PI()*Q216^2/4</f>
        <v/>
      </c>
      <c r="P216" s="8">
        <f>PI()*Q216</f>
        <v/>
      </c>
      <c r="Q216" s="8" t="n">
        <v>0.001905</v>
      </c>
      <c r="R216" s="0" t="n">
        <v>0.1524</v>
      </c>
      <c r="S216" s="15" t="n">
        <v>3819602.63671875</v>
      </c>
      <c r="T216" s="0" t="n">
        <v>550.742501435986</v>
      </c>
      <c r="U216" s="37">
        <f>+T216+BG216*S216*テーブル2[[#This Row],[Pw]]*R216/(N216*O216*K216)</f>
        <v/>
      </c>
      <c r="V216" s="0" t="n">
        <v>0.03</v>
      </c>
      <c r="W216" s="8">
        <f>+N216*Q216/I216</f>
        <v/>
      </c>
      <c r="X216" s="0" t="n">
        <v>0.02255183581252971</v>
      </c>
      <c r="Y216" s="0">
        <f>IF(X216&gt;0,1/X216^0.5,1)</f>
        <v/>
      </c>
      <c r="Z216" s="0">
        <f>IF(X216&gt;0,1.14-2*LOG((0.72*L216*E216)/(X216*Q216*N216^2)+9.35/(W216*X216^0.5)),0)</f>
        <v/>
      </c>
      <c r="AA216" s="0">
        <f>+Y216-Z216</f>
        <v/>
      </c>
      <c r="AB216" s="0">
        <f>32/X216*L216*V216*E216/N216^2</f>
        <v/>
      </c>
      <c r="AC216" s="0" t="n">
        <v>699.4912749550258</v>
      </c>
      <c r="AD216" s="0">
        <f>+Q216/2*AI216/I216*E216</f>
        <v/>
      </c>
      <c r="AE216" s="0">
        <f>+gettm2(AD216,AC216,AK216,AL216,テーブル2[[#This Row],[Fcorr]])</f>
        <v/>
      </c>
      <c r="AF216" s="38">
        <f>+AE216-U216</f>
        <v/>
      </c>
      <c r="AG216" s="0" t="n">
        <v>3.110691612962195e-06</v>
      </c>
      <c r="AH216" s="0">
        <f>+X216*N216^2/(8*E216)</f>
        <v/>
      </c>
      <c r="AI216" s="0">
        <f>+(AH216/E216)^0.5</f>
        <v/>
      </c>
      <c r="AJ216" s="0">
        <f>+AG216*AI216/I216*E216</f>
        <v/>
      </c>
      <c r="AK216" s="0">
        <f t="array" ref="AK216">+S216*テーブル2[[#This Row],[F_form]]/(E216*CpFromTP((テーブル2[[#This Row],[Tin]]+テーブル2[[#This Row],[Tf]])/2,テーブル2[[#This Row],[P]])*AI216)</f>
        <v/>
      </c>
      <c r="AL216" s="0">
        <f>+K216*I216/J216</f>
        <v/>
      </c>
      <c r="AM216" s="0">
        <f>+gettyp(AC216,AJ216,AK216,AL216)</f>
        <v/>
      </c>
      <c r="AN216" s="0">
        <f>+C216-AM216</f>
        <v/>
      </c>
      <c r="AO216" s="0">
        <f>+AG216-AB216</f>
        <v/>
      </c>
      <c r="AP216" s="0" t="n">
        <v>2.10080783312518</v>
      </c>
      <c r="AQ216" s="0">
        <f>2*PI()*L216*(D216+E216)/(D216*E216*AP216^2)</f>
        <v/>
      </c>
      <c r="AR216" s="0">
        <f>+AO216+AB216/2</f>
        <v/>
      </c>
      <c r="AS216" s="0">
        <f>+AR216*AI216/I216*E216</f>
        <v/>
      </c>
      <c r="AT216" s="0">
        <f>+getublp(AS216)</f>
        <v/>
      </c>
      <c r="AU216" s="0">
        <f>+AT216*AI216</f>
        <v/>
      </c>
      <c r="AV216" s="0">
        <f>+AP216-AU216</f>
        <v/>
      </c>
      <c r="AW216" s="0">
        <f>2/3*AB216/(L216/(9.8*(E216-D216)))^0.5</f>
        <v/>
      </c>
      <c r="AX216" s="0">
        <f>+(2*AQ216*9.8*(E216-D216)/(E216*AW216))^0.5</f>
        <v/>
      </c>
      <c r="AY216" s="0">
        <f>+AV216-AX216</f>
        <v/>
      </c>
      <c r="AZ216" s="0">
        <f>+F216-G216</f>
        <v/>
      </c>
      <c r="BA216" s="0">
        <f>+AQ216/AP216</f>
        <v/>
      </c>
      <c r="BB216" s="15">
        <f>+E216*AO216*AZ216/BA216</f>
        <v/>
      </c>
      <c r="BC216" s="20">
        <f>BB216-S216</f>
        <v/>
      </c>
      <c r="BD216" s="19">
        <f>+(BB216-S216)/S216*100</f>
        <v/>
      </c>
      <c r="BE216" s="15" t="n">
        <v>4542609.6</v>
      </c>
      <c r="BF216" s="16">
        <f>テーブル2[[#This Row],[q_P]]/テーブル2[[#This Row],[q_M]]</f>
        <v/>
      </c>
      <c r="BG216" s="0" t="n">
        <v>1</v>
      </c>
      <c r="BH216" s="0" t="n">
        <v>-0.199</v>
      </c>
      <c r="BI216" s="0" t="n">
        <v>0.046</v>
      </c>
      <c r="BJ216" s="0" t="n">
        <v>5625</v>
      </c>
      <c r="BK216" s="22" t="n">
        <v>1</v>
      </c>
      <c r="BL216" s="0">
        <f>テーブル2[[#This Row],[Ts]]-テーブル2[[#This Row],[Tin]]</f>
        <v/>
      </c>
      <c r="BM216" s="0">
        <f>テーブル2[[#This Row],[q_P]]*0.000001</f>
        <v/>
      </c>
      <c r="BN216" s="0">
        <f>テーブル2[[#This Row],[Tsub]]</f>
        <v/>
      </c>
      <c r="BO216" s="0">
        <f>テーブル2[[#This Row],[Fcorr]]</f>
        <v/>
      </c>
      <c r="BP216" s="0">
        <f>(テーブル2[[#This Row],[Tsub]]-40)^2</f>
        <v/>
      </c>
      <c r="BQ216" t="n">
        <v>1</v>
      </c>
      <c r="BR216" s="0" t="n">
        <v>0.1524</v>
      </c>
    </row>
    <row r="217">
      <c r="A217" s="9" t="inlineStr">
        <is>
          <t>22.01_14</t>
        </is>
      </c>
      <c r="B217" s="0" t="n">
        <v>18960582.556213</v>
      </c>
      <c r="C217" s="22">
        <f t="array" ref="C217">TsatFromP(テーブル2[[#This Row],[P]])</f>
        <v/>
      </c>
      <c r="D217" s="0">
        <f t="array" ref="D217">RhoGFromP(テーブル2[[#This Row],[P]])</f>
        <v/>
      </c>
      <c r="E217" s="0">
        <f t="array" ref="E217">RhoFFromP(テーブル2[[#This Row],[P]])</f>
        <v/>
      </c>
      <c r="F217" s="0">
        <f t="array" ref="F217">HgFromP(テーブル2[[#This Row],[P]])</f>
        <v/>
      </c>
      <c r="G217" s="0">
        <f t="array" ref="G217">HfFromP(テーブル2[[#This Row],[P]])</f>
        <v/>
      </c>
      <c r="H217" s="0">
        <f t="array" ref="H217">MuGFromP(テーブル2[[#This Row],[P]])</f>
        <v/>
      </c>
      <c r="I217" s="0">
        <f t="array" ref="I217">MuFFromP(テーブル2[[#This Row],[P]])</f>
        <v/>
      </c>
      <c r="J217" s="0">
        <f t="array" ref="J217">KfFromP(テーブル2[[#This Row],[P]])</f>
        <v/>
      </c>
      <c r="K217" s="0">
        <f t="array" ref="K217">CpFFromP(テーブル2[[#This Row],[P]])</f>
        <v/>
      </c>
      <c r="L217" s="0">
        <f t="array" ref="L217">SigmaFromP(テーブル2[[#This Row],[P]])</f>
        <v/>
      </c>
      <c r="M217" s="0" t="n">
        <v>216</v>
      </c>
      <c r="N217" s="0" t="n">
        <v>1939.4089</v>
      </c>
      <c r="O217" s="8">
        <f>PI()*Q217^2/4</f>
        <v/>
      </c>
      <c r="P217" s="8">
        <f>PI()*Q217</f>
        <v/>
      </c>
      <c r="Q217" s="8" t="n">
        <v>0.001905</v>
      </c>
      <c r="R217" s="0" t="n">
        <v>0.69596</v>
      </c>
      <c r="S217" s="15" t="n">
        <v>4757805.95703125</v>
      </c>
      <c r="T217" s="0" t="n">
        <v>299.020736582412</v>
      </c>
      <c r="U217" s="37">
        <f>+T217+BG217*S217*テーブル2[[#This Row],[Pw]]*R217/(N217*O217*K217)</f>
        <v/>
      </c>
      <c r="V217" s="0" t="n">
        <v>0.03</v>
      </c>
      <c r="W217" s="8">
        <f>+N217*Q217/I217</f>
        <v/>
      </c>
      <c r="X217" s="0" t="n">
        <v>0.02830926019525237</v>
      </c>
      <c r="Y217" s="0">
        <f>IF(X217&gt;0,1/X217^0.5,1)</f>
        <v/>
      </c>
      <c r="Z217" s="0">
        <f>IF(X217&gt;0,1.14-2*LOG((0.72*L217*E217)/(X217*Q217*N217^2)+9.35/(W217*X217^0.5)),0)</f>
        <v/>
      </c>
      <c r="AA217" s="0">
        <f>+Y217-Z217</f>
        <v/>
      </c>
      <c r="AB217" s="0">
        <f>32/X217*L217*V217*E217/N217^2</f>
        <v/>
      </c>
      <c r="AC217" s="0" t="n">
        <v>824.7665433457223</v>
      </c>
      <c r="AD217" s="0">
        <f>+Q217/2*AI217/I217*E217</f>
        <v/>
      </c>
      <c r="AE217" s="0">
        <f>+gettm2(AD217,AC217,AK217,AL217,テーブル2[[#This Row],[Fcorr]])</f>
        <v/>
      </c>
      <c r="AF217" s="38">
        <f>+AE217-U217</f>
        <v/>
      </c>
      <c r="AG217" s="0" t="n">
        <v>7.990767251217986e-06</v>
      </c>
      <c r="AH217" s="0">
        <f>+X217*N217^2/(8*E217)</f>
        <v/>
      </c>
      <c r="AI217" s="0">
        <f>+(AH217/E217)^0.5</f>
        <v/>
      </c>
      <c r="AJ217" s="0">
        <f>+AG217*AI217/I217*E217</f>
        <v/>
      </c>
      <c r="AK217" s="0">
        <f t="array" ref="AK217">+S217*テーブル2[[#This Row],[F_form]]/(E217*CpFromTP((テーブル2[[#This Row],[Tin]]+テーブル2[[#This Row],[Tf]])/2,テーブル2[[#This Row],[P]])*AI217)</f>
        <v/>
      </c>
      <c r="AL217" s="0">
        <f>+K217*I217/J217</f>
        <v/>
      </c>
      <c r="AM217" s="0">
        <f>+gettyp(AC217,AJ217,AK217,AL217)</f>
        <v/>
      </c>
      <c r="AN217" s="0">
        <f>+C217-AM217</f>
        <v/>
      </c>
      <c r="AO217" s="0">
        <f>+AG217-AB217</f>
        <v/>
      </c>
      <c r="AP217" s="0" t="n">
        <v>1.839754814846375</v>
      </c>
      <c r="AQ217" s="0">
        <f>2*PI()*L217*(D217+E217)/(D217*E217*AP217^2)</f>
        <v/>
      </c>
      <c r="AR217" s="0">
        <f>+AO217+AB217/2</f>
        <v/>
      </c>
      <c r="AS217" s="0">
        <f>+AR217*AI217/I217*E217</f>
        <v/>
      </c>
      <c r="AT217" s="0">
        <f>+getublp(AS217)</f>
        <v/>
      </c>
      <c r="AU217" s="0">
        <f>+AT217*AI217</f>
        <v/>
      </c>
      <c r="AV217" s="0">
        <f>+AP217-AU217</f>
        <v/>
      </c>
      <c r="AW217" s="0">
        <f>2/3*AB217/(L217/(9.8*(E217-D217)))^0.5</f>
        <v/>
      </c>
      <c r="AX217" s="0">
        <f>+(2*AQ217*9.8*(E217-D217)/(E217*AW217))^0.5</f>
        <v/>
      </c>
      <c r="AY217" s="0">
        <f>+AV217-AX217</f>
        <v/>
      </c>
      <c r="AZ217" s="0">
        <f>+F217-G217</f>
        <v/>
      </c>
      <c r="BA217" s="0">
        <f>+AQ217/AP217</f>
        <v/>
      </c>
      <c r="BB217" s="15">
        <f>+E217*AO217*AZ217/BA217</f>
        <v/>
      </c>
      <c r="BC217" s="20">
        <f>BB217-S217</f>
        <v/>
      </c>
      <c r="BD217" s="19">
        <f>+(BB217-S217)/S217*100</f>
        <v/>
      </c>
      <c r="BE217" s="15" t="n">
        <v>2082029.4</v>
      </c>
      <c r="BF217" s="16">
        <f>テーブル2[[#This Row],[q_P]]/テーブル2[[#This Row],[q_M]]</f>
        <v/>
      </c>
      <c r="BG217" s="0" t="n">
        <v>1</v>
      </c>
      <c r="BH217" s="0" t="n">
        <v>-0.113</v>
      </c>
      <c r="BI217" s="0" t="n">
        <v>0.046</v>
      </c>
      <c r="BJ217" s="0" t="n">
        <v>5625</v>
      </c>
      <c r="BK217" s="22" t="n">
        <v>1</v>
      </c>
      <c r="BL217" s="0">
        <f>テーブル2[[#This Row],[Ts]]-テーブル2[[#This Row],[Tin]]</f>
        <v/>
      </c>
      <c r="BM217" s="0">
        <f>テーブル2[[#This Row],[q_P]]*0.000001</f>
        <v/>
      </c>
      <c r="BN217" s="0">
        <f>テーブル2[[#This Row],[Tsub]]</f>
        <v/>
      </c>
      <c r="BO217" s="0">
        <f>テーブル2[[#This Row],[Fcorr]]</f>
        <v/>
      </c>
      <c r="BP217" s="0">
        <f>(テーブル2[[#This Row],[Tsub]]-40)^2</f>
        <v/>
      </c>
      <c r="BQ217" t="n">
        <v>1</v>
      </c>
      <c r="BR217" s="0" t="n">
        <v>0.69596</v>
      </c>
    </row>
    <row r="218">
      <c r="A218" s="9" t="inlineStr">
        <is>
          <t>23.01_14</t>
        </is>
      </c>
      <c r="B218" s="0" t="n">
        <v>18960582.556213</v>
      </c>
      <c r="C218" s="22">
        <f t="array" ref="C218">TsatFromP(テーブル2[[#This Row],[P]])</f>
        <v/>
      </c>
      <c r="D218" s="0">
        <f t="array" ref="D218">RhoGFromP(テーブル2[[#This Row],[P]])</f>
        <v/>
      </c>
      <c r="E218" s="0">
        <f t="array" ref="E218">RhoFFromP(テーブル2[[#This Row],[P]])</f>
        <v/>
      </c>
      <c r="F218" s="0">
        <f t="array" ref="F218">HgFromP(テーブル2[[#This Row],[P]])</f>
        <v/>
      </c>
      <c r="G218" s="0">
        <f t="array" ref="G218">HfFromP(テーブル2[[#This Row],[P]])</f>
        <v/>
      </c>
      <c r="H218" s="0">
        <f t="array" ref="H218">MuGFromP(テーブル2[[#This Row],[P]])</f>
        <v/>
      </c>
      <c r="I218" s="0">
        <f t="array" ref="I218">MuFFromP(テーブル2[[#This Row],[P]])</f>
        <v/>
      </c>
      <c r="J218" s="0">
        <f t="array" ref="J218">KfFromP(テーブル2[[#This Row],[P]])</f>
        <v/>
      </c>
      <c r="K218" s="0">
        <f t="array" ref="K218">CpFFromP(テーブル2[[#This Row],[P]])</f>
        <v/>
      </c>
      <c r="L218" s="0">
        <f t="array" ref="L218">SigmaFromP(テーブル2[[#This Row],[P]])</f>
        <v/>
      </c>
      <c r="M218" s="0" t="n">
        <v>217</v>
      </c>
      <c r="N218" s="0" t="n">
        <v>1980.0958</v>
      </c>
      <c r="O218" s="8">
        <f>PI()*Q218^2/4</f>
        <v/>
      </c>
      <c r="P218" s="8">
        <f>PI()*Q218</f>
        <v/>
      </c>
      <c r="Q218" s="8" t="n">
        <v>0.001905</v>
      </c>
      <c r="R218" s="0" t="n">
        <v>0.69596</v>
      </c>
      <c r="S218" s="15" t="n">
        <v>4869246.34765625</v>
      </c>
      <c r="T218" s="0" t="n">
        <v>296.261722921778</v>
      </c>
      <c r="U218" s="37">
        <f>+T218+BG218*S218*テーブル2[[#This Row],[Pw]]*R218/(N218*O218*K218)</f>
        <v/>
      </c>
      <c r="V218" s="0" t="n">
        <v>0.03</v>
      </c>
      <c r="W218" s="8">
        <f>+N218*Q218/I218</f>
        <v/>
      </c>
      <c r="X218" s="0" t="n">
        <v>0.02806879511535917</v>
      </c>
      <c r="Y218" s="0">
        <f>IF(X218&gt;0,1/X218^0.5,1)</f>
        <v/>
      </c>
      <c r="Z218" s="0">
        <f>IF(X218&gt;0,1.14-2*LOG((0.72*L218*E218)/(X218*Q218*N218^2)+9.35/(W218*X218^0.5)),0)</f>
        <v/>
      </c>
      <c r="AA218" s="0">
        <f>+Y218-Z218</f>
        <v/>
      </c>
      <c r="AB218" s="0">
        <f>32/X218*L218*V218*E218/N218^2</f>
        <v/>
      </c>
      <c r="AC218" s="0" t="n">
        <v>825.3109733921041</v>
      </c>
      <c r="AD218" s="0">
        <f>+Q218/2*AI218/I218*E218</f>
        <v/>
      </c>
      <c r="AE218" s="0">
        <f>+gettm2(AD218,AC218,AK218,AL218,テーブル2[[#This Row],[Fcorr]])</f>
        <v/>
      </c>
      <c r="AF218" s="38">
        <f>+AE218-U218</f>
        <v/>
      </c>
      <c r="AG218" s="0" t="n">
        <v>7.73736971654691e-06</v>
      </c>
      <c r="AH218" s="0">
        <f>+X218*N218^2/(8*E218)</f>
        <v/>
      </c>
      <c r="AI218" s="0">
        <f>+(AH218/E218)^0.5</f>
        <v/>
      </c>
      <c r="AJ218" s="0">
        <f>+AG218*AI218/I218*E218</f>
        <v/>
      </c>
      <c r="AK218" s="0">
        <f t="array" ref="AK218">+S218*テーブル2[[#This Row],[F_form]]/(E218*CpFromTP((テーブル2[[#This Row],[Tin]]+テーブル2[[#This Row],[Tf]])/2,テーブル2[[#This Row],[P]])*AI218)</f>
        <v/>
      </c>
      <c r="AL218" s="0">
        <f>+K218*I218/J218</f>
        <v/>
      </c>
      <c r="AM218" s="0">
        <f>+gettyp(AC218,AJ218,AK218,AL218)</f>
        <v/>
      </c>
      <c r="AN218" s="0">
        <f>+C218-AM218</f>
        <v/>
      </c>
      <c r="AO218" s="0">
        <f>+AG218-AB218</f>
        <v/>
      </c>
      <c r="AP218" s="0" t="n">
        <v>1.851980445842803</v>
      </c>
      <c r="AQ218" s="0">
        <f>2*PI()*L218*(D218+E218)/(D218*E218*AP218^2)</f>
        <v/>
      </c>
      <c r="AR218" s="0">
        <f>+AO218+AB218/2</f>
        <v/>
      </c>
      <c r="AS218" s="0">
        <f>+AR218*AI218/I218*E218</f>
        <v/>
      </c>
      <c r="AT218" s="0">
        <f>+getublp(AS218)</f>
        <v/>
      </c>
      <c r="AU218" s="0">
        <f>+AT218*AI218</f>
        <v/>
      </c>
      <c r="AV218" s="0">
        <f>+AP218-AU218</f>
        <v/>
      </c>
      <c r="AW218" s="0">
        <f>2/3*AB218/(L218/(9.8*(E218-D218)))^0.5</f>
        <v/>
      </c>
      <c r="AX218" s="0">
        <f>+(2*AQ218*9.8*(E218-D218)/(E218*AW218))^0.5</f>
        <v/>
      </c>
      <c r="AY218" s="0">
        <f>+AV218-AX218</f>
        <v/>
      </c>
      <c r="AZ218" s="0">
        <f>+F218-G218</f>
        <v/>
      </c>
      <c r="BA218" s="0">
        <f>+AQ218/AP218</f>
        <v/>
      </c>
      <c r="BB218" s="15">
        <f>+E218*AO218*AZ218/BA218</f>
        <v/>
      </c>
      <c r="BC218" s="20">
        <f>BB218-S218</f>
        <v/>
      </c>
      <c r="BD218" s="19">
        <f>+(BB218-S218)/S218*100</f>
        <v/>
      </c>
      <c r="BE218" s="15" t="n">
        <v>2082029.4</v>
      </c>
      <c r="BF218" s="16">
        <f>テーブル2[[#This Row],[q_P]]/テーブル2[[#This Row],[q_M]]</f>
        <v/>
      </c>
      <c r="BG218" s="0" t="n">
        <v>1</v>
      </c>
      <c r="BH218" s="0" t="n">
        <v>-0.176</v>
      </c>
      <c r="BI218" s="0" t="n">
        <v>0.046</v>
      </c>
      <c r="BJ218" s="0" t="n">
        <v>5625</v>
      </c>
      <c r="BK218" s="22" t="n">
        <v>1</v>
      </c>
      <c r="BL218" s="0">
        <f>テーブル2[[#This Row],[Ts]]-テーブル2[[#This Row],[Tin]]</f>
        <v/>
      </c>
      <c r="BM218" s="0">
        <f>テーブル2[[#This Row],[q_P]]*0.000001</f>
        <v/>
      </c>
      <c r="BN218" s="0">
        <f>テーブル2[[#This Row],[Tsub]]</f>
        <v/>
      </c>
      <c r="BO218" s="0">
        <f>テーブル2[[#This Row],[Fcorr]]</f>
        <v/>
      </c>
      <c r="BP218" s="0">
        <f>(テーブル2[[#This Row],[Tsub]]-40)^2</f>
        <v/>
      </c>
      <c r="BQ218" t="n">
        <v>1</v>
      </c>
      <c r="BR218" s="0" t="n">
        <v>0.69596</v>
      </c>
    </row>
    <row r="219">
      <c r="A219" s="9" t="inlineStr">
        <is>
          <t>24.01_14</t>
        </is>
      </c>
      <c r="B219" s="0" t="n">
        <v>18960582.556213</v>
      </c>
      <c r="C219" s="22">
        <f t="array" ref="C219">TsatFromP(テーブル2[[#This Row],[P]])</f>
        <v/>
      </c>
      <c r="D219" s="0">
        <f t="array" ref="D219">RhoGFromP(テーブル2[[#This Row],[P]])</f>
        <v/>
      </c>
      <c r="E219" s="0">
        <f t="array" ref="E219">RhoFFromP(テーブル2[[#This Row],[P]])</f>
        <v/>
      </c>
      <c r="F219" s="0">
        <f t="array" ref="F219">HgFromP(テーブル2[[#This Row],[P]])</f>
        <v/>
      </c>
      <c r="G219" s="0">
        <f t="array" ref="G219">HfFromP(テーブル2[[#This Row],[P]])</f>
        <v/>
      </c>
      <c r="H219" s="0">
        <f t="array" ref="H219">MuGFromP(テーブル2[[#This Row],[P]])</f>
        <v/>
      </c>
      <c r="I219" s="0">
        <f t="array" ref="I219">MuFFromP(テーブル2[[#This Row],[P]])</f>
        <v/>
      </c>
      <c r="J219" s="0">
        <f t="array" ref="J219">KfFromP(テーブル2[[#This Row],[P]])</f>
        <v/>
      </c>
      <c r="K219" s="0">
        <f t="array" ref="K219">CpFFromP(テーブル2[[#This Row],[P]])</f>
        <v/>
      </c>
      <c r="L219" s="0">
        <f t="array" ref="L219">SigmaFromP(テーブル2[[#This Row],[P]])</f>
        <v/>
      </c>
      <c r="M219" s="0" t="n">
        <v>218</v>
      </c>
      <c r="N219" s="0" t="n">
        <v>2183.5303</v>
      </c>
      <c r="O219" s="8">
        <f>PI()*Q219^2/4</f>
        <v/>
      </c>
      <c r="P219" s="8">
        <f>PI()*Q219</f>
        <v/>
      </c>
      <c r="Q219" s="8" t="n">
        <v>0.001905</v>
      </c>
      <c r="R219" s="0" t="n">
        <v>0.69596</v>
      </c>
      <c r="S219" s="15" t="n">
        <v>5206018.06640625</v>
      </c>
      <c r="T219" s="0" t="n">
        <v>297.894650849853</v>
      </c>
      <c r="U219" s="37">
        <f>+T219+BG219*S219*テーブル2[[#This Row],[Pw]]*R219/(N219*O219*K219)</f>
        <v/>
      </c>
      <c r="V219" s="0" t="n">
        <v>0.03</v>
      </c>
      <c r="W219" s="8">
        <f>+N219*Q219/I219</f>
        <v/>
      </c>
      <c r="X219" s="0" t="n">
        <v>0.02697769945306181</v>
      </c>
      <c r="Y219" s="0">
        <f>IF(X219&gt;0,1/X219^0.5,1)</f>
        <v/>
      </c>
      <c r="Z219" s="0">
        <f>IF(X219&gt;0,1.14-2*LOG((0.72*L219*E219)/(X219*Q219*N219^2)+9.35/(W219*X219^0.5)),0)</f>
        <v/>
      </c>
      <c r="AA219" s="0">
        <f>+Y219-Z219</f>
        <v/>
      </c>
      <c r="AB219" s="0">
        <f>32/X219*L219*V219*E219/N219^2</f>
        <v/>
      </c>
      <c r="AC219" s="0" t="n">
        <v>818.9266770881111</v>
      </c>
      <c r="AD219" s="0">
        <f>+Q219/2*AI219/I219*E219</f>
        <v/>
      </c>
      <c r="AE219" s="0">
        <f>+gettm2(AD219,AC219,AK219,AL219,テーブル2[[#This Row],[Fcorr]])</f>
        <v/>
      </c>
      <c r="AF219" s="38">
        <f>+AE219-U219</f>
        <v/>
      </c>
      <c r="AG219" s="0" t="n">
        <v>6.644903429961525e-06</v>
      </c>
      <c r="AH219" s="0">
        <f>+X219*N219^2/(8*E219)</f>
        <v/>
      </c>
      <c r="AI219" s="0">
        <f>+(AH219/E219)^0.5</f>
        <v/>
      </c>
      <c r="AJ219" s="0">
        <f>+AG219*AI219/I219*E219</f>
        <v/>
      </c>
      <c r="AK219" s="0">
        <f t="array" ref="AK219">+S219*テーブル2[[#This Row],[F_form]]/(E219*CpFromTP((テーブル2[[#This Row],[Tin]]+テーブル2[[#This Row],[Tf]])/2,テーブル2[[#This Row],[P]])*AI219)</f>
        <v/>
      </c>
      <c r="AL219" s="0">
        <f>+K219*I219/J219</f>
        <v/>
      </c>
      <c r="AM219" s="0">
        <f>+gettyp(AC219,AJ219,AK219,AL219)</f>
        <v/>
      </c>
      <c r="AN219" s="0">
        <f>+C219-AM219</f>
        <v/>
      </c>
      <c r="AO219" s="0">
        <f>+AG219-AB219</f>
        <v/>
      </c>
      <c r="AP219" s="0" t="n">
        <v>1.908877748839484</v>
      </c>
      <c r="AQ219" s="0">
        <f>2*PI()*L219*(D219+E219)/(D219*E219*AP219^2)</f>
        <v/>
      </c>
      <c r="AR219" s="0">
        <f>+AO219+AB219/2</f>
        <v/>
      </c>
      <c r="AS219" s="0">
        <f>+AR219*AI219/I219*E219</f>
        <v/>
      </c>
      <c r="AT219" s="0">
        <f>+getublp(AS219)</f>
        <v/>
      </c>
      <c r="AU219" s="0">
        <f>+AT219*AI219</f>
        <v/>
      </c>
      <c r="AV219" s="0">
        <f>+AP219-AU219</f>
        <v/>
      </c>
      <c r="AW219" s="0">
        <f>2/3*AB219/(L219/(9.8*(E219-D219)))^0.5</f>
        <v/>
      </c>
      <c r="AX219" s="0">
        <f>+(2*AQ219*9.8*(E219-D219)/(E219*AW219))^0.5</f>
        <v/>
      </c>
      <c r="AY219" s="0">
        <f>+AV219-AX219</f>
        <v/>
      </c>
      <c r="AZ219" s="0">
        <f>+F219-G219</f>
        <v/>
      </c>
      <c r="BA219" s="0">
        <f>+AQ219/AP219</f>
        <v/>
      </c>
      <c r="BB219" s="15">
        <f>+E219*AO219*AZ219/BA219</f>
        <v/>
      </c>
      <c r="BC219" s="20">
        <f>BB219-S219</f>
        <v/>
      </c>
      <c r="BD219" s="19">
        <f>+(BB219-S219)/S219*100</f>
        <v/>
      </c>
      <c r="BE219" s="15" t="n">
        <v>2397488.4</v>
      </c>
      <c r="BF219" s="16">
        <f>テーブル2[[#This Row],[q_P]]/テーブル2[[#This Row],[q_M]]</f>
        <v/>
      </c>
      <c r="BG219" s="0" t="n">
        <v>1</v>
      </c>
      <c r="BH219" s="0" t="n">
        <v>-0.06900000000000001</v>
      </c>
      <c r="BI219" s="0" t="n">
        <v>0.046</v>
      </c>
      <c r="BJ219" s="0" t="n">
        <v>5625</v>
      </c>
      <c r="BK219" s="22" t="n">
        <v>1</v>
      </c>
      <c r="BL219" s="0">
        <f>テーブル2[[#This Row],[Ts]]-テーブル2[[#This Row],[Tin]]</f>
        <v/>
      </c>
      <c r="BM219" s="0">
        <f>テーブル2[[#This Row],[q_P]]*0.000001</f>
        <v/>
      </c>
      <c r="BN219" s="0">
        <f>テーブル2[[#This Row],[Tsub]]</f>
        <v/>
      </c>
      <c r="BO219" s="0">
        <f>テーブル2[[#This Row],[Fcorr]]</f>
        <v/>
      </c>
      <c r="BP219" s="0">
        <f>(テーブル2[[#This Row],[Tsub]]-40)^2</f>
        <v/>
      </c>
      <c r="BQ219" t="n">
        <v>1</v>
      </c>
      <c r="BR219" s="0" t="n">
        <v>0.69596</v>
      </c>
    </row>
    <row r="220">
      <c r="A220" s="9" t="inlineStr">
        <is>
          <t>25.01_14</t>
        </is>
      </c>
      <c r="B220" s="0" t="n">
        <v>18960582.556213</v>
      </c>
      <c r="C220" s="22">
        <f t="array" ref="C220">TsatFromP(テーブル2[[#This Row],[P]])</f>
        <v/>
      </c>
      <c r="D220" s="0">
        <f t="array" ref="D220">RhoGFromP(テーブル2[[#This Row],[P]])</f>
        <v/>
      </c>
      <c r="E220" s="0">
        <f t="array" ref="E220">RhoFFromP(テーブル2[[#This Row],[P]])</f>
        <v/>
      </c>
      <c r="F220" s="0">
        <f t="array" ref="F220">HgFromP(テーブル2[[#This Row],[P]])</f>
        <v/>
      </c>
      <c r="G220" s="0">
        <f t="array" ref="G220">HfFromP(テーブル2[[#This Row],[P]])</f>
        <v/>
      </c>
      <c r="H220" s="0">
        <f t="array" ref="H220">MuGFromP(テーブル2[[#This Row],[P]])</f>
        <v/>
      </c>
      <c r="I220" s="0">
        <f t="array" ref="I220">MuFFromP(テーブル2[[#This Row],[P]])</f>
        <v/>
      </c>
      <c r="J220" s="0">
        <f t="array" ref="J220">KfFromP(テーブル2[[#This Row],[P]])</f>
        <v/>
      </c>
      <c r="K220" s="0">
        <f t="array" ref="K220">CpFFromP(テーブル2[[#This Row],[P]])</f>
        <v/>
      </c>
      <c r="L220" s="0">
        <f t="array" ref="L220">SigmaFromP(テーブル2[[#This Row],[P]])</f>
        <v/>
      </c>
      <c r="M220" s="0" t="n">
        <v>219</v>
      </c>
      <c r="N220" s="0" t="n">
        <v>2237.7795</v>
      </c>
      <c r="O220" s="8">
        <f>PI()*Q220^2/4</f>
        <v/>
      </c>
      <c r="P220" s="8">
        <f>PI()*Q220</f>
        <v/>
      </c>
      <c r="Q220" s="8" t="n">
        <v>0.001905</v>
      </c>
      <c r="R220" s="0" t="n">
        <v>0.69596</v>
      </c>
      <c r="S220" s="15" t="n">
        <v>5308802.63671875</v>
      </c>
      <c r="T220" s="0" t="n">
        <v>297.331585794829</v>
      </c>
      <c r="U220" s="37">
        <f>+T220+BG220*S220*テーブル2[[#This Row],[Pw]]*R220/(N220*O220*K220)</f>
        <v/>
      </c>
      <c r="V220" s="0" t="n">
        <v>0.03</v>
      </c>
      <c r="W220" s="8">
        <f>+N220*Q220/I220</f>
        <v/>
      </c>
      <c r="X220" s="0" t="n">
        <v>0.02671429173459178</v>
      </c>
      <c r="Y220" s="0">
        <f>IF(X220&gt;0,1/X220^0.5,1)</f>
        <v/>
      </c>
      <c r="Z220" s="0">
        <f>IF(X220&gt;0,1.14-2*LOG((0.72*L220*E220)/(X220*Q220*N220^2)+9.35/(W220*X220^0.5)),0)</f>
        <v/>
      </c>
      <c r="AA220" s="0">
        <f>+Y220-Z220</f>
        <v/>
      </c>
      <c r="AB220" s="0">
        <f>32/X220*L220*V220*E220/N220^2</f>
        <v/>
      </c>
      <c r="AC220" s="0" t="n">
        <v>817.8857561379193</v>
      </c>
      <c r="AD220" s="0">
        <f>+Q220/2*AI220/I220*E220</f>
        <v/>
      </c>
      <c r="AE220" s="0">
        <f>+gettm2(AD220,AC220,AK220,AL220,テーブル2[[#This Row],[Fcorr]])</f>
        <v/>
      </c>
      <c r="AF220" s="38">
        <f>+AE220-U220</f>
        <v/>
      </c>
      <c r="AG220" s="0" t="n">
        <v>6.396637739436387e-06</v>
      </c>
      <c r="AH220" s="0">
        <f>+X220*N220^2/(8*E220)</f>
        <v/>
      </c>
      <c r="AI220" s="0">
        <f>+(AH220/E220)^0.5</f>
        <v/>
      </c>
      <c r="AJ220" s="0">
        <f>+AG220*AI220/I220*E220</f>
        <v/>
      </c>
      <c r="AK220" s="0">
        <f t="array" ref="AK220">+S220*テーブル2[[#This Row],[F_form]]/(E220*CpFromTP((テーブル2[[#This Row],[Tin]]+テーブル2[[#This Row],[Tf]])/2,テーブル2[[#This Row],[P]])*AI220)</f>
        <v/>
      </c>
      <c r="AL220" s="0">
        <f>+K220*I220/J220</f>
        <v/>
      </c>
      <c r="AM220" s="0">
        <f>+gettyp(AC220,AJ220,AK220,AL220)</f>
        <v/>
      </c>
      <c r="AN220" s="0">
        <f>+C220-AM220</f>
        <v/>
      </c>
      <c r="AO220" s="0">
        <f>+AG220-AB220</f>
        <v/>
      </c>
      <c r="AP220" s="0" t="n">
        <v>1.92341716461832</v>
      </c>
      <c r="AQ220" s="0">
        <f>2*PI()*L220*(D220+E220)/(D220*E220*AP220^2)</f>
        <v/>
      </c>
      <c r="AR220" s="0">
        <f>+AO220+AB220/2</f>
        <v/>
      </c>
      <c r="AS220" s="0">
        <f>+AR220*AI220/I220*E220</f>
        <v/>
      </c>
      <c r="AT220" s="0">
        <f>+getublp(AS220)</f>
        <v/>
      </c>
      <c r="AU220" s="0">
        <f>+AT220*AI220</f>
        <v/>
      </c>
      <c r="AV220" s="0">
        <f>+AP220-AU220</f>
        <v/>
      </c>
      <c r="AW220" s="0">
        <f>2/3*AB220/(L220/(9.8*(E220-D220)))^0.5</f>
        <v/>
      </c>
      <c r="AX220" s="0">
        <f>+(2*AQ220*9.8*(E220-D220)/(E220*AW220))^0.5</f>
        <v/>
      </c>
      <c r="AY220" s="0">
        <f>+AV220-AX220</f>
        <v/>
      </c>
      <c r="AZ220" s="0">
        <f>+F220-G220</f>
        <v/>
      </c>
      <c r="BA220" s="0">
        <f>+AQ220/AP220</f>
        <v/>
      </c>
      <c r="BB220" s="15">
        <f>+E220*AO220*AZ220/BA220</f>
        <v/>
      </c>
      <c r="BC220" s="20">
        <f>BB220-S220</f>
        <v/>
      </c>
      <c r="BD220" s="19">
        <f>+(BB220-S220)/S220*100</f>
        <v/>
      </c>
      <c r="BE220" s="15" t="n">
        <v>2397488.4</v>
      </c>
      <c r="BF220" s="16">
        <f>テーブル2[[#This Row],[q_P]]/テーブル2[[#This Row],[q_M]]</f>
        <v/>
      </c>
      <c r="BG220" s="0" t="n">
        <v>1</v>
      </c>
      <c r="BH220" s="0" t="n">
        <v>-0.128</v>
      </c>
      <c r="BI220" s="0" t="n">
        <v>0.046</v>
      </c>
      <c r="BJ220" s="0" t="n">
        <v>5625</v>
      </c>
      <c r="BK220" s="22" t="n">
        <v>1</v>
      </c>
      <c r="BL220" s="0">
        <f>テーブル2[[#This Row],[Ts]]-テーブル2[[#This Row],[Tin]]</f>
        <v/>
      </c>
      <c r="BM220" s="0">
        <f>テーブル2[[#This Row],[q_P]]*0.000001</f>
        <v/>
      </c>
      <c r="BN220" s="0">
        <f>テーブル2[[#This Row],[Tsub]]</f>
        <v/>
      </c>
      <c r="BO220" s="0">
        <f>テーブル2[[#This Row],[Fcorr]]</f>
        <v/>
      </c>
      <c r="BP220" s="0">
        <f>(テーブル2[[#This Row],[Tsub]]-40)^2</f>
        <v/>
      </c>
      <c r="BQ220" t="n">
        <v>1</v>
      </c>
      <c r="BR220" s="0" t="n">
        <v>0.69596</v>
      </c>
    </row>
    <row r="221">
      <c r="A221" s="9" t="inlineStr">
        <is>
          <t>26.01_14</t>
        </is>
      </c>
      <c r="B221" s="0" t="n">
        <v>18960582.556213</v>
      </c>
      <c r="C221" s="22">
        <f t="array" ref="C221">TsatFromP(テーブル2[[#This Row],[P]])</f>
        <v/>
      </c>
      <c r="D221" s="0">
        <f t="array" ref="D221">RhoGFromP(テーブル2[[#This Row],[P]])</f>
        <v/>
      </c>
      <c r="E221" s="0">
        <f t="array" ref="E221">RhoFFromP(テーブル2[[#This Row],[P]])</f>
        <v/>
      </c>
      <c r="F221" s="0">
        <f t="array" ref="F221">HgFromP(テーブル2[[#This Row],[P]])</f>
        <v/>
      </c>
      <c r="G221" s="0">
        <f t="array" ref="G221">HfFromP(テーブル2[[#This Row],[P]])</f>
        <v/>
      </c>
      <c r="H221" s="0">
        <f t="array" ref="H221">MuGFromP(テーブル2[[#This Row],[P]])</f>
        <v/>
      </c>
      <c r="I221" s="0">
        <f t="array" ref="I221">MuFFromP(テーブル2[[#This Row],[P]])</f>
        <v/>
      </c>
      <c r="J221" s="0">
        <f t="array" ref="J221">KfFromP(テーブル2[[#This Row],[P]])</f>
        <v/>
      </c>
      <c r="K221" s="0">
        <f t="array" ref="K221">CpFFromP(テーブル2[[#This Row],[P]])</f>
        <v/>
      </c>
      <c r="L221" s="0">
        <f t="array" ref="L221">SigmaFromP(テーブル2[[#This Row],[P]])</f>
        <v/>
      </c>
      <c r="M221" s="0" t="n">
        <v>220</v>
      </c>
      <c r="N221" s="0" t="n">
        <v>2793.8338</v>
      </c>
      <c r="O221" s="8">
        <f>PI()*Q221^2/4</f>
        <v/>
      </c>
      <c r="P221" s="8">
        <f>PI()*Q221</f>
        <v/>
      </c>
      <c r="Q221" s="8" t="n">
        <v>0.001905</v>
      </c>
      <c r="R221" s="0" t="n">
        <v>0.69596</v>
      </c>
      <c r="S221" s="15" t="n">
        <v>6217053.22265625</v>
      </c>
      <c r="T221" s="0" t="n">
        <v>298.457701219241</v>
      </c>
      <c r="U221" s="37">
        <f>+T221+BG221*S221*テーブル2[[#This Row],[Pw]]*R221/(N221*O221*K221)</f>
        <v/>
      </c>
      <c r="V221" s="0" t="n">
        <v>0.03</v>
      </c>
      <c r="W221" s="8">
        <f>+N221*Q221/I221</f>
        <v/>
      </c>
      <c r="X221" s="0" t="n">
        <v>0.02450607358613809</v>
      </c>
      <c r="Y221" s="0">
        <f>IF(X221&gt;0,1/X221^0.5,1)</f>
        <v/>
      </c>
      <c r="Z221" s="0">
        <f>IF(X221&gt;0,1.14-2*LOG((0.72*L221*E221)/(X221*Q221*N221^2)+9.35/(W221*X221^0.5)),0)</f>
        <v/>
      </c>
      <c r="AA221" s="0">
        <f>+Y221-Z221</f>
        <v/>
      </c>
      <c r="AB221" s="0">
        <f>32/X221*L221*V221*E221/N221^2</f>
        <v/>
      </c>
      <c r="AC221" s="0" t="n">
        <v>804.346689393332</v>
      </c>
      <c r="AD221" s="0">
        <f>+Q221/2*AI221/I221*E221</f>
        <v/>
      </c>
      <c r="AE221" s="0">
        <f>+gettm2(AD221,AC221,AK221,AL221,テーブル2[[#This Row],[Fcorr]])</f>
        <v/>
      </c>
      <c r="AF221" s="38">
        <f>+AE221-U221</f>
        <v/>
      </c>
      <c r="AG221" s="0" t="n">
        <v>4.523736990995669e-06</v>
      </c>
      <c r="AH221" s="0">
        <f>+X221*N221^2/(8*E221)</f>
        <v/>
      </c>
      <c r="AI221" s="0">
        <f>+(AH221/E221)^0.5</f>
        <v/>
      </c>
      <c r="AJ221" s="0">
        <f>+AG221*AI221/I221*E221</f>
        <v/>
      </c>
      <c r="AK221" s="0">
        <f t="array" ref="AK221">+S221*テーブル2[[#This Row],[F_form]]/(E221*CpFromTP((テーブル2[[#This Row],[Tin]]+テーブル2[[#This Row],[Tf]])/2,テーブル2[[#This Row],[P]])*AI221)</f>
        <v/>
      </c>
      <c r="AL221" s="0">
        <f>+K221*I221/J221</f>
        <v/>
      </c>
      <c r="AM221" s="0">
        <f>+gettyp(AC221,AJ221,AK221,AL221)</f>
        <v/>
      </c>
      <c r="AN221" s="0">
        <f>+C221-AM221</f>
        <v/>
      </c>
      <c r="AO221" s="0">
        <f>+AG221-AB221</f>
        <v/>
      </c>
      <c r="AP221" s="0" t="n">
        <v>2.049056046561261</v>
      </c>
      <c r="AQ221" s="0">
        <f>2*PI()*L221*(D221+E221)/(D221*E221*AP221^2)</f>
        <v/>
      </c>
      <c r="AR221" s="0">
        <f>+AO221+AB221/2</f>
        <v/>
      </c>
      <c r="AS221" s="0">
        <f>+AR221*AI221/I221*E221</f>
        <v/>
      </c>
      <c r="AT221" s="0">
        <f>+getublp(AS221)</f>
        <v/>
      </c>
      <c r="AU221" s="0">
        <f>+AT221*AI221</f>
        <v/>
      </c>
      <c r="AV221" s="0">
        <f>+AP221-AU221</f>
        <v/>
      </c>
      <c r="AW221" s="0">
        <f>2/3*AB221/(L221/(9.8*(E221-D221)))^0.5</f>
        <v/>
      </c>
      <c r="AX221" s="0">
        <f>+(2*AQ221*9.8*(E221-D221)/(E221*AW221))^0.5</f>
        <v/>
      </c>
      <c r="AY221" s="0">
        <f>+AV221-AX221</f>
        <v/>
      </c>
      <c r="AZ221" s="0">
        <f>+F221-G221</f>
        <v/>
      </c>
      <c r="BA221" s="0">
        <f>+AQ221/AP221</f>
        <v/>
      </c>
      <c r="BB221" s="15">
        <f>+E221*AO221*AZ221/BA221</f>
        <v/>
      </c>
      <c r="BC221" s="20">
        <f>BB221-S221</f>
        <v/>
      </c>
      <c r="BD221" s="19">
        <f>+(BB221-S221)/S221*100</f>
        <v/>
      </c>
      <c r="BE221" s="15" t="n">
        <v>2996860.5</v>
      </c>
      <c r="BF221" s="16">
        <f>テーブル2[[#This Row],[q_P]]/テーブル2[[#This Row],[q_M]]</f>
        <v/>
      </c>
      <c r="BG221" s="0" t="n">
        <v>1</v>
      </c>
      <c r="BH221" s="0" t="n">
        <v>-0.119</v>
      </c>
      <c r="BI221" s="0" t="n">
        <v>0.046</v>
      </c>
      <c r="BJ221" s="0" t="n">
        <v>5625</v>
      </c>
      <c r="BK221" s="22" t="n">
        <v>1</v>
      </c>
      <c r="BL221" s="0">
        <f>テーブル2[[#This Row],[Ts]]-テーブル2[[#This Row],[Tin]]</f>
        <v/>
      </c>
      <c r="BM221" s="0">
        <f>テーブル2[[#This Row],[q_P]]*0.000001</f>
        <v/>
      </c>
      <c r="BN221" s="0">
        <f>テーブル2[[#This Row],[Tsub]]</f>
        <v/>
      </c>
      <c r="BO221" s="0">
        <f>テーブル2[[#This Row],[Fcorr]]</f>
        <v/>
      </c>
      <c r="BP221" s="0">
        <f>(テーブル2[[#This Row],[Tsub]]-40)^2</f>
        <v/>
      </c>
      <c r="BQ221" t="n">
        <v>1</v>
      </c>
      <c r="BR221" s="0" t="n">
        <v>0.69596</v>
      </c>
    </row>
    <row r="222">
      <c r="A222" s="9" t="inlineStr">
        <is>
          <t>27.01_14</t>
        </is>
      </c>
      <c r="B222" s="0" t="n">
        <v>18960582.556213</v>
      </c>
      <c r="C222" s="22">
        <f t="array" ref="C222">TsatFromP(テーブル2[[#This Row],[P]])</f>
        <v/>
      </c>
      <c r="D222" s="0">
        <f t="array" ref="D222">RhoGFromP(テーブル2[[#This Row],[P]])</f>
        <v/>
      </c>
      <c r="E222" s="0">
        <f t="array" ref="E222">RhoFFromP(テーブル2[[#This Row],[P]])</f>
        <v/>
      </c>
      <c r="F222" s="0">
        <f t="array" ref="F222">HgFromP(テーブル2[[#This Row],[P]])</f>
        <v/>
      </c>
      <c r="G222" s="0">
        <f t="array" ref="G222">HfFromP(テーブル2[[#This Row],[P]])</f>
        <v/>
      </c>
      <c r="H222" s="0">
        <f t="array" ref="H222">MuGFromP(テーブル2[[#This Row],[P]])</f>
        <v/>
      </c>
      <c r="I222" s="0">
        <f t="array" ref="I222">MuFFromP(テーブル2[[#This Row],[P]])</f>
        <v/>
      </c>
      <c r="J222" s="0">
        <f t="array" ref="J222">KfFromP(テーブル2[[#This Row],[P]])</f>
        <v/>
      </c>
      <c r="K222" s="0">
        <f t="array" ref="K222">CpFFromP(テーブル2[[#This Row],[P]])</f>
        <v/>
      </c>
      <c r="L222" s="0">
        <f t="array" ref="L222">SigmaFromP(テーブル2[[#This Row],[P]])</f>
        <v/>
      </c>
      <c r="M222" s="0" t="n">
        <v>221</v>
      </c>
      <c r="N222" s="0" t="n">
        <v>2861.6453</v>
      </c>
      <c r="O222" s="8">
        <f>PI()*Q222^2/4</f>
        <v/>
      </c>
      <c r="P222" s="8">
        <f>PI()*Q222</f>
        <v/>
      </c>
      <c r="Q222" s="8" t="n">
        <v>0.001905</v>
      </c>
      <c r="R222" s="0" t="n">
        <v>0.69596</v>
      </c>
      <c r="S222" s="15" t="n">
        <v>6336169.43359375</v>
      </c>
      <c r="T222" s="0" t="n">
        <v>297.894650849853</v>
      </c>
      <c r="U222" s="37">
        <f>+T222+BG222*S222*テーブル2[[#This Row],[Pw]]*R222/(N222*O222*K222)</f>
        <v/>
      </c>
      <c r="V222" s="0" t="n">
        <v>0.03</v>
      </c>
      <c r="W222" s="8">
        <f>+N222*Q222/I222</f>
        <v/>
      </c>
      <c r="X222" s="0" t="n">
        <v>0.02428498830340196</v>
      </c>
      <c r="Y222" s="0">
        <f>IF(X222&gt;0,1/X222^0.5,1)</f>
        <v/>
      </c>
      <c r="Z222" s="0">
        <f>IF(X222&gt;0,1.14-2*LOG((0.72*L222*E222)/(X222*Q222*N222^2)+9.35/(W222*X222^0.5)),0)</f>
        <v/>
      </c>
      <c r="AA222" s="0">
        <f>+Y222-Z222</f>
        <v/>
      </c>
      <c r="AB222" s="0">
        <f>32/X222*L222*V222*E222/N222^2</f>
        <v/>
      </c>
      <c r="AC222" s="0" t="n">
        <v>803.2243120666207</v>
      </c>
      <c r="AD222" s="0">
        <f>+Q222/2*AI222/I222*E222</f>
        <v/>
      </c>
      <c r="AE222" s="0">
        <f>+gettm2(AD222,AC222,AK222,AL222,テーブル2[[#This Row],[Fcorr]])</f>
        <v/>
      </c>
      <c r="AF222" s="38">
        <f>+AE222-U222</f>
        <v/>
      </c>
      <c r="AG222" s="0" t="n">
        <v>4.357995771957881e-06</v>
      </c>
      <c r="AH222" s="0">
        <f>+X222*N222^2/(8*E222)</f>
        <v/>
      </c>
      <c r="AI222" s="0">
        <f>+(AH222/E222)^0.5</f>
        <v/>
      </c>
      <c r="AJ222" s="0">
        <f>+AG222*AI222/I222*E222</f>
        <v/>
      </c>
      <c r="AK222" s="0">
        <f t="array" ref="AK222">+S222*テーブル2[[#This Row],[F_form]]/(E222*CpFromTP((テーブル2[[#This Row],[Tin]]+テーブル2[[#This Row],[Tf]])/2,テーブル2[[#This Row],[P]])*AI222)</f>
        <v/>
      </c>
      <c r="AL222" s="0">
        <f>+K222*I222/J222</f>
        <v/>
      </c>
      <c r="AM222" s="0">
        <f>+gettyp(AC222,AJ222,AK222,AL222)</f>
        <v/>
      </c>
      <c r="AN222" s="0">
        <f>+C222-AM222</f>
        <v/>
      </c>
      <c r="AO222" s="0">
        <f>+AG222-AB222</f>
        <v/>
      </c>
      <c r="AP222" s="0" t="n">
        <v>2.06264250058711</v>
      </c>
      <c r="AQ222" s="0">
        <f>2*PI()*L222*(D222+E222)/(D222*E222*AP222^2)</f>
        <v/>
      </c>
      <c r="AR222" s="0">
        <f>+AO222+AB222/2</f>
        <v/>
      </c>
      <c r="AS222" s="0">
        <f>+AR222*AI222/I222*E222</f>
        <v/>
      </c>
      <c r="AT222" s="0">
        <f>+getublp(AS222)</f>
        <v/>
      </c>
      <c r="AU222" s="0">
        <f>+AT222*AI222</f>
        <v/>
      </c>
      <c r="AV222" s="0">
        <f>+AP222-AU222</f>
        <v/>
      </c>
      <c r="AW222" s="0">
        <f>2/3*AB222/(L222/(9.8*(E222-D222)))^0.5</f>
        <v/>
      </c>
      <c r="AX222" s="0">
        <f>+(2*AQ222*9.8*(E222-D222)/(E222*AW222))^0.5</f>
        <v/>
      </c>
      <c r="AY222" s="0">
        <f>+AV222-AX222</f>
        <v/>
      </c>
      <c r="AZ222" s="0">
        <f>+F222-G222</f>
        <v/>
      </c>
      <c r="BA222" s="0">
        <f>+AQ222/AP222</f>
        <v/>
      </c>
      <c r="BB222" s="15">
        <f>+E222*AO222*AZ222/BA222</f>
        <v/>
      </c>
      <c r="BC222" s="20">
        <f>BB222-S222</f>
        <v/>
      </c>
      <c r="BD222" s="19">
        <f>+(BB222-S222)/S222*100</f>
        <v/>
      </c>
      <c r="BE222" s="15" t="n">
        <v>2776039.2</v>
      </c>
      <c r="BF222" s="16">
        <f>テーブル2[[#This Row],[q_P]]/テーブル2[[#This Row],[q_M]]</f>
        <v/>
      </c>
      <c r="BG222" s="0" t="n">
        <v>1</v>
      </c>
      <c r="BH222" s="0" t="n">
        <v>-0.338</v>
      </c>
      <c r="BI222" s="0" t="n">
        <v>0.046</v>
      </c>
      <c r="BJ222" s="0" t="n">
        <v>5625</v>
      </c>
      <c r="BK222" s="22" t="n">
        <v>1</v>
      </c>
      <c r="BL222" s="0">
        <f>テーブル2[[#This Row],[Ts]]-テーブル2[[#This Row],[Tin]]</f>
        <v/>
      </c>
      <c r="BM222" s="0">
        <f>テーブル2[[#This Row],[q_P]]*0.000001</f>
        <v/>
      </c>
      <c r="BN222" s="0">
        <f>テーブル2[[#This Row],[Tsub]]</f>
        <v/>
      </c>
      <c r="BO222" s="0">
        <f>テーブル2[[#This Row],[Fcorr]]</f>
        <v/>
      </c>
      <c r="BP222" s="0">
        <f>(テーブル2[[#This Row],[Tsub]]-40)^2</f>
        <v/>
      </c>
      <c r="BQ222" t="n">
        <v>1</v>
      </c>
      <c r="BR222" s="0" t="n">
        <v>0.69596</v>
      </c>
    </row>
    <row r="223">
      <c r="A223" s="9" t="inlineStr">
        <is>
          <t>28.01_14</t>
        </is>
      </c>
      <c r="B223" s="0" t="n">
        <v>18960582.556213</v>
      </c>
      <c r="C223" s="22">
        <f t="array" ref="C223">TsatFromP(テーブル2[[#This Row],[P]])</f>
        <v/>
      </c>
      <c r="D223" s="0">
        <f t="array" ref="D223">RhoGFromP(テーブル2[[#This Row],[P]])</f>
        <v/>
      </c>
      <c r="E223" s="0">
        <f t="array" ref="E223">RhoFFromP(テーブル2[[#This Row],[P]])</f>
        <v/>
      </c>
      <c r="F223" s="0">
        <f t="array" ref="F223">HgFromP(テーブル2[[#This Row],[P]])</f>
        <v/>
      </c>
      <c r="G223" s="0">
        <f t="array" ref="G223">HfFromP(テーブル2[[#This Row],[P]])</f>
        <v/>
      </c>
      <c r="H223" s="0">
        <f t="array" ref="H223">MuGFromP(テーブル2[[#This Row],[P]])</f>
        <v/>
      </c>
      <c r="I223" s="0">
        <f t="array" ref="I223">MuFFromP(テーブル2[[#This Row],[P]])</f>
        <v/>
      </c>
      <c r="J223" s="0">
        <f t="array" ref="J223">KfFromP(テーブル2[[#This Row],[P]])</f>
        <v/>
      </c>
      <c r="K223" s="0">
        <f t="array" ref="K223">CpFFromP(テーブル2[[#This Row],[P]])</f>
        <v/>
      </c>
      <c r="L223" s="0">
        <f t="array" ref="L223">SigmaFromP(テーブル2[[#This Row],[P]])</f>
        <v/>
      </c>
      <c r="M223" s="0" t="n">
        <v>222</v>
      </c>
      <c r="N223" s="0" t="n">
        <v>3471.9488</v>
      </c>
      <c r="O223" s="8">
        <f>PI()*Q223^2/4</f>
        <v/>
      </c>
      <c r="P223" s="8">
        <f>PI()*Q223</f>
        <v/>
      </c>
      <c r="Q223" s="8" t="n">
        <v>0.001905</v>
      </c>
      <c r="R223" s="0" t="n">
        <v>0.69596</v>
      </c>
      <c r="S223" s="15" t="n">
        <v>7260546.38671875</v>
      </c>
      <c r="T223" s="0" t="n">
        <v>299.020736582412</v>
      </c>
      <c r="U223" s="37">
        <f>+T223+BG223*S223*テーブル2[[#This Row],[Pw]]*R223/(N223*O223*K223)</f>
        <v/>
      </c>
      <c r="V223" s="0" t="n">
        <v>0.03</v>
      </c>
      <c r="W223" s="8">
        <f>+N223*Q223/I223</f>
        <v/>
      </c>
      <c r="X223" s="0" t="n">
        <v>0.02261509421507031</v>
      </c>
      <c r="Y223" s="0">
        <f>IF(X223&gt;0,1/X223^0.5,1)</f>
        <v/>
      </c>
      <c r="Z223" s="0">
        <f>IF(X223&gt;0,1.14-2*LOG((0.72*L223*E223)/(X223*Q223*N223^2)+9.35/(W223*X223^0.5)),0)</f>
        <v/>
      </c>
      <c r="AA223" s="0">
        <f>+Y223-Z223</f>
        <v/>
      </c>
      <c r="AB223" s="0">
        <f>32/X223*L223*V223*E223/N223^2</f>
        <v/>
      </c>
      <c r="AC223" s="0" t="n">
        <v>790.9204974072643</v>
      </c>
      <c r="AD223" s="0">
        <f>+Q223/2*AI223/I223*E223</f>
        <v/>
      </c>
      <c r="AE223" s="0">
        <f>+gettm2(AD223,AC223,AK223,AL223,テーブル2[[#This Row],[Fcorr]])</f>
        <v/>
      </c>
      <c r="AF223" s="38">
        <f>+AE223-U223</f>
        <v/>
      </c>
      <c r="AG223" s="0" t="n">
        <v>3.224412197281791e-06</v>
      </c>
      <c r="AH223" s="0">
        <f>+X223*N223^2/(8*E223)</f>
        <v/>
      </c>
      <c r="AI223" s="0">
        <f>+(AH223/E223)^0.5</f>
        <v/>
      </c>
      <c r="AJ223" s="0">
        <f>+AG223*AI223/I223*E223</f>
        <v/>
      </c>
      <c r="AK223" s="0">
        <f t="array" ref="AK223">+S223*テーブル2[[#This Row],[F_form]]/(E223*CpFromTP((テーブル2[[#This Row],[Tin]]+テーブル2[[#This Row],[Tf]])/2,テーブル2[[#This Row],[P]])*AI223)</f>
        <v/>
      </c>
      <c r="AL223" s="0">
        <f>+K223*I223/J223</f>
        <v/>
      </c>
      <c r="AM223" s="0">
        <f>+gettyp(AC223,AJ223,AK223,AL223)</f>
        <v/>
      </c>
      <c r="AN223" s="0">
        <f>+C223-AM223</f>
        <v/>
      </c>
      <c r="AO223" s="0">
        <f>+AG223-AB223</f>
        <v/>
      </c>
      <c r="AP223" s="0" t="n">
        <v>2.167855753000727</v>
      </c>
      <c r="AQ223" s="0">
        <f>2*PI()*L223*(D223+E223)/(D223*E223*AP223^2)</f>
        <v/>
      </c>
      <c r="AR223" s="0">
        <f>+AO223+AB223/2</f>
        <v/>
      </c>
      <c r="AS223" s="0">
        <f>+AR223*AI223/I223*E223</f>
        <v/>
      </c>
      <c r="AT223" s="0">
        <f>+getublp(AS223)</f>
        <v/>
      </c>
      <c r="AU223" s="0">
        <f>+AT223*AI223</f>
        <v/>
      </c>
      <c r="AV223" s="0">
        <f>+AP223-AU223</f>
        <v/>
      </c>
      <c r="AW223" s="0">
        <f>2/3*AB223/(L223/(9.8*(E223-D223)))^0.5</f>
        <v/>
      </c>
      <c r="AX223" s="0">
        <f>+(2*AQ223*9.8*(E223-D223)/(E223*AW223))^0.5</f>
        <v/>
      </c>
      <c r="AY223" s="0">
        <f>+AV223-AX223</f>
        <v/>
      </c>
      <c r="AZ223" s="0">
        <f>+F223-G223</f>
        <v/>
      </c>
      <c r="BA223" s="0">
        <f>+AQ223/AP223</f>
        <v/>
      </c>
      <c r="BB223" s="15">
        <f>+E223*AO223*AZ223/BA223</f>
        <v/>
      </c>
      <c r="BC223" s="20">
        <f>BB223-S223</f>
        <v/>
      </c>
      <c r="BD223" s="19">
        <f>+(BB223-S223)/S223*100</f>
        <v/>
      </c>
      <c r="BE223" s="15" t="n">
        <v>3533140.8</v>
      </c>
      <c r="BF223" s="16">
        <f>テーブル2[[#This Row],[q_P]]/テーブル2[[#This Row],[q_M]]</f>
        <v/>
      </c>
      <c r="BG223" s="0" t="n">
        <v>1</v>
      </c>
      <c r="BH223" s="0" t="n">
        <v>-0.231</v>
      </c>
      <c r="BI223" s="0" t="n">
        <v>0.046</v>
      </c>
      <c r="BJ223" s="0" t="n">
        <v>5625</v>
      </c>
      <c r="BK223" s="22" t="n">
        <v>1</v>
      </c>
      <c r="BL223" s="0">
        <f>テーブル2[[#This Row],[Ts]]-テーブル2[[#This Row],[Tin]]</f>
        <v/>
      </c>
      <c r="BM223" s="0">
        <f>テーブル2[[#This Row],[q_P]]*0.000001</f>
        <v/>
      </c>
      <c r="BN223" s="0">
        <f>テーブル2[[#This Row],[Tsub]]</f>
        <v/>
      </c>
      <c r="BO223" s="0">
        <f>テーブル2[[#This Row],[Fcorr]]</f>
        <v/>
      </c>
      <c r="BP223" s="0">
        <f>(テーブル2[[#This Row],[Tsub]]-40)^2</f>
        <v/>
      </c>
      <c r="BQ223" t="n">
        <v>1</v>
      </c>
      <c r="BR223" s="0" t="n">
        <v>0.69596</v>
      </c>
    </row>
    <row r="224">
      <c r="A224" s="9" t="inlineStr">
        <is>
          <t>29.01_14</t>
        </is>
      </c>
      <c r="B224" s="0" t="n">
        <v>18960582.556213</v>
      </c>
      <c r="C224" s="22">
        <f t="array" ref="C224">TsatFromP(テーブル2[[#This Row],[P]])</f>
        <v/>
      </c>
      <c r="D224" s="0">
        <f t="array" ref="D224">RhoGFromP(テーブル2[[#This Row],[P]])</f>
        <v/>
      </c>
      <c r="E224" s="0">
        <f t="array" ref="E224">RhoFFromP(テーブル2[[#This Row],[P]])</f>
        <v/>
      </c>
      <c r="F224" s="0">
        <f t="array" ref="F224">HgFromP(テーブル2[[#This Row],[P]])</f>
        <v/>
      </c>
      <c r="G224" s="0">
        <f t="array" ref="G224">HfFromP(テーブル2[[#This Row],[P]])</f>
        <v/>
      </c>
      <c r="H224" s="0">
        <f t="array" ref="H224">MuGFromP(テーブル2[[#This Row],[P]])</f>
        <v/>
      </c>
      <c r="I224" s="0">
        <f t="array" ref="I224">MuFFromP(テーブル2[[#This Row],[P]])</f>
        <v/>
      </c>
      <c r="J224" s="0">
        <f t="array" ref="J224">KfFromP(テーブル2[[#This Row],[P]])</f>
        <v/>
      </c>
      <c r="K224" s="0">
        <f t="array" ref="K224">CpFFromP(テーブル2[[#This Row],[P]])</f>
        <v/>
      </c>
      <c r="L224" s="0">
        <f t="array" ref="L224">SigmaFromP(テーブル2[[#This Row],[P]])</f>
        <v/>
      </c>
      <c r="M224" s="0" t="n">
        <v>223</v>
      </c>
      <c r="N224" s="0" t="n">
        <v>3648.2587</v>
      </c>
      <c r="O224" s="8">
        <f>PI()*Q224^2/4</f>
        <v/>
      </c>
      <c r="P224" s="8">
        <f>PI()*Q224</f>
        <v/>
      </c>
      <c r="Q224" s="8" t="n">
        <v>0.001905</v>
      </c>
      <c r="R224" s="0" t="n">
        <v>0.69596</v>
      </c>
      <c r="S224" s="15" t="n">
        <v>7583984.375</v>
      </c>
      <c r="T224" s="0" t="n">
        <v>296.261722921778</v>
      </c>
      <c r="U224" s="37">
        <f>+T224+BG224*S224*テーブル2[[#This Row],[Pw]]*R224/(N224*O224*K224)</f>
        <v/>
      </c>
      <c r="V224" s="0" t="n">
        <v>0.03</v>
      </c>
      <c r="W224" s="8">
        <f>+N224*Q224/I224</f>
        <v/>
      </c>
      <c r="X224" s="0" t="n">
        <v>0.02221739197083388</v>
      </c>
      <c r="Y224" s="0">
        <f>IF(X224&gt;0,1/X224^0.5,1)</f>
        <v/>
      </c>
      <c r="Z224" s="0">
        <f>IF(X224&gt;0,1.14-2*LOG((0.72*L224*E224)/(X224*Q224*N224^2)+9.35/(W224*X224^0.5)),0)</f>
        <v/>
      </c>
      <c r="AA224" s="0">
        <f>+Y224-Z224</f>
        <v/>
      </c>
      <c r="AB224" s="0">
        <f>32/X224*L224*V224*E224/N224^2</f>
        <v/>
      </c>
      <c r="AC224" s="0" t="n">
        <v>789.2260474779146</v>
      </c>
      <c r="AD224" s="0">
        <f>+Q224/2*AI224/I224*E224</f>
        <v/>
      </c>
      <c r="AE224" s="0">
        <f>+gettm2(AD224,AC224,AK224,AL224,テーブル2[[#This Row],[Fcorr]])</f>
        <v/>
      </c>
      <c r="AF224" s="38">
        <f>+AE224-U224</f>
        <v/>
      </c>
      <c r="AG224" s="0" t="n">
        <v>2.986624485968438e-06</v>
      </c>
      <c r="AH224" s="0">
        <f>+X224*N224^2/(8*E224)</f>
        <v/>
      </c>
      <c r="AI224" s="0">
        <f>+(AH224/E224)^0.5</f>
        <v/>
      </c>
      <c r="AJ224" s="0">
        <f>+AG224*AI224/I224*E224</f>
        <v/>
      </c>
      <c r="AK224" s="0">
        <f t="array" ref="AK224">+S224*テーブル2[[#This Row],[F_form]]/(E224*CpFromTP((テーブル2[[#This Row],[Tin]]+テーブル2[[#This Row],[Tf]])/2,テーブル2[[#This Row],[P]])*AI224)</f>
        <v/>
      </c>
      <c r="AL224" s="0">
        <f>+K224*I224/J224</f>
        <v/>
      </c>
      <c r="AM224" s="0">
        <f>+gettyp(AC224,AJ224,AK224,AL224)</f>
        <v/>
      </c>
      <c r="AN224" s="0">
        <f>+C224-AM224</f>
        <v/>
      </c>
      <c r="AO224" s="0">
        <f>+AG224-AB224</f>
        <v/>
      </c>
      <c r="AP224" s="0" t="n">
        <v>2.195305778401457</v>
      </c>
      <c r="AQ224" s="0">
        <f>2*PI()*L224*(D224+E224)/(D224*E224*AP224^2)</f>
        <v/>
      </c>
      <c r="AR224" s="0">
        <f>+AO224+AB224/2</f>
        <v/>
      </c>
      <c r="AS224" s="0">
        <f>+AR224*AI224/I224*E224</f>
        <v/>
      </c>
      <c r="AT224" s="0">
        <f>+getublp(AS224)</f>
        <v/>
      </c>
      <c r="AU224" s="0">
        <f>+AT224*AI224</f>
        <v/>
      </c>
      <c r="AV224" s="0">
        <f>+AP224-AU224</f>
        <v/>
      </c>
      <c r="AW224" s="0">
        <f>2/3*AB224/(L224/(9.8*(E224-D224)))^0.5</f>
        <v/>
      </c>
      <c r="AX224" s="0">
        <f>+(2*AQ224*9.8*(E224-D224)/(E224*AW224))^0.5</f>
        <v/>
      </c>
      <c r="AY224" s="0">
        <f>+AV224-AX224</f>
        <v/>
      </c>
      <c r="AZ224" s="0">
        <f>+F224-G224</f>
        <v/>
      </c>
      <c r="BA224" s="0">
        <f>+AQ224/AP224</f>
        <v/>
      </c>
      <c r="BB224" s="15">
        <f>+E224*AO224*AZ224/BA224</f>
        <v/>
      </c>
      <c r="BC224" s="20">
        <f>BB224-S224</f>
        <v/>
      </c>
      <c r="BD224" s="19">
        <f>+(BB224-S224)/S224*100</f>
        <v/>
      </c>
      <c r="BE224" s="15" t="n">
        <v>3533140.8</v>
      </c>
      <c r="BF224" s="16">
        <f>テーブル2[[#This Row],[q_P]]/テーブル2[[#This Row],[q_M]]</f>
        <v/>
      </c>
      <c r="BG224" s="0" t="n">
        <v>1</v>
      </c>
      <c r="BH224" s="0" t="n">
        <v>-0.351</v>
      </c>
      <c r="BI224" s="0" t="n">
        <v>0.046</v>
      </c>
      <c r="BJ224" s="0" t="n">
        <v>5625</v>
      </c>
      <c r="BK224" s="22" t="n">
        <v>1</v>
      </c>
      <c r="BL224" s="0">
        <f>テーブル2[[#This Row],[Ts]]-テーブル2[[#This Row],[Tin]]</f>
        <v/>
      </c>
      <c r="BM224" s="0">
        <f>テーブル2[[#This Row],[q_P]]*0.000001</f>
        <v/>
      </c>
      <c r="BN224" s="0">
        <f>テーブル2[[#This Row],[Tsub]]</f>
        <v/>
      </c>
      <c r="BO224" s="0">
        <f>テーブル2[[#This Row],[Fcorr]]</f>
        <v/>
      </c>
      <c r="BP224" s="0">
        <f>(テーブル2[[#This Row],[Tsub]]-40)^2</f>
        <v/>
      </c>
      <c r="BQ224" t="n">
        <v>1</v>
      </c>
      <c r="BR224" s="0" t="n">
        <v>0.69596</v>
      </c>
    </row>
    <row r="225">
      <c r="A225" s="9" t="inlineStr">
        <is>
          <t>30.01_14</t>
        </is>
      </c>
      <c r="B225" s="0" t="n">
        <v>18960582.556213</v>
      </c>
      <c r="C225" s="22">
        <f t="array" ref="C225">TsatFromP(テーブル2[[#This Row],[P]])</f>
        <v/>
      </c>
      <c r="D225" s="0">
        <f t="array" ref="D225">RhoGFromP(テーブル2[[#This Row],[P]])</f>
        <v/>
      </c>
      <c r="E225" s="0">
        <f t="array" ref="E225">RhoFFromP(テーブル2[[#This Row],[P]])</f>
        <v/>
      </c>
      <c r="F225" s="0">
        <f t="array" ref="F225">HgFromP(テーブル2[[#This Row],[P]])</f>
        <v/>
      </c>
      <c r="G225" s="0">
        <f t="array" ref="G225">HfFromP(テーブル2[[#This Row],[P]])</f>
        <v/>
      </c>
      <c r="H225" s="0">
        <f t="array" ref="H225">MuGFromP(テーブル2[[#This Row],[P]])</f>
        <v/>
      </c>
      <c r="I225" s="0">
        <f t="array" ref="I225">MuFFromP(テーブル2[[#This Row],[P]])</f>
        <v/>
      </c>
      <c r="J225" s="0">
        <f t="array" ref="J225">KfFromP(テーブル2[[#This Row],[P]])</f>
        <v/>
      </c>
      <c r="K225" s="0">
        <f t="array" ref="K225">CpFFromP(テーブル2[[#This Row],[P]])</f>
        <v/>
      </c>
      <c r="L225" s="0">
        <f t="array" ref="L225">SigmaFromP(テーブル2[[#This Row],[P]])</f>
        <v/>
      </c>
      <c r="M225" s="0" t="n">
        <v>224</v>
      </c>
      <c r="N225" s="0" t="n">
        <v>3783.8817</v>
      </c>
      <c r="O225" s="8">
        <f>PI()*Q225^2/4</f>
        <v/>
      </c>
      <c r="P225" s="8">
        <f>PI()*Q225</f>
        <v/>
      </c>
      <c r="Q225" s="8" t="n">
        <v>0.001905</v>
      </c>
      <c r="R225" s="0" t="n">
        <v>0.69596</v>
      </c>
      <c r="S225" s="15" t="n">
        <v>7711816.40625</v>
      </c>
      <c r="T225" s="0" t="n">
        <v>299.583756626616</v>
      </c>
      <c r="U225" s="37">
        <f>+T225+BG225*S225*テーブル2[[#This Row],[Pw]]*R225/(N225*O225*K225)</f>
        <v/>
      </c>
      <c r="V225" s="0" t="n">
        <v>0.03</v>
      </c>
      <c r="W225" s="8">
        <f>+N225*Q225/I225</f>
        <v/>
      </c>
      <c r="X225" s="0" t="n">
        <v>0.02193170298710009</v>
      </c>
      <c r="Y225" s="0">
        <f>IF(X225&gt;0,1/X225^0.5,1)</f>
        <v/>
      </c>
      <c r="Z225" s="0">
        <f>IF(X225&gt;0,1.14-2*LOG((0.72*L225*E225)/(X225*Q225*N225^2)+9.35/(W225*X225^0.5)),0)</f>
        <v/>
      </c>
      <c r="AA225" s="0">
        <f>+Y225-Z225</f>
        <v/>
      </c>
      <c r="AB225" s="0">
        <f>32/X225*L225*V225*E225/N225^2</f>
        <v/>
      </c>
      <c r="AC225" s="0" t="n">
        <v>785.3810510273315</v>
      </c>
      <c r="AD225" s="0">
        <f>+Q225/2*AI225/I225*E225</f>
        <v/>
      </c>
      <c r="AE225" s="0">
        <f>+gettm2(AD225,AC225,AK225,AL225,テーブル2[[#This Row],[Fcorr]])</f>
        <v/>
      </c>
      <c r="AF225" s="38">
        <f>+AE225-U225</f>
        <v/>
      </c>
      <c r="AG225" s="0" t="n">
        <v>2.822150777234694e-06</v>
      </c>
      <c r="AH225" s="0">
        <f>+X225*N225^2/(8*E225)</f>
        <v/>
      </c>
      <c r="AI225" s="0">
        <f>+(AH225/E225)^0.5</f>
        <v/>
      </c>
      <c r="AJ225" s="0">
        <f>+AG225*AI225/I225*E225</f>
        <v/>
      </c>
      <c r="AK225" s="0">
        <f t="array" ref="AK225">+S225*テーブル2[[#This Row],[F_form]]/(E225*CpFromTP((テーブル2[[#This Row],[Tin]]+テーブル2[[#This Row],[Tf]])/2,テーブル2[[#This Row],[P]])*AI225)</f>
        <v/>
      </c>
      <c r="AL225" s="0">
        <f>+K225*I225/J225</f>
        <v/>
      </c>
      <c r="AM225" s="0">
        <f>+gettyp(AC225,AJ225,AK225,AL225)</f>
        <v/>
      </c>
      <c r="AN225" s="0">
        <f>+C225-AM225</f>
        <v/>
      </c>
      <c r="AO225" s="0">
        <f>+AG225-AB225</f>
        <v/>
      </c>
      <c r="AP225" s="0" t="n">
        <v>2.215499035557646</v>
      </c>
      <c r="AQ225" s="0">
        <f>2*PI()*L225*(D225+E225)/(D225*E225*AP225^2)</f>
        <v/>
      </c>
      <c r="AR225" s="0">
        <f>+AO225+AB225/2</f>
        <v/>
      </c>
      <c r="AS225" s="0">
        <f>+AR225*AI225/I225*E225</f>
        <v/>
      </c>
      <c r="AT225" s="0">
        <f>+getublp(AS225)</f>
        <v/>
      </c>
      <c r="AU225" s="0">
        <f>+AT225*AI225</f>
        <v/>
      </c>
      <c r="AV225" s="0">
        <f>+AP225-AU225</f>
        <v/>
      </c>
      <c r="AW225" s="0">
        <f>2/3*AB225/(L225/(9.8*(E225-D225)))^0.5</f>
        <v/>
      </c>
      <c r="AX225" s="0">
        <f>+(2*AQ225*9.8*(E225-D225)/(E225*AW225))^0.5</f>
        <v/>
      </c>
      <c r="AY225" s="0">
        <f>+AV225-AX225</f>
        <v/>
      </c>
      <c r="AZ225" s="0">
        <f>+F225-G225</f>
        <v/>
      </c>
      <c r="BA225" s="0">
        <f>+AQ225/AP225</f>
        <v/>
      </c>
      <c r="BB225" s="15">
        <f>+E225*AO225*AZ225/BA225</f>
        <v/>
      </c>
      <c r="BC225" s="20">
        <f>BB225-S225</f>
        <v/>
      </c>
      <c r="BD225" s="19">
        <f>+(BB225-S225)/S225*100</f>
        <v/>
      </c>
      <c r="BE225" s="15" t="n">
        <v>3564686.7</v>
      </c>
      <c r="BF225" s="16">
        <f>テーブル2[[#This Row],[q_P]]/テーブル2[[#This Row],[q_M]]</f>
        <v/>
      </c>
      <c r="BG225" s="0" t="n">
        <v>1</v>
      </c>
      <c r="BH225" s="0" t="n">
        <v>-0.387</v>
      </c>
      <c r="BI225" s="0" t="n">
        <v>0.046</v>
      </c>
      <c r="BJ225" s="0" t="n">
        <v>5625</v>
      </c>
      <c r="BK225" s="22" t="n">
        <v>1</v>
      </c>
      <c r="BL225" s="0">
        <f>テーブル2[[#This Row],[Ts]]-テーブル2[[#This Row],[Tin]]</f>
        <v/>
      </c>
      <c r="BM225" s="0">
        <f>テーブル2[[#This Row],[q_P]]*0.000001</f>
        <v/>
      </c>
      <c r="BN225" s="0">
        <f>テーブル2[[#This Row],[Tsub]]</f>
        <v/>
      </c>
      <c r="BO225" s="0">
        <f>テーブル2[[#This Row],[Fcorr]]</f>
        <v/>
      </c>
      <c r="BP225" s="0">
        <f>(テーブル2[[#This Row],[Tsub]]-40)^2</f>
        <v/>
      </c>
      <c r="BQ225" t="n">
        <v>1</v>
      </c>
      <c r="BR225" s="0" t="n">
        <v>0.69596</v>
      </c>
    </row>
    <row r="226">
      <c r="A226" t="inlineStr">
        <is>
          <t>39.01_10</t>
        </is>
      </c>
      <c r="B226" t="n">
        <v>13789514.586336</v>
      </c>
      <c r="C226">
        <f>TsatFromP(テーブル2[[#This Row],[P]])</f>
        <v/>
      </c>
      <c r="D226">
        <f>RhoGFromP(テーブル2[[#This Row],[P]])</f>
        <v/>
      </c>
      <c r="E226">
        <f>RhoFFromP(テーブル2[[#This Row],[P]])</f>
        <v/>
      </c>
      <c r="F226">
        <f>HgFromP(テーブル2[[#This Row],[P]])</f>
        <v/>
      </c>
      <c r="G226">
        <f>HfFromP(テーブル2[[#This Row],[P]])</f>
        <v/>
      </c>
      <c r="H226">
        <f>MuGFromP(テーブル2[[#This Row],[P]])</f>
        <v/>
      </c>
      <c r="I226">
        <f>MuFFromP(テーブル2[[#This Row],[P]])</f>
        <v/>
      </c>
      <c r="J226">
        <f>KfFromP(テーブル2[[#This Row],[P]])</f>
        <v/>
      </c>
      <c r="K226">
        <f>CpFFromP(テーブル2[[#This Row],[P]])</f>
        <v/>
      </c>
      <c r="L226">
        <f>SigmaFromP(テーブル2[[#This Row],[P]])</f>
        <v/>
      </c>
      <c r="M226" t="n">
        <v>225</v>
      </c>
      <c r="N226" t="n">
        <v>3933.067</v>
      </c>
      <c r="O226">
        <f>PI()*Q226^2/4</f>
        <v/>
      </c>
      <c r="P226">
        <f>PI()*Q226</f>
        <v/>
      </c>
      <c r="Q226" t="n">
        <v>0.003632199999999999</v>
      </c>
      <c r="R226" t="n">
        <v>0.07619999999999999</v>
      </c>
      <c r="S226" t="n">
        <v>3943237.5</v>
      </c>
      <c r="T226" t="n">
        <v>603.362216727703</v>
      </c>
      <c r="U226">
        <f>+T226+BG226*S226*テーブル2[[#This Row],[Pw]]*R226/(N226*O226*K226)</f>
        <v/>
      </c>
      <c r="V226" t="n">
        <v>0.03</v>
      </c>
      <c r="W226">
        <f>+N226*Q226/I226</f>
        <v/>
      </c>
      <c r="X226" t="n">
        <v>0.01</v>
      </c>
      <c r="Y226">
        <f>IF(X226&gt;0,1/X226^0.5,1)</f>
        <v/>
      </c>
      <c r="Z226">
        <f>IF(X226&gt;0,1.14-2*LOG((0.72*L226*E226)/(X226*Q226*N226^2)+9.35/(W226*X226^0.5)),0)</f>
        <v/>
      </c>
      <c r="AA226">
        <f>+Y226-Z226</f>
        <v/>
      </c>
      <c r="AB226">
        <f>32/X226*L226*V226*E226/N226^2</f>
        <v/>
      </c>
      <c r="AC226" t="n">
        <v>600</v>
      </c>
      <c r="AD226">
        <f>+Q226/2*AI226/I226*E226</f>
        <v/>
      </c>
      <c r="AE226">
        <f>+gettm2(AD226,AC226,AK226,AL226,テーブル2[[#This Row],[Fcorr]])</f>
        <v/>
      </c>
      <c r="AF226">
        <f>+AE226-U226</f>
        <v/>
      </c>
      <c r="AG226" t="n">
        <v>1e-05</v>
      </c>
      <c r="AH226">
        <f>+X226*N226^2/(8*E226)</f>
        <v/>
      </c>
      <c r="AI226">
        <f>+(AH226/E226)^0.5</f>
        <v/>
      </c>
      <c r="AJ226">
        <f>+AG226*AI226/I226*E226</f>
        <v/>
      </c>
      <c r="AK226">
        <f>+S226*テーブル2[[#This Row],[F_form]]/(E226*CpFromTP((テーブル2[[#This Row],[Tin]]+テーブル2[[#This Row],[Tf]])/2,テーブル2[[#This Row],[P]])*AI226)</f>
        <v/>
      </c>
      <c r="AL226">
        <f>+K226*I226/J226</f>
        <v/>
      </c>
      <c r="AM226">
        <f>+gettyp(AC226,AJ226,AK226,AL226)</f>
        <v/>
      </c>
      <c r="AN226">
        <f>+C226-AM226</f>
        <v/>
      </c>
      <c r="AO226">
        <f>+AG226-AB226</f>
        <v/>
      </c>
      <c r="AP226" t="n">
        <v>1</v>
      </c>
      <c r="AQ226">
        <f>2*PI()*L226*(D226+E226)/(D226*E226*AP226^2)</f>
        <v/>
      </c>
      <c r="AR226">
        <f>+AO226+AB226/2</f>
        <v/>
      </c>
      <c r="AS226">
        <f>+AR226*AI226/I226*E226</f>
        <v/>
      </c>
      <c r="AT226">
        <f>+getublp(AS226)</f>
        <v/>
      </c>
      <c r="AU226">
        <f>+AT226*AI226</f>
        <v/>
      </c>
      <c r="AV226">
        <f>+AP226-AU226</f>
        <v/>
      </c>
      <c r="AW226">
        <f>2/3*AB226/(L226/(9.8*(E226-D226)))^0.5</f>
        <v/>
      </c>
      <c r="AX226">
        <f>+(2*AQ226*9.8*(E226-D226)/(E226*AW226))^0.5</f>
        <v/>
      </c>
      <c r="AY226">
        <f>+AV226-AX226</f>
        <v/>
      </c>
      <c r="AZ226">
        <f>+F226-G226</f>
        <v/>
      </c>
      <c r="BA226">
        <f>+AQ226/AP226</f>
        <v/>
      </c>
      <c r="BB226">
        <f>+E226*AO226*AZ226/BA226</f>
        <v/>
      </c>
      <c r="BC226">
        <f>BB226-S226</f>
        <v/>
      </c>
      <c r="BD226">
        <f>+(BB226-S226)/S226*100</f>
        <v/>
      </c>
      <c r="BE226" t="n">
        <v>3943237.5</v>
      </c>
      <c r="BF226">
        <f>テーブル2[[#This Row],[q_P]]/テーブル2[[#This Row],[q_M]]</f>
        <v/>
      </c>
      <c r="BG226" t="n">
        <v>1</v>
      </c>
      <c r="BH226" t="n">
        <v>0.042</v>
      </c>
      <c r="BI226" t="n">
        <v>0.046</v>
      </c>
      <c r="BJ226" t="n">
        <v>5625</v>
      </c>
      <c r="BK226" t="n">
        <v>1</v>
      </c>
      <c r="BL226">
        <f>テーブル2[[#This Row],[Ts]]-テーブル2[[#This Row],[Tin]]</f>
        <v/>
      </c>
      <c r="BM226">
        <f>テーブル2[[#This Row],[q_P]]*0.000001</f>
        <v/>
      </c>
      <c r="BN226">
        <f>テーブル2[[#This Row],[Tsub]]</f>
        <v/>
      </c>
      <c r="BO226">
        <f>テーブル2[[#This Row],[Fcorr]]</f>
        <v/>
      </c>
      <c r="BP226">
        <f>(テーブル2[[#This Row],[Tsub]]-40)^2</f>
        <v/>
      </c>
      <c r="BQ226" t="n">
        <v>1</v>
      </c>
      <c r="BR226" t="n">
        <v>0.07619999999999999</v>
      </c>
    </row>
    <row r="227">
      <c r="A227" t="inlineStr">
        <is>
          <t>27.01_10</t>
        </is>
      </c>
      <c r="B227" t="n">
        <v>13789514.586336</v>
      </c>
      <c r="C227">
        <f>TsatFromP(テーブル2[[#This Row],[P]])</f>
        <v/>
      </c>
      <c r="D227">
        <f>RhoGFromP(テーブル2[[#This Row],[P]])</f>
        <v/>
      </c>
      <c r="E227">
        <f>RhoFFromP(テーブル2[[#This Row],[P]])</f>
        <v/>
      </c>
      <c r="F227">
        <f>HgFromP(テーブル2[[#This Row],[P]])</f>
        <v/>
      </c>
      <c r="G227">
        <f>HfFromP(テーブル2[[#This Row],[P]])</f>
        <v/>
      </c>
      <c r="H227">
        <f>MuGFromP(テーブル2[[#This Row],[P]])</f>
        <v/>
      </c>
      <c r="I227">
        <f>MuFFromP(テーブル2[[#This Row],[P]])</f>
        <v/>
      </c>
      <c r="J227">
        <f>KfFromP(テーブル2[[#This Row],[P]])</f>
        <v/>
      </c>
      <c r="K227">
        <f>CpFFromP(テーブル2[[#This Row],[P]])</f>
        <v/>
      </c>
      <c r="L227">
        <f>SigmaFromP(テーブル2[[#This Row],[P]])</f>
        <v/>
      </c>
      <c r="M227" t="n">
        <v>226</v>
      </c>
      <c r="N227" t="n">
        <v>3282.0766</v>
      </c>
      <c r="O227">
        <f>PI()*Q227^2/4</f>
        <v/>
      </c>
      <c r="P227">
        <f>PI()*Q227</f>
        <v/>
      </c>
      <c r="Q227" t="n">
        <v>0.001905</v>
      </c>
      <c r="R227" t="n">
        <v>0.6959599999999999</v>
      </c>
      <c r="S227" t="n">
        <v>3091498.2</v>
      </c>
      <c r="T227" t="n">
        <v>295.4367285639788</v>
      </c>
      <c r="U227">
        <f>+T227+BG227*S227*テーブル2[[#This Row],[Pw]]*R227/(N227*O227*K227)</f>
        <v/>
      </c>
      <c r="V227" t="n">
        <v>0.03</v>
      </c>
      <c r="W227">
        <f>+N227*Q227/I227</f>
        <v/>
      </c>
      <c r="X227" t="n">
        <v>0.01</v>
      </c>
      <c r="Y227">
        <f>IF(X227&gt;0,1/X227^0.5,1)</f>
        <v/>
      </c>
      <c r="Z227">
        <f>IF(X227&gt;0,1.14-2*LOG((0.72*L227*E227)/(X227*Q227*N227^2)+9.35/(W227*X227^0.5)),0)</f>
        <v/>
      </c>
      <c r="AA227">
        <f>+Y227-Z227</f>
        <v/>
      </c>
      <c r="AB227">
        <f>32/X227*L227*V227*E227/N227^2</f>
        <v/>
      </c>
      <c r="AC227" t="n">
        <v>600</v>
      </c>
      <c r="AD227">
        <f>+Q227/2*AI227/I227*E227</f>
        <v/>
      </c>
      <c r="AE227">
        <f>+gettm2(AD227,AC227,AK227,AL227,テーブル2[[#This Row],[Fcorr]])</f>
        <v/>
      </c>
      <c r="AF227">
        <f>+AE227-U227</f>
        <v/>
      </c>
      <c r="AG227" t="n">
        <v>1e-05</v>
      </c>
      <c r="AH227">
        <f>+X227*N227^2/(8*E227)</f>
        <v/>
      </c>
      <c r="AI227">
        <f>+(AH227/E227)^0.5</f>
        <v/>
      </c>
      <c r="AJ227">
        <f>+AG227*AI227/I227*E227</f>
        <v/>
      </c>
      <c r="AK227">
        <f>+S227*テーブル2[[#This Row],[F_form]]/(E227*CpFromTP((テーブル2[[#This Row],[Tin]]+テーブル2[[#This Row],[Tf]])/2,テーブル2[[#This Row],[P]])*AI227)</f>
        <v/>
      </c>
      <c r="AL227">
        <f>+K227*I227/J227</f>
        <v/>
      </c>
      <c r="AM227">
        <f>+gettyp(AC227,AJ227,AK227,AL227)</f>
        <v/>
      </c>
      <c r="AN227">
        <f>+C227-AM227</f>
        <v/>
      </c>
      <c r="AO227">
        <f>+AG227-AB227</f>
        <v/>
      </c>
      <c r="AP227" t="n">
        <v>1</v>
      </c>
      <c r="AQ227">
        <f>2*PI()*L227*(D227+E227)/(D227*E227*AP227^2)</f>
        <v/>
      </c>
      <c r="AR227">
        <f>+AO227+AB227/2</f>
        <v/>
      </c>
      <c r="AS227">
        <f>+AR227*AI227/I227*E227</f>
        <v/>
      </c>
      <c r="AT227">
        <f>+getublp(AS227)</f>
        <v/>
      </c>
      <c r="AU227">
        <f>+AT227*AI227</f>
        <v/>
      </c>
      <c r="AV227">
        <f>+AP227-AU227</f>
        <v/>
      </c>
      <c r="AW227">
        <f>2/3*AB227/(L227/(9.8*(E227-D227)))^0.5</f>
        <v/>
      </c>
      <c r="AX227">
        <f>+(2*AQ227*9.8*(E227-D227)/(E227*AW227))^0.5</f>
        <v/>
      </c>
      <c r="AY227">
        <f>+AV227-AX227</f>
        <v/>
      </c>
      <c r="AZ227">
        <f>+F227-G227</f>
        <v/>
      </c>
      <c r="BA227">
        <f>+AQ227/AP227</f>
        <v/>
      </c>
      <c r="BB227">
        <f>+E227*AO227*AZ227/BA227</f>
        <v/>
      </c>
      <c r="BC227">
        <f>BB227-S227</f>
        <v/>
      </c>
      <c r="BD227">
        <f>+(BB227-S227)/S227*100</f>
        <v/>
      </c>
      <c r="BE227" t="n">
        <v>3091498.2</v>
      </c>
      <c r="BF227">
        <f>テーブル2[[#This Row],[q_P]]/テーブル2[[#This Row],[q_M]]</f>
        <v/>
      </c>
      <c r="BG227" t="n">
        <v>1</v>
      </c>
      <c r="BH227" t="n">
        <v>-0.074</v>
      </c>
      <c r="BI227" t="n">
        <v>0.046</v>
      </c>
      <c r="BJ227" t="n">
        <v>5625</v>
      </c>
      <c r="BK227" t="n">
        <v>1</v>
      </c>
      <c r="BL227">
        <f>テーブル2[[#This Row],[Ts]]-テーブル2[[#This Row],[Tin]]</f>
        <v/>
      </c>
      <c r="BM227">
        <f>テーブル2[[#This Row],[q_P]]*0.000001</f>
        <v/>
      </c>
      <c r="BN227">
        <f>テーブル2[[#This Row],[Tsub]]</f>
        <v/>
      </c>
      <c r="BO227">
        <f>テーブル2[[#This Row],[Fcorr]]</f>
        <v/>
      </c>
      <c r="BP227">
        <f>(テーブル2[[#This Row],[Tsub]]-40)^2</f>
        <v/>
      </c>
      <c r="BQ227" t="n">
        <v>1</v>
      </c>
      <c r="BR227" t="n">
        <v>0.6959599999999999</v>
      </c>
    </row>
    <row r="228">
      <c r="A228" t="inlineStr">
        <is>
          <t>81.01_10</t>
        </is>
      </c>
      <c r="B228" t="n">
        <v>13789514.586336</v>
      </c>
      <c r="C228">
        <f>TsatFromP(テーブル2[[#This Row],[P]])</f>
        <v/>
      </c>
      <c r="D228">
        <f>RhoGFromP(テーブル2[[#This Row],[P]])</f>
        <v/>
      </c>
      <c r="E228">
        <f>RhoFFromP(テーブル2[[#This Row],[P]])</f>
        <v/>
      </c>
      <c r="F228">
        <f>HgFromP(テーブル2[[#This Row],[P]])</f>
        <v/>
      </c>
      <c r="G228">
        <f>HfFromP(テーブル2[[#This Row],[P]])</f>
        <v/>
      </c>
      <c r="H228">
        <f>MuGFromP(テーブル2[[#This Row],[P]])</f>
        <v/>
      </c>
      <c r="I228">
        <f>MuFFromP(テーブル2[[#This Row],[P]])</f>
        <v/>
      </c>
      <c r="J228">
        <f>KfFromP(テーブル2[[#This Row],[P]])</f>
        <v/>
      </c>
      <c r="K228">
        <f>CpFFromP(テーブル2[[#This Row],[P]])</f>
        <v/>
      </c>
      <c r="L228">
        <f>SigmaFromP(テーブル2[[#This Row],[P]])</f>
        <v/>
      </c>
      <c r="M228" t="n">
        <v>227</v>
      </c>
      <c r="N228" t="n">
        <v>4204.313</v>
      </c>
      <c r="O228">
        <f>PI()*Q228^2/4</f>
        <v/>
      </c>
      <c r="P228">
        <f>PI()*Q228</f>
        <v/>
      </c>
      <c r="Q228" t="n">
        <v>0.004571999999999999</v>
      </c>
      <c r="R228" t="n">
        <v>0.295275</v>
      </c>
      <c r="S228" t="n">
        <v>3154590</v>
      </c>
      <c r="T228" t="n">
        <v>587.7384809850786</v>
      </c>
      <c r="U228">
        <f>+T228+BG228*S228*テーブル2[[#This Row],[Pw]]*R228/(N228*O228*K228)</f>
        <v/>
      </c>
      <c r="V228" t="n">
        <v>0.03</v>
      </c>
      <c r="W228">
        <f>+N228*Q228/I228</f>
        <v/>
      </c>
      <c r="X228" t="n">
        <v>0.01</v>
      </c>
      <c r="Y228">
        <f>IF(X228&gt;0,1/X228^0.5,1)</f>
        <v/>
      </c>
      <c r="Z228">
        <f>IF(X228&gt;0,1.14-2*LOG((0.72*L228*E228)/(X228*Q228*N228^2)+9.35/(W228*X228^0.5)),0)</f>
        <v/>
      </c>
      <c r="AA228">
        <f>+Y228-Z228</f>
        <v/>
      </c>
      <c r="AB228">
        <f>32/X228*L228*V228*E228/N228^2</f>
        <v/>
      </c>
      <c r="AC228" t="n">
        <v>600</v>
      </c>
      <c r="AD228">
        <f>+Q228/2*AI228/I228*E228</f>
        <v/>
      </c>
      <c r="AE228">
        <f>+gettm2(AD228,AC228,AK228,AL228,テーブル2[[#This Row],[Fcorr]])</f>
        <v/>
      </c>
      <c r="AF228">
        <f>+AE228-U228</f>
        <v/>
      </c>
      <c r="AG228" t="n">
        <v>1e-05</v>
      </c>
      <c r="AH228">
        <f>+X228*N228^2/(8*E228)</f>
        <v/>
      </c>
      <c r="AI228">
        <f>+(AH228/E228)^0.5</f>
        <v/>
      </c>
      <c r="AJ228">
        <f>+AG228*AI228/I228*E228</f>
        <v/>
      </c>
      <c r="AK228">
        <f>+S228*テーブル2[[#This Row],[F_form]]/(E228*CpFromTP((テーブル2[[#This Row],[Tin]]+テーブル2[[#This Row],[Tf]])/2,テーブル2[[#This Row],[P]])*AI228)</f>
        <v/>
      </c>
      <c r="AL228">
        <f>+K228*I228/J228</f>
        <v/>
      </c>
      <c r="AM228">
        <f>+gettyp(AC228,AJ228,AK228,AL228)</f>
        <v/>
      </c>
      <c r="AN228">
        <f>+C228-AM228</f>
        <v/>
      </c>
      <c r="AO228">
        <f>+AG228-AB228</f>
        <v/>
      </c>
      <c r="AP228" t="n">
        <v>1</v>
      </c>
      <c r="AQ228">
        <f>2*PI()*L228*(D228+E228)/(D228*E228*AP228^2)</f>
        <v/>
      </c>
      <c r="AR228">
        <f>+AO228+AB228/2</f>
        <v/>
      </c>
      <c r="AS228">
        <f>+AR228*AI228/I228*E228</f>
        <v/>
      </c>
      <c r="AT228">
        <f>+getublp(AS228)</f>
        <v/>
      </c>
      <c r="AU228">
        <f>+AT228*AI228</f>
        <v/>
      </c>
      <c r="AV228">
        <f>+AP228-AU228</f>
        <v/>
      </c>
      <c r="AW228">
        <f>2/3*AB228/(L228/(9.8*(E228-D228)))^0.5</f>
        <v/>
      </c>
      <c r="AX228">
        <f>+(2*AQ228*9.8*(E228-D228)/(E228*AW228))^0.5</f>
        <v/>
      </c>
      <c r="AY228">
        <f>+AV228-AX228</f>
        <v/>
      </c>
      <c r="AZ228">
        <f>+F228-G228</f>
        <v/>
      </c>
      <c r="BA228">
        <f>+AQ228/AP228</f>
        <v/>
      </c>
      <c r="BB228">
        <f>+E228*AO228*AZ228/BA228</f>
        <v/>
      </c>
      <c r="BC228">
        <f>BB228-S228</f>
        <v/>
      </c>
      <c r="BD228">
        <f>+(BB228-S228)/S228*100</f>
        <v/>
      </c>
      <c r="BE228" t="n">
        <v>3154590</v>
      </c>
      <c r="BF228">
        <f>テーブル2[[#This Row],[q_P]]/テーブル2[[#This Row],[q_M]]</f>
        <v/>
      </c>
      <c r="BG228" t="n">
        <v>1</v>
      </c>
      <c r="BH228" t="n">
        <v>0.05</v>
      </c>
      <c r="BI228" t="n">
        <v>0.046</v>
      </c>
      <c r="BJ228" t="n">
        <v>5625</v>
      </c>
      <c r="BK228" t="n">
        <v>1</v>
      </c>
      <c r="BL228">
        <f>テーブル2[[#This Row],[Ts]]-テーブル2[[#This Row],[Tin]]</f>
        <v/>
      </c>
      <c r="BM228">
        <f>テーブル2[[#This Row],[q_P]]*0.000001</f>
        <v/>
      </c>
      <c r="BN228">
        <f>テーブル2[[#This Row],[Tsub]]</f>
        <v/>
      </c>
      <c r="BO228">
        <f>テーブル2[[#This Row],[Fcorr]]</f>
        <v/>
      </c>
      <c r="BP228">
        <f>(テーブル2[[#This Row],[Tsub]]-40)^2</f>
        <v/>
      </c>
      <c r="BQ228" t="n">
        <v>1</v>
      </c>
      <c r="BR228" t="n">
        <v>0.295275</v>
      </c>
    </row>
    <row r="229">
      <c r="A229" t="inlineStr">
        <is>
          <t>259.01_10</t>
        </is>
      </c>
      <c r="B229" t="n">
        <v>13789514.586336</v>
      </c>
      <c r="C229">
        <f>TsatFromP(テーブル2[[#This Row],[P]])</f>
        <v/>
      </c>
      <c r="D229">
        <f>RhoGFromP(テーブル2[[#This Row],[P]])</f>
        <v/>
      </c>
      <c r="E229">
        <f>RhoFFromP(テーブル2[[#This Row],[P]])</f>
        <v/>
      </c>
      <c r="F229">
        <f>HgFromP(テーブル2[[#This Row],[P]])</f>
        <v/>
      </c>
      <c r="G229">
        <f>HfFromP(テーブル2[[#This Row],[P]])</f>
        <v/>
      </c>
      <c r="H229">
        <f>MuGFromP(テーブル2[[#This Row],[P]])</f>
        <v/>
      </c>
      <c r="I229">
        <f>MuFFromP(テーブル2[[#This Row],[P]])</f>
        <v/>
      </c>
      <c r="J229">
        <f>KfFromP(テーブル2[[#This Row],[P]])</f>
        <v/>
      </c>
      <c r="K229">
        <f>CpFFromP(テーブル2[[#This Row],[P]])</f>
        <v/>
      </c>
      <c r="L229">
        <f>SigmaFromP(テーブル2[[#This Row],[P]])</f>
        <v/>
      </c>
      <c r="M229" t="n">
        <v>228</v>
      </c>
      <c r="N229" t="n">
        <v>10524.3448</v>
      </c>
      <c r="O229">
        <f>PI()*Q229^2/4</f>
        <v/>
      </c>
      <c r="P229">
        <f>PI()*Q229</f>
        <v/>
      </c>
      <c r="Q229" t="n">
        <v>0.004749799999999999</v>
      </c>
      <c r="R229" t="n">
        <v>0.3175</v>
      </c>
      <c r="S229" t="n">
        <v>12902273.1</v>
      </c>
      <c r="T229" t="n">
        <v>446.3647917013494</v>
      </c>
      <c r="U229">
        <f>+T229+BG229*S229*テーブル2[[#This Row],[Pw]]*R229/(N229*O229*K229)</f>
        <v/>
      </c>
      <c r="V229" t="n">
        <v>0.03</v>
      </c>
      <c r="W229">
        <f>+N229*Q229/I229</f>
        <v/>
      </c>
      <c r="X229" t="n">
        <v>0.01</v>
      </c>
      <c r="Y229">
        <f>IF(X229&gt;0,1/X229^0.5,1)</f>
        <v/>
      </c>
      <c r="Z229">
        <f>IF(X229&gt;0,1.14-2*LOG((0.72*L229*E229)/(X229*Q229*N229^2)+9.35/(W229*X229^0.5)),0)</f>
        <v/>
      </c>
      <c r="AA229">
        <f>+Y229-Z229</f>
        <v/>
      </c>
      <c r="AB229">
        <f>32/X229*L229*V229*E229/N229^2</f>
        <v/>
      </c>
      <c r="AC229" t="n">
        <v>600</v>
      </c>
      <c r="AD229">
        <f>+Q229/2*AI229/I229*E229</f>
        <v/>
      </c>
      <c r="AE229">
        <f>+gettm2(AD229,AC229,AK229,AL229,テーブル2[[#This Row],[Fcorr]])</f>
        <v/>
      </c>
      <c r="AF229">
        <f>+AE229-U229</f>
        <v/>
      </c>
      <c r="AG229" t="n">
        <v>1e-05</v>
      </c>
      <c r="AH229">
        <f>+X229*N229^2/(8*E229)</f>
        <v/>
      </c>
      <c r="AI229">
        <f>+(AH229/E229)^0.5</f>
        <v/>
      </c>
      <c r="AJ229">
        <f>+AG229*AI229/I229*E229</f>
        <v/>
      </c>
      <c r="AK229">
        <f>+S229*テーブル2[[#This Row],[F_form]]/(E229*CpFromTP((テーブル2[[#This Row],[Tin]]+テーブル2[[#This Row],[Tf]])/2,テーブル2[[#This Row],[P]])*AI229)</f>
        <v/>
      </c>
      <c r="AL229">
        <f>+K229*I229/J229</f>
        <v/>
      </c>
      <c r="AM229">
        <f>+gettyp(AC229,AJ229,AK229,AL229)</f>
        <v/>
      </c>
      <c r="AN229">
        <f>+C229-AM229</f>
        <v/>
      </c>
      <c r="AO229">
        <f>+AG229-AB229</f>
        <v/>
      </c>
      <c r="AP229" t="n">
        <v>1</v>
      </c>
      <c r="AQ229">
        <f>2*PI()*L229*(D229+E229)/(D229*E229*AP229^2)</f>
        <v/>
      </c>
      <c r="AR229">
        <f>+AO229+AB229/2</f>
        <v/>
      </c>
      <c r="AS229">
        <f>+AR229*AI229/I229*E229</f>
        <v/>
      </c>
      <c r="AT229">
        <f>+getublp(AS229)</f>
        <v/>
      </c>
      <c r="AU229">
        <f>+AT229*AI229</f>
        <v/>
      </c>
      <c r="AV229">
        <f>+AP229-AU229</f>
        <v/>
      </c>
      <c r="AW229">
        <f>2/3*AB229/(L229/(9.8*(E229-D229)))^0.5</f>
        <v/>
      </c>
      <c r="AX229">
        <f>+(2*AQ229*9.8*(E229-D229)/(E229*AW229))^0.5</f>
        <v/>
      </c>
      <c r="AY229">
        <f>+AV229-AX229</f>
        <v/>
      </c>
      <c r="AZ229">
        <f>+F229-G229</f>
        <v/>
      </c>
      <c r="BA229">
        <f>+AQ229/AP229</f>
        <v/>
      </c>
      <c r="BB229">
        <f>+E229*AO229*AZ229/BA229</f>
        <v/>
      </c>
      <c r="BC229">
        <f>BB229-S229</f>
        <v/>
      </c>
      <c r="BD229">
        <f>+(BB229-S229)/S229*100</f>
        <v/>
      </c>
      <c r="BE229" t="n">
        <v>12902273.1</v>
      </c>
      <c r="BF229">
        <f>テーブル2[[#This Row],[q_P]]/テーブル2[[#This Row],[q_M]]</f>
        <v/>
      </c>
      <c r="BG229" t="n">
        <v>1</v>
      </c>
      <c r="BH229" t="n">
        <v>-0.459</v>
      </c>
      <c r="BI229" t="n">
        <v>0.046</v>
      </c>
      <c r="BJ229" t="n">
        <v>5625</v>
      </c>
      <c r="BK229" t="n">
        <v>1</v>
      </c>
      <c r="BL229">
        <f>テーブル2[[#This Row],[Ts]]-テーブル2[[#This Row],[Tin]]</f>
        <v/>
      </c>
      <c r="BM229">
        <f>テーブル2[[#This Row],[q_P]]*0.000001</f>
        <v/>
      </c>
      <c r="BN229">
        <f>テーブル2[[#This Row],[Tsub]]</f>
        <v/>
      </c>
      <c r="BO229">
        <f>テーブル2[[#This Row],[Fcorr]]</f>
        <v/>
      </c>
      <c r="BP229">
        <f>(テーブル2[[#This Row],[Tsub]]-40)^2</f>
        <v/>
      </c>
      <c r="BQ229" t="n">
        <v>1</v>
      </c>
      <c r="BR229" t="n">
        <v>0.3175</v>
      </c>
    </row>
    <row r="230">
      <c r="A230" t="inlineStr">
        <is>
          <t>1.01_10</t>
        </is>
      </c>
      <c r="B230" t="n">
        <v>13789514.586336</v>
      </c>
      <c r="C230">
        <f>TsatFromP(テーブル2[[#This Row],[P]])</f>
        <v/>
      </c>
      <c r="D230">
        <f>RhoGFromP(テーブル2[[#This Row],[P]])</f>
        <v/>
      </c>
      <c r="E230">
        <f>RhoFFromP(テーブル2[[#This Row],[P]])</f>
        <v/>
      </c>
      <c r="F230">
        <f>HgFromP(テーブル2[[#This Row],[P]])</f>
        <v/>
      </c>
      <c r="G230">
        <f>HfFromP(テーブル2[[#This Row],[P]])</f>
        <v/>
      </c>
      <c r="H230">
        <f>MuGFromP(テーブル2[[#This Row],[P]])</f>
        <v/>
      </c>
      <c r="I230">
        <f>MuFFromP(テーブル2[[#This Row],[P]])</f>
        <v/>
      </c>
      <c r="J230">
        <f>KfFromP(テーブル2[[#This Row],[P]])</f>
        <v/>
      </c>
      <c r="K230">
        <f>CpFFromP(テーブル2[[#This Row],[P]])</f>
        <v/>
      </c>
      <c r="L230">
        <f>SigmaFromP(テーブル2[[#This Row],[P]])</f>
        <v/>
      </c>
      <c r="M230" t="n">
        <v>229</v>
      </c>
      <c r="N230" t="n">
        <v>2197.0926</v>
      </c>
      <c r="O230">
        <f>PI()*Q230^2/4</f>
        <v/>
      </c>
      <c r="P230">
        <f>PI()*Q230</f>
        <v/>
      </c>
      <c r="Q230" t="n">
        <v>0.001905</v>
      </c>
      <c r="R230" t="n">
        <v>0.1524</v>
      </c>
      <c r="S230" t="n">
        <v>3217681.8</v>
      </c>
      <c r="T230" t="n">
        <v>520.9044911360295</v>
      </c>
      <c r="U230">
        <f>+T230+BG230*S230*テーブル2[[#This Row],[Pw]]*R230/(N230*O230*K230)</f>
        <v/>
      </c>
      <c r="V230" t="n">
        <v>0.03</v>
      </c>
      <c r="W230">
        <f>+N230*Q230/I230</f>
        <v/>
      </c>
      <c r="X230" t="n">
        <v>0.01</v>
      </c>
      <c r="Y230">
        <f>IF(X230&gt;0,1/X230^0.5,1)</f>
        <v/>
      </c>
      <c r="Z230">
        <f>IF(X230&gt;0,1.14-2*LOG((0.72*L230*E230)/(X230*Q230*N230^2)+9.35/(W230*X230^0.5)),0)</f>
        <v/>
      </c>
      <c r="AA230">
        <f>+Y230-Z230</f>
        <v/>
      </c>
      <c r="AB230">
        <f>32/X230*L230*V230*E230/N230^2</f>
        <v/>
      </c>
      <c r="AC230" t="n">
        <v>600</v>
      </c>
      <c r="AD230">
        <f>+Q230/2*AI230/I230*E230</f>
        <v/>
      </c>
      <c r="AE230">
        <f>+gettm2(AD230,AC230,AK230,AL230,テーブル2[[#This Row],[Fcorr]])</f>
        <v/>
      </c>
      <c r="AF230">
        <f>+AE230-U230</f>
        <v/>
      </c>
      <c r="AG230" t="n">
        <v>1e-05</v>
      </c>
      <c r="AH230">
        <f>+X230*N230^2/(8*E230)</f>
        <v/>
      </c>
      <c r="AI230">
        <f>+(AH230/E230)^0.5</f>
        <v/>
      </c>
      <c r="AJ230">
        <f>+AG230*AI230/I230*E230</f>
        <v/>
      </c>
      <c r="AK230">
        <f>+S230*テーブル2[[#This Row],[F_form]]/(E230*CpFromTP((テーブル2[[#This Row],[Tin]]+テーブル2[[#This Row],[Tf]])/2,テーブル2[[#This Row],[P]])*AI230)</f>
        <v/>
      </c>
      <c r="AL230">
        <f>+K230*I230/J230</f>
        <v/>
      </c>
      <c r="AM230">
        <f>+gettyp(AC230,AJ230,AK230,AL230)</f>
        <v/>
      </c>
      <c r="AN230">
        <f>+C230-AM230</f>
        <v/>
      </c>
      <c r="AO230">
        <f>+AG230-AB230</f>
        <v/>
      </c>
      <c r="AP230" t="n">
        <v>1</v>
      </c>
      <c r="AQ230">
        <f>2*PI()*L230*(D230+E230)/(D230*E230*AP230^2)</f>
        <v/>
      </c>
      <c r="AR230">
        <f>+AO230+AB230/2</f>
        <v/>
      </c>
      <c r="AS230">
        <f>+AR230*AI230/I230*E230</f>
        <v/>
      </c>
      <c r="AT230">
        <f>+getublp(AS230)</f>
        <v/>
      </c>
      <c r="AU230">
        <f>+AT230*AI230</f>
        <v/>
      </c>
      <c r="AV230">
        <f>+AP230-AU230</f>
        <v/>
      </c>
      <c r="AW230">
        <f>2/3*AB230/(L230/(9.8*(E230-D230)))^0.5</f>
        <v/>
      </c>
      <c r="AX230">
        <f>+(2*AQ230*9.8*(E230-D230)/(E230*AW230))^0.5</f>
        <v/>
      </c>
      <c r="AY230">
        <f>+AV230-AX230</f>
        <v/>
      </c>
      <c r="AZ230">
        <f>+F230-G230</f>
        <v/>
      </c>
      <c r="BA230">
        <f>+AQ230/AP230</f>
        <v/>
      </c>
      <c r="BB230">
        <f>+E230*AO230*AZ230/BA230</f>
        <v/>
      </c>
      <c r="BC230">
        <f>BB230-S230</f>
        <v/>
      </c>
      <c r="BD230">
        <f>+(BB230-S230)/S230*100</f>
        <v/>
      </c>
      <c r="BE230" t="n">
        <v>3217681.8</v>
      </c>
      <c r="BF230">
        <f>テーブル2[[#This Row],[q_P]]/テーブル2[[#This Row],[q_M]]</f>
        <v/>
      </c>
      <c r="BG230" t="n">
        <v>1</v>
      </c>
      <c r="BH230" t="n">
        <v>-0.017</v>
      </c>
      <c r="BI230" t="n">
        <v>0.046</v>
      </c>
      <c r="BJ230" t="n">
        <v>5625</v>
      </c>
      <c r="BK230" t="n">
        <v>1</v>
      </c>
      <c r="BL230">
        <f>テーブル2[[#This Row],[Ts]]-テーブル2[[#This Row],[Tin]]</f>
        <v/>
      </c>
      <c r="BM230">
        <f>テーブル2[[#This Row],[q_P]]*0.000001</f>
        <v/>
      </c>
      <c r="BN230">
        <f>テーブル2[[#This Row],[Tsub]]</f>
        <v/>
      </c>
      <c r="BO230">
        <f>テーブル2[[#This Row],[Fcorr]]</f>
        <v/>
      </c>
      <c r="BP230">
        <f>(テーブル2[[#This Row],[Tsub]]-40)^2</f>
        <v/>
      </c>
      <c r="BQ230" t="n">
        <v>1</v>
      </c>
      <c r="BR230" t="n">
        <v>0.1524</v>
      </c>
    </row>
    <row r="231">
      <c r="A231" t="inlineStr">
        <is>
          <t>442.01_10</t>
        </is>
      </c>
      <c r="B231" t="n">
        <v>13789514.586336</v>
      </c>
      <c r="C231">
        <f>TsatFromP(テーブル2[[#This Row],[P]])</f>
        <v/>
      </c>
      <c r="D231">
        <f>RhoGFromP(テーブル2[[#This Row],[P]])</f>
        <v/>
      </c>
      <c r="E231">
        <f>RhoFFromP(テーブル2[[#This Row],[P]])</f>
        <v/>
      </c>
      <c r="F231">
        <f>HgFromP(テーブル2[[#This Row],[P]])</f>
        <v/>
      </c>
      <c r="G231">
        <f>HfFromP(テーブル2[[#This Row],[P]])</f>
        <v/>
      </c>
      <c r="H231">
        <f>MuGFromP(テーブル2[[#This Row],[P]])</f>
        <v/>
      </c>
      <c r="I231">
        <f>MuFFromP(テーブル2[[#This Row],[P]])</f>
        <v/>
      </c>
      <c r="J231">
        <f>KfFromP(テーブル2[[#This Row],[P]])</f>
        <v/>
      </c>
      <c r="K231">
        <f>CpFFromP(テーブル2[[#This Row],[P]])</f>
        <v/>
      </c>
      <c r="L231">
        <f>SigmaFromP(テーブル2[[#This Row],[P]])</f>
        <v/>
      </c>
      <c r="M231" t="n">
        <v>230</v>
      </c>
      <c r="N231" t="n">
        <v>1193.4824</v>
      </c>
      <c r="O231">
        <f>PI()*Q231^2/4</f>
        <v/>
      </c>
      <c r="P231">
        <f>PI()*Q231</f>
        <v/>
      </c>
      <c r="Q231" t="n">
        <v>0.0077724</v>
      </c>
      <c r="R231" t="n">
        <v>0.5905499999999999</v>
      </c>
      <c r="S231" t="n">
        <v>2583609.209999999</v>
      </c>
      <c r="T231" t="n">
        <v>475.8805954029734</v>
      </c>
      <c r="U231">
        <f>+T231+BG231*S231*テーブル2[[#This Row],[Pw]]*R231/(N231*O231*K231)</f>
        <v/>
      </c>
      <c r="V231" t="n">
        <v>0.03</v>
      </c>
      <c r="W231">
        <f>+N231*Q231/I231</f>
        <v/>
      </c>
      <c r="X231" t="n">
        <v>0.01</v>
      </c>
      <c r="Y231">
        <f>IF(X231&gt;0,1/X231^0.5,1)</f>
        <v/>
      </c>
      <c r="Z231">
        <f>IF(X231&gt;0,1.14-2*LOG((0.72*L231*E231)/(X231*Q231*N231^2)+9.35/(W231*X231^0.5)),0)</f>
        <v/>
      </c>
      <c r="AA231">
        <f>+Y231-Z231</f>
        <v/>
      </c>
      <c r="AB231">
        <f>32/X231*L231*V231*E231/N231^2</f>
        <v/>
      </c>
      <c r="AC231" t="n">
        <v>600</v>
      </c>
      <c r="AD231">
        <f>+Q231/2*AI231/I231*E231</f>
        <v/>
      </c>
      <c r="AE231">
        <f>+gettm2(AD231,AC231,AK231,AL231,テーブル2[[#This Row],[Fcorr]])</f>
        <v/>
      </c>
      <c r="AF231">
        <f>+AE231-U231</f>
        <v/>
      </c>
      <c r="AG231" t="n">
        <v>1e-05</v>
      </c>
      <c r="AH231">
        <f>+X231*N231^2/(8*E231)</f>
        <v/>
      </c>
      <c r="AI231">
        <f>+(AH231/E231)^0.5</f>
        <v/>
      </c>
      <c r="AJ231">
        <f>+AG231*AI231/I231*E231</f>
        <v/>
      </c>
      <c r="AK231">
        <f>+S231*テーブル2[[#This Row],[F_form]]/(E231*CpFromTP((テーブル2[[#This Row],[Tin]]+テーブル2[[#This Row],[Tf]])/2,テーブル2[[#This Row],[P]])*AI231)</f>
        <v/>
      </c>
      <c r="AL231">
        <f>+K231*I231/J231</f>
        <v/>
      </c>
      <c r="AM231">
        <f>+gettyp(AC231,AJ231,AK231,AL231)</f>
        <v/>
      </c>
      <c r="AN231">
        <f>+C231-AM231</f>
        <v/>
      </c>
      <c r="AO231">
        <f>+AG231-AB231</f>
        <v/>
      </c>
      <c r="AP231" t="n">
        <v>1</v>
      </c>
      <c r="AQ231">
        <f>2*PI()*L231*(D231+E231)/(D231*E231*AP231^2)</f>
        <v/>
      </c>
      <c r="AR231">
        <f>+AO231+AB231/2</f>
        <v/>
      </c>
      <c r="AS231">
        <f>+AR231*AI231/I231*E231</f>
        <v/>
      </c>
      <c r="AT231">
        <f>+getublp(AS231)</f>
        <v/>
      </c>
      <c r="AU231">
        <f>+AT231*AI231</f>
        <v/>
      </c>
      <c r="AV231">
        <f>+AP231-AU231</f>
        <v/>
      </c>
      <c r="AW231">
        <f>2/3*AB231/(L231/(9.8*(E231-D231)))^0.5</f>
        <v/>
      </c>
      <c r="AX231">
        <f>+(2*AQ231*9.8*(E231-D231)/(E231*AW231))^0.5</f>
        <v/>
      </c>
      <c r="AY231">
        <f>+AV231-AX231</f>
        <v/>
      </c>
      <c r="AZ231">
        <f>+F231-G231</f>
        <v/>
      </c>
      <c r="BA231">
        <f>+AQ231/AP231</f>
        <v/>
      </c>
      <c r="BB231">
        <f>+E231*AO231*AZ231/BA231</f>
        <v/>
      </c>
      <c r="BC231">
        <f>BB231-S231</f>
        <v/>
      </c>
      <c r="BD231">
        <f>+(BB231-S231)/S231*100</f>
        <v/>
      </c>
      <c r="BE231" t="n">
        <v>2583609.209999999</v>
      </c>
      <c r="BF231">
        <f>テーブル2[[#This Row],[q_P]]/テーブル2[[#This Row],[q_M]]</f>
        <v/>
      </c>
      <c r="BG231" t="n">
        <v>1</v>
      </c>
      <c r="BH231" t="n">
        <v>-0.032</v>
      </c>
      <c r="BI231" t="n">
        <v>0.046</v>
      </c>
      <c r="BJ231" t="n">
        <v>5625</v>
      </c>
      <c r="BK231" t="n">
        <v>1</v>
      </c>
      <c r="BL231">
        <f>テーブル2[[#This Row],[Ts]]-テーブル2[[#This Row],[Tin]]</f>
        <v/>
      </c>
      <c r="BM231">
        <f>テーブル2[[#This Row],[q_P]]*0.000001</f>
        <v/>
      </c>
      <c r="BN231">
        <f>テーブル2[[#This Row],[Tsub]]</f>
        <v/>
      </c>
      <c r="BO231">
        <f>テーブル2[[#This Row],[Fcorr]]</f>
        <v/>
      </c>
      <c r="BP231">
        <f>(テーブル2[[#This Row],[Tsub]]-40)^2</f>
        <v/>
      </c>
      <c r="BQ231" t="n">
        <v>1</v>
      </c>
      <c r="BR231" t="n">
        <v>0.5905499999999999</v>
      </c>
    </row>
    <row r="232">
      <c r="A232" t="inlineStr">
        <is>
          <t>150.01_10</t>
        </is>
      </c>
      <c r="B232" t="n">
        <v>13789514.586336</v>
      </c>
      <c r="C232">
        <f>TsatFromP(テーブル2[[#This Row],[P]])</f>
        <v/>
      </c>
      <c r="D232">
        <f>RhoGFromP(テーブル2[[#This Row],[P]])</f>
        <v/>
      </c>
      <c r="E232">
        <f>RhoFFromP(テーブル2[[#This Row],[P]])</f>
        <v/>
      </c>
      <c r="F232">
        <f>HgFromP(テーブル2[[#This Row],[P]])</f>
        <v/>
      </c>
      <c r="G232">
        <f>HfFromP(テーブル2[[#This Row],[P]])</f>
        <v/>
      </c>
      <c r="H232">
        <f>MuGFromP(テーブル2[[#This Row],[P]])</f>
        <v/>
      </c>
      <c r="I232">
        <f>MuFFromP(テーブル2[[#This Row],[P]])</f>
        <v/>
      </c>
      <c r="J232">
        <f>KfFromP(テーブル2[[#This Row],[P]])</f>
        <v/>
      </c>
      <c r="K232">
        <f>CpFFromP(テーブル2[[#This Row],[P]])</f>
        <v/>
      </c>
      <c r="L232">
        <f>SigmaFromP(テーブル2[[#This Row],[P]])</f>
        <v/>
      </c>
      <c r="M232" t="n">
        <v>231</v>
      </c>
      <c r="N232" t="n">
        <v>520.79232</v>
      </c>
      <c r="O232">
        <f>PI()*Q232^2/4</f>
        <v/>
      </c>
      <c r="P232">
        <f>PI()*Q232</f>
        <v/>
      </c>
      <c r="Q232" t="n">
        <v>0.004749799999999999</v>
      </c>
      <c r="R232" t="n">
        <v>0.3175</v>
      </c>
      <c r="S232" t="n">
        <v>851739.2999999999</v>
      </c>
      <c r="T232" t="n">
        <v>540.4903579919064</v>
      </c>
      <c r="U232">
        <f>+T232+BG232*S232*テーブル2[[#This Row],[Pw]]*R232/(N232*O232*K232)</f>
        <v/>
      </c>
      <c r="V232" t="n">
        <v>0.03</v>
      </c>
      <c r="W232">
        <f>+N232*Q232/I232</f>
        <v/>
      </c>
      <c r="X232" t="n">
        <v>0.01</v>
      </c>
      <c r="Y232">
        <f>IF(X232&gt;0,1/X232^0.5,1)</f>
        <v/>
      </c>
      <c r="Z232">
        <f>IF(X232&gt;0,1.14-2*LOG((0.72*L232*E232)/(X232*Q232*N232^2)+9.35/(W232*X232^0.5)),0)</f>
        <v/>
      </c>
      <c r="AA232">
        <f>+Y232-Z232</f>
        <v/>
      </c>
      <c r="AB232">
        <f>32/X232*L232*V232*E232/N232^2</f>
        <v/>
      </c>
      <c r="AC232" t="n">
        <v>600</v>
      </c>
      <c r="AD232">
        <f>+Q232/2*AI232/I232*E232</f>
        <v/>
      </c>
      <c r="AE232">
        <f>+gettm2(AD232,AC232,AK232,AL232,テーブル2[[#This Row],[Fcorr]])</f>
        <v/>
      </c>
      <c r="AF232">
        <f>+AE232-U232</f>
        <v/>
      </c>
      <c r="AG232" t="n">
        <v>1e-05</v>
      </c>
      <c r="AH232">
        <f>+X232*N232^2/(8*E232)</f>
        <v/>
      </c>
      <c r="AI232">
        <f>+(AH232/E232)^0.5</f>
        <v/>
      </c>
      <c r="AJ232">
        <f>+AG232*AI232/I232*E232</f>
        <v/>
      </c>
      <c r="AK232">
        <f>+S232*テーブル2[[#This Row],[F_form]]/(E232*CpFromTP((テーブル2[[#This Row],[Tin]]+テーブル2[[#This Row],[Tf]])/2,テーブル2[[#This Row],[P]])*AI232)</f>
        <v/>
      </c>
      <c r="AL232">
        <f>+K232*I232/J232</f>
        <v/>
      </c>
      <c r="AM232">
        <f>+gettyp(AC232,AJ232,AK232,AL232)</f>
        <v/>
      </c>
      <c r="AN232">
        <f>+C232-AM232</f>
        <v/>
      </c>
      <c r="AO232">
        <f>+AG232-AB232</f>
        <v/>
      </c>
      <c r="AP232" t="n">
        <v>1</v>
      </c>
      <c r="AQ232">
        <f>2*PI()*L232*(D232+E232)/(D232*E232*AP232^2)</f>
        <v/>
      </c>
      <c r="AR232">
        <f>+AO232+AB232/2</f>
        <v/>
      </c>
      <c r="AS232">
        <f>+AR232*AI232/I232*E232</f>
        <v/>
      </c>
      <c r="AT232">
        <f>+getublp(AS232)</f>
        <v/>
      </c>
      <c r="AU232">
        <f>+AT232*AI232</f>
        <v/>
      </c>
      <c r="AV232">
        <f>+AP232-AU232</f>
        <v/>
      </c>
      <c r="AW232">
        <f>2/3*AB232/(L232/(9.8*(E232-D232)))^0.5</f>
        <v/>
      </c>
      <c r="AX232">
        <f>+(2*AQ232*9.8*(E232-D232)/(E232*AW232))^0.5</f>
        <v/>
      </c>
      <c r="AY232">
        <f>+AV232-AX232</f>
        <v/>
      </c>
      <c r="AZ232">
        <f>+F232-G232</f>
        <v/>
      </c>
      <c r="BA232">
        <f>+AQ232/AP232</f>
        <v/>
      </c>
      <c r="BB232">
        <f>+E232*AO232*AZ232/BA232</f>
        <v/>
      </c>
      <c r="BC232">
        <f>BB232-S232</f>
        <v/>
      </c>
      <c r="BD232">
        <f>+(BB232-S232)/S232*100</f>
        <v/>
      </c>
      <c r="BE232" t="n">
        <v>851739.2999999999</v>
      </c>
      <c r="BF232">
        <f>テーブル2[[#This Row],[q_P]]/テーブル2[[#This Row],[q_M]]</f>
        <v/>
      </c>
      <c r="BG232" t="n">
        <v>1</v>
      </c>
      <c r="BH232" t="n">
        <v>0.041</v>
      </c>
      <c r="BI232" t="n">
        <v>0.046</v>
      </c>
      <c r="BJ232" t="n">
        <v>5625</v>
      </c>
      <c r="BK232" t="n">
        <v>1</v>
      </c>
      <c r="BL232">
        <f>テーブル2[[#This Row],[Ts]]-テーブル2[[#This Row],[Tin]]</f>
        <v/>
      </c>
      <c r="BM232">
        <f>テーブル2[[#This Row],[q_P]]*0.000001</f>
        <v/>
      </c>
      <c r="BN232">
        <f>テーブル2[[#This Row],[Tsub]]</f>
        <v/>
      </c>
      <c r="BO232">
        <f>テーブル2[[#This Row],[Fcorr]]</f>
        <v/>
      </c>
      <c r="BP232">
        <f>(テーブル2[[#This Row],[Tsub]]-40)^2</f>
        <v/>
      </c>
      <c r="BQ232" t="n">
        <v>1</v>
      </c>
      <c r="BR232" t="n">
        <v>0.3175</v>
      </c>
    </row>
    <row r="233">
      <c r="A233" t="inlineStr">
        <is>
          <t>289.01_10</t>
        </is>
      </c>
      <c r="B233" t="n">
        <v>13789514.586336</v>
      </c>
      <c r="C233">
        <f>TsatFromP(テーブル2[[#This Row],[P]])</f>
        <v/>
      </c>
      <c r="D233">
        <f>RhoGFromP(テーブル2[[#This Row],[P]])</f>
        <v/>
      </c>
      <c r="E233">
        <f>RhoFFromP(テーブル2[[#This Row],[P]])</f>
        <v/>
      </c>
      <c r="F233">
        <f>HgFromP(テーブル2[[#This Row],[P]])</f>
        <v/>
      </c>
      <c r="G233">
        <f>HfFromP(テーブル2[[#This Row],[P]])</f>
        <v/>
      </c>
      <c r="H233">
        <f>MuGFromP(テーブル2[[#This Row],[P]])</f>
        <v/>
      </c>
      <c r="I233">
        <f>MuFFromP(テーブル2[[#This Row],[P]])</f>
        <v/>
      </c>
      <c r="J233">
        <f>KfFromP(テーブル2[[#This Row],[P]])</f>
        <v/>
      </c>
      <c r="K233">
        <f>CpFFromP(テーブル2[[#This Row],[P]])</f>
        <v/>
      </c>
      <c r="L233">
        <f>SigmaFromP(テーブル2[[#This Row],[P]])</f>
        <v/>
      </c>
      <c r="M233" t="n">
        <v>232</v>
      </c>
      <c r="N233" t="n">
        <v>10565.0317</v>
      </c>
      <c r="O233">
        <f>PI()*Q233^2/4</f>
        <v/>
      </c>
      <c r="P233">
        <f>PI()*Q233</f>
        <v/>
      </c>
      <c r="Q233" t="n">
        <v>0.005740400000000001</v>
      </c>
      <c r="R233" t="n">
        <v>0.6248400000000001</v>
      </c>
      <c r="S233" t="n">
        <v>6466909.499999999</v>
      </c>
      <c r="T233" t="n">
        <v>560.5296093896327</v>
      </c>
      <c r="U233">
        <f>+T233+BG233*S233*テーブル2[[#This Row],[Pw]]*R233/(N233*O233*K233)</f>
        <v/>
      </c>
      <c r="V233" t="n">
        <v>0.03</v>
      </c>
      <c r="W233">
        <f>+N233*Q233/I233</f>
        <v/>
      </c>
      <c r="X233" t="n">
        <v>0.01</v>
      </c>
      <c r="Y233">
        <f>IF(X233&gt;0,1/X233^0.5,1)</f>
        <v/>
      </c>
      <c r="Z233">
        <f>IF(X233&gt;0,1.14-2*LOG((0.72*L233*E233)/(X233*Q233*N233^2)+9.35/(W233*X233^0.5)),0)</f>
        <v/>
      </c>
      <c r="AA233">
        <f>+Y233-Z233</f>
        <v/>
      </c>
      <c r="AB233">
        <f>32/X233*L233*V233*E233/N233^2</f>
        <v/>
      </c>
      <c r="AC233" t="n">
        <v>600</v>
      </c>
      <c r="AD233">
        <f>+Q233/2*AI233/I233*E233</f>
        <v/>
      </c>
      <c r="AE233">
        <f>+gettm2(AD233,AC233,AK233,AL233,テーブル2[[#This Row],[Fcorr]])</f>
        <v/>
      </c>
      <c r="AF233">
        <f>+AE233-U233</f>
        <v/>
      </c>
      <c r="AG233" t="n">
        <v>1e-05</v>
      </c>
      <c r="AH233">
        <f>+X233*N233^2/(8*E233)</f>
        <v/>
      </c>
      <c r="AI233">
        <f>+(AH233/E233)^0.5</f>
        <v/>
      </c>
      <c r="AJ233">
        <f>+AG233*AI233/I233*E233</f>
        <v/>
      </c>
      <c r="AK233">
        <f>+S233*テーブル2[[#This Row],[F_form]]/(E233*CpFromTP((テーブル2[[#This Row],[Tin]]+テーブル2[[#This Row],[Tf]])/2,テーブル2[[#This Row],[P]])*AI233)</f>
        <v/>
      </c>
      <c r="AL233">
        <f>+K233*I233/J233</f>
        <v/>
      </c>
      <c r="AM233">
        <f>+gettyp(AC233,AJ233,AK233,AL233)</f>
        <v/>
      </c>
      <c r="AN233">
        <f>+C233-AM233</f>
        <v/>
      </c>
      <c r="AO233">
        <f>+AG233-AB233</f>
        <v/>
      </c>
      <c r="AP233" t="n">
        <v>1</v>
      </c>
      <c r="AQ233">
        <f>2*PI()*L233*(D233+E233)/(D233*E233*AP233^2)</f>
        <v/>
      </c>
      <c r="AR233">
        <f>+AO233+AB233/2</f>
        <v/>
      </c>
      <c r="AS233">
        <f>+AR233*AI233/I233*E233</f>
        <v/>
      </c>
      <c r="AT233">
        <f>+getublp(AS233)</f>
        <v/>
      </c>
      <c r="AU233">
        <f>+AT233*AI233</f>
        <v/>
      </c>
      <c r="AV233">
        <f>+AP233-AU233</f>
        <v/>
      </c>
      <c r="AW233">
        <f>2/3*AB233/(L233/(9.8*(E233-D233)))^0.5</f>
        <v/>
      </c>
      <c r="AX233">
        <f>+(2*AQ233*9.8*(E233-D233)/(E233*AW233))^0.5</f>
        <v/>
      </c>
      <c r="AY233">
        <f>+AV233-AX233</f>
        <v/>
      </c>
      <c r="AZ233">
        <f>+F233-G233</f>
        <v/>
      </c>
      <c r="BA233">
        <f>+AQ233/AP233</f>
        <v/>
      </c>
      <c r="BB233">
        <f>+E233*AO233*AZ233/BA233</f>
        <v/>
      </c>
      <c r="BC233">
        <f>BB233-S233</f>
        <v/>
      </c>
      <c r="BD233">
        <f>+(BB233-S233)/S233*100</f>
        <v/>
      </c>
      <c r="BE233" t="n">
        <v>6466909.499999999</v>
      </c>
      <c r="BF233">
        <f>テーブル2[[#This Row],[q_P]]/テーブル2[[#This Row],[q_M]]</f>
        <v/>
      </c>
      <c r="BG233" t="n">
        <v>1</v>
      </c>
      <c r="BH233" t="n">
        <v>-0.023</v>
      </c>
      <c r="BI233" t="n">
        <v>0.046</v>
      </c>
      <c r="BJ233" t="n">
        <v>5625</v>
      </c>
      <c r="BK233" t="n">
        <v>1</v>
      </c>
      <c r="BL233">
        <f>テーブル2[[#This Row],[Ts]]-テーブル2[[#This Row],[Tin]]</f>
        <v/>
      </c>
      <c r="BM233">
        <f>テーブル2[[#This Row],[q_P]]*0.000001</f>
        <v/>
      </c>
      <c r="BN233">
        <f>テーブル2[[#This Row],[Tsub]]</f>
        <v/>
      </c>
      <c r="BO233">
        <f>テーブル2[[#This Row],[Fcorr]]</f>
        <v/>
      </c>
      <c r="BP233">
        <f>(テーブル2[[#This Row],[Tsub]]-40)^2</f>
        <v/>
      </c>
      <c r="BQ233" t="n">
        <v>1</v>
      </c>
      <c r="BR233" t="n">
        <v>0.6248400000000001</v>
      </c>
    </row>
    <row r="234">
      <c r="A234" t="inlineStr">
        <is>
          <t>249.01_10</t>
        </is>
      </c>
      <c r="B234" t="n">
        <v>13789514.586336</v>
      </c>
      <c r="C234">
        <f>TsatFromP(テーブル2[[#This Row],[P]])</f>
        <v/>
      </c>
      <c r="D234">
        <f>RhoGFromP(テーブル2[[#This Row],[P]])</f>
        <v/>
      </c>
      <c r="E234">
        <f>RhoFFromP(テーブル2[[#This Row],[P]])</f>
        <v/>
      </c>
      <c r="F234">
        <f>HgFromP(テーブル2[[#This Row],[P]])</f>
        <v/>
      </c>
      <c r="G234">
        <f>HfFromP(テーブル2[[#This Row],[P]])</f>
        <v/>
      </c>
      <c r="H234">
        <f>MuGFromP(テーブル2[[#This Row],[P]])</f>
        <v/>
      </c>
      <c r="I234">
        <f>MuFFromP(テーブル2[[#This Row],[P]])</f>
        <v/>
      </c>
      <c r="J234">
        <f>KfFromP(テーブル2[[#This Row],[P]])</f>
        <v/>
      </c>
      <c r="K234">
        <f>CpFFromP(テーブル2[[#This Row],[P]])</f>
        <v/>
      </c>
      <c r="L234">
        <f>SigmaFromP(テーブル2[[#This Row],[P]])</f>
        <v/>
      </c>
      <c r="M234" t="n">
        <v>233</v>
      </c>
      <c r="N234" t="n">
        <v>7364.3289</v>
      </c>
      <c r="O234">
        <f>PI()*Q234^2/4</f>
        <v/>
      </c>
      <c r="P234">
        <f>PI()*Q234</f>
        <v/>
      </c>
      <c r="Q234" t="n">
        <v>0.004749799999999999</v>
      </c>
      <c r="R234" t="n">
        <v>0.3175</v>
      </c>
      <c r="S234" t="n">
        <v>14763481.2</v>
      </c>
      <c r="T234" t="n">
        <v>398.2130443135018</v>
      </c>
      <c r="U234">
        <f>+T234+BG234*S234*テーブル2[[#This Row],[Pw]]*R234/(N234*O234*K234)</f>
        <v/>
      </c>
      <c r="V234" t="n">
        <v>0.03</v>
      </c>
      <c r="W234">
        <f>+N234*Q234/I234</f>
        <v/>
      </c>
      <c r="X234" t="n">
        <v>0.01</v>
      </c>
      <c r="Y234">
        <f>IF(X234&gt;0,1/X234^0.5,1)</f>
        <v/>
      </c>
      <c r="Z234">
        <f>IF(X234&gt;0,1.14-2*LOG((0.72*L234*E234)/(X234*Q234*N234^2)+9.35/(W234*X234^0.5)),0)</f>
        <v/>
      </c>
      <c r="AA234">
        <f>+Y234-Z234</f>
        <v/>
      </c>
      <c r="AB234">
        <f>32/X234*L234*V234*E234/N234^2</f>
        <v/>
      </c>
      <c r="AC234" t="n">
        <v>600</v>
      </c>
      <c r="AD234">
        <f>+Q234/2*AI234/I234*E234</f>
        <v/>
      </c>
      <c r="AE234">
        <f>+gettm2(AD234,AC234,AK234,AL234,テーブル2[[#This Row],[Fcorr]])</f>
        <v/>
      </c>
      <c r="AF234">
        <f>+AE234-U234</f>
        <v/>
      </c>
      <c r="AG234" t="n">
        <v>1e-05</v>
      </c>
      <c r="AH234">
        <f>+X234*N234^2/(8*E234)</f>
        <v/>
      </c>
      <c r="AI234">
        <f>+(AH234/E234)^0.5</f>
        <v/>
      </c>
      <c r="AJ234">
        <f>+AG234*AI234/I234*E234</f>
        <v/>
      </c>
      <c r="AK234">
        <f>+S234*テーブル2[[#This Row],[F_form]]/(E234*CpFromTP((テーブル2[[#This Row],[Tin]]+テーブル2[[#This Row],[Tf]])/2,テーブル2[[#This Row],[P]])*AI234)</f>
        <v/>
      </c>
      <c r="AL234">
        <f>+K234*I234/J234</f>
        <v/>
      </c>
      <c r="AM234">
        <f>+gettyp(AC234,AJ234,AK234,AL234)</f>
        <v/>
      </c>
      <c r="AN234">
        <f>+C234-AM234</f>
        <v/>
      </c>
      <c r="AO234">
        <f>+AG234-AB234</f>
        <v/>
      </c>
      <c r="AP234" t="n">
        <v>1</v>
      </c>
      <c r="AQ234">
        <f>2*PI()*L234*(D234+E234)/(D234*E234*AP234^2)</f>
        <v/>
      </c>
      <c r="AR234">
        <f>+AO234+AB234/2</f>
        <v/>
      </c>
      <c r="AS234">
        <f>+AR234*AI234/I234*E234</f>
        <v/>
      </c>
      <c r="AT234">
        <f>+getublp(AS234)</f>
        <v/>
      </c>
      <c r="AU234">
        <f>+AT234*AI234</f>
        <v/>
      </c>
      <c r="AV234">
        <f>+AP234-AU234</f>
        <v/>
      </c>
      <c r="AW234">
        <f>2/3*AB234/(L234/(9.8*(E234-D234)))^0.5</f>
        <v/>
      </c>
      <c r="AX234">
        <f>+(2*AQ234*9.8*(E234-D234)/(E234*AW234))^0.5</f>
        <v/>
      </c>
      <c r="AY234">
        <f>+AV234-AX234</f>
        <v/>
      </c>
      <c r="AZ234">
        <f>+F234-G234</f>
        <v/>
      </c>
      <c r="BA234">
        <f>+AQ234/AP234</f>
        <v/>
      </c>
      <c r="BB234">
        <f>+E234*AO234*AZ234/BA234</f>
        <v/>
      </c>
      <c r="BC234">
        <f>BB234-S234</f>
        <v/>
      </c>
      <c r="BD234">
        <f>+(BB234-S234)/S234*100</f>
        <v/>
      </c>
      <c r="BE234" t="n">
        <v>14763481.2</v>
      </c>
      <c r="BF234">
        <f>テーブル2[[#This Row],[q_P]]/テーブル2[[#This Row],[q_M]]</f>
        <v/>
      </c>
      <c r="BG234" t="n">
        <v>1</v>
      </c>
      <c r="BH234" t="n">
        <v>-0.456</v>
      </c>
      <c r="BI234" t="n">
        <v>0.046</v>
      </c>
      <c r="BJ234" t="n">
        <v>5625</v>
      </c>
      <c r="BK234" t="n">
        <v>1</v>
      </c>
      <c r="BL234">
        <f>テーブル2[[#This Row],[Ts]]-テーブル2[[#This Row],[Tin]]</f>
        <v/>
      </c>
      <c r="BM234">
        <f>テーブル2[[#This Row],[q_P]]*0.000001</f>
        <v/>
      </c>
      <c r="BN234">
        <f>テーブル2[[#This Row],[Tsub]]</f>
        <v/>
      </c>
      <c r="BO234">
        <f>テーブル2[[#This Row],[Fcorr]]</f>
        <v/>
      </c>
      <c r="BP234">
        <f>(テーブル2[[#This Row],[Tsub]]-40)^2</f>
        <v/>
      </c>
      <c r="BQ234" t="n">
        <v>1</v>
      </c>
      <c r="BR234" t="n">
        <v>0.3175</v>
      </c>
    </row>
    <row r="235">
      <c r="A235" t="inlineStr">
        <is>
          <t>281.01_10</t>
        </is>
      </c>
      <c r="B235" t="n">
        <v>13789514.586336</v>
      </c>
      <c r="C235">
        <f>TsatFromP(テーブル2[[#This Row],[P]])</f>
        <v/>
      </c>
      <c r="D235">
        <f>RhoGFromP(テーブル2[[#This Row],[P]])</f>
        <v/>
      </c>
      <c r="E235">
        <f>RhoFFromP(テーブル2[[#This Row],[P]])</f>
        <v/>
      </c>
      <c r="F235">
        <f>HgFromP(テーブル2[[#This Row],[P]])</f>
        <v/>
      </c>
      <c r="G235">
        <f>HfFromP(テーブル2[[#This Row],[P]])</f>
        <v/>
      </c>
      <c r="H235">
        <f>MuGFromP(テーブル2[[#This Row],[P]])</f>
        <v/>
      </c>
      <c r="I235">
        <f>MuFFromP(テーブル2[[#This Row],[P]])</f>
        <v/>
      </c>
      <c r="J235">
        <f>KfFromP(テーブル2[[#This Row],[P]])</f>
        <v/>
      </c>
      <c r="K235">
        <f>CpFFromP(テーブル2[[#This Row],[P]])</f>
        <v/>
      </c>
      <c r="L235">
        <f>SigmaFromP(テーブル2[[#This Row],[P]])</f>
        <v/>
      </c>
      <c r="M235" t="n">
        <v>234</v>
      </c>
      <c r="N235" t="n">
        <v>5357.1085</v>
      </c>
      <c r="O235">
        <f>PI()*Q235^2/4</f>
        <v/>
      </c>
      <c r="P235">
        <f>PI()*Q235</f>
        <v/>
      </c>
      <c r="Q235" t="n">
        <v>0.005740400000000001</v>
      </c>
      <c r="R235" t="n">
        <v>0.6248400000000001</v>
      </c>
      <c r="S235" t="n">
        <v>9211402.799999999</v>
      </c>
      <c r="T235" t="n">
        <v>470.3121633284058</v>
      </c>
      <c r="U235">
        <f>+T235+BG235*S235*テーブル2[[#This Row],[Pw]]*R235/(N235*O235*K235)</f>
        <v/>
      </c>
      <c r="V235" t="n">
        <v>0.03</v>
      </c>
      <c r="W235">
        <f>+N235*Q235/I235</f>
        <v/>
      </c>
      <c r="X235" t="n">
        <v>0.01</v>
      </c>
      <c r="Y235">
        <f>IF(X235&gt;0,1/X235^0.5,1)</f>
        <v/>
      </c>
      <c r="Z235">
        <f>IF(X235&gt;0,1.14-2*LOG((0.72*L235*E235)/(X235*Q235*N235^2)+9.35/(W235*X235^0.5)),0)</f>
        <v/>
      </c>
      <c r="AA235">
        <f>+Y235-Z235</f>
        <v/>
      </c>
      <c r="AB235">
        <f>32/X235*L235*V235*E235/N235^2</f>
        <v/>
      </c>
      <c r="AC235" t="n">
        <v>600</v>
      </c>
      <c r="AD235">
        <f>+Q235/2*AI235/I235*E235</f>
        <v/>
      </c>
      <c r="AE235">
        <f>+gettm2(AD235,AC235,AK235,AL235,テーブル2[[#This Row],[Fcorr]])</f>
        <v/>
      </c>
      <c r="AF235">
        <f>+AE235-U235</f>
        <v/>
      </c>
      <c r="AG235" t="n">
        <v>1e-05</v>
      </c>
      <c r="AH235">
        <f>+X235*N235^2/(8*E235)</f>
        <v/>
      </c>
      <c r="AI235">
        <f>+(AH235/E235)^0.5</f>
        <v/>
      </c>
      <c r="AJ235">
        <f>+AG235*AI235/I235*E235</f>
        <v/>
      </c>
      <c r="AK235">
        <f>+S235*テーブル2[[#This Row],[F_form]]/(E235*CpFromTP((テーブル2[[#This Row],[Tin]]+テーブル2[[#This Row],[Tf]])/2,テーブル2[[#This Row],[P]])*AI235)</f>
        <v/>
      </c>
      <c r="AL235">
        <f>+K235*I235/J235</f>
        <v/>
      </c>
      <c r="AM235">
        <f>+gettyp(AC235,AJ235,AK235,AL235)</f>
        <v/>
      </c>
      <c r="AN235">
        <f>+C235-AM235</f>
        <v/>
      </c>
      <c r="AO235">
        <f>+AG235-AB235</f>
        <v/>
      </c>
      <c r="AP235" t="n">
        <v>1</v>
      </c>
      <c r="AQ235">
        <f>2*PI()*L235*(D235+E235)/(D235*E235*AP235^2)</f>
        <v/>
      </c>
      <c r="AR235">
        <f>+AO235+AB235/2</f>
        <v/>
      </c>
      <c r="AS235">
        <f>+AR235*AI235/I235*E235</f>
        <v/>
      </c>
      <c r="AT235">
        <f>+getublp(AS235)</f>
        <v/>
      </c>
      <c r="AU235">
        <f>+AT235*AI235</f>
        <v/>
      </c>
      <c r="AV235">
        <f>+AP235-AU235</f>
        <v/>
      </c>
      <c r="AW235">
        <f>2/3*AB235/(L235/(9.8*(E235-D235)))^0.5</f>
        <v/>
      </c>
      <c r="AX235">
        <f>+(2*AQ235*9.8*(E235-D235)/(E235*AW235))^0.5</f>
        <v/>
      </c>
      <c r="AY235">
        <f>+AV235-AX235</f>
        <v/>
      </c>
      <c r="AZ235">
        <f>+F235-G235</f>
        <v/>
      </c>
      <c r="BA235">
        <f>+AQ235/AP235</f>
        <v/>
      </c>
      <c r="BB235">
        <f>+E235*AO235*AZ235/BA235</f>
        <v/>
      </c>
      <c r="BC235">
        <f>BB235-S235</f>
        <v/>
      </c>
      <c r="BD235">
        <f>+(BB235-S235)/S235*100</f>
        <v/>
      </c>
      <c r="BE235" t="n">
        <v>9211402.799999999</v>
      </c>
      <c r="BF235">
        <f>テーブル2[[#This Row],[q_P]]/テーブル2[[#This Row],[q_M]]</f>
        <v/>
      </c>
      <c r="BG235" t="n">
        <v>1</v>
      </c>
      <c r="BH235" t="n">
        <v>0.029</v>
      </c>
      <c r="BI235" t="n">
        <v>0.046</v>
      </c>
      <c r="BJ235" t="n">
        <v>5625</v>
      </c>
      <c r="BK235" t="n">
        <v>1</v>
      </c>
      <c r="BL235">
        <f>テーブル2[[#This Row],[Ts]]-テーブル2[[#This Row],[Tin]]</f>
        <v/>
      </c>
      <c r="BM235">
        <f>テーブル2[[#This Row],[q_P]]*0.000001</f>
        <v/>
      </c>
      <c r="BN235">
        <f>テーブル2[[#This Row],[Tsub]]</f>
        <v/>
      </c>
      <c r="BO235">
        <f>テーブル2[[#This Row],[Fcorr]]</f>
        <v/>
      </c>
      <c r="BP235">
        <f>(テーブル2[[#This Row],[Tsub]]-40)^2</f>
        <v/>
      </c>
      <c r="BQ235" t="n">
        <v>1</v>
      </c>
      <c r="BR235" t="n">
        <v>0.6248400000000001</v>
      </c>
    </row>
    <row r="236">
      <c r="A236" t="inlineStr">
        <is>
          <t>40.01_10</t>
        </is>
      </c>
      <c r="B236" t="n">
        <v>13789514.586336</v>
      </c>
      <c r="C236">
        <f>TsatFromP(テーブル2[[#This Row],[P]])</f>
        <v/>
      </c>
      <c r="D236">
        <f>RhoGFromP(テーブル2[[#This Row],[P]])</f>
        <v/>
      </c>
      <c r="E236">
        <f>RhoFFromP(テーブル2[[#This Row],[P]])</f>
        <v/>
      </c>
      <c r="F236">
        <f>HgFromP(テーブル2[[#This Row],[P]])</f>
        <v/>
      </c>
      <c r="G236">
        <f>HfFromP(テーブル2[[#This Row],[P]])</f>
        <v/>
      </c>
      <c r="H236">
        <f>MuGFromP(テーブル2[[#This Row],[P]])</f>
        <v/>
      </c>
      <c r="I236">
        <f>MuFFromP(テーブル2[[#This Row],[P]])</f>
        <v/>
      </c>
      <c r="J236">
        <f>KfFromP(テーブル2[[#This Row],[P]])</f>
        <v/>
      </c>
      <c r="K236">
        <f>CpFFromP(テーブル2[[#This Row],[P]])</f>
        <v/>
      </c>
      <c r="L236">
        <f>SigmaFromP(テーブル2[[#This Row],[P]])</f>
        <v/>
      </c>
      <c r="M236" t="n">
        <v>235</v>
      </c>
      <c r="N236" t="n">
        <v>5153.674</v>
      </c>
      <c r="O236">
        <f>PI()*Q236^2/4</f>
        <v/>
      </c>
      <c r="P236">
        <f>PI()*Q236</f>
        <v/>
      </c>
      <c r="Q236" t="n">
        <v>0.003632199999999999</v>
      </c>
      <c r="R236" t="n">
        <v>0.07619999999999999</v>
      </c>
      <c r="S236" t="n">
        <v>9936958.5</v>
      </c>
      <c r="T236" t="n">
        <v>581.7028894881837</v>
      </c>
      <c r="U236">
        <f>+T236+BG236*S236*テーブル2[[#This Row],[Pw]]*R236/(N236*O236*K236)</f>
        <v/>
      </c>
      <c r="V236" t="n">
        <v>0.03</v>
      </c>
      <c r="W236">
        <f>+N236*Q236/I236</f>
        <v/>
      </c>
      <c r="X236" t="n">
        <v>0.01</v>
      </c>
      <c r="Y236">
        <f>IF(X236&gt;0,1/X236^0.5,1)</f>
        <v/>
      </c>
      <c r="Z236">
        <f>IF(X236&gt;0,1.14-2*LOG((0.72*L236*E236)/(X236*Q236*N236^2)+9.35/(W236*X236^0.5)),0)</f>
        <v/>
      </c>
      <c r="AA236">
        <f>+Y236-Z236</f>
        <v/>
      </c>
      <c r="AB236">
        <f>32/X236*L236*V236*E236/N236^2</f>
        <v/>
      </c>
      <c r="AC236" t="n">
        <v>600</v>
      </c>
      <c r="AD236">
        <f>+Q236/2*AI236/I236*E236</f>
        <v/>
      </c>
      <c r="AE236">
        <f>+gettm2(AD236,AC236,AK236,AL236,テーブル2[[#This Row],[Fcorr]])</f>
        <v/>
      </c>
      <c r="AF236">
        <f>+AE236-U236</f>
        <v/>
      </c>
      <c r="AG236" t="n">
        <v>1e-05</v>
      </c>
      <c r="AH236">
        <f>+X236*N236^2/(8*E236)</f>
        <v/>
      </c>
      <c r="AI236">
        <f>+(AH236/E236)^0.5</f>
        <v/>
      </c>
      <c r="AJ236">
        <f>+AG236*AI236/I236*E236</f>
        <v/>
      </c>
      <c r="AK236">
        <f>+S236*テーブル2[[#This Row],[F_form]]/(E236*CpFromTP((テーブル2[[#This Row],[Tin]]+テーブル2[[#This Row],[Tf]])/2,テーブル2[[#This Row],[P]])*AI236)</f>
        <v/>
      </c>
      <c r="AL236">
        <f>+K236*I236/J236</f>
        <v/>
      </c>
      <c r="AM236">
        <f>+gettyp(AC236,AJ236,AK236,AL236)</f>
        <v/>
      </c>
      <c r="AN236">
        <f>+C236-AM236</f>
        <v/>
      </c>
      <c r="AO236">
        <f>+AG236-AB236</f>
        <v/>
      </c>
      <c r="AP236" t="n">
        <v>1</v>
      </c>
      <c r="AQ236">
        <f>2*PI()*L236*(D236+E236)/(D236*E236*AP236^2)</f>
        <v/>
      </c>
      <c r="AR236">
        <f>+AO236+AB236/2</f>
        <v/>
      </c>
      <c r="AS236">
        <f>+AR236*AI236/I236*E236</f>
        <v/>
      </c>
      <c r="AT236">
        <f>+getublp(AS236)</f>
        <v/>
      </c>
      <c r="AU236">
        <f>+AT236*AI236</f>
        <v/>
      </c>
      <c r="AV236">
        <f>+AP236-AU236</f>
        <v/>
      </c>
      <c r="AW236">
        <f>2/3*AB236/(L236/(9.8*(E236-D236)))^0.5</f>
        <v/>
      </c>
      <c r="AX236">
        <f>+(2*AQ236*9.8*(E236-D236)/(E236*AW236))^0.5</f>
        <v/>
      </c>
      <c r="AY236">
        <f>+AV236-AX236</f>
        <v/>
      </c>
      <c r="AZ236">
        <f>+F236-G236</f>
        <v/>
      </c>
      <c r="BA236">
        <f>+AQ236/AP236</f>
        <v/>
      </c>
      <c r="BB236">
        <f>+E236*AO236*AZ236/BA236</f>
        <v/>
      </c>
      <c r="BC236">
        <f>BB236-S236</f>
        <v/>
      </c>
      <c r="BD236">
        <f>+(BB236-S236)/S236*100</f>
        <v/>
      </c>
      <c r="BE236" t="n">
        <v>9936958.5</v>
      </c>
      <c r="BF236">
        <f>テーブル2[[#This Row],[q_P]]/テーブル2[[#This Row],[q_M]]</f>
        <v/>
      </c>
      <c r="BG236" t="n">
        <v>1</v>
      </c>
      <c r="BH236" t="n">
        <v>-0.012</v>
      </c>
      <c r="BI236" t="n">
        <v>0.046</v>
      </c>
      <c r="BJ236" t="n">
        <v>5625</v>
      </c>
      <c r="BK236" t="n">
        <v>1</v>
      </c>
      <c r="BL236">
        <f>テーブル2[[#This Row],[Ts]]-テーブル2[[#This Row],[Tin]]</f>
        <v/>
      </c>
      <c r="BM236">
        <f>テーブル2[[#This Row],[q_P]]*0.000001</f>
        <v/>
      </c>
      <c r="BN236">
        <f>テーブル2[[#This Row],[Tsub]]</f>
        <v/>
      </c>
      <c r="BO236">
        <f>テーブル2[[#This Row],[Fcorr]]</f>
        <v/>
      </c>
      <c r="BP236">
        <f>(テーブル2[[#This Row],[Tsub]]-40)^2</f>
        <v/>
      </c>
      <c r="BQ236" t="n">
        <v>1</v>
      </c>
      <c r="BR236" t="n">
        <v>0.07619999999999999</v>
      </c>
    </row>
    <row r="237">
      <c r="A237" t="inlineStr">
        <is>
          <t>9.01_10</t>
        </is>
      </c>
      <c r="B237" t="n">
        <v>13789514.586336</v>
      </c>
      <c r="C237">
        <f>TsatFromP(テーブル2[[#This Row],[P]])</f>
        <v/>
      </c>
      <c r="D237">
        <f>RhoGFromP(テーブル2[[#This Row],[P]])</f>
        <v/>
      </c>
      <c r="E237">
        <f>RhoFFromP(テーブル2[[#This Row],[P]])</f>
        <v/>
      </c>
      <c r="F237">
        <f>HgFromP(テーブル2[[#This Row],[P]])</f>
        <v/>
      </c>
      <c r="G237">
        <f>HfFromP(テーブル2[[#This Row],[P]])</f>
        <v/>
      </c>
      <c r="H237">
        <f>MuGFromP(テーブル2[[#This Row],[P]])</f>
        <v/>
      </c>
      <c r="I237">
        <f>MuFFromP(テーブル2[[#This Row],[P]])</f>
        <v/>
      </c>
      <c r="J237">
        <f>KfFromP(テーブル2[[#This Row],[P]])</f>
        <v/>
      </c>
      <c r="K237">
        <f>CpFFromP(テーブル2[[#This Row],[P]])</f>
        <v/>
      </c>
      <c r="L237">
        <f>SigmaFromP(テーブル2[[#This Row],[P]])</f>
        <v/>
      </c>
      <c r="M237" t="n">
        <v>236</v>
      </c>
      <c r="N237" t="n">
        <v>2441.214</v>
      </c>
      <c r="O237">
        <f>PI()*Q237^2/4</f>
        <v/>
      </c>
      <c r="P237">
        <f>PI()*Q237</f>
        <v/>
      </c>
      <c r="Q237" t="n">
        <v>0.001905</v>
      </c>
      <c r="R237" t="n">
        <v>0.1524</v>
      </c>
      <c r="S237" t="n">
        <v>4037875.2</v>
      </c>
      <c r="T237" t="n">
        <v>500.2688889860072</v>
      </c>
      <c r="U237">
        <f>+T237+BG237*S237*テーブル2[[#This Row],[Pw]]*R237/(N237*O237*K237)</f>
        <v/>
      </c>
      <c r="V237" t="n">
        <v>0.03</v>
      </c>
      <c r="W237">
        <f>+N237*Q237/I237</f>
        <v/>
      </c>
      <c r="X237" t="n">
        <v>0.01</v>
      </c>
      <c r="Y237">
        <f>IF(X237&gt;0,1/X237^0.5,1)</f>
        <v/>
      </c>
      <c r="Z237">
        <f>IF(X237&gt;0,1.14-2*LOG((0.72*L237*E237)/(X237*Q237*N237^2)+9.35/(W237*X237^0.5)),0)</f>
        <v/>
      </c>
      <c r="AA237">
        <f>+Y237-Z237</f>
        <v/>
      </c>
      <c r="AB237">
        <f>32/X237*L237*V237*E237/N237^2</f>
        <v/>
      </c>
      <c r="AC237" t="n">
        <v>600</v>
      </c>
      <c r="AD237">
        <f>+Q237/2*AI237/I237*E237</f>
        <v/>
      </c>
      <c r="AE237">
        <f>+gettm2(AD237,AC237,AK237,AL237,テーブル2[[#This Row],[Fcorr]])</f>
        <v/>
      </c>
      <c r="AF237">
        <f>+AE237-U237</f>
        <v/>
      </c>
      <c r="AG237" t="n">
        <v>1e-05</v>
      </c>
      <c r="AH237">
        <f>+X237*N237^2/(8*E237)</f>
        <v/>
      </c>
      <c r="AI237">
        <f>+(AH237/E237)^0.5</f>
        <v/>
      </c>
      <c r="AJ237">
        <f>+AG237*AI237/I237*E237</f>
        <v/>
      </c>
      <c r="AK237">
        <f>+S237*テーブル2[[#This Row],[F_form]]/(E237*CpFromTP((テーブル2[[#This Row],[Tin]]+テーブル2[[#This Row],[Tf]])/2,テーブル2[[#This Row],[P]])*AI237)</f>
        <v/>
      </c>
      <c r="AL237">
        <f>+K237*I237/J237</f>
        <v/>
      </c>
      <c r="AM237">
        <f>+gettyp(AC237,AJ237,AK237,AL237)</f>
        <v/>
      </c>
      <c r="AN237">
        <f>+C237-AM237</f>
        <v/>
      </c>
      <c r="AO237">
        <f>+AG237-AB237</f>
        <v/>
      </c>
      <c r="AP237" t="n">
        <v>1</v>
      </c>
      <c r="AQ237">
        <f>2*PI()*L237*(D237+E237)/(D237*E237*AP237^2)</f>
        <v/>
      </c>
      <c r="AR237">
        <f>+AO237+AB237/2</f>
        <v/>
      </c>
      <c r="AS237">
        <f>+AR237*AI237/I237*E237</f>
        <v/>
      </c>
      <c r="AT237">
        <f>+getublp(AS237)</f>
        <v/>
      </c>
      <c r="AU237">
        <f>+AT237*AI237</f>
        <v/>
      </c>
      <c r="AV237">
        <f>+AP237-AU237</f>
        <v/>
      </c>
      <c r="AW237">
        <f>2/3*AB237/(L237/(9.8*(E237-D237)))^0.5</f>
        <v/>
      </c>
      <c r="AX237">
        <f>+(2*AQ237*9.8*(E237-D237)/(E237*AW237))^0.5</f>
        <v/>
      </c>
      <c r="AY237">
        <f>+AV237-AX237</f>
        <v/>
      </c>
      <c r="AZ237">
        <f>+F237-G237</f>
        <v/>
      </c>
      <c r="BA237">
        <f>+AQ237/AP237</f>
        <v/>
      </c>
      <c r="BB237">
        <f>+E237*AO237*AZ237/BA237</f>
        <v/>
      </c>
      <c r="BC237">
        <f>BB237-S237</f>
        <v/>
      </c>
      <c r="BD237">
        <f>+(BB237-S237)/S237*100</f>
        <v/>
      </c>
      <c r="BE237" t="n">
        <v>4037875.2</v>
      </c>
      <c r="BF237">
        <f>テーブル2[[#This Row],[q_P]]/テーブル2[[#This Row],[q_M]]</f>
        <v/>
      </c>
      <c r="BG237" t="n">
        <v>1</v>
      </c>
      <c r="BH237" t="n">
        <v>-0.05</v>
      </c>
      <c r="BI237" t="n">
        <v>0.046</v>
      </c>
      <c r="BJ237" t="n">
        <v>5625</v>
      </c>
      <c r="BK237" t="n">
        <v>1</v>
      </c>
      <c r="BL237">
        <f>テーブル2[[#This Row],[Ts]]-テーブル2[[#This Row],[Tin]]</f>
        <v/>
      </c>
      <c r="BM237">
        <f>テーブル2[[#This Row],[q_P]]*0.000001</f>
        <v/>
      </c>
      <c r="BN237">
        <f>テーブル2[[#This Row],[Tsub]]</f>
        <v/>
      </c>
      <c r="BO237">
        <f>テーブル2[[#This Row],[Fcorr]]</f>
        <v/>
      </c>
      <c r="BP237">
        <f>(テーブル2[[#This Row],[Tsub]]-40)^2</f>
        <v/>
      </c>
      <c r="BQ237" t="n">
        <v>1</v>
      </c>
      <c r="BR237" t="n">
        <v>0.1524</v>
      </c>
    </row>
  </sheetData>
  <pageMargins left="0.7" right="0.7" top="0.75" bottom="0.75" header="0.3" footer="0.3"/>
  <pageSetup orientation="portrait" paperSize="9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ws_Log">
    <outlinePr summaryBelow="1" summaryRight="1"/>
    <pageSetUpPr/>
  </sheetPr>
  <dimension ref="A1:H2567"/>
  <sheetViews>
    <sheetView topLeftCell="A10" workbookViewId="0">
      <selection activeCell="J25" sqref="J25"/>
    </sheetView>
  </sheetViews>
  <sheetFormatPr baseColWidth="8" defaultRowHeight="13.5"/>
  <sheetData>
    <row r="1">
      <c r="A1" s="0" t="inlineStr">
        <is>
          <t>RowNo</t>
        </is>
      </c>
      <c r="B1" s="0" t="inlineStr">
        <is>
          <t>Step</t>
        </is>
      </c>
      <c r="C1" s="0" t="inlineStr">
        <is>
          <t>q_in</t>
        </is>
      </c>
      <c r="D1" s="0" t="inlineStr">
        <is>
          <t>q_P</t>
        </is>
      </c>
      <c r="E1" s="0" t="inlineStr">
        <is>
          <t>y_star</t>
        </is>
      </c>
      <c r="F1" s="0" t="inlineStr">
        <is>
          <t>y_star-delta</t>
        </is>
      </c>
      <c r="G1" s="0" t="inlineStr">
        <is>
          <t>delta</t>
        </is>
      </c>
      <c r="H1" s="0" t="inlineStr">
        <is>
          <t>delta&lt;0</t>
        </is>
      </c>
    </row>
    <row r="2">
      <c r="A2" s="0" t="n">
        <v>88</v>
      </c>
      <c r="B2" s="0" t="n">
        <v>1</v>
      </c>
      <c r="C2" s="0" t="n">
        <v>6050000</v>
      </c>
      <c r="D2" s="0" t="n">
        <v>9.199980930253517e+16</v>
      </c>
      <c r="E2" s="0" t="n">
        <v>536.8709220000001</v>
      </c>
      <c r="F2" s="0" t="n">
        <v>0.0001551446559915348</v>
      </c>
      <c r="G2" s="0" t="n">
        <v>536.8707668553441</v>
      </c>
      <c r="H2" s="0" t="b">
        <v>0</v>
      </c>
    </row>
    <row r="3">
      <c r="A3" s="0" t="n">
        <v>88</v>
      </c>
      <c r="B3" s="0" t="n">
        <v>2</v>
      </c>
      <c r="C3" s="0" t="n">
        <v>3075000</v>
      </c>
      <c r="D3" s="0" t="n">
        <v>9.199980930253515e+16</v>
      </c>
      <c r="E3" s="0" t="n">
        <v>536.870922</v>
      </c>
      <c r="F3" s="0" t="n">
        <v>0.0001551446559915348</v>
      </c>
      <c r="G3" s="0" t="n">
        <v>536.870766855344</v>
      </c>
      <c r="H3" s="0" t="b">
        <v>0</v>
      </c>
    </row>
    <row r="4">
      <c r="A4" s="0" t="n">
        <v>88</v>
      </c>
      <c r="B4" s="0" t="n">
        <v>3</v>
      </c>
      <c r="C4" s="0" t="n">
        <v>1587500</v>
      </c>
      <c r="D4" s="0" t="n">
        <v>421668148365781.8</v>
      </c>
      <c r="E4" s="0" t="n">
        <v>4.898246200734074</v>
      </c>
      <c r="F4" s="0" t="n">
        <v>0.0001551446559737713</v>
      </c>
      <c r="G4" s="0" t="n">
        <v>4.8980910560781</v>
      </c>
      <c r="H4" s="0" t="b">
        <v>0</v>
      </c>
    </row>
    <row r="5">
      <c r="A5" s="0" t="n">
        <v>88</v>
      </c>
      <c r="B5" s="0" t="n">
        <v>4</v>
      </c>
      <c r="C5" s="0" t="n">
        <v>843750</v>
      </c>
      <c r="D5" s="0" t="n">
        <v>23103171465.07597</v>
      </c>
      <c r="E5" s="0" t="n">
        <v>0.001631734888453391</v>
      </c>
      <c r="F5" s="0" t="n">
        <v>0.0001551446559739055</v>
      </c>
      <c r="G5" s="0" t="n">
        <v>0.001476590232479485</v>
      </c>
      <c r="H5" s="0" t="b">
        <v>0</v>
      </c>
    </row>
    <row r="6">
      <c r="A6" s="0" t="n">
        <v>88</v>
      </c>
      <c r="B6" s="0" t="n">
        <v>5</v>
      </c>
      <c r="C6" s="0" t="n">
        <v>471875</v>
      </c>
      <c r="D6" s="0" t="n">
        <v>28082.83613741442</v>
      </c>
      <c r="E6" s="0" t="n">
        <v>-4.619568464631077e-06</v>
      </c>
      <c r="F6" s="0" t="n">
        <v>0.0001551446559739055</v>
      </c>
      <c r="G6" s="0" t="n">
        <v>-0.0001597642244385366</v>
      </c>
      <c r="H6" s="0" t="b">
        <v>1</v>
      </c>
    </row>
    <row r="7">
      <c r="A7" s="0" t="n">
        <v>88</v>
      </c>
      <c r="B7" s="0" t="n">
        <v>6</v>
      </c>
      <c r="C7" s="0" t="n">
        <v>657812.5</v>
      </c>
      <c r="D7" s="0" t="n">
        <v>-106456.0789541153</v>
      </c>
      <c r="E7" s="0" t="n">
        <v>3.044356955139817e-05</v>
      </c>
      <c r="F7" s="0" t="n">
        <v>0.0001551446559739055</v>
      </c>
      <c r="G7" s="0" t="n">
        <v>-0.0001247010864225073</v>
      </c>
      <c r="H7" s="0" t="b">
        <v>1</v>
      </c>
    </row>
    <row r="8">
      <c r="A8" s="0" t="n">
        <v>88</v>
      </c>
      <c r="B8" s="0" t="n">
        <v>7</v>
      </c>
      <c r="C8" s="0" t="n">
        <v>750781.25</v>
      </c>
      <c r="D8" s="0" t="n">
        <v>969955590.7844633</v>
      </c>
      <c r="E8" s="0" t="n">
        <v>0.0002716135750928458</v>
      </c>
      <c r="F8" s="0" t="n">
        <v>0.0001551446559739055</v>
      </c>
      <c r="G8" s="0" t="n">
        <v>0.0001164689191189403</v>
      </c>
      <c r="H8" s="0" t="b">
        <v>0</v>
      </c>
    </row>
    <row r="9">
      <c r="A9" s="0" t="n">
        <v>88</v>
      </c>
      <c r="B9" s="0" t="n">
        <v>8</v>
      </c>
      <c r="C9" s="0" t="n">
        <v>704296.875</v>
      </c>
      <c r="D9" s="0" t="n">
        <v>-151830280.3372874</v>
      </c>
      <c r="E9" s="0" t="n">
        <v>9.434152002147571e-05</v>
      </c>
      <c r="F9" s="0" t="n">
        <v>0.0001551446559739055</v>
      </c>
      <c r="G9" s="0" t="n">
        <v>-6.08031359524298e-05</v>
      </c>
      <c r="H9" s="0" t="b">
        <v>1</v>
      </c>
    </row>
    <row r="10">
      <c r="A10" s="0" t="n">
        <v>88</v>
      </c>
      <c r="B10" s="0" t="n">
        <v>9</v>
      </c>
      <c r="C10" s="0" t="n">
        <v>727539.0625</v>
      </c>
      <c r="D10" s="0" t="n">
        <v>46721101.9146574</v>
      </c>
      <c r="E10" s="0" t="n">
        <v>0.0001625974332115457</v>
      </c>
      <c r="F10" s="0" t="n">
        <v>0.0001551446559739055</v>
      </c>
      <c r="G10" s="0" t="n">
        <v>7.452777237640184e-06</v>
      </c>
      <c r="H10" s="0" t="b">
        <v>0</v>
      </c>
    </row>
    <row r="11">
      <c r="A11" s="0" t="n">
        <v>88</v>
      </c>
      <c r="B11" s="0" t="n">
        <v>10</v>
      </c>
      <c r="C11" s="0" t="n">
        <v>715917.96875</v>
      </c>
      <c r="D11" s="0" t="n">
        <v>-154924258.4701076</v>
      </c>
      <c r="E11" s="0" t="n">
        <v>0.000124362706542437</v>
      </c>
      <c r="F11" s="0" t="n">
        <v>0.0001551446559739055</v>
      </c>
      <c r="G11" s="0" t="n">
        <v>-3.078194943146849e-05</v>
      </c>
      <c r="H11" s="0" t="b">
        <v>1</v>
      </c>
    </row>
    <row r="12">
      <c r="A12" s="0" t="n">
        <v>88</v>
      </c>
      <c r="B12" s="0" t="n">
        <v>11</v>
      </c>
      <c r="C12" s="0" t="n">
        <v>721728.515625</v>
      </c>
      <c r="D12" s="0" t="n">
        <v>-72727264.13252847</v>
      </c>
      <c r="E12" s="0" t="n">
        <v>0.0001423423522795004</v>
      </c>
      <c r="F12" s="0" t="n">
        <v>0.0001551446559739055</v>
      </c>
      <c r="G12" s="0" t="n">
        <v>-1.280230369440509e-05</v>
      </c>
      <c r="H12" s="0" t="b">
        <v>1</v>
      </c>
    </row>
    <row r="13">
      <c r="A13" s="0" t="n">
        <v>88</v>
      </c>
      <c r="B13" s="0" t="n">
        <v>12</v>
      </c>
      <c r="C13" s="0" t="n">
        <v>724633.7890625</v>
      </c>
      <c r="D13" s="0" t="n">
        <v>-17787422.22473729</v>
      </c>
      <c r="E13" s="0" t="n">
        <v>0.000152170567590109</v>
      </c>
      <c r="F13" s="0" t="n">
        <v>0.0001551446559739055</v>
      </c>
      <c r="G13" s="0" t="n">
        <v>-2.9740883837965e-06</v>
      </c>
      <c r="H13" s="0" t="b">
        <v>1</v>
      </c>
    </row>
    <row r="14">
      <c r="A14" s="0" t="n">
        <v>88</v>
      </c>
      <c r="B14" s="0" t="n">
        <v>13</v>
      </c>
      <c r="C14" s="0" t="n">
        <v>726086.42578125</v>
      </c>
      <c r="D14" s="0" t="n">
        <v>13248417.14835426</v>
      </c>
      <c r="E14" s="0" t="n">
        <v>0.0001573072355870038</v>
      </c>
      <c r="F14" s="0" t="n">
        <v>0.0001551446559739055</v>
      </c>
      <c r="G14" s="0" t="n">
        <v>2.162579613098264e-06</v>
      </c>
      <c r="H14" s="0" t="b">
        <v>0</v>
      </c>
    </row>
    <row r="15">
      <c r="A15" s="0" t="n">
        <v>88</v>
      </c>
      <c r="B15" s="0" t="n">
        <v>14</v>
      </c>
      <c r="C15" s="0" t="n">
        <v>724886.42578125</v>
      </c>
      <c r="D15" s="0" t="n">
        <v>-12562676.86837174</v>
      </c>
      <c r="E15" s="0" t="n">
        <v>0.0001530530697154007</v>
      </c>
      <c r="F15" s="0" t="n">
        <v>0.0001551446559739055</v>
      </c>
      <c r="G15" s="0" t="n">
        <v>-2.09158625850484e-06</v>
      </c>
      <c r="H15" s="0" t="b">
        <v>1</v>
      </c>
    </row>
    <row r="16">
      <c r="A16" s="0" t="n">
        <v>88</v>
      </c>
      <c r="B16" s="0" t="n">
        <v>15</v>
      </c>
      <c r="C16" s="0" t="n">
        <v>725486.42578125</v>
      </c>
      <c r="D16" s="0" t="n">
        <v>136741.5097622548</v>
      </c>
      <c r="E16" s="0" t="n">
        <v>0.0001551671964471291</v>
      </c>
      <c r="F16" s="0" t="n">
        <v>0.0001551446559739055</v>
      </c>
      <c r="G16" s="0" t="n">
        <v>2.254047322362428e-08</v>
      </c>
      <c r="H16" s="0" t="b">
        <v>0</v>
      </c>
    </row>
    <row r="17">
      <c r="A17" s="0" t="n">
        <v>88</v>
      </c>
      <c r="B17" s="0" t="n">
        <v>16</v>
      </c>
      <c r="C17" s="0" t="n">
        <v>726206.42578125</v>
      </c>
      <c r="D17" s="0" t="n">
        <v>15920582.39994912</v>
      </c>
      <c r="E17" s="0" t="n">
        <v>0.0001577383874779189</v>
      </c>
      <c r="F17" s="0" t="n">
        <v>0.0001551446559739055</v>
      </c>
      <c r="G17" s="0" t="n">
        <v>2.59373150401343e-06</v>
      </c>
      <c r="H17" s="0" t="b">
        <v>0</v>
      </c>
    </row>
    <row r="18">
      <c r="A18" s="0" t="n">
        <v>88</v>
      </c>
      <c r="B18" s="0" t="n">
        <v>17</v>
      </c>
      <c r="C18" s="0" t="n">
        <v>725846.42578125</v>
      </c>
      <c r="D18" s="0" t="n">
        <v>7954040.393659731</v>
      </c>
      <c r="E18" s="0" t="n">
        <v>0.0001564480891447578</v>
      </c>
      <c r="F18" s="0" t="n">
        <v>0.0001551446559739055</v>
      </c>
      <c r="G18" s="0" t="n">
        <v>1.303433170852348e-06</v>
      </c>
      <c r="H18" s="0" t="b">
        <v>0</v>
      </c>
    </row>
    <row r="19">
      <c r="A19" s="0" t="n">
        <v>88</v>
      </c>
      <c r="B19" s="0" t="n">
        <v>18</v>
      </c>
      <c r="C19" s="0" t="n">
        <v>725414.42578125</v>
      </c>
      <c r="D19" s="0" t="n">
        <v>-1408895.336601916</v>
      </c>
      <c r="E19" s="0" t="n">
        <v>0.0001549121377447656</v>
      </c>
      <c r="F19" s="0" t="n">
        <v>0.0001551446559739055</v>
      </c>
      <c r="G19" s="0" t="n">
        <v>-2.325182291399331e-07</v>
      </c>
      <c r="H19" s="0" t="b">
        <v>1</v>
      </c>
    </row>
    <row r="20">
      <c r="A20" s="0" t="n">
        <v>88</v>
      </c>
      <c r="B20" s="0" t="n">
        <v>19</v>
      </c>
      <c r="C20" s="0" t="n">
        <v>725630.42578125</v>
      </c>
      <c r="D20" s="0" t="n">
        <v>3245830.938374662</v>
      </c>
      <c r="E20" s="0" t="n">
        <v>0.000155678433906497</v>
      </c>
      <c r="F20" s="0" t="n">
        <v>0.0001551446559739055</v>
      </c>
      <c r="G20" s="0" t="n">
        <v>5.337779325914626e-07</v>
      </c>
      <c r="H20" s="0" t="b">
        <v>0</v>
      </c>
    </row>
    <row r="21">
      <c r="A21" s="0" t="n">
        <v>88</v>
      </c>
      <c r="B21" s="0" t="n">
        <v>20</v>
      </c>
      <c r="C21" s="0" t="n">
        <v>725522.42578125</v>
      </c>
      <c r="D21" s="0" t="n">
        <v>911736.4277207793</v>
      </c>
      <c r="E21" s="0" t="n">
        <v>0.0001552948575835931</v>
      </c>
      <c r="F21" s="0" t="n">
        <v>0.0001551446559739055</v>
      </c>
      <c r="G21" s="0" t="n">
        <v>1.502016096875528e-07</v>
      </c>
      <c r="H21" s="0" t="b">
        <v>0</v>
      </c>
    </row>
    <row r="22">
      <c r="A22" s="0" t="n">
        <v>88</v>
      </c>
      <c r="B22" s="0" t="n">
        <v>21</v>
      </c>
      <c r="C22" s="0" t="n">
        <v>725392.82578125</v>
      </c>
      <c r="D22" s="0" t="n">
        <v>-1871478.604019077</v>
      </c>
      <c r="E22" s="0" t="n">
        <v>0.0001548356847323999</v>
      </c>
      <c r="F22" s="0" t="n">
        <v>0.0001551446559739055</v>
      </c>
      <c r="G22" s="0" t="n">
        <v>-3.08971241505567e-07</v>
      </c>
      <c r="H22" s="0" t="b">
        <v>1</v>
      </c>
    </row>
    <row r="23">
      <c r="A23" s="0" t="n">
        <v>88</v>
      </c>
      <c r="B23" s="0" t="n">
        <v>22</v>
      </c>
      <c r="C23" s="0" t="n">
        <v>725457.6257812501</v>
      </c>
      <c r="D23" s="0" t="n">
        <v>-482274.5168705246</v>
      </c>
      <c r="E23" s="0" t="n">
        <v>0.0001550651200914123</v>
      </c>
      <c r="F23" s="0" t="n">
        <v>0.0001551446559739055</v>
      </c>
      <c r="G23" s="0" t="n">
        <v>-7.953588249316225e-08</v>
      </c>
      <c r="H23" s="0" t="b">
        <v>1</v>
      </c>
    </row>
    <row r="24">
      <c r="A24" s="0" t="n">
        <v>88</v>
      </c>
      <c r="B24" s="0" t="n">
        <v>23</v>
      </c>
      <c r="C24" s="0" t="n">
        <v>725522.4257812501</v>
      </c>
      <c r="D24" s="0" t="n">
        <v>911736.4277207793</v>
      </c>
      <c r="E24" s="0" t="n">
        <v>0.0001552948575835931</v>
      </c>
      <c r="F24" s="0" t="n">
        <v>0.0001551446559739055</v>
      </c>
      <c r="G24" s="0" t="n">
        <v>1.502016096875528e-07</v>
      </c>
      <c r="H24" s="0" t="b">
        <v>0</v>
      </c>
    </row>
    <row r="25">
      <c r="A25" s="0" t="n">
        <v>88</v>
      </c>
      <c r="B25" s="0" t="n">
        <v>24</v>
      </c>
      <c r="C25" s="0" t="n">
        <v>725490.0257812501</v>
      </c>
      <c r="D25" s="0" t="n">
        <v>214179.1422594013</v>
      </c>
      <c r="E25" s="0" t="n">
        <v>0.0001551799591746314</v>
      </c>
      <c r="F25" s="0" t="n">
        <v>0.0001551446559739055</v>
      </c>
      <c r="G25" s="0" t="n">
        <v>3.530320072592848e-08</v>
      </c>
      <c r="H25" s="0" t="b">
        <v>0</v>
      </c>
    </row>
    <row r="26">
      <c r="A26" s="0" t="n">
        <v>88</v>
      </c>
      <c r="B26" s="0" t="n">
        <v>25</v>
      </c>
      <c r="C26" s="0" t="n">
        <v>725506.22578125</v>
      </c>
      <c r="D26" s="0" t="n">
        <v>562832.1734932208</v>
      </c>
      <c r="E26" s="0" t="n">
        <v>0.000155237402995684</v>
      </c>
      <c r="F26" s="0" t="n">
        <v>0.0001551446559739055</v>
      </c>
      <c r="G26" s="0" t="n">
        <v>9.274702177854035e-08</v>
      </c>
      <c r="H26" s="0" t="b">
        <v>0</v>
      </c>
    </row>
    <row r="27">
      <c r="A27" s="0" t="n">
        <v>88</v>
      </c>
      <c r="B27" s="0" t="n">
        <v>26</v>
      </c>
      <c r="C27" s="0" t="n">
        <v>725525.66578125</v>
      </c>
      <c r="D27" s="0" t="n">
        <v>981612.6393699583</v>
      </c>
      <c r="E27" s="0" t="n">
        <v>0.0001553063605287655</v>
      </c>
      <c r="F27" s="0" t="n">
        <v>0.0001551446559739055</v>
      </c>
      <c r="G27" s="0" t="n">
        <v>1.617045548599704e-07</v>
      </c>
      <c r="H27" s="0" t="b">
        <v>0</v>
      </c>
    </row>
    <row r="28">
      <c r="A28" s="0" t="n">
        <v>88</v>
      </c>
      <c r="B28" s="0" t="n">
        <v>27</v>
      </c>
      <c r="C28" s="0" t="n">
        <v>725515.94578125</v>
      </c>
      <c r="D28" s="0" t="n">
        <v>772168.2872082413</v>
      </c>
      <c r="E28" s="0" t="n">
        <v>0.0001552718783597293</v>
      </c>
      <c r="F28" s="0" t="n">
        <v>0.0001551446559739055</v>
      </c>
      <c r="G28" s="0" t="n">
        <v>1.27222385823834e-07</v>
      </c>
      <c r="H28" s="0" t="b">
        <v>0</v>
      </c>
    </row>
    <row r="29">
      <c r="A29" s="0" t="n">
        <v>88</v>
      </c>
      <c r="B29" s="0" t="n">
        <v>28</v>
      </c>
      <c r="C29" s="0" t="n">
        <v>725504.28178125</v>
      </c>
      <c r="D29" s="0" t="n">
        <v>520977.9380286352</v>
      </c>
      <c r="E29" s="0" t="n">
        <v>0.0001552305087393552</v>
      </c>
      <c r="F29" s="0" t="n">
        <v>0.0001551446559739055</v>
      </c>
      <c r="G29" s="0" t="n">
        <v>8.585276544968213e-08</v>
      </c>
      <c r="H29" s="0" t="b">
        <v>0</v>
      </c>
    </row>
    <row r="30">
      <c r="A30" s="0" t="n">
        <v>88</v>
      </c>
      <c r="B30" s="0" t="n">
        <v>29</v>
      </c>
      <c r="C30" s="0" t="n">
        <v>725510.1137812501</v>
      </c>
      <c r="D30" s="0" t="n">
        <v>646553.6312146342</v>
      </c>
      <c r="E30" s="0" t="n">
        <v>0.0001552511923247695</v>
      </c>
      <c r="F30" s="0" t="n">
        <v>0.0001551446559739055</v>
      </c>
      <c r="G30" s="0" t="n">
        <v>1.065363508639657e-07</v>
      </c>
      <c r="H30" s="0" t="b">
        <v>0</v>
      </c>
    </row>
    <row r="31">
      <c r="A31" s="0" t="n">
        <v>88</v>
      </c>
      <c r="B31" s="0" t="n">
        <v>30</v>
      </c>
      <c r="C31" s="0" t="n">
        <v>725517.1121812501</v>
      </c>
      <c r="D31" s="0" t="n">
        <v>797246.5098653885</v>
      </c>
      <c r="E31" s="0" t="n">
        <v>0.0001552760077292394</v>
      </c>
      <c r="F31" s="0" t="n">
        <v>0.0001551446559739055</v>
      </c>
      <c r="G31" s="0" t="n">
        <v>1.313517553339018e-07</v>
      </c>
      <c r="H31" s="0" t="b">
        <v>0</v>
      </c>
    </row>
    <row r="32">
      <c r="A32" s="0" t="n">
        <v>88</v>
      </c>
      <c r="B32" s="0" t="n">
        <v>31</v>
      </c>
      <c r="C32" s="0" t="n">
        <v>725513.6129812502</v>
      </c>
      <c r="D32" s="0" t="n">
        <v>721917.7490928518</v>
      </c>
      <c r="E32" s="0" t="n">
        <v>0.000155263603651786</v>
      </c>
      <c r="F32" s="0" t="n">
        <v>0.0001551446559739055</v>
      </c>
      <c r="G32" s="0" t="n">
        <v>1.189476778804932e-07</v>
      </c>
      <c r="H32" s="0" t="b">
        <v>0</v>
      </c>
    </row>
    <row r="33">
      <c r="A33" s="0" t="n">
        <v>89</v>
      </c>
      <c r="B33" s="0" t="n">
        <v>1</v>
      </c>
      <c r="C33" s="0" t="n">
        <v>6050000</v>
      </c>
      <c r="D33" s="0" t="n">
        <v>9.258131994631267e+16</v>
      </c>
      <c r="E33" s="0" t="n">
        <v>536.8709220000001</v>
      </c>
      <c r="F33" s="0" t="n">
        <v>0.0001544960714454646</v>
      </c>
      <c r="G33" s="0" t="n">
        <v>536.8707675039286</v>
      </c>
      <c r="H33" s="0" t="b">
        <v>0</v>
      </c>
    </row>
    <row r="34">
      <c r="A34" s="0" t="n">
        <v>89</v>
      </c>
      <c r="B34" s="0" t="n">
        <v>2</v>
      </c>
      <c r="C34" s="0" t="n">
        <v>3075000</v>
      </c>
      <c r="D34" s="0" t="n">
        <v>1.453810497984777e+16</v>
      </c>
      <c r="E34" s="0" t="n">
        <v>105.2543869349924</v>
      </c>
      <c r="F34" s="0" t="n">
        <v>0.0001544960714312538</v>
      </c>
      <c r="G34" s="0" t="n">
        <v>105.254232438921</v>
      </c>
      <c r="H34" s="0" t="b">
        <v>0</v>
      </c>
    </row>
    <row r="35">
      <c r="A35" s="0" t="n">
        <v>89</v>
      </c>
      <c r="B35" s="0" t="n">
        <v>3</v>
      </c>
      <c r="C35" s="0" t="n">
        <v>1587500</v>
      </c>
      <c r="D35" s="0" t="n">
        <v>215813199249.8083</v>
      </c>
      <c r="E35" s="0" t="n">
        <v>0.008895822493707304</v>
      </c>
      <c r="F35" s="0" t="n">
        <v>0.0001544960714259091</v>
      </c>
      <c r="G35" s="0" t="n">
        <v>0.008741326422281395</v>
      </c>
      <c r="H35" s="0" t="b">
        <v>0</v>
      </c>
    </row>
    <row r="36">
      <c r="A36" s="0" t="n">
        <v>89</v>
      </c>
      <c r="B36" s="0" t="n">
        <v>4</v>
      </c>
      <c r="C36" s="0" t="n">
        <v>843750</v>
      </c>
      <c r="D36" s="0" t="n">
        <v>35093.025781845</v>
      </c>
      <c r="E36" s="0" t="n">
        <v>2.167977970407295e-06</v>
      </c>
      <c r="F36" s="0" t="n">
        <v>0.0001544960714259097</v>
      </c>
      <c r="G36" s="0" t="n">
        <v>-0.0001523280934555024</v>
      </c>
      <c r="H36" s="0" t="b">
        <v>1</v>
      </c>
    </row>
    <row r="37">
      <c r="A37" s="0" t="n">
        <v>89</v>
      </c>
      <c r="B37" s="0" t="n">
        <v>5</v>
      </c>
      <c r="C37" s="0" t="n">
        <v>1215625</v>
      </c>
      <c r="D37" s="0" t="n">
        <v>498147437.1198028</v>
      </c>
      <c r="E37" s="0" t="n">
        <v>0.0002203884929459224</v>
      </c>
      <c r="F37" s="0" t="n">
        <v>0.0001544960714259097</v>
      </c>
      <c r="G37" s="0" t="n">
        <v>6.589242152001278e-05</v>
      </c>
      <c r="H37" s="0" t="b">
        <v>0</v>
      </c>
    </row>
    <row r="38">
      <c r="A38" s="0" t="n">
        <v>89</v>
      </c>
      <c r="B38" s="0" t="n">
        <v>6</v>
      </c>
      <c r="C38" s="0" t="n">
        <v>1029687.5</v>
      </c>
      <c r="D38" s="0" t="n">
        <v>76361.29408888053</v>
      </c>
      <c r="E38" s="0" t="n">
        <v>2.144917182815038e-05</v>
      </c>
      <c r="F38" s="0" t="n">
        <v>0.0001544960714259097</v>
      </c>
      <c r="G38" s="0" t="n">
        <v>-0.0001330468995977593</v>
      </c>
      <c r="H38" s="0" t="b">
        <v>1</v>
      </c>
    </row>
    <row r="39">
      <c r="A39" s="0" t="n">
        <v>89</v>
      </c>
      <c r="B39" s="0" t="n">
        <v>7</v>
      </c>
      <c r="C39" s="0" t="n">
        <v>1122656.25</v>
      </c>
      <c r="D39" s="0" t="n">
        <v>-1556258.357824466</v>
      </c>
      <c r="E39" s="0" t="n">
        <v>6.227546128331875e-05</v>
      </c>
      <c r="F39" s="0" t="n">
        <v>0.0001544960714259097</v>
      </c>
      <c r="G39" s="0" t="n">
        <v>-9.222061014259091e-05</v>
      </c>
      <c r="H39" s="0" t="b">
        <v>1</v>
      </c>
    </row>
    <row r="40">
      <c r="A40" s="0" t="n">
        <v>89</v>
      </c>
      <c r="B40" s="0" t="n">
        <v>8</v>
      </c>
      <c r="C40" s="0" t="n">
        <v>1169140.625</v>
      </c>
      <c r="D40" s="0" t="n">
        <v>-168903966.5538253</v>
      </c>
      <c r="E40" s="0" t="n">
        <v>0.0001199218456804609</v>
      </c>
      <c r="F40" s="0" t="n">
        <v>0.0001544960714259097</v>
      </c>
      <c r="G40" s="0" t="n">
        <v>-3.457422574544878e-05</v>
      </c>
      <c r="H40" s="0" t="b">
        <v>1</v>
      </c>
    </row>
    <row r="41">
      <c r="A41" s="0" t="n">
        <v>89</v>
      </c>
      <c r="B41" s="0" t="n">
        <v>9</v>
      </c>
      <c r="C41" s="0" t="n">
        <v>1192382.8125</v>
      </c>
      <c r="D41" s="0" t="n">
        <v>56812885.67488623</v>
      </c>
      <c r="E41" s="0" t="n">
        <v>0.0001634653804896401</v>
      </c>
      <c r="F41" s="0" t="n">
        <v>0.0001544960714259097</v>
      </c>
      <c r="G41" s="0" t="n">
        <v>8.969309063730475e-06</v>
      </c>
      <c r="H41" s="0" t="b">
        <v>0</v>
      </c>
    </row>
    <row r="42">
      <c r="A42" s="0" t="n">
        <v>89</v>
      </c>
      <c r="B42" s="0" t="n">
        <v>10</v>
      </c>
      <c r="C42" s="0" t="n">
        <v>1180761.71875</v>
      </c>
      <c r="D42" s="0" t="n">
        <v>-80751503.68253976</v>
      </c>
      <c r="E42" s="0" t="n">
        <v>0.0001402084094277025</v>
      </c>
      <c r="F42" s="0" t="n">
        <v>0.0001544960714259097</v>
      </c>
      <c r="G42" s="0" t="n">
        <v>-1.428766199820713e-05</v>
      </c>
      <c r="H42" s="0" t="b">
        <v>1</v>
      </c>
    </row>
    <row r="43">
      <c r="A43" s="0" t="n">
        <v>89</v>
      </c>
      <c r="B43" s="0" t="n">
        <v>11</v>
      </c>
      <c r="C43" s="0" t="n">
        <v>1186572.265625</v>
      </c>
      <c r="D43" s="0" t="n">
        <v>-18314995.71646139</v>
      </c>
      <c r="E43" s="0" t="n">
        <v>0.0001514440997963488</v>
      </c>
      <c r="F43" s="0" t="n">
        <v>0.0001544960714259097</v>
      </c>
      <c r="G43" s="0" t="n">
        <v>-3.051971629560807e-06</v>
      </c>
      <c r="H43" s="0" t="b">
        <v>1</v>
      </c>
    </row>
    <row r="44">
      <c r="A44" s="0" t="n">
        <v>89</v>
      </c>
      <c r="B44" s="0" t="n">
        <v>12</v>
      </c>
      <c r="C44" s="0" t="n">
        <v>1189477.5390625</v>
      </c>
      <c r="D44" s="0" t="n">
        <v>17631100.67001849</v>
      </c>
      <c r="E44" s="0" t="n">
        <v>0.0001573539104105879</v>
      </c>
      <c r="F44" s="0" t="n">
        <v>0.0001544960714259097</v>
      </c>
      <c r="G44" s="0" t="n">
        <v>2.857838984678243e-06</v>
      </c>
      <c r="H44" s="0" t="b">
        <v>0</v>
      </c>
    </row>
    <row r="45">
      <c r="A45" s="0" t="n">
        <v>89</v>
      </c>
      <c r="B45" s="0" t="n">
        <v>13</v>
      </c>
      <c r="C45" s="0" t="n">
        <v>1188024.90234375</v>
      </c>
      <c r="D45" s="0" t="n">
        <v>-741414.3427298504</v>
      </c>
      <c r="E45" s="0" t="n">
        <v>0.0001543742422059037</v>
      </c>
      <c r="F45" s="0" t="n">
        <v>0.0001544960714259097</v>
      </c>
      <c r="G45" s="0" t="n">
        <v>-1.218292200059546e-07</v>
      </c>
      <c r="H45" s="0" t="b">
        <v>1</v>
      </c>
    </row>
    <row r="46">
      <c r="A46" s="0" t="n">
        <v>89</v>
      </c>
      <c r="B46" s="0" t="n">
        <v>14</v>
      </c>
      <c r="C46" s="0" t="n">
        <v>1188524.90234375</v>
      </c>
      <c r="D46" s="0" t="n">
        <v>5492381.132695254</v>
      </c>
      <c r="E46" s="0" t="n">
        <v>0.0001553943116914671</v>
      </c>
      <c r="F46" s="0" t="n">
        <v>0.0001544960714259097</v>
      </c>
      <c r="G46" s="0" t="n">
        <v>8.982402655574129e-07</v>
      </c>
      <c r="H46" s="0" t="b">
        <v>0</v>
      </c>
    </row>
    <row r="47">
      <c r="A47" s="0" t="n">
        <v>89</v>
      </c>
      <c r="B47" s="0" t="n">
        <v>15</v>
      </c>
      <c r="C47" s="0" t="n">
        <v>1188274.90234375</v>
      </c>
      <c r="D47" s="0" t="n">
        <v>2363536.986784006</v>
      </c>
      <c r="E47" s="0" t="n">
        <v>0.0001548835265300368</v>
      </c>
      <c r="F47" s="0" t="n">
        <v>0.0001544960714259097</v>
      </c>
      <c r="G47" s="0" t="n">
        <v>3.874551041271759e-07</v>
      </c>
      <c r="H47" s="0" t="b">
        <v>0</v>
      </c>
    </row>
    <row r="48">
      <c r="A48" s="0" t="n">
        <v>89</v>
      </c>
      <c r="B48" s="0" t="n">
        <v>16</v>
      </c>
      <c r="C48" s="0" t="n">
        <v>1187974.90234375</v>
      </c>
      <c r="D48" s="0" t="n">
        <v>-1359566.544623367</v>
      </c>
      <c r="E48" s="0" t="n">
        <v>0.0001542725610004394</v>
      </c>
      <c r="F48" s="0" t="n">
        <v>0.0001544960714259097</v>
      </c>
      <c r="G48" s="0" t="n">
        <v>-2.235104254702698e-07</v>
      </c>
      <c r="H48" s="0" t="b">
        <v>1</v>
      </c>
    </row>
    <row r="49">
      <c r="A49" s="0" t="n">
        <v>89</v>
      </c>
      <c r="B49" s="0" t="n">
        <v>17</v>
      </c>
      <c r="C49" s="0" t="n">
        <v>1188124.90234375</v>
      </c>
      <c r="D49" s="0" t="n">
        <v>497681.62815753</v>
      </c>
      <c r="E49" s="0" t="n">
        <v>0.0001545777727266434</v>
      </c>
      <c r="F49" s="0" t="n">
        <v>0.0001544960714259097</v>
      </c>
      <c r="G49" s="0" t="n">
        <v>8.170130073374107e-08</v>
      </c>
      <c r="H49" s="0" t="b">
        <v>0</v>
      </c>
    </row>
    <row r="50">
      <c r="A50" s="0" t="n">
        <v>89</v>
      </c>
      <c r="B50" s="0" t="n">
        <v>18</v>
      </c>
      <c r="C50" s="0" t="n">
        <v>1188304.90234375</v>
      </c>
      <c r="D50" s="0" t="n">
        <v>2737734.978859003</v>
      </c>
      <c r="E50" s="0" t="n">
        <v>0.000154944741293163</v>
      </c>
      <c r="F50" s="0" t="n">
        <v>0.0001544960714259097</v>
      </c>
      <c r="G50" s="0" t="n">
        <v>4.486698672533345e-07</v>
      </c>
      <c r="H50" s="0" t="b">
        <v>0</v>
      </c>
    </row>
    <row r="51">
      <c r="A51" s="0" t="n">
        <v>89</v>
      </c>
      <c r="B51" s="0" t="n">
        <v>19</v>
      </c>
      <c r="C51" s="0" t="n">
        <v>1188214.90234375</v>
      </c>
      <c r="D51" s="0" t="n">
        <v>1616225.194764021</v>
      </c>
      <c r="E51" s="0" t="n">
        <v>0.0001547611703698368</v>
      </c>
      <c r="F51" s="0" t="n">
        <v>0.0001544960714259097</v>
      </c>
      <c r="G51" s="0" t="n">
        <v>2.650989439271871e-07</v>
      </c>
      <c r="H51" s="0" t="b">
        <v>0</v>
      </c>
    </row>
    <row r="52">
      <c r="A52" s="0" t="n">
        <v>89</v>
      </c>
      <c r="B52" s="0" t="n">
        <v>20</v>
      </c>
      <c r="C52" s="0" t="n">
        <v>1188106.90234375</v>
      </c>
      <c r="D52" s="0" t="n">
        <v>274353.7756153719</v>
      </c>
      <c r="E52" s="0" t="n">
        <v>0.000154541118087958</v>
      </c>
      <c r="F52" s="0" t="n">
        <v>0.0001544960714259097</v>
      </c>
      <c r="G52" s="0" t="n">
        <v>4.504666204836099e-08</v>
      </c>
      <c r="H52" s="0" t="b">
        <v>0</v>
      </c>
    </row>
    <row r="53">
      <c r="A53" s="0" t="n">
        <v>89</v>
      </c>
      <c r="B53" s="0" t="n">
        <v>21</v>
      </c>
      <c r="C53" s="0" t="n">
        <v>1188160.90234375</v>
      </c>
      <c r="D53" s="0" t="n">
        <v>944763.6703578079</v>
      </c>
      <c r="E53" s="0" t="n">
        <v>0.0001546511143575303</v>
      </c>
      <c r="F53" s="0" t="n">
        <v>0.0001544960714259097</v>
      </c>
      <c r="G53" s="0" t="n">
        <v>1.55042931620689e-07</v>
      </c>
      <c r="H53" s="0" t="b">
        <v>0</v>
      </c>
    </row>
    <row r="54">
      <c r="A54" s="0" t="n">
        <v>89</v>
      </c>
      <c r="B54" s="0" t="n">
        <v>22</v>
      </c>
      <c r="C54" s="0" t="n">
        <v>1188225.70234375</v>
      </c>
      <c r="D54" s="0" t="n">
        <v>1750593.49266946</v>
      </c>
      <c r="E54" s="0" t="n">
        <v>0.0001547831805181909</v>
      </c>
      <c r="F54" s="0" t="n">
        <v>0.0001544960714259097</v>
      </c>
      <c r="G54" s="0" t="n">
        <v>2.871090922812079e-07</v>
      </c>
      <c r="H54" s="0" t="b">
        <v>0</v>
      </c>
    </row>
    <row r="55">
      <c r="A55" s="0" t="n">
        <v>89</v>
      </c>
      <c r="B55" s="0" t="n">
        <v>23</v>
      </c>
      <c r="C55" s="0" t="n">
        <v>1188193.30234375</v>
      </c>
      <c r="D55" s="0" t="n">
        <v>1347507.541317884</v>
      </c>
      <c r="E55" s="0" t="n">
        <v>0.0001547171396739436</v>
      </c>
      <c r="F55" s="0" t="n">
        <v>0.0001544960714259097</v>
      </c>
      <c r="G55" s="0" t="n">
        <v>2.210682480339706e-07</v>
      </c>
      <c r="H55" s="0" t="b">
        <v>0</v>
      </c>
    </row>
    <row r="56">
      <c r="A56" s="0" t="n">
        <v>89</v>
      </c>
      <c r="B56" s="0" t="n">
        <v>24</v>
      </c>
      <c r="C56" s="0" t="n">
        <v>1188154.42234375</v>
      </c>
      <c r="D56" s="0" t="n">
        <v>864262.7846610183</v>
      </c>
      <c r="E56" s="0" t="n">
        <v>0.0001546379122783973</v>
      </c>
      <c r="F56" s="0" t="n">
        <v>0.0001544960714259097</v>
      </c>
      <c r="G56" s="0" t="n">
        <v>1.418408524875975e-07</v>
      </c>
      <c r="H56" s="0" t="b">
        <v>0</v>
      </c>
    </row>
    <row r="57">
      <c r="A57" s="0" t="n">
        <v>89</v>
      </c>
      <c r="B57" s="0" t="n">
        <v>25</v>
      </c>
      <c r="C57" s="0" t="n">
        <v>1188173.86234375</v>
      </c>
      <c r="D57" s="0" t="n">
        <v>1105756.368246277</v>
      </c>
      <c r="E57" s="0" t="n">
        <v>0.0001546775121612824</v>
      </c>
      <c r="F57" s="0" t="n">
        <v>0.0001544960714259097</v>
      </c>
      <c r="G57" s="0" t="n">
        <v>1.814407353727078e-07</v>
      </c>
      <c r="H57" s="0" t="b">
        <v>0</v>
      </c>
    </row>
    <row r="58">
      <c r="A58" s="0" t="n">
        <v>89</v>
      </c>
      <c r="B58" s="0" t="n">
        <v>26</v>
      </c>
      <c r="C58" s="0" t="n">
        <v>1188197.19034375</v>
      </c>
      <c r="D58" s="0" t="n">
        <v>1395863.626238864</v>
      </c>
      <c r="E58" s="0" t="n">
        <v>0.0001547250643832722</v>
      </c>
      <c r="F58" s="0" t="n">
        <v>0.0001544960714259097</v>
      </c>
      <c r="G58" s="0" t="n">
        <v>2.289929573625043e-07</v>
      </c>
      <c r="H58" s="0" t="b">
        <v>0</v>
      </c>
    </row>
    <row r="59">
      <c r="A59" s="0" t="n">
        <v>89</v>
      </c>
      <c r="B59" s="0" t="n">
        <v>27</v>
      </c>
      <c r="C59" s="0" t="n">
        <v>1188185.52634375</v>
      </c>
      <c r="D59" s="0" t="n">
        <v>1250755.631681987</v>
      </c>
      <c r="E59" s="0" t="n">
        <v>0.0001547012819896652</v>
      </c>
      <c r="F59" s="0" t="n">
        <v>0.0001544960714259097</v>
      </c>
      <c r="G59" s="0" t="n">
        <v>2.052105637555344e-07</v>
      </c>
      <c r="H59" s="0" t="b">
        <v>0</v>
      </c>
    </row>
    <row r="60">
      <c r="A60" s="0" t="n">
        <v>89</v>
      </c>
      <c r="B60" s="0" t="n">
        <v>28</v>
      </c>
      <c r="C60" s="0" t="n">
        <v>1188171.52954375</v>
      </c>
      <c r="D60" s="0" t="n">
        <v>1076762.722262119</v>
      </c>
      <c r="E60" s="0" t="n">
        <v>0.0001546727585823817</v>
      </c>
      <c r="F60" s="0" t="n">
        <v>0.0001544960714259097</v>
      </c>
      <c r="G60" s="0" t="n">
        <v>1.766871564720565e-07</v>
      </c>
      <c r="H60" s="0" t="b">
        <v>0</v>
      </c>
    </row>
    <row r="61">
      <c r="A61" s="0" t="n">
        <v>89</v>
      </c>
      <c r="B61" s="0" t="n">
        <v>29</v>
      </c>
      <c r="C61" s="0" t="n">
        <v>1188178.52794375</v>
      </c>
      <c r="D61" s="0" t="n">
        <v>1163806.835647776</v>
      </c>
      <c r="E61" s="0" t="n">
        <v>0.0001546870290449973</v>
      </c>
      <c r="F61" s="0" t="n">
        <v>0.0001544960714259097</v>
      </c>
      <c r="G61" s="0" t="n">
        <v>1.909576190876883e-07</v>
      </c>
      <c r="H61" s="0" t="b">
        <v>0</v>
      </c>
    </row>
    <row r="62">
      <c r="A62" s="0" t="n">
        <v>89</v>
      </c>
      <c r="B62" s="0" t="n">
        <v>30</v>
      </c>
      <c r="C62" s="0" t="n">
        <v>1188186.92602375</v>
      </c>
      <c r="D62" s="0" t="n">
        <v>1268159.01911671</v>
      </c>
      <c r="E62" s="0" t="n">
        <v>0.0001547041345856661</v>
      </c>
      <c r="F62" s="0" t="n">
        <v>0.0001544960714259097</v>
      </c>
      <c r="G62" s="0" t="n">
        <v>2.080631597564458e-07</v>
      </c>
      <c r="H62" s="0" t="b">
        <v>0</v>
      </c>
    </row>
    <row r="63">
      <c r="A63" s="0" t="n">
        <v>89</v>
      </c>
      <c r="B63" s="0" t="n">
        <v>31</v>
      </c>
      <c r="C63" s="0" t="n">
        <v>1188182.72698375</v>
      </c>
      <c r="D63" s="0" t="n">
        <v>1216008.068266474</v>
      </c>
      <c r="E63" s="0" t="n">
        <v>0.0001546955862766397</v>
      </c>
      <c r="F63" s="0" t="n">
        <v>0.0001544960714259097</v>
      </c>
      <c r="G63" s="0" t="n">
        <v>1.995148507300177e-07</v>
      </c>
      <c r="H63" s="0" t="b">
        <v>0</v>
      </c>
    </row>
    <row r="64">
      <c r="A64" s="0" t="n">
        <v>89</v>
      </c>
      <c r="B64" s="0" t="n">
        <v>32</v>
      </c>
      <c r="C64" s="0" t="n">
        <v>1188177.68813575</v>
      </c>
      <c r="D64" s="0" t="n">
        <v>1153310.426349834</v>
      </c>
      <c r="E64" s="0" t="n">
        <v>0.000154685308309773</v>
      </c>
      <c r="F64" s="0" t="n">
        <v>0.0001544960714259097</v>
      </c>
      <c r="G64" s="0" t="n">
        <v>1.892368838633221e-07</v>
      </c>
      <c r="H64" s="0" t="b">
        <v>0</v>
      </c>
    </row>
    <row r="65">
      <c r="A65" s="0" t="n">
        <v>89</v>
      </c>
      <c r="B65" s="0" t="n">
        <v>33</v>
      </c>
      <c r="C65" s="0" t="n">
        <v>1188180.20755975</v>
      </c>
      <c r="D65" s="0" t="n">
        <v>1184629.55217652</v>
      </c>
      <c r="E65" s="0" t="n">
        <v>0.0001546904425481409</v>
      </c>
      <c r="F65" s="0" t="n">
        <v>0.0001544960714259097</v>
      </c>
      <c r="G65" s="0" t="n">
        <v>1.943711222312182e-07</v>
      </c>
      <c r="H65" s="0" t="b">
        <v>0</v>
      </c>
    </row>
    <row r="66">
      <c r="A66" s="0" t="n">
        <v>90</v>
      </c>
      <c r="B66" s="0" t="n">
        <v>1</v>
      </c>
      <c r="C66" s="0" t="n">
        <v>6050000</v>
      </c>
      <c r="D66" s="0" t="n">
        <v>9.258131994631267e+16</v>
      </c>
      <c r="E66" s="0" t="n">
        <v>536.8709220000001</v>
      </c>
      <c r="F66" s="0" t="n">
        <v>0.0001544960714454646</v>
      </c>
      <c r="G66" s="0" t="n">
        <v>536.8707675039286</v>
      </c>
      <c r="H66" s="0" t="b">
        <v>0</v>
      </c>
    </row>
    <row r="67">
      <c r="A67" s="0" t="n">
        <v>90</v>
      </c>
      <c r="B67" s="0" t="n">
        <v>2</v>
      </c>
      <c r="C67" s="0" t="n">
        <v>3075000</v>
      </c>
      <c r="D67" s="0" t="n">
        <v>1.453810497984777e+16</v>
      </c>
      <c r="E67" s="0" t="n">
        <v>105.2543869349924</v>
      </c>
      <c r="F67" s="0" t="n">
        <v>0.0001544960714312538</v>
      </c>
      <c r="G67" s="0" t="n">
        <v>105.254232438921</v>
      </c>
      <c r="H67" s="0" t="b">
        <v>0</v>
      </c>
    </row>
    <row r="68">
      <c r="A68" s="0" t="n">
        <v>90</v>
      </c>
      <c r="B68" s="0" t="n">
        <v>3</v>
      </c>
      <c r="C68" s="0" t="n">
        <v>1587500</v>
      </c>
      <c r="D68" s="0" t="n">
        <v>215813199249.8083</v>
      </c>
      <c r="E68" s="0" t="n">
        <v>0.008895822493707304</v>
      </c>
      <c r="F68" s="0" t="n">
        <v>0.0001544960714259091</v>
      </c>
      <c r="G68" s="0" t="n">
        <v>0.008741326422281395</v>
      </c>
      <c r="H68" s="0" t="b">
        <v>0</v>
      </c>
    </row>
    <row r="69">
      <c r="A69" s="0" t="n">
        <v>90</v>
      </c>
      <c r="B69" s="0" t="n">
        <v>4</v>
      </c>
      <c r="C69" s="0" t="n">
        <v>843750</v>
      </c>
      <c r="D69" s="0" t="n">
        <v>35093.025781845</v>
      </c>
      <c r="E69" s="0" t="n">
        <v>2.167977970407295e-06</v>
      </c>
      <c r="F69" s="0" t="n">
        <v>0.0001544960714259097</v>
      </c>
      <c r="G69" s="0" t="n">
        <v>-0.0001523280934555024</v>
      </c>
      <c r="H69" s="0" t="b">
        <v>1</v>
      </c>
    </row>
    <row r="70">
      <c r="A70" s="0" t="n">
        <v>90</v>
      </c>
      <c r="B70" s="0" t="n">
        <v>5</v>
      </c>
      <c r="C70" s="0" t="n">
        <v>1215625</v>
      </c>
      <c r="D70" s="0" t="n">
        <v>498147437.1198028</v>
      </c>
      <c r="E70" s="0" t="n">
        <v>0.0002203884929459224</v>
      </c>
      <c r="F70" s="0" t="n">
        <v>0.0001544960714259097</v>
      </c>
      <c r="G70" s="0" t="n">
        <v>6.589242152001278e-05</v>
      </c>
      <c r="H70" s="0" t="b">
        <v>0</v>
      </c>
    </row>
    <row r="71">
      <c r="A71" s="0" t="n">
        <v>90</v>
      </c>
      <c r="B71" s="0" t="n">
        <v>6</v>
      </c>
      <c r="C71" s="0" t="n">
        <v>1029687.5</v>
      </c>
      <c r="D71" s="0" t="n">
        <v>76361.29408888053</v>
      </c>
      <c r="E71" s="0" t="n">
        <v>2.144917182815038e-05</v>
      </c>
      <c r="F71" s="0" t="n">
        <v>0.0001544960714259097</v>
      </c>
      <c r="G71" s="0" t="n">
        <v>-0.0001330468995977593</v>
      </c>
      <c r="H71" s="0" t="b">
        <v>1</v>
      </c>
    </row>
    <row r="72">
      <c r="A72" s="0" t="n">
        <v>90</v>
      </c>
      <c r="B72" s="0" t="n">
        <v>7</v>
      </c>
      <c r="C72" s="0" t="n">
        <v>1122656.25</v>
      </c>
      <c r="D72" s="0" t="n">
        <v>-1556258.357824466</v>
      </c>
      <c r="E72" s="0" t="n">
        <v>6.227546128331875e-05</v>
      </c>
      <c r="F72" s="0" t="n">
        <v>0.0001544960714259097</v>
      </c>
      <c r="G72" s="0" t="n">
        <v>-9.222061014259091e-05</v>
      </c>
      <c r="H72" s="0" t="b">
        <v>1</v>
      </c>
    </row>
    <row r="73">
      <c r="A73" s="0" t="n">
        <v>90</v>
      </c>
      <c r="B73" s="0" t="n">
        <v>8</v>
      </c>
      <c r="C73" s="0" t="n">
        <v>1169140.625</v>
      </c>
      <c r="D73" s="0" t="n">
        <v>-168903966.5538253</v>
      </c>
      <c r="E73" s="0" t="n">
        <v>0.0001199218456804609</v>
      </c>
      <c r="F73" s="0" t="n">
        <v>0.0001544960714259097</v>
      </c>
      <c r="G73" s="0" t="n">
        <v>-3.457422574544878e-05</v>
      </c>
      <c r="H73" s="0" t="b">
        <v>1</v>
      </c>
    </row>
    <row r="74">
      <c r="A74" s="0" t="n">
        <v>90</v>
      </c>
      <c r="B74" s="0" t="n">
        <v>9</v>
      </c>
      <c r="C74" s="0" t="n">
        <v>1192382.8125</v>
      </c>
      <c r="D74" s="0" t="n">
        <v>56812885.67488623</v>
      </c>
      <c r="E74" s="0" t="n">
        <v>0.0001634653804896401</v>
      </c>
      <c r="F74" s="0" t="n">
        <v>0.0001544960714259097</v>
      </c>
      <c r="G74" s="0" t="n">
        <v>8.969309063730475e-06</v>
      </c>
      <c r="H74" s="0" t="b">
        <v>0</v>
      </c>
    </row>
    <row r="75">
      <c r="A75" s="0" t="n">
        <v>90</v>
      </c>
      <c r="B75" s="0" t="n">
        <v>10</v>
      </c>
      <c r="C75" s="0" t="n">
        <v>1180761.71875</v>
      </c>
      <c r="D75" s="0" t="n">
        <v>-80751503.68253976</v>
      </c>
      <c r="E75" s="0" t="n">
        <v>0.0001402084094277025</v>
      </c>
      <c r="F75" s="0" t="n">
        <v>0.0001544960714259097</v>
      </c>
      <c r="G75" s="0" t="n">
        <v>-1.428766199820713e-05</v>
      </c>
      <c r="H75" s="0" t="b">
        <v>1</v>
      </c>
    </row>
    <row r="76">
      <c r="A76" s="0" t="n">
        <v>90</v>
      </c>
      <c r="B76" s="0" t="n">
        <v>11</v>
      </c>
      <c r="C76" s="0" t="n">
        <v>1186572.265625</v>
      </c>
      <c r="D76" s="0" t="n">
        <v>-18314995.71646139</v>
      </c>
      <c r="E76" s="0" t="n">
        <v>0.0001514440997963488</v>
      </c>
      <c r="F76" s="0" t="n">
        <v>0.0001544960714259097</v>
      </c>
      <c r="G76" s="0" t="n">
        <v>-3.051971629560807e-06</v>
      </c>
      <c r="H76" s="0" t="b">
        <v>1</v>
      </c>
    </row>
    <row r="77">
      <c r="A77" s="0" t="n">
        <v>90</v>
      </c>
      <c r="B77" s="0" t="n">
        <v>12</v>
      </c>
      <c r="C77" s="0" t="n">
        <v>1189477.5390625</v>
      </c>
      <c r="D77" s="0" t="n">
        <v>17631100.67001849</v>
      </c>
      <c r="E77" s="0" t="n">
        <v>0.0001573539104105879</v>
      </c>
      <c r="F77" s="0" t="n">
        <v>0.0001544960714259097</v>
      </c>
      <c r="G77" s="0" t="n">
        <v>2.857838984678243e-06</v>
      </c>
      <c r="H77" s="0" t="b">
        <v>0</v>
      </c>
    </row>
    <row r="78">
      <c r="A78" s="0" t="n">
        <v>90</v>
      </c>
      <c r="B78" s="0" t="n">
        <v>13</v>
      </c>
      <c r="C78" s="0" t="n">
        <v>1188024.90234375</v>
      </c>
      <c r="D78" s="0" t="n">
        <v>-741414.3427298504</v>
      </c>
      <c r="E78" s="0" t="n">
        <v>0.0001543742422059037</v>
      </c>
      <c r="F78" s="0" t="n">
        <v>0.0001544960714259097</v>
      </c>
      <c r="G78" s="0" t="n">
        <v>-1.218292200059546e-07</v>
      </c>
      <c r="H78" s="0" t="b">
        <v>1</v>
      </c>
    </row>
    <row r="79">
      <c r="A79" s="0" t="n">
        <v>90</v>
      </c>
      <c r="B79" s="0" t="n">
        <v>14</v>
      </c>
      <c r="C79" s="0" t="n">
        <v>1188524.90234375</v>
      </c>
      <c r="D79" s="0" t="n">
        <v>5492381.132695254</v>
      </c>
      <c r="E79" s="0" t="n">
        <v>0.0001553943116914671</v>
      </c>
      <c r="F79" s="0" t="n">
        <v>0.0001544960714259097</v>
      </c>
      <c r="G79" s="0" t="n">
        <v>8.982402655574129e-07</v>
      </c>
      <c r="H79" s="0" t="b">
        <v>0</v>
      </c>
    </row>
    <row r="80">
      <c r="A80" s="0" t="n">
        <v>90</v>
      </c>
      <c r="B80" s="0" t="n">
        <v>15</v>
      </c>
      <c r="C80" s="0" t="n">
        <v>1188274.90234375</v>
      </c>
      <c r="D80" s="0" t="n">
        <v>2363536.986784006</v>
      </c>
      <c r="E80" s="0" t="n">
        <v>0.0001548835265300368</v>
      </c>
      <c r="F80" s="0" t="n">
        <v>0.0001544960714259097</v>
      </c>
      <c r="G80" s="0" t="n">
        <v>3.874551041271759e-07</v>
      </c>
      <c r="H80" s="0" t="b">
        <v>0</v>
      </c>
    </row>
    <row r="81">
      <c r="A81" s="0" t="n">
        <v>90</v>
      </c>
      <c r="B81" s="0" t="n">
        <v>16</v>
      </c>
      <c r="C81" s="0" t="n">
        <v>1187974.90234375</v>
      </c>
      <c r="D81" s="0" t="n">
        <v>-1359566.544623367</v>
      </c>
      <c r="E81" s="0" t="n">
        <v>0.0001542725610004394</v>
      </c>
      <c r="F81" s="0" t="n">
        <v>0.0001544960714259097</v>
      </c>
      <c r="G81" s="0" t="n">
        <v>-2.235104254702698e-07</v>
      </c>
      <c r="H81" s="0" t="b">
        <v>1</v>
      </c>
    </row>
    <row r="82">
      <c r="A82" s="0" t="n">
        <v>90</v>
      </c>
      <c r="B82" s="0" t="n">
        <v>17</v>
      </c>
      <c r="C82" s="0" t="n">
        <v>1188124.90234375</v>
      </c>
      <c r="D82" s="0" t="n">
        <v>497681.62815753</v>
      </c>
      <c r="E82" s="0" t="n">
        <v>0.0001545777727266434</v>
      </c>
      <c r="F82" s="0" t="n">
        <v>0.0001544960714259097</v>
      </c>
      <c r="G82" s="0" t="n">
        <v>8.170130073374107e-08</v>
      </c>
      <c r="H82" s="0" t="b">
        <v>0</v>
      </c>
    </row>
    <row r="83">
      <c r="A83" s="0" t="n">
        <v>90</v>
      </c>
      <c r="B83" s="0" t="n">
        <v>18</v>
      </c>
      <c r="C83" s="0" t="n">
        <v>1188304.90234375</v>
      </c>
      <c r="D83" s="0" t="n">
        <v>2737734.978859003</v>
      </c>
      <c r="E83" s="0" t="n">
        <v>0.000154944741293163</v>
      </c>
      <c r="F83" s="0" t="n">
        <v>0.0001544960714259097</v>
      </c>
      <c r="G83" s="0" t="n">
        <v>4.486698672533345e-07</v>
      </c>
      <c r="H83" s="0" t="b">
        <v>0</v>
      </c>
    </row>
    <row r="84">
      <c r="A84" s="0" t="n">
        <v>90</v>
      </c>
      <c r="B84" s="0" t="n">
        <v>19</v>
      </c>
      <c r="C84" s="0" t="n">
        <v>1188214.90234375</v>
      </c>
      <c r="D84" s="0" t="n">
        <v>1616225.194764021</v>
      </c>
      <c r="E84" s="0" t="n">
        <v>0.0001547611703698368</v>
      </c>
      <c r="F84" s="0" t="n">
        <v>0.0001544960714259097</v>
      </c>
      <c r="G84" s="0" t="n">
        <v>2.650989439271871e-07</v>
      </c>
      <c r="H84" s="0" t="b">
        <v>0</v>
      </c>
    </row>
    <row r="85">
      <c r="A85" s="0" t="n">
        <v>90</v>
      </c>
      <c r="B85" s="0" t="n">
        <v>20</v>
      </c>
      <c r="C85" s="0" t="n">
        <v>1188106.90234375</v>
      </c>
      <c r="D85" s="0" t="n">
        <v>274353.7756153719</v>
      </c>
      <c r="E85" s="0" t="n">
        <v>0.000154541118087958</v>
      </c>
      <c r="F85" s="0" t="n">
        <v>0.0001544960714259097</v>
      </c>
      <c r="G85" s="0" t="n">
        <v>4.504666204836099e-08</v>
      </c>
      <c r="H85" s="0" t="b">
        <v>0</v>
      </c>
    </row>
    <row r="86">
      <c r="A86" s="0" t="n">
        <v>90</v>
      </c>
      <c r="B86" s="0" t="n">
        <v>21</v>
      </c>
      <c r="C86" s="0" t="n">
        <v>1188160.90234375</v>
      </c>
      <c r="D86" s="0" t="n">
        <v>944763.6703578079</v>
      </c>
      <c r="E86" s="0" t="n">
        <v>0.0001546511143575303</v>
      </c>
      <c r="F86" s="0" t="n">
        <v>0.0001544960714259097</v>
      </c>
      <c r="G86" s="0" t="n">
        <v>1.55042931620689e-07</v>
      </c>
      <c r="H86" s="0" t="b">
        <v>0</v>
      </c>
    </row>
    <row r="87">
      <c r="A87" s="0" t="n">
        <v>90</v>
      </c>
      <c r="B87" s="0" t="n">
        <v>22</v>
      </c>
      <c r="C87" s="0" t="n">
        <v>1188225.70234375</v>
      </c>
      <c r="D87" s="0" t="n">
        <v>1750593.49266946</v>
      </c>
      <c r="E87" s="0" t="n">
        <v>0.0001547831805181909</v>
      </c>
      <c r="F87" s="0" t="n">
        <v>0.0001544960714259097</v>
      </c>
      <c r="G87" s="0" t="n">
        <v>2.871090922812079e-07</v>
      </c>
      <c r="H87" s="0" t="b">
        <v>0</v>
      </c>
    </row>
    <row r="88">
      <c r="A88" s="0" t="n">
        <v>90</v>
      </c>
      <c r="B88" s="0" t="n">
        <v>23</v>
      </c>
      <c r="C88" s="0" t="n">
        <v>1188193.30234375</v>
      </c>
      <c r="D88" s="0" t="n">
        <v>1347507.541317884</v>
      </c>
      <c r="E88" s="0" t="n">
        <v>0.0001547171396739436</v>
      </c>
      <c r="F88" s="0" t="n">
        <v>0.0001544960714259097</v>
      </c>
      <c r="G88" s="0" t="n">
        <v>2.210682480339706e-07</v>
      </c>
      <c r="H88" s="0" t="b">
        <v>0</v>
      </c>
    </row>
    <row r="89">
      <c r="A89" s="0" t="n">
        <v>90</v>
      </c>
      <c r="B89" s="0" t="n">
        <v>24</v>
      </c>
      <c r="C89" s="0" t="n">
        <v>1188154.42234375</v>
      </c>
      <c r="D89" s="0" t="n">
        <v>864262.7846610183</v>
      </c>
      <c r="E89" s="0" t="n">
        <v>0.0001546379122783973</v>
      </c>
      <c r="F89" s="0" t="n">
        <v>0.0001544960714259097</v>
      </c>
      <c r="G89" s="0" t="n">
        <v>1.418408524875975e-07</v>
      </c>
      <c r="H89" s="0" t="b">
        <v>0</v>
      </c>
    </row>
    <row r="90">
      <c r="A90" s="0" t="n">
        <v>90</v>
      </c>
      <c r="B90" s="0" t="n">
        <v>25</v>
      </c>
      <c r="C90" s="0" t="n">
        <v>1188173.86234375</v>
      </c>
      <c r="D90" s="0" t="n">
        <v>1105756.368246277</v>
      </c>
      <c r="E90" s="0" t="n">
        <v>0.0001546775121612824</v>
      </c>
      <c r="F90" s="0" t="n">
        <v>0.0001544960714259097</v>
      </c>
      <c r="G90" s="0" t="n">
        <v>1.814407353727078e-07</v>
      </c>
      <c r="H90" s="0" t="b">
        <v>0</v>
      </c>
    </row>
    <row r="91">
      <c r="A91" s="0" t="n">
        <v>90</v>
      </c>
      <c r="B91" s="0" t="n">
        <v>26</v>
      </c>
      <c r="C91" s="0" t="n">
        <v>1188197.19034375</v>
      </c>
      <c r="D91" s="0" t="n">
        <v>1395863.626238864</v>
      </c>
      <c r="E91" s="0" t="n">
        <v>0.0001547250643832722</v>
      </c>
      <c r="F91" s="0" t="n">
        <v>0.0001544960714259097</v>
      </c>
      <c r="G91" s="0" t="n">
        <v>2.289929573625043e-07</v>
      </c>
      <c r="H91" s="0" t="b">
        <v>0</v>
      </c>
    </row>
    <row r="92">
      <c r="A92" s="0" t="n">
        <v>90</v>
      </c>
      <c r="B92" s="0" t="n">
        <v>27</v>
      </c>
      <c r="C92" s="0" t="n">
        <v>1188185.52634375</v>
      </c>
      <c r="D92" s="0" t="n">
        <v>1250755.631681987</v>
      </c>
      <c r="E92" s="0" t="n">
        <v>0.0001547012819896652</v>
      </c>
      <c r="F92" s="0" t="n">
        <v>0.0001544960714259097</v>
      </c>
      <c r="G92" s="0" t="n">
        <v>2.052105637555344e-07</v>
      </c>
      <c r="H92" s="0" t="b">
        <v>0</v>
      </c>
    </row>
    <row r="93">
      <c r="A93" s="0" t="n">
        <v>90</v>
      </c>
      <c r="B93" s="0" t="n">
        <v>28</v>
      </c>
      <c r="C93" s="0" t="n">
        <v>1188171.52954375</v>
      </c>
      <c r="D93" s="0" t="n">
        <v>1076762.722262119</v>
      </c>
      <c r="E93" s="0" t="n">
        <v>0.0001546727585823817</v>
      </c>
      <c r="F93" s="0" t="n">
        <v>0.0001544960714259097</v>
      </c>
      <c r="G93" s="0" t="n">
        <v>1.766871564720565e-07</v>
      </c>
      <c r="H93" s="0" t="b">
        <v>0</v>
      </c>
    </row>
    <row r="94">
      <c r="A94" s="0" t="n">
        <v>90</v>
      </c>
      <c r="B94" s="0" t="n">
        <v>29</v>
      </c>
      <c r="C94" s="0" t="n">
        <v>1188178.52794375</v>
      </c>
      <c r="D94" s="0" t="n">
        <v>1163806.835647776</v>
      </c>
      <c r="E94" s="0" t="n">
        <v>0.0001546870290449973</v>
      </c>
      <c r="F94" s="0" t="n">
        <v>0.0001544960714259097</v>
      </c>
      <c r="G94" s="0" t="n">
        <v>1.909576190876883e-07</v>
      </c>
      <c r="H94" s="0" t="b">
        <v>0</v>
      </c>
    </row>
    <row r="95">
      <c r="A95" s="0" t="n">
        <v>90</v>
      </c>
      <c r="B95" s="0" t="n">
        <v>30</v>
      </c>
      <c r="C95" s="0" t="n">
        <v>1188186.92602375</v>
      </c>
      <c r="D95" s="0" t="n">
        <v>1268159.01911671</v>
      </c>
      <c r="E95" s="0" t="n">
        <v>0.0001547041345856661</v>
      </c>
      <c r="F95" s="0" t="n">
        <v>0.0001544960714259097</v>
      </c>
      <c r="G95" s="0" t="n">
        <v>2.080631597564458e-07</v>
      </c>
      <c r="H95" s="0" t="b">
        <v>0</v>
      </c>
    </row>
    <row r="96">
      <c r="A96" s="0" t="n">
        <v>90</v>
      </c>
      <c r="B96" s="0" t="n">
        <v>31</v>
      </c>
      <c r="C96" s="0" t="n">
        <v>1188182.72698375</v>
      </c>
      <c r="D96" s="0" t="n">
        <v>1216008.068266474</v>
      </c>
      <c r="E96" s="0" t="n">
        <v>0.0001546955862766397</v>
      </c>
      <c r="F96" s="0" t="n">
        <v>0.0001544960714259097</v>
      </c>
      <c r="G96" s="0" t="n">
        <v>1.995148507300177e-07</v>
      </c>
      <c r="H96" s="0" t="b">
        <v>0</v>
      </c>
    </row>
    <row r="97">
      <c r="A97" s="0" t="n">
        <v>90</v>
      </c>
      <c r="B97" s="0" t="n">
        <v>32</v>
      </c>
      <c r="C97" s="0" t="n">
        <v>1188177.68813575</v>
      </c>
      <c r="D97" s="0" t="n">
        <v>1153310.426349834</v>
      </c>
      <c r="E97" s="0" t="n">
        <v>0.000154685308309773</v>
      </c>
      <c r="F97" s="0" t="n">
        <v>0.0001544960714259097</v>
      </c>
      <c r="G97" s="0" t="n">
        <v>1.892368838633221e-07</v>
      </c>
      <c r="H97" s="0" t="b">
        <v>0</v>
      </c>
    </row>
    <row r="98">
      <c r="A98" s="0" t="n">
        <v>90</v>
      </c>
      <c r="B98" s="0" t="n">
        <v>33</v>
      </c>
      <c r="C98" s="0" t="n">
        <v>1188180.20755975</v>
      </c>
      <c r="D98" s="0" t="n">
        <v>1184629.55217652</v>
      </c>
      <c r="E98" s="0" t="n">
        <v>0.0001546904425481409</v>
      </c>
      <c r="F98" s="0" t="n">
        <v>0.0001544960714259097</v>
      </c>
      <c r="G98" s="0" t="n">
        <v>1.943711222312182e-07</v>
      </c>
      <c r="H98" s="0" t="b">
        <v>0</v>
      </c>
    </row>
    <row r="99">
      <c r="A99" s="0" t="n">
        <v>91</v>
      </c>
      <c r="B99" s="0" t="n">
        <v>1</v>
      </c>
      <c r="C99" s="0" t="n">
        <v>6050000</v>
      </c>
      <c r="D99" s="0" t="n">
        <v>9.375434062059621e+16</v>
      </c>
      <c r="E99" s="0" t="n">
        <v>536.8709220000001</v>
      </c>
      <c r="F99" s="0" t="n">
        <v>0.000153198498310303</v>
      </c>
      <c r="G99" s="0" t="n">
        <v>536.8707688015018</v>
      </c>
      <c r="H99" s="0" t="b">
        <v>0</v>
      </c>
    </row>
    <row r="100">
      <c r="A100" s="0" t="n">
        <v>91</v>
      </c>
      <c r="B100" s="0" t="n">
        <v>2</v>
      </c>
      <c r="C100" s="0" t="n">
        <v>3075000</v>
      </c>
      <c r="D100" s="0" t="n">
        <v>9.375434062059621e+16</v>
      </c>
      <c r="E100" s="0" t="n">
        <v>536.8709220000001</v>
      </c>
      <c r="F100" s="0" t="n">
        <v>0.000153198498310303</v>
      </c>
      <c r="G100" s="0" t="n">
        <v>536.8707688015018</v>
      </c>
      <c r="H100" s="0" t="b">
        <v>0</v>
      </c>
    </row>
    <row r="101">
      <c r="A101" s="0" t="n">
        <v>91</v>
      </c>
      <c r="B101" s="0" t="n">
        <v>3</v>
      </c>
      <c r="C101" s="0" t="n">
        <v>1587500</v>
      </c>
      <c r="D101" s="0" t="n">
        <v>395615795221114</v>
      </c>
      <c r="E101" s="0" t="n">
        <v>4.563362645989063</v>
      </c>
      <c r="F101" s="0" t="n">
        <v>0.0001531984983440537</v>
      </c>
      <c r="G101" s="0" t="n">
        <v>4.563209447490719</v>
      </c>
      <c r="H101" s="0" t="b">
        <v>0</v>
      </c>
    </row>
    <row r="102">
      <c r="A102" s="0" t="n">
        <v>91</v>
      </c>
      <c r="B102" s="0" t="n">
        <v>4</v>
      </c>
      <c r="C102" s="0" t="n">
        <v>843750</v>
      </c>
      <c r="D102" s="0" t="n">
        <v>22096073608.59441</v>
      </c>
      <c r="E102" s="0" t="n">
        <v>0.001559235553528874</v>
      </c>
      <c r="F102" s="0" t="n">
        <v>0.0001531984983441648</v>
      </c>
      <c r="G102" s="0" t="n">
        <v>0.001406037055184709</v>
      </c>
      <c r="H102" s="0" t="b">
        <v>0</v>
      </c>
    </row>
    <row r="103">
      <c r="A103" s="0" t="n">
        <v>91</v>
      </c>
      <c r="B103" s="0" t="n">
        <v>5</v>
      </c>
      <c r="C103" s="0" t="n">
        <v>471875</v>
      </c>
      <c r="D103" s="0" t="n">
        <v>28353.61336895817</v>
      </c>
      <c r="E103" s="0" t="n">
        <v>-4.552891328163503e-06</v>
      </c>
      <c r="F103" s="0" t="n">
        <v>0.0001531984983441649</v>
      </c>
      <c r="G103" s="0" t="n">
        <v>-0.0001577513896723284</v>
      </c>
      <c r="H103" s="0" t="b">
        <v>1</v>
      </c>
    </row>
    <row r="104">
      <c r="A104" s="0" t="n">
        <v>91</v>
      </c>
      <c r="B104" s="0" t="n">
        <v>6</v>
      </c>
      <c r="C104" s="0" t="n">
        <v>657812.5</v>
      </c>
      <c r="D104" s="0" t="n">
        <v>-106751.9618632991</v>
      </c>
      <c r="E104" s="0" t="n">
        <v>2.995932679426615e-05</v>
      </c>
      <c r="F104" s="0" t="n">
        <v>0.0001531984983441649</v>
      </c>
      <c r="G104" s="0" t="n">
        <v>-0.0001232391715498987</v>
      </c>
      <c r="H104" s="0" t="b">
        <v>1</v>
      </c>
    </row>
    <row r="105">
      <c r="A105" s="0" t="n">
        <v>91</v>
      </c>
      <c r="B105" s="0" t="n">
        <v>7</v>
      </c>
      <c r="C105" s="0" t="n">
        <v>750781.25</v>
      </c>
      <c r="D105" s="0" t="n">
        <v>899560290.2840408</v>
      </c>
      <c r="E105" s="0" t="n">
        <v>0.0002612102252404894</v>
      </c>
      <c r="F105" s="0" t="n">
        <v>0.0001531984983441649</v>
      </c>
      <c r="G105" s="0" t="n">
        <v>0.0001080117268963245</v>
      </c>
      <c r="H105" s="0" t="b">
        <v>0</v>
      </c>
    </row>
    <row r="106">
      <c r="A106" s="0" t="n">
        <v>91</v>
      </c>
      <c r="B106" s="0" t="n">
        <v>8</v>
      </c>
      <c r="C106" s="0" t="n">
        <v>704296.875</v>
      </c>
      <c r="D106" s="0" t="n">
        <v>-137754160.3176086</v>
      </c>
      <c r="E106" s="0" t="n">
        <v>9.107414030422092e-05</v>
      </c>
      <c r="F106" s="0" t="n">
        <v>0.0001531984983441649</v>
      </c>
      <c r="G106" s="0" t="n">
        <v>-6.212435803994396e-05</v>
      </c>
      <c r="H106" s="0" t="b">
        <v>1</v>
      </c>
    </row>
    <row r="107">
      <c r="A107" s="0" t="n">
        <v>91</v>
      </c>
      <c r="B107" s="0" t="n">
        <v>9</v>
      </c>
      <c r="C107" s="0" t="n">
        <v>727539.0625</v>
      </c>
      <c r="D107" s="0" t="n">
        <v>21570465.99471331</v>
      </c>
      <c r="E107" s="0" t="n">
        <v>0.0001566583651523435</v>
      </c>
      <c r="F107" s="0" t="n">
        <v>0.0001531984983441649</v>
      </c>
      <c r="G107" s="0" t="n">
        <v>3.459866808178574e-06</v>
      </c>
      <c r="H107" s="0" t="b">
        <v>0</v>
      </c>
    </row>
    <row r="108">
      <c r="A108" s="0" t="n">
        <v>91</v>
      </c>
      <c r="B108" s="0" t="n">
        <v>10</v>
      </c>
      <c r="C108" s="0" t="n">
        <v>715917.96875</v>
      </c>
      <c r="D108" s="0" t="n">
        <v>-165156217.2800772</v>
      </c>
      <c r="E108" s="0" t="n">
        <v>0.0001199373500905778</v>
      </c>
      <c r="F108" s="0" t="n">
        <v>0.0001531984983441649</v>
      </c>
      <c r="G108" s="0" t="n">
        <v>-3.326114825358708e-05</v>
      </c>
      <c r="H108" s="0" t="b">
        <v>1</v>
      </c>
    </row>
    <row r="109">
      <c r="A109" s="0" t="n">
        <v>91</v>
      </c>
      <c r="B109" s="0" t="n">
        <v>11</v>
      </c>
      <c r="C109" s="0" t="n">
        <v>721728.515625</v>
      </c>
      <c r="D109" s="0" t="n">
        <v>-90052831.59487149</v>
      </c>
      <c r="E109" s="0" t="n">
        <v>0.0001372100626358864</v>
      </c>
      <c r="F109" s="0" t="n">
        <v>0.0001531984983441649</v>
      </c>
      <c r="G109" s="0" t="n">
        <v>-1.598843570827847e-05</v>
      </c>
      <c r="H109" s="0" t="b">
        <v>1</v>
      </c>
    </row>
    <row r="110">
      <c r="A110" s="0" t="n">
        <v>91</v>
      </c>
      <c r="B110" s="0" t="n">
        <v>12</v>
      </c>
      <c r="C110" s="0" t="n">
        <v>724633.7890625</v>
      </c>
      <c r="D110" s="0" t="n">
        <v>-38908906.06388573</v>
      </c>
      <c r="E110" s="0" t="n">
        <v>0.0001466479766011924</v>
      </c>
      <c r="F110" s="0" t="n">
        <v>0.0001531984983441649</v>
      </c>
      <c r="G110" s="0" t="n">
        <v>-6.550521742972499e-06</v>
      </c>
      <c r="H110" s="0" t="b">
        <v>1</v>
      </c>
    </row>
    <row r="111">
      <c r="A111" s="0" t="n">
        <v>91</v>
      </c>
      <c r="B111" s="0" t="n">
        <v>13</v>
      </c>
      <c r="C111" s="0" t="n">
        <v>726086.42578125</v>
      </c>
      <c r="D111" s="0" t="n">
        <v>-9855725.807820557</v>
      </c>
      <c r="E111" s="0" t="n">
        <v>0.0001515797766410761</v>
      </c>
      <c r="F111" s="0" t="n">
        <v>0.0001531984983441649</v>
      </c>
      <c r="G111" s="0" t="n">
        <v>-1.618721703088808e-06</v>
      </c>
      <c r="H111" s="0" t="b">
        <v>1</v>
      </c>
    </row>
    <row r="112">
      <c r="A112" s="0" t="n">
        <v>91</v>
      </c>
      <c r="B112" s="0" t="n">
        <v>14</v>
      </c>
      <c r="C112" s="0" t="n">
        <v>726586.42578125</v>
      </c>
      <c r="D112" s="0" t="n">
        <v>691136.3594286205</v>
      </c>
      <c r="E112" s="0" t="n">
        <v>0.0001533110775449698</v>
      </c>
      <c r="F112" s="0" t="n">
        <v>0.0001531984983441649</v>
      </c>
      <c r="G112" s="0" t="n">
        <v>1.125792008049408e-07</v>
      </c>
      <c r="H112" s="0" t="b">
        <v>0</v>
      </c>
    </row>
    <row r="113">
      <c r="A113" s="0" t="n">
        <v>91</v>
      </c>
      <c r="B113" s="0" t="n">
        <v>15</v>
      </c>
      <c r="C113" s="0" t="n">
        <v>727186.42578125</v>
      </c>
      <c r="D113" s="0" t="n">
        <v>13721045.03988631</v>
      </c>
      <c r="E113" s="0" t="n">
        <v>0.0001554118159182604</v>
      </c>
      <c r="F113" s="0" t="n">
        <v>0.0001531984983441649</v>
      </c>
      <c r="G113" s="0" t="n">
        <v>2.213317574095561e-06</v>
      </c>
      <c r="H113" s="0" t="b">
        <v>0</v>
      </c>
    </row>
    <row r="114">
      <c r="A114" s="0" t="n">
        <v>91</v>
      </c>
      <c r="B114" s="0" t="n">
        <v>16</v>
      </c>
      <c r="C114" s="0" t="n">
        <v>726886.42578125</v>
      </c>
      <c r="D114" s="0" t="n">
        <v>7154956.681196637</v>
      </c>
      <c r="E114" s="0" t="n">
        <v>0.0001543582720013462</v>
      </c>
      <c r="F114" s="0" t="n">
        <v>0.0001531984983441649</v>
      </c>
      <c r="G114" s="0" t="n">
        <v>1.159773657181349e-06</v>
      </c>
      <c r="H114" s="0" t="b">
        <v>0</v>
      </c>
    </row>
    <row r="115">
      <c r="A115" s="0" t="n">
        <v>91</v>
      </c>
      <c r="B115" s="0" t="n">
        <v>17</v>
      </c>
      <c r="C115" s="0" t="n">
        <v>726526.42578125</v>
      </c>
      <c r="D115" s="0" t="n">
        <v>-589364.3750835453</v>
      </c>
      <c r="E115" s="0" t="n">
        <v>0.0001531024021508989</v>
      </c>
      <c r="F115" s="0" t="n">
        <v>0.0001531984983441649</v>
      </c>
      <c r="G115" s="0" t="n">
        <v>-9.609619326596567e-08</v>
      </c>
      <c r="H115" s="0" t="b">
        <v>1</v>
      </c>
    </row>
    <row r="116">
      <c r="A116" s="0" t="n">
        <v>91</v>
      </c>
      <c r="B116" s="0" t="n">
        <v>18</v>
      </c>
      <c r="C116" s="0" t="n">
        <v>726706.42578125</v>
      </c>
      <c r="D116" s="0" t="n">
        <v>3264367.831011018</v>
      </c>
      <c r="E116" s="0" t="n">
        <v>0.000153729187246847</v>
      </c>
      <c r="F116" s="0" t="n">
        <v>0.0001531984983441649</v>
      </c>
      <c r="G116" s="0" t="n">
        <v>5.306889026821025e-07</v>
      </c>
      <c r="H116" s="0" t="b">
        <v>0</v>
      </c>
    </row>
    <row r="117">
      <c r="A117" s="0" t="n">
        <v>91</v>
      </c>
      <c r="B117" s="0" t="n">
        <v>19</v>
      </c>
      <c r="C117" s="0" t="n">
        <v>726616.42578125</v>
      </c>
      <c r="D117" s="0" t="n">
        <v>1332877.362716235</v>
      </c>
      <c r="E117" s="0" t="n">
        <v>0.0001534155039568782</v>
      </c>
      <c r="F117" s="0" t="n">
        <v>0.0001531984983441649</v>
      </c>
      <c r="G117" s="0" t="n">
        <v>2.170056127133392e-07</v>
      </c>
      <c r="H117" s="0" t="b">
        <v>0</v>
      </c>
    </row>
    <row r="118">
      <c r="A118" s="0" t="n">
        <v>91</v>
      </c>
      <c r="B118" s="0" t="n">
        <v>20</v>
      </c>
      <c r="C118" s="0" t="n">
        <v>726508.42578125</v>
      </c>
      <c r="D118" s="0" t="n">
        <v>-972730.4468523602</v>
      </c>
      <c r="E118" s="0" t="n">
        <v>0.0001530398471560475</v>
      </c>
      <c r="F118" s="0" t="n">
        <v>0.0001531984983441649</v>
      </c>
      <c r="G118" s="0" t="n">
        <v>-1.58651188117366e-07</v>
      </c>
      <c r="H118" s="0" t="b">
        <v>1</v>
      </c>
    </row>
    <row r="119">
      <c r="A119" s="0" t="n">
        <v>91</v>
      </c>
      <c r="B119" s="0" t="n">
        <v>21</v>
      </c>
      <c r="C119" s="0" t="n">
        <v>726562.42578125</v>
      </c>
      <c r="D119" s="0" t="n">
        <v>178416.5012202361</v>
      </c>
      <c r="E119" s="0" t="n">
        <v>0.0001532275720579956</v>
      </c>
      <c r="F119" s="0" t="n">
        <v>0.0001531984983441649</v>
      </c>
      <c r="G119" s="0" t="n">
        <v>2.907371383071666e-08</v>
      </c>
      <c r="H119" s="0" t="b">
        <v>0</v>
      </c>
    </row>
    <row r="120">
      <c r="A120" s="0" t="n">
        <v>91</v>
      </c>
      <c r="B120" s="0" t="n">
        <v>22</v>
      </c>
      <c r="C120" s="0" t="n">
        <v>726627.22578125</v>
      </c>
      <c r="D120" s="0" t="n">
        <v>1564171.78920494</v>
      </c>
      <c r="E120" s="0" t="n">
        <v>0.0001534531159037124</v>
      </c>
      <c r="F120" s="0" t="n">
        <v>0.0001531984983441649</v>
      </c>
      <c r="G120" s="0" t="n">
        <v>2.546175595475415e-07</v>
      </c>
      <c r="H120" s="0" t="b">
        <v>0</v>
      </c>
    </row>
    <row r="121">
      <c r="A121" s="0" t="n">
        <v>91</v>
      </c>
      <c r="B121" s="0" t="n">
        <v>23</v>
      </c>
      <c r="C121" s="0" t="n">
        <v>726594.82578125</v>
      </c>
      <c r="D121" s="0" t="n">
        <v>870735.3672809232</v>
      </c>
      <c r="E121" s="0" t="n">
        <v>0.0001533403128841767</v>
      </c>
      <c r="F121" s="0" t="n">
        <v>0.0001531984983441649</v>
      </c>
      <c r="G121" s="0" t="n">
        <v>1.418145400118261e-07</v>
      </c>
      <c r="H121" s="0" t="b">
        <v>0</v>
      </c>
    </row>
    <row r="122">
      <c r="A122" s="0" t="n">
        <v>91</v>
      </c>
      <c r="B122" s="0" t="n">
        <v>24</v>
      </c>
      <c r="C122" s="0" t="n">
        <v>726555.94578125</v>
      </c>
      <c r="D122" s="0" t="n">
        <v>40149.24154245794</v>
      </c>
      <c r="E122" s="0" t="n">
        <v>0.000153205041526613</v>
      </c>
      <c r="F122" s="0" t="n">
        <v>0.0001531984983441649</v>
      </c>
      <c r="G122" s="0" t="n">
        <v>6.543182448143963e-09</v>
      </c>
      <c r="H122" s="0" t="b">
        <v>0</v>
      </c>
    </row>
    <row r="123">
      <c r="A123" s="0" t="n">
        <v>91</v>
      </c>
      <c r="B123" s="0" t="n">
        <v>25</v>
      </c>
      <c r="C123" s="0" t="n">
        <v>726575.38578125</v>
      </c>
      <c r="D123" s="0" t="n">
        <v>455194.7244659084</v>
      </c>
      <c r="E123" s="0" t="n">
        <v>0.0001532726584467585</v>
      </c>
      <c r="F123" s="0" t="n">
        <v>0.0001531984983441649</v>
      </c>
      <c r="G123" s="0" t="n">
        <v>7.416010259364428e-08</v>
      </c>
      <c r="H123" s="0" t="b">
        <v>0</v>
      </c>
    </row>
    <row r="124">
      <c r="A124" s="0" t="n">
        <v>91</v>
      </c>
      <c r="B124" s="0" t="n">
        <v>26</v>
      </c>
      <c r="C124" s="0" t="n">
        <v>726598.7137812499</v>
      </c>
      <c r="D124" s="0" t="n">
        <v>953891.0880698444</v>
      </c>
      <c r="E124" s="0" t="n">
        <v>0.0001533538463463998</v>
      </c>
      <c r="F124" s="0" t="n">
        <v>0.0001531984983441649</v>
      </c>
      <c r="G124" s="0" t="n">
        <v>1.553480022348859e-07</v>
      </c>
      <c r="H124" s="0" t="b">
        <v>0</v>
      </c>
    </row>
    <row r="125">
      <c r="A125" s="0" t="n">
        <v>91</v>
      </c>
      <c r="B125" s="0" t="n">
        <v>27</v>
      </c>
      <c r="C125" s="0" t="n">
        <v>726587.04978125</v>
      </c>
      <c r="D125" s="0" t="n">
        <v>704475.2541837312</v>
      </c>
      <c r="E125" s="0" t="n">
        <v>0.0001533132491427508</v>
      </c>
      <c r="F125" s="0" t="n">
        <v>0.0001531984983441649</v>
      </c>
      <c r="G125" s="0" t="n">
        <v>1.147507985859331e-07</v>
      </c>
      <c r="H125" s="0" t="b">
        <v>0</v>
      </c>
    </row>
    <row r="126">
      <c r="A126" s="0" t="n">
        <v>91</v>
      </c>
      <c r="B126" s="0" t="n">
        <v>28</v>
      </c>
      <c r="C126" s="0" t="n">
        <v>726592.88178125</v>
      </c>
      <c r="D126" s="0" t="n">
        <v>829163.9231067174</v>
      </c>
      <c r="E126" s="0" t="n">
        <v>0.0001533335465509553</v>
      </c>
      <c r="F126" s="0" t="n">
        <v>0.0001531984983441649</v>
      </c>
      <c r="G126" s="0" t="n">
        <v>1.350482067904589e-07</v>
      </c>
      <c r="H126" s="0" t="b">
        <v>0</v>
      </c>
    </row>
    <row r="127">
      <c r="A127" s="0" t="n">
        <v>91</v>
      </c>
      <c r="B127" s="0" t="n">
        <v>29</v>
      </c>
      <c r="C127" s="0" t="n">
        <v>726589.96578125</v>
      </c>
      <c r="D127" s="0" t="n">
        <v>766764.0888653841</v>
      </c>
      <c r="E127" s="0" t="n">
        <v>0.0001533233892972382</v>
      </c>
      <c r="F127" s="0" t="n">
        <v>0.0001531984983441649</v>
      </c>
      <c r="G127" s="0" t="n">
        <v>1.248909530732819e-07</v>
      </c>
      <c r="H127" s="0" t="b">
        <v>0</v>
      </c>
    </row>
    <row r="128">
      <c r="A128" s="0" t="n">
        <v>91</v>
      </c>
      <c r="B128" s="0" t="n">
        <v>30</v>
      </c>
      <c r="C128" s="0" t="n">
        <v>726586.4665812501</v>
      </c>
      <c r="D128" s="0" t="n">
        <v>692008.5044990121</v>
      </c>
      <c r="E128" s="0" t="n">
        <v>0.0001533112195332257</v>
      </c>
      <c r="F128" s="0" t="n">
        <v>0.0001531984983441649</v>
      </c>
      <c r="G128" s="0" t="n">
        <v>1.127211890608376e-07</v>
      </c>
      <c r="H128" s="0" t="b">
        <v>0</v>
      </c>
    </row>
    <row r="129">
      <c r="A129" s="0" t="n">
        <v>91</v>
      </c>
      <c r="B129" s="0" t="n">
        <v>31</v>
      </c>
      <c r="C129" s="0" t="n">
        <v>726588.2161812501</v>
      </c>
      <c r="D129" s="0" t="n">
        <v>729409.9084398891</v>
      </c>
      <c r="E129" s="0" t="n">
        <v>0.0001533173084334261</v>
      </c>
      <c r="F129" s="0" t="n">
        <v>0.0001531984983441649</v>
      </c>
      <c r="G129" s="0" t="n">
        <v>1.188100892612301e-07</v>
      </c>
      <c r="H129" s="0" t="b">
        <v>0</v>
      </c>
    </row>
    <row r="130">
      <c r="A130" s="0" t="n">
        <v>92</v>
      </c>
      <c r="B130" s="0" t="n">
        <v>1</v>
      </c>
      <c r="C130" s="0" t="n">
        <v>6050000</v>
      </c>
      <c r="D130" s="0" t="n">
        <v>9.434593681392099e+16</v>
      </c>
      <c r="E130" s="0" t="n">
        <v>536.8709220000001</v>
      </c>
      <c r="F130" s="0" t="n">
        <v>0.0001525495047189906</v>
      </c>
      <c r="G130" s="0" t="n">
        <v>536.8707694504953</v>
      </c>
      <c r="H130" s="0" t="b">
        <v>0</v>
      </c>
    </row>
    <row r="131">
      <c r="A131" s="0" t="n">
        <v>92</v>
      </c>
      <c r="B131" s="0" t="n">
        <v>2</v>
      </c>
      <c r="C131" s="0" t="n">
        <v>3075000</v>
      </c>
      <c r="D131" s="0" t="n">
        <v>9.434593681392099e+16</v>
      </c>
      <c r="E131" s="0" t="n">
        <v>536.8709220000001</v>
      </c>
      <c r="F131" s="0" t="n">
        <v>0.0001525495047189906</v>
      </c>
      <c r="G131" s="0" t="n">
        <v>536.8707694504953</v>
      </c>
      <c r="H131" s="0" t="b">
        <v>0</v>
      </c>
    </row>
    <row r="132">
      <c r="A132" s="0" t="n">
        <v>92</v>
      </c>
      <c r="B132" s="0" t="n">
        <v>3</v>
      </c>
      <c r="C132" s="0" t="n">
        <v>1587500</v>
      </c>
      <c r="D132" s="0" t="n">
        <v>9.434593681392099e+16</v>
      </c>
      <c r="E132" s="0" t="n">
        <v>536.8709220000001</v>
      </c>
      <c r="F132" s="0" t="n">
        <v>0.0001525495047189906</v>
      </c>
      <c r="G132" s="0" t="n">
        <v>536.8707694504953</v>
      </c>
      <c r="H132" s="0" t="b">
        <v>0</v>
      </c>
    </row>
    <row r="133">
      <c r="A133" s="0" t="n">
        <v>92</v>
      </c>
      <c r="B133" s="0" t="n">
        <v>4</v>
      </c>
      <c r="C133" s="0" t="n">
        <v>843750</v>
      </c>
      <c r="D133" s="0" t="n">
        <v>9.434593681392099e+16</v>
      </c>
      <c r="E133" s="0" t="n">
        <v>536.8709220000001</v>
      </c>
      <c r="F133" s="0" t="n">
        <v>0.0001525495047189906</v>
      </c>
      <c r="G133" s="0" t="n">
        <v>536.8707694504953</v>
      </c>
      <c r="H133" s="0" t="b">
        <v>0</v>
      </c>
    </row>
    <row r="134">
      <c r="A134" s="0" t="n">
        <v>92</v>
      </c>
      <c r="B134" s="0" t="n">
        <v>5</v>
      </c>
      <c r="C134" s="0" t="n">
        <v>471875</v>
      </c>
      <c r="D134" s="0" t="n">
        <v>83412327181368.42</v>
      </c>
      <c r="E134" s="0" t="n">
        <v>1.201134773270167</v>
      </c>
      <c r="F134" s="0" t="n">
        <v>0.0001525495047121073</v>
      </c>
      <c r="G134" s="0" t="n">
        <v>1.200982223765455</v>
      </c>
      <c r="H134" s="0" t="b">
        <v>0</v>
      </c>
    </row>
    <row r="135">
      <c r="A135" s="0" t="n">
        <v>92</v>
      </c>
      <c r="B135" s="0" t="n">
        <v>6</v>
      </c>
      <c r="C135" s="0" t="n">
        <v>285937.5</v>
      </c>
      <c r="D135" s="0" t="n">
        <v>19059364866.57752</v>
      </c>
      <c r="E135" s="0" t="n">
        <v>0.001397798600561313</v>
      </c>
      <c r="F135" s="0" t="n">
        <v>0.0001525495047121717</v>
      </c>
      <c r="G135" s="0" t="n">
        <v>0.001245249095849141</v>
      </c>
      <c r="H135" s="0" t="b">
        <v>0</v>
      </c>
    </row>
    <row r="136">
      <c r="A136" s="0" t="n">
        <v>92</v>
      </c>
      <c r="B136" s="0" t="n">
        <v>7</v>
      </c>
      <c r="C136" s="0" t="n">
        <v>192968.75</v>
      </c>
      <c r="D136" s="0" t="n">
        <v>38362.65647079201</v>
      </c>
      <c r="E136" s="0" t="n">
        <v>4.401668534343069e-06</v>
      </c>
      <c r="F136" s="0" t="n">
        <v>0.0001525495047121718</v>
      </c>
      <c r="G136" s="0" t="n">
        <v>-0.0001481478361778287</v>
      </c>
      <c r="H136" s="0" t="b">
        <v>1</v>
      </c>
    </row>
    <row r="137">
      <c r="A137" s="0" t="n">
        <v>92</v>
      </c>
      <c r="B137" s="0" t="n">
        <v>8</v>
      </c>
      <c r="C137" s="0" t="n">
        <v>239453.125</v>
      </c>
      <c r="D137" s="0" t="n">
        <v>-1545005.386416736</v>
      </c>
      <c r="E137" s="0" t="n">
        <v>6.140743508916706e-05</v>
      </c>
      <c r="F137" s="0" t="n">
        <v>0.0001525495047121718</v>
      </c>
      <c r="G137" s="0" t="n">
        <v>-9.114206962300471e-05</v>
      </c>
      <c r="H137" s="0" t="b">
        <v>1</v>
      </c>
    </row>
    <row r="138">
      <c r="A138" s="0" t="n">
        <v>92</v>
      </c>
      <c r="B138" s="0" t="n">
        <v>9</v>
      </c>
      <c r="C138" s="0" t="n">
        <v>262695.3125</v>
      </c>
      <c r="D138" s="0" t="n">
        <v>1693288779.654889</v>
      </c>
      <c r="E138" s="0" t="n">
        <v>0.0003337914410542263</v>
      </c>
      <c r="F138" s="0" t="n">
        <v>0.0001525495047121718</v>
      </c>
      <c r="G138" s="0" t="n">
        <v>0.0001812419363420545</v>
      </c>
      <c r="H138" s="0" t="b">
        <v>0</v>
      </c>
    </row>
    <row r="139">
      <c r="A139" s="0" t="n">
        <v>92</v>
      </c>
      <c r="B139" s="0" t="n">
        <v>10</v>
      </c>
      <c r="C139" s="0" t="n">
        <v>251074.21875</v>
      </c>
      <c r="D139" s="0" t="n">
        <v>-23925336.53279448</v>
      </c>
      <c r="E139" s="0" t="n">
        <v>0.0001485891360357212</v>
      </c>
      <c r="F139" s="0" t="n">
        <v>0.0001525495047121718</v>
      </c>
      <c r="G139" s="0" t="n">
        <v>-3.960368676450597e-06</v>
      </c>
      <c r="H139" s="0" t="b">
        <v>1</v>
      </c>
    </row>
    <row r="140">
      <c r="A140" s="0" t="n">
        <v>92</v>
      </c>
      <c r="B140" s="0" t="n">
        <v>11</v>
      </c>
      <c r="C140" s="0" t="n">
        <v>256884.765625</v>
      </c>
      <c r="D140" s="0" t="n">
        <v>560910329.8910556</v>
      </c>
      <c r="E140" s="0" t="n">
        <v>0.0002246464057290788</v>
      </c>
      <c r="F140" s="0" t="n">
        <v>0.0001525495047121718</v>
      </c>
      <c r="G140" s="0" t="n">
        <v>7.209690101690704e-05</v>
      </c>
      <c r="H140" s="0" t="b">
        <v>0</v>
      </c>
    </row>
    <row r="141">
      <c r="A141" s="0" t="n">
        <v>92</v>
      </c>
      <c r="B141" s="0" t="n">
        <v>12</v>
      </c>
      <c r="C141" s="0" t="n">
        <v>253979.4921875</v>
      </c>
      <c r="D141" s="0" t="n">
        <v>212258991.7498084</v>
      </c>
      <c r="E141" s="0" t="n">
        <v>0.0001831113241935158</v>
      </c>
      <c r="F141" s="0" t="n">
        <v>0.0001525495047121718</v>
      </c>
      <c r="G141" s="0" t="n">
        <v>3.0561819481344e-05</v>
      </c>
      <c r="H141" s="0" t="b">
        <v>0</v>
      </c>
    </row>
    <row r="142">
      <c r="A142" s="0" t="n">
        <v>92</v>
      </c>
      <c r="B142" s="0" t="n">
        <v>13</v>
      </c>
      <c r="C142" s="0" t="n">
        <v>252526.85546875</v>
      </c>
      <c r="D142" s="0" t="n">
        <v>81266596.93897456</v>
      </c>
      <c r="E142" s="0" t="n">
        <v>0.0001650434534266454</v>
      </c>
      <c r="F142" s="0" t="n">
        <v>0.0001525495047121718</v>
      </c>
      <c r="G142" s="0" t="n">
        <v>1.24939487144736e-05</v>
      </c>
      <c r="H142" s="0" t="b">
        <v>0</v>
      </c>
    </row>
    <row r="143">
      <c r="A143" s="0" t="n">
        <v>92</v>
      </c>
      <c r="B143" s="0" t="n">
        <v>14</v>
      </c>
      <c r="C143" s="0" t="n">
        <v>251326.85546875</v>
      </c>
      <c r="D143" s="0" t="n">
        <v>-7402953.663571331</v>
      </c>
      <c r="E143" s="0" t="n">
        <v>0.0001513406021499071</v>
      </c>
      <c r="F143" s="0" t="n">
        <v>0.0001525495047121718</v>
      </c>
      <c r="G143" s="0" t="n">
        <v>-1.208902562264692e-06</v>
      </c>
      <c r="H143" s="0" t="b">
        <v>1</v>
      </c>
    </row>
    <row r="144">
      <c r="A144" s="0" t="n">
        <v>92</v>
      </c>
      <c r="B144" s="0" t="n">
        <v>15</v>
      </c>
      <c r="C144" s="0" t="n">
        <v>251926.85546875</v>
      </c>
      <c r="D144" s="0" t="n">
        <v>34799620.32121039</v>
      </c>
      <c r="E144" s="0" t="n">
        <v>0.0001580590454151982</v>
      </c>
      <c r="F144" s="0" t="n">
        <v>0.0001525495047121718</v>
      </c>
      <c r="G144" s="0" t="n">
        <v>5.509540703026411e-06</v>
      </c>
      <c r="H144" s="0" t="b">
        <v>0</v>
      </c>
    </row>
    <row r="145">
      <c r="A145" s="0" t="n">
        <v>92</v>
      </c>
      <c r="B145" s="0" t="n">
        <v>16</v>
      </c>
      <c r="C145" s="0" t="n">
        <v>251626.85546875</v>
      </c>
      <c r="D145" s="0" t="n">
        <v>13172875.09540914</v>
      </c>
      <c r="E145" s="0" t="n">
        <v>0.000154667143931802</v>
      </c>
      <c r="F145" s="0" t="n">
        <v>0.0001525495047121718</v>
      </c>
      <c r="G145" s="0" t="n">
        <v>2.11763921963021e-06</v>
      </c>
      <c r="H145" s="0" t="b">
        <v>0</v>
      </c>
    </row>
    <row r="146">
      <c r="A146" s="0" t="n">
        <v>92</v>
      </c>
      <c r="B146" s="0" t="n">
        <v>17</v>
      </c>
      <c r="C146" s="0" t="n">
        <v>251266.85546875</v>
      </c>
      <c r="D146" s="0" t="n">
        <v>-11393237.78953159</v>
      </c>
      <c r="E146" s="0" t="n">
        <v>0.0001506830406805614</v>
      </c>
      <c r="F146" s="0" t="n">
        <v>0.0001525495047121718</v>
      </c>
      <c r="G146" s="0" t="n">
        <v>-1.866464031610363e-06</v>
      </c>
      <c r="H146" s="0" t="b">
        <v>1</v>
      </c>
    </row>
    <row r="147">
      <c r="A147" s="0" t="n">
        <v>92</v>
      </c>
      <c r="B147" s="0" t="n">
        <v>18</v>
      </c>
      <c r="C147" s="0" t="n">
        <v>251446.85546875</v>
      </c>
      <c r="D147" s="0" t="n">
        <v>702199.6588678224</v>
      </c>
      <c r="E147" s="0" t="n">
        <v>0.0001526634504312049</v>
      </c>
      <c r="F147" s="0" t="n">
        <v>0.0001525495047121718</v>
      </c>
      <c r="G147" s="0" t="n">
        <v>1.13945719033159e-07</v>
      </c>
      <c r="H147" s="0" t="b">
        <v>0</v>
      </c>
    </row>
    <row r="148">
      <c r="A148" s="0" t="n">
        <v>92</v>
      </c>
      <c r="B148" s="0" t="n">
        <v>19</v>
      </c>
      <c r="C148" s="0" t="n">
        <v>251356.85546875</v>
      </c>
      <c r="D148" s="0" t="n">
        <v>-5392235.756242826</v>
      </c>
      <c r="E148" s="0" t="n">
        <v>0.0001516703506370904</v>
      </c>
      <c r="F148" s="0" t="n">
        <v>0.0001525495047121718</v>
      </c>
      <c r="G148" s="0" t="n">
        <v>-8.791540750813774e-07</v>
      </c>
      <c r="H148" s="0" t="b">
        <v>1</v>
      </c>
    </row>
    <row r="149">
      <c r="A149" s="0" t="n">
        <v>92</v>
      </c>
      <c r="B149" s="0" t="n">
        <v>20</v>
      </c>
      <c r="C149" s="0" t="n">
        <v>251401.85546875</v>
      </c>
      <c r="D149" s="0" t="n">
        <v>-2356730.703171561</v>
      </c>
      <c r="E149" s="0" t="n">
        <v>0.0001521661731811382</v>
      </c>
      <c r="F149" s="0" t="n">
        <v>0.0001525495047121718</v>
      </c>
      <c r="G149" s="0" t="n">
        <v>-3.833315310336233e-07</v>
      </c>
      <c r="H149" s="0" t="b">
        <v>1</v>
      </c>
    </row>
    <row r="150">
      <c r="A150" s="0" t="n">
        <v>92</v>
      </c>
      <c r="B150" s="0" t="n">
        <v>21</v>
      </c>
      <c r="C150" s="0" t="n">
        <v>251446.85546875</v>
      </c>
      <c r="D150" s="0" t="n">
        <v>702199.6588678224</v>
      </c>
      <c r="E150" s="0" t="n">
        <v>0.0001526634504312049</v>
      </c>
      <c r="F150" s="0" t="n">
        <v>0.0001525495047121718</v>
      </c>
      <c r="G150" s="0" t="n">
        <v>1.13945719033159e-07</v>
      </c>
      <c r="H150" s="0" t="b">
        <v>0</v>
      </c>
    </row>
    <row r="151">
      <c r="A151" s="0" t="n">
        <v>92</v>
      </c>
      <c r="B151" s="0" t="n">
        <v>22</v>
      </c>
      <c r="C151" s="0" t="n">
        <v>251424.35546875</v>
      </c>
      <c r="D151" s="0" t="n">
        <v>-830194.6310152145</v>
      </c>
      <c r="E151" s="0" t="n">
        <v>0.0001524146300499832</v>
      </c>
      <c r="F151" s="0" t="n">
        <v>0.0001525495047121718</v>
      </c>
      <c r="G151" s="0" t="n">
        <v>-1.348746621885385e-07</v>
      </c>
      <c r="H151" s="0" t="b">
        <v>1</v>
      </c>
    </row>
    <row r="152">
      <c r="A152" s="0" t="n">
        <v>92</v>
      </c>
      <c r="B152" s="0" t="n">
        <v>23</v>
      </c>
      <c r="C152" s="0" t="n">
        <v>251435.60546875</v>
      </c>
      <c r="D152" s="0" t="n">
        <v>-64747.08067451472</v>
      </c>
      <c r="E152" s="0" t="n">
        <v>0.0001525389920190621</v>
      </c>
      <c r="F152" s="0" t="n">
        <v>0.0001525495047121718</v>
      </c>
      <c r="G152" s="0" t="n">
        <v>-1.051269310964114e-08</v>
      </c>
      <c r="H152" s="0" t="b">
        <v>1</v>
      </c>
    </row>
    <row r="153">
      <c r="A153" s="0" t="n">
        <v>92</v>
      </c>
      <c r="B153" s="0" t="n">
        <v>24</v>
      </c>
      <c r="C153" s="0" t="n">
        <v>251446.85546875</v>
      </c>
      <c r="D153" s="0" t="n">
        <v>702199.6588678224</v>
      </c>
      <c r="E153" s="0" t="n">
        <v>0.0001526634504312049</v>
      </c>
      <c r="F153" s="0" t="n">
        <v>0.0001525495047121718</v>
      </c>
      <c r="G153" s="0" t="n">
        <v>1.13945719033159e-07</v>
      </c>
      <c r="H153" s="0" t="b">
        <v>0</v>
      </c>
    </row>
    <row r="154">
      <c r="A154" s="0" t="n">
        <v>92</v>
      </c>
      <c r="B154" s="0" t="n">
        <v>25</v>
      </c>
      <c r="C154" s="0" t="n">
        <v>251441.23046875</v>
      </c>
      <c r="D154" s="0" t="n">
        <v>318534.5844751825</v>
      </c>
      <c r="E154" s="0" t="n">
        <v>0.0001526012084758945</v>
      </c>
      <c r="F154" s="0" t="n">
        <v>0.0001525495047121718</v>
      </c>
      <c r="G154" s="0" t="n">
        <v>5.170376372274363e-08</v>
      </c>
      <c r="H154" s="0" t="b">
        <v>0</v>
      </c>
    </row>
    <row r="155">
      <c r="A155" s="0" t="n">
        <v>92</v>
      </c>
      <c r="B155" s="0" t="n">
        <v>26</v>
      </c>
      <c r="C155" s="0" t="n">
        <v>251434.48046875</v>
      </c>
      <c r="D155" s="0" t="n">
        <v>-141342.5004589507</v>
      </c>
      <c r="E155" s="0" t="n">
        <v>0.0001525265542089183</v>
      </c>
      <c r="F155" s="0" t="n">
        <v>0.0001525495047121718</v>
      </c>
      <c r="G155" s="0" t="n">
        <v>-2.295050325351882e-08</v>
      </c>
      <c r="H155" s="0" t="b">
        <v>1</v>
      </c>
    </row>
    <row r="156">
      <c r="A156" s="0" t="n">
        <v>92</v>
      </c>
      <c r="B156" s="0" t="n">
        <v>27</v>
      </c>
      <c r="C156" s="0" t="n">
        <v>251437.85546875</v>
      </c>
      <c r="D156" s="0" t="n">
        <v>88521.62204830314</v>
      </c>
      <c r="E156" s="0" t="n">
        <v>0.000152563875873293</v>
      </c>
      <c r="F156" s="0" t="n">
        <v>0.0001525495047121718</v>
      </c>
      <c r="G156" s="0" t="n">
        <v>1.437116112120969e-08</v>
      </c>
      <c r="H156" s="0" t="b">
        <v>0</v>
      </c>
    </row>
    <row r="157">
      <c r="A157" s="0" t="n">
        <v>92</v>
      </c>
      <c r="B157" s="0" t="n">
        <v>28</v>
      </c>
      <c r="C157" s="0" t="n">
        <v>251441.90546875</v>
      </c>
      <c r="D157" s="0" t="n">
        <v>364553.0051704701</v>
      </c>
      <c r="E157" s="0" t="n">
        <v>0.0001526086759787851</v>
      </c>
      <c r="F157" s="0" t="n">
        <v>0.0001525495047121718</v>
      </c>
      <c r="G157" s="0" t="n">
        <v>5.917126661328484e-08</v>
      </c>
      <c r="H157" s="0" t="b">
        <v>0</v>
      </c>
    </row>
    <row r="158">
      <c r="A158" s="0" t="n">
        <v>92</v>
      </c>
      <c r="B158" s="0" t="n">
        <v>29</v>
      </c>
      <c r="C158" s="0" t="n">
        <v>251439.88046875</v>
      </c>
      <c r="D158" s="0" t="n">
        <v>226513.571586411</v>
      </c>
      <c r="E158" s="0" t="n">
        <v>0.0001525862744524927</v>
      </c>
      <c r="F158" s="0" t="n">
        <v>0.0001525495047121718</v>
      </c>
      <c r="G158" s="0" t="n">
        <v>3.676974032095956e-08</v>
      </c>
      <c r="H158" s="0" t="b">
        <v>0</v>
      </c>
    </row>
    <row r="159">
      <c r="A159" s="0" t="n">
        <v>92</v>
      </c>
      <c r="B159" s="0" t="n">
        <v>30</v>
      </c>
      <c r="C159" s="0" t="n">
        <v>251440.89296875</v>
      </c>
      <c r="D159" s="0" t="n">
        <v>295544.3294263389</v>
      </c>
      <c r="E159" s="0" t="n">
        <v>0.0001525974776022889</v>
      </c>
      <c r="F159" s="0" t="n">
        <v>0.0001525495047121718</v>
      </c>
      <c r="G159" s="0" t="n">
        <v>4.79728901170819e-08</v>
      </c>
      <c r="H159" s="0" t="b">
        <v>0</v>
      </c>
    </row>
    <row r="160">
      <c r="A160" s="0" t="n">
        <v>92</v>
      </c>
      <c r="B160" s="0" t="n">
        <v>31</v>
      </c>
      <c r="C160" s="0" t="n">
        <v>251440.38671875</v>
      </c>
      <c r="D160" s="0" t="n">
        <v>261035.9530728738</v>
      </c>
      <c r="E160" s="0" t="n">
        <v>0.000152591877312653</v>
      </c>
      <c r="F160" s="0" t="n">
        <v>0.0001525495047121718</v>
      </c>
      <c r="G160" s="0" t="n">
        <v>4.237260048126838e-08</v>
      </c>
      <c r="H160" s="0" t="b">
        <v>0</v>
      </c>
    </row>
    <row r="161">
      <c r="A161" s="0" t="n">
        <v>92</v>
      </c>
      <c r="B161" s="0" t="n">
        <v>32</v>
      </c>
      <c r="C161" s="0" t="n">
        <v>251439.77921875</v>
      </c>
      <c r="D161" s="0" t="n">
        <v>219629.8189525206</v>
      </c>
      <c r="E161" s="0" t="n">
        <v>0.0001525851572082299</v>
      </c>
      <c r="F161" s="0" t="n">
        <v>0.0001525495047121718</v>
      </c>
      <c r="G161" s="0" t="n">
        <v>3.565249605814286e-08</v>
      </c>
      <c r="H161" s="0" t="b">
        <v>0</v>
      </c>
    </row>
    <row r="162">
      <c r="A162" s="0" t="n">
        <v>92</v>
      </c>
      <c r="B162" s="0" t="n">
        <v>33</v>
      </c>
      <c r="C162" s="0" t="n">
        <v>251440.08296875</v>
      </c>
      <c r="D162" s="0" t="n">
        <v>240315.3782622469</v>
      </c>
      <c r="E162" s="0" t="n">
        <v>0.0001525885144725246</v>
      </c>
      <c r="F162" s="0" t="n">
        <v>0.0001525495047121718</v>
      </c>
      <c r="G162" s="0" t="n">
        <v>3.900976035286271e-08</v>
      </c>
      <c r="H162" s="0" t="b">
        <v>0</v>
      </c>
    </row>
    <row r="163">
      <c r="A163" s="0" t="n">
        <v>92</v>
      </c>
      <c r="B163" s="0" t="n">
        <v>34</v>
      </c>
      <c r="C163" s="0" t="n">
        <v>251440.44746875</v>
      </c>
      <c r="D163" s="0" t="n">
        <v>265159.8265108083</v>
      </c>
      <c r="E163" s="0" t="n">
        <v>0.0001525925465827883</v>
      </c>
      <c r="F163" s="0" t="n">
        <v>0.0001525495047121718</v>
      </c>
      <c r="G163" s="0" t="n">
        <v>4.304187061653824e-08</v>
      </c>
      <c r="H163" s="0" t="b">
        <v>0</v>
      </c>
    </row>
    <row r="164">
      <c r="A164" s="0" t="n">
        <v>92</v>
      </c>
      <c r="B164" s="0" t="n">
        <v>35</v>
      </c>
      <c r="C164" s="0" t="n">
        <v>251440.26521875</v>
      </c>
      <c r="D164" s="0" t="n">
        <v>252737.4100627383</v>
      </c>
      <c r="E164" s="0" t="n">
        <v>0.0001525905305157188</v>
      </c>
      <c r="F164" s="0" t="n">
        <v>0.0001525495047121718</v>
      </c>
      <c r="G164" s="0" t="n">
        <v>4.102580354706535e-08</v>
      </c>
      <c r="H164" s="0" t="b">
        <v>0</v>
      </c>
    </row>
    <row r="165">
      <c r="A165" s="0" t="n">
        <v>93</v>
      </c>
      <c r="B165" s="0" t="n">
        <v>1</v>
      </c>
      <c r="C165" s="0" t="n">
        <v>6050000</v>
      </c>
      <c r="D165" s="0" t="n">
        <v>9.434593681392099e+16</v>
      </c>
      <c r="E165" s="0" t="n">
        <v>536.8709220000001</v>
      </c>
      <c r="F165" s="0" t="n">
        <v>0.0001525495047189906</v>
      </c>
      <c r="G165" s="0" t="n">
        <v>536.8707694504953</v>
      </c>
      <c r="H165" s="0" t="b">
        <v>0</v>
      </c>
    </row>
    <row r="166">
      <c r="A166" s="0" t="n">
        <v>93</v>
      </c>
      <c r="B166" s="0" t="n">
        <v>2</v>
      </c>
      <c r="C166" s="0" t="n">
        <v>3075000</v>
      </c>
      <c r="D166" s="0" t="n">
        <v>9.434593681392099e+16</v>
      </c>
      <c r="E166" s="0" t="n">
        <v>536.8709220000001</v>
      </c>
      <c r="F166" s="0" t="n">
        <v>0.0001525495047189906</v>
      </c>
      <c r="G166" s="0" t="n">
        <v>536.8707694504953</v>
      </c>
      <c r="H166" s="0" t="b">
        <v>0</v>
      </c>
    </row>
    <row r="167">
      <c r="A167" s="0" t="n">
        <v>93</v>
      </c>
      <c r="B167" s="0" t="n">
        <v>3</v>
      </c>
      <c r="C167" s="0" t="n">
        <v>1587500</v>
      </c>
      <c r="D167" s="0" t="n">
        <v>9.434593681392099e+16</v>
      </c>
      <c r="E167" s="0" t="n">
        <v>536.8709220000001</v>
      </c>
      <c r="F167" s="0" t="n">
        <v>0.0001525495047189906</v>
      </c>
      <c r="G167" s="0" t="n">
        <v>536.8707694504953</v>
      </c>
      <c r="H167" s="0" t="b">
        <v>0</v>
      </c>
    </row>
    <row r="168">
      <c r="A168" s="0" t="n">
        <v>93</v>
      </c>
      <c r="B168" s="0" t="n">
        <v>4</v>
      </c>
      <c r="C168" s="0" t="n">
        <v>843750</v>
      </c>
      <c r="D168" s="0" t="n">
        <v>9.434593681392099e+16</v>
      </c>
      <c r="E168" s="0" t="n">
        <v>536.8709220000001</v>
      </c>
      <c r="F168" s="0" t="n">
        <v>0.0001525495047189906</v>
      </c>
      <c r="G168" s="0" t="n">
        <v>536.8707694504953</v>
      </c>
      <c r="H168" s="0" t="b">
        <v>0</v>
      </c>
    </row>
    <row r="169">
      <c r="A169" s="0" t="n">
        <v>93</v>
      </c>
      <c r="B169" s="0" t="n">
        <v>5</v>
      </c>
      <c r="C169" s="0" t="n">
        <v>471875</v>
      </c>
      <c r="D169" s="0" t="n">
        <v>83412327181368.42</v>
      </c>
      <c r="E169" s="0" t="n">
        <v>1.201134773270167</v>
      </c>
      <c r="F169" s="0" t="n">
        <v>0.0001525495047121073</v>
      </c>
      <c r="G169" s="0" t="n">
        <v>1.200982223765455</v>
      </c>
      <c r="H169" s="0" t="b">
        <v>0</v>
      </c>
    </row>
    <row r="170">
      <c r="A170" s="0" t="n">
        <v>93</v>
      </c>
      <c r="B170" s="0" t="n">
        <v>6</v>
      </c>
      <c r="C170" s="0" t="n">
        <v>285937.5</v>
      </c>
      <c r="D170" s="0" t="n">
        <v>19059364866.57752</v>
      </c>
      <c r="E170" s="0" t="n">
        <v>0.001397798600561313</v>
      </c>
      <c r="F170" s="0" t="n">
        <v>0.0001525495047121717</v>
      </c>
      <c r="G170" s="0" t="n">
        <v>0.001245249095849141</v>
      </c>
      <c r="H170" s="0" t="b">
        <v>0</v>
      </c>
    </row>
    <row r="171">
      <c r="A171" s="0" t="n">
        <v>93</v>
      </c>
      <c r="B171" s="0" t="n">
        <v>7</v>
      </c>
      <c r="C171" s="0" t="n">
        <v>192968.75</v>
      </c>
      <c r="D171" s="0" t="n">
        <v>38362.65647079201</v>
      </c>
      <c r="E171" s="0" t="n">
        <v>4.401668534343069e-06</v>
      </c>
      <c r="F171" s="0" t="n">
        <v>0.0001525495047121718</v>
      </c>
      <c r="G171" s="0" t="n">
        <v>-0.0001481478361778287</v>
      </c>
      <c r="H171" s="0" t="b">
        <v>1</v>
      </c>
    </row>
    <row r="172">
      <c r="A172" s="0" t="n">
        <v>93</v>
      </c>
      <c r="B172" s="0" t="n">
        <v>8</v>
      </c>
      <c r="C172" s="0" t="n">
        <v>239453.125</v>
      </c>
      <c r="D172" s="0" t="n">
        <v>-1545005.386416736</v>
      </c>
      <c r="E172" s="0" t="n">
        <v>6.140743508916706e-05</v>
      </c>
      <c r="F172" s="0" t="n">
        <v>0.0001525495047121718</v>
      </c>
      <c r="G172" s="0" t="n">
        <v>-9.114206962300471e-05</v>
      </c>
      <c r="H172" s="0" t="b">
        <v>1</v>
      </c>
    </row>
    <row r="173">
      <c r="A173" s="0" t="n">
        <v>93</v>
      </c>
      <c r="B173" s="0" t="n">
        <v>9</v>
      </c>
      <c r="C173" s="0" t="n">
        <v>262695.3125</v>
      </c>
      <c r="D173" s="0" t="n">
        <v>1693288779.654889</v>
      </c>
      <c r="E173" s="0" t="n">
        <v>0.0003337914410542263</v>
      </c>
      <c r="F173" s="0" t="n">
        <v>0.0001525495047121718</v>
      </c>
      <c r="G173" s="0" t="n">
        <v>0.0001812419363420545</v>
      </c>
      <c r="H173" s="0" t="b">
        <v>0</v>
      </c>
    </row>
    <row r="174">
      <c r="A174" s="0" t="n">
        <v>93</v>
      </c>
      <c r="B174" s="0" t="n">
        <v>10</v>
      </c>
      <c r="C174" s="0" t="n">
        <v>251074.21875</v>
      </c>
      <c r="D174" s="0" t="n">
        <v>-23925336.53279448</v>
      </c>
      <c r="E174" s="0" t="n">
        <v>0.0001485891360357212</v>
      </c>
      <c r="F174" s="0" t="n">
        <v>0.0001525495047121718</v>
      </c>
      <c r="G174" s="0" t="n">
        <v>-3.960368676450597e-06</v>
      </c>
      <c r="H174" s="0" t="b">
        <v>1</v>
      </c>
    </row>
    <row r="175">
      <c r="A175" s="0" t="n">
        <v>93</v>
      </c>
      <c r="B175" s="0" t="n">
        <v>11</v>
      </c>
      <c r="C175" s="0" t="n">
        <v>256884.765625</v>
      </c>
      <c r="D175" s="0" t="n">
        <v>560910329.8910556</v>
      </c>
      <c r="E175" s="0" t="n">
        <v>0.0002246464057290788</v>
      </c>
      <c r="F175" s="0" t="n">
        <v>0.0001525495047121718</v>
      </c>
      <c r="G175" s="0" t="n">
        <v>7.209690101690704e-05</v>
      </c>
      <c r="H175" s="0" t="b">
        <v>0</v>
      </c>
    </row>
    <row r="176">
      <c r="A176" s="0" t="n">
        <v>93</v>
      </c>
      <c r="B176" s="0" t="n">
        <v>12</v>
      </c>
      <c r="C176" s="0" t="n">
        <v>253979.4921875</v>
      </c>
      <c r="D176" s="0" t="n">
        <v>212258991.7498084</v>
      </c>
      <c r="E176" s="0" t="n">
        <v>0.0001831113241935158</v>
      </c>
      <c r="F176" s="0" t="n">
        <v>0.0001525495047121718</v>
      </c>
      <c r="G176" s="0" t="n">
        <v>3.0561819481344e-05</v>
      </c>
      <c r="H176" s="0" t="b">
        <v>0</v>
      </c>
    </row>
    <row r="177">
      <c r="A177" s="0" t="n">
        <v>93</v>
      </c>
      <c r="B177" s="0" t="n">
        <v>13</v>
      </c>
      <c r="C177" s="0" t="n">
        <v>252526.85546875</v>
      </c>
      <c r="D177" s="0" t="n">
        <v>81266596.93897456</v>
      </c>
      <c r="E177" s="0" t="n">
        <v>0.0001650434534266454</v>
      </c>
      <c r="F177" s="0" t="n">
        <v>0.0001525495047121718</v>
      </c>
      <c r="G177" s="0" t="n">
        <v>1.24939487144736e-05</v>
      </c>
      <c r="H177" s="0" t="b">
        <v>0</v>
      </c>
    </row>
    <row r="178">
      <c r="A178" s="0" t="n">
        <v>93</v>
      </c>
      <c r="B178" s="0" t="n">
        <v>14</v>
      </c>
      <c r="C178" s="0" t="n">
        <v>251326.85546875</v>
      </c>
      <c r="D178" s="0" t="n">
        <v>-7402953.663571331</v>
      </c>
      <c r="E178" s="0" t="n">
        <v>0.0001513406021499071</v>
      </c>
      <c r="F178" s="0" t="n">
        <v>0.0001525495047121718</v>
      </c>
      <c r="G178" s="0" t="n">
        <v>-1.208902562264692e-06</v>
      </c>
      <c r="H178" s="0" t="b">
        <v>1</v>
      </c>
    </row>
    <row r="179">
      <c r="A179" s="0" t="n">
        <v>93</v>
      </c>
      <c r="B179" s="0" t="n">
        <v>15</v>
      </c>
      <c r="C179" s="0" t="n">
        <v>251926.85546875</v>
      </c>
      <c r="D179" s="0" t="n">
        <v>34799620.32121039</v>
      </c>
      <c r="E179" s="0" t="n">
        <v>0.0001580590454151982</v>
      </c>
      <c r="F179" s="0" t="n">
        <v>0.0001525495047121718</v>
      </c>
      <c r="G179" s="0" t="n">
        <v>5.509540703026411e-06</v>
      </c>
      <c r="H179" s="0" t="b">
        <v>0</v>
      </c>
    </row>
    <row r="180">
      <c r="A180" s="0" t="n">
        <v>93</v>
      </c>
      <c r="B180" s="0" t="n">
        <v>16</v>
      </c>
      <c r="C180" s="0" t="n">
        <v>251626.85546875</v>
      </c>
      <c r="D180" s="0" t="n">
        <v>13172875.09540914</v>
      </c>
      <c r="E180" s="0" t="n">
        <v>0.000154667143931802</v>
      </c>
      <c r="F180" s="0" t="n">
        <v>0.0001525495047121718</v>
      </c>
      <c r="G180" s="0" t="n">
        <v>2.11763921963021e-06</v>
      </c>
      <c r="H180" s="0" t="b">
        <v>0</v>
      </c>
    </row>
    <row r="181">
      <c r="A181" s="0" t="n">
        <v>93</v>
      </c>
      <c r="B181" s="0" t="n">
        <v>17</v>
      </c>
      <c r="C181" s="0" t="n">
        <v>251266.85546875</v>
      </c>
      <c r="D181" s="0" t="n">
        <v>-11393237.78953159</v>
      </c>
      <c r="E181" s="0" t="n">
        <v>0.0001506830406805614</v>
      </c>
      <c r="F181" s="0" t="n">
        <v>0.0001525495047121718</v>
      </c>
      <c r="G181" s="0" t="n">
        <v>-1.866464031610363e-06</v>
      </c>
      <c r="H181" s="0" t="b">
        <v>1</v>
      </c>
    </row>
    <row r="182">
      <c r="A182" s="0" t="n">
        <v>93</v>
      </c>
      <c r="B182" s="0" t="n">
        <v>18</v>
      </c>
      <c r="C182" s="0" t="n">
        <v>251446.85546875</v>
      </c>
      <c r="D182" s="0" t="n">
        <v>702199.6588678224</v>
      </c>
      <c r="E182" s="0" t="n">
        <v>0.0001526634504312049</v>
      </c>
      <c r="F182" s="0" t="n">
        <v>0.0001525495047121718</v>
      </c>
      <c r="G182" s="0" t="n">
        <v>1.13945719033159e-07</v>
      </c>
      <c r="H182" s="0" t="b">
        <v>0</v>
      </c>
    </row>
    <row r="183">
      <c r="A183" s="0" t="n">
        <v>93</v>
      </c>
      <c r="B183" s="0" t="n">
        <v>19</v>
      </c>
      <c r="C183" s="0" t="n">
        <v>251356.85546875</v>
      </c>
      <c r="D183" s="0" t="n">
        <v>-5392235.756242826</v>
      </c>
      <c r="E183" s="0" t="n">
        <v>0.0001516703506370904</v>
      </c>
      <c r="F183" s="0" t="n">
        <v>0.0001525495047121718</v>
      </c>
      <c r="G183" s="0" t="n">
        <v>-8.791540750813774e-07</v>
      </c>
      <c r="H183" s="0" t="b">
        <v>1</v>
      </c>
    </row>
    <row r="184">
      <c r="A184" s="0" t="n">
        <v>93</v>
      </c>
      <c r="B184" s="0" t="n">
        <v>20</v>
      </c>
      <c r="C184" s="0" t="n">
        <v>251401.85546875</v>
      </c>
      <c r="D184" s="0" t="n">
        <v>-2356730.703171561</v>
      </c>
      <c r="E184" s="0" t="n">
        <v>0.0001521661731811382</v>
      </c>
      <c r="F184" s="0" t="n">
        <v>0.0001525495047121718</v>
      </c>
      <c r="G184" s="0" t="n">
        <v>-3.833315310336233e-07</v>
      </c>
      <c r="H184" s="0" t="b">
        <v>1</v>
      </c>
    </row>
    <row r="185">
      <c r="A185" s="0" t="n">
        <v>93</v>
      </c>
      <c r="B185" s="0" t="n">
        <v>21</v>
      </c>
      <c r="C185" s="0" t="n">
        <v>251446.85546875</v>
      </c>
      <c r="D185" s="0" t="n">
        <v>702199.6588678224</v>
      </c>
      <c r="E185" s="0" t="n">
        <v>0.0001526634504312049</v>
      </c>
      <c r="F185" s="0" t="n">
        <v>0.0001525495047121718</v>
      </c>
      <c r="G185" s="0" t="n">
        <v>1.13945719033159e-07</v>
      </c>
      <c r="H185" s="0" t="b">
        <v>0</v>
      </c>
    </row>
    <row r="186">
      <c r="A186" s="0" t="n">
        <v>93</v>
      </c>
      <c r="B186" s="0" t="n">
        <v>22</v>
      </c>
      <c r="C186" s="0" t="n">
        <v>251424.35546875</v>
      </c>
      <c r="D186" s="0" t="n">
        <v>-830194.6310152145</v>
      </c>
      <c r="E186" s="0" t="n">
        <v>0.0001524146300499832</v>
      </c>
      <c r="F186" s="0" t="n">
        <v>0.0001525495047121718</v>
      </c>
      <c r="G186" s="0" t="n">
        <v>-1.348746621885385e-07</v>
      </c>
      <c r="H186" s="0" t="b">
        <v>1</v>
      </c>
    </row>
    <row r="187">
      <c r="A187" s="0" t="n">
        <v>93</v>
      </c>
      <c r="B187" s="0" t="n">
        <v>23</v>
      </c>
      <c r="C187" s="0" t="n">
        <v>251435.60546875</v>
      </c>
      <c r="D187" s="0" t="n">
        <v>-64747.08067451472</v>
      </c>
      <c r="E187" s="0" t="n">
        <v>0.0001525389920190621</v>
      </c>
      <c r="F187" s="0" t="n">
        <v>0.0001525495047121718</v>
      </c>
      <c r="G187" s="0" t="n">
        <v>-1.051269310964114e-08</v>
      </c>
      <c r="H187" s="0" t="b">
        <v>1</v>
      </c>
    </row>
    <row r="188">
      <c r="A188" s="0" t="n">
        <v>93</v>
      </c>
      <c r="B188" s="0" t="n">
        <v>24</v>
      </c>
      <c r="C188" s="0" t="n">
        <v>251446.85546875</v>
      </c>
      <c r="D188" s="0" t="n">
        <v>702199.6588678224</v>
      </c>
      <c r="E188" s="0" t="n">
        <v>0.0001526634504312049</v>
      </c>
      <c r="F188" s="0" t="n">
        <v>0.0001525495047121718</v>
      </c>
      <c r="G188" s="0" t="n">
        <v>1.13945719033159e-07</v>
      </c>
      <c r="H188" s="0" t="b">
        <v>0</v>
      </c>
    </row>
    <row r="189">
      <c r="A189" s="0" t="n">
        <v>93</v>
      </c>
      <c r="B189" s="0" t="n">
        <v>25</v>
      </c>
      <c r="C189" s="0" t="n">
        <v>251441.23046875</v>
      </c>
      <c r="D189" s="0" t="n">
        <v>318534.5844751825</v>
      </c>
      <c r="E189" s="0" t="n">
        <v>0.0001526012084758945</v>
      </c>
      <c r="F189" s="0" t="n">
        <v>0.0001525495047121718</v>
      </c>
      <c r="G189" s="0" t="n">
        <v>5.170376372274363e-08</v>
      </c>
      <c r="H189" s="0" t="b">
        <v>0</v>
      </c>
    </row>
    <row r="190">
      <c r="A190" s="0" t="n">
        <v>93</v>
      </c>
      <c r="B190" s="0" t="n">
        <v>26</v>
      </c>
      <c r="C190" s="0" t="n">
        <v>251434.48046875</v>
      </c>
      <c r="D190" s="0" t="n">
        <v>-141342.5004589507</v>
      </c>
      <c r="E190" s="0" t="n">
        <v>0.0001525265542089183</v>
      </c>
      <c r="F190" s="0" t="n">
        <v>0.0001525495047121718</v>
      </c>
      <c r="G190" s="0" t="n">
        <v>-2.295050325351882e-08</v>
      </c>
      <c r="H190" s="0" t="b">
        <v>1</v>
      </c>
    </row>
    <row r="191">
      <c r="A191" s="0" t="n">
        <v>93</v>
      </c>
      <c r="B191" s="0" t="n">
        <v>27</v>
      </c>
      <c r="C191" s="0" t="n">
        <v>251437.85546875</v>
      </c>
      <c r="D191" s="0" t="n">
        <v>88521.62204830314</v>
      </c>
      <c r="E191" s="0" t="n">
        <v>0.000152563875873293</v>
      </c>
      <c r="F191" s="0" t="n">
        <v>0.0001525495047121718</v>
      </c>
      <c r="G191" s="0" t="n">
        <v>1.437116112120969e-08</v>
      </c>
      <c r="H191" s="0" t="b">
        <v>0</v>
      </c>
    </row>
    <row r="192">
      <c r="A192" s="0" t="n">
        <v>93</v>
      </c>
      <c r="B192" s="0" t="n">
        <v>28</v>
      </c>
      <c r="C192" s="0" t="n">
        <v>251441.90546875</v>
      </c>
      <c r="D192" s="0" t="n">
        <v>364553.0051704701</v>
      </c>
      <c r="E192" s="0" t="n">
        <v>0.0001526086759787851</v>
      </c>
      <c r="F192" s="0" t="n">
        <v>0.0001525495047121718</v>
      </c>
      <c r="G192" s="0" t="n">
        <v>5.917126661328484e-08</v>
      </c>
      <c r="H192" s="0" t="b">
        <v>0</v>
      </c>
    </row>
    <row r="193">
      <c r="A193" s="0" t="n">
        <v>93</v>
      </c>
      <c r="B193" s="0" t="n">
        <v>29</v>
      </c>
      <c r="C193" s="0" t="n">
        <v>251439.88046875</v>
      </c>
      <c r="D193" s="0" t="n">
        <v>226513.571586411</v>
      </c>
      <c r="E193" s="0" t="n">
        <v>0.0001525862744524927</v>
      </c>
      <c r="F193" s="0" t="n">
        <v>0.0001525495047121718</v>
      </c>
      <c r="G193" s="0" t="n">
        <v>3.676974032095956e-08</v>
      </c>
      <c r="H193" s="0" t="b">
        <v>0</v>
      </c>
    </row>
    <row r="194">
      <c r="A194" s="0" t="n">
        <v>93</v>
      </c>
      <c r="B194" s="0" t="n">
        <v>30</v>
      </c>
      <c r="C194" s="0" t="n">
        <v>251440.89296875</v>
      </c>
      <c r="D194" s="0" t="n">
        <v>295544.3294263389</v>
      </c>
      <c r="E194" s="0" t="n">
        <v>0.0001525974776022889</v>
      </c>
      <c r="F194" s="0" t="n">
        <v>0.0001525495047121718</v>
      </c>
      <c r="G194" s="0" t="n">
        <v>4.79728901170819e-08</v>
      </c>
      <c r="H194" s="0" t="b">
        <v>0</v>
      </c>
    </row>
    <row r="195">
      <c r="A195" s="0" t="n">
        <v>93</v>
      </c>
      <c r="B195" s="0" t="n">
        <v>31</v>
      </c>
      <c r="C195" s="0" t="n">
        <v>251440.38671875</v>
      </c>
      <c r="D195" s="0" t="n">
        <v>261035.9530728738</v>
      </c>
      <c r="E195" s="0" t="n">
        <v>0.000152591877312653</v>
      </c>
      <c r="F195" s="0" t="n">
        <v>0.0001525495047121718</v>
      </c>
      <c r="G195" s="0" t="n">
        <v>4.237260048126838e-08</v>
      </c>
      <c r="H195" s="0" t="b">
        <v>0</v>
      </c>
    </row>
    <row r="196">
      <c r="A196" s="0" t="n">
        <v>93</v>
      </c>
      <c r="B196" s="0" t="n">
        <v>32</v>
      </c>
      <c r="C196" s="0" t="n">
        <v>251439.77921875</v>
      </c>
      <c r="D196" s="0" t="n">
        <v>219629.8189525206</v>
      </c>
      <c r="E196" s="0" t="n">
        <v>0.0001525851572082299</v>
      </c>
      <c r="F196" s="0" t="n">
        <v>0.0001525495047121718</v>
      </c>
      <c r="G196" s="0" t="n">
        <v>3.565249605814286e-08</v>
      </c>
      <c r="H196" s="0" t="b">
        <v>0</v>
      </c>
    </row>
    <row r="197">
      <c r="A197" s="0" t="n">
        <v>93</v>
      </c>
      <c r="B197" s="0" t="n">
        <v>33</v>
      </c>
      <c r="C197" s="0" t="n">
        <v>251440.08296875</v>
      </c>
      <c r="D197" s="0" t="n">
        <v>240315.3782622469</v>
      </c>
      <c r="E197" s="0" t="n">
        <v>0.0001525885144725246</v>
      </c>
      <c r="F197" s="0" t="n">
        <v>0.0001525495047121718</v>
      </c>
      <c r="G197" s="0" t="n">
        <v>3.900976035286271e-08</v>
      </c>
      <c r="H197" s="0" t="b">
        <v>0</v>
      </c>
    </row>
    <row r="198">
      <c r="A198" s="0" t="n">
        <v>93</v>
      </c>
      <c r="B198" s="0" t="n">
        <v>34</v>
      </c>
      <c r="C198" s="0" t="n">
        <v>251440.44746875</v>
      </c>
      <c r="D198" s="0" t="n">
        <v>265159.8265108083</v>
      </c>
      <c r="E198" s="0" t="n">
        <v>0.0001525925465827883</v>
      </c>
      <c r="F198" s="0" t="n">
        <v>0.0001525495047121718</v>
      </c>
      <c r="G198" s="0" t="n">
        <v>4.304187061653824e-08</v>
      </c>
      <c r="H198" s="0" t="b">
        <v>0</v>
      </c>
    </row>
    <row r="199">
      <c r="A199" s="0" t="n">
        <v>93</v>
      </c>
      <c r="B199" s="0" t="n">
        <v>35</v>
      </c>
      <c r="C199" s="0" t="n">
        <v>251440.26521875</v>
      </c>
      <c r="D199" s="0" t="n">
        <v>252737.4100627383</v>
      </c>
      <c r="E199" s="0" t="n">
        <v>0.0001525905305157188</v>
      </c>
      <c r="F199" s="0" t="n">
        <v>0.0001525495047121718</v>
      </c>
      <c r="G199" s="0" t="n">
        <v>4.102580354706535e-08</v>
      </c>
      <c r="H199" s="0" t="b">
        <v>0</v>
      </c>
    </row>
    <row r="200">
      <c r="A200" s="0" t="n">
        <v>94</v>
      </c>
      <c r="B200" s="0" t="n">
        <v>1</v>
      </c>
      <c r="C200" s="0" t="n">
        <v>6050000</v>
      </c>
      <c r="D200" s="0" t="n">
        <v>4.729363363253336e+17</v>
      </c>
      <c r="E200" s="0" t="n">
        <v>536.8709220000002</v>
      </c>
      <c r="F200" s="0" t="n">
        <v>5.394971412897576e-05</v>
      </c>
      <c r="G200" s="0" t="n">
        <v>536.870868050286</v>
      </c>
      <c r="H200" s="0" t="b">
        <v>0</v>
      </c>
    </row>
    <row r="201">
      <c r="A201" s="0" t="n">
        <v>94</v>
      </c>
      <c r="B201" s="0" t="n">
        <v>2</v>
      </c>
      <c r="C201" s="0" t="n">
        <v>3075000</v>
      </c>
      <c r="D201" s="0" t="n">
        <v>406607811730141.2</v>
      </c>
      <c r="E201" s="0" t="n">
        <v>1.162040300838611</v>
      </c>
      <c r="F201" s="0" t="n">
        <v>5.394971411942784e-05</v>
      </c>
      <c r="G201" s="0" t="n">
        <v>1.161986351124492</v>
      </c>
      <c r="H201" s="0" t="b">
        <v>0</v>
      </c>
    </row>
    <row r="202">
      <c r="A202" s="0" t="n">
        <v>94</v>
      </c>
      <c r="B202" s="0" t="n">
        <v>3</v>
      </c>
      <c r="C202" s="0" t="n">
        <v>1587500</v>
      </c>
      <c r="D202" s="0" t="n">
        <v>58207512257.76826</v>
      </c>
      <c r="E202" s="0" t="n">
        <v>0.0008940861003389956</v>
      </c>
      <c r="F202" s="0" t="n">
        <v>5.394971411941136e-05</v>
      </c>
      <c r="G202" s="0" t="n">
        <v>0.0008401363862195842</v>
      </c>
      <c r="H202" s="0" t="b">
        <v>0</v>
      </c>
    </row>
    <row r="203">
      <c r="A203" s="0" t="n">
        <v>94</v>
      </c>
      <c r="B203" s="0" t="n">
        <v>4</v>
      </c>
      <c r="C203" s="0" t="n">
        <v>843750</v>
      </c>
      <c r="D203" s="0" t="n">
        <v>-41399.79647982494</v>
      </c>
      <c r="E203" s="0" t="n">
        <v>-2.585186170348875e-06</v>
      </c>
      <c r="F203" s="0" t="n">
        <v>5.394971411941133e-05</v>
      </c>
      <c r="G203" s="0" t="n">
        <v>-5.653490028976021e-05</v>
      </c>
      <c r="H203" s="0" t="b">
        <v>1</v>
      </c>
    </row>
    <row r="204">
      <c r="A204" s="0" t="n">
        <v>94</v>
      </c>
      <c r="B204" s="0" t="n">
        <v>5</v>
      </c>
      <c r="C204" s="0" t="n">
        <v>1215625</v>
      </c>
      <c r="D204" s="0" t="n">
        <v>-922975.6507542338</v>
      </c>
      <c r="E204" s="0" t="n">
        <v>1.906970534188117e-05</v>
      </c>
      <c r="F204" s="0" t="n">
        <v>5.394971411941133e-05</v>
      </c>
      <c r="G204" s="0" t="n">
        <v>-3.488000877753016e-05</v>
      </c>
      <c r="H204" s="0" t="b">
        <v>1</v>
      </c>
    </row>
    <row r="205">
      <c r="A205" s="0" t="n">
        <v>94</v>
      </c>
      <c r="B205" s="0" t="n">
        <v>6</v>
      </c>
      <c r="C205" s="0" t="n">
        <v>1401562.5</v>
      </c>
      <c r="D205" s="0" t="n">
        <v>4277389858.032163</v>
      </c>
      <c r="E205" s="0" t="n">
        <v>0.0001651047266290098</v>
      </c>
      <c r="F205" s="0" t="n">
        <v>5.394971411941133e-05</v>
      </c>
      <c r="G205" s="0" t="n">
        <v>0.0001111550125095985</v>
      </c>
      <c r="H205" s="0" t="b">
        <v>0</v>
      </c>
    </row>
    <row r="206">
      <c r="A206" s="0" t="n">
        <v>94</v>
      </c>
      <c r="B206" s="0" t="n">
        <v>7</v>
      </c>
      <c r="C206" s="0" t="n">
        <v>1308593.75</v>
      </c>
      <c r="D206" s="0" t="n">
        <v>138470795.169827</v>
      </c>
      <c r="E206" s="0" t="n">
        <v>6.012193753767848e-05</v>
      </c>
      <c r="F206" s="0" t="n">
        <v>5.394971411941133e-05</v>
      </c>
      <c r="G206" s="0" t="n">
        <v>6.172223418267151e-06</v>
      </c>
      <c r="H206" s="0" t="b">
        <v>0</v>
      </c>
    </row>
    <row r="207">
      <c r="A207" s="0" t="n">
        <v>94</v>
      </c>
      <c r="B207" s="0" t="n">
        <v>8</v>
      </c>
      <c r="C207" s="0" t="n">
        <v>1262109.375</v>
      </c>
      <c r="D207" s="0" t="n">
        <v>-136351247.6564904</v>
      </c>
      <c r="E207" s="0" t="n">
        <v>3.443010443820613e-05</v>
      </c>
      <c r="F207" s="0" t="n">
        <v>5.394971411941133e-05</v>
      </c>
      <c r="G207" s="0" t="n">
        <v>-1.95196096812052e-05</v>
      </c>
      <c r="H207" s="0" t="b">
        <v>1</v>
      </c>
    </row>
    <row r="208">
      <c r="A208" s="0" t="n">
        <v>94</v>
      </c>
      <c r="B208" s="0" t="n">
        <v>9</v>
      </c>
      <c r="C208" s="0" t="n">
        <v>1285351.5625</v>
      </c>
      <c r="D208" s="0" t="n">
        <v>-142468125.6319345</v>
      </c>
      <c r="E208" s="0" t="n">
        <v>4.57153848075935e-05</v>
      </c>
      <c r="F208" s="0" t="n">
        <v>5.394971411941133e-05</v>
      </c>
      <c r="G208" s="0" t="n">
        <v>-8.234329311817835e-06</v>
      </c>
      <c r="H208" s="0" t="b">
        <v>1</v>
      </c>
    </row>
    <row r="209">
      <c r="A209" s="0" t="n">
        <v>94</v>
      </c>
      <c r="B209" s="0" t="n">
        <v>10</v>
      </c>
      <c r="C209" s="0" t="n">
        <v>1296972.65625</v>
      </c>
      <c r="D209" s="0" t="n">
        <v>-29445858.04540035</v>
      </c>
      <c r="E209" s="0" t="n">
        <v>5.248660554210833e-05</v>
      </c>
      <c r="F209" s="0" t="n">
        <v>5.394971411941133e-05</v>
      </c>
      <c r="G209" s="0" t="n">
        <v>-1.463108577303001e-06</v>
      </c>
      <c r="H209" s="0" t="b">
        <v>1</v>
      </c>
    </row>
    <row r="210">
      <c r="A210" s="0" t="n">
        <v>94</v>
      </c>
      <c r="B210" s="0" t="n">
        <v>11</v>
      </c>
      <c r="C210" s="0" t="n">
        <v>1302783.203125</v>
      </c>
      <c r="D210" s="0" t="n">
        <v>47728725.76800555</v>
      </c>
      <c r="E210" s="0" t="n">
        <v>5.619065508247843e-05</v>
      </c>
      <c r="F210" s="0" t="n">
        <v>5.394971411941133e-05</v>
      </c>
      <c r="G210" s="0" t="n">
        <v>2.2409409630671e-06</v>
      </c>
      <c r="H210" s="0" t="b">
        <v>0</v>
      </c>
    </row>
    <row r="211">
      <c r="A211" s="0" t="n">
        <v>94</v>
      </c>
      <c r="B211" s="0" t="n">
        <v>12</v>
      </c>
      <c r="C211" s="0" t="n">
        <v>1299877.9296875</v>
      </c>
      <c r="D211" s="0" t="n">
        <v>7483593.216167936</v>
      </c>
      <c r="E211" s="0" t="n">
        <v>5.431094147641666e-05</v>
      </c>
      <c r="F211" s="0" t="n">
        <v>5.394971411941133e-05</v>
      </c>
      <c r="G211" s="0" t="n">
        <v>3.612273570053254e-07</v>
      </c>
      <c r="H211" s="0" t="b">
        <v>0</v>
      </c>
    </row>
    <row r="212">
      <c r="A212" s="0" t="n">
        <v>94</v>
      </c>
      <c r="B212" s="0" t="n">
        <v>13</v>
      </c>
      <c r="C212" s="0" t="n">
        <v>1298425.29296875</v>
      </c>
      <c r="D212" s="0" t="n">
        <v>-11391201.37229393</v>
      </c>
      <c r="E212" s="0" t="n">
        <v>5.339194192618415e-05</v>
      </c>
      <c r="F212" s="0" t="n">
        <v>5.394971411941133e-05</v>
      </c>
      <c r="G212" s="0" t="n">
        <v>-5.577721932271821e-07</v>
      </c>
      <c r="H212" s="0" t="b">
        <v>1</v>
      </c>
    </row>
    <row r="213">
      <c r="A213" s="0" t="n">
        <v>94</v>
      </c>
      <c r="B213" s="0" t="n">
        <v>14</v>
      </c>
      <c r="C213" s="0" t="n">
        <v>1298925.29296875</v>
      </c>
      <c r="D213" s="0" t="n">
        <v>-4987442.985929522</v>
      </c>
      <c r="E213" s="0" t="n">
        <v>5.370671253758062e-05</v>
      </c>
      <c r="F213" s="0" t="n">
        <v>5.394971411941133e-05</v>
      </c>
      <c r="G213" s="0" t="n">
        <v>-2.430015818307129e-07</v>
      </c>
      <c r="H213" s="0" t="b">
        <v>1</v>
      </c>
    </row>
    <row r="214">
      <c r="A214" s="0" t="n">
        <v>94</v>
      </c>
      <c r="B214" s="0" t="n">
        <v>15</v>
      </c>
      <c r="C214" s="0" t="n">
        <v>1299425.29296875</v>
      </c>
      <c r="D214" s="0" t="n">
        <v>1513830.389667839</v>
      </c>
      <c r="E214" s="0" t="n">
        <v>5.402310961701263e-05</v>
      </c>
      <c r="F214" s="0" t="n">
        <v>5.394971411941133e-05</v>
      </c>
      <c r="G214" s="0" t="n">
        <v>7.33954976013003e-08</v>
      </c>
      <c r="H214" s="0" t="b">
        <v>0</v>
      </c>
    </row>
    <row r="215">
      <c r="A215" s="0" t="n">
        <v>94</v>
      </c>
      <c r="B215" s="0" t="n">
        <v>16</v>
      </c>
      <c r="C215" s="0" t="n">
        <v>1299175.29296875</v>
      </c>
      <c r="D215" s="0" t="n">
        <v>-1749017.307131187</v>
      </c>
      <c r="E215" s="0" t="n">
        <v>5.386470732231235e-05</v>
      </c>
      <c r="F215" s="0" t="n">
        <v>5.394971411941133e-05</v>
      </c>
      <c r="G215" s="0" t="n">
        <v>-8.500679709897921e-08</v>
      </c>
      <c r="H215" s="0" t="b">
        <v>1</v>
      </c>
    </row>
    <row r="216">
      <c r="A216" s="0" t="n">
        <v>94</v>
      </c>
      <c r="B216" s="0" t="n">
        <v>17</v>
      </c>
      <c r="C216" s="0" t="n">
        <v>1299300.29296875</v>
      </c>
      <c r="D216" s="0" t="n">
        <v>-120702.9995154374</v>
      </c>
      <c r="E216" s="0" t="n">
        <v>5.394385485060419e-05</v>
      </c>
      <c r="F216" s="0" t="n">
        <v>5.394971411941133e-05</v>
      </c>
      <c r="G216" s="0" t="n">
        <v>-5.859268807146449e-09</v>
      </c>
      <c r="H216" s="0" t="b">
        <v>1</v>
      </c>
    </row>
    <row r="217">
      <c r="A217" s="0" t="n">
        <v>94</v>
      </c>
      <c r="B217" s="0" t="n">
        <v>18</v>
      </c>
      <c r="C217" s="0" t="n">
        <v>1299425.29296875</v>
      </c>
      <c r="D217" s="0" t="n">
        <v>1513830.389667839</v>
      </c>
      <c r="E217" s="0" t="n">
        <v>5.402310961701263e-05</v>
      </c>
      <c r="F217" s="0" t="n">
        <v>5.394971411941133e-05</v>
      </c>
      <c r="G217" s="0" t="n">
        <v>7.33954976013003e-08</v>
      </c>
      <c r="H217" s="0" t="b">
        <v>0</v>
      </c>
    </row>
    <row r="218">
      <c r="A218" s="0" t="n">
        <v>94</v>
      </c>
      <c r="B218" s="0" t="n">
        <v>19</v>
      </c>
      <c r="C218" s="0" t="n">
        <v>1299362.79296875</v>
      </c>
      <c r="D218" s="0" t="n">
        <v>695772.3372655804</v>
      </c>
      <c r="E218" s="0" t="n">
        <v>5.398346816358587e-05</v>
      </c>
      <c r="F218" s="0" t="n">
        <v>5.394971411941133e-05</v>
      </c>
      <c r="G218" s="0" t="n">
        <v>3.375404417453723e-08</v>
      </c>
      <c r="H218" s="0" t="b">
        <v>0</v>
      </c>
    </row>
    <row r="219">
      <c r="A219" s="0" t="n">
        <v>94</v>
      </c>
      <c r="B219" s="0" t="n">
        <v>20</v>
      </c>
      <c r="C219" s="0" t="n">
        <v>1299394.04296875</v>
      </c>
      <c r="D219" s="0" t="n">
        <v>1104583.122548342</v>
      </c>
      <c r="E219" s="0" t="n">
        <v>5.400328438593975e-05</v>
      </c>
      <c r="F219" s="0" t="n">
        <v>5.394971411941133e-05</v>
      </c>
      <c r="G219" s="0" t="n">
        <v>5.357026652841741e-08</v>
      </c>
      <c r="H219" s="0" t="b">
        <v>0</v>
      </c>
    </row>
    <row r="220">
      <c r="A220" s="0" t="n">
        <v>94</v>
      </c>
      <c r="B220" s="0" t="n">
        <v>21</v>
      </c>
      <c r="C220" s="0" t="n">
        <v>1299431.54296875</v>
      </c>
      <c r="D220" s="0" t="n">
        <v>1595714.867390533</v>
      </c>
      <c r="E220" s="0" t="n">
        <v>5.402707490333693e-05</v>
      </c>
      <c r="F220" s="0" t="n">
        <v>5.394971411941133e-05</v>
      </c>
      <c r="G220" s="0" t="n">
        <v>7.736078392560206e-08</v>
      </c>
      <c r="H220" s="0" t="b">
        <v>0</v>
      </c>
    </row>
    <row r="221">
      <c r="A221" s="0" t="n">
        <v>94</v>
      </c>
      <c r="B221" s="0" t="n">
        <v>22</v>
      </c>
      <c r="C221" s="0" t="n">
        <v>1299412.79296875</v>
      </c>
      <c r="D221" s="0" t="n">
        <v>1350053.040587021</v>
      </c>
      <c r="E221" s="0" t="n">
        <v>5.401517718143558e-05</v>
      </c>
      <c r="F221" s="0" t="n">
        <v>5.394971411941133e-05</v>
      </c>
      <c r="G221" s="0" t="n">
        <v>6.546306202425192e-08</v>
      </c>
      <c r="H221" s="0" t="b">
        <v>0</v>
      </c>
    </row>
    <row r="222">
      <c r="A222" s="0" t="n">
        <v>94</v>
      </c>
      <c r="B222" s="0" t="n">
        <v>23</v>
      </c>
      <c r="C222" s="0" t="n">
        <v>1299390.29296875</v>
      </c>
      <c r="D222" s="0" t="n">
        <v>1055505.650236027</v>
      </c>
      <c r="E222" s="0" t="n">
        <v>5.400090610244968e-05</v>
      </c>
      <c r="F222" s="0" t="n">
        <v>5.394971411941133e-05</v>
      </c>
      <c r="G222" s="0" t="n">
        <v>5.119198303835012e-08</v>
      </c>
      <c r="H222" s="0" t="b">
        <v>0</v>
      </c>
    </row>
    <row r="223">
      <c r="A223" s="0" t="n">
        <v>94</v>
      </c>
      <c r="B223" s="0" t="n">
        <v>24</v>
      </c>
      <c r="C223" s="0" t="n">
        <v>1299401.54296875</v>
      </c>
      <c r="D223" s="0" t="n">
        <v>1202808.823574896</v>
      </c>
      <c r="E223" s="0" t="n">
        <v>5.400804385676433e-05</v>
      </c>
      <c r="F223" s="0" t="n">
        <v>5.394971411941133e-05</v>
      </c>
      <c r="G223" s="0" t="n">
        <v>5.832973735299391e-08</v>
      </c>
      <c r="H223" s="0" t="b">
        <v>0</v>
      </c>
    </row>
    <row r="224">
      <c r="A224" s="0" t="n">
        <v>94</v>
      </c>
      <c r="B224" s="0" t="n">
        <v>25</v>
      </c>
      <c r="C224" s="0" t="n">
        <v>1299415.04296875</v>
      </c>
      <c r="D224" s="0" t="n">
        <v>1379518.67757849</v>
      </c>
      <c r="E224" s="0" t="n">
        <v>5.401660447124503e-05</v>
      </c>
      <c r="F224" s="0" t="n">
        <v>5.394971411941133e-05</v>
      </c>
      <c r="G224" s="0" t="n">
        <v>6.689035183369852e-08</v>
      </c>
      <c r="H224" s="0" t="b">
        <v>0</v>
      </c>
    </row>
    <row r="225">
      <c r="A225" s="0" t="n">
        <v>94</v>
      </c>
      <c r="B225" s="0" t="n">
        <v>26</v>
      </c>
      <c r="C225" s="0" t="n">
        <v>1299408.29296875</v>
      </c>
      <c r="D225" s="0" t="n">
        <v>1291181.969120828</v>
      </c>
      <c r="E225" s="0" t="n">
        <v>5.401232532954197e-05</v>
      </c>
      <c r="F225" s="0" t="n">
        <v>5.394971411941133e-05</v>
      </c>
      <c r="G225" s="0" t="n">
        <v>6.261121013063773e-08</v>
      </c>
      <c r="H225" s="0" t="b">
        <v>0</v>
      </c>
    </row>
    <row r="226">
      <c r="A226" s="0" t="n">
        <v>95</v>
      </c>
      <c r="B226" s="0" t="n">
        <v>1</v>
      </c>
      <c r="C226" s="0" t="n">
        <v>6050000</v>
      </c>
      <c r="D226" s="0" t="n">
        <v>4.760922204284298e+17</v>
      </c>
      <c r="E226" s="0" t="n">
        <v>536.8709220000001</v>
      </c>
      <c r="F226" s="0" t="n">
        <v>5.371300903789233e-05</v>
      </c>
      <c r="G226" s="0" t="n">
        <v>536.870868286991</v>
      </c>
      <c r="H226" s="0" t="b">
        <v>0</v>
      </c>
    </row>
    <row r="227">
      <c r="A227" s="0" t="n">
        <v>95</v>
      </c>
      <c r="B227" s="0" t="n">
        <v>2</v>
      </c>
      <c r="C227" s="0" t="n">
        <v>3075000</v>
      </c>
      <c r="D227" s="0" t="n">
        <v>4.760922204284305e+17</v>
      </c>
      <c r="E227" s="0" t="n">
        <v>536.8709220000002</v>
      </c>
      <c r="F227" s="0" t="n">
        <v>5.371300903789233e-05</v>
      </c>
      <c r="G227" s="0" t="n">
        <v>536.8708682869911</v>
      </c>
      <c r="H227" s="0" t="b">
        <v>0</v>
      </c>
    </row>
    <row r="228">
      <c r="A228" s="0" t="n">
        <v>95</v>
      </c>
      <c r="B228" s="0" t="n">
        <v>3</v>
      </c>
      <c r="C228" s="0" t="n">
        <v>1587500</v>
      </c>
      <c r="D228" s="0" t="n">
        <v>5.055752288127964e+16</v>
      </c>
      <c r="E228" s="0" t="n">
        <v>74.52649828087205</v>
      </c>
      <c r="F228" s="0" t="n">
        <v>5.371300902368148e-05</v>
      </c>
      <c r="G228" s="0" t="n">
        <v>74.52644456786302</v>
      </c>
      <c r="H228" s="0" t="b">
        <v>0</v>
      </c>
    </row>
    <row r="229">
      <c r="A229" s="0" t="n">
        <v>95</v>
      </c>
      <c r="B229" s="0" t="n">
        <v>4</v>
      </c>
      <c r="C229" s="0" t="n">
        <v>843750</v>
      </c>
      <c r="D229" s="0" t="n">
        <v>45163318539764.84</v>
      </c>
      <c r="E229" s="0" t="n">
        <v>0.1810789434621261</v>
      </c>
      <c r="F229" s="0" t="n">
        <v>5.371300902981546e-05</v>
      </c>
      <c r="G229" s="0" t="n">
        <v>0.1810252304530963</v>
      </c>
      <c r="H229" s="0" t="b">
        <v>0</v>
      </c>
    </row>
    <row r="230">
      <c r="A230" s="0" t="n">
        <v>95</v>
      </c>
      <c r="B230" s="0" t="n">
        <v>5</v>
      </c>
      <c r="C230" s="0" t="n">
        <v>471875</v>
      </c>
      <c r="D230" s="0" t="n">
        <v>1874404088.850212</v>
      </c>
      <c r="E230" s="0" t="n">
        <v>0.0001114457698524236</v>
      </c>
      <c r="F230" s="0" t="n">
        <v>5.37130090298092e-05</v>
      </c>
      <c r="G230" s="0" t="n">
        <v>5.773276082261435e-05</v>
      </c>
      <c r="H230" s="0" t="b">
        <v>0</v>
      </c>
    </row>
    <row r="231">
      <c r="A231" s="0" t="n">
        <v>95</v>
      </c>
      <c r="B231" s="0" t="n">
        <v>6</v>
      </c>
      <c r="C231" s="0" t="n">
        <v>285937.5</v>
      </c>
      <c r="D231" s="0" t="n">
        <v>-34314.99437736236</v>
      </c>
      <c r="E231" s="0" t="n">
        <v>-5.003420707831625e-06</v>
      </c>
      <c r="F231" s="0" t="n">
        <v>5.37130090298092e-05</v>
      </c>
      <c r="G231" s="0" t="n">
        <v>-5.871642973764083e-05</v>
      </c>
      <c r="H231" s="0" t="b">
        <v>1</v>
      </c>
    </row>
    <row r="232">
      <c r="A232" s="0" t="n">
        <v>95</v>
      </c>
      <c r="B232" s="0" t="n">
        <v>7</v>
      </c>
      <c r="C232" s="0" t="n">
        <v>378906.25</v>
      </c>
      <c r="D232" s="0" t="n">
        <v>-101014.4992766051</v>
      </c>
      <c r="E232" s="0" t="n">
        <v>6.463993587960313e-06</v>
      </c>
      <c r="F232" s="0" t="n">
        <v>5.37130090298092e-05</v>
      </c>
      <c r="G232" s="0" t="n">
        <v>-4.724901544184888e-05</v>
      </c>
      <c r="H232" s="0" t="b">
        <v>1</v>
      </c>
    </row>
    <row r="233">
      <c r="A233" s="0" t="n">
        <v>95</v>
      </c>
      <c r="B233" s="0" t="n">
        <v>8</v>
      </c>
      <c r="C233" s="0" t="n">
        <v>425390.625</v>
      </c>
      <c r="D233" s="0" t="n">
        <v>-1009150.570242359</v>
      </c>
      <c r="E233" s="0" t="n">
        <v>1.930994386481307e-05</v>
      </c>
      <c r="F233" s="0" t="n">
        <v>5.37130090298092e-05</v>
      </c>
      <c r="G233" s="0" t="n">
        <v>-3.440306516499613e-05</v>
      </c>
      <c r="H233" s="0" t="b">
        <v>1</v>
      </c>
    </row>
    <row r="234">
      <c r="A234" s="0" t="n">
        <v>95</v>
      </c>
      <c r="B234" s="0" t="n">
        <v>9</v>
      </c>
      <c r="C234" s="0" t="n">
        <v>448632.8125</v>
      </c>
      <c r="D234" s="0" t="n">
        <v>-99154314.6291485</v>
      </c>
      <c r="E234" s="0" t="n">
        <v>4.845583009302694e-05</v>
      </c>
      <c r="F234" s="0" t="n">
        <v>5.37130090298092e-05</v>
      </c>
      <c r="G234" s="0" t="n">
        <v>-5.257178936782262e-06</v>
      </c>
      <c r="H234" s="0" t="b">
        <v>1</v>
      </c>
    </row>
    <row r="235">
      <c r="A235" s="0" t="n">
        <v>95</v>
      </c>
      <c r="B235" s="0" t="n">
        <v>10</v>
      </c>
      <c r="C235" s="0" t="n">
        <v>460253.90625</v>
      </c>
      <c r="D235" s="0" t="n">
        <v>534232858.9455913</v>
      </c>
      <c r="E235" s="0" t="n">
        <v>7.422849936275584e-05</v>
      </c>
      <c r="F235" s="0" t="n">
        <v>5.37130090298092e-05</v>
      </c>
      <c r="G235" s="0" t="n">
        <v>2.051549033294664e-05</v>
      </c>
      <c r="H235" s="0" t="b">
        <v>0</v>
      </c>
    </row>
    <row r="236">
      <c r="A236" s="0" t="n">
        <v>95</v>
      </c>
      <c r="B236" s="0" t="n">
        <v>11</v>
      </c>
      <c r="C236" s="0" t="n">
        <v>454443.359375</v>
      </c>
      <c r="D236" s="0" t="n">
        <v>145052364.6543097</v>
      </c>
      <c r="E236" s="0" t="n">
        <v>6.013006860531635e-05</v>
      </c>
      <c r="F236" s="0" t="n">
        <v>5.37130090298092e-05</v>
      </c>
      <c r="G236" s="0" t="n">
        <v>6.417059575507149e-06</v>
      </c>
      <c r="H236" s="0" t="b">
        <v>0</v>
      </c>
    </row>
    <row r="237">
      <c r="A237" s="0" t="n">
        <v>95</v>
      </c>
      <c r="B237" s="0" t="n">
        <v>12</v>
      </c>
      <c r="C237" s="0" t="n">
        <v>451538.0859375</v>
      </c>
      <c r="D237" s="0" t="n">
        <v>6259108.942503598</v>
      </c>
      <c r="E237" s="0" t="n">
        <v>5.401416634806412e-05</v>
      </c>
      <c r="F237" s="0" t="n">
        <v>5.37130090298092e-05</v>
      </c>
      <c r="G237" s="0" t="n">
        <v>3.011573182549156e-07</v>
      </c>
      <c r="H237" s="0" t="b">
        <v>0</v>
      </c>
    </row>
    <row r="238">
      <c r="A238" s="0" t="n">
        <v>95</v>
      </c>
      <c r="B238" s="0" t="n">
        <v>13</v>
      </c>
      <c r="C238" s="0" t="n">
        <v>450085.44921875</v>
      </c>
      <c r="D238" s="0" t="n">
        <v>-50482513.28141521</v>
      </c>
      <c r="E238" s="0" t="n">
        <v>5.116815473432093e-05</v>
      </c>
      <c r="F238" s="0" t="n">
        <v>5.37130090298092e-05</v>
      </c>
      <c r="G238" s="0" t="n">
        <v>-2.544854295488268e-06</v>
      </c>
      <c r="H238" s="0" t="b">
        <v>1</v>
      </c>
    </row>
    <row r="239">
      <c r="A239" s="0" t="n">
        <v>95</v>
      </c>
      <c r="B239" s="0" t="n">
        <v>14</v>
      </c>
      <c r="C239" s="0" t="n">
        <v>450585.44921875</v>
      </c>
      <c r="D239" s="0" t="n">
        <v>-31874787.04853688</v>
      </c>
      <c r="E239" s="0" t="n">
        <v>5.213238704615154e-05</v>
      </c>
      <c r="F239" s="0" t="n">
        <v>5.37130090298092e-05</v>
      </c>
      <c r="G239" s="0" t="n">
        <v>-1.580621983657661e-06</v>
      </c>
      <c r="H239" s="0" t="b">
        <v>1</v>
      </c>
    </row>
    <row r="240">
      <c r="A240" s="0" t="n">
        <v>95</v>
      </c>
      <c r="B240" s="0" t="n">
        <v>15</v>
      </c>
      <c r="C240" s="0" t="n">
        <v>451085.44921875</v>
      </c>
      <c r="D240" s="0" t="n">
        <v>-12301601.8407515</v>
      </c>
      <c r="E240" s="0" t="n">
        <v>5.311268275950541e-05</v>
      </c>
      <c r="F240" s="0" t="n">
        <v>5.37130090298092e-05</v>
      </c>
      <c r="G240" s="0" t="n">
        <v>-6.003262703037915e-07</v>
      </c>
      <c r="H240" s="0" t="b">
        <v>1</v>
      </c>
    </row>
    <row r="241">
      <c r="A241" s="0" t="n">
        <v>95</v>
      </c>
      <c r="B241" s="0" t="n">
        <v>16</v>
      </c>
      <c r="C241" s="0" t="n">
        <v>451585.44921875</v>
      </c>
      <c r="D241" s="0" t="n">
        <v>8247840.262779728</v>
      </c>
      <c r="E241" s="0" t="n">
        <v>5.410927444679756e-05</v>
      </c>
      <c r="F241" s="0" t="n">
        <v>5.37130090298092e-05</v>
      </c>
      <c r="G241" s="0" t="n">
        <v>3.96265416988356e-07</v>
      </c>
      <c r="H241" s="0" t="b">
        <v>0</v>
      </c>
    </row>
    <row r="242">
      <c r="A242" s="0" t="n">
        <v>95</v>
      </c>
      <c r="B242" s="0" t="n">
        <v>17</v>
      </c>
      <c r="C242" s="0" t="n">
        <v>451335.44921875</v>
      </c>
      <c r="D242" s="0" t="n">
        <v>-2149608.078193704</v>
      </c>
      <c r="E242" s="0" t="n">
        <v>5.360892746320921e-05</v>
      </c>
      <c r="F242" s="0" t="n">
        <v>5.37130090298092e-05</v>
      </c>
      <c r="G242" s="0" t="n">
        <v>-1.040815665999888e-07</v>
      </c>
      <c r="H242" s="0" t="b">
        <v>1</v>
      </c>
    </row>
    <row r="243">
      <c r="A243" s="0" t="n">
        <v>95</v>
      </c>
      <c r="B243" s="0" t="n">
        <v>18</v>
      </c>
      <c r="C243" s="0" t="n">
        <v>451460.44921875</v>
      </c>
      <c r="D243" s="0" t="n">
        <v>3018349.46485098</v>
      </c>
      <c r="E243" s="0" t="n">
        <v>5.385858661512024e-05</v>
      </c>
      <c r="F243" s="0" t="n">
        <v>5.37130090298092e-05</v>
      </c>
      <c r="G243" s="0" t="n">
        <v>1.455775853110401e-07</v>
      </c>
      <c r="H243" s="0" t="b">
        <v>0</v>
      </c>
    </row>
    <row r="244">
      <c r="A244" s="0" t="n">
        <v>95</v>
      </c>
      <c r="B244" s="0" t="n">
        <v>19</v>
      </c>
      <c r="C244" s="0" t="n">
        <v>451397.94921875</v>
      </c>
      <c r="D244" s="0" t="n">
        <v>426688.5703456293</v>
      </c>
      <c r="E244" s="0" t="n">
        <v>5.37336285926175e-05</v>
      </c>
      <c r="F244" s="0" t="n">
        <v>5.37130090298092e-05</v>
      </c>
      <c r="G244" s="0" t="n">
        <v>2.061956280830055e-08</v>
      </c>
      <c r="H244" s="0" t="b">
        <v>0</v>
      </c>
    </row>
    <row r="245">
      <c r="A245" s="0" t="n">
        <v>95</v>
      </c>
      <c r="B245" s="0" t="n">
        <v>20</v>
      </c>
      <c r="C245" s="0" t="n">
        <v>451429.19921875</v>
      </c>
      <c r="D245" s="0" t="n">
        <v>1720597.0661606</v>
      </c>
      <c r="E245" s="0" t="n">
        <v>5.379607546368554e-05</v>
      </c>
      <c r="F245" s="0" t="n">
        <v>5.37130090298092e-05</v>
      </c>
      <c r="G245" s="0" t="n">
        <v>8.306643387633668e-08</v>
      </c>
      <c r="H245" s="0" t="b">
        <v>0</v>
      </c>
    </row>
    <row r="246">
      <c r="A246" s="0" t="n">
        <v>95</v>
      </c>
      <c r="B246" s="0" t="n">
        <v>21</v>
      </c>
      <c r="C246" s="0" t="n">
        <v>451413.57421875</v>
      </c>
      <c r="D246" s="0" t="n">
        <v>1073162.508453749</v>
      </c>
      <c r="E246" s="0" t="n">
        <v>5.37648439966772e-05</v>
      </c>
      <c r="F246" s="0" t="n">
        <v>5.37130090298092e-05</v>
      </c>
      <c r="G246" s="0" t="n">
        <v>5.183496686799539e-08</v>
      </c>
      <c r="H246" s="0" t="b">
        <v>0</v>
      </c>
    </row>
    <row r="247">
      <c r="A247" s="0" t="n">
        <v>95</v>
      </c>
      <c r="B247" s="0" t="n">
        <v>22</v>
      </c>
      <c r="C247" s="0" t="n">
        <v>451394.82421875</v>
      </c>
      <c r="D247" s="0" t="n">
        <v>297494.3078038932</v>
      </c>
      <c r="E247" s="0" t="n">
        <v>5.372738672757956e-05</v>
      </c>
      <c r="F247" s="0" t="n">
        <v>5.37130090298092e-05</v>
      </c>
      <c r="G247" s="0" t="n">
        <v>1.437769777036134e-08</v>
      </c>
      <c r="H247" s="0" t="b">
        <v>0</v>
      </c>
    </row>
    <row r="248">
      <c r="A248" s="0" t="n">
        <v>95</v>
      </c>
      <c r="B248" s="0" t="n">
        <v>23</v>
      </c>
      <c r="C248" s="0" t="n">
        <v>451404.19921875</v>
      </c>
      <c r="D248" s="0" t="n">
        <v>685148.1571040176</v>
      </c>
      <c r="E248" s="0" t="n">
        <v>5.374611211549562e-05</v>
      </c>
      <c r="F248" s="0" t="n">
        <v>5.37130090298092e-05</v>
      </c>
      <c r="G248" s="0" t="n">
        <v>3.310308568641498e-08</v>
      </c>
      <c r="H248" s="0" t="b">
        <v>0</v>
      </c>
    </row>
    <row r="249">
      <c r="A249" s="0" t="n">
        <v>95</v>
      </c>
      <c r="B249" s="0" t="n">
        <v>24</v>
      </c>
      <c r="C249" s="0" t="n">
        <v>451399.51171875</v>
      </c>
      <c r="D249" s="0" t="n">
        <v>491278.0187394326</v>
      </c>
      <c r="E249" s="0" t="n">
        <v>5.373674869898322e-05</v>
      </c>
      <c r="F249" s="0" t="n">
        <v>5.37130090298092e-05</v>
      </c>
      <c r="G249" s="0" t="n">
        <v>2.373966917402386e-08</v>
      </c>
      <c r="H249" s="0" t="b">
        <v>0</v>
      </c>
    </row>
    <row r="250">
      <c r="A250" s="0" t="n">
        <v>95</v>
      </c>
      <c r="B250" s="0" t="n">
        <v>25</v>
      </c>
      <c r="C250" s="0" t="n">
        <v>451393.88671875</v>
      </c>
      <c r="D250" s="0" t="n">
        <v>258747.935910493</v>
      </c>
      <c r="E250" s="0" t="n">
        <v>5.372551450668745e-05</v>
      </c>
      <c r="F250" s="0" t="n">
        <v>5.37130090298092e-05</v>
      </c>
      <c r="G250" s="0" t="n">
        <v>1.250547687824892e-08</v>
      </c>
      <c r="H250" s="0" t="b">
        <v>0</v>
      </c>
    </row>
    <row r="251">
      <c r="A251" s="0" t="n">
        <v>95</v>
      </c>
      <c r="B251" s="0" t="n">
        <v>26</v>
      </c>
      <c r="C251" s="0" t="n">
        <v>451396.69921875</v>
      </c>
      <c r="D251" s="0" t="n">
        <v>375012.1436272587</v>
      </c>
      <c r="E251" s="0" t="n">
        <v>5.373113205400832e-05</v>
      </c>
      <c r="F251" s="0" t="n">
        <v>5.37130090298092e-05</v>
      </c>
      <c r="G251" s="0" t="n">
        <v>1.812302419911666e-08</v>
      </c>
      <c r="H251" s="0" t="b">
        <v>0</v>
      </c>
    </row>
    <row r="252">
      <c r="A252" s="0" t="n">
        <v>95</v>
      </c>
      <c r="B252" s="0" t="n">
        <v>27</v>
      </c>
      <c r="C252" s="0" t="n">
        <v>451400.07421875</v>
      </c>
      <c r="D252" s="0" t="n">
        <v>514552.6005934795</v>
      </c>
      <c r="E252" s="0" t="n">
        <v>5.373787294410053e-05</v>
      </c>
      <c r="F252" s="0" t="n">
        <v>5.37130090298092e-05</v>
      </c>
      <c r="G252" s="0" t="n">
        <v>2.486391429133331e-08</v>
      </c>
      <c r="H252" s="0" t="b">
        <v>0</v>
      </c>
    </row>
    <row r="253">
      <c r="A253" s="0" t="n">
        <v>95</v>
      </c>
      <c r="B253" s="0" t="n">
        <v>28</v>
      </c>
      <c r="C253" s="0" t="n">
        <v>451398.38671875</v>
      </c>
      <c r="D253" s="0" t="n">
        <v>444776.7716113435</v>
      </c>
      <c r="E253" s="0" t="n">
        <v>5.37345024054071e-05</v>
      </c>
      <c r="F253" s="0" t="n">
        <v>5.37130090298092e-05</v>
      </c>
      <c r="G253" s="0" t="n">
        <v>2.149337559790269e-08</v>
      </c>
      <c r="H253" s="0" t="b">
        <v>0</v>
      </c>
    </row>
    <row r="254">
      <c r="A254" s="0" t="n">
        <v>95</v>
      </c>
      <c r="B254" s="0" t="n">
        <v>29</v>
      </c>
      <c r="C254" s="0" t="n">
        <v>451399.23046875</v>
      </c>
      <c r="D254" s="0" t="n">
        <v>479663.2860348961</v>
      </c>
      <c r="E254" s="0" t="n">
        <v>5.373618765134554e-05</v>
      </c>
      <c r="F254" s="0" t="n">
        <v>5.37130090298092e-05</v>
      </c>
      <c r="G254" s="0" t="n">
        <v>2.317862153634073e-08</v>
      </c>
      <c r="H254" s="0" t="b">
        <v>0</v>
      </c>
    </row>
    <row r="255">
      <c r="A255" s="0" t="n">
        <v>95</v>
      </c>
      <c r="B255" s="0" t="n">
        <v>30</v>
      </c>
      <c r="C255" s="0" t="n">
        <v>451398.80859375</v>
      </c>
      <c r="D255" s="0" t="n">
        <v>462219.6789204298</v>
      </c>
      <c r="E255" s="0" t="n">
        <v>5.373534502252967e-05</v>
      </c>
      <c r="F255" s="0" t="n">
        <v>5.37130090298092e-05</v>
      </c>
      <c r="G255" s="0" t="n">
        <v>2.233599272047002e-08</v>
      </c>
      <c r="H255" s="0" t="b">
        <v>0</v>
      </c>
    </row>
    <row r="256">
      <c r="A256" s="0" t="n">
        <v>95</v>
      </c>
      <c r="B256" s="0" t="n">
        <v>31</v>
      </c>
      <c r="C256" s="0" t="n">
        <v>451398.30234375</v>
      </c>
      <c r="D256" s="0" t="n">
        <v>441273.5490589307</v>
      </c>
      <c r="E256" s="0" t="n">
        <v>5.373433317204671e-05</v>
      </c>
      <c r="F256" s="0" t="n">
        <v>5.37130090298092e-05</v>
      </c>
      <c r="G256" s="0" t="n">
        <v>2.132414223751124e-08</v>
      </c>
      <c r="H256" s="0" t="b">
        <v>0</v>
      </c>
    </row>
    <row r="257">
      <c r="A257" s="0" t="n">
        <v>95</v>
      </c>
      <c r="B257" s="0" t="n">
        <v>32</v>
      </c>
      <c r="C257" s="0" t="n">
        <v>451398.55546875</v>
      </c>
      <c r="D257" s="0" t="n">
        <v>451739.1248348654</v>
      </c>
      <c r="E257" s="0" t="n">
        <v>5.373483873949333e-05</v>
      </c>
      <c r="F257" s="0" t="n">
        <v>5.37130090298092e-05</v>
      </c>
      <c r="G257" s="0" t="n">
        <v>2.182970968412864e-08</v>
      </c>
      <c r="H257" s="0" t="b">
        <v>0</v>
      </c>
    </row>
    <row r="258">
      <c r="A258" s="0" t="n">
        <v>96</v>
      </c>
      <c r="B258" s="0" t="n">
        <v>1</v>
      </c>
      <c r="C258" s="0" t="n">
        <v>6050000</v>
      </c>
      <c r="D258" s="0" t="n">
        <v>5858687730350472</v>
      </c>
      <c r="E258" s="0" t="n">
        <v>11.4089559072267</v>
      </c>
      <c r="F258" s="0" t="n">
        <v>5.371300902901055e-05</v>
      </c>
      <c r="G258" s="0" t="n">
        <v>11.40890219421767</v>
      </c>
      <c r="H258" s="0" t="b">
        <v>0</v>
      </c>
    </row>
    <row r="259">
      <c r="A259" s="0" t="n">
        <v>96</v>
      </c>
      <c r="B259" s="0" t="n">
        <v>2</v>
      </c>
      <c r="C259" s="0" t="n">
        <v>3075000</v>
      </c>
      <c r="D259" s="0" t="n">
        <v>502619213115.5106</v>
      </c>
      <c r="E259" s="0" t="n">
        <v>0.004624418737109589</v>
      </c>
      <c r="F259" s="0" t="n">
        <v>5.371300902980939e-05</v>
      </c>
      <c r="G259" s="0" t="n">
        <v>0.004570705728079779</v>
      </c>
      <c r="H259" s="0" t="b">
        <v>0</v>
      </c>
    </row>
    <row r="260">
      <c r="A260" s="0" t="n">
        <v>96</v>
      </c>
      <c r="B260" s="0" t="n">
        <v>3</v>
      </c>
      <c r="C260" s="0" t="n">
        <v>1587500</v>
      </c>
      <c r="D260" s="0" t="n">
        <v>-64685.61103409928</v>
      </c>
      <c r="E260" s="0" t="n">
        <v>2.356599146336817e-06</v>
      </c>
      <c r="F260" s="0" t="n">
        <v>5.37130090298092e-05</v>
      </c>
      <c r="G260" s="0" t="n">
        <v>-5.135640988347239e-05</v>
      </c>
      <c r="H260" s="0" t="b">
        <v>1</v>
      </c>
    </row>
    <row r="261">
      <c r="A261" s="0" t="n">
        <v>96</v>
      </c>
      <c r="B261" s="0" t="n">
        <v>4</v>
      </c>
      <c r="C261" s="0" t="n">
        <v>2331250</v>
      </c>
      <c r="D261" s="0" t="n">
        <v>4217435150.580719</v>
      </c>
      <c r="E261" s="0" t="n">
        <v>0.0001631454765617958</v>
      </c>
      <c r="F261" s="0" t="n">
        <v>5.37130090298092e-05</v>
      </c>
      <c r="G261" s="0" t="n">
        <v>0.0001094324675319866</v>
      </c>
      <c r="H261" s="0" t="b">
        <v>0</v>
      </c>
    </row>
    <row r="262">
      <c r="A262" s="0" t="n">
        <v>96</v>
      </c>
      <c r="B262" s="0" t="n">
        <v>5</v>
      </c>
      <c r="C262" s="0" t="n">
        <v>1959375</v>
      </c>
      <c r="D262" s="0" t="n">
        <v>-432136.071626112</v>
      </c>
      <c r="E262" s="0" t="n">
        <v>1.575577327253251e-05</v>
      </c>
      <c r="F262" s="0" t="n">
        <v>5.37130090298092e-05</v>
      </c>
      <c r="G262" s="0" t="n">
        <v>-3.795723575727669e-05</v>
      </c>
      <c r="H262" s="0" t="b">
        <v>1</v>
      </c>
    </row>
    <row r="263">
      <c r="A263" s="0" t="n">
        <v>96</v>
      </c>
      <c r="B263" s="0" t="n">
        <v>6</v>
      </c>
      <c r="C263" s="0" t="n">
        <v>2145312.5</v>
      </c>
      <c r="D263" s="0" t="n">
        <v>-53404500.55327747</v>
      </c>
      <c r="E263" s="0" t="n">
        <v>5.101356650763337e-05</v>
      </c>
      <c r="F263" s="0" t="n">
        <v>5.37130090298092e-05</v>
      </c>
      <c r="G263" s="0" t="n">
        <v>-2.699442522175834e-06</v>
      </c>
      <c r="H263" s="0" t="b">
        <v>1</v>
      </c>
    </row>
    <row r="264">
      <c r="A264" s="0" t="n">
        <v>96</v>
      </c>
      <c r="B264" s="0" t="n">
        <v>7</v>
      </c>
      <c r="C264" s="0" t="n">
        <v>2238281.25</v>
      </c>
      <c r="D264" s="0" t="n">
        <v>1175218033.994496</v>
      </c>
      <c r="E264" s="0" t="n">
        <v>9.33211448003853e-05</v>
      </c>
      <c r="F264" s="0" t="n">
        <v>5.37130090298092e-05</v>
      </c>
      <c r="G264" s="0" t="n">
        <v>3.96081357705761e-05</v>
      </c>
      <c r="H264" s="0" t="b">
        <v>0</v>
      </c>
    </row>
    <row r="265">
      <c r="A265" s="0" t="n">
        <v>96</v>
      </c>
      <c r="B265" s="0" t="n">
        <v>8</v>
      </c>
      <c r="C265" s="0" t="n">
        <v>2191796.875</v>
      </c>
      <c r="D265" s="0" t="n">
        <v>391956270.9426007</v>
      </c>
      <c r="E265" s="0" t="n">
        <v>6.94155761094356e-05</v>
      </c>
      <c r="F265" s="0" t="n">
        <v>5.37130090298092e-05</v>
      </c>
      <c r="G265" s="0" t="n">
        <v>1.57025670796264e-05</v>
      </c>
      <c r="H265" s="0" t="b">
        <v>0</v>
      </c>
    </row>
    <row r="266">
      <c r="A266" s="0" t="n">
        <v>96</v>
      </c>
      <c r="B266" s="0" t="n">
        <v>9</v>
      </c>
      <c r="C266" s="0" t="n">
        <v>2168554.6875</v>
      </c>
      <c r="D266" s="0" t="n">
        <v>132198448.5669626</v>
      </c>
      <c r="E266" s="0" t="n">
        <v>5.959996180193619e-05</v>
      </c>
      <c r="F266" s="0" t="n">
        <v>5.37130090298092e-05</v>
      </c>
      <c r="G266" s="0" t="n">
        <v>5.886952772126993e-06</v>
      </c>
      <c r="H266" s="0" t="b">
        <v>0</v>
      </c>
    </row>
    <row r="267">
      <c r="A267" s="0" t="n">
        <v>96</v>
      </c>
      <c r="B267" s="0" t="n">
        <v>10</v>
      </c>
      <c r="C267" s="0" t="n">
        <v>2156933.59375</v>
      </c>
      <c r="D267" s="0" t="n">
        <v>30634267.26954484</v>
      </c>
      <c r="E267" s="0" t="n">
        <v>5.516173920187743e-05</v>
      </c>
      <c r="F267" s="0" t="n">
        <v>5.37130090298092e-05</v>
      </c>
      <c r="G267" s="0" t="n">
        <v>1.448730172068232e-06</v>
      </c>
      <c r="H267" s="0" t="b">
        <v>0</v>
      </c>
    </row>
    <row r="268">
      <c r="A268" s="0" t="n">
        <v>96</v>
      </c>
      <c r="B268" s="0" t="n">
        <v>11</v>
      </c>
      <c r="C268" s="0" t="n">
        <v>2151123.046875</v>
      </c>
      <c r="D268" s="0" t="n">
        <v>-13521026.15125568</v>
      </c>
      <c r="E268" s="0" t="n">
        <v>5.305253819256712e-05</v>
      </c>
      <c r="F268" s="0" t="n">
        <v>5.37130090298092e-05</v>
      </c>
      <c r="G268" s="0" t="n">
        <v>-6.604708372420759e-07</v>
      </c>
      <c r="H268" s="0" t="b">
        <v>1</v>
      </c>
    </row>
    <row r="269">
      <c r="A269" s="0" t="n">
        <v>96</v>
      </c>
      <c r="B269" s="0" t="n">
        <v>12</v>
      </c>
      <c r="C269" s="0" t="n">
        <v>2154028.3203125</v>
      </c>
      <c r="D269" s="0" t="n">
        <v>8015915.738887087</v>
      </c>
      <c r="E269" s="0" t="n">
        <v>5.409819716672762e-05</v>
      </c>
      <c r="F269" s="0" t="n">
        <v>5.37130090298092e-05</v>
      </c>
      <c r="G269" s="0" t="n">
        <v>3.85188136918422e-07</v>
      </c>
      <c r="H269" s="0" t="b">
        <v>0</v>
      </c>
    </row>
    <row r="270">
      <c r="A270" s="0" t="n">
        <v>96</v>
      </c>
      <c r="B270" s="0" t="n">
        <v>13</v>
      </c>
      <c r="C270" s="0" t="n">
        <v>2152575.68359375</v>
      </c>
      <c r="D270" s="0" t="n">
        <v>-2886921.239951496</v>
      </c>
      <c r="E270" s="0" t="n">
        <v>5.357314918649327e-05</v>
      </c>
      <c r="F270" s="0" t="n">
        <v>5.37130090298092e-05</v>
      </c>
      <c r="G270" s="0" t="n">
        <v>-1.398598433159258e-07</v>
      </c>
      <c r="H270" s="0" t="b">
        <v>1</v>
      </c>
    </row>
    <row r="271">
      <c r="A271" s="0" t="n">
        <v>96</v>
      </c>
      <c r="B271" s="0" t="n">
        <v>14</v>
      </c>
      <c r="C271" s="0" t="n">
        <v>2153075.68359375</v>
      </c>
      <c r="D271" s="0" t="n">
        <v>835438.5682269824</v>
      </c>
      <c r="E271" s="0" t="n">
        <v>5.375336886913074e-05</v>
      </c>
      <c r="F271" s="0" t="n">
        <v>5.37130090298092e-05</v>
      </c>
      <c r="G271" s="0" t="n">
        <v>4.035983932154067e-08</v>
      </c>
      <c r="H271" s="0" t="b">
        <v>0</v>
      </c>
    </row>
    <row r="272">
      <c r="A272" s="0" t="n">
        <v>96</v>
      </c>
      <c r="B272" s="0" t="n">
        <v>15</v>
      </c>
      <c r="C272" s="0" t="n">
        <v>2153675.68359375</v>
      </c>
      <c r="D272" s="0" t="n">
        <v>5344331.133132773</v>
      </c>
      <c r="E272" s="0" t="n">
        <v>5.397032562938586e-05</v>
      </c>
      <c r="F272" s="0" t="n">
        <v>5.37130090298092e-05</v>
      </c>
      <c r="G272" s="0" t="n">
        <v>2.573165995766548e-07</v>
      </c>
      <c r="H272" s="0" t="b">
        <v>0</v>
      </c>
    </row>
    <row r="273">
      <c r="A273" s="0" t="n">
        <v>96</v>
      </c>
      <c r="B273" s="0" t="n">
        <v>16</v>
      </c>
      <c r="C273" s="0" t="n">
        <v>2153375.68359375</v>
      </c>
      <c r="D273" s="0" t="n">
        <v>3084166.150663041</v>
      </c>
      <c r="E273" s="0" t="n">
        <v>5.38617537078366e-05</v>
      </c>
      <c r="F273" s="0" t="n">
        <v>5.37130090298092e-05</v>
      </c>
      <c r="G273" s="0" t="n">
        <v>1.487446780273986e-07</v>
      </c>
      <c r="H273" s="0" t="b">
        <v>0</v>
      </c>
    </row>
    <row r="274">
      <c r="A274" s="0" t="n">
        <v>96</v>
      </c>
      <c r="B274" s="0" t="n">
        <v>17</v>
      </c>
      <c r="C274" s="0" t="n">
        <v>2153015.68359375</v>
      </c>
      <c r="D274" s="0" t="n">
        <v>387071.9096016228</v>
      </c>
      <c r="E274" s="0" t="n">
        <v>5.373171469044006e-05</v>
      </c>
      <c r="F274" s="0" t="n">
        <v>5.37130090298092e-05</v>
      </c>
      <c r="G274" s="0" t="n">
        <v>1.870566063085925e-08</v>
      </c>
      <c r="H274" s="0" t="b">
        <v>0</v>
      </c>
    </row>
    <row r="275">
      <c r="A275" s="0" t="n">
        <v>96</v>
      </c>
      <c r="B275" s="0" t="n">
        <v>18</v>
      </c>
      <c r="C275" s="0" t="n">
        <v>2153195.68359375</v>
      </c>
      <c r="D275" s="0" t="n">
        <v>1733487.778531549</v>
      </c>
      <c r="E275" s="0" t="n">
        <v>5.379669698895988e-05</v>
      </c>
      <c r="F275" s="0" t="n">
        <v>5.37130090298092e-05</v>
      </c>
      <c r="G275" s="0" t="n">
        <v>8.368795915067846e-08</v>
      </c>
      <c r="H275" s="0" t="b">
        <v>0</v>
      </c>
    </row>
    <row r="276">
      <c r="A276" s="0" t="n">
        <v>96</v>
      </c>
      <c r="B276" s="0" t="n">
        <v>19</v>
      </c>
      <c r="C276" s="0" t="n">
        <v>2153411.68359375</v>
      </c>
      <c r="D276" s="0" t="n">
        <v>3354723.134803131</v>
      </c>
      <c r="E276" s="0" t="n">
        <v>5.387476963354804e-05</v>
      </c>
      <c r="F276" s="0" t="n">
        <v>5.37130090298092e-05</v>
      </c>
      <c r="G276" s="0" t="n">
        <v>1.6176060373884e-07</v>
      </c>
      <c r="H276" s="0" t="b">
        <v>0</v>
      </c>
    </row>
    <row r="277">
      <c r="A277" s="0" t="n">
        <v>96</v>
      </c>
      <c r="B277" s="0" t="n">
        <v>20</v>
      </c>
      <c r="C277" s="0" t="n">
        <v>2153303.68359375</v>
      </c>
      <c r="D277" s="0" t="n">
        <v>2543423.196725061</v>
      </c>
      <c r="E277" s="0" t="n">
        <v>5.383572401869399e-05</v>
      </c>
      <c r="F277" s="0" t="n">
        <v>5.37130090298092e-05</v>
      </c>
      <c r="G277" s="0" t="n">
        <v>1.227149888847923e-07</v>
      </c>
      <c r="H277" s="0" t="b">
        <v>0</v>
      </c>
    </row>
    <row r="278">
      <c r="A278" s="0" t="n">
        <v>96</v>
      </c>
      <c r="B278" s="0" t="n">
        <v>21</v>
      </c>
      <c r="C278" s="0" t="n">
        <v>2153174.08359375</v>
      </c>
      <c r="D278" s="0" t="n">
        <v>1571691.99680722</v>
      </c>
      <c r="E278" s="0" t="n">
        <v>5.378889514197094e-05</v>
      </c>
      <c r="F278" s="0" t="n">
        <v>5.37130090298092e-05</v>
      </c>
      <c r="G278" s="0" t="n">
        <v>7.588611216173671e-08</v>
      </c>
      <c r="H278" s="0" t="b">
        <v>0</v>
      </c>
    </row>
    <row r="279">
      <c r="A279" s="0" t="n">
        <v>96</v>
      </c>
      <c r="B279" s="0" t="n">
        <v>22</v>
      </c>
      <c r="C279" s="0" t="n">
        <v>2153238.88359375</v>
      </c>
      <c r="D279" s="0" t="n">
        <v>2057258.075669669</v>
      </c>
      <c r="E279" s="0" t="n">
        <v>5.381230363708685e-05</v>
      </c>
      <c r="F279" s="0" t="n">
        <v>5.37130090298092e-05</v>
      </c>
      <c r="G279" s="0" t="n">
        <v>9.929460727764689e-08</v>
      </c>
      <c r="H279" s="0" t="b">
        <v>0</v>
      </c>
    </row>
    <row r="280">
      <c r="A280" s="0" t="n">
        <v>96</v>
      </c>
      <c r="B280" s="0" t="n">
        <v>23</v>
      </c>
      <c r="C280" s="0" t="n">
        <v>2153316.643593749</v>
      </c>
      <c r="D280" s="0" t="n">
        <v>2640708.049275469</v>
      </c>
      <c r="E280" s="0" t="n">
        <v>5.384040855475851e-05</v>
      </c>
      <c r="F280" s="0" t="n">
        <v>5.37130090298092e-05</v>
      </c>
      <c r="G280" s="0" t="n">
        <v>1.273995249493116e-07</v>
      </c>
      <c r="H280" s="0" t="b">
        <v>0</v>
      </c>
    </row>
    <row r="281">
      <c r="A281" s="0" t="n">
        <v>96</v>
      </c>
      <c r="B281" s="0" t="n">
        <v>24</v>
      </c>
      <c r="C281" s="0" t="n">
        <v>2153277.76359375</v>
      </c>
      <c r="D281" s="0" t="n">
        <v>2348855.127543496</v>
      </c>
      <c r="E281" s="0" t="n">
        <v>5.382635298869737e-05</v>
      </c>
      <c r="F281" s="0" t="n">
        <v>5.37130090298092e-05</v>
      </c>
      <c r="G281" s="0" t="n">
        <v>1.133439588881698e-07</v>
      </c>
      <c r="H281" s="0" t="b">
        <v>0</v>
      </c>
    </row>
    <row r="282">
      <c r="A282" s="0" t="n">
        <v>96</v>
      </c>
      <c r="B282" s="0" t="n">
        <v>25</v>
      </c>
      <c r="C282" s="0" t="n">
        <v>2153231.10759375</v>
      </c>
      <c r="D282" s="0" t="n">
        <v>1999024.510276949</v>
      </c>
      <c r="E282" s="0" t="n">
        <v>5.380949717044187e-05</v>
      </c>
      <c r="F282" s="0" t="n">
        <v>5.37130090298092e-05</v>
      </c>
      <c r="G282" s="0" t="n">
        <v>9.648814063267222e-08</v>
      </c>
      <c r="H282" s="0" t="b">
        <v>0</v>
      </c>
    </row>
    <row r="283">
      <c r="A283" s="0" t="n">
        <v>96</v>
      </c>
      <c r="B283" s="0" t="n">
        <v>26</v>
      </c>
      <c r="C283" s="0" t="n">
        <v>2153254.43559375</v>
      </c>
      <c r="D283" s="0" t="n">
        <v>2173873.727567585</v>
      </c>
      <c r="E283" s="0" t="n">
        <v>5.381792299477392e-05</v>
      </c>
      <c r="F283" s="0" t="n">
        <v>5.37130090298092e-05</v>
      </c>
      <c r="G283" s="0" t="n">
        <v>1.04913964964723e-07</v>
      </c>
      <c r="H283" s="0" t="b">
        <v>0</v>
      </c>
    </row>
    <row r="284">
      <c r="A284" s="0" t="n">
        <v>97</v>
      </c>
      <c r="B284" s="0" t="n">
        <v>1</v>
      </c>
      <c r="C284" s="0" t="n">
        <v>6050000</v>
      </c>
      <c r="D284" s="0" t="n">
        <v>4.792678607272602e+17</v>
      </c>
      <c r="E284" s="0" t="n">
        <v>536.8709220000001</v>
      </c>
      <c r="F284" s="0" t="n">
        <v>5.347630644791934e-05</v>
      </c>
      <c r="G284" s="0" t="n">
        <v>536.8708685236936</v>
      </c>
      <c r="H284" s="0" t="b">
        <v>0</v>
      </c>
    </row>
    <row r="285">
      <c r="A285" s="0" t="n">
        <v>97</v>
      </c>
      <c r="B285" s="0" t="n">
        <v>2</v>
      </c>
      <c r="C285" s="0" t="n">
        <v>3075000</v>
      </c>
      <c r="D285" s="0" t="n">
        <v>4.792678607272603e+17</v>
      </c>
      <c r="E285" s="0" t="n">
        <v>536.8709220000002</v>
      </c>
      <c r="F285" s="0" t="n">
        <v>5.347630644791934e-05</v>
      </c>
      <c r="G285" s="0" t="n">
        <v>536.8708685236937</v>
      </c>
      <c r="H285" s="0" t="b">
        <v>0</v>
      </c>
    </row>
    <row r="286">
      <c r="A286" s="0" t="n">
        <v>97</v>
      </c>
      <c r="B286" s="0" t="n">
        <v>3</v>
      </c>
      <c r="C286" s="0" t="n">
        <v>1587500</v>
      </c>
      <c r="D286" s="0" t="n">
        <v>5.053730650584267e+16</v>
      </c>
      <c r="E286" s="0" t="n">
        <v>74.06856817130003</v>
      </c>
      <c r="F286" s="0" t="n">
        <v>5.347630643370849e-05</v>
      </c>
      <c r="G286" s="0" t="n">
        <v>74.0685146949936</v>
      </c>
      <c r="H286" s="0" t="b">
        <v>0</v>
      </c>
    </row>
    <row r="287">
      <c r="A287" s="0" t="n">
        <v>97</v>
      </c>
      <c r="B287" s="0" t="n">
        <v>4</v>
      </c>
      <c r="C287" s="0" t="n">
        <v>843750</v>
      </c>
      <c r="D287" s="0" t="n">
        <v>44941077513260.3</v>
      </c>
      <c r="E287" s="0" t="n">
        <v>0.1793461777128526</v>
      </c>
      <c r="F287" s="0" t="n">
        <v>5.347630643795509e-05</v>
      </c>
      <c r="G287" s="0" t="n">
        <v>0.1792927014064146</v>
      </c>
      <c r="H287" s="0" t="b">
        <v>0</v>
      </c>
    </row>
    <row r="288">
      <c r="A288" s="0" t="n">
        <v>97</v>
      </c>
      <c r="B288" s="0" t="n">
        <v>5</v>
      </c>
      <c r="C288" s="0" t="n">
        <v>471875</v>
      </c>
      <c r="D288" s="0" t="n">
        <v>1882386729.238812</v>
      </c>
      <c r="E288" s="0" t="n">
        <v>0.0001111458764370857</v>
      </c>
      <c r="F288" s="0" t="n">
        <v>5.347630643794366e-05</v>
      </c>
      <c r="G288" s="0" t="n">
        <v>5.766956999914204e-05</v>
      </c>
      <c r="H288" s="0" t="b">
        <v>0</v>
      </c>
    </row>
    <row r="289">
      <c r="A289" s="0" t="n">
        <v>97</v>
      </c>
      <c r="B289" s="0" t="n">
        <v>6</v>
      </c>
      <c r="C289" s="0" t="n">
        <v>285937.5</v>
      </c>
      <c r="D289" s="0" t="n">
        <v>-34457.02271919014</v>
      </c>
      <c r="E289" s="0" t="n">
        <v>-4.966878954972119e-06</v>
      </c>
      <c r="F289" s="0" t="n">
        <v>5.347630643794366e-05</v>
      </c>
      <c r="G289" s="0" t="n">
        <v>-5.844318539291578e-05</v>
      </c>
      <c r="H289" s="0" t="b">
        <v>1</v>
      </c>
    </row>
    <row r="290">
      <c r="A290" s="0" t="n">
        <v>97</v>
      </c>
      <c r="B290" s="0" t="n">
        <v>7</v>
      </c>
      <c r="C290" s="0" t="n">
        <v>378906.25</v>
      </c>
      <c r="D290" s="0" t="n">
        <v>-101748.6386980376</v>
      </c>
      <c r="E290" s="0" t="n">
        <v>6.472032372059148e-06</v>
      </c>
      <c r="F290" s="0" t="n">
        <v>5.347630643794366e-05</v>
      </c>
      <c r="G290" s="0" t="n">
        <v>-4.700427406588451e-05</v>
      </c>
      <c r="H290" s="0" t="b">
        <v>1</v>
      </c>
    </row>
    <row r="291">
      <c r="A291" s="0" t="n">
        <v>97</v>
      </c>
      <c r="B291" s="0" t="n">
        <v>8</v>
      </c>
      <c r="C291" s="0" t="n">
        <v>425390.625</v>
      </c>
      <c r="D291" s="0" t="n">
        <v>-1031082.911686629</v>
      </c>
      <c r="E291" s="0" t="n">
        <v>1.929687306251814e-05</v>
      </c>
      <c r="F291" s="0" t="n">
        <v>5.347630643794365e-05</v>
      </c>
      <c r="G291" s="0" t="n">
        <v>-3.417943337542551e-05</v>
      </c>
      <c r="H291" s="0" t="b">
        <v>1</v>
      </c>
    </row>
    <row r="292">
      <c r="A292" s="0" t="n">
        <v>97</v>
      </c>
      <c r="B292" s="0" t="n">
        <v>9</v>
      </c>
      <c r="C292" s="0" t="n">
        <v>448632.8125</v>
      </c>
      <c r="D292" s="0" t="n">
        <v>-96926555.23427591</v>
      </c>
      <c r="E292" s="0" t="n">
        <v>4.837078338251338e-05</v>
      </c>
      <c r="F292" s="0" t="n">
        <v>5.347630643794366e-05</v>
      </c>
      <c r="G292" s="0" t="n">
        <v>-5.10552305543028e-06</v>
      </c>
      <c r="H292" s="0" t="b">
        <v>1</v>
      </c>
    </row>
    <row r="293">
      <c r="A293" s="0" t="n">
        <v>97</v>
      </c>
      <c r="B293" s="0" t="n">
        <v>10</v>
      </c>
      <c r="C293" s="0" t="n">
        <v>460253.90625</v>
      </c>
      <c r="D293" s="0" t="n">
        <v>539198773.0923262</v>
      </c>
      <c r="E293" s="0" t="n">
        <v>7.406535696024307e-05</v>
      </c>
      <c r="F293" s="0" t="n">
        <v>5.347630643794366e-05</v>
      </c>
      <c r="G293" s="0" t="n">
        <v>2.058905052229941e-05</v>
      </c>
      <c r="H293" s="0" t="b">
        <v>0</v>
      </c>
    </row>
    <row r="294">
      <c r="A294" s="0" t="n">
        <v>97</v>
      </c>
      <c r="B294" s="0" t="n">
        <v>11</v>
      </c>
      <c r="C294" s="0" t="n">
        <v>454443.359375</v>
      </c>
      <c r="D294" s="0" t="n">
        <v>148597848.5183787</v>
      </c>
      <c r="E294" s="0" t="n">
        <v>6.001108089974383e-05</v>
      </c>
      <c r="F294" s="0" t="n">
        <v>5.347630643794366e-05</v>
      </c>
      <c r="G294" s="0" t="n">
        <v>6.534774461800173e-06</v>
      </c>
      <c r="H294" s="0" t="b">
        <v>0</v>
      </c>
    </row>
    <row r="295">
      <c r="A295" s="0" t="n">
        <v>97</v>
      </c>
      <c r="B295" s="0" t="n">
        <v>12</v>
      </c>
      <c r="C295" s="0" t="n">
        <v>451538.0859375</v>
      </c>
      <c r="D295" s="0" t="n">
        <v>9138600.739088554</v>
      </c>
      <c r="E295" s="0" t="n">
        <v>5.391329026523115e-05</v>
      </c>
      <c r="F295" s="0" t="n">
        <v>5.347630643794366e-05</v>
      </c>
      <c r="G295" s="0" t="n">
        <v>4.369838272874873e-07</v>
      </c>
      <c r="H295" s="0" t="b">
        <v>0</v>
      </c>
    </row>
    <row r="296">
      <c r="A296" s="0" t="n">
        <v>97</v>
      </c>
      <c r="B296" s="0" t="n">
        <v>13</v>
      </c>
      <c r="C296" s="0" t="n">
        <v>450085.44921875</v>
      </c>
      <c r="D296" s="0" t="n">
        <v>-47929616.72376901</v>
      </c>
      <c r="E296" s="0" t="n">
        <v>5.107546269182402e-05</v>
      </c>
      <c r="F296" s="0" t="n">
        <v>5.347630643794366e-05</v>
      </c>
      <c r="G296" s="0" t="n">
        <v>-2.400843746119634e-06</v>
      </c>
      <c r="H296" s="0" t="b">
        <v>1</v>
      </c>
    </row>
    <row r="297">
      <c r="A297" s="0" t="n">
        <v>97</v>
      </c>
      <c r="B297" s="0" t="n">
        <v>14</v>
      </c>
      <c r="C297" s="0" t="n">
        <v>450585.44921875</v>
      </c>
      <c r="D297" s="0" t="n">
        <v>-29209766.29609036</v>
      </c>
      <c r="E297" s="0" t="n">
        <v>5.203694040756284e-05</v>
      </c>
      <c r="F297" s="0" t="n">
        <v>5.347630643794366e-05</v>
      </c>
      <c r="G297" s="0" t="n">
        <v>-1.439366030380821e-06</v>
      </c>
      <c r="H297" s="0" t="b">
        <v>1</v>
      </c>
    </row>
    <row r="298">
      <c r="A298" s="0" t="n">
        <v>97</v>
      </c>
      <c r="B298" s="0" t="n">
        <v>15</v>
      </c>
      <c r="C298" s="0" t="n">
        <v>451085.44921875</v>
      </c>
      <c r="D298" s="0" t="n">
        <v>-9524178.150350314</v>
      </c>
      <c r="E298" s="0" t="n">
        <v>5.301441650494364e-05</v>
      </c>
      <c r="F298" s="0" t="n">
        <v>5.347630643794366e-05</v>
      </c>
      <c r="G298" s="0" t="n">
        <v>-4.618899330000148e-07</v>
      </c>
      <c r="H298" s="0" t="b">
        <v>1</v>
      </c>
    </row>
    <row r="299">
      <c r="A299" s="0" t="n">
        <v>97</v>
      </c>
      <c r="B299" s="0" t="n">
        <v>16</v>
      </c>
      <c r="C299" s="0" t="n">
        <v>451585.44921875</v>
      </c>
      <c r="D299" s="0" t="n">
        <v>11138047.34088151</v>
      </c>
      <c r="E299" s="0" t="n">
        <v>5.400812281303441e-05</v>
      </c>
      <c r="F299" s="0" t="n">
        <v>5.347630643794366e-05</v>
      </c>
      <c r="G299" s="0" t="n">
        <v>5.318163750907506e-07</v>
      </c>
      <c r="H299" s="0" t="b">
        <v>0</v>
      </c>
    </row>
    <row r="300">
      <c r="A300" s="0" t="n">
        <v>97</v>
      </c>
      <c r="B300" s="0" t="n">
        <v>17</v>
      </c>
      <c r="C300" s="0" t="n">
        <v>451335.44921875</v>
      </c>
      <c r="D300" s="0" t="n">
        <v>684164.8126556133</v>
      </c>
      <c r="E300" s="0" t="n">
        <v>5.350922731893798e-05</v>
      </c>
      <c r="F300" s="0" t="n">
        <v>5.347630643794366e-05</v>
      </c>
      <c r="G300" s="0" t="n">
        <v>3.29208809943257e-08</v>
      </c>
      <c r="H300" s="0" t="b">
        <v>0</v>
      </c>
    </row>
    <row r="301">
      <c r="A301" s="0" t="n">
        <v>97</v>
      </c>
      <c r="B301" s="0" t="n">
        <v>18</v>
      </c>
      <c r="C301" s="0" t="n">
        <v>451035.44921875</v>
      </c>
      <c r="D301" s="0" t="n">
        <v>-11536501.40279228</v>
      </c>
      <c r="E301" s="0" t="n">
        <v>5.291594229749461e-05</v>
      </c>
      <c r="F301" s="0" t="n">
        <v>5.347630643794366e-05</v>
      </c>
      <c r="G301" s="0" t="n">
        <v>-5.603641404490508e-07</v>
      </c>
      <c r="H301" s="0" t="b">
        <v>1</v>
      </c>
    </row>
    <row r="302">
      <c r="A302" s="0" t="n">
        <v>97</v>
      </c>
      <c r="B302" s="0" t="n">
        <v>19</v>
      </c>
      <c r="C302" s="0" t="n">
        <v>451185.44921875</v>
      </c>
      <c r="D302" s="0" t="n">
        <v>-5470207.704403494</v>
      </c>
      <c r="E302" s="0" t="n">
        <v>5.321185279788221e-05</v>
      </c>
      <c r="F302" s="0" t="n">
        <v>5.347630643794366e-05</v>
      </c>
      <c r="G302" s="0" t="n">
        <v>-2.644536400614515e-07</v>
      </c>
      <c r="H302" s="0" t="b">
        <v>1</v>
      </c>
    </row>
    <row r="303">
      <c r="A303" s="0" t="n">
        <v>97</v>
      </c>
      <c r="B303" s="0" t="n">
        <v>20</v>
      </c>
      <c r="C303" s="0" t="n">
        <v>451335.44921875</v>
      </c>
      <c r="D303" s="0" t="n">
        <v>684164.8126556133</v>
      </c>
      <c r="E303" s="0" t="n">
        <v>5.350922731893798e-05</v>
      </c>
      <c r="F303" s="0" t="n">
        <v>5.347630643794366e-05</v>
      </c>
      <c r="G303" s="0" t="n">
        <v>3.29208809943257e-08</v>
      </c>
      <c r="H303" s="0" t="b">
        <v>0</v>
      </c>
    </row>
    <row r="304">
      <c r="A304" s="0" t="n">
        <v>97</v>
      </c>
      <c r="B304" s="0" t="n">
        <v>21</v>
      </c>
      <c r="C304" s="0" t="n">
        <v>451260.44921875</v>
      </c>
      <c r="D304" s="0" t="n">
        <v>-2404052.521729695</v>
      </c>
      <c r="E304" s="0" t="n">
        <v>5.336035656959142e-05</v>
      </c>
      <c r="F304" s="0" t="n">
        <v>5.347630643794366e-05</v>
      </c>
      <c r="G304" s="0" t="n">
        <v>-1.159498683522353e-07</v>
      </c>
      <c r="H304" s="0" t="b">
        <v>1</v>
      </c>
    </row>
    <row r="305">
      <c r="A305" s="0" t="n">
        <v>97</v>
      </c>
      <c r="B305" s="0" t="n">
        <v>22</v>
      </c>
      <c r="C305" s="0" t="n">
        <v>451297.94921875</v>
      </c>
      <c r="D305" s="0" t="n">
        <v>-862704.0533991319</v>
      </c>
      <c r="E305" s="0" t="n">
        <v>5.343474602315128e-05</v>
      </c>
      <c r="F305" s="0" t="n">
        <v>5.347630643794366e-05</v>
      </c>
      <c r="G305" s="0" t="n">
        <v>-4.156041479238019e-08</v>
      </c>
      <c r="H305" s="0" t="b">
        <v>1</v>
      </c>
    </row>
    <row r="306">
      <c r="A306" s="0" t="n">
        <v>97</v>
      </c>
      <c r="B306" s="0" t="n">
        <v>23</v>
      </c>
      <c r="C306" s="0" t="n">
        <v>451335.44921875</v>
      </c>
      <c r="D306" s="0" t="n">
        <v>684164.8126556133</v>
      </c>
      <c r="E306" s="0" t="n">
        <v>5.350922731893798e-05</v>
      </c>
      <c r="F306" s="0" t="n">
        <v>5.347630643794366e-05</v>
      </c>
      <c r="G306" s="0" t="n">
        <v>3.29208809943257e-08</v>
      </c>
      <c r="H306" s="0" t="b">
        <v>0</v>
      </c>
    </row>
    <row r="307">
      <c r="A307" s="0" t="n">
        <v>97</v>
      </c>
      <c r="B307" s="0" t="n">
        <v>24</v>
      </c>
      <c r="C307" s="0" t="n">
        <v>451316.69921875</v>
      </c>
      <c r="D307" s="0" t="n">
        <v>-89976.17017908533</v>
      </c>
      <c r="E307" s="0" t="n">
        <v>5.347197440485992e-05</v>
      </c>
      <c r="F307" s="0" t="n">
        <v>5.347630643794366e-05</v>
      </c>
      <c r="G307" s="0" t="n">
        <v>-4.332033083734874e-09</v>
      </c>
      <c r="H307" s="0" t="b">
        <v>1</v>
      </c>
    </row>
    <row r="308">
      <c r="A308" s="0" t="n">
        <v>97</v>
      </c>
      <c r="B308" s="0" t="n">
        <v>25</v>
      </c>
      <c r="C308" s="0" t="n">
        <v>451326.07421875</v>
      </c>
      <c r="D308" s="0" t="n">
        <v>296913.5767217347</v>
      </c>
      <c r="E308" s="0" t="n">
        <v>5.349059759912909e-05</v>
      </c>
      <c r="F308" s="0" t="n">
        <v>5.347630643794366e-05</v>
      </c>
      <c r="G308" s="0" t="n">
        <v>1.42911611854363e-08</v>
      </c>
      <c r="H308" s="0" t="b">
        <v>0</v>
      </c>
    </row>
    <row r="309">
      <c r="A309" s="0" t="n">
        <v>97</v>
      </c>
      <c r="B309" s="0" t="n">
        <v>26</v>
      </c>
      <c r="C309" s="0" t="n">
        <v>451337.32421875</v>
      </c>
      <c r="D309" s="0" t="n">
        <v>761637.0146601542</v>
      </c>
      <c r="E309" s="0" t="n">
        <v>5.351295301542549e-05</v>
      </c>
      <c r="F309" s="0" t="n">
        <v>5.347630643794366e-05</v>
      </c>
      <c r="G309" s="0" t="n">
        <v>3.66465774818335e-08</v>
      </c>
      <c r="H309" s="0" t="b">
        <v>0</v>
      </c>
    </row>
    <row r="310">
      <c r="A310" s="0" t="n">
        <v>97</v>
      </c>
      <c r="B310" s="0" t="n">
        <v>27</v>
      </c>
      <c r="C310" s="0" t="n">
        <v>451331.69921875</v>
      </c>
      <c r="D310" s="0" t="n">
        <v>529213.1415902991</v>
      </c>
      <c r="E310" s="0" t="n">
        <v>5.350177427305325e-05</v>
      </c>
      <c r="F310" s="0" t="n">
        <v>5.347630643794366e-05</v>
      </c>
      <c r="G310" s="0" t="n">
        <v>2.546783510958776e-08</v>
      </c>
      <c r="H310" s="0" t="b">
        <v>0</v>
      </c>
    </row>
    <row r="311">
      <c r="A311" s="0" t="n">
        <v>97</v>
      </c>
      <c r="B311" s="0" t="n">
        <v>28</v>
      </c>
      <c r="C311" s="0" t="n">
        <v>451324.94921875</v>
      </c>
      <c r="D311" s="0" t="n">
        <v>250468.5790773307</v>
      </c>
      <c r="E311" s="0" t="n">
        <v>5.34883625125193e-05</v>
      </c>
      <c r="F311" s="0" t="n">
        <v>5.347630643794366e-05</v>
      </c>
      <c r="G311" s="0" t="n">
        <v>1.205607457564609e-08</v>
      </c>
      <c r="H311" s="0" t="b">
        <v>0</v>
      </c>
    </row>
    <row r="312">
      <c r="A312" s="0" t="n">
        <v>97</v>
      </c>
      <c r="B312" s="0" t="n">
        <v>29</v>
      </c>
      <c r="C312" s="0" t="n">
        <v>451328.32421875</v>
      </c>
      <c r="D312" s="0" t="n">
        <v>389818.4867815428</v>
      </c>
      <c r="E312" s="0" t="n">
        <v>5.3495068020508e-05</v>
      </c>
      <c r="F312" s="0" t="n">
        <v>5.347630643794366e-05</v>
      </c>
      <c r="G312" s="0" t="n">
        <v>1.876158256433857e-08</v>
      </c>
      <c r="H312" s="0" t="b">
        <v>0</v>
      </c>
    </row>
    <row r="313">
      <c r="A313" s="0" t="n">
        <v>97</v>
      </c>
      <c r="B313" s="0" t="n">
        <v>30</v>
      </c>
      <c r="C313" s="0" t="n">
        <v>451332.37421875</v>
      </c>
      <c r="D313" s="0" t="n">
        <v>557113.6714586485</v>
      </c>
      <c r="E313" s="0" t="n">
        <v>5.350311639357208e-05</v>
      </c>
      <c r="F313" s="0" t="n">
        <v>5.347630643794366e-05</v>
      </c>
      <c r="G313" s="0" t="n">
        <v>2.680995562842148e-08</v>
      </c>
      <c r="H313" s="0" t="b">
        <v>0</v>
      </c>
    </row>
    <row r="314">
      <c r="A314" s="0" t="n">
        <v>97</v>
      </c>
      <c r="B314" s="0" t="n">
        <v>31</v>
      </c>
      <c r="C314" s="0" t="n">
        <v>451330.34921875</v>
      </c>
      <c r="D314" s="0" t="n">
        <v>473449.9098985835</v>
      </c>
      <c r="E314" s="0" t="n">
        <v>5.349909168268922e-05</v>
      </c>
      <c r="F314" s="0" t="n">
        <v>5.347630643794366e-05</v>
      </c>
      <c r="G314" s="0" t="n">
        <v>2.278524474555698e-08</v>
      </c>
      <c r="H314" s="0" t="b">
        <v>0</v>
      </c>
    </row>
    <row r="315">
      <c r="A315" s="0" t="n">
        <v>97</v>
      </c>
      <c r="B315" s="0" t="n">
        <v>32</v>
      </c>
      <c r="C315" s="0" t="n">
        <v>451327.91921875</v>
      </c>
      <c r="D315" s="0" t="n">
        <v>373110.3544960213</v>
      </c>
      <c r="E315" s="0" t="n">
        <v>5.349426410064342e-05</v>
      </c>
      <c r="F315" s="0" t="n">
        <v>5.347630643794366e-05</v>
      </c>
      <c r="G315" s="0" t="n">
        <v>1.795766269976147e-08</v>
      </c>
      <c r="H315" s="0" t="b">
        <v>0</v>
      </c>
    </row>
    <row r="316">
      <c r="A316" s="0" t="n">
        <v>97</v>
      </c>
      <c r="B316" s="0" t="n">
        <v>33</v>
      </c>
      <c r="C316" s="0" t="n">
        <v>451329.13421875</v>
      </c>
      <c r="D316" s="0" t="n">
        <v>423269.1230066335</v>
      </c>
      <c r="E316" s="0" t="n">
        <v>5.349667745321941e-05</v>
      </c>
      <c r="F316" s="0" t="n">
        <v>5.347630643794366e-05</v>
      </c>
      <c r="G316" s="0" t="n">
        <v>2.037101527575607e-08</v>
      </c>
      <c r="H316" s="0" t="b">
        <v>0</v>
      </c>
    </row>
    <row r="317">
      <c r="A317" s="0" t="n">
        <v>97</v>
      </c>
      <c r="B317" s="0" t="n">
        <v>34</v>
      </c>
      <c r="C317" s="0" t="n">
        <v>451330.59221875</v>
      </c>
      <c r="D317" s="0" t="n">
        <v>483486.763092519</v>
      </c>
      <c r="E317" s="0" t="n">
        <v>5.349957454015734e-05</v>
      </c>
      <c r="F317" s="0" t="n">
        <v>5.347630643794366e-05</v>
      </c>
      <c r="G317" s="0" t="n">
        <v>2.326810221367758e-08</v>
      </c>
      <c r="H317" s="0" t="b">
        <v>0</v>
      </c>
    </row>
    <row r="318">
      <c r="A318" s="0" t="n">
        <v>97</v>
      </c>
      <c r="B318" s="0" t="n">
        <v>35</v>
      </c>
      <c r="C318" s="0" t="n">
        <v>451329.86321875</v>
      </c>
      <c r="D318" s="0" t="n">
        <v>453393.1225332693</v>
      </c>
      <c r="E318" s="0" t="n">
        <v>5.349812675982989e-05</v>
      </c>
      <c r="F318" s="0" t="n">
        <v>5.347630643794366e-05</v>
      </c>
      <c r="G318" s="0" t="n">
        <v>2.18203218862301e-08</v>
      </c>
      <c r="H318" s="0" t="b">
        <v>0</v>
      </c>
    </row>
    <row r="319">
      <c r="A319" s="0" t="n">
        <v>98</v>
      </c>
      <c r="B319" s="0" t="n">
        <v>1</v>
      </c>
      <c r="C319" s="0" t="n">
        <v>6050000</v>
      </c>
      <c r="D319" s="0" t="n">
        <v>5691806834240614</v>
      </c>
      <c r="E319" s="0" t="n">
        <v>11.06354360994252</v>
      </c>
      <c r="F319" s="0" t="n">
        <v>5.34763064372612e-05</v>
      </c>
      <c r="G319" s="0" t="n">
        <v>11.06349013363608</v>
      </c>
      <c r="H319" s="0" t="b">
        <v>0</v>
      </c>
    </row>
    <row r="320">
      <c r="A320" s="0" t="n">
        <v>98</v>
      </c>
      <c r="B320" s="0" t="n">
        <v>2</v>
      </c>
      <c r="C320" s="0" t="n">
        <v>3075000</v>
      </c>
      <c r="D320" s="0" t="n">
        <v>495610728315.1562</v>
      </c>
      <c r="E320" s="0" t="n">
        <v>0.004550029242476263</v>
      </c>
      <c r="F320" s="0" t="n">
        <v>5.347630643794381e-05</v>
      </c>
      <c r="G320" s="0" t="n">
        <v>0.004496552936038319</v>
      </c>
      <c r="H320" s="0" t="b">
        <v>0</v>
      </c>
    </row>
    <row r="321">
      <c r="A321" s="0" t="n">
        <v>98</v>
      </c>
      <c r="B321" s="0" t="n">
        <v>3</v>
      </c>
      <c r="C321" s="0" t="n">
        <v>1587500</v>
      </c>
      <c r="D321" s="0" t="n">
        <v>-64921.07947574111</v>
      </c>
      <c r="E321" s="0" t="n">
        <v>2.353069260448876e-06</v>
      </c>
      <c r="F321" s="0" t="n">
        <v>5.347630643794366e-05</v>
      </c>
      <c r="G321" s="0" t="n">
        <v>-5.112323717749479e-05</v>
      </c>
      <c r="H321" s="0" t="b">
        <v>1</v>
      </c>
    </row>
    <row r="322">
      <c r="A322" s="0" t="n">
        <v>98</v>
      </c>
      <c r="B322" s="0" t="n">
        <v>4</v>
      </c>
      <c r="C322" s="0" t="n">
        <v>2331250</v>
      </c>
      <c r="D322" s="0" t="n">
        <v>4154609998.491003</v>
      </c>
      <c r="E322" s="0" t="n">
        <v>0.000161138280095713</v>
      </c>
      <c r="F322" s="0" t="n">
        <v>5.347630643794365e-05</v>
      </c>
      <c r="G322" s="0" t="n">
        <v>0.0001076619736577694</v>
      </c>
      <c r="H322" s="0" t="b">
        <v>0</v>
      </c>
    </row>
    <row r="323">
      <c r="A323" s="0" t="n">
        <v>98</v>
      </c>
      <c r="B323" s="0" t="n">
        <v>5</v>
      </c>
      <c r="C323" s="0" t="n">
        <v>1959375</v>
      </c>
      <c r="D323" s="0" t="n">
        <v>-432327.1735515117</v>
      </c>
      <c r="E323" s="0" t="n">
        <v>1.567740259936663e-05</v>
      </c>
      <c r="F323" s="0" t="n">
        <v>5.347630643794366e-05</v>
      </c>
      <c r="G323" s="0" t="n">
        <v>-3.779890383857703e-05</v>
      </c>
      <c r="H323" s="0" t="b">
        <v>1</v>
      </c>
    </row>
    <row r="324">
      <c r="A324" s="0" t="n">
        <v>98</v>
      </c>
      <c r="B324" s="0" t="n">
        <v>6</v>
      </c>
      <c r="C324" s="0" t="n">
        <v>2145312.5</v>
      </c>
      <c r="D324" s="0" t="n">
        <v>-59734665.9497128</v>
      </c>
      <c r="E324" s="0" t="n">
        <v>5.04509300207106e-05</v>
      </c>
      <c r="F324" s="0" t="n">
        <v>5.347630643794366e-05</v>
      </c>
      <c r="G324" s="0" t="n">
        <v>-3.025376417233062e-06</v>
      </c>
      <c r="H324" s="0" t="b">
        <v>1</v>
      </c>
    </row>
    <row r="325">
      <c r="A325" s="0" t="n">
        <v>98</v>
      </c>
      <c r="B325" s="0" t="n">
        <v>7</v>
      </c>
      <c r="C325" s="0" t="n">
        <v>2238281.25</v>
      </c>
      <c r="D325" s="0" t="n">
        <v>1150460927.14967</v>
      </c>
      <c r="E325" s="0" t="n">
        <v>9.223004015277958e-05</v>
      </c>
      <c r="F325" s="0" t="n">
        <v>5.347630643794366e-05</v>
      </c>
      <c r="G325" s="0" t="n">
        <v>3.875373371483592e-05</v>
      </c>
      <c r="H325" s="0" t="b">
        <v>0</v>
      </c>
    </row>
    <row r="326">
      <c r="A326" s="0" t="n">
        <v>98</v>
      </c>
      <c r="B326" s="0" t="n">
        <v>8</v>
      </c>
      <c r="C326" s="0" t="n">
        <v>2191796.875</v>
      </c>
      <c r="D326" s="0" t="n">
        <v>378051933.913808</v>
      </c>
      <c r="E326" s="0" t="n">
        <v>6.862634491811249e-05</v>
      </c>
      <c r="F326" s="0" t="n">
        <v>5.347630643794366e-05</v>
      </c>
      <c r="G326" s="0" t="n">
        <v>1.515003848016884e-05</v>
      </c>
      <c r="H326" s="0" t="b">
        <v>0</v>
      </c>
    </row>
    <row r="327">
      <c r="A327" s="0" t="n">
        <v>98</v>
      </c>
      <c r="B327" s="0" t="n">
        <v>9</v>
      </c>
      <c r="C327" s="0" t="n">
        <v>2168554.6875</v>
      </c>
      <c r="D327" s="0" t="n">
        <v>122411624.1076074</v>
      </c>
      <c r="E327" s="0" t="n">
        <v>5.893265713477992e-05</v>
      </c>
      <c r="F327" s="0" t="n">
        <v>5.347630643794366e-05</v>
      </c>
      <c r="G327" s="0" t="n">
        <v>5.456350696836266e-06</v>
      </c>
      <c r="H327" s="0" t="b">
        <v>0</v>
      </c>
    </row>
    <row r="328">
      <c r="A328" s="0" t="n">
        <v>98</v>
      </c>
      <c r="B328" s="0" t="n">
        <v>10</v>
      </c>
      <c r="C328" s="0" t="n">
        <v>2156933.59375</v>
      </c>
      <c r="D328" s="0" t="n">
        <v>22641420.39690246</v>
      </c>
      <c r="E328" s="0" t="n">
        <v>5.454855420978256e-05</v>
      </c>
      <c r="F328" s="0" t="n">
        <v>5.347630643794366e-05</v>
      </c>
      <c r="G328" s="0" t="n">
        <v>1.0722477718389e-06</v>
      </c>
      <c r="H328" s="0" t="b">
        <v>0</v>
      </c>
    </row>
    <row r="329">
      <c r="A329" s="0" t="n">
        <v>98</v>
      </c>
      <c r="B329" s="0" t="n">
        <v>11</v>
      </c>
      <c r="C329" s="0" t="n">
        <v>2151123.046875</v>
      </c>
      <c r="D329" s="0" t="n">
        <v>-20669680.17279598</v>
      </c>
      <c r="E329" s="0" t="n">
        <v>5.246494736173685e-05</v>
      </c>
      <c r="F329" s="0" t="n">
        <v>5.347630643794366e-05</v>
      </c>
      <c r="G329" s="0" t="n">
        <v>-1.011359076206812e-06</v>
      </c>
      <c r="H329" s="0" t="b">
        <v>1</v>
      </c>
    </row>
    <row r="330">
      <c r="A330" s="0" t="n">
        <v>98</v>
      </c>
      <c r="B330" s="0" t="n">
        <v>12</v>
      </c>
      <c r="C330" s="0" t="n">
        <v>2154028.3203125</v>
      </c>
      <c r="D330" s="0" t="n">
        <v>449211.5357378232</v>
      </c>
      <c r="E330" s="0" t="n">
        <v>5.349792558193033e-05</v>
      </c>
      <c r="F330" s="0" t="n">
        <v>5.347630643794366e-05</v>
      </c>
      <c r="G330" s="0" t="n">
        <v>2.161914398667524e-08</v>
      </c>
      <c r="H330" s="0" t="b">
        <v>0</v>
      </c>
    </row>
    <row r="331">
      <c r="A331" s="0" t="n">
        <v>98</v>
      </c>
      <c r="B331" s="0" t="n">
        <v>13</v>
      </c>
      <c r="C331" s="0" t="n">
        <v>2155480.95703125</v>
      </c>
      <c r="D331" s="0" t="n">
        <v>11410449.68358365</v>
      </c>
      <c r="E331" s="0" t="n">
        <v>5.402102163944324e-05</v>
      </c>
      <c r="F331" s="0" t="n">
        <v>5.347630643794366e-05</v>
      </c>
      <c r="G331" s="0" t="n">
        <v>5.447152014995796e-07</v>
      </c>
      <c r="H331" s="0" t="b">
        <v>0</v>
      </c>
    </row>
    <row r="332">
      <c r="A332" s="0" t="n">
        <v>98</v>
      </c>
      <c r="B332" s="0" t="n">
        <v>14</v>
      </c>
      <c r="C332" s="0" t="n">
        <v>2154980.95703125</v>
      </c>
      <c r="D332" s="0" t="n">
        <v>7607151.780025249</v>
      </c>
      <c r="E332" s="0" t="n">
        <v>5.384046917416766e-05</v>
      </c>
      <c r="F332" s="0" t="n">
        <v>5.347630643794366e-05</v>
      </c>
      <c r="G332" s="0" t="n">
        <v>3.641627362239972e-07</v>
      </c>
      <c r="H332" s="0" t="b">
        <v>0</v>
      </c>
    </row>
    <row r="333">
      <c r="A333" s="0" t="n">
        <v>98</v>
      </c>
      <c r="B333" s="0" t="n">
        <v>15</v>
      </c>
      <c r="C333" s="0" t="n">
        <v>2154380.95703125</v>
      </c>
      <c r="D333" s="0" t="n">
        <v>3085385.624169642</v>
      </c>
      <c r="E333" s="0" t="n">
        <v>5.36245029824897e-05</v>
      </c>
      <c r="F333" s="0" t="n">
        <v>5.347630643794366e-05</v>
      </c>
      <c r="G333" s="0" t="n">
        <v>1.481965445460388e-07</v>
      </c>
      <c r="H333" s="0" t="b">
        <v>0</v>
      </c>
    </row>
    <row r="334">
      <c r="A334" s="0" t="n">
        <v>98</v>
      </c>
      <c r="B334" s="0" t="n">
        <v>16</v>
      </c>
      <c r="C334" s="0" t="n">
        <v>2153660.95703125</v>
      </c>
      <c r="D334" s="0" t="n">
        <v>-2280175.205460393</v>
      </c>
      <c r="E334" s="0" t="n">
        <v>5.336634166677313e-05</v>
      </c>
      <c r="F334" s="0" t="n">
        <v>5.347630643794366e-05</v>
      </c>
      <c r="G334" s="0" t="n">
        <v>-1.099647711705272e-07</v>
      </c>
      <c r="H334" s="0" t="b">
        <v>1</v>
      </c>
    </row>
    <row r="335">
      <c r="A335" s="0" t="n">
        <v>98</v>
      </c>
      <c r="B335" s="0" t="n">
        <v>17</v>
      </c>
      <c r="C335" s="0" t="n">
        <v>2154020.95703125</v>
      </c>
      <c r="D335" s="0" t="n">
        <v>394335.125060434</v>
      </c>
      <c r="E335" s="0" t="n">
        <v>5.349528533726735e-05</v>
      </c>
      <c r="F335" s="0" t="n">
        <v>5.347630643794366e-05</v>
      </c>
      <c r="G335" s="0" t="n">
        <v>1.897889932369359e-08</v>
      </c>
      <c r="H335" s="0" t="b">
        <v>0</v>
      </c>
    </row>
    <row r="336">
      <c r="A336" s="0" t="n">
        <v>98</v>
      </c>
      <c r="B336" s="0" t="n">
        <v>18</v>
      </c>
      <c r="C336" s="0" t="n">
        <v>2154452.95703125</v>
      </c>
      <c r="D336" s="0" t="n">
        <v>3625575.153378662</v>
      </c>
      <c r="E336" s="0" t="n">
        <v>5.365037906968755e-05</v>
      </c>
      <c r="F336" s="0" t="n">
        <v>5.347630643794366e-05</v>
      </c>
      <c r="G336" s="0" t="n">
        <v>1.740726317438898e-07</v>
      </c>
      <c r="H336" s="0" t="b">
        <v>0</v>
      </c>
    </row>
    <row r="337">
      <c r="A337" s="0" t="n">
        <v>98</v>
      </c>
      <c r="B337" s="0" t="n">
        <v>19</v>
      </c>
      <c r="C337" s="0" t="n">
        <v>2154236.95703125</v>
      </c>
      <c r="D337" s="0" t="n">
        <v>2006986.564472703</v>
      </c>
      <c r="E337" s="0" t="n">
        <v>5.35727833777412e-05</v>
      </c>
      <c r="F337" s="0" t="n">
        <v>5.347630643794366e-05</v>
      </c>
      <c r="G337" s="0" t="n">
        <v>9.647693979754519e-08</v>
      </c>
      <c r="H337" s="0" t="b">
        <v>0</v>
      </c>
    </row>
    <row r="338">
      <c r="A338" s="0" t="n">
        <v>98</v>
      </c>
      <c r="B338" s="0" t="n">
        <v>20</v>
      </c>
      <c r="C338" s="0" t="n">
        <v>2154344.95703125</v>
      </c>
      <c r="D338" s="0" t="n">
        <v>2815538.395040399</v>
      </c>
      <c r="E338" s="0" t="n">
        <v>5.361156901081444e-05</v>
      </c>
      <c r="F338" s="0" t="n">
        <v>5.347630643794366e-05</v>
      </c>
      <c r="G338" s="0" t="n">
        <v>1.352625728707791e-07</v>
      </c>
      <c r="H338" s="0" t="b">
        <v>0</v>
      </c>
    </row>
    <row r="339">
      <c r="A339" s="0" t="n">
        <v>98</v>
      </c>
      <c r="B339" s="0" t="n">
        <v>21</v>
      </c>
      <c r="C339" s="0" t="n">
        <v>2154290.95703125</v>
      </c>
      <c r="D339" s="0" t="n">
        <v>2411076.903889881</v>
      </c>
      <c r="E339" s="0" t="n">
        <v>5.359217314186201e-05</v>
      </c>
      <c r="F339" s="0" t="n">
        <v>5.347630643794366e-05</v>
      </c>
      <c r="G339" s="0" t="n">
        <v>1.158667039183523e-07</v>
      </c>
      <c r="H339" s="0" t="b">
        <v>0</v>
      </c>
    </row>
    <row r="340">
      <c r="A340" s="0" t="n">
        <v>98</v>
      </c>
      <c r="B340" s="0" t="n">
        <v>22</v>
      </c>
      <c r="C340" s="0" t="n">
        <v>2154226.15703125</v>
      </c>
      <c r="D340" s="0" t="n">
        <v>1926213.027786649</v>
      </c>
      <c r="E340" s="0" t="n">
        <v>5.356890615735629e-05</v>
      </c>
      <c r="F340" s="0" t="n">
        <v>5.347630643794366e-05</v>
      </c>
      <c r="G340" s="0" t="n">
        <v>9.259971941263137e-08</v>
      </c>
      <c r="H340" s="0" t="b">
        <v>0</v>
      </c>
    </row>
    <row r="341">
      <c r="A341" s="0" t="n">
        <v>98</v>
      </c>
      <c r="B341" s="0" t="n">
        <v>23</v>
      </c>
      <c r="C341" s="0" t="n">
        <v>2154258.55703125</v>
      </c>
      <c r="D341" s="0" t="n">
        <v>2168578.167170505</v>
      </c>
      <c r="E341" s="0" t="n">
        <v>5.358053855091384e-05</v>
      </c>
      <c r="F341" s="0" t="n">
        <v>5.347630643794366e-05</v>
      </c>
      <c r="G341" s="0" t="n">
        <v>1.042321129701791e-07</v>
      </c>
      <c r="H341" s="0" t="b">
        <v>0</v>
      </c>
    </row>
    <row r="342">
      <c r="A342" s="0" t="n">
        <v>99</v>
      </c>
      <c r="B342" s="0" t="n">
        <v>1</v>
      </c>
      <c r="C342" s="0" t="n">
        <v>6050000</v>
      </c>
      <c r="D342" s="0" t="n">
        <v>4.824635134810347e+17</v>
      </c>
      <c r="E342" s="0" t="n">
        <v>536.8709220000001</v>
      </c>
      <c r="F342" s="0" t="n">
        <v>5.323960556324892e-05</v>
      </c>
      <c r="G342" s="0" t="n">
        <v>536.8708687603945</v>
      </c>
      <c r="H342" s="0" t="b">
        <v>0</v>
      </c>
    </row>
    <row r="343">
      <c r="A343" s="0" t="n">
        <v>99</v>
      </c>
      <c r="B343" s="0" t="n">
        <v>2</v>
      </c>
      <c r="C343" s="0" t="n">
        <v>3075000</v>
      </c>
      <c r="D343" s="0" t="n">
        <v>298007237085254.6</v>
      </c>
      <c r="E343" s="0" t="n">
        <v>0.8775370593900484</v>
      </c>
      <c r="F343" s="0" t="n">
        <v>5.323960558989427e-05</v>
      </c>
      <c r="G343" s="0" t="n">
        <v>0.8774838197844586</v>
      </c>
      <c r="H343" s="0" t="b">
        <v>0</v>
      </c>
    </row>
    <row r="344">
      <c r="A344" s="0" t="n">
        <v>99</v>
      </c>
      <c r="B344" s="0" t="n">
        <v>3</v>
      </c>
      <c r="C344" s="0" t="n">
        <v>1587500</v>
      </c>
      <c r="D344" s="0" t="n">
        <v>39390467660.85936</v>
      </c>
      <c r="E344" s="0" t="n">
        <v>0.0006643980178546368</v>
      </c>
      <c r="F344" s="0" t="n">
        <v>5.32396055898663e-05</v>
      </c>
      <c r="G344" s="0" t="n">
        <v>0.0006111584122647705</v>
      </c>
      <c r="H344" s="0" t="b">
        <v>0</v>
      </c>
    </row>
    <row r="345">
      <c r="A345" s="0" t="n">
        <v>99</v>
      </c>
      <c r="B345" s="0" t="n">
        <v>4</v>
      </c>
      <c r="C345" s="0" t="n">
        <v>843750</v>
      </c>
      <c r="D345" s="0" t="n">
        <v>-39467.04865874033</v>
      </c>
      <c r="E345" s="0" t="n">
        <v>-3.248500162866284e-06</v>
      </c>
      <c r="F345" s="0" t="n">
        <v>5.32396055898663e-05</v>
      </c>
      <c r="G345" s="0" t="n">
        <v>-5.648810575273259e-05</v>
      </c>
      <c r="H345" s="0" t="b">
        <v>1</v>
      </c>
    </row>
    <row r="346">
      <c r="A346" s="0" t="n">
        <v>99</v>
      </c>
      <c r="B346" s="0" t="n">
        <v>5</v>
      </c>
      <c r="C346" s="0" t="n">
        <v>1215625</v>
      </c>
      <c r="D346" s="0" t="n">
        <v>-475736.934351267</v>
      </c>
      <c r="E346" s="0" t="n">
        <v>1.604706973664766e-05</v>
      </c>
      <c r="F346" s="0" t="n">
        <v>5.32396055898663e-05</v>
      </c>
      <c r="G346" s="0" t="n">
        <v>-3.719253585321864e-05</v>
      </c>
      <c r="H346" s="0" t="b">
        <v>1</v>
      </c>
    </row>
    <row r="347">
      <c r="A347" s="0" t="n">
        <v>99</v>
      </c>
      <c r="B347" s="0" t="n">
        <v>6</v>
      </c>
      <c r="C347" s="0" t="n">
        <v>1401562.5</v>
      </c>
      <c r="D347" s="0" t="n">
        <v>2291728920.252121</v>
      </c>
      <c r="E347" s="0" t="n">
        <v>0.0001203809257655146</v>
      </c>
      <c r="F347" s="0" t="n">
        <v>5.32396055898663e-05</v>
      </c>
      <c r="G347" s="0" t="n">
        <v>6.714132017564828e-05</v>
      </c>
      <c r="H347" s="0" t="b">
        <v>0</v>
      </c>
    </row>
    <row r="348">
      <c r="A348" s="0" t="n">
        <v>99</v>
      </c>
      <c r="B348" s="0" t="n">
        <v>7</v>
      </c>
      <c r="C348" s="0" t="n">
        <v>1308593.75</v>
      </c>
      <c r="D348" s="0" t="n">
        <v>-157793219.5752519</v>
      </c>
      <c r="E348" s="0" t="n">
        <v>4.330813993926833e-05</v>
      </c>
      <c r="F348" s="0" t="n">
        <v>5.32396055898663e-05</v>
      </c>
      <c r="G348" s="0" t="n">
        <v>-9.931465650597972e-06</v>
      </c>
      <c r="H348" s="0" t="b">
        <v>1</v>
      </c>
    </row>
    <row r="349">
      <c r="A349" s="0" t="n">
        <v>99</v>
      </c>
      <c r="B349" s="0" t="n">
        <v>8</v>
      </c>
      <c r="C349" s="0" t="n">
        <v>1355078.125</v>
      </c>
      <c r="D349" s="0" t="n">
        <v>528876424.79114</v>
      </c>
      <c r="E349" s="0" t="n">
        <v>7.340409460969466e-05</v>
      </c>
      <c r="F349" s="0" t="n">
        <v>5.32396055898663e-05</v>
      </c>
      <c r="G349" s="0" t="n">
        <v>2.016448901982836e-05</v>
      </c>
      <c r="H349" s="0" t="b">
        <v>0</v>
      </c>
    </row>
    <row r="350">
      <c r="A350" s="0" t="n">
        <v>99</v>
      </c>
      <c r="B350" s="0" t="n">
        <v>9</v>
      </c>
      <c r="C350" s="0" t="n">
        <v>1331835.9375</v>
      </c>
      <c r="D350" s="0" t="n">
        <v>74291860.7071581</v>
      </c>
      <c r="E350" s="0" t="n">
        <v>5.662818143430196e-05</v>
      </c>
      <c r="F350" s="0" t="n">
        <v>5.32396055898663e-05</v>
      </c>
      <c r="G350" s="0" t="n">
        <v>3.388575844435655e-06</v>
      </c>
      <c r="H350" s="0" t="b">
        <v>0</v>
      </c>
    </row>
    <row r="351">
      <c r="A351" s="0" t="n">
        <v>99</v>
      </c>
      <c r="B351" s="0" t="n">
        <v>10</v>
      </c>
      <c r="C351" s="0" t="n">
        <v>1320214.84375</v>
      </c>
      <c r="D351" s="0" t="n">
        <v>-71732692.03814559</v>
      </c>
      <c r="E351" s="0" t="n">
        <v>4.957783047035917e-05</v>
      </c>
      <c r="F351" s="0" t="n">
        <v>5.32396055898663e-05</v>
      </c>
      <c r="G351" s="0" t="n">
        <v>-3.661775119507131e-06</v>
      </c>
      <c r="H351" s="0" t="b">
        <v>1</v>
      </c>
    </row>
    <row r="352">
      <c r="A352" s="0" t="n">
        <v>99</v>
      </c>
      <c r="B352" s="0" t="n">
        <v>11</v>
      </c>
      <c r="C352" s="0" t="n">
        <v>1326025.390625</v>
      </c>
      <c r="D352" s="0" t="n">
        <v>-4960038.938144878</v>
      </c>
      <c r="E352" s="0" t="n">
        <v>5.300088277899105e-05</v>
      </c>
      <c r="F352" s="0" t="n">
        <v>5.32396055898663e-05</v>
      </c>
      <c r="G352" s="0" t="n">
        <v>-2.387228108752538e-07</v>
      </c>
      <c r="H352" s="0" t="b">
        <v>1</v>
      </c>
    </row>
    <row r="353">
      <c r="A353" s="0" t="n">
        <v>99</v>
      </c>
      <c r="B353" s="0" t="n">
        <v>12</v>
      </c>
      <c r="C353" s="0" t="n">
        <v>1328930.6640625</v>
      </c>
      <c r="D353" s="0" t="n">
        <v>33071633.04575562</v>
      </c>
      <c r="E353" s="0" t="n">
        <v>5.478823717636931e-05</v>
      </c>
      <c r="F353" s="0" t="n">
        <v>5.32396055898663e-05</v>
      </c>
      <c r="G353" s="0" t="n">
        <v>1.548631586503006e-06</v>
      </c>
      <c r="H353" s="0" t="b">
        <v>0</v>
      </c>
    </row>
    <row r="354">
      <c r="A354" s="0" t="n">
        <v>99</v>
      </c>
      <c r="B354" s="0" t="n">
        <v>13</v>
      </c>
      <c r="C354" s="0" t="n">
        <v>1327478.02734375</v>
      </c>
      <c r="D354" s="0" t="n">
        <v>13661552.14168128</v>
      </c>
      <c r="E354" s="0" t="n">
        <v>5.388806832459221e-05</v>
      </c>
      <c r="F354" s="0" t="n">
        <v>5.32396055898663e-05</v>
      </c>
      <c r="G354" s="0" t="n">
        <v>6.484627347259076e-07</v>
      </c>
      <c r="H354" s="0" t="b">
        <v>0</v>
      </c>
    </row>
    <row r="355">
      <c r="A355" s="0" t="n">
        <v>99</v>
      </c>
      <c r="B355" s="0" t="n">
        <v>14</v>
      </c>
      <c r="C355" s="0" t="n">
        <v>1326278.02734375</v>
      </c>
      <c r="D355" s="0" t="n">
        <v>-1777690.34843937</v>
      </c>
      <c r="E355" s="0" t="n">
        <v>5.315425479773762e-05</v>
      </c>
      <c r="F355" s="0" t="n">
        <v>5.32396055898663e-05</v>
      </c>
      <c r="G355" s="0" t="n">
        <v>-8.535079212868577e-08</v>
      </c>
      <c r="H355" s="0" t="b">
        <v>1</v>
      </c>
    </row>
    <row r="356">
      <c r="A356" s="0" t="n">
        <v>99</v>
      </c>
      <c r="B356" s="0" t="n">
        <v>15</v>
      </c>
      <c r="C356" s="0" t="n">
        <v>1326878.02734375</v>
      </c>
      <c r="D356" s="0" t="n">
        <v>5874898.546481468</v>
      </c>
      <c r="E356" s="0" t="n">
        <v>5.352005669789896e-05</v>
      </c>
      <c r="F356" s="0" t="n">
        <v>5.32396055898663e-05</v>
      </c>
      <c r="G356" s="0" t="n">
        <v>2.804511080326601e-07</v>
      </c>
      <c r="H356" s="0" t="b">
        <v>0</v>
      </c>
    </row>
    <row r="357">
      <c r="A357" s="0" t="n">
        <v>99</v>
      </c>
      <c r="B357" s="0" t="n">
        <v>16</v>
      </c>
      <c r="C357" s="0" t="n">
        <v>1326578.02734375</v>
      </c>
      <c r="D357" s="0" t="n">
        <v>2031924.068965312</v>
      </c>
      <c r="E357" s="0" t="n">
        <v>5.333688225874008e-05</v>
      </c>
      <c r="F357" s="0" t="n">
        <v>5.32396055898663e-05</v>
      </c>
      <c r="G357" s="0" t="n">
        <v>9.727666887377417e-08</v>
      </c>
      <c r="H357" s="0" t="b">
        <v>0</v>
      </c>
    </row>
    <row r="358">
      <c r="A358" s="0" t="n">
        <v>99</v>
      </c>
      <c r="B358" s="0" t="n">
        <v>17</v>
      </c>
      <c r="C358" s="0" t="n">
        <v>1326218.02734375</v>
      </c>
      <c r="D358" s="0" t="n">
        <v>-2535664.907445381</v>
      </c>
      <c r="E358" s="0" t="n">
        <v>5.311779247050323e-05</v>
      </c>
      <c r="F358" s="0" t="n">
        <v>5.32396055898663e-05</v>
      </c>
      <c r="G358" s="0" t="n">
        <v>-1.218131193630681e-07</v>
      </c>
      <c r="H358" s="0" t="b">
        <v>1</v>
      </c>
    </row>
    <row r="359">
      <c r="A359" s="0" t="n">
        <v>99</v>
      </c>
      <c r="B359" s="0" t="n">
        <v>18</v>
      </c>
      <c r="C359" s="0" t="n">
        <v>1326398.02734375</v>
      </c>
      <c r="D359" s="0" t="n">
        <v>-257850.1026298156</v>
      </c>
      <c r="E359" s="0" t="n">
        <v>5.322723991105049e-05</v>
      </c>
      <c r="F359" s="0" t="n">
        <v>5.32396055898663e-05</v>
      </c>
      <c r="G359" s="0" t="n">
        <v>-1.236567881581331e-08</v>
      </c>
      <c r="H359" s="0" t="b">
        <v>1</v>
      </c>
    </row>
    <row r="360">
      <c r="A360" s="0" t="n">
        <v>99</v>
      </c>
      <c r="B360" s="0" t="n">
        <v>19</v>
      </c>
      <c r="C360" s="0" t="n">
        <v>1326578.02734375</v>
      </c>
      <c r="D360" s="0" t="n">
        <v>2031924.068965312</v>
      </c>
      <c r="E360" s="0" t="n">
        <v>5.333688225874008e-05</v>
      </c>
      <c r="F360" s="0" t="n">
        <v>5.32396055898663e-05</v>
      </c>
      <c r="G360" s="0" t="n">
        <v>9.727666887377417e-08</v>
      </c>
      <c r="H360" s="0" t="b">
        <v>0</v>
      </c>
    </row>
    <row r="361">
      <c r="A361" s="0" t="n">
        <v>99</v>
      </c>
      <c r="B361" s="0" t="n">
        <v>20</v>
      </c>
      <c r="C361" s="0" t="n">
        <v>1326488.02734375</v>
      </c>
      <c r="D361" s="0" t="n">
        <v>885478.1568436567</v>
      </c>
      <c r="E361" s="0" t="n">
        <v>5.328203368599947e-05</v>
      </c>
      <c r="F361" s="0" t="n">
        <v>5.32396055898663e-05</v>
      </c>
      <c r="G361" s="0" t="n">
        <v>4.242809613316551e-08</v>
      </c>
      <c r="H361" s="0" t="b">
        <v>0</v>
      </c>
    </row>
    <row r="362">
      <c r="A362" s="0" t="n">
        <v>99</v>
      </c>
      <c r="B362" s="0" t="n">
        <v>21</v>
      </c>
      <c r="C362" s="0" t="n">
        <v>1326533.02734375</v>
      </c>
      <c r="D362" s="0" t="n">
        <v>1458297.199275443</v>
      </c>
      <c r="E362" s="0" t="n">
        <v>5.33094504479725e-05</v>
      </c>
      <c r="F362" s="0" t="n">
        <v>5.32396055898663e-05</v>
      </c>
      <c r="G362" s="0" t="n">
        <v>6.984485810619299e-08</v>
      </c>
      <c r="H362" s="0" t="b">
        <v>0</v>
      </c>
    </row>
    <row r="363">
      <c r="A363" s="0" t="n">
        <v>99</v>
      </c>
      <c r="B363" s="0" t="n">
        <v>22</v>
      </c>
      <c r="C363" s="0" t="n">
        <v>1326510.52734375</v>
      </c>
      <c r="D363" s="0" t="n">
        <v>1171793.737996751</v>
      </c>
      <c r="E363" s="0" t="n">
        <v>5.329574052191595e-05</v>
      </c>
      <c r="F363" s="0" t="n">
        <v>5.32396055898663e-05</v>
      </c>
      <c r="G363" s="0" t="n">
        <v>5.613493204964488e-08</v>
      </c>
      <c r="H363" s="0" t="b">
        <v>0</v>
      </c>
    </row>
    <row r="364">
      <c r="A364" s="0" t="n">
        <v>99</v>
      </c>
      <c r="B364" s="0" t="n">
        <v>23</v>
      </c>
      <c r="C364" s="0" t="n">
        <v>1326521.77734375</v>
      </c>
      <c r="D364" s="0" t="n">
        <v>1315078.065507815</v>
      </c>
      <c r="E364" s="0" t="n">
        <v>5.330259778239039e-05</v>
      </c>
      <c r="F364" s="0" t="n">
        <v>5.32396055898663e-05</v>
      </c>
      <c r="G364" s="0" t="n">
        <v>6.29921925240844e-08</v>
      </c>
      <c r="H364" s="0" t="b">
        <v>0</v>
      </c>
    </row>
    <row r="365">
      <c r="A365" s="0" t="n">
        <v>100</v>
      </c>
      <c r="B365" s="0" t="n">
        <v>1</v>
      </c>
      <c r="C365" s="0" t="n">
        <v>6050000</v>
      </c>
      <c r="D365" s="0" t="n">
        <v>674526057454466.6</v>
      </c>
      <c r="E365" s="0" t="n">
        <v>0.4176969943197543</v>
      </c>
      <c r="F365" s="0" t="n">
        <v>1.816164825851896e-05</v>
      </c>
      <c r="G365" s="0" t="n">
        <v>0.4176788326714958</v>
      </c>
      <c r="H365" s="0" t="b">
        <v>0</v>
      </c>
    </row>
    <row r="366">
      <c r="A366" s="0" t="n">
        <v>100</v>
      </c>
      <c r="B366" s="0" t="n">
        <v>2</v>
      </c>
      <c r="C366" s="0" t="n">
        <v>3075000</v>
      </c>
      <c r="D366" s="0" t="n">
        <v>247418795050.6024</v>
      </c>
      <c r="E366" s="0" t="n">
        <v>0.0006891307887520723</v>
      </c>
      <c r="F366" s="0" t="n">
        <v>1.816164825849424e-05</v>
      </c>
      <c r="G366" s="0" t="n">
        <v>0.000670969140493578</v>
      </c>
      <c r="H366" s="0" t="b">
        <v>0</v>
      </c>
    </row>
    <row r="367">
      <c r="A367" s="0" t="n">
        <v>100</v>
      </c>
      <c r="B367" s="0" t="n">
        <v>3</v>
      </c>
      <c r="C367" s="0" t="n">
        <v>1587500</v>
      </c>
      <c r="D367" s="0" t="n">
        <v>-73062.91033531768</v>
      </c>
      <c r="E367" s="0" t="n">
        <v>-6.665055400210518e-07</v>
      </c>
      <c r="F367" s="0" t="n">
        <v>1.816164825849419e-05</v>
      </c>
      <c r="G367" s="0" t="n">
        <v>-1.882815379851525e-05</v>
      </c>
      <c r="H367" s="0" t="b">
        <v>1</v>
      </c>
    </row>
    <row r="368">
      <c r="A368" s="0" t="n">
        <v>100</v>
      </c>
      <c r="B368" s="0" t="n">
        <v>4</v>
      </c>
      <c r="C368" s="0" t="n">
        <v>2331250</v>
      </c>
      <c r="D368" s="0" t="n">
        <v>89845954.85450886</v>
      </c>
      <c r="E368" s="0" t="n">
        <v>1.937352160817237e-05</v>
      </c>
      <c r="F368" s="0" t="n">
        <v>1.816164825849419e-05</v>
      </c>
      <c r="G368" s="0" t="n">
        <v>1.211873349678176e-06</v>
      </c>
      <c r="H368" s="0" t="b">
        <v>0</v>
      </c>
    </row>
    <row r="369">
      <c r="A369" s="0" t="n">
        <v>100</v>
      </c>
      <c r="B369" s="0" t="n">
        <v>5</v>
      </c>
      <c r="C369" s="0" t="n">
        <v>1959375</v>
      </c>
      <c r="D369" s="0" t="n">
        <v>-291846.3493090628</v>
      </c>
      <c r="E369" s="0" t="n">
        <v>3.686360387771829e-06</v>
      </c>
      <c r="F369" s="0" t="n">
        <v>1.816164825849419e-05</v>
      </c>
      <c r="G369" s="0" t="n">
        <v>-1.447528787072237e-05</v>
      </c>
      <c r="H369" s="0" t="b">
        <v>1</v>
      </c>
    </row>
    <row r="370">
      <c r="A370" s="0" t="n">
        <v>100</v>
      </c>
      <c r="B370" s="0" t="n">
        <v>6</v>
      </c>
      <c r="C370" s="0" t="n">
        <v>2145312.5</v>
      </c>
      <c r="D370" s="0" t="n">
        <v>-3780411.436465865</v>
      </c>
      <c r="E370" s="0" t="n">
        <v>7.813061400108181e-06</v>
      </c>
      <c r="F370" s="0" t="n">
        <v>1.816164825849419e-05</v>
      </c>
      <c r="G370" s="0" t="n">
        <v>-1.034858685838601e-05</v>
      </c>
      <c r="H370" s="0" t="b">
        <v>1</v>
      </c>
    </row>
    <row r="371">
      <c r="A371" s="0" t="n">
        <v>100</v>
      </c>
      <c r="B371" s="0" t="n">
        <v>7</v>
      </c>
      <c r="C371" s="0" t="n">
        <v>2238281.25</v>
      </c>
      <c r="D371" s="0" t="n">
        <v>-57589181.22040706</v>
      </c>
      <c r="E371" s="0" t="n">
        <v>1.08545675411181e-05</v>
      </c>
      <c r="F371" s="0" t="n">
        <v>1.816164825849419e-05</v>
      </c>
      <c r="G371" s="0" t="n">
        <v>-7.307080717376095e-06</v>
      </c>
      <c r="H371" s="0" t="b">
        <v>1</v>
      </c>
    </row>
    <row r="372">
      <c r="A372" s="0" t="n">
        <v>100</v>
      </c>
      <c r="B372" s="0" t="n">
        <v>8</v>
      </c>
      <c r="C372" s="0" t="n">
        <v>2284765.625</v>
      </c>
      <c r="D372" s="0" t="n">
        <v>-138275451.1255265</v>
      </c>
      <c r="E372" s="0" t="n">
        <v>1.441181441563612e-05</v>
      </c>
      <c r="F372" s="0" t="n">
        <v>1.816164825849419e-05</v>
      </c>
      <c r="G372" s="0" t="n">
        <v>-3.749833842858077e-06</v>
      </c>
      <c r="H372" s="0" t="b">
        <v>1</v>
      </c>
    </row>
    <row r="373">
      <c r="A373" s="0" t="n">
        <v>100</v>
      </c>
      <c r="B373" s="0" t="n">
        <v>9</v>
      </c>
      <c r="C373" s="0" t="n">
        <v>2308007.8125</v>
      </c>
      <c r="D373" s="0" t="n">
        <v>-78618994.49840111</v>
      </c>
      <c r="E373" s="0" t="n">
        <v>1.67332683852267e-05</v>
      </c>
      <c r="F373" s="0" t="n">
        <v>1.816164825849419e-05</v>
      </c>
      <c r="G373" s="0" t="n">
        <v>-1.428379873267496e-06</v>
      </c>
      <c r="H373" s="0" t="b">
        <v>1</v>
      </c>
    </row>
    <row r="374">
      <c r="A374" s="0" t="n">
        <v>100</v>
      </c>
      <c r="B374" s="0" t="n">
        <v>10</v>
      </c>
      <c r="C374" s="0" t="n">
        <v>2319628.90625</v>
      </c>
      <c r="D374" s="0" t="n">
        <v>-9691060.687299347</v>
      </c>
      <c r="E374" s="0" t="n">
        <v>1.801136584734141e-05</v>
      </c>
      <c r="F374" s="0" t="n">
        <v>1.816164825849419e-05</v>
      </c>
      <c r="G374" s="0" t="n">
        <v>-1.502824111527894e-07</v>
      </c>
      <c r="H374" s="0" t="b">
        <v>1</v>
      </c>
    </row>
    <row r="375">
      <c r="A375" s="0" t="n">
        <v>100</v>
      </c>
      <c r="B375" s="0" t="n">
        <v>11</v>
      </c>
      <c r="C375" s="0" t="n">
        <v>2325439.453125</v>
      </c>
      <c r="D375" s="0" t="n">
        <v>36029553.1910339</v>
      </c>
      <c r="E375" s="0" t="n">
        <v>1.868165319941755e-05</v>
      </c>
      <c r="F375" s="0" t="n">
        <v>1.816164825849419e-05</v>
      </c>
      <c r="G375" s="0" t="n">
        <v>5.200049409233572e-07</v>
      </c>
      <c r="H375" s="0" t="b">
        <v>0</v>
      </c>
    </row>
    <row r="376">
      <c r="A376" s="0" t="n">
        <v>100</v>
      </c>
      <c r="B376" s="0" t="n">
        <v>12</v>
      </c>
      <c r="C376" s="0" t="n">
        <v>2322534.1796875</v>
      </c>
      <c r="D376" s="0" t="n">
        <v>12185529.50600276</v>
      </c>
      <c r="E376" s="0" t="n">
        <v>1.834384824950339e-05</v>
      </c>
      <c r="F376" s="0" t="n">
        <v>1.816164825849419e-05</v>
      </c>
      <c r="G376" s="0" t="n">
        <v>1.821999910091922e-07</v>
      </c>
      <c r="H376" s="0" t="b">
        <v>0</v>
      </c>
    </row>
    <row r="377">
      <c r="A377" s="0" t="n">
        <v>100</v>
      </c>
      <c r="B377" s="0" t="n">
        <v>13</v>
      </c>
      <c r="C377" s="0" t="n">
        <v>2321081.54296875</v>
      </c>
      <c r="D377" s="0" t="n">
        <v>1004724.998984937</v>
      </c>
      <c r="E377" s="0" t="n">
        <v>1.817694525149263e-05</v>
      </c>
      <c r="F377" s="0" t="n">
        <v>1.816164825849419e-05</v>
      </c>
      <c r="G377" s="0" t="n">
        <v>1.529699299843731e-08</v>
      </c>
      <c r="H377" s="0" t="b">
        <v>0</v>
      </c>
    </row>
    <row r="378">
      <c r="A378" s="0" t="n">
        <v>100</v>
      </c>
      <c r="B378" s="0" t="n">
        <v>14</v>
      </c>
      <c r="C378" s="0" t="n">
        <v>2321581.54296875</v>
      </c>
      <c r="D378" s="0" t="n">
        <v>4798078.35152647</v>
      </c>
      <c r="E378" s="0" t="n">
        <v>1.823424361319398e-05</v>
      </c>
      <c r="F378" s="0" t="n">
        <v>1.816164825849419e-05</v>
      </c>
      <c r="G378" s="0" t="n">
        <v>7.259535469978287e-08</v>
      </c>
      <c r="H378" s="0" t="b">
        <v>0</v>
      </c>
    </row>
    <row r="379">
      <c r="A379" s="0" t="n">
        <v>100</v>
      </c>
      <c r="B379" s="0" t="n">
        <v>15</v>
      </c>
      <c r="C379" s="0" t="n">
        <v>2321331.54296875</v>
      </c>
      <c r="D379" s="0" t="n">
        <v>2894255.180866501</v>
      </c>
      <c r="E379" s="0" t="n">
        <v>1.820557562282293e-05</v>
      </c>
      <c r="F379" s="0" t="n">
        <v>1.816164825849419e-05</v>
      </c>
      <c r="G379" s="0" t="n">
        <v>4.392736432873038e-08</v>
      </c>
      <c r="H379" s="0" t="b">
        <v>0</v>
      </c>
    </row>
    <row r="380">
      <c r="A380" s="0" t="n">
        <v>100</v>
      </c>
      <c r="B380" s="0" t="n">
        <v>16</v>
      </c>
      <c r="C380" s="0" t="n">
        <v>2321031.54296875</v>
      </c>
      <c r="D380" s="0" t="n">
        <v>628605.9268594405</v>
      </c>
      <c r="E380" s="0" t="n">
        <v>1.817122482501226e-05</v>
      </c>
      <c r="F380" s="0" t="n">
        <v>1.816164825849419e-05</v>
      </c>
      <c r="G380" s="0" t="n">
        <v>9.576566518062921e-09</v>
      </c>
      <c r="H380" s="0" t="b">
        <v>0</v>
      </c>
    </row>
    <row r="381">
      <c r="A381" s="0" t="n">
        <v>100</v>
      </c>
      <c r="B381" s="0" t="n">
        <v>17</v>
      </c>
      <c r="C381" s="0" t="n">
        <v>2321181.54296875</v>
      </c>
      <c r="D381" s="0" t="n">
        <v>1758842.774751467</v>
      </c>
      <c r="E381" s="0" t="n">
        <v>1.818839317253797e-05</v>
      </c>
      <c r="F381" s="0" t="n">
        <v>1.816164825849419e-05</v>
      </c>
      <c r="G381" s="0" t="n">
        <v>2.674491404377823e-08</v>
      </c>
      <c r="H381" s="0" t="b">
        <v>0</v>
      </c>
    </row>
    <row r="382">
      <c r="A382" s="0" t="n">
        <v>100</v>
      </c>
      <c r="B382" s="0" t="n">
        <v>18</v>
      </c>
      <c r="C382" s="0" t="n">
        <v>2321361.54296875</v>
      </c>
      <c r="D382" s="0" t="n">
        <v>3121959.400571017</v>
      </c>
      <c r="E382" s="0" t="n">
        <v>1.820901380607071e-05</v>
      </c>
      <c r="F382" s="0" t="n">
        <v>1.816164825849419e-05</v>
      </c>
      <c r="G382" s="0" t="n">
        <v>4.736554757651712e-08</v>
      </c>
      <c r="H382" s="0" t="b">
        <v>0</v>
      </c>
    </row>
    <row r="383">
      <c r="A383" s="0" t="n">
        <v>100</v>
      </c>
      <c r="B383" s="0" t="n">
        <v>19</v>
      </c>
      <c r="C383" s="0" t="n">
        <v>2321271.54296875</v>
      </c>
      <c r="D383" s="0" t="n">
        <v>2439416.38481077</v>
      </c>
      <c r="E383" s="0" t="n">
        <v>1.819870015890871e-05</v>
      </c>
      <c r="F383" s="0" t="n">
        <v>1.816164825849419e-05</v>
      </c>
      <c r="G383" s="0" t="n">
        <v>3.705190041451467e-08</v>
      </c>
      <c r="H383" s="0" t="b">
        <v>0</v>
      </c>
    </row>
    <row r="384">
      <c r="A384" s="0" t="n">
        <v>100</v>
      </c>
      <c r="B384" s="0" t="n">
        <v>20</v>
      </c>
      <c r="C384" s="0" t="n">
        <v>2321163.54296875</v>
      </c>
      <c r="D384" s="0" t="n">
        <v>1622889.140824861</v>
      </c>
      <c r="E384" s="0" t="n">
        <v>1.818633143623263e-05</v>
      </c>
      <c r="F384" s="0" t="n">
        <v>1.816164825849419e-05</v>
      </c>
      <c r="G384" s="0" t="n">
        <v>2.468317773843254e-08</v>
      </c>
      <c r="H384" s="0" t="b">
        <v>0</v>
      </c>
    </row>
    <row r="385">
      <c r="A385" s="0" t="n">
        <v>100</v>
      </c>
      <c r="B385" s="0" t="n">
        <v>21</v>
      </c>
      <c r="C385" s="0" t="n">
        <v>2321217.54296875</v>
      </c>
      <c r="D385" s="0" t="n">
        <v>2030869.453764731</v>
      </c>
      <c r="E385" s="0" t="n">
        <v>1.819251567406723e-05</v>
      </c>
      <c r="F385" s="0" t="n">
        <v>1.816164825849419e-05</v>
      </c>
      <c r="G385" s="0" t="n">
        <v>3.086741557303225e-08</v>
      </c>
      <c r="H385" s="0" t="b">
        <v>0</v>
      </c>
    </row>
    <row r="386">
      <c r="A386" s="0" t="n">
        <v>100</v>
      </c>
      <c r="B386" s="0" t="n">
        <v>22</v>
      </c>
      <c r="C386" s="0" t="n">
        <v>2321282.34296875</v>
      </c>
      <c r="D386" s="0" t="n">
        <v>2521269.055084791</v>
      </c>
      <c r="E386" s="0" t="n">
        <v>1.819993822429242e-05</v>
      </c>
      <c r="F386" s="0" t="n">
        <v>1.816164825849419e-05</v>
      </c>
      <c r="G386" s="0" t="n">
        <v>3.82899657982278e-08</v>
      </c>
      <c r="H386" s="0" t="b">
        <v>0</v>
      </c>
    </row>
    <row r="387">
      <c r="A387" s="0" t="n">
        <v>100</v>
      </c>
      <c r="B387" s="0" t="n">
        <v>23</v>
      </c>
      <c r="C387" s="0" t="n">
        <v>2321249.94296875</v>
      </c>
      <c r="D387" s="0" t="n">
        <v>2275896.196592509</v>
      </c>
      <c r="E387" s="0" t="n">
        <v>1.819622582937774e-05</v>
      </c>
      <c r="F387" s="0" t="n">
        <v>1.816164825849419e-05</v>
      </c>
      <c r="G387" s="0" t="n">
        <v>3.457757088354876e-08</v>
      </c>
      <c r="H387" s="0" t="b">
        <v>0</v>
      </c>
    </row>
    <row r="388">
      <c r="A388" s="0" t="n">
        <v>100</v>
      </c>
      <c r="B388" s="0" t="n">
        <v>24</v>
      </c>
      <c r="C388" s="0" t="n">
        <v>2321266.14296875</v>
      </c>
      <c r="D388" s="0" t="n">
        <v>2398578.537480823</v>
      </c>
      <c r="E388" s="0" t="n">
        <v>1.819808233990966e-05</v>
      </c>
      <c r="F388" s="0" t="n">
        <v>1.816164825849419e-05</v>
      </c>
      <c r="G388" s="0" t="n">
        <v>3.643408141546675e-08</v>
      </c>
      <c r="H388" s="0" t="b">
        <v>0</v>
      </c>
    </row>
    <row r="389">
      <c r="A389" s="0" t="n">
        <v>100</v>
      </c>
      <c r="B389" s="0" t="n">
        <v>25</v>
      </c>
      <c r="C389" s="0" t="n">
        <v>2321258.04296875</v>
      </c>
      <c r="D389" s="0" t="n">
        <v>2337255.936007971</v>
      </c>
      <c r="E389" s="0" t="n">
        <v>1.819715445942884e-05</v>
      </c>
      <c r="F389" s="0" t="n">
        <v>1.816164825849419e-05</v>
      </c>
      <c r="G389" s="0" t="n">
        <v>3.550620093464279e-08</v>
      </c>
      <c r="H389" s="0" t="b">
        <v>0</v>
      </c>
    </row>
    <row r="390">
      <c r="A390" s="0" t="n">
        <v>101</v>
      </c>
      <c r="B390" s="0" t="n">
        <v>1</v>
      </c>
      <c r="C390" s="0" t="n">
        <v>6050000</v>
      </c>
      <c r="D390" s="0" t="n">
        <v>2.627346894764251e+18</v>
      </c>
      <c r="E390" s="0" t="n">
        <v>536.8709220000001</v>
      </c>
      <c r="F390" s="0" t="n">
        <v>1.791483077795419e-05</v>
      </c>
      <c r="G390" s="0" t="n">
        <v>536.8709040851693</v>
      </c>
      <c r="H390" s="0" t="b">
        <v>0</v>
      </c>
    </row>
    <row r="391">
      <c r="A391" s="0" t="n">
        <v>101</v>
      </c>
      <c r="B391" s="0" t="n">
        <v>2</v>
      </c>
      <c r="C391" s="0" t="n">
        <v>3075000</v>
      </c>
      <c r="D391" s="0" t="n">
        <v>3.755883704421801e+16</v>
      </c>
      <c r="E391" s="0" t="n">
        <v>12.88558677633381</v>
      </c>
      <c r="F391" s="0" t="n">
        <v>1.791483075130884e-05</v>
      </c>
      <c r="G391" s="0" t="n">
        <v>12.88556886150306</v>
      </c>
      <c r="H391" s="0" t="b">
        <v>0</v>
      </c>
    </row>
    <row r="392">
      <c r="A392" s="0" t="n">
        <v>101</v>
      </c>
      <c r="B392" s="0" t="n">
        <v>3</v>
      </c>
      <c r="C392" s="0" t="n">
        <v>1587500</v>
      </c>
      <c r="D392" s="0" t="n">
        <v>61425361769719.02</v>
      </c>
      <c r="E392" s="0" t="n">
        <v>0.05525604419071204</v>
      </c>
      <c r="F392" s="0" t="n">
        <v>1.79148307513019e-05</v>
      </c>
      <c r="G392" s="0" t="n">
        <v>0.05523812935996074</v>
      </c>
      <c r="H392" s="0" t="b">
        <v>0</v>
      </c>
    </row>
    <row r="393">
      <c r="A393" s="0" t="n">
        <v>101</v>
      </c>
      <c r="B393" s="0" t="n">
        <v>4</v>
      </c>
      <c r="C393" s="0" t="n">
        <v>843750</v>
      </c>
      <c r="D393" s="0" t="n">
        <v>1508316006.849656</v>
      </c>
      <c r="E393" s="0" t="n">
        <v>3.133383322996625e-05</v>
      </c>
      <c r="F393" s="0" t="n">
        <v>1.791483075130112e-05</v>
      </c>
      <c r="G393" s="0" t="n">
        <v>1.341900247866513e-05</v>
      </c>
      <c r="H393" s="0" t="b">
        <v>0</v>
      </c>
    </row>
    <row r="394">
      <c r="A394" s="0" t="n">
        <v>101</v>
      </c>
      <c r="B394" s="0" t="n">
        <v>5</v>
      </c>
      <c r="C394" s="0" t="n">
        <v>471875</v>
      </c>
      <c r="D394" s="0" t="n">
        <v>-29950.00127423697</v>
      </c>
      <c r="E394" s="0" t="n">
        <v>-5.149749988532711e-06</v>
      </c>
      <c r="F394" s="0" t="n">
        <v>1.791483075130112e-05</v>
      </c>
      <c r="G394" s="0" t="n">
        <v>-2.306458073983383e-05</v>
      </c>
      <c r="H394" s="0" t="b">
        <v>1</v>
      </c>
    </row>
    <row r="395">
      <c r="A395" s="0" t="n">
        <v>101</v>
      </c>
      <c r="B395" s="0" t="n">
        <v>6</v>
      </c>
      <c r="C395" s="0" t="n">
        <v>657812.5</v>
      </c>
      <c r="D395" s="0" t="n">
        <v>-164080.4808305119</v>
      </c>
      <c r="E395" s="0" t="n">
        <v>2.111114419117657e-06</v>
      </c>
      <c r="F395" s="0" t="n">
        <v>1.791483075130112e-05</v>
      </c>
      <c r="G395" s="0" t="n">
        <v>-1.580371633218346e-05</v>
      </c>
      <c r="H395" s="0" t="b">
        <v>1</v>
      </c>
    </row>
    <row r="396">
      <c r="A396" s="0" t="n">
        <v>101</v>
      </c>
      <c r="B396" s="0" t="n">
        <v>7</v>
      </c>
      <c r="C396" s="0" t="n">
        <v>750781.25</v>
      </c>
      <c r="D396" s="0" t="n">
        <v>-2447122.709516351</v>
      </c>
      <c r="E396" s="0" t="n">
        <v>7.193449148558228e-06</v>
      </c>
      <c r="F396" s="0" t="n">
        <v>1.791483075130112e-05</v>
      </c>
      <c r="G396" s="0" t="n">
        <v>-1.072138160274289e-05</v>
      </c>
      <c r="H396" s="0" t="b">
        <v>1</v>
      </c>
    </row>
    <row r="397">
      <c r="A397" s="0" t="n">
        <v>101</v>
      </c>
      <c r="B397" s="0" t="n">
        <v>8</v>
      </c>
      <c r="C397" s="0" t="n">
        <v>797265.625</v>
      </c>
      <c r="D397" s="0" t="n">
        <v>-127898457.602372</v>
      </c>
      <c r="E397" s="0" t="n">
        <v>1.277756292426063e-05</v>
      </c>
      <c r="F397" s="0" t="n">
        <v>1.791483075130112e-05</v>
      </c>
      <c r="G397" s="0" t="n">
        <v>-5.137267827040488e-06</v>
      </c>
      <c r="H397" s="0" t="b">
        <v>1</v>
      </c>
    </row>
    <row r="398">
      <c r="A398" s="0" t="n">
        <v>101</v>
      </c>
      <c r="B398" s="0" t="n">
        <v>9</v>
      </c>
      <c r="C398" s="0" t="n">
        <v>820507.8125</v>
      </c>
      <c r="D398" s="0" t="n">
        <v>193706845.9077043</v>
      </c>
      <c r="E398" s="0" t="n">
        <v>2.025630425313061e-05</v>
      </c>
      <c r="F398" s="0" t="n">
        <v>1.791483075130112e-05</v>
      </c>
      <c r="G398" s="0" t="n">
        <v>2.341473501829495e-06</v>
      </c>
      <c r="H398" s="0" t="b">
        <v>0</v>
      </c>
    </row>
    <row r="399">
      <c r="A399" s="0" t="n">
        <v>101</v>
      </c>
      <c r="B399" s="0" t="n">
        <v>10</v>
      </c>
      <c r="C399" s="0" t="n">
        <v>808886.71875</v>
      </c>
      <c r="D399" s="0" t="n">
        <v>-93194311.6014792</v>
      </c>
      <c r="E399" s="0" t="n">
        <v>1.61396422001624e-05</v>
      </c>
      <c r="F399" s="0" t="n">
        <v>1.791483075130112e-05</v>
      </c>
      <c r="G399" s="0" t="n">
        <v>-1.775188551138721e-06</v>
      </c>
      <c r="H399" s="0" t="b">
        <v>1</v>
      </c>
    </row>
    <row r="400">
      <c r="A400" s="0" t="n">
        <v>101</v>
      </c>
      <c r="B400" s="0" t="n">
        <v>11</v>
      </c>
      <c r="C400" s="0" t="n">
        <v>814697.265625</v>
      </c>
      <c r="D400" s="0" t="n">
        <v>12153161.03420007</v>
      </c>
      <c r="E400" s="0" t="n">
        <v>1.809535342614739e-05</v>
      </c>
      <c r="F400" s="0" t="n">
        <v>1.791483075130112e-05</v>
      </c>
      <c r="G400" s="0" t="n">
        <v>1.805226748462733e-07</v>
      </c>
      <c r="H400" s="0" t="b">
        <v>0</v>
      </c>
    </row>
    <row r="401">
      <c r="A401" s="0" t="n">
        <v>101</v>
      </c>
      <c r="B401" s="0" t="n">
        <v>12</v>
      </c>
      <c r="C401" s="0" t="n">
        <v>811791.9921875</v>
      </c>
      <c r="D401" s="0" t="n">
        <v>-49183040.92142862</v>
      </c>
      <c r="E401" s="0" t="n">
        <v>1.709292577494378e-05</v>
      </c>
      <c r="F401" s="0" t="n">
        <v>1.791483075130112e-05</v>
      </c>
      <c r="G401" s="0" t="n">
        <v>-8.21904976357342e-07</v>
      </c>
      <c r="H401" s="0" t="b">
        <v>1</v>
      </c>
    </row>
    <row r="402">
      <c r="A402" s="0" t="n">
        <v>101</v>
      </c>
      <c r="B402" s="0" t="n">
        <v>13</v>
      </c>
      <c r="C402" s="0" t="n">
        <v>813244.62890625</v>
      </c>
      <c r="D402" s="0" t="n">
        <v>-20783426.77650316</v>
      </c>
      <c r="E402" s="0" t="n">
        <v>1.758786401791612e-05</v>
      </c>
      <c r="F402" s="0" t="n">
        <v>1.791483075130112e-05</v>
      </c>
      <c r="G402" s="0" t="n">
        <v>-3.269667333850044e-07</v>
      </c>
      <c r="H402" s="0" t="b">
        <v>1</v>
      </c>
    </row>
    <row r="403">
      <c r="A403" s="0" t="n">
        <v>101</v>
      </c>
      <c r="B403" s="0" t="n">
        <v>14</v>
      </c>
      <c r="C403" s="0" t="n">
        <v>813744.62890625</v>
      </c>
      <c r="D403" s="0" t="n">
        <v>-9969239.677693689</v>
      </c>
      <c r="E403" s="0" t="n">
        <v>1.776111259555306e-05</v>
      </c>
      <c r="F403" s="0" t="n">
        <v>1.791483075130112e-05</v>
      </c>
      <c r="G403" s="0" t="n">
        <v>-1.537181557480552e-07</v>
      </c>
      <c r="H403" s="0" t="b">
        <v>1</v>
      </c>
    </row>
    <row r="404">
      <c r="A404" s="0" t="n">
        <v>101</v>
      </c>
      <c r="B404" s="0" t="n">
        <v>15</v>
      </c>
      <c r="C404" s="0" t="n">
        <v>814244.62890625</v>
      </c>
      <c r="D404" s="0" t="n">
        <v>1390987.67582119</v>
      </c>
      <c r="E404" s="0" t="n">
        <v>1.793585928449118e-05</v>
      </c>
      <c r="F404" s="0" t="n">
        <v>1.791483075130112e-05</v>
      </c>
      <c r="G404" s="0" t="n">
        <v>2.10285331900644e-08</v>
      </c>
      <c r="H404" s="0" t="b">
        <v>0</v>
      </c>
    </row>
    <row r="405">
      <c r="A405" s="0" t="n">
        <v>101</v>
      </c>
      <c r="B405" s="0" t="n">
        <v>16</v>
      </c>
      <c r="C405" s="0" t="n">
        <v>813994.62890625</v>
      </c>
      <c r="D405" s="0" t="n">
        <v>-4357909.91048828</v>
      </c>
      <c r="E405" s="0" t="n">
        <v>1.784829811470449e-05</v>
      </c>
      <c r="F405" s="0" t="n">
        <v>1.791483075130112e-05</v>
      </c>
      <c r="G405" s="0" t="n">
        <v>-6.653263659662834e-08</v>
      </c>
      <c r="H405" s="0" t="b">
        <v>1</v>
      </c>
    </row>
    <row r="406">
      <c r="A406" s="0" t="n">
        <v>101</v>
      </c>
      <c r="B406" s="0" t="n">
        <v>17</v>
      </c>
      <c r="C406" s="0" t="n">
        <v>814119.62890625</v>
      </c>
      <c r="D406" s="0" t="n">
        <v>-1500739.56668256</v>
      </c>
      <c r="E406" s="0" t="n">
        <v>1.789203142614114e-05</v>
      </c>
      <c r="F406" s="0" t="n">
        <v>1.791483075130112e-05</v>
      </c>
      <c r="G406" s="0" t="n">
        <v>-2.279932515997997e-08</v>
      </c>
      <c r="H406" s="0" t="b">
        <v>1</v>
      </c>
    </row>
    <row r="407">
      <c r="A407" s="0" t="n">
        <v>101</v>
      </c>
      <c r="B407" s="0" t="n">
        <v>18</v>
      </c>
      <c r="C407" s="0" t="n">
        <v>814244.62890625</v>
      </c>
      <c r="D407" s="0" t="n">
        <v>1390987.67582119</v>
      </c>
      <c r="E407" s="0" t="n">
        <v>1.793585928449118e-05</v>
      </c>
      <c r="F407" s="0" t="n">
        <v>1.791483075130112e-05</v>
      </c>
      <c r="G407" s="0" t="n">
        <v>2.10285331900644e-08</v>
      </c>
      <c r="H407" s="0" t="b">
        <v>0</v>
      </c>
    </row>
    <row r="408">
      <c r="A408" s="0" t="n">
        <v>101</v>
      </c>
      <c r="B408" s="0" t="n">
        <v>19</v>
      </c>
      <c r="C408" s="0" t="n">
        <v>814182.12890625</v>
      </c>
      <c r="D408" s="0" t="n">
        <v>-59193.87081922017</v>
      </c>
      <c r="E408" s="0" t="n">
        <v>1.791393368031959e-05</v>
      </c>
      <c r="F408" s="0" t="n">
        <v>1.791483075130112e-05</v>
      </c>
      <c r="G408" s="0" t="n">
        <v>-8.970709815274067e-10</v>
      </c>
      <c r="H408" s="0" t="b">
        <v>1</v>
      </c>
    </row>
    <row r="409">
      <c r="A409" s="0" t="n">
        <v>101</v>
      </c>
      <c r="B409" s="0" t="n">
        <v>20</v>
      </c>
      <c r="C409" s="0" t="n">
        <v>814213.37890625</v>
      </c>
      <c r="D409" s="0" t="n">
        <v>664814.6789854941</v>
      </c>
      <c r="E409" s="0" t="n">
        <v>1.792489353661251e-05</v>
      </c>
      <c r="F409" s="0" t="n">
        <v>1.791483075130112e-05</v>
      </c>
      <c r="G409" s="0" t="n">
        <v>1.00627853113923e-08</v>
      </c>
      <c r="H409" s="0" t="b">
        <v>0</v>
      </c>
    </row>
    <row r="410">
      <c r="A410" s="0" t="n">
        <v>101</v>
      </c>
      <c r="B410" s="0" t="n">
        <v>21</v>
      </c>
      <c r="C410" s="0" t="n">
        <v>814250.87890625</v>
      </c>
      <c r="D410" s="0" t="n">
        <v>1536468.484767041</v>
      </c>
      <c r="E410" s="0" t="n">
        <v>1.793805293461918e-05</v>
      </c>
      <c r="F410" s="0" t="n">
        <v>1.791483075130112e-05</v>
      </c>
      <c r="G410" s="0" t="n">
        <v>2.32221833180623e-08</v>
      </c>
      <c r="H410" s="0" t="b">
        <v>0</v>
      </c>
    </row>
    <row r="411">
      <c r="A411" s="0" t="n">
        <v>101</v>
      </c>
      <c r="B411" s="0" t="n">
        <v>22</v>
      </c>
      <c r="C411" s="0" t="n">
        <v>814232.12890625</v>
      </c>
      <c r="D411" s="0" t="n">
        <v>1100244.929117744</v>
      </c>
      <c r="E411" s="0" t="n">
        <v>1.793147207166111e-05</v>
      </c>
      <c r="F411" s="0" t="n">
        <v>1.791483075130112e-05</v>
      </c>
      <c r="G411" s="0" t="n">
        <v>1.66413203599881e-08</v>
      </c>
      <c r="H411" s="0" t="b">
        <v>0</v>
      </c>
    </row>
    <row r="412">
      <c r="A412" s="0" t="n">
        <v>101</v>
      </c>
      <c r="B412" s="0" t="n">
        <v>23</v>
      </c>
      <c r="C412" s="0" t="n">
        <v>814209.62890625</v>
      </c>
      <c r="D412" s="0" t="n">
        <v>577819.411718112</v>
      </c>
      <c r="E412" s="0" t="n">
        <v>1.792357804283329e-05</v>
      </c>
      <c r="F412" s="0" t="n">
        <v>1.791483075130112e-05</v>
      </c>
      <c r="G412" s="0" t="n">
        <v>8.747291532173161e-09</v>
      </c>
      <c r="H412" s="0" t="b">
        <v>0</v>
      </c>
    </row>
    <row r="413">
      <c r="A413" s="0" t="n">
        <v>101</v>
      </c>
      <c r="B413" s="0" t="n">
        <v>24</v>
      </c>
      <c r="C413" s="0" t="n">
        <v>814220.87890625</v>
      </c>
      <c r="D413" s="0" t="n">
        <v>838885.0601692224</v>
      </c>
      <c r="E413" s="0" t="n">
        <v>1.792752457226808e-05</v>
      </c>
      <c r="F413" s="0" t="n">
        <v>1.791483075130112e-05</v>
      </c>
      <c r="G413" s="0" t="n">
        <v>1.269382096696342e-08</v>
      </c>
      <c r="H413" s="0" t="b">
        <v>0</v>
      </c>
    </row>
    <row r="414">
      <c r="A414" s="0" t="n">
        <v>101</v>
      </c>
      <c r="B414" s="0" t="n">
        <v>25</v>
      </c>
      <c r="C414" s="0" t="n">
        <v>814215.25390625</v>
      </c>
      <c r="D414" s="0" t="n">
        <v>708310.3486436968</v>
      </c>
      <c r="E414" s="0" t="n">
        <v>1.792555110894272e-05</v>
      </c>
      <c r="F414" s="0" t="n">
        <v>1.791483075130112e-05</v>
      </c>
      <c r="G414" s="0" t="n">
        <v>1.07203576415976e-08</v>
      </c>
      <c r="H414" s="0" t="b">
        <v>0</v>
      </c>
    </row>
    <row r="415">
      <c r="A415" s="0" t="n">
        <v>101</v>
      </c>
      <c r="B415" s="0" t="n">
        <v>26</v>
      </c>
      <c r="C415" s="0" t="n">
        <v>814218.06640625</v>
      </c>
      <c r="D415" s="0" t="n">
        <v>773588.9373771055</v>
      </c>
      <c r="E415" s="0" t="n">
        <v>1.792653781674681e-05</v>
      </c>
      <c r="F415" s="0" t="n">
        <v>1.791483075130112e-05</v>
      </c>
      <c r="G415" s="0" t="n">
        <v>1.170706544569342e-08</v>
      </c>
      <c r="H415" s="0" t="b">
        <v>0</v>
      </c>
    </row>
    <row r="416">
      <c r="A416" s="0" t="n">
        <v>101</v>
      </c>
      <c r="B416" s="0" t="n">
        <v>27</v>
      </c>
      <c r="C416" s="0" t="n">
        <v>814221.44140625</v>
      </c>
      <c r="D416" s="0" t="n">
        <v>851946.3891659457</v>
      </c>
      <c r="E416" s="0" t="n">
        <v>1.792772192910183e-05</v>
      </c>
      <c r="F416" s="0" t="n">
        <v>1.791483075130112e-05</v>
      </c>
      <c r="G416" s="0" t="n">
        <v>1.289117780071294e-08</v>
      </c>
      <c r="H416" s="0" t="b">
        <v>0</v>
      </c>
    </row>
    <row r="417">
      <c r="A417" s="0" t="n">
        <v>101</v>
      </c>
      <c r="B417" s="0" t="n">
        <v>28</v>
      </c>
      <c r="C417" s="0" t="n">
        <v>814219.75390625</v>
      </c>
      <c r="D417" s="0" t="n">
        <v>812764.5067156756</v>
      </c>
      <c r="E417" s="0" t="n">
        <v>1.79271298643311e-05</v>
      </c>
      <c r="F417" s="0" t="n">
        <v>1.791483075130112e-05</v>
      </c>
      <c r="G417" s="0" t="n">
        <v>1.229911302998447e-08</v>
      </c>
      <c r="H417" s="0" t="b">
        <v>0</v>
      </c>
    </row>
    <row r="418">
      <c r="A418" s="0" t="n">
        <v>102</v>
      </c>
      <c r="B418" s="0" t="n">
        <v>1</v>
      </c>
      <c r="C418" s="0" t="n">
        <v>6050000</v>
      </c>
      <c r="D418" s="0" t="n">
        <v>600467717769788.2</v>
      </c>
      <c r="E418" s="0" t="n">
        <v>0.3720126982191544</v>
      </c>
      <c r="F418" s="0" t="n">
        <v>1.791483075130884e-05</v>
      </c>
      <c r="G418" s="0" t="n">
        <v>0.3719947833884031</v>
      </c>
      <c r="H418" s="0" t="b">
        <v>0</v>
      </c>
    </row>
    <row r="419">
      <c r="A419" s="0" t="n">
        <v>102</v>
      </c>
      <c r="B419" s="0" t="n">
        <v>2</v>
      </c>
      <c r="C419" s="0" t="n">
        <v>3075000</v>
      </c>
      <c r="D419" s="0" t="n">
        <v>217745086697.4532</v>
      </c>
      <c r="E419" s="0" t="n">
        <v>0.000616185129955631</v>
      </c>
      <c r="F419" s="0" t="n">
        <v>1.791483075130114e-05</v>
      </c>
      <c r="G419" s="0" t="n">
        <v>0.0005982702992043299</v>
      </c>
      <c r="H419" s="0" t="b">
        <v>0</v>
      </c>
    </row>
    <row r="420">
      <c r="A420" s="0" t="n">
        <v>102</v>
      </c>
      <c r="B420" s="0" t="n">
        <v>3</v>
      </c>
      <c r="C420" s="0" t="n">
        <v>1587500</v>
      </c>
      <c r="D420" s="0" t="n">
        <v>-71623.88198376349</v>
      </c>
      <c r="E420" s="0" t="n">
        <v>-7.749883655492851e-07</v>
      </c>
      <c r="F420" s="0" t="n">
        <v>1.791483075130112e-05</v>
      </c>
      <c r="G420" s="0" t="n">
        <v>-1.86898191168504e-05</v>
      </c>
      <c r="H420" s="0" t="b">
        <v>1</v>
      </c>
    </row>
    <row r="421">
      <c r="A421" s="0" t="n">
        <v>102</v>
      </c>
      <c r="B421" s="0" t="n">
        <v>4</v>
      </c>
      <c r="C421" s="0" t="n">
        <v>2331250</v>
      </c>
      <c r="D421" s="0" t="n">
        <v>-44508088.71722569</v>
      </c>
      <c r="E421" s="0" t="n">
        <v>1.717907169270447e-05</v>
      </c>
      <c r="F421" s="0" t="n">
        <v>1.791483075130112e-05</v>
      </c>
      <c r="G421" s="0" t="n">
        <v>-7.357590585966502e-07</v>
      </c>
      <c r="H421" s="0" t="b">
        <v>1</v>
      </c>
    </row>
    <row r="422">
      <c r="A422" s="0" t="n">
        <v>102</v>
      </c>
      <c r="B422" s="0" t="n">
        <v>5</v>
      </c>
      <c r="C422" s="0" t="n">
        <v>2703125</v>
      </c>
      <c r="D422" s="0" t="n">
        <v>24131790167.58671</v>
      </c>
      <c r="E422" s="0" t="n">
        <v>0.0001296536024044144</v>
      </c>
      <c r="F422" s="0" t="n">
        <v>1.791483075130112e-05</v>
      </c>
      <c r="G422" s="0" t="n">
        <v>0.0001117387716531133</v>
      </c>
      <c r="H422" s="0" t="b">
        <v>0</v>
      </c>
    </row>
    <row r="423">
      <c r="A423" s="0" t="n">
        <v>102</v>
      </c>
      <c r="B423" s="0" t="n">
        <v>6</v>
      </c>
      <c r="C423" s="0" t="n">
        <v>2517187.5</v>
      </c>
      <c r="D423" s="0" t="n">
        <v>4757876214.186198</v>
      </c>
      <c r="E423" s="0" t="n">
        <v>5.066105560468834e-05</v>
      </c>
      <c r="F423" s="0" t="n">
        <v>1.791483075130112e-05</v>
      </c>
      <c r="G423" s="0" t="n">
        <v>3.274622485338721e-05</v>
      </c>
      <c r="H423" s="0" t="b">
        <v>0</v>
      </c>
    </row>
    <row r="424">
      <c r="A424" s="0" t="n">
        <v>102</v>
      </c>
      <c r="B424" s="0" t="n">
        <v>7</v>
      </c>
      <c r="C424" s="0" t="n">
        <v>2424218.75</v>
      </c>
      <c r="D424" s="0" t="n">
        <v>1335351930.540453</v>
      </c>
      <c r="E424" s="0" t="n">
        <v>3.009080849146812e-05</v>
      </c>
      <c r="F424" s="0" t="n">
        <v>1.791483075130112e-05</v>
      </c>
      <c r="G424" s="0" t="n">
        <v>1.2175977740167e-05</v>
      </c>
      <c r="H424" s="0" t="b">
        <v>0</v>
      </c>
    </row>
    <row r="425">
      <c r="A425" s="0" t="n">
        <v>102</v>
      </c>
      <c r="B425" s="0" t="n">
        <v>8</v>
      </c>
      <c r="C425" s="0" t="n">
        <v>2377734.375</v>
      </c>
      <c r="D425" s="0" t="n">
        <v>449824637.9212046</v>
      </c>
      <c r="E425" s="0" t="n">
        <v>2.285525065069843e-05</v>
      </c>
      <c r="F425" s="0" t="n">
        <v>1.791483075130112e-05</v>
      </c>
      <c r="G425" s="0" t="n">
        <v>4.94041989939731e-06</v>
      </c>
      <c r="H425" s="0" t="b">
        <v>0</v>
      </c>
    </row>
    <row r="426">
      <c r="A426" s="0" t="n">
        <v>102</v>
      </c>
      <c r="B426" s="0" t="n">
        <v>9</v>
      </c>
      <c r="C426" s="0" t="n">
        <v>2354492.1875</v>
      </c>
      <c r="D426" s="0" t="n">
        <v>153776900.0813287</v>
      </c>
      <c r="E426" s="0" t="n">
        <v>1.984172890682543e-05</v>
      </c>
      <c r="F426" s="0" t="n">
        <v>1.791483075130112e-05</v>
      </c>
      <c r="G426" s="0" t="n">
        <v>1.926898155524314e-06</v>
      </c>
      <c r="H426" s="0" t="b">
        <v>0</v>
      </c>
    </row>
    <row r="427">
      <c r="A427" s="0" t="n">
        <v>102</v>
      </c>
      <c r="B427" s="0" t="n">
        <v>10</v>
      </c>
      <c r="C427" s="0" t="n">
        <v>2342871.09375</v>
      </c>
      <c r="D427" s="0" t="n">
        <v>38813763.64371871</v>
      </c>
      <c r="E427" s="0" t="n">
        <v>1.8468919324608e-05</v>
      </c>
      <c r="F427" s="0" t="n">
        <v>1.791483075130112e-05</v>
      </c>
      <c r="G427" s="0" t="n">
        <v>5.540885733068769e-07</v>
      </c>
      <c r="H427" s="0" t="b">
        <v>0</v>
      </c>
    </row>
    <row r="428">
      <c r="A428" s="0" t="n">
        <v>102</v>
      </c>
      <c r="B428" s="0" t="n">
        <v>11</v>
      </c>
      <c r="C428" s="0" t="n">
        <v>2337060.546875</v>
      </c>
      <c r="D428" s="0" t="n">
        <v>-6583607.507304312</v>
      </c>
      <c r="E428" s="0" t="n">
        <v>1.781392596878315e-05</v>
      </c>
      <c r="F428" s="0" t="n">
        <v>1.791483075130112e-05</v>
      </c>
      <c r="G428" s="0" t="n">
        <v>-1.009047825179665e-07</v>
      </c>
      <c r="H428" s="0" t="b">
        <v>1</v>
      </c>
    </row>
    <row r="429">
      <c r="A429" s="0" t="n">
        <v>102</v>
      </c>
      <c r="B429" s="0" t="n">
        <v>12</v>
      </c>
      <c r="C429" s="0" t="n">
        <v>2339965.8203125</v>
      </c>
      <c r="D429" s="0" t="n">
        <v>15156527.26402797</v>
      </c>
      <c r="E429" s="0" t="n">
        <v>1.813890147607148e-05</v>
      </c>
      <c r="F429" s="0" t="n">
        <v>1.791483075130112e-05</v>
      </c>
      <c r="G429" s="0" t="n">
        <v>2.240707247703597e-07</v>
      </c>
      <c r="H429" s="0" t="b">
        <v>0</v>
      </c>
    </row>
    <row r="430">
      <c r="A430" s="0" t="n">
        <v>102</v>
      </c>
      <c r="B430" s="0" t="n">
        <v>13</v>
      </c>
      <c r="C430" s="0" t="n">
        <v>2338513.18359375</v>
      </c>
      <c r="D430" s="0" t="n">
        <v>4050199.423167236</v>
      </c>
      <c r="E430" s="0" t="n">
        <v>1.797578897529798e-05</v>
      </c>
      <c r="F430" s="0" t="n">
        <v>1.791483075130112e-05</v>
      </c>
      <c r="G430" s="0" t="n">
        <v>6.095822399686344e-08</v>
      </c>
      <c r="H430" s="0" t="b">
        <v>0</v>
      </c>
    </row>
    <row r="431">
      <c r="A431" s="0" t="n">
        <v>102</v>
      </c>
      <c r="B431" s="0" t="n">
        <v>14</v>
      </c>
      <c r="C431" s="0" t="n">
        <v>2337313.18359375</v>
      </c>
      <c r="D431" s="0" t="n">
        <v>-4768055.199713872</v>
      </c>
      <c r="E431" s="0" t="n">
        <v>1.784198440183584e-05</v>
      </c>
      <c r="F431" s="0" t="n">
        <v>1.791483075130112e-05</v>
      </c>
      <c r="G431" s="0" t="n">
        <v>-7.284634946527505e-08</v>
      </c>
      <c r="H431" s="0" t="b">
        <v>1</v>
      </c>
    </row>
    <row r="432">
      <c r="A432" s="0" t="n">
        <v>102</v>
      </c>
      <c r="B432" s="0" t="n">
        <v>15</v>
      </c>
      <c r="C432" s="0" t="n">
        <v>2337913.18359375</v>
      </c>
      <c r="D432" s="0" t="n">
        <v>-399131.8178658123</v>
      </c>
      <c r="E432" s="0" t="n">
        <v>1.790877849708428e-05</v>
      </c>
      <c r="F432" s="0" t="n">
        <v>1.791483075130112e-05</v>
      </c>
      <c r="G432" s="0" t="n">
        <v>-6.052254216839219e-09</v>
      </c>
      <c r="H432" s="0" t="b">
        <v>1</v>
      </c>
    </row>
    <row r="433">
      <c r="A433" s="0" t="n">
        <v>102</v>
      </c>
      <c r="B433" s="0" t="n">
        <v>16</v>
      </c>
      <c r="C433" s="0" t="n">
        <v>2338513.18359375</v>
      </c>
      <c r="D433" s="0" t="n">
        <v>4050199.423167236</v>
      </c>
      <c r="E433" s="0" t="n">
        <v>1.797578897529798e-05</v>
      </c>
      <c r="F433" s="0" t="n">
        <v>1.791483075130112e-05</v>
      </c>
      <c r="G433" s="0" t="n">
        <v>6.095822399686344e-08</v>
      </c>
      <c r="H433" s="0" t="b">
        <v>0</v>
      </c>
    </row>
    <row r="434">
      <c r="A434" s="0" t="n">
        <v>102</v>
      </c>
      <c r="B434" s="0" t="n">
        <v>17</v>
      </c>
      <c r="C434" s="0" t="n">
        <v>2338213.18359375</v>
      </c>
      <c r="D434" s="0" t="n">
        <v>1815393.383372027</v>
      </c>
      <c r="E434" s="0" t="n">
        <v>1.794225574668111e-05</v>
      </c>
      <c r="F434" s="0" t="n">
        <v>1.791483075130112e-05</v>
      </c>
      <c r="G434" s="0" t="n">
        <v>2.742499537998838e-08</v>
      </c>
      <c r="H434" s="0" t="b">
        <v>0</v>
      </c>
    </row>
    <row r="435">
      <c r="A435" s="0" t="n">
        <v>102</v>
      </c>
      <c r="B435" s="0" t="n">
        <v>18</v>
      </c>
      <c r="C435" s="0" t="n">
        <v>2338363.18359375</v>
      </c>
      <c r="D435" s="0" t="n">
        <v>2930297.680296416</v>
      </c>
      <c r="E435" s="0" t="n">
        <v>1.795901596253934e-05</v>
      </c>
      <c r="F435" s="0" t="n">
        <v>1.791483075130112e-05</v>
      </c>
      <c r="G435" s="0" t="n">
        <v>4.418521123822057e-08</v>
      </c>
      <c r="H435" s="0" t="b">
        <v>0</v>
      </c>
    </row>
    <row r="436">
      <c r="A436" s="0" t="n">
        <v>102</v>
      </c>
      <c r="B436" s="0" t="n">
        <v>19</v>
      </c>
      <c r="C436" s="0" t="n">
        <v>2338288.18359375</v>
      </c>
      <c r="D436" s="0" t="n">
        <v>2372241.350148352</v>
      </c>
      <c r="E436" s="0" t="n">
        <v>1.795063455735496e-05</v>
      </c>
      <c r="F436" s="0" t="n">
        <v>1.791483075130112e-05</v>
      </c>
      <c r="G436" s="0" t="n">
        <v>3.58038060538376e-08</v>
      </c>
      <c r="H436" s="0" t="b">
        <v>0</v>
      </c>
    </row>
    <row r="437">
      <c r="A437" s="0" t="n">
        <v>102</v>
      </c>
      <c r="B437" s="0" t="n">
        <v>20</v>
      </c>
      <c r="C437" s="0" t="n">
        <v>2338198.18359375</v>
      </c>
      <c r="D437" s="0" t="n">
        <v>1704185.836950748</v>
      </c>
      <c r="E437" s="0" t="n">
        <v>1.794058055339701e-05</v>
      </c>
      <c r="F437" s="0" t="n">
        <v>1.791483075130112e-05</v>
      </c>
      <c r="G437" s="0" t="n">
        <v>2.574980209589053e-08</v>
      </c>
      <c r="H437" s="0" t="b">
        <v>0</v>
      </c>
    </row>
    <row r="438">
      <c r="A438" s="0" t="n">
        <v>102</v>
      </c>
      <c r="B438" s="0" t="n">
        <v>21</v>
      </c>
      <c r="C438" s="0" t="n">
        <v>2338243.18359375</v>
      </c>
      <c r="D438" s="0" t="n">
        <v>2037959.788378901</v>
      </c>
      <c r="E438" s="0" t="n">
        <v>1.794560654103076e-05</v>
      </c>
      <c r="F438" s="0" t="n">
        <v>1.791483075130112e-05</v>
      </c>
      <c r="G438" s="0" t="n">
        <v>3.077578972964513e-08</v>
      </c>
      <c r="H438" s="0" t="b">
        <v>0</v>
      </c>
    </row>
    <row r="439">
      <c r="A439" s="0" t="n">
        <v>102</v>
      </c>
      <c r="B439" s="0" t="n">
        <v>22</v>
      </c>
      <c r="C439" s="0" t="n">
        <v>2338297.18359375</v>
      </c>
      <c r="D439" s="0" t="n">
        <v>2439141.468722141</v>
      </c>
      <c r="E439" s="0" t="n">
        <v>1.795164014647355e-05</v>
      </c>
      <c r="F439" s="0" t="n">
        <v>1.791483075130112e-05</v>
      </c>
      <c r="G439" s="0" t="n">
        <v>3.680939517243441e-08</v>
      </c>
      <c r="H439" s="0" t="b">
        <v>0</v>
      </c>
    </row>
    <row r="440">
      <c r="A440" s="0" t="n">
        <v>102</v>
      </c>
      <c r="B440" s="0" t="n">
        <v>23</v>
      </c>
      <c r="C440" s="0" t="n">
        <v>2338270.18359375</v>
      </c>
      <c r="D440" s="0" t="n">
        <v>2238495.620967768</v>
      </c>
      <c r="E440" s="0" t="n">
        <v>1.794862352596309e-05</v>
      </c>
      <c r="F440" s="0" t="n">
        <v>1.791483075130112e-05</v>
      </c>
      <c r="G440" s="0" t="n">
        <v>3.379277466197217e-08</v>
      </c>
      <c r="H440" s="0" t="b">
        <v>0</v>
      </c>
    </row>
    <row r="441">
      <c r="A441" s="0" t="n">
        <v>102</v>
      </c>
      <c r="B441" s="0" t="n">
        <v>24</v>
      </c>
      <c r="C441" s="0" t="n">
        <v>2338283.68359375</v>
      </c>
      <c r="D441" s="0" t="n">
        <v>2338744.549277442</v>
      </c>
      <c r="E441" s="0" t="n">
        <v>1.795013097597047e-05</v>
      </c>
      <c r="F441" s="0" t="n">
        <v>1.791483075130112e-05</v>
      </c>
      <c r="G441" s="0" t="n">
        <v>3.530022466934944e-08</v>
      </c>
      <c r="H441" s="0" t="b">
        <v>0</v>
      </c>
    </row>
    <row r="442">
      <c r="A442" s="0" t="n">
        <v>103</v>
      </c>
      <c r="B442" s="0" t="n">
        <v>1</v>
      </c>
      <c r="C442" s="0" t="n">
        <v>6050000</v>
      </c>
      <c r="D442" s="0" t="n">
        <v>2.645639544979186e+18</v>
      </c>
      <c r="E442" s="0" t="n">
        <v>536.8709220000001</v>
      </c>
      <c r="F442" s="0" t="n">
        <v>1.783258903742535e-05</v>
      </c>
      <c r="G442" s="0" t="n">
        <v>536.870904167411</v>
      </c>
      <c r="H442" s="0" t="b">
        <v>0</v>
      </c>
    </row>
    <row r="443">
      <c r="A443" s="0" t="n">
        <v>103</v>
      </c>
      <c r="B443" s="0" t="n">
        <v>2</v>
      </c>
      <c r="C443" s="0" t="n">
        <v>3075000</v>
      </c>
      <c r="D443" s="0" t="n">
        <v>3.123478758037413e+16</v>
      </c>
      <c r="E443" s="0" t="n">
        <v>10.91419229468845</v>
      </c>
      <c r="F443" s="0" t="n">
        <v>1.78325889983455e-05</v>
      </c>
      <c r="G443" s="0" t="n">
        <v>10.91417446209945</v>
      </c>
      <c r="H443" s="0" t="b">
        <v>0</v>
      </c>
    </row>
    <row r="444">
      <c r="A444" s="0" t="n">
        <v>103</v>
      </c>
      <c r="B444" s="0" t="n">
        <v>3</v>
      </c>
      <c r="C444" s="0" t="n">
        <v>1587500</v>
      </c>
      <c r="D444" s="0" t="n">
        <v>48973688938240.76</v>
      </c>
      <c r="E444" s="0" t="n">
        <v>0.0455576037504757</v>
      </c>
      <c r="F444" s="0" t="n">
        <v>1.783258899866469e-05</v>
      </c>
      <c r="G444" s="0" t="n">
        <v>0.04553977116147704</v>
      </c>
      <c r="H444" s="0" t="b">
        <v>0</v>
      </c>
    </row>
    <row r="445">
      <c r="A445" s="0" t="n">
        <v>103</v>
      </c>
      <c r="B445" s="0" t="n">
        <v>4</v>
      </c>
      <c r="C445" s="0" t="n">
        <v>843750</v>
      </c>
      <c r="D445" s="0" t="n">
        <v>493394972.5707433</v>
      </c>
      <c r="E445" s="0" t="n">
        <v>2.315679842836815e-05</v>
      </c>
      <c r="F445" s="0" t="n">
        <v>1.783258899866653e-05</v>
      </c>
      <c r="G445" s="0" t="n">
        <v>5.324209429701624e-06</v>
      </c>
      <c r="H445" s="0" t="b">
        <v>0</v>
      </c>
    </row>
    <row r="446">
      <c r="A446" s="0" t="n">
        <v>103</v>
      </c>
      <c r="B446" s="0" t="n">
        <v>5</v>
      </c>
      <c r="C446" s="0" t="n">
        <v>471875</v>
      </c>
      <c r="D446" s="0" t="n">
        <v>-27803.2152694242</v>
      </c>
      <c r="E446" s="0" t="n">
        <v>-5.601734417265271e-06</v>
      </c>
      <c r="F446" s="0" t="n">
        <v>1.783258899866653e-05</v>
      </c>
      <c r="G446" s="0" t="n">
        <v>-2.34343234159318e-05</v>
      </c>
      <c r="H446" s="0" t="b">
        <v>1</v>
      </c>
    </row>
    <row r="447">
      <c r="A447" s="0" t="n">
        <v>103</v>
      </c>
      <c r="B447" s="0" t="n">
        <v>6</v>
      </c>
      <c r="C447" s="0" t="n">
        <v>657812.5</v>
      </c>
      <c r="D447" s="0" t="n">
        <v>-146006.3224881059</v>
      </c>
      <c r="E447" s="0" t="n">
        <v>1.74498874184742e-06</v>
      </c>
      <c r="F447" s="0" t="n">
        <v>1.783258899866653e-05</v>
      </c>
      <c r="G447" s="0" t="n">
        <v>-1.60876002568191e-05</v>
      </c>
      <c r="H447" s="0" t="b">
        <v>1</v>
      </c>
    </row>
    <row r="448">
      <c r="A448" s="0" t="n">
        <v>103</v>
      </c>
      <c r="B448" s="0" t="n">
        <v>7</v>
      </c>
      <c r="C448" s="0" t="n">
        <v>750781.25</v>
      </c>
      <c r="D448" s="0" t="n">
        <v>-1105506.513999887</v>
      </c>
      <c r="E448" s="0" t="n">
        <v>6.084234539939238e-06</v>
      </c>
      <c r="F448" s="0" t="n">
        <v>1.783258899866653e-05</v>
      </c>
      <c r="G448" s="0" t="n">
        <v>-1.174835445872729e-05</v>
      </c>
      <c r="H448" s="0" t="b">
        <v>1</v>
      </c>
    </row>
    <row r="449">
      <c r="A449" s="0" t="n">
        <v>103</v>
      </c>
      <c r="B449" s="0" t="n">
        <v>8</v>
      </c>
      <c r="C449" s="0" t="n">
        <v>797265.625</v>
      </c>
      <c r="D449" s="0" t="n">
        <v>-37562161.0501991</v>
      </c>
      <c r="E449" s="0" t="n">
        <v>1.01619346992201e-05</v>
      </c>
      <c r="F449" s="0" t="n">
        <v>1.783258899866653e-05</v>
      </c>
      <c r="G449" s="0" t="n">
        <v>-7.67065429944643e-06</v>
      </c>
      <c r="H449" s="0" t="b">
        <v>1</v>
      </c>
    </row>
    <row r="450">
      <c r="A450" s="0" t="n">
        <v>103</v>
      </c>
      <c r="B450" s="0" t="n">
        <v>9</v>
      </c>
      <c r="C450" s="0" t="n">
        <v>820507.8125</v>
      </c>
      <c r="D450" s="0" t="n">
        <v>-127379977.0875073</v>
      </c>
      <c r="E450" s="0" t="n">
        <v>1.486784218528776e-05</v>
      </c>
      <c r="F450" s="0" t="n">
        <v>1.783258899866653e-05</v>
      </c>
      <c r="G450" s="0" t="n">
        <v>-2.964746813378763e-06</v>
      </c>
      <c r="H450" s="0" t="b">
        <v>1</v>
      </c>
    </row>
    <row r="451">
      <c r="A451" s="0" t="n">
        <v>103</v>
      </c>
      <c r="B451" s="0" t="n">
        <v>10</v>
      </c>
      <c r="C451" s="0" t="n">
        <v>832128.90625</v>
      </c>
      <c r="D451" s="0" t="n">
        <v>55904655.70971394</v>
      </c>
      <c r="E451" s="0" t="n">
        <v>1.861061676530847e-05</v>
      </c>
      <c r="F451" s="0" t="n">
        <v>1.783258899866653e-05</v>
      </c>
      <c r="G451" s="0" t="n">
        <v>7.780277666419402e-07</v>
      </c>
      <c r="H451" s="0" t="b">
        <v>0</v>
      </c>
    </row>
    <row r="452">
      <c r="A452" s="0" t="n">
        <v>103</v>
      </c>
      <c r="B452" s="0" t="n">
        <v>11</v>
      </c>
      <c r="C452" s="0" t="n">
        <v>826318.359375</v>
      </c>
      <c r="D452" s="0" t="n">
        <v>-67731588.28445421</v>
      </c>
      <c r="E452" s="0" t="n">
        <v>1.664698481398494e-05</v>
      </c>
      <c r="F452" s="0" t="n">
        <v>1.783258899866653e-05</v>
      </c>
      <c r="G452" s="0" t="n">
        <v>-1.185604184681587e-06</v>
      </c>
      <c r="H452" s="0" t="b">
        <v>1</v>
      </c>
    </row>
    <row r="453">
      <c r="A453" s="0" t="n">
        <v>103</v>
      </c>
      <c r="B453" s="0" t="n">
        <v>12</v>
      </c>
      <c r="C453" s="0" t="n">
        <v>829223.6328125</v>
      </c>
      <c r="D453" s="0" t="n">
        <v>-14678196.55893885</v>
      </c>
      <c r="E453" s="0" t="n">
        <v>1.760476008927116e-05</v>
      </c>
      <c r="F453" s="0" t="n">
        <v>1.783258899866653e-05</v>
      </c>
      <c r="G453" s="0" t="n">
        <v>-2.278289093953699e-07</v>
      </c>
      <c r="H453" s="0" t="b">
        <v>1</v>
      </c>
    </row>
    <row r="454">
      <c r="A454" s="0" t="n">
        <v>103</v>
      </c>
      <c r="B454" s="0" t="n">
        <v>13</v>
      </c>
      <c r="C454" s="0" t="n">
        <v>830676.26953125</v>
      </c>
      <c r="D454" s="0" t="n">
        <v>18322994.11708279</v>
      </c>
      <c r="E454" s="0" t="n">
        <v>1.810155192500117e-05</v>
      </c>
      <c r="F454" s="0" t="n">
        <v>1.783258899866653e-05</v>
      </c>
      <c r="G454" s="0" t="n">
        <v>2.689629263346448e-07</v>
      </c>
      <c r="H454" s="0" t="b">
        <v>0</v>
      </c>
    </row>
    <row r="455">
      <c r="A455" s="0" t="n">
        <v>103</v>
      </c>
      <c r="B455" s="0" t="n">
        <v>14</v>
      </c>
      <c r="C455" s="0" t="n">
        <v>829476.26953125</v>
      </c>
      <c r="D455" s="0" t="n">
        <v>-9259043.573448375</v>
      </c>
      <c r="E455" s="0" t="n">
        <v>1.769028945565409e-05</v>
      </c>
      <c r="F455" s="0" t="n">
        <v>1.783258899866653e-05</v>
      </c>
      <c r="G455" s="0" t="n">
        <v>-1.422995430124336e-07</v>
      </c>
      <c r="H455" s="0" t="b">
        <v>1</v>
      </c>
    </row>
    <row r="456">
      <c r="A456" s="0" t="n">
        <v>103</v>
      </c>
      <c r="B456" s="0" t="n">
        <v>15</v>
      </c>
      <c r="C456" s="0" t="n">
        <v>830076.26953125</v>
      </c>
      <c r="D456" s="0" t="n">
        <v>4148362.110070289</v>
      </c>
      <c r="E456" s="0" t="n">
        <v>1.78948830530522e-05</v>
      </c>
      <c r="F456" s="0" t="n">
        <v>1.783258899866653e-05</v>
      </c>
      <c r="G456" s="0" t="n">
        <v>6.229405438567279e-08</v>
      </c>
      <c r="H456" s="0" t="b">
        <v>0</v>
      </c>
    </row>
    <row r="457">
      <c r="A457" s="0" t="n">
        <v>103</v>
      </c>
      <c r="B457" s="0" t="n">
        <v>16</v>
      </c>
      <c r="C457" s="0" t="n">
        <v>829776.26953125</v>
      </c>
      <c r="D457" s="0" t="n">
        <v>-2650378.879175189</v>
      </c>
      <c r="E457" s="0" t="n">
        <v>1.77923277765095e-05</v>
      </c>
      <c r="F457" s="0" t="n">
        <v>1.783258899866653e-05</v>
      </c>
      <c r="G457" s="0" t="n">
        <v>-4.026122215702678e-08</v>
      </c>
      <c r="H457" s="0" t="b">
        <v>1</v>
      </c>
    </row>
    <row r="458">
      <c r="A458" s="0" t="n">
        <v>103</v>
      </c>
      <c r="B458" s="0" t="n">
        <v>17</v>
      </c>
      <c r="C458" s="0" t="n">
        <v>829926.26953125</v>
      </c>
      <c r="D458" s="0" t="n">
        <v>725132.8196070703</v>
      </c>
      <c r="E458" s="0" t="n">
        <v>1.784354080917681e-05</v>
      </c>
      <c r="F458" s="0" t="n">
        <v>1.783258899866653e-05</v>
      </c>
      <c r="G458" s="0" t="n">
        <v>1.095181051028555e-08</v>
      </c>
      <c r="H458" s="0" t="b">
        <v>0</v>
      </c>
    </row>
    <row r="459">
      <c r="A459" s="0" t="n">
        <v>103</v>
      </c>
      <c r="B459" s="0" t="n">
        <v>18</v>
      </c>
      <c r="C459" s="0" t="n">
        <v>830106.26953125</v>
      </c>
      <c r="D459" s="0" t="n">
        <v>4838755.304830671</v>
      </c>
      <c r="E459" s="0" t="n">
        <v>1.790516706105196e-05</v>
      </c>
      <c r="F459" s="0" t="n">
        <v>1.783258899866653e-05</v>
      </c>
      <c r="G459" s="0" t="n">
        <v>7.257806238543323e-08</v>
      </c>
      <c r="H459" s="0" t="b">
        <v>0</v>
      </c>
    </row>
    <row r="460">
      <c r="A460" s="0" t="n">
        <v>103</v>
      </c>
      <c r="B460" s="0" t="n">
        <v>19</v>
      </c>
      <c r="C460" s="0" t="n">
        <v>830016.26953125</v>
      </c>
      <c r="D460" s="0" t="n">
        <v>2773328.325107206</v>
      </c>
      <c r="E460" s="0" t="n">
        <v>1.787433060297806e-05</v>
      </c>
      <c r="F460" s="0" t="n">
        <v>1.783258899866653e-05</v>
      </c>
      <c r="G460" s="0" t="n">
        <v>4.174160431153162e-08</v>
      </c>
      <c r="H460" s="0" t="b">
        <v>0</v>
      </c>
    </row>
    <row r="461">
      <c r="A461" s="0" t="n">
        <v>103</v>
      </c>
      <c r="B461" s="0" t="n">
        <v>20</v>
      </c>
      <c r="C461" s="0" t="n">
        <v>829908.26953125</v>
      </c>
      <c r="D461" s="0" t="n">
        <v>317557.3259403641</v>
      </c>
      <c r="E461" s="0" t="n">
        <v>1.783738844482396e-05</v>
      </c>
      <c r="F461" s="0" t="n">
        <v>1.783258899866653e-05</v>
      </c>
      <c r="G461" s="0" t="n">
        <v>4.799446157434883e-09</v>
      </c>
      <c r="H461" s="0" t="b">
        <v>0</v>
      </c>
    </row>
    <row r="462">
      <c r="A462" s="0" t="n">
        <v>103</v>
      </c>
      <c r="B462" s="0" t="n">
        <v>21</v>
      </c>
      <c r="C462" s="0" t="n">
        <v>829962.26953125</v>
      </c>
      <c r="D462" s="0" t="n">
        <v>1542346.277793103</v>
      </c>
      <c r="E462" s="0" t="n">
        <v>1.785585113084217e-05</v>
      </c>
      <c r="F462" s="0" t="n">
        <v>1.783258899866653e-05</v>
      </c>
      <c r="G462" s="0" t="n">
        <v>2.326213217564553e-08</v>
      </c>
      <c r="H462" s="0" t="b">
        <v>0</v>
      </c>
    </row>
    <row r="463">
      <c r="A463" s="0" t="n">
        <v>103</v>
      </c>
      <c r="B463" s="0" t="n">
        <v>22</v>
      </c>
      <c r="C463" s="0" t="n">
        <v>829935.26953125</v>
      </c>
      <c r="D463" s="0" t="n">
        <v>929178.3041621705</v>
      </c>
      <c r="E463" s="0" t="n">
        <v>1.78466176903809e-05</v>
      </c>
      <c r="F463" s="0" t="n">
        <v>1.783258899866653e-05</v>
      </c>
      <c r="G463" s="0" t="n">
        <v>1.402869171437932e-08</v>
      </c>
      <c r="H463" s="0" t="b">
        <v>0</v>
      </c>
    </row>
    <row r="464">
      <c r="A464" s="0" t="n">
        <v>103</v>
      </c>
      <c r="B464" s="0" t="n">
        <v>23</v>
      </c>
      <c r="C464" s="0" t="n">
        <v>829902.86953125</v>
      </c>
      <c r="D464" s="0" t="n">
        <v>195418.6573433028</v>
      </c>
      <c r="E464" s="0" t="n">
        <v>1.783554309895892e-05</v>
      </c>
      <c r="F464" s="0" t="n">
        <v>1.783258899866653e-05</v>
      </c>
      <c r="G464" s="0" t="n">
        <v>2.954100292394668e-09</v>
      </c>
      <c r="H464" s="0" t="b">
        <v>0</v>
      </c>
    </row>
    <row r="465">
      <c r="A465" s="0" t="n">
        <v>103</v>
      </c>
      <c r="B465" s="0" t="n">
        <v>24</v>
      </c>
      <c r="C465" s="0" t="n">
        <v>829919.0695312499</v>
      </c>
      <c r="D465" s="0" t="n">
        <v>562020.1597484937</v>
      </c>
      <c r="E465" s="0" t="n">
        <v>1.784107963976489e-05</v>
      </c>
      <c r="F465" s="0" t="n">
        <v>1.783258899866653e-05</v>
      </c>
      <c r="G465" s="0" t="n">
        <v>8.490641098364495e-09</v>
      </c>
      <c r="H465" s="0" t="b">
        <v>0</v>
      </c>
    </row>
    <row r="466">
      <c r="A466" s="0" t="n">
        <v>103</v>
      </c>
      <c r="B466" s="0" t="n">
        <v>25</v>
      </c>
      <c r="C466" s="0" t="n">
        <v>829938.5095312499</v>
      </c>
      <c r="D466" s="0" t="n">
        <v>1002660.439429403</v>
      </c>
      <c r="E466" s="0" t="n">
        <v>1.784772523583885e-05</v>
      </c>
      <c r="F466" s="0" t="n">
        <v>1.783258899866653e-05</v>
      </c>
      <c r="G466" s="0" t="n">
        <v>1.513623717232644e-08</v>
      </c>
      <c r="H466" s="0" t="b">
        <v>0</v>
      </c>
    </row>
    <row r="467">
      <c r="A467" s="0" t="n">
        <v>103</v>
      </c>
      <c r="B467" s="0" t="n">
        <v>26</v>
      </c>
      <c r="C467" s="0" t="n">
        <v>829928.7895312499</v>
      </c>
      <c r="D467" s="0" t="n">
        <v>782248.2316790437</v>
      </c>
      <c r="E467" s="0" t="n">
        <v>1.784440228893464e-05</v>
      </c>
      <c r="F467" s="0" t="n">
        <v>1.783258899866653e-05</v>
      </c>
      <c r="G467" s="0" t="n">
        <v>1.181329026811914e-08</v>
      </c>
      <c r="H467" s="0" t="b">
        <v>0</v>
      </c>
    </row>
    <row r="468">
      <c r="A468" s="0" t="n">
        <v>103</v>
      </c>
      <c r="B468" s="0" t="n">
        <v>27</v>
      </c>
      <c r="C468" s="0" t="n">
        <v>829933.6495312499</v>
      </c>
      <c r="D468" s="0" t="n">
        <v>892437.43313988</v>
      </c>
      <c r="E468" s="0" t="n">
        <v>1.78460638173705e-05</v>
      </c>
      <c r="F468" s="0" t="n">
        <v>1.783258899866653e-05</v>
      </c>
      <c r="G468" s="0" t="n">
        <v>1.347481870397235e-08</v>
      </c>
      <c r="H468" s="0" t="b">
        <v>0</v>
      </c>
    </row>
    <row r="469">
      <c r="A469" s="0" t="n">
        <v>103</v>
      </c>
      <c r="B469" s="0" t="n">
        <v>28</v>
      </c>
      <c r="C469" s="0" t="n">
        <v>829931.2195312498</v>
      </c>
      <c r="D469" s="0" t="n">
        <v>837336.5676841626</v>
      </c>
      <c r="E469" s="0" t="n">
        <v>1.784523303616163e-05</v>
      </c>
      <c r="F469" s="0" t="n">
        <v>1.783258899866653e-05</v>
      </c>
      <c r="G469" s="0" t="n">
        <v>1.264403749510015e-08</v>
      </c>
      <c r="H469" s="0" t="b">
        <v>0</v>
      </c>
    </row>
    <row r="470">
      <c r="A470" s="0" t="n">
        <v>104</v>
      </c>
      <c r="B470" s="0" t="n">
        <v>1</v>
      </c>
      <c r="C470" s="0" t="n">
        <v>6050000</v>
      </c>
      <c r="D470" s="0" t="n">
        <v>709189610038.015</v>
      </c>
      <c r="E470" s="0" t="n">
        <v>0.002507688888423261</v>
      </c>
      <c r="F470" s="0" t="n">
        <v>2.61679913998213e-05</v>
      </c>
      <c r="G470" s="0" t="n">
        <v>0.00248152089702344</v>
      </c>
      <c r="H470" s="0" t="b">
        <v>0</v>
      </c>
    </row>
    <row r="471">
      <c r="A471" s="0" t="n">
        <v>104</v>
      </c>
      <c r="B471" s="0" t="n">
        <v>2</v>
      </c>
      <c r="C471" s="0" t="n">
        <v>3075000</v>
      </c>
      <c r="D471" s="0" t="n">
        <v>-97725332.43918574</v>
      </c>
      <c r="E471" s="0" t="n">
        <v>2.330346933717076e-05</v>
      </c>
      <c r="F471" s="0" t="n">
        <v>2.61679913998215e-05</v>
      </c>
      <c r="G471" s="0" t="n">
        <v>-2.864522062650737e-06</v>
      </c>
      <c r="H471" s="0" t="b">
        <v>1</v>
      </c>
    </row>
    <row r="472">
      <c r="A472" s="0" t="n">
        <v>104</v>
      </c>
      <c r="B472" s="0" t="n">
        <v>3</v>
      </c>
      <c r="C472" s="0" t="n">
        <v>4562500</v>
      </c>
      <c r="D472" s="0" t="n">
        <v>76546102580.14697</v>
      </c>
      <c r="E472" s="0" t="n">
        <v>0.0004642628222628358</v>
      </c>
      <c r="F472" s="0" t="n">
        <v>2.616799139982151e-05</v>
      </c>
      <c r="G472" s="0" t="n">
        <v>0.0004380948308630143</v>
      </c>
      <c r="H472" s="0" t="b">
        <v>0</v>
      </c>
    </row>
    <row r="473">
      <c r="A473" s="0" t="n">
        <v>104</v>
      </c>
      <c r="B473" s="0" t="n">
        <v>4</v>
      </c>
      <c r="C473" s="0" t="n">
        <v>3818750</v>
      </c>
      <c r="D473" s="0" t="n">
        <v>12408014905.99853</v>
      </c>
      <c r="E473" s="0" t="n">
        <v>0.0001357138818378217</v>
      </c>
      <c r="F473" s="0" t="n">
        <v>2.61679913998215e-05</v>
      </c>
      <c r="G473" s="0" t="n">
        <v>0.0001095458904380002</v>
      </c>
      <c r="H473" s="0" t="b">
        <v>0</v>
      </c>
    </row>
    <row r="474">
      <c r="A474" s="0" t="n">
        <v>104</v>
      </c>
      <c r="B474" s="0" t="n">
        <v>5</v>
      </c>
      <c r="C474" s="0" t="n">
        <v>3446875</v>
      </c>
      <c r="D474" s="0" t="n">
        <v>2819247502.504885</v>
      </c>
      <c r="E474" s="0" t="n">
        <v>6.145896122243205e-05</v>
      </c>
      <c r="F474" s="0" t="n">
        <v>2.61679913998215e-05</v>
      </c>
      <c r="G474" s="0" t="n">
        <v>3.529096982261055e-05</v>
      </c>
      <c r="H474" s="0" t="b">
        <v>0</v>
      </c>
    </row>
    <row r="475">
      <c r="A475" s="0" t="n">
        <v>104</v>
      </c>
      <c r="B475" s="0" t="n">
        <v>6</v>
      </c>
      <c r="C475" s="0" t="n">
        <v>3260937.5</v>
      </c>
      <c r="D475" s="0" t="n">
        <v>781411632.6742793</v>
      </c>
      <c r="E475" s="0" t="n">
        <v>3.884462566946004e-05</v>
      </c>
      <c r="F475" s="0" t="n">
        <v>2.61679913998215e-05</v>
      </c>
      <c r="G475" s="0" t="n">
        <v>1.267663426963854e-05</v>
      </c>
      <c r="H475" s="0" t="b">
        <v>0</v>
      </c>
    </row>
    <row r="476">
      <c r="A476" s="0" t="n">
        <v>104</v>
      </c>
      <c r="B476" s="0" t="n">
        <v>7</v>
      </c>
      <c r="C476" s="0" t="n">
        <v>3167968.75</v>
      </c>
      <c r="D476" s="0" t="n">
        <v>213493699.4758816</v>
      </c>
      <c r="E476" s="0" t="n">
        <v>3.030132956670314e-05</v>
      </c>
      <c r="F476" s="0" t="n">
        <v>2.61679913998215e-05</v>
      </c>
      <c r="G476" s="0" t="n">
        <v>4.133338166881649e-06</v>
      </c>
      <c r="H476" s="0" t="b">
        <v>0</v>
      </c>
    </row>
    <row r="477">
      <c r="A477" s="0" t="n">
        <v>104</v>
      </c>
      <c r="B477" s="0" t="n">
        <v>8</v>
      </c>
      <c r="C477" s="0" t="n">
        <v>3121484.375</v>
      </c>
      <c r="D477" s="0" t="n">
        <v>20384086.93217511</v>
      </c>
      <c r="E477" s="0" t="n">
        <v>2.662222748512839e-05</v>
      </c>
      <c r="F477" s="0" t="n">
        <v>2.61679913998215e-05</v>
      </c>
      <c r="G477" s="0" t="n">
        <v>4.542360853068921e-07</v>
      </c>
      <c r="H477" s="0" t="b">
        <v>0</v>
      </c>
    </row>
    <row r="478">
      <c r="A478" s="0" t="n">
        <v>104</v>
      </c>
      <c r="B478" s="0" t="n">
        <v>9</v>
      </c>
      <c r="C478" s="0" t="n">
        <v>3098242.1875</v>
      </c>
      <c r="D478" s="0" t="n">
        <v>-49275544.53759912</v>
      </c>
      <c r="E478" s="0" t="n">
        <v>2.491952024606547e-05</v>
      </c>
      <c r="F478" s="0" t="n">
        <v>2.61679913998215e-05</v>
      </c>
      <c r="G478" s="0" t="n">
        <v>-1.248471153756023e-06</v>
      </c>
      <c r="H478" s="0" t="b">
        <v>1</v>
      </c>
    </row>
    <row r="479">
      <c r="A479" s="0" t="n">
        <v>104</v>
      </c>
      <c r="B479" s="0" t="n">
        <v>10</v>
      </c>
      <c r="C479" s="0" t="n">
        <v>3109863.28125</v>
      </c>
      <c r="D479" s="0" t="n">
        <v>-17211318.463647</v>
      </c>
      <c r="E479" s="0" t="n">
        <v>2.575980859242607e-05</v>
      </c>
      <c r="F479" s="0" t="n">
        <v>2.61679913998215e-05</v>
      </c>
      <c r="G479" s="0" t="n">
        <v>-4.081828073954286e-07</v>
      </c>
      <c r="H479" s="0" t="b">
        <v>1</v>
      </c>
    </row>
    <row r="480">
      <c r="A480" s="0" t="n">
        <v>104</v>
      </c>
      <c r="B480" s="0" t="n">
        <v>11</v>
      </c>
      <c r="C480" s="0" t="n">
        <v>3115673.828125</v>
      </c>
      <c r="D480" s="0" t="n">
        <v>880552.1433648015</v>
      </c>
      <c r="E480" s="0" t="n">
        <v>2.618822511203576e-05</v>
      </c>
      <c r="F480" s="0" t="n">
        <v>2.61679913998215e-05</v>
      </c>
      <c r="G480" s="0" t="n">
        <v>2.023371221426771e-08</v>
      </c>
      <c r="H480" s="0" t="b">
        <v>0</v>
      </c>
    </row>
    <row r="481">
      <c r="A481" s="0" t="n">
        <v>104</v>
      </c>
      <c r="B481" s="0" t="n">
        <v>12</v>
      </c>
      <c r="C481" s="0" t="n">
        <v>3118579.1015625</v>
      </c>
      <c r="D481" s="0" t="n">
        <v>10454097.2011346</v>
      </c>
      <c r="E481" s="0" t="n">
        <v>2.640452594995428e-05</v>
      </c>
      <c r="F481" s="0" t="n">
        <v>2.61679913998215e-05</v>
      </c>
      <c r="G481" s="0" t="n">
        <v>2.365345501327846e-07</v>
      </c>
      <c r="H481" s="0" t="b">
        <v>0</v>
      </c>
    </row>
    <row r="482">
      <c r="A482" s="0" t="n">
        <v>104</v>
      </c>
      <c r="B482" s="0" t="n">
        <v>13</v>
      </c>
      <c r="C482" s="0" t="n">
        <v>3117126.46484375</v>
      </c>
      <c r="D482" s="0" t="n">
        <v>5622947.69966194</v>
      </c>
      <c r="E482" s="0" t="n">
        <v>2.629619975783601e-05</v>
      </c>
      <c r="F482" s="0" t="n">
        <v>2.61679913998215e-05</v>
      </c>
      <c r="G482" s="0" t="n">
        <v>1.282083580145164e-07</v>
      </c>
      <c r="H482" s="0" t="b">
        <v>0</v>
      </c>
    </row>
    <row r="483">
      <c r="A483" s="0" t="n">
        <v>104</v>
      </c>
      <c r="B483" s="0" t="n">
        <v>14</v>
      </c>
      <c r="C483" s="0" t="n">
        <v>3115926.46484375</v>
      </c>
      <c r="D483" s="0" t="n">
        <v>1698984.825695008</v>
      </c>
      <c r="E483" s="0" t="n">
        <v>2.620697863732169e-05</v>
      </c>
      <c r="F483" s="0" t="n">
        <v>2.61679913998215e-05</v>
      </c>
      <c r="G483" s="0" t="n">
        <v>3.898723750019004e-08</v>
      </c>
      <c r="H483" s="0" t="b">
        <v>0</v>
      </c>
    </row>
    <row r="484">
      <c r="A484" s="0" t="n">
        <v>104</v>
      </c>
      <c r="B484" s="0" t="n">
        <v>15</v>
      </c>
      <c r="C484" s="0" t="n">
        <v>3116526.46484375</v>
      </c>
      <c r="D484" s="0" t="n">
        <v>3653412.439363827</v>
      </c>
      <c r="E484" s="0" t="n">
        <v>2.625155925883978e-05</v>
      </c>
      <c r="F484" s="0" t="n">
        <v>2.61679913998215e-05</v>
      </c>
      <c r="G484" s="0" t="n">
        <v>8.356785901828057e-08</v>
      </c>
      <c r="H484" s="0" t="b">
        <v>0</v>
      </c>
    </row>
    <row r="485">
      <c r="A485" s="0" t="n">
        <v>104</v>
      </c>
      <c r="B485" s="0" t="n">
        <v>16</v>
      </c>
      <c r="C485" s="0" t="n">
        <v>3116226.46484375</v>
      </c>
      <c r="D485" s="0" t="n">
        <v>2674307.773574127</v>
      </c>
      <c r="E485" s="0" t="n">
        <v>2.622926136623654e-05</v>
      </c>
      <c r="F485" s="0" t="n">
        <v>2.61679913998215e-05</v>
      </c>
      <c r="G485" s="0" t="n">
        <v>6.126996641504556e-08</v>
      </c>
      <c r="H485" s="0" t="b">
        <v>0</v>
      </c>
    </row>
    <row r="486">
      <c r="A486" s="0" t="n">
        <v>104</v>
      </c>
      <c r="B486" s="0" t="n">
        <v>17</v>
      </c>
      <c r="C486" s="0" t="n">
        <v>3116376.46484375</v>
      </c>
      <c r="D486" s="0" t="n">
        <v>3163388.608881519</v>
      </c>
      <c r="E486" s="0" t="n">
        <v>2.624040845019214e-05</v>
      </c>
      <c r="F486" s="0" t="n">
        <v>2.61679913998215e-05</v>
      </c>
      <c r="G486" s="0" t="n">
        <v>7.241705037063976e-08</v>
      </c>
      <c r="H486" s="0" t="b">
        <v>0</v>
      </c>
    </row>
    <row r="487">
      <c r="A487" s="0" t="n">
        <v>104</v>
      </c>
      <c r="B487" s="0" t="n">
        <v>18</v>
      </c>
      <c r="C487" s="0" t="n">
        <v>3116301.46484375</v>
      </c>
      <c r="D487" s="0" t="n">
        <v>2918800.532318762</v>
      </c>
      <c r="E487" s="0" t="n">
        <v>2.623483604231733e-05</v>
      </c>
      <c r="F487" s="0" t="n">
        <v>2.61679913998215e-05</v>
      </c>
      <c r="G487" s="0" t="n">
        <v>6.68446424958301e-08</v>
      </c>
      <c r="H487" s="0" t="b">
        <v>0</v>
      </c>
    </row>
    <row r="488">
      <c r="A488" s="0" t="n">
        <v>104</v>
      </c>
      <c r="B488" s="0" t="n">
        <v>19</v>
      </c>
      <c r="C488" s="0" t="n">
        <v>3116338.96484375</v>
      </c>
      <c r="D488" s="0" t="n">
        <v>3041030.013696971</v>
      </c>
      <c r="E488" s="0" t="n">
        <v>2.623762133004698e-05</v>
      </c>
      <c r="F488" s="0" t="n">
        <v>2.61679913998215e-05</v>
      </c>
      <c r="G488" s="0" t="n">
        <v>6.962993022548364e-08</v>
      </c>
      <c r="H488" s="0" t="b">
        <v>0</v>
      </c>
    </row>
    <row r="489">
      <c r="A489" s="0" t="n">
        <v>104</v>
      </c>
      <c r="B489" s="0" t="n">
        <v>20</v>
      </c>
      <c r="C489" s="0" t="n">
        <v>3116383.96484375</v>
      </c>
      <c r="D489" s="0" t="n">
        <v>3187937.665137375</v>
      </c>
      <c r="E489" s="0" t="n">
        <v>2.624096750222681e-05</v>
      </c>
      <c r="F489" s="0" t="n">
        <v>2.61679913998215e-05</v>
      </c>
      <c r="G489" s="0" t="n">
        <v>7.297610240531279e-08</v>
      </c>
      <c r="H489" s="0" t="b">
        <v>0</v>
      </c>
    </row>
    <row r="490">
      <c r="A490" s="0" t="n">
        <v>104</v>
      </c>
      <c r="B490" s="0" t="n">
        <v>21</v>
      </c>
      <c r="C490" s="0" t="n">
        <v>3116361.46484375</v>
      </c>
      <c r="D490" s="0" t="n">
        <v>3114438.098775307</v>
      </c>
      <c r="E490" s="0" t="n">
        <v>2.623929357419954e-05</v>
      </c>
      <c r="F490" s="0" t="n">
        <v>2.61679913998215e-05</v>
      </c>
      <c r="G490" s="0" t="n">
        <v>7.130217437804532e-08</v>
      </c>
      <c r="H490" s="0" t="b">
        <v>0</v>
      </c>
    </row>
    <row r="491">
      <c r="A491" s="0" t="n">
        <v>105</v>
      </c>
      <c r="B491" s="0" t="n">
        <v>1</v>
      </c>
      <c r="C491" s="0" t="n">
        <v>6050000</v>
      </c>
      <c r="D491" s="0" t="n">
        <v>432509887897.2487</v>
      </c>
      <c r="E491" s="0" t="n">
        <v>0.001633733777682244</v>
      </c>
      <c r="F491" s="0" t="n">
        <v>2.526891348037679e-05</v>
      </c>
      <c r="G491" s="0" t="n">
        <v>0.001608464864201867</v>
      </c>
      <c r="H491" s="0" t="b">
        <v>0</v>
      </c>
    </row>
    <row r="492">
      <c r="A492" s="0" t="n">
        <v>105</v>
      </c>
      <c r="B492" s="0" t="n">
        <v>2</v>
      </c>
      <c r="C492" s="0" t="n">
        <v>3075000</v>
      </c>
      <c r="D492" s="0" t="n">
        <v>-18441717.83769998</v>
      </c>
      <c r="E492" s="0" t="n">
        <v>1.32060786169844e-05</v>
      </c>
      <c r="F492" s="0" t="n">
        <v>2.526891348037684e-05</v>
      </c>
      <c r="G492" s="0" t="n">
        <v>-1.206283486339244e-05</v>
      </c>
      <c r="H492" s="0" t="b">
        <v>1</v>
      </c>
    </row>
    <row r="493">
      <c r="A493" s="0" t="n">
        <v>105</v>
      </c>
      <c r="B493" s="0" t="n">
        <v>3</v>
      </c>
      <c r="C493" s="0" t="n">
        <v>4562500</v>
      </c>
      <c r="D493" s="0" t="n">
        <v>41628050868.08031</v>
      </c>
      <c r="E493" s="0" t="n">
        <v>0.0002886531014155494</v>
      </c>
      <c r="F493" s="0" t="n">
        <v>2.526891348037685e-05</v>
      </c>
      <c r="G493" s="0" t="n">
        <v>0.0002633841879351726</v>
      </c>
      <c r="H493" s="0" t="b">
        <v>0</v>
      </c>
    </row>
    <row r="494">
      <c r="A494" s="0" t="n">
        <v>105</v>
      </c>
      <c r="B494" s="0" t="n">
        <v>4</v>
      </c>
      <c r="C494" s="0" t="n">
        <v>3818750</v>
      </c>
      <c r="D494" s="0" t="n">
        <v>5240088908.441967</v>
      </c>
      <c r="E494" s="0" t="n">
        <v>7.982252419461578e-05</v>
      </c>
      <c r="F494" s="0" t="n">
        <v>2.526891348037685e-05</v>
      </c>
      <c r="G494" s="0" t="n">
        <v>5.455361071423894e-05</v>
      </c>
      <c r="H494" s="0" t="b">
        <v>0</v>
      </c>
    </row>
    <row r="495">
      <c r="A495" s="0" t="n">
        <v>105</v>
      </c>
      <c r="B495" s="0" t="n">
        <v>5</v>
      </c>
      <c r="C495" s="0" t="n">
        <v>3446875</v>
      </c>
      <c r="D495" s="0" t="n">
        <v>577672647.7238635</v>
      </c>
      <c r="E495" s="0" t="n">
        <v>3.472874346352731e-05</v>
      </c>
      <c r="F495" s="0" t="n">
        <v>2.526891348037684e-05</v>
      </c>
      <c r="G495" s="0" t="n">
        <v>9.459829983150467e-06</v>
      </c>
      <c r="H495" s="0" t="b">
        <v>0</v>
      </c>
    </row>
    <row r="496">
      <c r="A496" s="0" t="n">
        <v>105</v>
      </c>
      <c r="B496" s="0" t="n">
        <v>6</v>
      </c>
      <c r="C496" s="0" t="n">
        <v>3260937.5</v>
      </c>
      <c r="D496" s="0" t="n">
        <v>-119863947.7782751</v>
      </c>
      <c r="E496" s="0" t="n">
        <v>2.142574279490092e-05</v>
      </c>
      <c r="F496" s="0" t="n">
        <v>2.526891348037684e-05</v>
      </c>
      <c r="G496" s="0" t="n">
        <v>-3.843170685475919e-06</v>
      </c>
      <c r="H496" s="0" t="b">
        <v>1</v>
      </c>
    </row>
    <row r="497">
      <c r="A497" s="0" t="n">
        <v>105</v>
      </c>
      <c r="B497" s="0" t="n">
        <v>7</v>
      </c>
      <c r="C497" s="0" t="n">
        <v>3353906.25</v>
      </c>
      <c r="D497" s="0" t="n">
        <v>111489390.8728091</v>
      </c>
      <c r="E497" s="0" t="n">
        <v>2.745198040244571e-05</v>
      </c>
      <c r="F497" s="0" t="n">
        <v>2.526891348037684e-05</v>
      </c>
      <c r="G497" s="0" t="n">
        <v>2.183066922068862e-06</v>
      </c>
      <c r="H497" s="0" t="b">
        <v>0</v>
      </c>
    </row>
    <row r="498">
      <c r="A498" s="0" t="n">
        <v>105</v>
      </c>
      <c r="B498" s="0" t="n">
        <v>8</v>
      </c>
      <c r="C498" s="0" t="n">
        <v>3307421.875</v>
      </c>
      <c r="D498" s="0" t="n">
        <v>-40529832.8389692</v>
      </c>
      <c r="E498" s="0" t="n">
        <v>2.429287471746823e-05</v>
      </c>
      <c r="F498" s="0" t="n">
        <v>2.526891348037684e-05</v>
      </c>
      <c r="G498" s="0" t="n">
        <v>-9.760387629086091e-07</v>
      </c>
      <c r="H498" s="0" t="b">
        <v>1</v>
      </c>
    </row>
    <row r="499">
      <c r="A499" s="0" t="n">
        <v>105</v>
      </c>
      <c r="B499" s="0" t="n">
        <v>9</v>
      </c>
      <c r="C499" s="0" t="n">
        <v>3330664.0625</v>
      </c>
      <c r="D499" s="0" t="n">
        <v>26456619.21078331</v>
      </c>
      <c r="E499" s="0" t="n">
        <v>2.583456312833859e-05</v>
      </c>
      <c r="F499" s="0" t="n">
        <v>2.526891348037684e-05</v>
      </c>
      <c r="G499" s="0" t="n">
        <v>5.656496479617504e-07</v>
      </c>
      <c r="H499" s="0" t="b">
        <v>0</v>
      </c>
    </row>
    <row r="500">
      <c r="A500" s="0" t="n">
        <v>105</v>
      </c>
      <c r="B500" s="0" t="n">
        <v>10</v>
      </c>
      <c r="C500" s="0" t="n">
        <v>3319042.96875</v>
      </c>
      <c r="D500" s="0" t="n">
        <v>-9468722.994537711</v>
      </c>
      <c r="E500" s="0" t="n">
        <v>2.505440946679737e-05</v>
      </c>
      <c r="F500" s="0" t="n">
        <v>2.526891348037684e-05</v>
      </c>
      <c r="G500" s="0" t="n">
        <v>-2.145040135794733e-07</v>
      </c>
      <c r="H500" s="0" t="b">
        <v>1</v>
      </c>
    </row>
    <row r="501">
      <c r="A501" s="0" t="n">
        <v>105</v>
      </c>
      <c r="B501" s="0" t="n">
        <v>11</v>
      </c>
      <c r="C501" s="0" t="n">
        <v>3324853.515625</v>
      </c>
      <c r="D501" s="0" t="n">
        <v>7874121.443944473</v>
      </c>
      <c r="E501" s="0" t="n">
        <v>2.544213946244491e-05</v>
      </c>
      <c r="F501" s="0" t="n">
        <v>2.526891348037684e-05</v>
      </c>
      <c r="G501" s="0" t="n">
        <v>1.732259820680632e-07</v>
      </c>
      <c r="H501" s="0" t="b">
        <v>0</v>
      </c>
    </row>
    <row r="502">
      <c r="A502" s="0" t="n">
        <v>105</v>
      </c>
      <c r="B502" s="0" t="n">
        <v>12</v>
      </c>
      <c r="C502" s="0" t="n">
        <v>3321948.2421875</v>
      </c>
      <c r="D502" s="0" t="n">
        <v>-950763.467294457</v>
      </c>
      <c r="E502" s="0" t="n">
        <v>2.52476904743763e-05</v>
      </c>
      <c r="F502" s="0" t="n">
        <v>2.526891348037684e-05</v>
      </c>
      <c r="G502" s="0" t="n">
        <v>-2.122300600053927e-08</v>
      </c>
      <c r="H502" s="0" t="b">
        <v>1</v>
      </c>
    </row>
    <row r="503">
      <c r="A503" s="0" t="n">
        <v>105</v>
      </c>
      <c r="B503" s="0" t="n">
        <v>13</v>
      </c>
      <c r="C503" s="0" t="n">
        <v>3323400.87890625</v>
      </c>
      <c r="D503" s="0" t="n">
        <v>3423201.774311849</v>
      </c>
      <c r="E503" s="0" t="n">
        <v>2.534477027618964e-05</v>
      </c>
      <c r="F503" s="0" t="n">
        <v>2.526891348037684e-05</v>
      </c>
      <c r="G503" s="0" t="n">
        <v>7.585679581279382e-08</v>
      </c>
      <c r="H503" s="0" t="b">
        <v>0</v>
      </c>
    </row>
    <row r="504">
      <c r="A504" s="0" t="n">
        <v>105</v>
      </c>
      <c r="B504" s="0" t="n">
        <v>14</v>
      </c>
      <c r="C504" s="0" t="n">
        <v>3322200.87890625</v>
      </c>
      <c r="D504" s="0" t="n">
        <v>-195603.9571280766</v>
      </c>
      <c r="E504" s="0" t="n">
        <v>2.526455275446502e-05</v>
      </c>
      <c r="F504" s="0" t="n">
        <v>2.526891348037684e-05</v>
      </c>
      <c r="G504" s="0" t="n">
        <v>-4.360725911826789e-09</v>
      </c>
      <c r="H504" s="0" t="b">
        <v>1</v>
      </c>
    </row>
    <row r="505">
      <c r="A505" s="0" t="n">
        <v>105</v>
      </c>
      <c r="B505" s="0" t="n">
        <v>15</v>
      </c>
      <c r="C505" s="0" t="n">
        <v>3322800.87890625</v>
      </c>
      <c r="D505" s="0" t="n">
        <v>1607199.485637387</v>
      </c>
      <c r="E505" s="0" t="n">
        <v>2.530463579270653e-05</v>
      </c>
      <c r="F505" s="0" t="n">
        <v>2.526891348037684e-05</v>
      </c>
      <c r="G505" s="0" t="n">
        <v>3.572231232969146e-08</v>
      </c>
      <c r="H505" s="0" t="b">
        <v>0</v>
      </c>
    </row>
    <row r="506">
      <c r="A506" s="0" t="n">
        <v>105</v>
      </c>
      <c r="B506" s="0" t="n">
        <v>16</v>
      </c>
      <c r="C506" s="0" t="n">
        <v>3323520.87890625</v>
      </c>
      <c r="D506" s="0" t="n">
        <v>3787966.081295018</v>
      </c>
      <c r="E506" s="0" t="n">
        <v>2.535280285675908e-05</v>
      </c>
      <c r="F506" s="0" t="n">
        <v>2.526891348037684e-05</v>
      </c>
      <c r="G506" s="0" t="n">
        <v>8.38893763822386e-08</v>
      </c>
      <c r="H506" s="0" t="b">
        <v>0</v>
      </c>
    </row>
    <row r="507">
      <c r="A507" s="0" t="n">
        <v>105</v>
      </c>
      <c r="B507" s="0" t="n">
        <v>17</v>
      </c>
      <c r="C507" s="0" t="n">
        <v>3323160.87890625</v>
      </c>
      <c r="D507" s="0" t="n">
        <v>2695181.703800482</v>
      </c>
      <c r="E507" s="0" t="n">
        <v>2.532870956569112e-05</v>
      </c>
      <c r="F507" s="0" t="n">
        <v>2.526891348037684e-05</v>
      </c>
      <c r="G507" s="0" t="n">
        <v>5.979608531427795e-08</v>
      </c>
      <c r="H507" s="0" t="b">
        <v>0</v>
      </c>
    </row>
    <row r="508">
      <c r="A508" s="0" t="n">
        <v>105</v>
      </c>
      <c r="B508" s="0" t="n">
        <v>18</v>
      </c>
      <c r="C508" s="0" t="n">
        <v>3323340.87890625</v>
      </c>
      <c r="D508" s="0" t="n">
        <v>3241016.956967141</v>
      </c>
      <c r="E508" s="0" t="n">
        <v>2.534075473510119e-05</v>
      </c>
      <c r="F508" s="0" t="n">
        <v>2.526891348037684e-05</v>
      </c>
      <c r="G508" s="0" t="n">
        <v>7.184125472434598e-08</v>
      </c>
      <c r="H508" s="0" t="b">
        <v>0</v>
      </c>
    </row>
    <row r="509">
      <c r="A509" s="0" t="n">
        <v>105</v>
      </c>
      <c r="B509" s="0" t="n">
        <v>19</v>
      </c>
      <c r="C509" s="0" t="n">
        <v>3323556.87890625</v>
      </c>
      <c r="D509" s="0" t="n">
        <v>3897427.81814962</v>
      </c>
      <c r="E509" s="0" t="n">
        <v>2.535521147625499e-05</v>
      </c>
      <c r="F509" s="0" t="n">
        <v>2.526891348037684e-05</v>
      </c>
      <c r="G509" s="0" t="n">
        <v>8.629799587814188e-08</v>
      </c>
      <c r="H509" s="0" t="b">
        <v>0</v>
      </c>
    </row>
    <row r="510">
      <c r="A510" s="0" t="n">
        <v>105</v>
      </c>
      <c r="B510" s="0" t="n">
        <v>20</v>
      </c>
      <c r="C510" s="0" t="n">
        <v>3323448.87890625</v>
      </c>
      <c r="D510" s="0" t="n">
        <v>3568974.24628063</v>
      </c>
      <c r="E510" s="0" t="n">
        <v>2.534798152487889e-05</v>
      </c>
      <c r="F510" s="0" t="n">
        <v>2.526891348037684e-05</v>
      </c>
      <c r="G510" s="0" t="n">
        <v>7.906804450205033e-08</v>
      </c>
      <c r="H510" s="0" t="b">
        <v>0</v>
      </c>
    </row>
    <row r="511">
      <c r="A511" s="0" t="n">
        <v>105</v>
      </c>
      <c r="B511" s="0" t="n">
        <v>21</v>
      </c>
      <c r="C511" s="0" t="n">
        <v>3323319.27890625</v>
      </c>
      <c r="D511" s="0" t="n">
        <v>3175392.6435101</v>
      </c>
      <c r="E511" s="0" t="n">
        <v>2.53393077194008e-05</v>
      </c>
      <c r="F511" s="0" t="n">
        <v>2.526891348037684e-05</v>
      </c>
      <c r="G511" s="0" t="n">
        <v>7.039423902395172e-08</v>
      </c>
      <c r="H511" s="0" t="b">
        <v>0</v>
      </c>
    </row>
    <row r="512">
      <c r="A512" s="0" t="n">
        <v>105</v>
      </c>
      <c r="B512" s="0" t="n">
        <v>22</v>
      </c>
      <c r="C512" s="0" t="n">
        <v>3323384.07890625</v>
      </c>
      <c r="D512" s="0" t="n">
        <v>3372106.729928301</v>
      </c>
      <c r="E512" s="0" t="n">
        <v>2.534364433086751e-05</v>
      </c>
      <c r="F512" s="0" t="n">
        <v>2.526891348037684e-05</v>
      </c>
      <c r="G512" s="0" t="n">
        <v>7.473085049066776e-08</v>
      </c>
      <c r="H512" s="0" t="b">
        <v>0</v>
      </c>
    </row>
    <row r="513">
      <c r="A513" s="0" t="n">
        <v>105</v>
      </c>
      <c r="B513" s="0" t="n">
        <v>23</v>
      </c>
      <c r="C513" s="0" t="n">
        <v>3323351.67890625</v>
      </c>
      <c r="D513" s="0" t="n">
        <v>3273800.516979506</v>
      </c>
      <c r="E513" s="0" t="n">
        <v>2.534147749564007e-05</v>
      </c>
      <c r="F513" s="0" t="n">
        <v>2.526891348037684e-05</v>
      </c>
      <c r="G513" s="0" t="n">
        <v>7.256401526323027e-08</v>
      </c>
      <c r="H513" s="0" t="b">
        <v>0</v>
      </c>
    </row>
    <row r="514">
      <c r="A514" s="0" t="n">
        <v>105</v>
      </c>
      <c r="B514" s="0" t="n">
        <v>24</v>
      </c>
      <c r="C514" s="0" t="n">
        <v>3323367.87890625</v>
      </c>
      <c r="D514" s="0" t="n">
        <v>3322983.847285785</v>
      </c>
      <c r="E514" s="0" t="n">
        <v>2.534256166678688e-05</v>
      </c>
      <c r="F514" s="0" t="n">
        <v>2.526891348037684e-05</v>
      </c>
      <c r="G514" s="0" t="n">
        <v>7.364818641003733e-08</v>
      </c>
      <c r="H514" s="0" t="b">
        <v>0</v>
      </c>
    </row>
    <row r="515">
      <c r="A515" s="0" t="n">
        <v>106</v>
      </c>
      <c r="B515" s="0" t="n">
        <v>1</v>
      </c>
      <c r="C515" s="0" t="n">
        <v>6050000</v>
      </c>
      <c r="D515" s="0" t="n">
        <v>122778188687.5872</v>
      </c>
      <c r="E515" s="0" t="n">
        <v>0.0006223183665703466</v>
      </c>
      <c r="F515" s="0" t="n">
        <v>2.505194544630003e-05</v>
      </c>
      <c r="G515" s="0" t="n">
        <v>0.0005972664211240466</v>
      </c>
      <c r="H515" s="0" t="b">
        <v>0</v>
      </c>
    </row>
    <row r="516">
      <c r="A516" s="0" t="n">
        <v>106</v>
      </c>
      <c r="B516" s="0" t="n">
        <v>2</v>
      </c>
      <c r="C516" s="0" t="n">
        <v>3075000</v>
      </c>
      <c r="D516" s="0" t="n">
        <v>-381038.8977533135</v>
      </c>
      <c r="E516" s="0" t="n">
        <v>6.185016034863648e-06</v>
      </c>
      <c r="F516" s="0" t="n">
        <v>2.505194544630002e-05</v>
      </c>
      <c r="G516" s="0" t="n">
        <v>-1.886692941143637e-05</v>
      </c>
      <c r="H516" s="0" t="b">
        <v>1</v>
      </c>
    </row>
    <row r="517">
      <c r="A517" s="0" t="n">
        <v>106</v>
      </c>
      <c r="B517" s="0" t="n">
        <v>3</v>
      </c>
      <c r="C517" s="0" t="n">
        <v>4562500</v>
      </c>
      <c r="D517" s="0" t="n">
        <v>7201561788.034986</v>
      </c>
      <c r="E517" s="0" t="n">
        <v>9.385329872710932e-05</v>
      </c>
      <c r="F517" s="0" t="n">
        <v>2.505194544630003e-05</v>
      </c>
      <c r="G517" s="0" t="n">
        <v>6.880135328080929e-05</v>
      </c>
      <c r="H517" s="0" t="b">
        <v>0</v>
      </c>
    </row>
    <row r="518">
      <c r="A518" s="0" t="n">
        <v>106</v>
      </c>
      <c r="B518" s="0" t="n">
        <v>4</v>
      </c>
      <c r="C518" s="0" t="n">
        <v>3818750</v>
      </c>
      <c r="D518" s="0" t="n">
        <v>-98715258.51423138</v>
      </c>
      <c r="E518" s="0" t="n">
        <v>2.224715311344419e-05</v>
      </c>
      <c r="F518" s="0" t="n">
        <v>2.505194544630002e-05</v>
      </c>
      <c r="G518" s="0" t="n">
        <v>-2.804792332855829e-06</v>
      </c>
      <c r="H518" s="0" t="b">
        <v>1</v>
      </c>
    </row>
    <row r="519">
      <c r="A519" s="0" t="n">
        <v>106</v>
      </c>
      <c r="B519" s="0" t="n">
        <v>5</v>
      </c>
      <c r="C519" s="0" t="n">
        <v>4190625</v>
      </c>
      <c r="D519" s="0" t="n">
        <v>1786845500.703763</v>
      </c>
      <c r="E519" s="0" t="n">
        <v>4.852446668916112e-05</v>
      </c>
      <c r="F519" s="0" t="n">
        <v>2.505194544630002e-05</v>
      </c>
      <c r="G519" s="0" t="n">
        <v>2.34725212428611e-05</v>
      </c>
      <c r="H519" s="0" t="b">
        <v>0</v>
      </c>
    </row>
    <row r="520">
      <c r="A520" s="0" t="n">
        <v>106</v>
      </c>
      <c r="B520" s="0" t="n">
        <v>6</v>
      </c>
      <c r="C520" s="0" t="n">
        <v>4004687.5</v>
      </c>
      <c r="D520" s="0" t="n">
        <v>506066449.5213503</v>
      </c>
      <c r="E520" s="0" t="n">
        <v>3.342486739687333e-05</v>
      </c>
      <c r="F520" s="0" t="n">
        <v>2.505194544630002e-05</v>
      </c>
      <c r="G520" s="0" t="n">
        <v>8.372921950573306e-06</v>
      </c>
      <c r="H520" s="0" t="b">
        <v>0</v>
      </c>
    </row>
    <row r="521">
      <c r="A521" s="0" t="n">
        <v>106</v>
      </c>
      <c r="B521" s="0" t="n">
        <v>7</v>
      </c>
      <c r="C521" s="0" t="n">
        <v>3911718.75</v>
      </c>
      <c r="D521" s="0" t="n">
        <v>121543633.7088218</v>
      </c>
      <c r="E521" s="0" t="n">
        <v>2.739493492352656e-05</v>
      </c>
      <c r="F521" s="0" t="n">
        <v>2.505194544630002e-05</v>
      </c>
      <c r="G521" s="0" t="n">
        <v>2.342989477226542e-06</v>
      </c>
      <c r="H521" s="0" t="b">
        <v>0</v>
      </c>
    </row>
    <row r="522">
      <c r="A522" s="0" t="n">
        <v>106</v>
      </c>
      <c r="B522" s="0" t="n">
        <v>8</v>
      </c>
      <c r="C522" s="0" t="n">
        <v>3865234.375</v>
      </c>
      <c r="D522" s="0" t="n">
        <v>-14771090.76297493</v>
      </c>
      <c r="E522" s="0" t="n">
        <v>2.471673566612942e-05</v>
      </c>
      <c r="F522" s="0" t="n">
        <v>2.505194544630002e-05</v>
      </c>
      <c r="G522" s="0" t="n">
        <v>-3.352097801706035e-07</v>
      </c>
      <c r="H522" s="0" t="b">
        <v>1</v>
      </c>
    </row>
    <row r="523">
      <c r="A523" s="0" t="n">
        <v>106</v>
      </c>
      <c r="B523" s="0" t="n">
        <v>9</v>
      </c>
      <c r="C523" s="0" t="n">
        <v>3888476.5625</v>
      </c>
      <c r="D523" s="0" t="n">
        <v>47449567.76637628</v>
      </c>
      <c r="E523" s="0" t="n">
        <v>2.602919112312018e-05</v>
      </c>
      <c r="F523" s="0" t="n">
        <v>2.505194544630002e-05</v>
      </c>
      <c r="G523" s="0" t="n">
        <v>9.772456768201598e-07</v>
      </c>
      <c r="H523" s="0" t="b">
        <v>0</v>
      </c>
    </row>
    <row r="524">
      <c r="A524" s="0" t="n">
        <v>106</v>
      </c>
      <c r="B524" s="0" t="n">
        <v>10</v>
      </c>
      <c r="C524" s="0" t="n">
        <v>3876855.46875</v>
      </c>
      <c r="D524" s="0" t="n">
        <v>14559205.5314977</v>
      </c>
      <c r="E524" s="0" t="n">
        <v>2.536636027551497e-05</v>
      </c>
      <c r="F524" s="0" t="n">
        <v>2.505194544630002e-05</v>
      </c>
      <c r="G524" s="0" t="n">
        <v>3.144148292149552e-07</v>
      </c>
      <c r="H524" s="0" t="b">
        <v>0</v>
      </c>
    </row>
    <row r="525">
      <c r="A525" s="0" t="n">
        <v>106</v>
      </c>
      <c r="B525" s="0" t="n">
        <v>11</v>
      </c>
      <c r="C525" s="0" t="n">
        <v>3871044.921875</v>
      </c>
      <c r="D525" s="0" t="n">
        <v>-544163.5838109106</v>
      </c>
      <c r="E525" s="0" t="n">
        <v>2.503990227342469e-05</v>
      </c>
      <c r="F525" s="0" t="n">
        <v>2.505194544630002e-05</v>
      </c>
      <c r="G525" s="0" t="n">
        <v>-1.204317287532508e-08</v>
      </c>
      <c r="H525" s="0" t="b">
        <v>1</v>
      </c>
    </row>
    <row r="526">
      <c r="A526" s="0" t="n">
        <v>106</v>
      </c>
      <c r="B526" s="0" t="n">
        <v>12</v>
      </c>
      <c r="C526" s="0" t="n">
        <v>3873950.1953125</v>
      </c>
      <c r="D526" s="0" t="n">
        <v>6897011.849347874</v>
      </c>
      <c r="E526" s="0" t="n">
        <v>2.520271695859218e-05</v>
      </c>
      <c r="F526" s="0" t="n">
        <v>2.505194544630002e-05</v>
      </c>
      <c r="G526" s="0" t="n">
        <v>1.507715122921564e-07</v>
      </c>
      <c r="H526" s="0" t="b">
        <v>0</v>
      </c>
    </row>
    <row r="527">
      <c r="A527" s="0" t="n">
        <v>106</v>
      </c>
      <c r="B527" s="0" t="n">
        <v>13</v>
      </c>
      <c r="C527" s="0" t="n">
        <v>3872497.55859375</v>
      </c>
      <c r="D527" s="0" t="n">
        <v>3148963.922106341</v>
      </c>
      <c r="E527" s="0" t="n">
        <v>2.512120742956649e-05</v>
      </c>
      <c r="F527" s="0" t="n">
        <v>2.505194544630002e-05</v>
      </c>
      <c r="G527" s="0" t="n">
        <v>6.926198326646658e-08</v>
      </c>
      <c r="H527" s="0" t="b">
        <v>0</v>
      </c>
    </row>
    <row r="528">
      <c r="A528" s="0" t="n">
        <v>106</v>
      </c>
      <c r="B528" s="0" t="n">
        <v>14</v>
      </c>
      <c r="C528" s="0" t="n">
        <v>3872997.55859375</v>
      </c>
      <c r="D528" s="0" t="n">
        <v>4432851.232681641</v>
      </c>
      <c r="E528" s="0" t="n">
        <v>2.514924033432999e-05</v>
      </c>
      <c r="F528" s="0" t="n">
        <v>2.505194544630002e-05</v>
      </c>
      <c r="G528" s="0" t="n">
        <v>9.729488802996886e-08</v>
      </c>
      <c r="H528" s="0" t="b">
        <v>0</v>
      </c>
    </row>
    <row r="529">
      <c r="A529" s="0" t="n">
        <v>106</v>
      </c>
      <c r="B529" s="0" t="n">
        <v>15</v>
      </c>
      <c r="C529" s="0" t="n">
        <v>3872747.55859375</v>
      </c>
      <c r="D529" s="0" t="n">
        <v>3790022.171366258</v>
      </c>
      <c r="E529" s="0" t="n">
        <v>2.513521929325431e-05</v>
      </c>
      <c r="F529" s="0" t="n">
        <v>2.505194544630002e-05</v>
      </c>
      <c r="G529" s="0" t="n">
        <v>8.327384695429432e-08</v>
      </c>
      <c r="H529" s="0" t="b">
        <v>0</v>
      </c>
    </row>
    <row r="530">
      <c r="A530" s="0" t="n">
        <v>106</v>
      </c>
      <c r="B530" s="0" t="n">
        <v>16</v>
      </c>
      <c r="C530" s="0" t="n">
        <v>3872872.55859375</v>
      </c>
      <c r="D530" s="0" t="n">
        <v>4111197.587112552</v>
      </c>
      <c r="E530" s="0" t="n">
        <v>2.514222828181055e-05</v>
      </c>
      <c r="F530" s="0" t="n">
        <v>2.505194544630002e-05</v>
      </c>
      <c r="G530" s="0" t="n">
        <v>9.028283551053333e-08</v>
      </c>
      <c r="H530" s="0" t="b">
        <v>0</v>
      </c>
    </row>
    <row r="531">
      <c r="A531" s="0" t="n">
        <v>106</v>
      </c>
      <c r="B531" s="0" t="n">
        <v>17</v>
      </c>
      <c r="C531" s="0" t="n">
        <v>3872810.05859375</v>
      </c>
      <c r="D531" s="0" t="n">
        <v>3950629.363602936</v>
      </c>
      <c r="E531" s="0" t="n">
        <v>2.513872513380818e-05</v>
      </c>
      <c r="F531" s="0" t="n">
        <v>2.505194544630002e-05</v>
      </c>
      <c r="G531" s="0" t="n">
        <v>8.677968750816245e-08</v>
      </c>
      <c r="H531" s="0" t="b">
        <v>0</v>
      </c>
    </row>
    <row r="532">
      <c r="A532" s="0" t="n">
        <v>106</v>
      </c>
      <c r="B532" s="0" t="n">
        <v>18</v>
      </c>
      <c r="C532" s="0" t="n">
        <v>3872735.05859375</v>
      </c>
      <c r="D532" s="0" t="n">
        <v>3757997.419153232</v>
      </c>
      <c r="E532" s="0" t="n">
        <v>2.513452001506422e-05</v>
      </c>
      <c r="F532" s="0" t="n">
        <v>2.505194544630002e-05</v>
      </c>
      <c r="G532" s="0" t="n">
        <v>8.257456876420321e-08</v>
      </c>
      <c r="H532" s="0" t="b">
        <v>0</v>
      </c>
    </row>
    <row r="533">
      <c r="A533" s="0" t="n">
        <v>106</v>
      </c>
      <c r="B533" s="0" t="n">
        <v>19</v>
      </c>
      <c r="C533" s="0" t="n">
        <v>3872772.55859375</v>
      </c>
      <c r="D533" s="0" t="n">
        <v>3854224.649117272</v>
      </c>
      <c r="E533" s="0" t="n">
        <v>2.51366209688822e-05</v>
      </c>
      <c r="F533" s="0" t="n">
        <v>2.505194544630002e-05</v>
      </c>
      <c r="G533" s="0" t="n">
        <v>8.467552258218538e-08</v>
      </c>
      <c r="H533" s="0" t="b">
        <v>0</v>
      </c>
    </row>
    <row r="534">
      <c r="A534" s="0" t="n">
        <v>107</v>
      </c>
      <c r="B534" s="0" t="n">
        <v>1</v>
      </c>
      <c r="C534" s="0" t="n">
        <v>6050000</v>
      </c>
      <c r="D534" s="0" t="n">
        <v>94637410619.71753</v>
      </c>
      <c r="E534" s="0" t="n">
        <v>0.00049285253916256</v>
      </c>
      <c r="F534" s="0" t="n">
        <v>2.421351300787992e-05</v>
      </c>
      <c r="G534" s="0" t="n">
        <v>0.0004686390261546801</v>
      </c>
      <c r="H534" s="0" t="b">
        <v>0</v>
      </c>
    </row>
    <row r="535">
      <c r="A535" s="0" t="n">
        <v>107</v>
      </c>
      <c r="B535" s="0" t="n">
        <v>2</v>
      </c>
      <c r="C535" s="0" t="n">
        <v>3075000</v>
      </c>
      <c r="D535" s="0" t="n">
        <v>-285527.8270032453</v>
      </c>
      <c r="E535" s="0" t="n">
        <v>5.104458916855911e-06</v>
      </c>
      <c r="F535" s="0" t="n">
        <v>2.421351300787994e-05</v>
      </c>
      <c r="G535" s="0" t="n">
        <v>-1.910905409102403e-05</v>
      </c>
      <c r="H535" s="0" t="b">
        <v>1</v>
      </c>
    </row>
    <row r="536">
      <c r="A536" s="0" t="n">
        <v>107</v>
      </c>
      <c r="B536" s="0" t="n">
        <v>3</v>
      </c>
      <c r="C536" s="0" t="n">
        <v>4562500</v>
      </c>
      <c r="D536" s="0" t="n">
        <v>4624796485.311707</v>
      </c>
      <c r="E536" s="0" t="n">
        <v>7.135653823954022e-05</v>
      </c>
      <c r="F536" s="0" t="n">
        <v>2.421351300787994e-05</v>
      </c>
      <c r="G536" s="0" t="n">
        <v>4.714302523166028e-05</v>
      </c>
      <c r="H536" s="0" t="b">
        <v>0</v>
      </c>
    </row>
    <row r="537">
      <c r="A537" s="0" t="n">
        <v>107</v>
      </c>
      <c r="B537" s="0" t="n">
        <v>4</v>
      </c>
      <c r="C537" s="0" t="n">
        <v>3818750</v>
      </c>
      <c r="D537" s="0" t="n">
        <v>-111680574.8358754</v>
      </c>
      <c r="E537" s="0" t="n">
        <v>1.62907547523563e-05</v>
      </c>
      <c r="F537" s="0" t="n">
        <v>2.421351300787994e-05</v>
      </c>
      <c r="G537" s="0" t="n">
        <v>-7.922758255523633e-06</v>
      </c>
      <c r="H537" s="0" t="b">
        <v>1</v>
      </c>
    </row>
    <row r="538">
      <c r="A538" s="0" t="n">
        <v>107</v>
      </c>
      <c r="B538" s="0" t="n">
        <v>5</v>
      </c>
      <c r="C538" s="0" t="n">
        <v>4190625</v>
      </c>
      <c r="D538" s="0" t="n">
        <v>821091048.5011379</v>
      </c>
      <c r="E538" s="0" t="n">
        <v>3.627759055211795e-05</v>
      </c>
      <c r="F538" s="0" t="n">
        <v>2.421351300787994e-05</v>
      </c>
      <c r="G538" s="0" t="n">
        <v>1.206407754423802e-05</v>
      </c>
      <c r="H538" s="0" t="b">
        <v>0</v>
      </c>
    </row>
    <row r="539">
      <c r="A539" s="0" t="n">
        <v>107</v>
      </c>
      <c r="B539" s="0" t="n">
        <v>6</v>
      </c>
      <c r="C539" s="0" t="n">
        <v>4004687.5</v>
      </c>
      <c r="D539" s="0" t="n">
        <v>25823263.0967363</v>
      </c>
      <c r="E539" s="0" t="n">
        <v>2.474476218792897e-05</v>
      </c>
      <c r="F539" s="0" t="n">
        <v>2.421351300787994e-05</v>
      </c>
      <c r="G539" s="0" t="n">
        <v>5.312491800490366e-07</v>
      </c>
      <c r="H539" s="0" t="b">
        <v>0</v>
      </c>
    </row>
    <row r="540">
      <c r="A540" s="0" t="n">
        <v>107</v>
      </c>
      <c r="B540" s="0" t="n">
        <v>7</v>
      </c>
      <c r="C540" s="0" t="n">
        <v>3911718.75</v>
      </c>
      <c r="D540" s="0" t="n">
        <v>-124645208.1149379</v>
      </c>
      <c r="E540" s="0" t="n">
        <v>2.017320095524969e-05</v>
      </c>
      <c r="F540" s="0" t="n">
        <v>2.421351300787994e-05</v>
      </c>
      <c r="G540" s="0" t="n">
        <v>-4.040312052630245e-06</v>
      </c>
      <c r="H540" s="0" t="b">
        <v>1</v>
      </c>
    </row>
    <row r="541">
      <c r="A541" s="0" t="n">
        <v>107</v>
      </c>
      <c r="B541" s="0" t="n">
        <v>8</v>
      </c>
      <c r="C541" s="0" t="n">
        <v>3958203.125</v>
      </c>
      <c r="D541" s="0" t="n">
        <v>-73168076.10890332</v>
      </c>
      <c r="E541" s="0" t="n">
        <v>2.236801259716666e-05</v>
      </c>
      <c r="F541" s="0" t="n">
        <v>2.421351300787994e-05</v>
      </c>
      <c r="G541" s="0" t="n">
        <v>-1.845500410713274e-06</v>
      </c>
      <c r="H541" s="0" t="b">
        <v>1</v>
      </c>
    </row>
    <row r="542">
      <c r="A542" s="0" t="n">
        <v>107</v>
      </c>
      <c r="B542" s="0" t="n">
        <v>9</v>
      </c>
      <c r="C542" s="0" t="n">
        <v>3981445.3125</v>
      </c>
      <c r="D542" s="0" t="n">
        <v>-30018749.08254517</v>
      </c>
      <c r="E542" s="0" t="n">
        <v>2.353295731028759e-05</v>
      </c>
      <c r="F542" s="0" t="n">
        <v>2.421351300787994e-05</v>
      </c>
      <c r="G542" s="0" t="n">
        <v>-6.805556975923458e-07</v>
      </c>
      <c r="H542" s="0" t="b">
        <v>1</v>
      </c>
    </row>
    <row r="543">
      <c r="A543" s="0" t="n">
        <v>107</v>
      </c>
      <c r="B543" s="0" t="n">
        <v>10</v>
      </c>
      <c r="C543" s="0" t="n">
        <v>3993066.40625</v>
      </c>
      <c r="D543" s="0" t="n">
        <v>-3735716.640288358</v>
      </c>
      <c r="E543" s="0" t="n">
        <v>2.413292280036501e-05</v>
      </c>
      <c r="F543" s="0" t="n">
        <v>2.421351300787994e-05</v>
      </c>
      <c r="G543" s="0" t="n">
        <v>-8.059020751492686e-08</v>
      </c>
      <c r="H543" s="0" t="b">
        <v>1</v>
      </c>
    </row>
    <row r="544">
      <c r="A544" s="0" t="n">
        <v>107</v>
      </c>
      <c r="B544" s="0" t="n">
        <v>11</v>
      </c>
      <c r="C544" s="0" t="n">
        <v>3998876.953125</v>
      </c>
      <c r="D544" s="0" t="n">
        <v>10627726.54812529</v>
      </c>
      <c r="E544" s="0" t="n">
        <v>2.443734679137905e-05</v>
      </c>
      <c r="F544" s="0" t="n">
        <v>2.421351300787994e-05</v>
      </c>
      <c r="G544" s="0" t="n">
        <v>2.238337834991096e-07</v>
      </c>
      <c r="H544" s="0" t="b">
        <v>0</v>
      </c>
    </row>
    <row r="545">
      <c r="A545" s="0" t="n">
        <v>107</v>
      </c>
      <c r="B545" s="0" t="n">
        <v>12</v>
      </c>
      <c r="C545" s="0" t="n">
        <v>3995971.6796875</v>
      </c>
      <c r="D545" s="0" t="n">
        <v>3342790.570557068</v>
      </c>
      <c r="E545" s="0" t="n">
        <v>2.428476175648845e-05</v>
      </c>
      <c r="F545" s="0" t="n">
        <v>2.421351300787994e-05</v>
      </c>
      <c r="G545" s="0" t="n">
        <v>7.124874860851659e-08</v>
      </c>
      <c r="H545" s="0" t="b">
        <v>0</v>
      </c>
    </row>
    <row r="546">
      <c r="A546" s="0" t="n">
        <v>107</v>
      </c>
      <c r="B546" s="0" t="n">
        <v>13</v>
      </c>
      <c r="C546" s="0" t="n">
        <v>3997424.31640625</v>
      </c>
      <c r="D546" s="0" t="n">
        <v>6959432.895738079</v>
      </c>
      <c r="E546" s="0" t="n">
        <v>2.436096252852655e-05</v>
      </c>
      <c r="F546" s="0" t="n">
        <v>2.421351300787994e-05</v>
      </c>
      <c r="G546" s="0" t="n">
        <v>1.474495206466145e-07</v>
      </c>
      <c r="H546" s="0" t="b">
        <v>0</v>
      </c>
    </row>
    <row r="547">
      <c r="A547" s="0" t="n">
        <v>107</v>
      </c>
      <c r="B547" s="0" t="n">
        <v>14</v>
      </c>
      <c r="C547" s="0" t="n">
        <v>3996924.31640625</v>
      </c>
      <c r="D547" s="0" t="n">
        <v>5708696.806241282</v>
      </c>
      <c r="E547" s="0" t="n">
        <v>2.43347120906258e-05</v>
      </c>
      <c r="F547" s="0" t="n">
        <v>2.421351300787994e-05</v>
      </c>
      <c r="G547" s="0" t="n">
        <v>1.211990827458579e-07</v>
      </c>
      <c r="H547" s="0" t="b">
        <v>0</v>
      </c>
    </row>
    <row r="548">
      <c r="A548" s="0" t="n">
        <v>107</v>
      </c>
      <c r="B548" s="0" t="n">
        <v>15</v>
      </c>
      <c r="C548" s="0" t="n">
        <v>3996324.31640625</v>
      </c>
      <c r="D548" s="0" t="n">
        <v>4216056.718493128</v>
      </c>
      <c r="E548" s="0" t="n">
        <v>2.430324397412607e-05</v>
      </c>
      <c r="F548" s="0" t="n">
        <v>2.421351300787994e-05</v>
      </c>
      <c r="G548" s="0" t="n">
        <v>8.973096624612835e-08</v>
      </c>
      <c r="H548" s="0" t="b">
        <v>0</v>
      </c>
    </row>
    <row r="549">
      <c r="A549" s="0" t="n">
        <v>107</v>
      </c>
      <c r="B549" s="0" t="n">
        <v>16</v>
      </c>
      <c r="C549" s="0" t="n">
        <v>3995604.31640625</v>
      </c>
      <c r="D549" s="0" t="n">
        <v>2436362.082642387</v>
      </c>
      <c r="E549" s="0" t="n">
        <v>2.426552090883222e-05</v>
      </c>
      <c r="F549" s="0" t="n">
        <v>2.421351300787994e-05</v>
      </c>
      <c r="G549" s="0" t="n">
        <v>5.200790095227759e-08</v>
      </c>
      <c r="H549" s="0" t="b">
        <v>0</v>
      </c>
    </row>
    <row r="550">
      <c r="A550" s="0" t="n">
        <v>107</v>
      </c>
      <c r="B550" s="0" t="n">
        <v>17</v>
      </c>
      <c r="C550" s="0" t="n">
        <v>3995964.31640625</v>
      </c>
      <c r="D550" s="0" t="n">
        <v>3324659.968317388</v>
      </c>
      <c r="E550" s="0" t="n">
        <v>2.428437746494805e-05</v>
      </c>
      <c r="F550" s="0" t="n">
        <v>2.421351300787994e-05</v>
      </c>
      <c r="G550" s="0" t="n">
        <v>7.086445706811729e-08</v>
      </c>
      <c r="H550" s="0" t="b">
        <v>0</v>
      </c>
    </row>
    <row r="551">
      <c r="A551" s="0" t="n">
        <v>107</v>
      </c>
      <c r="B551" s="0" t="n">
        <v>18</v>
      </c>
      <c r="C551" s="0" t="n">
        <v>3996396.31640625</v>
      </c>
      <c r="D551" s="0" t="n">
        <v>4394646.355616443</v>
      </c>
      <c r="E551" s="0" t="n">
        <v>2.430701716556771e-05</v>
      </c>
      <c r="F551" s="0" t="n">
        <v>2.421351300787994e-05</v>
      </c>
      <c r="G551" s="0" t="n">
        <v>9.350415768777612e-08</v>
      </c>
      <c r="H551" s="0" t="b">
        <v>0</v>
      </c>
    </row>
    <row r="552">
      <c r="A552" s="0" t="n">
        <v>107</v>
      </c>
      <c r="B552" s="0" t="n">
        <v>19</v>
      </c>
      <c r="C552" s="0" t="n">
        <v>3996180.31640625</v>
      </c>
      <c r="D552" s="0" t="n">
        <v>3859047.564989897</v>
      </c>
      <c r="E552" s="0" t="n">
        <v>2.429569451625673e-05</v>
      </c>
      <c r="F552" s="0" t="n">
        <v>2.421351300787994e-05</v>
      </c>
      <c r="G552" s="0" t="n">
        <v>8.218150837679676e-08</v>
      </c>
      <c r="H552" s="0" t="b">
        <v>0</v>
      </c>
    </row>
    <row r="553">
      <c r="A553" s="0" t="n">
        <v>107</v>
      </c>
      <c r="B553" s="0" t="n">
        <v>20</v>
      </c>
      <c r="C553" s="0" t="n">
        <v>3996288.31640625</v>
      </c>
      <c r="D553" s="0" t="n">
        <v>4126704.254013913</v>
      </c>
      <c r="E553" s="0" t="n">
        <v>2.430135532624056e-05</v>
      </c>
      <c r="F553" s="0" t="n">
        <v>2.421351300787994e-05</v>
      </c>
      <c r="G553" s="0" t="n">
        <v>8.784231836062747e-08</v>
      </c>
      <c r="H553" s="0" t="b">
        <v>0</v>
      </c>
    </row>
    <row r="554">
      <c r="A554" s="0" t="n">
        <v>107</v>
      </c>
      <c r="B554" s="0" t="n">
        <v>21</v>
      </c>
      <c r="C554" s="0" t="n">
        <v>3996234.31640625</v>
      </c>
      <c r="D554" s="0" t="n">
        <v>3992910.31786429</v>
      </c>
      <c r="E554" s="0" t="n">
        <v>2.429852627474098e-05</v>
      </c>
      <c r="F554" s="0" t="n">
        <v>2.421351300787994e-05</v>
      </c>
      <c r="G554" s="0" t="n">
        <v>8.501326686104254e-08</v>
      </c>
      <c r="H554" s="0" t="b">
        <v>0</v>
      </c>
    </row>
    <row r="555">
      <c r="A555" s="0" t="n">
        <v>108</v>
      </c>
      <c r="B555" s="0" t="n">
        <v>1</v>
      </c>
      <c r="C555" s="0" t="n">
        <v>6050000</v>
      </c>
      <c r="D555" s="0" t="n">
        <v>6197856962.539779</v>
      </c>
      <c r="E555" s="0" t="n">
        <v>7.859989427753047e-05</v>
      </c>
      <c r="F555" s="0" t="n">
        <v>2.30382809449484e-05</v>
      </c>
      <c r="G555" s="0" t="n">
        <v>5.556161333258207e-05</v>
      </c>
      <c r="H555" s="0" t="b">
        <v>0</v>
      </c>
    </row>
    <row r="556">
      <c r="A556" s="0" t="n">
        <v>108</v>
      </c>
      <c r="B556" s="0" t="n">
        <v>2</v>
      </c>
      <c r="C556" s="0" t="n">
        <v>3075000</v>
      </c>
      <c r="D556" s="0" t="n">
        <v>-91790.10583052426</v>
      </c>
      <c r="E556" s="0" t="n">
        <v>6.020523733783734e-07</v>
      </c>
      <c r="F556" s="0" t="n">
        <v>2.30382809449484e-05</v>
      </c>
      <c r="G556" s="0" t="n">
        <v>-2.243622857157002e-05</v>
      </c>
      <c r="H556" s="0" t="b">
        <v>1</v>
      </c>
    </row>
    <row r="557">
      <c r="A557" s="0" t="n">
        <v>108</v>
      </c>
      <c r="B557" s="0" t="n">
        <v>3</v>
      </c>
      <c r="C557" s="0" t="n">
        <v>4562500</v>
      </c>
      <c r="D557" s="0" t="n">
        <v>-3869992.907629413</v>
      </c>
      <c r="E557" s="0" t="n">
        <v>9.995577778444155e-06</v>
      </c>
      <c r="F557" s="0" t="n">
        <v>2.30382809449484e-05</v>
      </c>
      <c r="G557" s="0" t="n">
        <v>-1.304270316650424e-05</v>
      </c>
      <c r="H557" s="0" t="b">
        <v>1</v>
      </c>
    </row>
    <row r="558">
      <c r="A558" s="0" t="n">
        <v>108</v>
      </c>
      <c r="B558" s="0" t="n">
        <v>4</v>
      </c>
      <c r="C558" s="0" t="n">
        <v>5306250</v>
      </c>
      <c r="D558" s="0" t="n">
        <v>337436029.7458164</v>
      </c>
      <c r="E558" s="0" t="n">
        <v>2.83940333689684e-05</v>
      </c>
      <c r="F558" s="0" t="n">
        <v>2.30382809449484e-05</v>
      </c>
      <c r="G558" s="0" t="n">
        <v>5.355752424020007e-06</v>
      </c>
      <c r="H558" s="0" t="b">
        <v>0</v>
      </c>
    </row>
    <row r="559">
      <c r="A559" s="0" t="n">
        <v>108</v>
      </c>
      <c r="B559" s="0" t="n">
        <v>5</v>
      </c>
      <c r="C559" s="0" t="n">
        <v>4934375</v>
      </c>
      <c r="D559" s="0" t="n">
        <v>-104995797.8191987</v>
      </c>
      <c r="E559" s="0" t="n">
        <v>1.530274467553686e-05</v>
      </c>
      <c r="F559" s="0" t="n">
        <v>2.30382809449484e-05</v>
      </c>
      <c r="G559" s="0" t="n">
        <v>-7.735536269411534e-06</v>
      </c>
      <c r="H559" s="0" t="b">
        <v>1</v>
      </c>
    </row>
    <row r="560">
      <c r="A560" s="0" t="n">
        <v>108</v>
      </c>
      <c r="B560" s="0" t="n">
        <v>6</v>
      </c>
      <c r="C560" s="0" t="n">
        <v>5120312.5</v>
      </c>
      <c r="D560" s="0" t="n">
        <v>-79683224.88498922</v>
      </c>
      <c r="E560" s="0" t="n">
        <v>2.10704727474169e-05</v>
      </c>
      <c r="F560" s="0" t="n">
        <v>2.30382809449484e-05</v>
      </c>
      <c r="G560" s="0" t="n">
        <v>-1.967808197531495e-06</v>
      </c>
      <c r="H560" s="0" t="b">
        <v>1</v>
      </c>
    </row>
    <row r="561">
      <c r="A561" s="0" t="n">
        <v>108</v>
      </c>
      <c r="B561" s="0" t="n">
        <v>7</v>
      </c>
      <c r="C561" s="0" t="n">
        <v>5213281.25</v>
      </c>
      <c r="D561" s="0" t="n">
        <v>81314502.81229447</v>
      </c>
      <c r="E561" s="0" t="n">
        <v>2.452204583583256e-05</v>
      </c>
      <c r="F561" s="0" t="n">
        <v>2.30382809449484e-05</v>
      </c>
      <c r="G561" s="0" t="n">
        <v>1.483764890884161e-06</v>
      </c>
      <c r="H561" s="0" t="b">
        <v>0</v>
      </c>
    </row>
    <row r="562">
      <c r="A562" s="0" t="n">
        <v>108</v>
      </c>
      <c r="B562" s="0" t="n">
        <v>8</v>
      </c>
      <c r="C562" s="0" t="n">
        <v>5166796.875</v>
      </c>
      <c r="D562" s="0" t="n">
        <v>-13930517.64124309</v>
      </c>
      <c r="E562" s="0" t="n">
        <v>2.274564152963881e-05</v>
      </c>
      <c r="F562" s="0" t="n">
        <v>2.30382809449484e-05</v>
      </c>
      <c r="G562" s="0" t="n">
        <v>-2.926394153095828e-07</v>
      </c>
      <c r="H562" s="0" t="b">
        <v>1</v>
      </c>
    </row>
    <row r="563">
      <c r="A563" s="0" t="n">
        <v>108</v>
      </c>
      <c r="B563" s="0" t="n">
        <v>9</v>
      </c>
      <c r="C563" s="0" t="n">
        <v>5190039.0625</v>
      </c>
      <c r="D563" s="0" t="n">
        <v>29829887.45730657</v>
      </c>
      <c r="E563" s="0" t="n">
        <v>2.362098004757612e-05</v>
      </c>
      <c r="F563" s="0" t="n">
        <v>2.30382809449484e-05</v>
      </c>
      <c r="G563" s="0" t="n">
        <v>5.826991026277292e-07</v>
      </c>
      <c r="H563" s="0" t="b">
        <v>0</v>
      </c>
    </row>
    <row r="564">
      <c r="A564" s="0" t="n">
        <v>108</v>
      </c>
      <c r="B564" s="0" t="n">
        <v>10</v>
      </c>
      <c r="C564" s="0" t="n">
        <v>5178417.96875</v>
      </c>
      <c r="D564" s="0" t="n">
        <v>7005806.762808442</v>
      </c>
      <c r="E564" s="0" t="n">
        <v>2.318011297791623e-05</v>
      </c>
      <c r="F564" s="0" t="n">
        <v>2.30382809449484e-05</v>
      </c>
      <c r="G564" s="0" t="n">
        <v>1.41832032967837e-07</v>
      </c>
      <c r="H564" s="0" t="b">
        <v>0</v>
      </c>
    </row>
    <row r="565">
      <c r="A565" s="0" t="n">
        <v>108</v>
      </c>
      <c r="B565" s="0" t="n">
        <v>11</v>
      </c>
      <c r="C565" s="0" t="n">
        <v>5172607.421875</v>
      </c>
      <c r="D565" s="0" t="n">
        <v>-3695616.701011569</v>
      </c>
      <c r="E565" s="0" t="n">
        <v>2.296208007974512e-05</v>
      </c>
      <c r="F565" s="0" t="n">
        <v>2.30382809449484e-05</v>
      </c>
      <c r="G565" s="0" t="n">
        <v>-7.620086520327549e-08</v>
      </c>
      <c r="H565" s="0" t="b">
        <v>1</v>
      </c>
    </row>
    <row r="566">
      <c r="A566" s="0" t="n">
        <v>108</v>
      </c>
      <c r="B566" s="0" t="n">
        <v>12</v>
      </c>
      <c r="C566" s="0" t="n">
        <v>5175512.6953125</v>
      </c>
      <c r="D566" s="0" t="n">
        <v>1596483.640076261</v>
      </c>
      <c r="E566" s="0" t="n">
        <v>2.307089781792206e-05</v>
      </c>
      <c r="F566" s="0" t="n">
        <v>2.30382809449484e-05</v>
      </c>
      <c r="G566" s="0" t="n">
        <v>3.261687297366407e-08</v>
      </c>
      <c r="H566" s="0" t="b">
        <v>0</v>
      </c>
    </row>
    <row r="567">
      <c r="A567" s="0" t="n">
        <v>108</v>
      </c>
      <c r="B567" s="0" t="n">
        <v>13</v>
      </c>
      <c r="C567" s="0" t="n">
        <v>5176965.33203125</v>
      </c>
      <c r="D567" s="0" t="n">
        <v>4286440.376083622</v>
      </c>
      <c r="E567" s="0" t="n">
        <v>2.31254554836954e-05</v>
      </c>
      <c r="F567" s="0" t="n">
        <v>2.30382809449484e-05</v>
      </c>
      <c r="G567" s="0" t="n">
        <v>8.717453874700212e-08</v>
      </c>
      <c r="H567" s="0" t="b">
        <v>0</v>
      </c>
    </row>
    <row r="568">
      <c r="A568" s="0" t="n">
        <v>108</v>
      </c>
      <c r="B568" s="0" t="n">
        <v>14</v>
      </c>
      <c r="C568" s="0" t="n">
        <v>5178165.33203125</v>
      </c>
      <c r="D568" s="0" t="n">
        <v>6530678.424425146</v>
      </c>
      <c r="E568" s="0" t="n">
        <v>2.317059857434364e-05</v>
      </c>
      <c r="F568" s="0" t="n">
        <v>2.30382809449484e-05</v>
      </c>
      <c r="G568" s="0" t="n">
        <v>1.323176293952399e-07</v>
      </c>
      <c r="H568" s="0" t="b">
        <v>0</v>
      </c>
    </row>
    <row r="569">
      <c r="A569" s="0" t="n">
        <v>108</v>
      </c>
      <c r="B569" s="0" t="n">
        <v>15</v>
      </c>
      <c r="C569" s="0" t="n">
        <v>5177565.33203125</v>
      </c>
      <c r="D569" s="0" t="n">
        <v>5406082.964191833</v>
      </c>
      <c r="E569" s="0" t="n">
        <v>2.314801921721519e-05</v>
      </c>
      <c r="F569" s="0" t="n">
        <v>2.30382809449484e-05</v>
      </c>
      <c r="G569" s="0" t="n">
        <v>1.09738272266795e-07</v>
      </c>
      <c r="H569" s="0" t="b">
        <v>0</v>
      </c>
    </row>
    <row r="570">
      <c r="A570" s="0" t="n">
        <v>108</v>
      </c>
      <c r="B570" s="0" t="n">
        <v>16</v>
      </c>
      <c r="C570" s="0" t="n">
        <v>5176845.33203125</v>
      </c>
      <c r="D570" s="0" t="n">
        <v>4063044.229924737</v>
      </c>
      <c r="E570" s="0" t="n">
        <v>2.312094336839518e-05</v>
      </c>
      <c r="F570" s="0" t="n">
        <v>2.30382809449484e-05</v>
      </c>
      <c r="G570" s="0" t="n">
        <v>8.266242344678767e-08</v>
      </c>
      <c r="H570" s="0" t="b">
        <v>0</v>
      </c>
    </row>
    <row r="571">
      <c r="A571" s="0" t="n">
        <v>108</v>
      </c>
      <c r="B571" s="0" t="n">
        <v>17</v>
      </c>
      <c r="C571" s="0" t="n">
        <v>5177205.33203125</v>
      </c>
      <c r="D571" s="0" t="n">
        <v>4733694.98012872</v>
      </c>
      <c r="E571" s="0" t="n">
        <v>2.31344789328869e-05</v>
      </c>
      <c r="F571" s="0" t="n">
        <v>2.30382809449484e-05</v>
      </c>
      <c r="G571" s="0" t="n">
        <v>9.619798793850025e-08</v>
      </c>
      <c r="H571" s="0" t="b">
        <v>0</v>
      </c>
    </row>
    <row r="572">
      <c r="A572" s="0" t="n">
        <v>108</v>
      </c>
      <c r="B572" s="0" t="n">
        <v>18</v>
      </c>
      <c r="C572" s="0" t="n">
        <v>5177637.33203125</v>
      </c>
      <c r="D572" s="0" t="n">
        <v>5540777.535311274</v>
      </c>
      <c r="E572" s="0" t="n">
        <v>2.315072801013864e-05</v>
      </c>
      <c r="F572" s="0" t="n">
        <v>2.30382809449484e-05</v>
      </c>
      <c r="G572" s="0" t="n">
        <v>1.124470651902452e-07</v>
      </c>
      <c r="H572" s="0" t="b">
        <v>0</v>
      </c>
    </row>
    <row r="573">
      <c r="A573" s="0" t="n">
        <v>108</v>
      </c>
      <c r="B573" s="0" t="n">
        <v>19</v>
      </c>
      <c r="C573" s="0" t="n">
        <v>5177421.33203125</v>
      </c>
      <c r="D573" s="0" t="n">
        <v>5136840.58821465</v>
      </c>
      <c r="E573" s="0" t="n">
        <v>2.314260095332363e-05</v>
      </c>
      <c r="F573" s="0" t="n">
        <v>2.30382809449484e-05</v>
      </c>
      <c r="G573" s="0" t="n">
        <v>1.043200083752311e-07</v>
      </c>
      <c r="H573" s="0" t="b">
        <v>0</v>
      </c>
    </row>
    <row r="574">
      <c r="A574" s="0" t="n">
        <v>109</v>
      </c>
      <c r="B574" s="0" t="n">
        <v>1</v>
      </c>
      <c r="C574" s="0" t="n">
        <v>6050000</v>
      </c>
      <c r="D574" s="0" t="n">
        <v>6546843280.07568</v>
      </c>
      <c r="E574" s="0" t="n">
        <v>8.096249425990102e-05</v>
      </c>
      <c r="F574" s="0" t="n">
        <v>2.30382809449484e-05</v>
      </c>
      <c r="G574" s="0" t="n">
        <v>5.792421331495263e-05</v>
      </c>
      <c r="H574" s="0" t="b">
        <v>0</v>
      </c>
    </row>
    <row r="575">
      <c r="A575" s="0" t="n">
        <v>109</v>
      </c>
      <c r="B575" s="0" t="n">
        <v>2</v>
      </c>
      <c r="C575" s="0" t="n">
        <v>3075000</v>
      </c>
      <c r="D575" s="0" t="n">
        <v>-92945.5853765097</v>
      </c>
      <c r="E575" s="0" t="n">
        <v>6.59578678530749e-07</v>
      </c>
      <c r="F575" s="0" t="n">
        <v>2.30382809449484e-05</v>
      </c>
      <c r="G575" s="0" t="n">
        <v>-2.237870226641765e-05</v>
      </c>
      <c r="H575" s="0" t="b">
        <v>1</v>
      </c>
    </row>
    <row r="576">
      <c r="A576" s="0" t="n">
        <v>109</v>
      </c>
      <c r="B576" s="0" t="n">
        <v>3</v>
      </c>
      <c r="C576" s="0" t="n">
        <v>4562500</v>
      </c>
      <c r="D576" s="0" t="n">
        <v>-4418979.767680523</v>
      </c>
      <c r="E576" s="0" t="n">
        <v>1.018236023508673e-05</v>
      </c>
      <c r="F576" s="0" t="n">
        <v>2.30382809449484e-05</v>
      </c>
      <c r="G576" s="0" t="n">
        <v>-1.285592070986167e-05</v>
      </c>
      <c r="H576" s="0" t="b">
        <v>1</v>
      </c>
    </row>
    <row r="577">
      <c r="A577" s="0" t="n">
        <v>109</v>
      </c>
      <c r="B577" s="0" t="n">
        <v>4</v>
      </c>
      <c r="C577" s="0" t="n">
        <v>5306250</v>
      </c>
      <c r="D577" s="0" t="n">
        <v>406964952.9455885</v>
      </c>
      <c r="E577" s="0" t="n">
        <v>2.934098545444092e-05</v>
      </c>
      <c r="F577" s="0" t="n">
        <v>2.30382809449484e-05</v>
      </c>
      <c r="G577" s="0" t="n">
        <v>6.302704509492524e-06</v>
      </c>
      <c r="H577" s="0" t="b">
        <v>0</v>
      </c>
    </row>
    <row r="578">
      <c r="A578" s="0" t="n">
        <v>109</v>
      </c>
      <c r="B578" s="0" t="n">
        <v>5</v>
      </c>
      <c r="C578" s="0" t="n">
        <v>4934375</v>
      </c>
      <c r="D578" s="0" t="n">
        <v>-116668275.1215185</v>
      </c>
      <c r="E578" s="0" t="n">
        <v>1.584527360799445e-05</v>
      </c>
      <c r="F578" s="0" t="n">
        <v>2.30382809449484e-05</v>
      </c>
      <c r="G578" s="0" t="n">
        <v>-7.193007336953941e-06</v>
      </c>
      <c r="H578" s="0" t="b">
        <v>1</v>
      </c>
    </row>
    <row r="579">
      <c r="A579" s="0" t="n">
        <v>109</v>
      </c>
      <c r="B579" s="0" t="n">
        <v>6</v>
      </c>
      <c r="C579" s="0" t="n">
        <v>5120312.5</v>
      </c>
      <c r="D579" s="0" t="n">
        <v>-54239444.61838398</v>
      </c>
      <c r="E579" s="0" t="n">
        <v>2.179441982697596e-05</v>
      </c>
      <c r="F579" s="0" t="n">
        <v>2.30382809449484e-05</v>
      </c>
      <c r="G579" s="0" t="n">
        <v>-1.243861117972438e-06</v>
      </c>
      <c r="H579" s="0" t="b">
        <v>1</v>
      </c>
    </row>
    <row r="580">
      <c r="A580" s="0" t="n">
        <v>109</v>
      </c>
      <c r="B580" s="0" t="n">
        <v>7</v>
      </c>
      <c r="C580" s="0" t="n">
        <v>5213281.25</v>
      </c>
      <c r="D580" s="0" t="n">
        <v>133107261.9979528</v>
      </c>
      <c r="E580" s="0" t="n">
        <v>2.535193248265246e-05</v>
      </c>
      <c r="F580" s="0" t="n">
        <v>2.30382809449484e-05</v>
      </c>
      <c r="G580" s="0" t="n">
        <v>2.313651537704068e-06</v>
      </c>
      <c r="H580" s="0" t="b">
        <v>0</v>
      </c>
    </row>
    <row r="581">
      <c r="A581" s="0" t="n">
        <v>109</v>
      </c>
      <c r="B581" s="0" t="n">
        <v>8</v>
      </c>
      <c r="C581" s="0" t="n">
        <v>5166796.875</v>
      </c>
      <c r="D581" s="0" t="n">
        <v>24531193.3862087</v>
      </c>
      <c r="E581" s="0" t="n">
        <v>2.352129270876148e-05</v>
      </c>
      <c r="F581" s="0" t="n">
        <v>2.30382809449484e-05</v>
      </c>
      <c r="G581" s="0" t="n">
        <v>4.830117638130803e-07</v>
      </c>
      <c r="H581" s="0" t="b">
        <v>0</v>
      </c>
    </row>
    <row r="582">
      <c r="A582" s="0" t="n">
        <v>109</v>
      </c>
      <c r="B582" s="0" t="n">
        <v>9</v>
      </c>
      <c r="C582" s="0" t="n">
        <v>5143554.6875</v>
      </c>
      <c r="D582" s="0" t="n">
        <v>-18546175.1131344</v>
      </c>
      <c r="E582" s="0" t="n">
        <v>2.264523610609525e-05</v>
      </c>
      <c r="F582" s="0" t="n">
        <v>2.30382809449484e-05</v>
      </c>
      <c r="G582" s="0" t="n">
        <v>-3.930448388531414e-07</v>
      </c>
      <c r="H582" s="0" t="b">
        <v>1</v>
      </c>
    </row>
    <row r="583">
      <c r="A583" s="0" t="n">
        <v>109</v>
      </c>
      <c r="B583" s="0" t="n">
        <v>10</v>
      </c>
      <c r="C583" s="0" t="n">
        <v>5155175.78125</v>
      </c>
      <c r="D583" s="0" t="n">
        <v>2045812.026431975</v>
      </c>
      <c r="E583" s="0" t="n">
        <v>2.308004569763124e-05</v>
      </c>
      <c r="F583" s="0" t="n">
        <v>2.30382809449484e-05</v>
      </c>
      <c r="G583" s="0" t="n">
        <v>4.176475268284345e-08</v>
      </c>
      <c r="H583" s="0" t="b">
        <v>0</v>
      </c>
    </row>
    <row r="584">
      <c r="A584" s="0" t="n">
        <v>109</v>
      </c>
      <c r="B584" s="0" t="n">
        <v>11</v>
      </c>
      <c r="C584" s="0" t="n">
        <v>5160986.328125</v>
      </c>
      <c r="D584" s="0" t="n">
        <v>13049076.67517557</v>
      </c>
      <c r="E584" s="0" t="n">
        <v>2.329986198877358e-05</v>
      </c>
      <c r="F584" s="0" t="n">
        <v>2.30382809449484e-05</v>
      </c>
      <c r="G584" s="0" t="n">
        <v>2.615810438251822e-07</v>
      </c>
      <c r="H584" s="0" t="b">
        <v>0</v>
      </c>
    </row>
    <row r="585">
      <c r="A585" s="0" t="n">
        <v>109</v>
      </c>
      <c r="B585" s="0" t="n">
        <v>12</v>
      </c>
      <c r="C585" s="0" t="n">
        <v>5158081.0546875</v>
      </c>
      <c r="D585" s="0" t="n">
        <v>7487887.386420457</v>
      </c>
      <c r="E585" s="0" t="n">
        <v>2.318975146879993e-05</v>
      </c>
      <c r="F585" s="0" t="n">
        <v>2.30382809449484e-05</v>
      </c>
      <c r="G585" s="0" t="n">
        <v>1.514705238515324e-07</v>
      </c>
      <c r="H585" s="0" t="b">
        <v>0</v>
      </c>
    </row>
    <row r="586">
      <c r="A586" s="0" t="n">
        <v>109</v>
      </c>
      <c r="B586" s="0" t="n">
        <v>13</v>
      </c>
      <c r="C586" s="0" t="n">
        <v>5156628.41796875</v>
      </c>
      <c r="D586" s="0" t="n">
        <v>4752013.717282212</v>
      </c>
      <c r="E586" s="0" t="n">
        <v>2.313484822998668e-05</v>
      </c>
      <c r="F586" s="0" t="n">
        <v>2.30382809449484e-05</v>
      </c>
      <c r="G586" s="0" t="n">
        <v>9.656728503828067e-08</v>
      </c>
      <c r="H586" s="0" t="b">
        <v>0</v>
      </c>
    </row>
    <row r="587">
      <c r="A587" s="0" t="n">
        <v>109</v>
      </c>
      <c r="B587" s="0" t="n">
        <v>14</v>
      </c>
      <c r="C587" s="0" t="n">
        <v>5157128.41796875</v>
      </c>
      <c r="D587" s="0" t="n">
        <v>5690352.685823142</v>
      </c>
      <c r="E587" s="0" t="n">
        <v>2.315373464469259e-05</v>
      </c>
      <c r="F587" s="0" t="n">
        <v>2.30382809449484e-05</v>
      </c>
      <c r="G587" s="0" t="n">
        <v>1.154536997441979e-07</v>
      </c>
      <c r="H587" s="0" t="b">
        <v>0</v>
      </c>
    </row>
    <row r="588">
      <c r="A588" s="0" t="n">
        <v>109</v>
      </c>
      <c r="B588" s="0" t="n">
        <v>15</v>
      </c>
      <c r="C588" s="0" t="n">
        <v>5156878.41796875</v>
      </c>
      <c r="D588" s="0" t="n">
        <v>5220743.553906092</v>
      </c>
      <c r="E588" s="0" t="n">
        <v>2.314428994562507e-05</v>
      </c>
      <c r="F588" s="0" t="n">
        <v>2.30382809449484e-05</v>
      </c>
      <c r="G588" s="0" t="n">
        <v>1.060090006766709e-07</v>
      </c>
      <c r="H588" s="0" t="b">
        <v>0</v>
      </c>
    </row>
    <row r="589">
      <c r="A589" s="0" t="n">
        <v>109</v>
      </c>
      <c r="B589" s="0" t="n">
        <v>16</v>
      </c>
      <c r="C589" s="0" t="n">
        <v>5156578.41796875</v>
      </c>
      <c r="D589" s="0" t="n">
        <v>4658443.313940945</v>
      </c>
      <c r="E589" s="0" t="n">
        <v>2.31329616581567e-05</v>
      </c>
      <c r="F589" s="0" t="n">
        <v>2.30382809449484e-05</v>
      </c>
      <c r="G589" s="0" t="n">
        <v>9.468071320830397e-08</v>
      </c>
      <c r="H589" s="0" t="b">
        <v>0</v>
      </c>
    </row>
    <row r="590">
      <c r="A590" s="0" t="n">
        <v>109</v>
      </c>
      <c r="B590" s="0" t="n">
        <v>17</v>
      </c>
      <c r="C590" s="0" t="n">
        <v>5156728.41796875</v>
      </c>
      <c r="D590" s="0" t="n">
        <v>4939400.165313941</v>
      </c>
      <c r="E590" s="0" t="n">
        <v>2.313862455827137e-05</v>
      </c>
      <c r="F590" s="0" t="n">
        <v>2.30382809449484e-05</v>
      </c>
      <c r="G590" s="0" t="n">
        <v>1.003436133229714e-07</v>
      </c>
      <c r="H590" s="0" t="b">
        <v>0</v>
      </c>
    </row>
    <row r="591">
      <c r="A591" s="0" t="n">
        <v>109</v>
      </c>
      <c r="B591" s="0" t="n">
        <v>18</v>
      </c>
      <c r="C591" s="0" t="n">
        <v>5156908.41796875</v>
      </c>
      <c r="D591" s="0" t="n">
        <v>5277050.214079436</v>
      </c>
      <c r="E591" s="0" t="n">
        <v>2.314542315197575e-05</v>
      </c>
      <c r="F591" s="0" t="n">
        <v>2.30382809449484e-05</v>
      </c>
      <c r="G591" s="0" t="n">
        <v>1.071422070273572e-07</v>
      </c>
      <c r="H591" s="0" t="b">
        <v>0</v>
      </c>
    </row>
    <row r="592">
      <c r="A592" s="0" t="n">
        <v>109</v>
      </c>
      <c r="B592" s="0" t="n">
        <v>19</v>
      </c>
      <c r="C592" s="0" t="n">
        <v>5156818.41796875</v>
      </c>
      <c r="D592" s="0" t="n">
        <v>5108168.218371017</v>
      </c>
      <c r="E592" s="0" t="n">
        <v>2.31420236618074e-05</v>
      </c>
      <c r="F592" s="0" t="n">
        <v>2.30382809449484e-05</v>
      </c>
      <c r="G592" s="0" t="n">
        <v>1.037427168590048e-07</v>
      </c>
      <c r="H592" s="0" t="b">
        <v>0</v>
      </c>
    </row>
    <row r="593">
      <c r="A593" s="0" t="n">
        <v>110</v>
      </c>
      <c r="B593" s="0" t="n">
        <v>1</v>
      </c>
      <c r="C593" s="0" t="n">
        <v>6050000</v>
      </c>
      <c r="D593" s="0" t="n">
        <v>29098239249.92757</v>
      </c>
      <c r="E593" s="0" t="n">
        <v>0.0001946861349413386</v>
      </c>
      <c r="F593" s="0" t="n">
        <v>2.230515813022582e-05</v>
      </c>
      <c r="G593" s="0" t="n">
        <v>0.0001723809768111128</v>
      </c>
      <c r="H593" s="0" t="b">
        <v>0</v>
      </c>
    </row>
    <row r="594">
      <c r="A594" s="0" t="n">
        <v>110</v>
      </c>
      <c r="B594" s="0" t="n">
        <v>2</v>
      </c>
      <c r="C594" s="0" t="n">
        <v>3075000</v>
      </c>
      <c r="D594" s="0" t="n">
        <v>-142990.6626493508</v>
      </c>
      <c r="E594" s="0" t="n">
        <v>2.336665408152948e-06</v>
      </c>
      <c r="F594" s="0" t="n">
        <v>2.230515813022582e-05</v>
      </c>
      <c r="G594" s="0" t="n">
        <v>-1.996849272207287e-05</v>
      </c>
      <c r="H594" s="0" t="b">
        <v>1</v>
      </c>
    </row>
    <row r="595">
      <c r="A595" s="0" t="n">
        <v>110</v>
      </c>
      <c r="B595" s="0" t="n">
        <v>3</v>
      </c>
      <c r="C595" s="0" t="n">
        <v>4562500</v>
      </c>
      <c r="D595" s="0" t="n">
        <v>53154022.36047526</v>
      </c>
      <c r="E595" s="0" t="n">
        <v>2.328036690572646e-05</v>
      </c>
      <c r="F595" s="0" t="n">
        <v>2.230515813022582e-05</v>
      </c>
      <c r="G595" s="0" t="n">
        <v>9.752087755006479e-07</v>
      </c>
      <c r="H595" s="0" t="b">
        <v>0</v>
      </c>
    </row>
    <row r="596">
      <c r="A596" s="0" t="n">
        <v>110</v>
      </c>
      <c r="B596" s="0" t="n">
        <v>4</v>
      </c>
      <c r="C596" s="0" t="n">
        <v>3818750</v>
      </c>
      <c r="D596" s="0" t="n">
        <v>-1102394.43162278</v>
      </c>
      <c r="E596" s="0" t="n">
        <v>7.695359695525923e-06</v>
      </c>
      <c r="F596" s="0" t="n">
        <v>2.230515813022582e-05</v>
      </c>
      <c r="G596" s="0" t="n">
        <v>-1.460979843469989e-05</v>
      </c>
      <c r="H596" s="0" t="b">
        <v>1</v>
      </c>
    </row>
    <row r="597">
      <c r="A597" s="0" t="n">
        <v>110</v>
      </c>
      <c r="B597" s="0" t="n">
        <v>5</v>
      </c>
      <c r="C597" s="0" t="n">
        <v>4190625</v>
      </c>
      <c r="D597" s="0" t="n">
        <v>-22793408.86560292</v>
      </c>
      <c r="E597" s="0" t="n">
        <v>1.199569463377964e-05</v>
      </c>
      <c r="F597" s="0" t="n">
        <v>2.230515813022582e-05</v>
      </c>
      <c r="G597" s="0" t="n">
        <v>-1.030946349644618e-05</v>
      </c>
      <c r="H597" s="0" t="b">
        <v>1</v>
      </c>
    </row>
    <row r="598">
      <c r="A598" s="0" t="n">
        <v>110</v>
      </c>
      <c r="B598" s="0" t="n">
        <v>6</v>
      </c>
      <c r="C598" s="0" t="n">
        <v>4376562.5</v>
      </c>
      <c r="D598" s="0" t="n">
        <v>-128590229.4633467</v>
      </c>
      <c r="E598" s="0" t="n">
        <v>1.623384003102263e-05</v>
      </c>
      <c r="F598" s="0" t="n">
        <v>2.230515813022582e-05</v>
      </c>
      <c r="G598" s="0" t="n">
        <v>-6.071318099203184e-06</v>
      </c>
      <c r="H598" s="0" t="b">
        <v>1</v>
      </c>
    </row>
    <row r="599">
      <c r="A599" s="0" t="n">
        <v>110</v>
      </c>
      <c r="B599" s="0" t="n">
        <v>7</v>
      </c>
      <c r="C599" s="0" t="n">
        <v>4469531.25</v>
      </c>
      <c r="D599" s="0" t="n">
        <v>-104692739.55076</v>
      </c>
      <c r="E599" s="0" t="n">
        <v>1.951037314452331e-05</v>
      </c>
      <c r="F599" s="0" t="n">
        <v>2.230515813022582e-05</v>
      </c>
      <c r="G599" s="0" t="n">
        <v>-2.794784985702509e-06</v>
      </c>
      <c r="H599" s="0" t="b">
        <v>1</v>
      </c>
    </row>
    <row r="600">
      <c r="A600" s="0" t="n">
        <v>110</v>
      </c>
      <c r="B600" s="0" t="n">
        <v>8</v>
      </c>
      <c r="C600" s="0" t="n">
        <v>4516015.625</v>
      </c>
      <c r="D600" s="0" t="n">
        <v>-44738023.34689409</v>
      </c>
      <c r="E600" s="0" t="n">
        <v>2.133070246143525e-05</v>
      </c>
      <c r="F600" s="0" t="n">
        <v>2.230515813022582e-05</v>
      </c>
      <c r="G600" s="0" t="n">
        <v>-9.744556687905666e-07</v>
      </c>
      <c r="H600" s="0" t="b">
        <v>1</v>
      </c>
    </row>
    <row r="601">
      <c r="A601" s="0" t="n">
        <v>110</v>
      </c>
      <c r="B601" s="0" t="n">
        <v>9</v>
      </c>
      <c r="C601" s="0" t="n">
        <v>4539257.8125</v>
      </c>
      <c r="D601" s="0" t="n">
        <v>-806873.9024438763</v>
      </c>
      <c r="E601" s="0" t="n">
        <v>2.228908242125717e-05</v>
      </c>
      <c r="F601" s="0" t="n">
        <v>2.230515813022582e-05</v>
      </c>
      <c r="G601" s="0" t="n">
        <v>-1.607570896864667e-08</v>
      </c>
      <c r="H601" s="0" t="b">
        <v>1</v>
      </c>
    </row>
    <row r="602">
      <c r="A602" s="0" t="n">
        <v>110</v>
      </c>
      <c r="B602" s="0" t="n">
        <v>10</v>
      </c>
      <c r="C602" s="0" t="n">
        <v>4550878.90625</v>
      </c>
      <c r="D602" s="0" t="n">
        <v>24886263.06231209</v>
      </c>
      <c r="E602" s="0" t="n">
        <v>2.27805860852981e-05</v>
      </c>
      <c r="F602" s="0" t="n">
        <v>2.230515813022582e-05</v>
      </c>
      <c r="G602" s="0" t="n">
        <v>4.754279550722837e-07</v>
      </c>
      <c r="H602" s="0" t="b">
        <v>0</v>
      </c>
    </row>
    <row r="603">
      <c r="A603" s="0" t="n">
        <v>110</v>
      </c>
      <c r="B603" s="0" t="n">
        <v>11</v>
      </c>
      <c r="C603" s="0" t="n">
        <v>4545068.359375</v>
      </c>
      <c r="D603" s="0" t="n">
        <v>11723433.76347684</v>
      </c>
      <c r="E603" s="0" t="n">
        <v>2.253382908209285e-05</v>
      </c>
      <c r="F603" s="0" t="n">
        <v>2.230515813022582e-05</v>
      </c>
      <c r="G603" s="0" t="n">
        <v>2.286709518670316e-07</v>
      </c>
      <c r="H603" s="0" t="b">
        <v>0</v>
      </c>
    </row>
    <row r="604">
      <c r="A604" s="0" t="n">
        <v>110</v>
      </c>
      <c r="B604" s="0" t="n">
        <v>12</v>
      </c>
      <c r="C604" s="0" t="n">
        <v>4542163.0859375</v>
      </c>
      <c r="D604" s="0" t="n">
        <v>5379261.64772441</v>
      </c>
      <c r="E604" s="0" t="n">
        <v>2.24111959417757e-05</v>
      </c>
      <c r="F604" s="0" t="n">
        <v>2.230515813022582e-05</v>
      </c>
      <c r="G604" s="0" t="n">
        <v>1.060378115498832e-07</v>
      </c>
      <c r="H604" s="0" t="b">
        <v>0</v>
      </c>
    </row>
    <row r="605">
      <c r="A605" s="0" t="n">
        <v>110</v>
      </c>
      <c r="B605" s="0" t="n">
        <v>13</v>
      </c>
      <c r="C605" s="0" t="n">
        <v>4540710.44921875</v>
      </c>
      <c r="D605" s="0" t="n">
        <v>2266508.06679475</v>
      </c>
      <c r="E605" s="0" t="n">
        <v>2.235007432279028e-05</v>
      </c>
      <c r="F605" s="0" t="n">
        <v>2.230515813022582e-05</v>
      </c>
      <c r="G605" s="0" t="n">
        <v>4.491619256446748e-08</v>
      </c>
      <c r="H605" s="0" t="b">
        <v>0</v>
      </c>
    </row>
    <row r="606">
      <c r="A606" s="0" t="n">
        <v>110</v>
      </c>
      <c r="B606" s="0" t="n">
        <v>14</v>
      </c>
      <c r="C606" s="0" t="n">
        <v>4541210.44921875</v>
      </c>
      <c r="D606" s="0" t="n">
        <v>3333472.515518421</v>
      </c>
      <c r="E606" s="0" t="n">
        <v>2.237109783693444e-05</v>
      </c>
      <c r="F606" s="0" t="n">
        <v>2.230515813022582e-05</v>
      </c>
      <c r="G606" s="0" t="n">
        <v>6.593970670862301e-08</v>
      </c>
      <c r="H606" s="0" t="b">
        <v>0</v>
      </c>
    </row>
    <row r="607">
      <c r="A607" s="0" t="n">
        <v>110</v>
      </c>
      <c r="B607" s="0" t="n">
        <v>15</v>
      </c>
      <c r="C607" s="0" t="n">
        <v>4541810.44921875</v>
      </c>
      <c r="D607" s="0" t="n">
        <v>4620064.401522792</v>
      </c>
      <c r="E607" s="0" t="n">
        <v>2.239634771097628e-05</v>
      </c>
      <c r="F607" s="0" t="n">
        <v>2.230515813022582e-05</v>
      </c>
      <c r="G607" s="0" t="n">
        <v>9.118958075046777e-08</v>
      </c>
      <c r="H607" s="0" t="b">
        <v>0</v>
      </c>
    </row>
    <row r="608">
      <c r="A608" s="0" t="n">
        <v>110</v>
      </c>
      <c r="B608" s="0" t="n">
        <v>16</v>
      </c>
      <c r="C608" s="0" t="n">
        <v>4541510.44921875</v>
      </c>
      <c r="D608" s="0" t="n">
        <v>3975961.760077026</v>
      </c>
      <c r="E608" s="0" t="n">
        <v>2.238372068468372e-05</v>
      </c>
      <c r="F608" s="0" t="n">
        <v>2.230515813022582e-05</v>
      </c>
      <c r="G608" s="0" t="n">
        <v>7.856255445789996e-08</v>
      </c>
      <c r="H608" s="0" t="b">
        <v>0</v>
      </c>
    </row>
    <row r="609">
      <c r="A609" s="0" t="n">
        <v>110</v>
      </c>
      <c r="B609" s="0" t="n">
        <v>17</v>
      </c>
      <c r="C609" s="0" t="n">
        <v>4541660.44921875</v>
      </c>
      <c r="D609" s="0" t="n">
        <v>4297733.335326102</v>
      </c>
      <c r="E609" s="0" t="n">
        <v>2.239003214583287e-05</v>
      </c>
      <c r="F609" s="0" t="n">
        <v>2.230515813022582e-05</v>
      </c>
      <c r="G609" s="0" t="n">
        <v>8.487401560705845e-08</v>
      </c>
      <c r="H609" s="0" t="b">
        <v>0</v>
      </c>
    </row>
    <row r="610">
      <c r="A610" s="0" t="n">
        <v>110</v>
      </c>
      <c r="B610" s="0" t="n">
        <v>18</v>
      </c>
      <c r="C610" s="0" t="n">
        <v>4541840.44921875</v>
      </c>
      <c r="D610" s="0" t="n">
        <v>4684497.76811582</v>
      </c>
      <c r="E610" s="0" t="n">
        <v>2.239760935789276e-05</v>
      </c>
      <c r="F610" s="0" t="n">
        <v>2.230515813022582e-05</v>
      </c>
      <c r="G610" s="0" t="n">
        <v>9.245122766694756e-08</v>
      </c>
      <c r="H610" s="0" t="b">
        <v>0</v>
      </c>
    </row>
    <row r="611">
      <c r="A611" s="0" t="n">
        <v>110</v>
      </c>
      <c r="B611" s="0" t="n">
        <v>19</v>
      </c>
      <c r="C611" s="0" t="n">
        <v>4541750.44921875</v>
      </c>
      <c r="D611" s="0" t="n">
        <v>4491039.797242029</v>
      </c>
      <c r="E611" s="0" t="n">
        <v>2.239382050263963e-05</v>
      </c>
      <c r="F611" s="0" t="n">
        <v>2.230515813022582e-05</v>
      </c>
      <c r="G611" s="0" t="n">
        <v>8.866237241381453e-08</v>
      </c>
      <c r="H611" s="0" t="b">
        <v>0</v>
      </c>
    </row>
    <row r="612">
      <c r="A612" s="0" t="n">
        <v>110</v>
      </c>
      <c r="B612" s="0" t="n">
        <v>20</v>
      </c>
      <c r="C612" s="0" t="n">
        <v>4541795.44921875</v>
      </c>
      <c r="D612" s="0" t="n">
        <v>4587819.292194542</v>
      </c>
      <c r="E612" s="0" t="n">
        <v>2.239571622813237e-05</v>
      </c>
      <c r="F612" s="0" t="n">
        <v>2.230515813022582e-05</v>
      </c>
      <c r="G612" s="0" t="n">
        <v>9.055809790655349e-08</v>
      </c>
      <c r="H612" s="0" t="b">
        <v>0</v>
      </c>
    </row>
    <row r="613">
      <c r="A613" s="0" t="n">
        <v>110</v>
      </c>
      <c r="B613" s="0" t="n">
        <v>21</v>
      </c>
      <c r="C613" s="0" t="n">
        <v>4541772.94921875</v>
      </c>
      <c r="D613" s="0" t="n">
        <v>4539459.520145912</v>
      </c>
      <c r="E613" s="0" t="n">
        <v>2.239476902982926e-05</v>
      </c>
      <c r="F613" s="0" t="n">
        <v>2.230515813022582e-05</v>
      </c>
      <c r="G613" s="0" t="n">
        <v>8.961089960344469e-08</v>
      </c>
      <c r="H613" s="0" t="b">
        <v>0</v>
      </c>
    </row>
    <row r="614">
      <c r="A614" s="0" t="n">
        <v>111</v>
      </c>
      <c r="B614" s="0" t="n">
        <v>1</v>
      </c>
      <c r="C614" s="0" t="n">
        <v>6050000</v>
      </c>
      <c r="D614" s="0" t="n">
        <v>82128925694.661</v>
      </c>
      <c r="E614" s="0" t="n">
        <v>0.0003983369462322776</v>
      </c>
      <c r="F614" s="0" t="n">
        <v>2.212776209361493e-05</v>
      </c>
      <c r="G614" s="0" t="n">
        <v>0.0003762091841386627</v>
      </c>
      <c r="H614" s="0" t="b">
        <v>0</v>
      </c>
    </row>
    <row r="615">
      <c r="A615" s="0" t="n">
        <v>111</v>
      </c>
      <c r="B615" s="0" t="n">
        <v>2</v>
      </c>
      <c r="C615" s="0" t="n">
        <v>3075000</v>
      </c>
      <c r="D615" s="0" t="n">
        <v>-257616.8544733307</v>
      </c>
      <c r="E615" s="0" t="n">
        <v>4.260961935972966e-06</v>
      </c>
      <c r="F615" s="0" t="n">
        <v>2.212776209361495e-05</v>
      </c>
      <c r="G615" s="0" t="n">
        <v>-1.786680015764198e-05</v>
      </c>
      <c r="H615" s="0" t="b">
        <v>1</v>
      </c>
    </row>
    <row r="616">
      <c r="A616" s="0" t="n">
        <v>111</v>
      </c>
      <c r="B616" s="0" t="n">
        <v>3</v>
      </c>
      <c r="C616" s="0" t="n">
        <v>4562500</v>
      </c>
      <c r="D616" s="0" t="n">
        <v>3438251685.845273</v>
      </c>
      <c r="E616" s="0" t="n">
        <v>5.589443852444955e-05</v>
      </c>
      <c r="F616" s="0" t="n">
        <v>2.212776209361495e-05</v>
      </c>
      <c r="G616" s="0" t="n">
        <v>3.376667643083459e-05</v>
      </c>
      <c r="H616" s="0" t="b">
        <v>0</v>
      </c>
    </row>
    <row r="617">
      <c r="A617" s="0" t="n">
        <v>111</v>
      </c>
      <c r="B617" s="0" t="n">
        <v>4</v>
      </c>
      <c r="C617" s="0" t="n">
        <v>3818750</v>
      </c>
      <c r="D617" s="0" t="n">
        <v>-40891214.38351379</v>
      </c>
      <c r="E617" s="0" t="n">
        <v>1.271669204986032e-05</v>
      </c>
      <c r="F617" s="0" t="n">
        <v>2.212776209361495e-05</v>
      </c>
      <c r="G617" s="0" t="n">
        <v>-9.411070043754625e-06</v>
      </c>
      <c r="H617" s="0" t="b">
        <v>1</v>
      </c>
    </row>
    <row r="618">
      <c r="A618" s="0" t="n">
        <v>111</v>
      </c>
      <c r="B618" s="0" t="n">
        <v>5</v>
      </c>
      <c r="C618" s="0" t="n">
        <v>4190625</v>
      </c>
      <c r="D618" s="0" t="n">
        <v>399603252.0628572</v>
      </c>
      <c r="E618" s="0" t="n">
        <v>2.80482587706018e-05</v>
      </c>
      <c r="F618" s="0" t="n">
        <v>2.212776209361495e-05</v>
      </c>
      <c r="G618" s="0" t="n">
        <v>5.920496676986849e-06</v>
      </c>
      <c r="H618" s="0" t="b">
        <v>0</v>
      </c>
    </row>
    <row r="619">
      <c r="A619" s="0" t="n">
        <v>111</v>
      </c>
      <c r="B619" s="0" t="n">
        <v>6</v>
      </c>
      <c r="C619" s="0" t="n">
        <v>4004687.5</v>
      </c>
      <c r="D619" s="0" t="n">
        <v>-112843398.1052956</v>
      </c>
      <c r="E619" s="0" t="n">
        <v>1.89858318478298e-05</v>
      </c>
      <c r="F619" s="0" t="n">
        <v>2.212776209361495e-05</v>
      </c>
      <c r="G619" s="0" t="n">
        <v>-3.141930245785153e-06</v>
      </c>
      <c r="H619" s="0" t="b">
        <v>1</v>
      </c>
    </row>
    <row r="620">
      <c r="A620" s="0" t="n">
        <v>111</v>
      </c>
      <c r="B620" s="0" t="n">
        <v>7</v>
      </c>
      <c r="C620" s="0" t="n">
        <v>4097656.25</v>
      </c>
      <c r="D620" s="0" t="n">
        <v>57818105.48974088</v>
      </c>
      <c r="E620" s="0" t="n">
        <v>2.317420784286037e-05</v>
      </c>
      <c r="F620" s="0" t="n">
        <v>2.212776209361495e-05</v>
      </c>
      <c r="G620" s="0" t="n">
        <v>1.046445749245416e-06</v>
      </c>
      <c r="H620" s="0" t="b">
        <v>0</v>
      </c>
    </row>
    <row r="621">
      <c r="A621" s="0" t="n">
        <v>111</v>
      </c>
      <c r="B621" s="0" t="n">
        <v>8</v>
      </c>
      <c r="C621" s="0" t="n">
        <v>4051171.875</v>
      </c>
      <c r="D621" s="0" t="n">
        <v>-51364380.50514774</v>
      </c>
      <c r="E621" s="0" t="n">
        <v>2.099854270003094e-05</v>
      </c>
      <c r="F621" s="0" t="n">
        <v>2.212776209361495e-05</v>
      </c>
      <c r="G621" s="0" t="n">
        <v>-1.129219393584008e-06</v>
      </c>
      <c r="H621" s="0" t="b">
        <v>1</v>
      </c>
    </row>
    <row r="622">
      <c r="A622" s="0" t="n">
        <v>111</v>
      </c>
      <c r="B622" s="0" t="n">
        <v>9</v>
      </c>
      <c r="C622" s="0" t="n">
        <v>4074414.0625</v>
      </c>
      <c r="D622" s="0" t="n">
        <v>-3135745.263357347</v>
      </c>
      <c r="E622" s="0" t="n">
        <v>2.206548019920451e-05</v>
      </c>
      <c r="F622" s="0" t="n">
        <v>2.212776209361495e-05</v>
      </c>
      <c r="G622" s="0" t="n">
        <v>-6.228189441044335e-08</v>
      </c>
      <c r="H622" s="0" t="b">
        <v>1</v>
      </c>
    </row>
    <row r="623">
      <c r="A623" s="0" t="n">
        <v>111</v>
      </c>
      <c r="B623" s="0" t="n">
        <v>10</v>
      </c>
      <c r="C623" s="0" t="n">
        <v>4086035.15625</v>
      </c>
      <c r="D623" s="0" t="n">
        <v>25701142.1733486</v>
      </c>
      <c r="E623" s="0" t="n">
        <v>2.261457513270264e-05</v>
      </c>
      <c r="F623" s="0" t="n">
        <v>2.212776209361495e-05</v>
      </c>
      <c r="G623" s="0" t="n">
        <v>4.86813039087693e-07</v>
      </c>
      <c r="H623" s="0" t="b">
        <v>0</v>
      </c>
    </row>
    <row r="624">
      <c r="A624" s="0" t="n">
        <v>111</v>
      </c>
      <c r="B624" s="0" t="n">
        <v>11</v>
      </c>
      <c r="C624" s="0" t="n">
        <v>4080224.609375</v>
      </c>
      <c r="D624" s="0" t="n">
        <v>10878648.35797639</v>
      </c>
      <c r="E624" s="0" t="n">
        <v>2.233871195448529e-05</v>
      </c>
      <c r="F624" s="0" t="n">
        <v>2.212776209361495e-05</v>
      </c>
      <c r="G624" s="0" t="n">
        <v>2.109498608703374e-07</v>
      </c>
      <c r="H624" s="0" t="b">
        <v>0</v>
      </c>
    </row>
    <row r="625">
      <c r="A625" s="0" t="n">
        <v>111</v>
      </c>
      <c r="B625" s="0" t="n">
        <v>12</v>
      </c>
      <c r="C625" s="0" t="n">
        <v>4077319.3359375</v>
      </c>
      <c r="D625" s="0" t="n">
        <v>3771190.383793042</v>
      </c>
      <c r="E625" s="0" t="n">
        <v>2.220176738698974e-05</v>
      </c>
      <c r="F625" s="0" t="n">
        <v>2.212776209361495e-05</v>
      </c>
      <c r="G625" s="0" t="n">
        <v>7.400529337479099e-08</v>
      </c>
      <c r="H625" s="0" t="b">
        <v>0</v>
      </c>
    </row>
    <row r="626">
      <c r="A626" s="0" t="n">
        <v>111</v>
      </c>
      <c r="B626" s="0" t="n">
        <v>13</v>
      </c>
      <c r="C626" s="0" t="n">
        <v>4078771.97265625</v>
      </c>
      <c r="D626" s="0" t="n">
        <v>7299798.168356273</v>
      </c>
      <c r="E626" s="0" t="n">
        <v>2.227015820401444e-05</v>
      </c>
      <c r="F626" s="0" t="n">
        <v>2.212776209361495e-05</v>
      </c>
      <c r="G626" s="0" t="n">
        <v>1.423961103994855e-07</v>
      </c>
      <c r="H626" s="0" t="b">
        <v>0</v>
      </c>
    </row>
    <row r="627">
      <c r="A627" s="0" t="n">
        <v>111</v>
      </c>
      <c r="B627" s="0" t="n">
        <v>14</v>
      </c>
      <c r="C627" s="0" t="n">
        <v>4078271.97265625</v>
      </c>
      <c r="D627" s="0" t="n">
        <v>6079531.292876163</v>
      </c>
      <c r="E627" s="0" t="n">
        <v>2.224659855856591e-05</v>
      </c>
      <c r="F627" s="0" t="n">
        <v>2.212776209361495e-05</v>
      </c>
      <c r="G627" s="0" t="n">
        <v>1.188364649509619e-07</v>
      </c>
      <c r="H627" s="0" t="b">
        <v>0</v>
      </c>
    </row>
    <row r="628">
      <c r="A628" s="0" t="n">
        <v>111</v>
      </c>
      <c r="B628" s="0" t="n">
        <v>15</v>
      </c>
      <c r="C628" s="0" t="n">
        <v>4077671.97265625</v>
      </c>
      <c r="D628" s="0" t="n">
        <v>4623151.616489612</v>
      </c>
      <c r="E628" s="0" t="n">
        <v>2.221835427699016e-05</v>
      </c>
      <c r="F628" s="0" t="n">
        <v>2.212776209361495e-05</v>
      </c>
      <c r="G628" s="0" t="n">
        <v>9.059218337520653e-08</v>
      </c>
      <c r="H628" s="0" t="b">
        <v>0</v>
      </c>
    </row>
    <row r="629">
      <c r="A629" s="0" t="n">
        <v>111</v>
      </c>
      <c r="B629" s="0" t="n">
        <v>16</v>
      </c>
      <c r="C629" s="0" t="n">
        <v>4076951.97265625</v>
      </c>
      <c r="D629" s="0" t="n">
        <v>2886790.855747161</v>
      </c>
      <c r="E629" s="0" t="n">
        <v>2.218449808596732e-05</v>
      </c>
      <c r="F629" s="0" t="n">
        <v>2.212776209361495e-05</v>
      </c>
      <c r="G629" s="0" t="n">
        <v>5.673599235237072e-08</v>
      </c>
      <c r="H629" s="0" t="b">
        <v>0</v>
      </c>
    </row>
    <row r="630">
      <c r="A630" s="0" t="n">
        <v>111</v>
      </c>
      <c r="B630" s="0" t="n">
        <v>17</v>
      </c>
      <c r="C630" s="0" t="n">
        <v>4077311.97265625</v>
      </c>
      <c r="D630" s="0" t="n">
        <v>3753432.37162322</v>
      </c>
      <c r="E630" s="0" t="n">
        <v>2.220142114509557e-05</v>
      </c>
      <c r="F630" s="0" t="n">
        <v>2.212776209361495e-05</v>
      </c>
      <c r="G630" s="0" t="n">
        <v>7.365905148062305e-08</v>
      </c>
      <c r="H630" s="0" t="b">
        <v>0</v>
      </c>
    </row>
    <row r="631">
      <c r="A631" s="0" t="n">
        <v>111</v>
      </c>
      <c r="B631" s="0" t="n">
        <v>18</v>
      </c>
      <c r="C631" s="0" t="n">
        <v>4077743.97265625</v>
      </c>
      <c r="D631" s="0" t="n">
        <v>4797465.0587074</v>
      </c>
      <c r="E631" s="0" t="n">
        <v>2.222174211246243e-05</v>
      </c>
      <c r="F631" s="0" t="n">
        <v>2.212776209361495e-05</v>
      </c>
      <c r="G631" s="0" t="n">
        <v>9.398001884747723e-08</v>
      </c>
      <c r="H631" s="0" t="b">
        <v>0</v>
      </c>
    </row>
    <row r="632">
      <c r="A632" s="0" t="n">
        <v>111</v>
      </c>
      <c r="B632" s="0" t="n">
        <v>19</v>
      </c>
      <c r="C632" s="0" t="n">
        <v>4077527.97265625</v>
      </c>
      <c r="D632" s="0" t="n">
        <v>4274963.448809422</v>
      </c>
      <c r="E632" s="0" t="n">
        <v>2.221158115924108e-05</v>
      </c>
      <c r="F632" s="0" t="n">
        <v>2.212776209361495e-05</v>
      </c>
      <c r="G632" s="0" t="n">
        <v>8.381906562613349e-08</v>
      </c>
      <c r="H632" s="0" t="b">
        <v>0</v>
      </c>
    </row>
    <row r="633">
      <c r="A633" s="0" t="n">
        <v>111</v>
      </c>
      <c r="B633" s="0" t="n">
        <v>20</v>
      </c>
      <c r="C633" s="0" t="n">
        <v>4077268.77265625</v>
      </c>
      <c r="D633" s="0" t="n">
        <v>3649341.805607301</v>
      </c>
      <c r="E633" s="0" t="n">
        <v>2.21993911893812e-05</v>
      </c>
      <c r="F633" s="0" t="n">
        <v>2.212776209361495e-05</v>
      </c>
      <c r="G633" s="0" t="n">
        <v>7.162909576624682e-08</v>
      </c>
      <c r="H633" s="0" t="b">
        <v>0</v>
      </c>
    </row>
    <row r="634">
      <c r="A634" s="0" t="n">
        <v>111</v>
      </c>
      <c r="B634" s="0" t="n">
        <v>21</v>
      </c>
      <c r="C634" s="0" t="n">
        <v>4077398.37265625</v>
      </c>
      <c r="D634" s="0" t="n">
        <v>3961884.18768348</v>
      </c>
      <c r="E634" s="0" t="n">
        <v>2.220548417795941e-05</v>
      </c>
      <c r="F634" s="0" t="n">
        <v>2.212776209361495e-05</v>
      </c>
      <c r="G634" s="0" t="n">
        <v>7.772208434446223e-08</v>
      </c>
      <c r="H634" s="0" t="b">
        <v>0</v>
      </c>
    </row>
    <row r="635">
      <c r="A635" s="0" t="n">
        <v>111</v>
      </c>
      <c r="B635" s="0" t="n">
        <v>22</v>
      </c>
      <c r="C635" s="0" t="n">
        <v>4077553.89265625</v>
      </c>
      <c r="D635" s="0" t="n">
        <v>4337544.328317961</v>
      </c>
      <c r="E635" s="0" t="n">
        <v>2.221279909937693e-05</v>
      </c>
      <c r="F635" s="0" t="n">
        <v>2.212776209361495e-05</v>
      </c>
      <c r="G635" s="0" t="n">
        <v>8.503700576198355e-08</v>
      </c>
      <c r="H635" s="0" t="b">
        <v>0</v>
      </c>
    </row>
    <row r="636">
      <c r="A636" s="0" t="n">
        <v>111</v>
      </c>
      <c r="B636" s="0" t="n">
        <v>23</v>
      </c>
      <c r="C636" s="0" t="n">
        <v>4077476.13265625</v>
      </c>
      <c r="D636" s="0" t="n">
        <v>4149711.441475578</v>
      </c>
      <c r="E636" s="0" t="n">
        <v>2.220914274747763e-05</v>
      </c>
      <c r="F636" s="0" t="n">
        <v>2.212776209361495e-05</v>
      </c>
      <c r="G636" s="0" t="n">
        <v>8.138065386267658e-08</v>
      </c>
      <c r="H636" s="0" t="b">
        <v>0</v>
      </c>
    </row>
    <row r="637">
      <c r="A637" s="0" t="n">
        <v>111</v>
      </c>
      <c r="B637" s="0" t="n">
        <v>24</v>
      </c>
      <c r="C637" s="0" t="n">
        <v>4077382.82065625</v>
      </c>
      <c r="D637" s="0" t="n">
        <v>3924418.720111163</v>
      </c>
      <c r="E637" s="0" t="n">
        <v>2.220475413274368e-05</v>
      </c>
      <c r="F637" s="0" t="n">
        <v>2.212776209361495e-05</v>
      </c>
      <c r="G637" s="0" t="n">
        <v>7.699203912872856e-08</v>
      </c>
      <c r="H637" s="0" t="b">
        <v>0</v>
      </c>
    </row>
    <row r="638">
      <c r="A638" s="0" t="n">
        <v>111</v>
      </c>
      <c r="B638" s="0" t="n">
        <v>25</v>
      </c>
      <c r="C638" s="0" t="n">
        <v>4077429.47665625</v>
      </c>
      <c r="D638" s="0" t="n">
        <v>4036970.246937742</v>
      </c>
      <c r="E638" s="0" t="n">
        <v>2.220694701183174e-05</v>
      </c>
      <c r="F638" s="0" t="n">
        <v>2.212776209361495e-05</v>
      </c>
      <c r="G638" s="0" t="n">
        <v>7.918491821679358e-08</v>
      </c>
      <c r="H638" s="0" t="b">
        <v>0</v>
      </c>
    </row>
    <row r="639">
      <c r="A639" s="0" t="n">
        <v>112</v>
      </c>
      <c r="B639" s="0" t="n">
        <v>1</v>
      </c>
      <c r="C639" s="0" t="n">
        <v>6050000</v>
      </c>
      <c r="D639" s="0" t="n">
        <v>27008522469.34874</v>
      </c>
      <c r="E639" s="0" t="n">
        <v>0.0001817548299351718</v>
      </c>
      <c r="F639" s="0" t="n">
        <v>2.195263625188635e-05</v>
      </c>
      <c r="G639" s="0" t="n">
        <v>0.0001598021936832855</v>
      </c>
      <c r="H639" s="0" t="b">
        <v>0</v>
      </c>
    </row>
    <row r="640">
      <c r="A640" s="0" t="n">
        <v>112</v>
      </c>
      <c r="B640" s="0" t="n">
        <v>2</v>
      </c>
      <c r="C640" s="0" t="n">
        <v>3075000</v>
      </c>
      <c r="D640" s="0" t="n">
        <v>-140277.0658992307</v>
      </c>
      <c r="E640" s="0" t="n">
        <v>2.20215395339128e-06</v>
      </c>
      <c r="F640" s="0" t="n">
        <v>2.195263625188634e-05</v>
      </c>
      <c r="G640" s="0" t="n">
        <v>-1.975048229849506e-05</v>
      </c>
      <c r="H640" s="0" t="b">
        <v>1</v>
      </c>
    </row>
    <row r="641">
      <c r="A641" s="0" t="n">
        <v>112</v>
      </c>
      <c r="B641" s="0" t="n">
        <v>3</v>
      </c>
      <c r="C641" s="0" t="n">
        <v>4562500</v>
      </c>
      <c r="D641" s="0" t="n">
        <v>-25266355.27056739</v>
      </c>
      <c r="E641" s="0" t="n">
        <v>2.143280926710408e-05</v>
      </c>
      <c r="F641" s="0" t="n">
        <v>2.195263625188634e-05</v>
      </c>
      <c r="G641" s="0" t="n">
        <v>-5.198269847822588e-07</v>
      </c>
      <c r="H641" s="0" t="b">
        <v>1</v>
      </c>
    </row>
    <row r="642">
      <c r="A642" s="0" t="n">
        <v>112</v>
      </c>
      <c r="B642" s="0" t="n">
        <v>4</v>
      </c>
      <c r="C642" s="0" t="n">
        <v>5306250</v>
      </c>
      <c r="D642" s="0" t="n">
        <v>5792026601.982919</v>
      </c>
      <c r="E642" s="0" t="n">
        <v>7.178784822436566e-05</v>
      </c>
      <c r="F642" s="0" t="n">
        <v>2.195263625188634e-05</v>
      </c>
      <c r="G642" s="0" t="n">
        <v>4.983521197247932e-05</v>
      </c>
      <c r="H642" s="0" t="b">
        <v>0</v>
      </c>
    </row>
    <row r="643">
      <c r="A643" s="0" t="n">
        <v>112</v>
      </c>
      <c r="B643" s="0" t="n">
        <v>5</v>
      </c>
      <c r="C643" s="0" t="n">
        <v>4934375</v>
      </c>
      <c r="D643" s="0" t="n">
        <v>1662802168.644318</v>
      </c>
      <c r="E643" s="0" t="n">
        <v>4.095305739245767e-05</v>
      </c>
      <c r="F643" s="0" t="n">
        <v>2.195263625188634e-05</v>
      </c>
      <c r="G643" s="0" t="n">
        <v>1.900042114057133e-05</v>
      </c>
      <c r="H643" s="0" t="b">
        <v>0</v>
      </c>
    </row>
    <row r="644">
      <c r="A644" s="0" t="n">
        <v>112</v>
      </c>
      <c r="B644" s="0" t="n">
        <v>6</v>
      </c>
      <c r="C644" s="0" t="n">
        <v>4748437.5</v>
      </c>
      <c r="D644" s="0" t="n">
        <v>577708997.7304283</v>
      </c>
      <c r="E644" s="0" t="n">
        <v>2.998622048642786e-05</v>
      </c>
      <c r="F644" s="0" t="n">
        <v>2.195263625188634e-05</v>
      </c>
      <c r="G644" s="0" t="n">
        <v>8.033584234541522e-06</v>
      </c>
      <c r="H644" s="0" t="b">
        <v>0</v>
      </c>
    </row>
    <row r="645">
      <c r="A645" s="0" t="n">
        <v>112</v>
      </c>
      <c r="B645" s="0" t="n">
        <v>7</v>
      </c>
      <c r="C645" s="0" t="n">
        <v>4655468.75</v>
      </c>
      <c r="D645" s="0" t="n">
        <v>221110117.0487037</v>
      </c>
      <c r="E645" s="0" t="n">
        <v>2.543255123049792e-05</v>
      </c>
      <c r="F645" s="0" t="n">
        <v>2.195263625188634e-05</v>
      </c>
      <c r="G645" s="0" t="n">
        <v>3.479914978611583e-06</v>
      </c>
      <c r="H645" s="0" t="b">
        <v>0</v>
      </c>
    </row>
    <row r="646">
      <c r="A646" s="0" t="n">
        <v>112</v>
      </c>
      <c r="B646" s="0" t="n">
        <v>8</v>
      </c>
      <c r="C646" s="0" t="n">
        <v>4608984.375</v>
      </c>
      <c r="D646" s="0" t="n">
        <v>81037569.78617057</v>
      </c>
      <c r="E646" s="0" t="n">
        <v>2.336654024501843e-05</v>
      </c>
      <c r="F646" s="0" t="n">
        <v>2.195263625188634e-05</v>
      </c>
      <c r="G646" s="0" t="n">
        <v>1.413903993132089e-06</v>
      </c>
      <c r="H646" s="0" t="b">
        <v>0</v>
      </c>
    </row>
    <row r="647">
      <c r="A647" s="0" t="n">
        <v>112</v>
      </c>
      <c r="B647" s="0" t="n">
        <v>9</v>
      </c>
      <c r="C647" s="0" t="n">
        <v>4585742.1875</v>
      </c>
      <c r="D647" s="0" t="n">
        <v>22814891.84362634</v>
      </c>
      <c r="E647" s="0" t="n">
        <v>2.238355926834147e-05</v>
      </c>
      <c r="F647" s="0" t="n">
        <v>2.195263625188634e-05</v>
      </c>
      <c r="G647" s="0" t="n">
        <v>4.309230164551286e-07</v>
      </c>
      <c r="H647" s="0" t="b">
        <v>0</v>
      </c>
    </row>
    <row r="648">
      <c r="A648" s="0" t="n">
        <v>112</v>
      </c>
      <c r="B648" s="0" t="n">
        <v>10</v>
      </c>
      <c r="C648" s="0" t="n">
        <v>4574121.09375</v>
      </c>
      <c r="D648" s="0" t="n">
        <v>-2460510.628013324</v>
      </c>
      <c r="E648" s="0" t="n">
        <v>2.190417290606186e-05</v>
      </c>
      <c r="F648" s="0" t="n">
        <v>2.195263625188634e-05</v>
      </c>
      <c r="G648" s="0" t="n">
        <v>-4.846334582448065e-08</v>
      </c>
      <c r="H648" s="0" t="b">
        <v>1</v>
      </c>
    </row>
    <row r="649">
      <c r="A649" s="0" t="n">
        <v>112</v>
      </c>
      <c r="B649" s="0" t="n">
        <v>11</v>
      </c>
      <c r="C649" s="0" t="n">
        <v>4579931.640625</v>
      </c>
      <c r="D649" s="0" t="n">
        <v>9864177.056044701</v>
      </c>
      <c r="E649" s="0" t="n">
        <v>2.214285742375919e-05</v>
      </c>
      <c r="F649" s="0" t="n">
        <v>2.195263625188634e-05</v>
      </c>
      <c r="G649" s="0" t="n">
        <v>1.90221171872849e-07</v>
      </c>
      <c r="H649" s="0" t="b">
        <v>0</v>
      </c>
    </row>
    <row r="650">
      <c r="A650" s="0" t="n">
        <v>112</v>
      </c>
      <c r="B650" s="0" t="n">
        <v>12</v>
      </c>
      <c r="C650" s="0" t="n">
        <v>4577026.3671875</v>
      </c>
      <c r="D650" s="0" t="n">
        <v>3624058.355375063</v>
      </c>
      <c r="E650" s="0" t="n">
        <v>2.202326251150487e-05</v>
      </c>
      <c r="F650" s="0" t="n">
        <v>2.195263625188634e-05</v>
      </c>
      <c r="G650" s="0" t="n">
        <v>7.062625961852577e-08</v>
      </c>
      <c r="H650" s="0" t="b">
        <v>0</v>
      </c>
    </row>
    <row r="651">
      <c r="A651" s="0" t="n">
        <v>112</v>
      </c>
      <c r="B651" s="0" t="n">
        <v>13</v>
      </c>
      <c r="C651" s="0" t="n">
        <v>4578479.00390625</v>
      </c>
      <c r="D651" s="0" t="n">
        <v>6724582.497092022</v>
      </c>
      <c r="E651" s="0" t="n">
        <v>2.208299626421298e-05</v>
      </c>
      <c r="F651" s="0" t="n">
        <v>2.195263625188634e-05</v>
      </c>
      <c r="G651" s="0" t="n">
        <v>1.30360012326642e-07</v>
      </c>
      <c r="H651" s="0" t="b">
        <v>0</v>
      </c>
    </row>
    <row r="652">
      <c r="A652" s="0" t="n">
        <v>112</v>
      </c>
      <c r="B652" s="0" t="n">
        <v>14</v>
      </c>
      <c r="C652" s="0" t="n">
        <v>4577979.00390625</v>
      </c>
      <c r="D652" s="0" t="n">
        <v>5652989.955755465</v>
      </c>
      <c r="E652" s="0" t="n">
        <v>2.20624217384835e-05</v>
      </c>
      <c r="F652" s="0" t="n">
        <v>2.195263625188634e-05</v>
      </c>
      <c r="G652" s="0" t="n">
        <v>1.097854865971644e-07</v>
      </c>
      <c r="H652" s="0" t="b">
        <v>0</v>
      </c>
    </row>
    <row r="653">
      <c r="A653" s="0" t="n">
        <v>112</v>
      </c>
      <c r="B653" s="0" t="n">
        <v>15</v>
      </c>
      <c r="C653" s="0" t="n">
        <v>4577379.00390625</v>
      </c>
      <c r="D653" s="0" t="n">
        <v>4373156.180308446</v>
      </c>
      <c r="E653" s="0" t="n">
        <v>2.203775174348963e-05</v>
      </c>
      <c r="F653" s="0" t="n">
        <v>2.195263625188634e-05</v>
      </c>
      <c r="G653" s="0" t="n">
        <v>8.511549160329394e-08</v>
      </c>
      <c r="H653" s="0" t="b">
        <v>0</v>
      </c>
    </row>
    <row r="654">
      <c r="A654" s="0" t="n">
        <v>112</v>
      </c>
      <c r="B654" s="0" t="n">
        <v>16</v>
      </c>
      <c r="C654" s="0" t="n">
        <v>4577679.00390625</v>
      </c>
      <c r="D654" s="0" t="n">
        <v>5012312.538098163</v>
      </c>
      <c r="E654" s="0" t="n">
        <v>2.205008539575317e-05</v>
      </c>
      <c r="F654" s="0" t="n">
        <v>2.195263625188634e-05</v>
      </c>
      <c r="G654" s="0" t="n">
        <v>9.744914386682576e-08</v>
      </c>
      <c r="H654" s="0" t="b">
        <v>0</v>
      </c>
    </row>
    <row r="655">
      <c r="A655" s="0" t="n">
        <v>112</v>
      </c>
      <c r="B655" s="0" t="n">
        <v>17</v>
      </c>
      <c r="C655" s="0" t="n">
        <v>4577529.00390625</v>
      </c>
      <c r="D655" s="0" t="n">
        <v>4692492.260323036</v>
      </c>
      <c r="E655" s="0" t="n">
        <v>2.204391723027779e-05</v>
      </c>
      <c r="F655" s="0" t="n">
        <v>2.195263625188634e-05</v>
      </c>
      <c r="G655" s="0" t="n">
        <v>9.12809783914458e-08</v>
      </c>
      <c r="H655" s="0" t="b">
        <v>0</v>
      </c>
    </row>
    <row r="656">
      <c r="A656" s="0" t="n">
        <v>112</v>
      </c>
      <c r="B656" s="0" t="n">
        <v>18</v>
      </c>
      <c r="C656" s="0" t="n">
        <v>4577349.00390625</v>
      </c>
      <c r="D656" s="0" t="n">
        <v>4309407.90168839</v>
      </c>
      <c r="E656" s="0" t="n">
        <v>2.203652014360915e-05</v>
      </c>
      <c r="F656" s="0" t="n">
        <v>2.195263625188634e-05</v>
      </c>
      <c r="G656" s="0" t="n">
        <v>8.388389172280653e-08</v>
      </c>
      <c r="H656" s="0" t="b">
        <v>0</v>
      </c>
    </row>
    <row r="657">
      <c r="A657" s="0" t="n">
        <v>112</v>
      </c>
      <c r="B657" s="0" t="n">
        <v>19</v>
      </c>
      <c r="C657" s="0" t="n">
        <v>4577439.00390625</v>
      </c>
      <c r="D657" s="0" t="n">
        <v>4500840.84465177</v>
      </c>
      <c r="E657" s="0" t="n">
        <v>2.204021777727724e-05</v>
      </c>
      <c r="F657" s="0" t="n">
        <v>2.195263625188634e-05</v>
      </c>
      <c r="G657" s="0" t="n">
        <v>8.758152539090191e-08</v>
      </c>
      <c r="H657" s="0" t="b">
        <v>0</v>
      </c>
    </row>
    <row r="658">
      <c r="A658" s="0" t="n">
        <v>112</v>
      </c>
      <c r="B658" s="0" t="n">
        <v>20</v>
      </c>
      <c r="C658" s="0" t="n">
        <v>4577547.00390625</v>
      </c>
      <c r="D658" s="0" t="n">
        <v>4730909.764118912</v>
      </c>
      <c r="E658" s="0" t="n">
        <v>2.204465851594457e-05</v>
      </c>
      <c r="F658" s="0" t="n">
        <v>2.195263625188634e-05</v>
      </c>
      <c r="G658" s="0" t="n">
        <v>9.202226405823056e-08</v>
      </c>
      <c r="H658" s="0" t="b">
        <v>0</v>
      </c>
    </row>
    <row r="659">
      <c r="A659" s="0" t="n">
        <v>112</v>
      </c>
      <c r="B659" s="0" t="n">
        <v>21</v>
      </c>
      <c r="C659" s="0" t="n">
        <v>4577493.00390625</v>
      </c>
      <c r="D659" s="0" t="n">
        <v>4615883.042841873</v>
      </c>
      <c r="E659" s="0" t="n">
        <v>2.204243872811317e-05</v>
      </c>
      <c r="F659" s="0" t="n">
        <v>2.195263625188634e-05</v>
      </c>
      <c r="G659" s="0" t="n">
        <v>8.980247622683167e-08</v>
      </c>
      <c r="H659" s="0" t="b">
        <v>0</v>
      </c>
    </row>
    <row r="660">
      <c r="A660" s="0" t="n">
        <v>113</v>
      </c>
      <c r="B660" s="0" t="n">
        <v>1</v>
      </c>
      <c r="C660" s="0" t="n">
        <v>6050000</v>
      </c>
      <c r="D660" s="0" t="n">
        <v>79537771772.73006</v>
      </c>
      <c r="E660" s="0" t="n">
        <v>0.0003854716878665787</v>
      </c>
      <c r="F660" s="0" t="n">
        <v>2.195263625188635e-05</v>
      </c>
      <c r="G660" s="0" t="n">
        <v>0.0003635190516146923</v>
      </c>
      <c r="H660" s="0" t="b">
        <v>0</v>
      </c>
    </row>
    <row r="661">
      <c r="A661" s="0" t="n">
        <v>113</v>
      </c>
      <c r="B661" s="0" t="n">
        <v>2</v>
      </c>
      <c r="C661" s="0" t="n">
        <v>3075000</v>
      </c>
      <c r="D661" s="0" t="n">
        <v>-251335.8161138188</v>
      </c>
      <c r="E661" s="0" t="n">
        <v>4.144500069914608e-06</v>
      </c>
      <c r="F661" s="0" t="n">
        <v>2.195263625188634e-05</v>
      </c>
      <c r="G661" s="0" t="n">
        <v>-1.780813618197173e-05</v>
      </c>
      <c r="H661" s="0" t="b">
        <v>1</v>
      </c>
    </row>
    <row r="662">
      <c r="A662" s="0" t="n">
        <v>113</v>
      </c>
      <c r="B662" s="0" t="n">
        <v>3</v>
      </c>
      <c r="C662" s="0" t="n">
        <v>4562500</v>
      </c>
      <c r="D662" s="0" t="n">
        <v>3222254661.75244</v>
      </c>
      <c r="E662" s="0" t="n">
        <v>5.377508719593029e-05</v>
      </c>
      <c r="F662" s="0" t="n">
        <v>2.195263625188634e-05</v>
      </c>
      <c r="G662" s="0" t="n">
        <v>3.182245094404395e-05</v>
      </c>
      <c r="H662" s="0" t="b">
        <v>0</v>
      </c>
    </row>
    <row r="663">
      <c r="A663" s="0" t="n">
        <v>113</v>
      </c>
      <c r="B663" s="0" t="n">
        <v>4</v>
      </c>
      <c r="C663" s="0" t="n">
        <v>3818750</v>
      </c>
      <c r="D663" s="0" t="n">
        <v>-35432364.68561258</v>
      </c>
      <c r="E663" s="0" t="n">
        <v>1.241693066212708e-05</v>
      </c>
      <c r="F663" s="0" t="n">
        <v>2.195263625188634e-05</v>
      </c>
      <c r="G663" s="0" t="n">
        <v>-9.535705589759262e-06</v>
      </c>
      <c r="H663" s="0" t="b">
        <v>1</v>
      </c>
    </row>
    <row r="664">
      <c r="A664" s="0" t="n">
        <v>113</v>
      </c>
      <c r="B664" s="0" t="n">
        <v>5</v>
      </c>
      <c r="C664" s="0" t="n">
        <v>4190625</v>
      </c>
      <c r="D664" s="0" t="n">
        <v>330167462.9029939</v>
      </c>
      <c r="E664" s="0" t="n">
        <v>2.692116323217794e-05</v>
      </c>
      <c r="F664" s="0" t="n">
        <v>2.195263625188634e-05</v>
      </c>
      <c r="G664" s="0" t="n">
        <v>4.968526980291595e-06</v>
      </c>
      <c r="H664" s="0" t="b">
        <v>0</v>
      </c>
    </row>
    <row r="665">
      <c r="A665" s="0" t="n">
        <v>113</v>
      </c>
      <c r="B665" s="0" t="n">
        <v>6</v>
      </c>
      <c r="C665" s="0" t="n">
        <v>4004687.5</v>
      </c>
      <c r="D665" s="0" t="n">
        <v>-123734499.1841116</v>
      </c>
      <c r="E665" s="0" t="n">
        <v>1.819820594253731e-05</v>
      </c>
      <c r="F665" s="0" t="n">
        <v>2.195263625188634e-05</v>
      </c>
      <c r="G665" s="0" t="n">
        <v>-3.754430309349031e-06</v>
      </c>
      <c r="H665" s="0" t="b">
        <v>1</v>
      </c>
    </row>
    <row r="666">
      <c r="A666" s="0" t="n">
        <v>113</v>
      </c>
      <c r="B666" s="0" t="n">
        <v>7</v>
      </c>
      <c r="C666" s="0" t="n">
        <v>4097656.25</v>
      </c>
      <c r="D666" s="0" t="n">
        <v>14393838.85070193</v>
      </c>
      <c r="E666" s="0" t="n">
        <v>2.222815500809136e-05</v>
      </c>
      <c r="F666" s="0" t="n">
        <v>2.195263625188634e-05</v>
      </c>
      <c r="G666" s="0" t="n">
        <v>2.75518756205015e-07</v>
      </c>
      <c r="H666" s="0" t="b">
        <v>0</v>
      </c>
    </row>
    <row r="667">
      <c r="A667" s="0" t="n">
        <v>113</v>
      </c>
      <c r="B667" s="0" t="n">
        <v>8</v>
      </c>
      <c r="C667" s="0" t="n">
        <v>4051171.875</v>
      </c>
      <c r="D667" s="0" t="n">
        <v>-77261011.17962706</v>
      </c>
      <c r="E667" s="0" t="n">
        <v>2.01344274365276e-05</v>
      </c>
      <c r="F667" s="0" t="n">
        <v>2.195263625188634e-05</v>
      </c>
      <c r="G667" s="0" t="n">
        <v>-1.818208815358737e-06</v>
      </c>
      <c r="H667" s="0" t="b">
        <v>1</v>
      </c>
    </row>
    <row r="668">
      <c r="A668" s="0" t="n">
        <v>113</v>
      </c>
      <c r="B668" s="0" t="n">
        <v>9</v>
      </c>
      <c r="C668" s="0" t="n">
        <v>4074414.0625</v>
      </c>
      <c r="D668" s="0" t="n">
        <v>-37476099.26990283</v>
      </c>
      <c r="E668" s="0" t="n">
        <v>2.116107007908059e-05</v>
      </c>
      <c r="F668" s="0" t="n">
        <v>2.195263625188634e-05</v>
      </c>
      <c r="G668" s="0" t="n">
        <v>-7.915661728057476e-07</v>
      </c>
      <c r="H668" s="0" t="b">
        <v>1</v>
      </c>
    </row>
    <row r="669">
      <c r="A669" s="0" t="n">
        <v>113</v>
      </c>
      <c r="B669" s="0" t="n">
        <v>10</v>
      </c>
      <c r="C669" s="0" t="n">
        <v>4086035.15625</v>
      </c>
      <c r="D669" s="0" t="n">
        <v>-13101483.81664166</v>
      </c>
      <c r="E669" s="0" t="n">
        <v>2.168949012233243e-05</v>
      </c>
      <c r="F669" s="0" t="n">
        <v>2.195263625188634e-05</v>
      </c>
      <c r="G669" s="0" t="n">
        <v>-2.631461295539062e-07</v>
      </c>
      <c r="H669" s="0" t="b">
        <v>1</v>
      </c>
    </row>
    <row r="670">
      <c r="A670" s="0" t="n">
        <v>113</v>
      </c>
      <c r="B670" s="0" t="n">
        <v>11</v>
      </c>
      <c r="C670" s="0" t="n">
        <v>4091845.703125</v>
      </c>
      <c r="D670" s="0" t="n">
        <v>249830.0343419598</v>
      </c>
      <c r="E670" s="0" t="n">
        <v>2.195753354466279e-05</v>
      </c>
      <c r="F670" s="0" t="n">
        <v>2.195263625188634e-05</v>
      </c>
      <c r="G670" s="0" t="n">
        <v>4.897292776445954e-09</v>
      </c>
      <c r="H670" s="0" t="b">
        <v>0</v>
      </c>
    </row>
    <row r="671">
      <c r="A671" s="0" t="n">
        <v>113</v>
      </c>
      <c r="B671" s="0" t="n">
        <v>12</v>
      </c>
      <c r="C671" s="0" t="n">
        <v>4094750.9765625</v>
      </c>
      <c r="D671" s="0" t="n">
        <v>7222027.53467651</v>
      </c>
      <c r="E671" s="0" t="n">
        <v>2.209252222192483e-05</v>
      </c>
      <c r="F671" s="0" t="n">
        <v>2.195263625188634e-05</v>
      </c>
      <c r="G671" s="0" t="n">
        <v>1.398859700384899e-07</v>
      </c>
      <c r="H671" s="0" t="b">
        <v>0</v>
      </c>
    </row>
    <row r="672">
      <c r="A672" s="0" t="n">
        <v>113</v>
      </c>
      <c r="B672" s="0" t="n">
        <v>13</v>
      </c>
      <c r="C672" s="0" t="n">
        <v>4093298.33984375</v>
      </c>
      <c r="D672" s="0" t="n">
        <v>3711029.206797456</v>
      </c>
      <c r="E672" s="0" t="n">
        <v>2.202494661812553e-05</v>
      </c>
      <c r="F672" s="0" t="n">
        <v>2.195263625188634e-05</v>
      </c>
      <c r="G672" s="0" t="n">
        <v>7.231036623919093e-08</v>
      </c>
      <c r="H672" s="0" t="b">
        <v>0</v>
      </c>
    </row>
    <row r="673">
      <c r="A673" s="0" t="n">
        <v>113</v>
      </c>
      <c r="B673" s="0" t="n">
        <v>14</v>
      </c>
      <c r="C673" s="0" t="n">
        <v>4093798.33984375</v>
      </c>
      <c r="D673" s="0" t="n">
        <v>4913945.793492312</v>
      </c>
      <c r="E673" s="0" t="n">
        <v>2.204818896976756e-05</v>
      </c>
      <c r="F673" s="0" t="n">
        <v>2.195263625188634e-05</v>
      </c>
      <c r="G673" s="0" t="n">
        <v>9.555271788122077e-08</v>
      </c>
      <c r="H673" s="0" t="b">
        <v>0</v>
      </c>
    </row>
    <row r="674">
      <c r="A674" s="0" t="n">
        <v>113</v>
      </c>
      <c r="B674" s="0" t="n">
        <v>15</v>
      </c>
      <c r="C674" s="0" t="n">
        <v>4093548.33984375</v>
      </c>
      <c r="D674" s="0" t="n">
        <v>4311715.804543568</v>
      </c>
      <c r="E674" s="0" t="n">
        <v>2.203656473632687e-05</v>
      </c>
      <c r="F674" s="0" t="n">
        <v>2.195263625188634e-05</v>
      </c>
      <c r="G674" s="0" t="n">
        <v>8.392848444052547e-08</v>
      </c>
      <c r="H674" s="0" t="b">
        <v>0</v>
      </c>
    </row>
    <row r="675">
      <c r="A675" s="0" t="n">
        <v>113</v>
      </c>
      <c r="B675" s="0" t="n">
        <v>16</v>
      </c>
      <c r="C675" s="0" t="n">
        <v>4093248.33984375</v>
      </c>
      <c r="D675" s="0" t="n">
        <v>3591137.45483446</v>
      </c>
      <c r="E675" s="0" t="n">
        <v>2.202262489975363e-05</v>
      </c>
      <c r="F675" s="0" t="n">
        <v>2.195263625188634e-05</v>
      </c>
      <c r="G675" s="0" t="n">
        <v>6.998864786728653e-08</v>
      </c>
      <c r="H675" s="0" t="b">
        <v>0</v>
      </c>
    </row>
    <row r="676">
      <c r="A676" s="0" t="n">
        <v>113</v>
      </c>
      <c r="B676" s="0" t="n">
        <v>17</v>
      </c>
      <c r="C676" s="0" t="n">
        <v>4093398.33984375</v>
      </c>
      <c r="D676" s="0" t="n">
        <v>3951195.85765999</v>
      </c>
      <c r="E676" s="0" t="n">
        <v>2.202959462372256e-05</v>
      </c>
      <c r="F676" s="0" t="n">
        <v>2.195263625188634e-05</v>
      </c>
      <c r="G676" s="0" t="n">
        <v>7.695837183621987e-08</v>
      </c>
      <c r="H676" s="0" t="b">
        <v>0</v>
      </c>
    </row>
    <row r="677">
      <c r="A677" s="0" t="n">
        <v>113</v>
      </c>
      <c r="B677" s="0" t="n">
        <v>18</v>
      </c>
      <c r="C677" s="0" t="n">
        <v>4093578.33984375</v>
      </c>
      <c r="D677" s="0" t="n">
        <v>4383966.233991032</v>
      </c>
      <c r="E677" s="0" t="n">
        <v>2.203796056447203e-05</v>
      </c>
      <c r="F677" s="0" t="n">
        <v>2.195263625188634e-05</v>
      </c>
      <c r="G677" s="0" t="n">
        <v>8.532431258568765e-08</v>
      </c>
      <c r="H677" s="0" t="b">
        <v>0</v>
      </c>
    </row>
    <row r="678">
      <c r="A678" s="0" t="n">
        <v>113</v>
      </c>
      <c r="B678" s="0" t="n">
        <v>19</v>
      </c>
      <c r="C678" s="0" t="n">
        <v>4093488.33984375</v>
      </c>
      <c r="D678" s="0" t="n">
        <v>4167485.530569166</v>
      </c>
      <c r="E678" s="0" t="n">
        <v>2.20337772842533e-05</v>
      </c>
      <c r="F678" s="0" t="n">
        <v>2.195263625188634e-05</v>
      </c>
      <c r="G678" s="0" t="n">
        <v>8.114103236695557e-08</v>
      </c>
      <c r="H678" s="0" t="b">
        <v>0</v>
      </c>
    </row>
    <row r="679">
      <c r="A679" s="0" t="n">
        <v>113</v>
      </c>
      <c r="B679" s="0" t="n">
        <v>20</v>
      </c>
      <c r="C679" s="0" t="n">
        <v>4093380.33984375</v>
      </c>
      <c r="D679" s="0" t="n">
        <v>3907960.842639512</v>
      </c>
      <c r="E679" s="0" t="n">
        <v>2.202875816597372e-05</v>
      </c>
      <c r="F679" s="0" t="n">
        <v>2.195263625188634e-05</v>
      </c>
      <c r="G679" s="0" t="n">
        <v>7.612191408738381e-08</v>
      </c>
      <c r="H679" s="0" t="b">
        <v>0</v>
      </c>
    </row>
    <row r="680">
      <c r="A680" s="0" t="n">
        <v>113</v>
      </c>
      <c r="B680" s="0" t="n">
        <v>21</v>
      </c>
      <c r="C680" s="0" t="n">
        <v>4093434.33984375</v>
      </c>
      <c r="D680" s="0" t="n">
        <v>4037619.923194129</v>
      </c>
      <c r="E680" s="0" t="n">
        <v>2.203126628140336e-05</v>
      </c>
      <c r="F680" s="0" t="n">
        <v>2.195263625188634e-05</v>
      </c>
      <c r="G680" s="0" t="n">
        <v>7.863002951701955e-08</v>
      </c>
      <c r="H680" s="0" t="b">
        <v>0</v>
      </c>
    </row>
    <row r="681">
      <c r="A681" s="0" t="n">
        <v>113</v>
      </c>
      <c r="B681" s="0" t="n">
        <v>22</v>
      </c>
      <c r="C681" s="0" t="n">
        <v>4093499.13984375</v>
      </c>
      <c r="D681" s="0" t="n">
        <v>4193453.127663119</v>
      </c>
      <c r="E681" s="0" t="n">
        <v>2.203427924515909e-05</v>
      </c>
      <c r="F681" s="0" t="n">
        <v>2.195263625188634e-05</v>
      </c>
      <c r="G681" s="0" t="n">
        <v>8.164299327274947e-08</v>
      </c>
      <c r="H681" s="0" t="b">
        <v>0</v>
      </c>
    </row>
    <row r="682">
      <c r="A682" s="0" t="n">
        <v>113</v>
      </c>
      <c r="B682" s="0" t="n">
        <v>23</v>
      </c>
      <c r="C682" s="0" t="n">
        <v>4093466.73984375</v>
      </c>
      <c r="D682" s="0" t="n">
        <v>4115489.682127638</v>
      </c>
      <c r="E682" s="0" t="n">
        <v>2.203277205693275e-05</v>
      </c>
      <c r="F682" s="0" t="n">
        <v>2.195263625188634e-05</v>
      </c>
      <c r="G682" s="0" t="n">
        <v>8.013580504641026e-08</v>
      </c>
      <c r="H682" s="0" t="b">
        <v>0</v>
      </c>
    </row>
    <row r="683">
      <c r="A683" s="0" t="n">
        <v>114</v>
      </c>
      <c r="B683" s="0" t="n">
        <v>1</v>
      </c>
      <c r="C683" s="0" t="n">
        <v>6050000</v>
      </c>
      <c r="D683" s="0" t="n">
        <v>-95030671.31813455</v>
      </c>
      <c r="E683" s="0" t="n">
        <v>1.074812746286178e-05</v>
      </c>
      <c r="F683" s="0" t="n">
        <v>1.590128246209924e-05</v>
      </c>
      <c r="G683" s="0" t="n">
        <v>-5.153154999237454e-06</v>
      </c>
      <c r="H683" s="0" t="b">
        <v>1</v>
      </c>
    </row>
    <row r="684">
      <c r="A684" s="0" t="n">
        <v>114</v>
      </c>
      <c r="B684" s="0" t="n">
        <v>2</v>
      </c>
      <c r="C684" s="0" t="n">
        <v>9025000</v>
      </c>
      <c r="D684" s="0" t="n">
        <v>54629752187.79697</v>
      </c>
      <c r="E684" s="0" t="n">
        <v>0.000199895248672719</v>
      </c>
      <c r="F684" s="0" t="n">
        <v>1.590128246209922e-05</v>
      </c>
      <c r="G684" s="0" t="n">
        <v>0.0001839939662106198</v>
      </c>
      <c r="H684" s="0" t="b">
        <v>0</v>
      </c>
    </row>
    <row r="685">
      <c r="A685" s="0" t="n">
        <v>114</v>
      </c>
      <c r="B685" s="0" t="n">
        <v>3</v>
      </c>
      <c r="C685" s="0" t="n">
        <v>7537500</v>
      </c>
      <c r="D685" s="0" t="n">
        <v>8213423550.969508</v>
      </c>
      <c r="E685" s="0" t="n">
        <v>6.015796176364678e-05</v>
      </c>
      <c r="F685" s="0" t="n">
        <v>1.590128246209924e-05</v>
      </c>
      <c r="G685" s="0" t="n">
        <v>4.425667930154754e-05</v>
      </c>
      <c r="H685" s="0" t="b">
        <v>0</v>
      </c>
    </row>
    <row r="686">
      <c r="A686" s="0" t="n">
        <v>114</v>
      </c>
      <c r="B686" s="0" t="n">
        <v>4</v>
      </c>
      <c r="C686" s="0" t="n">
        <v>6793750</v>
      </c>
      <c r="D686" s="0" t="n">
        <v>1430678620.469247</v>
      </c>
      <c r="E686" s="0" t="n">
        <v>2.74771056488047e-05</v>
      </c>
      <c r="F686" s="0" t="n">
        <v>1.590128246209924e-05</v>
      </c>
      <c r="G686" s="0" t="n">
        <v>1.157582318670546e-05</v>
      </c>
      <c r="H686" s="0" t="b">
        <v>0</v>
      </c>
    </row>
    <row r="687">
      <c r="A687" s="0" t="n">
        <v>114</v>
      </c>
      <c r="B687" s="0" t="n">
        <v>5</v>
      </c>
      <c r="C687" s="0" t="n">
        <v>6421875</v>
      </c>
      <c r="D687" s="0" t="n">
        <v>121753086.4818144</v>
      </c>
      <c r="E687" s="0" t="n">
        <v>1.740368051820911e-05</v>
      </c>
      <c r="F687" s="0" t="n">
        <v>1.590128246209924e-05</v>
      </c>
      <c r="G687" s="0" t="n">
        <v>1.502398056109867e-06</v>
      </c>
      <c r="H687" s="0" t="b">
        <v>0</v>
      </c>
    </row>
    <row r="688">
      <c r="A688" s="0" t="n">
        <v>114</v>
      </c>
      <c r="B688" s="0" t="n">
        <v>6</v>
      </c>
      <c r="C688" s="0" t="n">
        <v>6235937.5</v>
      </c>
      <c r="D688" s="0" t="n">
        <v>-107452781.4457627</v>
      </c>
      <c r="E688" s="0" t="n">
        <v>1.358132899320613e-05</v>
      </c>
      <c r="F688" s="0" t="n">
        <v>1.590128246209924e-05</v>
      </c>
      <c r="G688" s="0" t="n">
        <v>-2.319953468893109e-06</v>
      </c>
      <c r="H688" s="0" t="b">
        <v>1</v>
      </c>
    </row>
    <row r="689">
      <c r="A689" s="0" t="n">
        <v>114</v>
      </c>
      <c r="B689" s="0" t="n">
        <v>7</v>
      </c>
      <c r="C689" s="0" t="n">
        <v>6328906.25</v>
      </c>
      <c r="D689" s="0" t="n">
        <v>-31682607.24457217</v>
      </c>
      <c r="E689" s="0" t="n">
        <v>1.54012772620687e-05</v>
      </c>
      <c r="F689" s="0" t="n">
        <v>1.590128246209924e-05</v>
      </c>
      <c r="G689" s="0" t="n">
        <v>-5.000052000305361e-07</v>
      </c>
      <c r="H689" s="0" t="b">
        <v>1</v>
      </c>
    </row>
    <row r="690">
      <c r="A690" s="0" t="n">
        <v>114</v>
      </c>
      <c r="B690" s="0" t="n">
        <v>8</v>
      </c>
      <c r="C690" s="0" t="n">
        <v>6375390.625</v>
      </c>
      <c r="D690" s="0" t="n">
        <v>34456308.70354988</v>
      </c>
      <c r="E690" s="0" t="n">
        <v>1.637895557637723e-05</v>
      </c>
      <c r="F690" s="0" t="n">
        <v>1.590128246209924e-05</v>
      </c>
      <c r="G690" s="0" t="n">
        <v>4.776731142779922e-07</v>
      </c>
      <c r="H690" s="0" t="b">
        <v>0</v>
      </c>
    </row>
    <row r="691">
      <c r="A691" s="0" t="n">
        <v>114</v>
      </c>
      <c r="B691" s="0" t="n">
        <v>9</v>
      </c>
      <c r="C691" s="0" t="n">
        <v>6352148.4375</v>
      </c>
      <c r="D691" s="0" t="n">
        <v>-1144713.553688824</v>
      </c>
      <c r="E691" s="0" t="n">
        <v>1.588438171619028e-05</v>
      </c>
      <c r="F691" s="0" t="n">
        <v>1.590128246209924e-05</v>
      </c>
      <c r="G691" s="0" t="n">
        <v>-1.690074590896318e-08</v>
      </c>
      <c r="H691" s="0" t="b">
        <v>1</v>
      </c>
    </row>
    <row r="692">
      <c r="A692" s="0" t="n">
        <v>114</v>
      </c>
      <c r="B692" s="0" t="n">
        <v>10</v>
      </c>
      <c r="C692" s="0" t="n">
        <v>6363769.53125</v>
      </c>
      <c r="D692" s="0" t="n">
        <v>16008216.05324442</v>
      </c>
      <c r="E692" s="0" t="n">
        <v>1.613020611647731e-05</v>
      </c>
      <c r="F692" s="0" t="n">
        <v>1.590128246209924e-05</v>
      </c>
      <c r="G692" s="0" t="n">
        <v>2.289236543780715e-07</v>
      </c>
      <c r="H692" s="0" t="b">
        <v>0</v>
      </c>
    </row>
    <row r="693">
      <c r="A693" s="0" t="n">
        <v>114</v>
      </c>
      <c r="B693" s="0" t="n">
        <v>11</v>
      </c>
      <c r="C693" s="0" t="n">
        <v>6357958.984375</v>
      </c>
      <c r="D693" s="0" t="n">
        <v>7271559.400213459</v>
      </c>
      <c r="E693" s="0" t="n">
        <v>1.600692959575363e-05</v>
      </c>
      <c r="F693" s="0" t="n">
        <v>1.590128246209924e-05</v>
      </c>
      <c r="G693" s="0" t="n">
        <v>1.056471336543957e-07</v>
      </c>
      <c r="H693" s="0" t="b">
        <v>0</v>
      </c>
    </row>
    <row r="694">
      <c r="A694" s="0" t="n">
        <v>114</v>
      </c>
      <c r="B694" s="0" t="n">
        <v>12</v>
      </c>
      <c r="C694" s="0" t="n">
        <v>6355053.7109375</v>
      </c>
      <c r="D694" s="0" t="n">
        <v>3023588.452382071</v>
      </c>
      <c r="E694" s="0" t="n">
        <v>1.594556474986661e-05</v>
      </c>
      <c r="F694" s="0" t="n">
        <v>1.590128246209924e-05</v>
      </c>
      <c r="G694" s="0" t="n">
        <v>4.428228776737157e-08</v>
      </c>
      <c r="H694" s="0" t="b">
        <v>0</v>
      </c>
    </row>
    <row r="695">
      <c r="A695" s="0" t="n">
        <v>114</v>
      </c>
      <c r="B695" s="0" t="n">
        <v>13</v>
      </c>
      <c r="C695" s="0" t="n">
        <v>6356506.34765625</v>
      </c>
      <c r="D695" s="0" t="n">
        <v>5137522.162991337</v>
      </c>
      <c r="E695" s="0" t="n">
        <v>1.597622346502395e-05</v>
      </c>
      <c r="F695" s="0" t="n">
        <v>1.590128246209924e-05</v>
      </c>
      <c r="G695" s="0" t="n">
        <v>7.494100292470692e-08</v>
      </c>
      <c r="H695" s="0" t="b">
        <v>0</v>
      </c>
    </row>
    <row r="696">
      <c r="A696" s="0" t="n">
        <v>114</v>
      </c>
      <c r="B696" s="0" t="n">
        <v>14</v>
      </c>
      <c r="C696" s="0" t="n">
        <v>6357706.34765625</v>
      </c>
      <c r="D696" s="0" t="n">
        <v>6898926.966341483</v>
      </c>
      <c r="E696" s="0" t="n">
        <v>1.600158528866668e-05</v>
      </c>
      <c r="F696" s="0" t="n">
        <v>1.590128246209924e-05</v>
      </c>
      <c r="G696" s="0" t="n">
        <v>1.003028265674371e-07</v>
      </c>
      <c r="H696" s="0" t="b">
        <v>0</v>
      </c>
    </row>
    <row r="697">
      <c r="A697" s="0" t="n">
        <v>114</v>
      </c>
      <c r="B697" s="0" t="n">
        <v>15</v>
      </c>
      <c r="C697" s="0" t="n">
        <v>6357106.34765625</v>
      </c>
      <c r="D697" s="0" t="n">
        <v>6016582.972388463</v>
      </c>
      <c r="E697" s="0" t="n">
        <v>1.598890141331401e-05</v>
      </c>
      <c r="F697" s="0" t="n">
        <v>1.590128246209924e-05</v>
      </c>
      <c r="G697" s="0" t="n">
        <v>8.761895121477245e-08</v>
      </c>
      <c r="H697" s="0" t="b">
        <v>0</v>
      </c>
    </row>
    <row r="698">
      <c r="A698" s="0" t="n">
        <v>114</v>
      </c>
      <c r="B698" s="0" t="n">
        <v>16</v>
      </c>
      <c r="C698" s="0" t="n">
        <v>6357406.34765625</v>
      </c>
      <c r="D698" s="0" t="n">
        <v>6457293.406575222</v>
      </c>
      <c r="E698" s="0" t="n">
        <v>1.599524187666839e-05</v>
      </c>
      <c r="F698" s="0" t="n">
        <v>1.590128246209924e-05</v>
      </c>
      <c r="G698" s="0" t="n">
        <v>9.395941456915005e-08</v>
      </c>
      <c r="H698" s="0" t="b">
        <v>0</v>
      </c>
    </row>
    <row r="699">
      <c r="A699" s="0" t="n">
        <v>114</v>
      </c>
      <c r="B699" s="0" t="n">
        <v>17</v>
      </c>
      <c r="C699" s="0" t="n">
        <v>6357256.34765625</v>
      </c>
      <c r="D699" s="0" t="n">
        <v>6236864.564146467</v>
      </c>
      <c r="E699" s="0" t="n">
        <v>1.599207187657924e-05</v>
      </c>
      <c r="F699" s="0" t="n">
        <v>1.590128246209924e-05</v>
      </c>
      <c r="G699" s="0" t="n">
        <v>9.078941447999999e-08</v>
      </c>
      <c r="H699" s="0" t="b">
        <v>0</v>
      </c>
    </row>
    <row r="700">
      <c r="A700" s="0" t="n">
        <v>114</v>
      </c>
      <c r="B700" s="0" t="n">
        <v>18</v>
      </c>
      <c r="C700" s="0" t="n">
        <v>6357331.34765625</v>
      </c>
      <c r="D700" s="0" t="n">
        <v>6347085.317598</v>
      </c>
      <c r="E700" s="0" t="n">
        <v>1.599365729019268e-05</v>
      </c>
      <c r="F700" s="0" t="n">
        <v>1.590128246209924e-05</v>
      </c>
      <c r="G700" s="0" t="n">
        <v>9.237482809343781e-08</v>
      </c>
      <c r="H700" s="0" t="b">
        <v>0</v>
      </c>
    </row>
    <row r="701">
      <c r="A701" s="0" t="n">
        <v>115</v>
      </c>
      <c r="B701" s="0" t="n">
        <v>1</v>
      </c>
      <c r="C701" s="0" t="n">
        <v>6050000</v>
      </c>
      <c r="D701" s="0" t="n">
        <v>14997767523.07717</v>
      </c>
      <c r="E701" s="0" t="n">
        <v>8.545600841993535e-05</v>
      </c>
      <c r="F701" s="0" t="n">
        <v>1.590128246209924e-05</v>
      </c>
      <c r="G701" s="0" t="n">
        <v>6.955472595783611e-05</v>
      </c>
      <c r="H701" s="0" t="b">
        <v>0</v>
      </c>
    </row>
    <row r="702">
      <c r="A702" s="0" t="n">
        <v>115</v>
      </c>
      <c r="B702" s="0" t="n">
        <v>2</v>
      </c>
      <c r="C702" s="0" t="n">
        <v>3075000</v>
      </c>
      <c r="D702" s="0" t="n">
        <v>-128544.4386198495</v>
      </c>
      <c r="E702" s="0" t="n">
        <v>9.323483195157823e-07</v>
      </c>
      <c r="F702" s="0" t="n">
        <v>1.590128246209924e-05</v>
      </c>
      <c r="G702" s="0" t="n">
        <v>-1.496893414258346e-05</v>
      </c>
      <c r="H702" s="0" t="b">
        <v>1</v>
      </c>
    </row>
    <row r="703">
      <c r="A703" s="0" t="n">
        <v>115</v>
      </c>
      <c r="B703" s="0" t="n">
        <v>3</v>
      </c>
      <c r="C703" s="0" t="n">
        <v>4562500</v>
      </c>
      <c r="D703" s="0" t="n">
        <v>-59521030.41562172</v>
      </c>
      <c r="E703" s="0" t="n">
        <v>9.827994481321166e-06</v>
      </c>
      <c r="F703" s="0" t="n">
        <v>1.590128246209924e-05</v>
      </c>
      <c r="G703" s="0" t="n">
        <v>-6.073287980778072e-06</v>
      </c>
      <c r="H703" s="0" t="b">
        <v>1</v>
      </c>
    </row>
    <row r="704">
      <c r="A704" s="0" t="n">
        <v>115</v>
      </c>
      <c r="B704" s="0" t="n">
        <v>4</v>
      </c>
      <c r="C704" s="0" t="n">
        <v>5306250</v>
      </c>
      <c r="D704" s="0" t="n">
        <v>2143094299.04329</v>
      </c>
      <c r="E704" s="0" t="n">
        <v>3.179916942884714e-05</v>
      </c>
      <c r="F704" s="0" t="n">
        <v>1.590128246209924e-05</v>
      </c>
      <c r="G704" s="0" t="n">
        <v>1.58978869667479e-05</v>
      </c>
      <c r="H704" s="0" t="b">
        <v>0</v>
      </c>
    </row>
    <row r="705">
      <c r="A705" s="0" t="n">
        <v>115</v>
      </c>
      <c r="B705" s="0" t="n">
        <v>5</v>
      </c>
      <c r="C705" s="0" t="n">
        <v>4934375</v>
      </c>
      <c r="D705" s="0" t="n">
        <v>126649120.5213328</v>
      </c>
      <c r="E705" s="0" t="n">
        <v>1.745558869838946e-05</v>
      </c>
      <c r="F705" s="0" t="n">
        <v>1.590128246209924e-05</v>
      </c>
      <c r="G705" s="0" t="n">
        <v>1.554306236290225e-06</v>
      </c>
      <c r="H705" s="0" t="b">
        <v>0</v>
      </c>
    </row>
    <row r="706">
      <c r="A706" s="0" t="n">
        <v>115</v>
      </c>
      <c r="B706" s="0" t="n">
        <v>6</v>
      </c>
      <c r="C706" s="0" t="n">
        <v>4748437.5</v>
      </c>
      <c r="D706" s="0" t="n">
        <v>-121678613.4248475</v>
      </c>
      <c r="E706" s="0" t="n">
        <v>1.25039012543728e-05</v>
      </c>
      <c r="F706" s="0" t="n">
        <v>1.590128246209924e-05</v>
      </c>
      <c r="G706" s="0" t="n">
        <v>-3.39738120772644e-06</v>
      </c>
      <c r="H706" s="0" t="b">
        <v>1</v>
      </c>
    </row>
    <row r="707">
      <c r="A707" s="0" t="n">
        <v>115</v>
      </c>
      <c r="B707" s="0" t="n">
        <v>7</v>
      </c>
      <c r="C707" s="0" t="n">
        <v>4841406.25</v>
      </c>
      <c r="D707" s="0" t="n">
        <v>-62761290.70337723</v>
      </c>
      <c r="E707" s="0" t="n">
        <v>1.481950819426053e-05</v>
      </c>
      <c r="F707" s="0" t="n">
        <v>1.590128246209924e-05</v>
      </c>
      <c r="G707" s="0" t="n">
        <v>-1.081774267838712e-06</v>
      </c>
      <c r="H707" s="0" t="b">
        <v>1</v>
      </c>
    </row>
    <row r="708">
      <c r="A708" s="0" t="n">
        <v>115</v>
      </c>
      <c r="B708" s="0" t="n">
        <v>8</v>
      </c>
      <c r="C708" s="0" t="n">
        <v>4887890.625</v>
      </c>
      <c r="D708" s="0" t="n">
        <v>13527671.47413746</v>
      </c>
      <c r="E708" s="0" t="n">
        <v>1.609559001510958e-05</v>
      </c>
      <c r="F708" s="0" t="n">
        <v>1.590128246209924e-05</v>
      </c>
      <c r="G708" s="0" t="n">
        <v>1.943075530103369e-07</v>
      </c>
      <c r="H708" s="0" t="b">
        <v>0</v>
      </c>
    </row>
    <row r="709">
      <c r="A709" s="0" t="n">
        <v>115</v>
      </c>
      <c r="B709" s="0" t="n">
        <v>9</v>
      </c>
      <c r="C709" s="0" t="n">
        <v>4864648.4375</v>
      </c>
      <c r="D709" s="0" t="n">
        <v>-28957329.24068995</v>
      </c>
      <c r="E709" s="0" t="n">
        <v>1.544728721850341e-05</v>
      </c>
      <c r="F709" s="0" t="n">
        <v>1.590128246209924e-05</v>
      </c>
      <c r="G709" s="0" t="n">
        <v>-4.539952435958326e-07</v>
      </c>
      <c r="H709" s="0" t="b">
        <v>1</v>
      </c>
    </row>
    <row r="710">
      <c r="A710" s="0" t="n">
        <v>115</v>
      </c>
      <c r="B710" s="0" t="n">
        <v>10</v>
      </c>
      <c r="C710" s="0" t="n">
        <v>4876269.53125</v>
      </c>
      <c r="D710" s="0" t="n">
        <v>-8832722.772512076</v>
      </c>
      <c r="E710" s="0" t="n">
        <v>1.576884433621231e-05</v>
      </c>
      <c r="F710" s="0" t="n">
        <v>1.590128246209924e-05</v>
      </c>
      <c r="G710" s="0" t="n">
        <v>-1.324381258869306e-07</v>
      </c>
      <c r="H710" s="0" t="b">
        <v>1</v>
      </c>
    </row>
    <row r="711">
      <c r="A711" s="0" t="n">
        <v>115</v>
      </c>
      <c r="B711" s="0" t="n">
        <v>11</v>
      </c>
      <c r="C711" s="0" t="n">
        <v>4882080.078125</v>
      </c>
      <c r="D711" s="0" t="n">
        <v>2063902.390191145</v>
      </c>
      <c r="E711" s="0" t="n">
        <v>1.593156516792344e-05</v>
      </c>
      <c r="F711" s="0" t="n">
        <v>1.590128246209924e-05</v>
      </c>
      <c r="G711" s="0" t="n">
        <v>3.028270582420265e-08</v>
      </c>
      <c r="H711" s="0" t="b">
        <v>0</v>
      </c>
    </row>
    <row r="712">
      <c r="A712" s="0" t="n">
        <v>115</v>
      </c>
      <c r="B712" s="0" t="n">
        <v>12</v>
      </c>
      <c r="C712" s="0" t="n">
        <v>4884985.3515625</v>
      </c>
      <c r="D712" s="0" t="n">
        <v>7724381.198644051</v>
      </c>
      <c r="E712" s="0" t="n">
        <v>1.601341416756589e-05</v>
      </c>
      <c r="F712" s="0" t="n">
        <v>1.590128246209924e-05</v>
      </c>
      <c r="G712" s="0" t="n">
        <v>1.121317054666502e-07</v>
      </c>
      <c r="H712" s="0" t="b">
        <v>0</v>
      </c>
    </row>
    <row r="713">
      <c r="A713" s="0" t="n">
        <v>115</v>
      </c>
      <c r="B713" s="0" t="n">
        <v>13</v>
      </c>
      <c r="C713" s="0" t="n">
        <v>4883532.71484375</v>
      </c>
      <c r="D713" s="0" t="n">
        <v>4876352.662654073</v>
      </c>
      <c r="E713" s="0" t="n">
        <v>1.597244883828498e-05</v>
      </c>
      <c r="F713" s="0" t="n">
        <v>1.590128246209924e-05</v>
      </c>
      <c r="G713" s="0" t="n">
        <v>7.116637618574358e-08</v>
      </c>
      <c r="H713" s="0" t="b">
        <v>0</v>
      </c>
    </row>
    <row r="714">
      <c r="A714" s="0" t="n">
        <v>116</v>
      </c>
      <c r="B714" s="0" t="n">
        <v>1</v>
      </c>
      <c r="C714" s="0" t="n">
        <v>6050000</v>
      </c>
      <c r="D714" s="0" t="n">
        <v>12623740950.2941</v>
      </c>
      <c r="E714" s="0" t="n">
        <v>7.702049600557529e-05</v>
      </c>
      <c r="F714" s="0" t="n">
        <v>1.590128246209924e-05</v>
      </c>
      <c r="G714" s="0" t="n">
        <v>6.111921354347606e-05</v>
      </c>
      <c r="H714" s="0" t="b">
        <v>0</v>
      </c>
    </row>
    <row r="715">
      <c r="A715" s="0" t="n">
        <v>116</v>
      </c>
      <c r="B715" s="0" t="n">
        <v>2</v>
      </c>
      <c r="C715" s="0" t="n">
        <v>3075000</v>
      </c>
      <c r="D715" s="0" t="n">
        <v>-121690.0667214555</v>
      </c>
      <c r="E715" s="0" t="n">
        <v>7.657528403182984e-07</v>
      </c>
      <c r="F715" s="0" t="n">
        <v>1.590128246209924e-05</v>
      </c>
      <c r="G715" s="0" t="n">
        <v>-1.513552962178094e-05</v>
      </c>
      <c r="H715" s="0" t="b">
        <v>1</v>
      </c>
    </row>
    <row r="716">
      <c r="A716" s="0" t="n">
        <v>116</v>
      </c>
      <c r="B716" s="0" t="n">
        <v>3</v>
      </c>
      <c r="C716" s="0" t="n">
        <v>4562500</v>
      </c>
      <c r="D716" s="0" t="n">
        <v>-36136442.7882192</v>
      </c>
      <c r="E716" s="0" t="n">
        <v>9.210796784305532e-06</v>
      </c>
      <c r="F716" s="0" t="n">
        <v>1.590128246209924e-05</v>
      </c>
      <c r="G716" s="0" t="n">
        <v>-6.690485677793706e-06</v>
      </c>
      <c r="H716" s="0" t="b">
        <v>1</v>
      </c>
    </row>
    <row r="717">
      <c r="A717" s="0" t="n">
        <v>116</v>
      </c>
      <c r="B717" s="0" t="n">
        <v>4</v>
      </c>
      <c r="C717" s="0" t="n">
        <v>5306250</v>
      </c>
      <c r="D717" s="0" t="n">
        <v>1567454487.422263</v>
      </c>
      <c r="E717" s="0" t="n">
        <v>2.834427611152214e-05</v>
      </c>
      <c r="F717" s="0" t="n">
        <v>1.590128246209924e-05</v>
      </c>
      <c r="G717" s="0" t="n">
        <v>1.24429936494229e-05</v>
      </c>
      <c r="H717" s="0" t="b">
        <v>0</v>
      </c>
    </row>
    <row r="718">
      <c r="A718" s="0" t="n">
        <v>116</v>
      </c>
      <c r="B718" s="0" t="n">
        <v>5</v>
      </c>
      <c r="C718" s="0" t="n">
        <v>4934375</v>
      </c>
      <c r="D718" s="0" t="n">
        <v>-28756801.60528002</v>
      </c>
      <c r="E718" s="0" t="n">
        <v>1.545064699037642e-05</v>
      </c>
      <c r="F718" s="0" t="n">
        <v>1.590128246209924e-05</v>
      </c>
      <c r="G718" s="0" t="n">
        <v>-4.506354717228139e-07</v>
      </c>
      <c r="H718" s="0" t="b">
        <v>1</v>
      </c>
    </row>
    <row r="719">
      <c r="A719" s="0" t="n">
        <v>116</v>
      </c>
      <c r="B719" s="0" t="n">
        <v>6</v>
      </c>
      <c r="C719" s="0" t="n">
        <v>5120312.5</v>
      </c>
      <c r="D719" s="0" t="n">
        <v>543373933.4772032</v>
      </c>
      <c r="E719" s="0" t="n">
        <v>2.114895345442729e-05</v>
      </c>
      <c r="F719" s="0" t="n">
        <v>1.590128246209924e-05</v>
      </c>
      <c r="G719" s="0" t="n">
        <v>5.247670992328048e-06</v>
      </c>
      <c r="H719" s="0" t="b">
        <v>0</v>
      </c>
    </row>
    <row r="720">
      <c r="A720" s="0" t="n">
        <v>116</v>
      </c>
      <c r="B720" s="0" t="n">
        <v>7</v>
      </c>
      <c r="C720" s="0" t="n">
        <v>5027343.75</v>
      </c>
      <c r="D720" s="0" t="n">
        <v>193990809.6395878</v>
      </c>
      <c r="E720" s="0" t="n">
        <v>1.81270483500931e-05</v>
      </c>
      <c r="F720" s="0" t="n">
        <v>1.590128246209924e-05</v>
      </c>
      <c r="G720" s="0" t="n">
        <v>2.225765887993857e-06</v>
      </c>
      <c r="H720" s="0" t="b">
        <v>0</v>
      </c>
    </row>
    <row r="721">
      <c r="A721" s="0" t="n">
        <v>116</v>
      </c>
      <c r="B721" s="0" t="n">
        <v>8</v>
      </c>
      <c r="C721" s="0" t="n">
        <v>4980859.375</v>
      </c>
      <c r="D721" s="0" t="n">
        <v>63765826.7110088</v>
      </c>
      <c r="E721" s="0" t="n">
        <v>1.674734004039369e-05</v>
      </c>
      <c r="F721" s="0" t="n">
        <v>1.590128246209924e-05</v>
      </c>
      <c r="G721" s="0" t="n">
        <v>8.460575782944561e-07</v>
      </c>
      <c r="H721" s="0" t="b">
        <v>0</v>
      </c>
    </row>
    <row r="722">
      <c r="A722" s="0" t="n">
        <v>116</v>
      </c>
      <c r="B722" s="0" t="n">
        <v>9</v>
      </c>
      <c r="C722" s="0" t="n">
        <v>4957617.1875</v>
      </c>
      <c r="D722" s="0" t="n">
        <v>13045978.5447671</v>
      </c>
      <c r="E722" s="0" t="n">
        <v>1.60888333309376e-05</v>
      </c>
      <c r="F722" s="0" t="n">
        <v>1.590128246209924e-05</v>
      </c>
      <c r="G722" s="0" t="n">
        <v>1.875508688383616e-07</v>
      </c>
      <c r="H722" s="0" t="b">
        <v>0</v>
      </c>
    </row>
    <row r="723">
      <c r="A723" s="0" t="n">
        <v>116</v>
      </c>
      <c r="B723" s="0" t="n">
        <v>10</v>
      </c>
      <c r="C723" s="0" t="n">
        <v>4945996.09375</v>
      </c>
      <c r="D723" s="0" t="n">
        <v>-8938577.031424087</v>
      </c>
      <c r="E723" s="0" t="n">
        <v>1.576722790054566e-05</v>
      </c>
      <c r="F723" s="0" t="n">
        <v>1.590128246209924e-05</v>
      </c>
      <c r="G723" s="0" t="n">
        <v>-1.340545615535809e-07</v>
      </c>
      <c r="H723" s="0" t="b">
        <v>1</v>
      </c>
    </row>
    <row r="724">
      <c r="A724" s="0" t="n">
        <v>116</v>
      </c>
      <c r="B724" s="0" t="n">
        <v>11</v>
      </c>
      <c r="C724" s="0" t="n">
        <v>4951806.640625</v>
      </c>
      <c r="D724" s="0" t="n">
        <v>1778956.566077597</v>
      </c>
      <c r="E724" s="0" t="n">
        <v>1.592739858883997e-05</v>
      </c>
      <c r="F724" s="0" t="n">
        <v>1.590128246209924e-05</v>
      </c>
      <c r="G724" s="0" t="n">
        <v>2.61161267407336e-08</v>
      </c>
      <c r="H724" s="0" t="b">
        <v>0</v>
      </c>
    </row>
    <row r="725">
      <c r="A725" s="0" t="n">
        <v>116</v>
      </c>
      <c r="B725" s="0" t="n">
        <v>12</v>
      </c>
      <c r="C725" s="0" t="n">
        <v>4954711.9140625</v>
      </c>
      <c r="D725" s="0" t="n">
        <v>7343298.577616683</v>
      </c>
      <c r="E725" s="0" t="n">
        <v>1.600795764324869e-05</v>
      </c>
      <c r="F725" s="0" t="n">
        <v>1.590128246209924e-05</v>
      </c>
      <c r="G725" s="0" t="n">
        <v>1.066751811494563e-07</v>
      </c>
      <c r="H725" s="0" t="b">
        <v>0</v>
      </c>
    </row>
    <row r="726">
      <c r="A726" s="0" t="n">
        <v>116</v>
      </c>
      <c r="B726" s="0" t="n">
        <v>13</v>
      </c>
      <c r="C726" s="0" t="n">
        <v>4953259.27734375</v>
      </c>
      <c r="D726" s="0" t="n">
        <v>4543896.035502728</v>
      </c>
      <c r="E726" s="0" t="n">
        <v>1.596763858083431e-05</v>
      </c>
      <c r="F726" s="0" t="n">
        <v>1.590128246209924e-05</v>
      </c>
      <c r="G726" s="0" t="n">
        <v>6.635611873506892e-08</v>
      </c>
      <c r="H726" s="0" t="b">
        <v>0</v>
      </c>
    </row>
    <row r="727">
      <c r="A727" s="0" t="n">
        <v>116</v>
      </c>
      <c r="B727" s="0" t="n">
        <v>14</v>
      </c>
      <c r="C727" s="0" t="n">
        <v>4953759.27734375</v>
      </c>
      <c r="D727" s="0" t="n">
        <v>5503624.13997028</v>
      </c>
      <c r="E727" s="0" t="n">
        <v>1.598150847611716e-05</v>
      </c>
      <c r="F727" s="0" t="n">
        <v>1.590128246209924e-05</v>
      </c>
      <c r="G727" s="0" t="n">
        <v>8.022601401792175e-08</v>
      </c>
      <c r="H727" s="0" t="b">
        <v>0</v>
      </c>
    </row>
    <row r="728">
      <c r="A728" s="0" t="n">
        <v>116</v>
      </c>
      <c r="B728" s="0" t="n">
        <v>15</v>
      </c>
      <c r="C728" s="0" t="n">
        <v>4953509.27734375</v>
      </c>
      <c r="D728" s="0" t="n">
        <v>5023281.91750017</v>
      </c>
      <c r="E728" s="0" t="n">
        <v>1.597457282800233e-05</v>
      </c>
      <c r="F728" s="0" t="n">
        <v>1.590128246209924e-05</v>
      </c>
      <c r="G728" s="0" t="n">
        <v>7.329036590309244e-08</v>
      </c>
      <c r="H728" s="0" t="b">
        <v>0</v>
      </c>
    </row>
    <row r="729">
      <c r="A729" s="0" t="n">
        <v>116</v>
      </c>
      <c r="B729" s="0" t="n">
        <v>16</v>
      </c>
      <c r="C729" s="0" t="n">
        <v>4953209.27734375</v>
      </c>
      <c r="D729" s="0" t="n">
        <v>4448219.338993154</v>
      </c>
      <c r="E729" s="0" t="n">
        <v>1.596625314128876e-05</v>
      </c>
      <c r="F729" s="0" t="n">
        <v>1.590128246209924e-05</v>
      </c>
      <c r="G729" s="0" t="n">
        <v>6.497067918951796e-08</v>
      </c>
      <c r="H729" s="0" t="b">
        <v>0</v>
      </c>
    </row>
    <row r="730">
      <c r="A730" s="0" t="n">
        <v>116</v>
      </c>
      <c r="B730" s="0" t="n">
        <v>17</v>
      </c>
      <c r="C730" s="0" t="n">
        <v>4953359.27734375</v>
      </c>
      <c r="D730" s="0" t="n">
        <v>4735501.817764156</v>
      </c>
      <c r="E730" s="0" t="n">
        <v>1.597041162222772e-05</v>
      </c>
      <c r="F730" s="0" t="n">
        <v>1.590128246209924e-05</v>
      </c>
      <c r="G730" s="0" t="n">
        <v>6.912916012848029e-08</v>
      </c>
      <c r="H730" s="0" t="b">
        <v>0</v>
      </c>
    </row>
    <row r="731">
      <c r="A731" s="0" t="n">
        <v>116</v>
      </c>
      <c r="B731" s="0" t="n">
        <v>18</v>
      </c>
      <c r="C731" s="0" t="n">
        <v>4953539.27734375</v>
      </c>
      <c r="D731" s="0" t="n">
        <v>5080803.898139959</v>
      </c>
      <c r="E731" s="0" t="n">
        <v>1.59754040408123e-05</v>
      </c>
      <c r="F731" s="0" t="n">
        <v>1.590128246209924e-05</v>
      </c>
      <c r="G731" s="0" t="n">
        <v>7.412157871306281e-08</v>
      </c>
      <c r="H731" s="0" t="b">
        <v>0</v>
      </c>
    </row>
    <row r="732">
      <c r="A732" s="0" t="n">
        <v>116</v>
      </c>
      <c r="B732" s="0" t="n">
        <v>19</v>
      </c>
      <c r="C732" s="0" t="n">
        <v>4953449.27734375</v>
      </c>
      <c r="D732" s="0" t="n">
        <v>4908151.78019705</v>
      </c>
      <c r="E732" s="0" t="n">
        <v>1.597290862092311e-05</v>
      </c>
      <c r="F732" s="0" t="n">
        <v>1.590128246209924e-05</v>
      </c>
      <c r="G732" s="0" t="n">
        <v>7.162615882386713e-08</v>
      </c>
      <c r="H732" s="0" t="b">
        <v>0</v>
      </c>
    </row>
    <row r="733">
      <c r="A733" s="0" t="n">
        <v>117</v>
      </c>
      <c r="B733" s="0" t="n">
        <v>1</v>
      </c>
      <c r="C733" s="0" t="n">
        <v>6050000</v>
      </c>
      <c r="D733" s="0" t="n">
        <v>608322103647.2244</v>
      </c>
      <c r="E733" s="0" t="n">
        <v>0.001189169536942072</v>
      </c>
      <c r="F733" s="0" t="n">
        <v>1.590128246209931e-05</v>
      </c>
      <c r="G733" s="0" t="n">
        <v>0.001173268254479972</v>
      </c>
      <c r="H733" s="0" t="b">
        <v>0</v>
      </c>
    </row>
    <row r="734">
      <c r="A734" s="0" t="n">
        <v>117</v>
      </c>
      <c r="B734" s="0" t="n">
        <v>2</v>
      </c>
      <c r="C734" s="0" t="n">
        <v>3075000</v>
      </c>
      <c r="D734" s="0" t="n">
        <v>-70395792.66525778</v>
      </c>
      <c r="E734" s="0" t="n">
        <v>1.008218648657892e-05</v>
      </c>
      <c r="F734" s="0" t="n">
        <v>1.590128246209924e-05</v>
      </c>
      <c r="G734" s="0" t="n">
        <v>-5.819095975520316e-06</v>
      </c>
      <c r="H734" s="0" t="b">
        <v>1</v>
      </c>
    </row>
    <row r="735">
      <c r="A735" s="0" t="n">
        <v>117</v>
      </c>
      <c r="B735" s="0" t="n">
        <v>3</v>
      </c>
      <c r="C735" s="0" t="n">
        <v>4562500</v>
      </c>
      <c r="D735" s="0" t="n">
        <v>60342590514.65594</v>
      </c>
      <c r="E735" s="0" t="n">
        <v>0.000214283548911249</v>
      </c>
      <c r="F735" s="0" t="n">
        <v>1.590128246209925e-05</v>
      </c>
      <c r="G735" s="0" t="n">
        <v>0.0001983822664491497</v>
      </c>
      <c r="H735" s="0" t="b">
        <v>0</v>
      </c>
    </row>
    <row r="736">
      <c r="A736" s="0" t="n">
        <v>117</v>
      </c>
      <c r="B736" s="0" t="n">
        <v>4</v>
      </c>
      <c r="C736" s="0" t="n">
        <v>3818750</v>
      </c>
      <c r="D736" s="0" t="n">
        <v>7975393890.437663</v>
      </c>
      <c r="E736" s="0" t="n">
        <v>5.918957804726501e-05</v>
      </c>
      <c r="F736" s="0" t="n">
        <v>1.590128246209924e-05</v>
      </c>
      <c r="G736" s="0" t="n">
        <v>4.328829558516578e-05</v>
      </c>
      <c r="H736" s="0" t="b">
        <v>0</v>
      </c>
    </row>
    <row r="737">
      <c r="A737" s="0" t="n">
        <v>117</v>
      </c>
      <c r="B737" s="0" t="n">
        <v>5</v>
      </c>
      <c r="C737" s="0" t="n">
        <v>3446875</v>
      </c>
      <c r="D737" s="0" t="n">
        <v>1155193214.71039</v>
      </c>
      <c r="E737" s="0" t="n">
        <v>2.566107912425916e-05</v>
      </c>
      <c r="F737" s="0" t="n">
        <v>1.590128246209924e-05</v>
      </c>
      <c r="G737" s="0" t="n">
        <v>9.759796662159926e-06</v>
      </c>
      <c r="H737" s="0" t="b">
        <v>0</v>
      </c>
    </row>
    <row r="738">
      <c r="A738" s="0" t="n">
        <v>117</v>
      </c>
      <c r="B738" s="0" t="n">
        <v>6</v>
      </c>
      <c r="C738" s="0" t="n">
        <v>3260937.5</v>
      </c>
      <c r="D738" s="0" t="n">
        <v>-7461151.547306014</v>
      </c>
      <c r="E738" s="0" t="n">
        <v>1.578972406713347e-05</v>
      </c>
      <c r="F738" s="0" t="n">
        <v>1.590128246209924e-05</v>
      </c>
      <c r="G738" s="0" t="n">
        <v>-1.115583949657704e-07</v>
      </c>
      <c r="H738" s="0" t="b">
        <v>1</v>
      </c>
    </row>
    <row r="739">
      <c r="A739" s="0" t="n">
        <v>117</v>
      </c>
      <c r="B739" s="0" t="n">
        <v>7</v>
      </c>
      <c r="C739" s="0" t="n">
        <v>3353906.25</v>
      </c>
      <c r="D739" s="0" t="n">
        <v>436816448.4250188</v>
      </c>
      <c r="E739" s="0" t="n">
        <v>2.025937590067532e-05</v>
      </c>
      <c r="F739" s="0" t="n">
        <v>1.590128246209924e-05</v>
      </c>
      <c r="G739" s="0" t="n">
        <v>4.358093438576078e-06</v>
      </c>
      <c r="H739" s="0" t="b">
        <v>0</v>
      </c>
    </row>
    <row r="740">
      <c r="A740" s="0" t="n">
        <v>117</v>
      </c>
      <c r="B740" s="0" t="n">
        <v>8</v>
      </c>
      <c r="C740" s="0" t="n">
        <v>3307421.875</v>
      </c>
      <c r="D740" s="0" t="n">
        <v>171960151.8655499</v>
      </c>
      <c r="E740" s="0" t="n">
        <v>1.791532989192318e-05</v>
      </c>
      <c r="F740" s="0" t="n">
        <v>1.590128246209924e-05</v>
      </c>
      <c r="G740" s="0" t="n">
        <v>2.014047429823942e-06</v>
      </c>
      <c r="H740" s="0" t="b">
        <v>0</v>
      </c>
    </row>
    <row r="741">
      <c r="A741" s="0" t="n">
        <v>117</v>
      </c>
      <c r="B741" s="0" t="n">
        <v>9</v>
      </c>
      <c r="C741" s="0" t="n">
        <v>3284179.6875</v>
      </c>
      <c r="D741" s="0" t="n">
        <v>70340745.1108619</v>
      </c>
      <c r="E741" s="0" t="n">
        <v>1.682614598461816e-05</v>
      </c>
      <c r="F741" s="0" t="n">
        <v>1.590128246209924e-05</v>
      </c>
      <c r="G741" s="0" t="n">
        <v>9.248635225189219e-07</v>
      </c>
      <c r="H741" s="0" t="b">
        <v>0</v>
      </c>
    </row>
    <row r="742">
      <c r="A742" s="0" t="n">
        <v>117</v>
      </c>
      <c r="B742" s="0" t="n">
        <v>10</v>
      </c>
      <c r="C742" s="0" t="n">
        <v>3272558.59375</v>
      </c>
      <c r="D742" s="0" t="n">
        <v>28591602.15414783</v>
      </c>
      <c r="E742" s="0" t="n">
        <v>1.630145397956629e-05</v>
      </c>
      <c r="F742" s="0" t="n">
        <v>1.590128246209924e-05</v>
      </c>
      <c r="G742" s="0" t="n">
        <v>4.001715174670513e-07</v>
      </c>
      <c r="H742" s="0" t="b">
        <v>0</v>
      </c>
    </row>
    <row r="743">
      <c r="A743" s="0" t="n">
        <v>117</v>
      </c>
      <c r="B743" s="0" t="n">
        <v>11</v>
      </c>
      <c r="C743" s="0" t="n">
        <v>3266748.046875</v>
      </c>
      <c r="D743" s="0" t="n">
        <v>9869137.525783243</v>
      </c>
      <c r="E743" s="0" t="n">
        <v>1.604398324907225e-05</v>
      </c>
      <c r="F743" s="0" t="n">
        <v>1.590128246209924e-05</v>
      </c>
      <c r="G743" s="0" t="n">
        <v>1.427007869730101e-07</v>
      </c>
      <c r="H743" s="0" t="b">
        <v>0</v>
      </c>
    </row>
    <row r="744">
      <c r="A744" s="0" t="n">
        <v>117</v>
      </c>
      <c r="B744" s="0" t="n">
        <v>12</v>
      </c>
      <c r="C744" s="0" t="n">
        <v>3263842.7734375</v>
      </c>
      <c r="D744" s="0" t="n">
        <v>1031912.380131147</v>
      </c>
      <c r="E744" s="0" t="n">
        <v>1.591645338338054e-05</v>
      </c>
      <c r="F744" s="0" t="n">
        <v>1.590128246209924e-05</v>
      </c>
      <c r="G744" s="0" t="n">
        <v>1.517092128130488e-08</v>
      </c>
      <c r="H744" s="0" t="b">
        <v>0</v>
      </c>
    </row>
    <row r="745">
      <c r="A745" s="0" t="n">
        <v>117</v>
      </c>
      <c r="B745" s="0" t="n">
        <v>13</v>
      </c>
      <c r="C745" s="0" t="n">
        <v>3265295.41015625</v>
      </c>
      <c r="D745" s="0" t="n">
        <v>5407295.16878461</v>
      </c>
      <c r="E745" s="0" t="n">
        <v>1.598011857895587e-05</v>
      </c>
      <c r="F745" s="0" t="n">
        <v>1.590128246209924e-05</v>
      </c>
      <c r="G745" s="0" t="n">
        <v>7.883611685663674e-08</v>
      </c>
      <c r="H745" s="0" t="b">
        <v>0</v>
      </c>
    </row>
    <row r="746">
      <c r="A746" s="0" t="n">
        <v>117</v>
      </c>
      <c r="B746" s="0" t="n">
        <v>14</v>
      </c>
      <c r="C746" s="0" t="n">
        <v>3264795.41015625</v>
      </c>
      <c r="D746" s="0" t="n">
        <v>3891499.3232036</v>
      </c>
      <c r="E746" s="0" t="n">
        <v>1.595818171656973e-05</v>
      </c>
      <c r="F746" s="0" t="n">
        <v>1.590128246209924e-05</v>
      </c>
      <c r="G746" s="0" t="n">
        <v>5.689925447049322e-08</v>
      </c>
      <c r="H746" s="0" t="b">
        <v>0</v>
      </c>
    </row>
    <row r="747">
      <c r="A747" s="0" t="n">
        <v>117</v>
      </c>
      <c r="B747" s="0" t="n">
        <v>15</v>
      </c>
      <c r="C747" s="0" t="n">
        <v>3264195.41015625</v>
      </c>
      <c r="D747" s="0" t="n">
        <v>2086123.169083483</v>
      </c>
      <c r="E747" s="0" t="n">
        <v>1.593188989710363e-05</v>
      </c>
      <c r="F747" s="0" t="n">
        <v>1.590128246209924e-05</v>
      </c>
      <c r="G747" s="0" t="n">
        <v>3.060743500439032e-08</v>
      </c>
      <c r="H747" s="0" t="b">
        <v>0</v>
      </c>
    </row>
    <row r="748">
      <c r="A748" s="0" t="n">
        <v>117</v>
      </c>
      <c r="B748" s="0" t="n">
        <v>16</v>
      </c>
      <c r="C748" s="0" t="n">
        <v>3264495.41015625</v>
      </c>
      <c r="D748" s="0" t="n">
        <v>2987035.612708111</v>
      </c>
      <c r="E748" s="0" t="n">
        <v>1.594503246498101e-05</v>
      </c>
      <c r="F748" s="0" t="n">
        <v>1.590128246209924e-05</v>
      </c>
      <c r="G748" s="0" t="n">
        <v>4.375000288176978e-08</v>
      </c>
      <c r="H748" s="0" t="b">
        <v>0</v>
      </c>
    </row>
    <row r="749">
      <c r="A749" s="0" t="n">
        <v>117</v>
      </c>
      <c r="B749" s="0" t="n">
        <v>17</v>
      </c>
      <c r="C749" s="0" t="n">
        <v>3264855.41015625</v>
      </c>
      <c r="D749" s="0" t="n">
        <v>4072846.576428003</v>
      </c>
      <c r="E749" s="0" t="n">
        <v>1.596081277625656e-05</v>
      </c>
      <c r="F749" s="0" t="n">
        <v>1.590128246209924e-05</v>
      </c>
      <c r="G749" s="0" t="n">
        <v>5.95303141573174e-08</v>
      </c>
      <c r="H749" s="0" t="b">
        <v>0</v>
      </c>
    </row>
    <row r="750">
      <c r="A750" s="0" t="n">
        <v>117</v>
      </c>
      <c r="B750" s="0" t="n">
        <v>18</v>
      </c>
      <c r="C750" s="0" t="n">
        <v>3264675.41015625</v>
      </c>
      <c r="D750" s="0" t="n">
        <v>3529310.396128166</v>
      </c>
      <c r="E750" s="0" t="n">
        <v>1.595292154717017e-05</v>
      </c>
      <c r="F750" s="0" t="n">
        <v>1.590128246209924e-05</v>
      </c>
      <c r="G750" s="0" t="n">
        <v>5.163908507093548e-08</v>
      </c>
      <c r="H750" s="0" t="b">
        <v>0</v>
      </c>
    </row>
    <row r="751">
      <c r="A751" s="0" t="n">
        <v>117</v>
      </c>
      <c r="B751" s="0" t="n">
        <v>19</v>
      </c>
      <c r="C751" s="0" t="n">
        <v>3264459.41015625</v>
      </c>
      <c r="D751" s="0" t="n">
        <v>2878739.572886607</v>
      </c>
      <c r="E751" s="0" t="n">
        <v>1.594345501722315e-05</v>
      </c>
      <c r="F751" s="0" t="n">
        <v>1.590128246209924e-05</v>
      </c>
      <c r="G751" s="0" t="n">
        <v>4.217255512391061e-08</v>
      </c>
      <c r="H751" s="0" t="b">
        <v>0</v>
      </c>
    </row>
    <row r="752">
      <c r="A752" s="0" t="n">
        <v>117</v>
      </c>
      <c r="B752" s="0" t="n">
        <v>20</v>
      </c>
      <c r="C752" s="0" t="n">
        <v>3264567.41015625</v>
      </c>
      <c r="D752" s="0" t="n">
        <v>3203786.607763452</v>
      </c>
      <c r="E752" s="0" t="n">
        <v>1.594818772915691e-05</v>
      </c>
      <c r="F752" s="0" t="n">
        <v>1.590128246209924e-05</v>
      </c>
      <c r="G752" s="0" t="n">
        <v>4.690526705766862e-08</v>
      </c>
      <c r="H752" s="0" t="b">
        <v>0</v>
      </c>
    </row>
    <row r="753">
      <c r="A753" s="0" t="n">
        <v>117</v>
      </c>
      <c r="B753" s="0" t="n">
        <v>21</v>
      </c>
      <c r="C753" s="0" t="n">
        <v>3264697.01015625</v>
      </c>
      <c r="D753" s="0" t="n">
        <v>3594472.412306102</v>
      </c>
      <c r="E753" s="0" t="n">
        <v>1.595386844351842e-05</v>
      </c>
      <c r="F753" s="0" t="n">
        <v>1.590128246209924e-05</v>
      </c>
      <c r="G753" s="0" t="n">
        <v>5.258598141918221e-08</v>
      </c>
      <c r="H753" s="0" t="b">
        <v>0</v>
      </c>
    </row>
    <row r="754">
      <c r="A754" s="0" t="n">
        <v>117</v>
      </c>
      <c r="B754" s="0" t="n">
        <v>22</v>
      </c>
      <c r="C754" s="0" t="n">
        <v>3264632.21015625</v>
      </c>
      <c r="D754" s="0" t="n">
        <v>3398979.967403983</v>
      </c>
      <c r="E754" s="0" t="n">
        <v>1.595102696184499e-05</v>
      </c>
      <c r="F754" s="0" t="n">
        <v>1.590128246209924e-05</v>
      </c>
      <c r="G754" s="0" t="n">
        <v>4.974449974575352e-08</v>
      </c>
      <c r="H754" s="0" t="b">
        <v>0</v>
      </c>
    </row>
    <row r="755">
      <c r="A755" s="0" t="n">
        <v>117</v>
      </c>
      <c r="B755" s="0" t="n">
        <v>23</v>
      </c>
      <c r="C755" s="0" t="n">
        <v>3264554.450156251</v>
      </c>
      <c r="D755" s="0" t="n">
        <v>3164692.219768494</v>
      </c>
      <c r="E755" s="0" t="n">
        <v>1.59476188201814e-05</v>
      </c>
      <c r="F755" s="0" t="n">
        <v>1.590128246209924e-05</v>
      </c>
      <c r="G755" s="0" t="n">
        <v>4.633635808215696e-08</v>
      </c>
      <c r="H755" s="0" t="b">
        <v>0</v>
      </c>
    </row>
    <row r="756">
      <c r="A756" s="0" t="n">
        <v>117</v>
      </c>
      <c r="B756" s="0" t="n">
        <v>24</v>
      </c>
      <c r="C756" s="0" t="n">
        <v>3264593.33015625</v>
      </c>
      <c r="D756" s="0" t="n">
        <v>3281868.752651174</v>
      </c>
      <c r="E756" s="0" t="n">
        <v>1.59493237445991e-05</v>
      </c>
      <c r="F756" s="0" t="n">
        <v>1.590128246209924e-05</v>
      </c>
      <c r="G756" s="0" t="n">
        <v>4.804128249985938e-08</v>
      </c>
      <c r="H756" s="0" t="b">
        <v>0</v>
      </c>
    </row>
    <row r="757">
      <c r="A757" s="0" t="n">
        <v>118</v>
      </c>
      <c r="B757" s="0" t="n">
        <v>1</v>
      </c>
      <c r="C757" s="0" t="n">
        <v>6050000</v>
      </c>
      <c r="D757" s="0" t="n">
        <v>12860736126.30696</v>
      </c>
      <c r="E757" s="0" t="n">
        <v>7.729747016492108e-05</v>
      </c>
      <c r="F757" s="0" t="n">
        <v>1.579842411007649e-05</v>
      </c>
      <c r="G757" s="0" t="n">
        <v>6.149904605484459e-05</v>
      </c>
      <c r="H757" s="0" t="b">
        <v>0</v>
      </c>
    </row>
    <row r="758">
      <c r="A758" s="0" t="n">
        <v>118</v>
      </c>
      <c r="B758" s="0" t="n">
        <v>2</v>
      </c>
      <c r="C758" s="0" t="n">
        <v>3075000</v>
      </c>
      <c r="D758" s="0" t="n">
        <v>-122575.6036599252</v>
      </c>
      <c r="E758" s="0" t="n">
        <v>7.739623289322011e-07</v>
      </c>
      <c r="F758" s="0" t="n">
        <v>1.579842411007649e-05</v>
      </c>
      <c r="G758" s="0" t="n">
        <v>-1.502446178114428e-05</v>
      </c>
      <c r="H758" s="0" t="b">
        <v>1</v>
      </c>
    </row>
    <row r="759">
      <c r="A759" s="0" t="n">
        <v>118</v>
      </c>
      <c r="B759" s="0" t="n">
        <v>3</v>
      </c>
      <c r="C759" s="0" t="n">
        <v>4562500</v>
      </c>
      <c r="D759" s="0" t="n">
        <v>-38204178.50848147</v>
      </c>
      <c r="E759" s="0" t="n">
        <v>9.219907662857841e-06</v>
      </c>
      <c r="F759" s="0" t="n">
        <v>1.579842411007649e-05</v>
      </c>
      <c r="G759" s="0" t="n">
        <v>-6.578516447218644e-06</v>
      </c>
      <c r="H759" s="0" t="b">
        <v>1</v>
      </c>
    </row>
    <row r="760">
      <c r="A760" s="0" t="n">
        <v>118</v>
      </c>
      <c r="B760" s="0" t="n">
        <v>4</v>
      </c>
      <c r="C760" s="0" t="n">
        <v>5306250</v>
      </c>
      <c r="D760" s="0" t="n">
        <v>1618978196.047536</v>
      </c>
      <c r="E760" s="0" t="n">
        <v>2.846660246634775e-05</v>
      </c>
      <c r="F760" s="0" t="n">
        <v>1.579842411007649e-05</v>
      </c>
      <c r="G760" s="0" t="n">
        <v>1.266817835627126e-05</v>
      </c>
      <c r="H760" s="0" t="b">
        <v>0</v>
      </c>
    </row>
    <row r="761">
      <c r="A761" s="0" t="n">
        <v>118</v>
      </c>
      <c r="B761" s="0" t="n">
        <v>5</v>
      </c>
      <c r="C761" s="0" t="n">
        <v>4934375</v>
      </c>
      <c r="D761" s="0" t="n">
        <v>-18049331.24206607</v>
      </c>
      <c r="E761" s="0" t="n">
        <v>1.552396209670386e-05</v>
      </c>
      <c r="F761" s="0" t="n">
        <v>1.579842411007649e-05</v>
      </c>
      <c r="G761" s="0" t="n">
        <v>-2.744620133726223e-07</v>
      </c>
      <c r="H761" s="0" t="b">
        <v>1</v>
      </c>
    </row>
    <row r="762">
      <c r="A762" s="0" t="n">
        <v>118</v>
      </c>
      <c r="B762" s="0" t="n">
        <v>6</v>
      </c>
      <c r="C762" s="0" t="n">
        <v>5120312.5</v>
      </c>
      <c r="D762" s="0" t="n">
        <v>572955496.3239813</v>
      </c>
      <c r="E762" s="0" t="n">
        <v>2.124469280476944e-05</v>
      </c>
      <c r="F762" s="0" t="n">
        <v>1.579842411007649e-05</v>
      </c>
      <c r="G762" s="0" t="n">
        <v>5.446268694692952e-06</v>
      </c>
      <c r="H762" s="0" t="b">
        <v>0</v>
      </c>
    </row>
    <row r="763">
      <c r="A763" s="0" t="n">
        <v>118</v>
      </c>
      <c r="B763" s="0" t="n">
        <v>7</v>
      </c>
      <c r="C763" s="0" t="n">
        <v>5027343.75</v>
      </c>
      <c r="D763" s="0" t="n">
        <v>215663669.3154439</v>
      </c>
      <c r="E763" s="0" t="n">
        <v>1.821122562188521e-05</v>
      </c>
      <c r="F763" s="0" t="n">
        <v>1.579842411007649e-05</v>
      </c>
      <c r="G763" s="0" t="n">
        <v>2.412801511808726e-06</v>
      </c>
      <c r="H763" s="0" t="b">
        <v>0</v>
      </c>
    </row>
    <row r="764">
      <c r="A764" s="0" t="n">
        <v>118</v>
      </c>
      <c r="B764" s="0" t="n">
        <v>8</v>
      </c>
      <c r="C764" s="0" t="n">
        <v>4980859.375</v>
      </c>
      <c r="D764" s="0" t="n">
        <v>79592778.98494087</v>
      </c>
      <c r="E764" s="0" t="n">
        <v>1.682600918804296e-05</v>
      </c>
      <c r="F764" s="0" t="n">
        <v>1.579842411007649e-05</v>
      </c>
      <c r="G764" s="0" t="n">
        <v>1.027585077966471e-06</v>
      </c>
      <c r="H764" s="0" t="b">
        <v>0</v>
      </c>
    </row>
    <row r="765">
      <c r="A765" s="0" t="n">
        <v>118</v>
      </c>
      <c r="B765" s="0" t="n">
        <v>9</v>
      </c>
      <c r="C765" s="0" t="n">
        <v>4957617.1875</v>
      </c>
      <c r="D765" s="0" t="n">
        <v>26223938.59820364</v>
      </c>
      <c r="E765" s="0" t="n">
        <v>1.61647923938752e-05</v>
      </c>
      <c r="F765" s="0" t="n">
        <v>1.579842411007649e-05</v>
      </c>
      <c r="G765" s="0" t="n">
        <v>3.663682837987104e-07</v>
      </c>
      <c r="H765" s="0" t="b">
        <v>0</v>
      </c>
    </row>
    <row r="766">
      <c r="A766" s="0" t="n">
        <v>118</v>
      </c>
      <c r="B766" s="0" t="n">
        <v>10</v>
      </c>
      <c r="C766" s="0" t="n">
        <v>4945996.09375</v>
      </c>
      <c r="D766" s="0" t="n">
        <v>2982139.394178502</v>
      </c>
      <c r="E766" s="0" t="n">
        <v>1.584185613702065e-05</v>
      </c>
      <c r="F766" s="0" t="n">
        <v>1.579842411007649e-05</v>
      </c>
      <c r="G766" s="0" t="n">
        <v>4.343202694416667e-08</v>
      </c>
      <c r="H766" s="0" t="b">
        <v>0</v>
      </c>
    </row>
    <row r="767">
      <c r="A767" s="0" t="n">
        <v>118</v>
      </c>
      <c r="B767" s="0" t="n">
        <v>11</v>
      </c>
      <c r="C767" s="0" t="n">
        <v>4951806.640625</v>
      </c>
      <c r="D767" s="0" t="n">
        <v>14322791.08451222</v>
      </c>
      <c r="E767" s="0" t="n">
        <v>1.600269060594765e-05</v>
      </c>
      <c r="F767" s="0" t="n">
        <v>1.579842411007649e-05</v>
      </c>
      <c r="G767" s="0" t="n">
        <v>2.042664958711641e-07</v>
      </c>
      <c r="H767" s="0" t="b">
        <v>0</v>
      </c>
    </row>
    <row r="768">
      <c r="A768" s="0" t="n">
        <v>118</v>
      </c>
      <c r="B768" s="0" t="n">
        <v>12</v>
      </c>
      <c r="C768" s="0" t="n">
        <v>4948901.3671875</v>
      </c>
      <c r="D768" s="0" t="n">
        <v>8582897.520723673</v>
      </c>
      <c r="E768" s="0" t="n">
        <v>1.592211536314574e-05</v>
      </c>
      <c r="F768" s="0" t="n">
        <v>1.579842411007649e-05</v>
      </c>
      <c r="G768" s="0" t="n">
        <v>1.236912530692523e-07</v>
      </c>
      <c r="H768" s="0" t="b">
        <v>0</v>
      </c>
    </row>
    <row r="769">
      <c r="A769" s="0" t="n">
        <v>118</v>
      </c>
      <c r="B769" s="0" t="n">
        <v>13</v>
      </c>
      <c r="C769" s="0" t="n">
        <v>4947448.73046875</v>
      </c>
      <c r="D769" s="0" t="n">
        <v>5765188.838726236</v>
      </c>
      <c r="E769" s="0" t="n">
        <v>1.588194630729959e-05</v>
      </c>
      <c r="F769" s="0" t="n">
        <v>1.579842411007649e-05</v>
      </c>
      <c r="G769" s="0" t="n">
        <v>8.352219722310771e-08</v>
      </c>
      <c r="H769" s="0" t="b">
        <v>0</v>
      </c>
    </row>
    <row r="770">
      <c r="A770" s="0" t="n">
        <v>118</v>
      </c>
      <c r="B770" s="0" t="n">
        <v>14</v>
      </c>
      <c r="C770" s="0" t="n">
        <v>4946248.73046875</v>
      </c>
      <c r="D770" s="0" t="n">
        <v>3463736.343528926</v>
      </c>
      <c r="E770" s="0" t="n">
        <v>1.584882372857162e-05</v>
      </c>
      <c r="F770" s="0" t="n">
        <v>1.579842411007649e-05</v>
      </c>
      <c r="G770" s="0" t="n">
        <v>5.039961849513276e-08</v>
      </c>
      <c r="H770" s="0" t="b">
        <v>0</v>
      </c>
    </row>
    <row r="771">
      <c r="A771" s="0" t="n">
        <v>118</v>
      </c>
      <c r="B771" s="0" t="n">
        <v>15</v>
      </c>
      <c r="C771" s="0" t="n">
        <v>4946848.73046875</v>
      </c>
      <c r="D771" s="0" t="n">
        <v>4611543.079627272</v>
      </c>
      <c r="E771" s="0" t="n">
        <v>1.586537876017048e-05</v>
      </c>
      <c r="F771" s="0" t="n">
        <v>1.579842411007649e-05</v>
      </c>
      <c r="G771" s="0" t="n">
        <v>6.695465009399777e-08</v>
      </c>
      <c r="H771" s="0" t="b">
        <v>0</v>
      </c>
    </row>
    <row r="772">
      <c r="A772" s="0" t="n">
        <v>118</v>
      </c>
      <c r="B772" s="0" t="n">
        <v>16</v>
      </c>
      <c r="C772" s="0" t="n">
        <v>4947568.73046875</v>
      </c>
      <c r="D772" s="0" t="n">
        <v>5996640.252317066</v>
      </c>
      <c r="E772" s="0" t="n">
        <v>1.588526161829551e-05</v>
      </c>
      <c r="F772" s="0" t="n">
        <v>1.579842411007649e-05</v>
      </c>
      <c r="G772" s="0" t="n">
        <v>8.683750821902479e-08</v>
      </c>
      <c r="H772" s="0" t="b">
        <v>0</v>
      </c>
    </row>
    <row r="773">
      <c r="A773" s="0" t="n">
        <v>118</v>
      </c>
      <c r="B773" s="0" t="n">
        <v>17</v>
      </c>
      <c r="C773" s="0" t="n">
        <v>4947208.73046875</v>
      </c>
      <c r="D773" s="0" t="n">
        <v>5302995.501144172</v>
      </c>
      <c r="E773" s="0" t="n">
        <v>1.587531730022994e-05</v>
      </c>
      <c r="F773" s="0" t="n">
        <v>1.579842411007649e-05</v>
      </c>
      <c r="G773" s="0" t="n">
        <v>7.689319015345879e-08</v>
      </c>
      <c r="H773" s="0" t="b">
        <v>0</v>
      </c>
    </row>
    <row r="774">
      <c r="A774" s="0" t="n">
        <v>118</v>
      </c>
      <c r="B774" s="0" t="n">
        <v>18</v>
      </c>
      <c r="C774" s="0" t="n">
        <v>4946776.73046875</v>
      </c>
      <c r="D774" s="0" t="n">
        <v>4473429.833857455</v>
      </c>
      <c r="E774" s="0" t="n">
        <v>1.586339051233238e-05</v>
      </c>
      <c r="F774" s="0" t="n">
        <v>1.579842411007649e-05</v>
      </c>
      <c r="G774" s="0" t="n">
        <v>6.496640225589977e-08</v>
      </c>
      <c r="H774" s="0" t="b">
        <v>0</v>
      </c>
    </row>
    <row r="775">
      <c r="A775" s="0" t="n">
        <v>118</v>
      </c>
      <c r="B775" s="0" t="n">
        <v>19</v>
      </c>
      <c r="C775" s="0" t="n">
        <v>4946992.73046875</v>
      </c>
      <c r="D775" s="0" t="n">
        <v>4887829.934275968</v>
      </c>
      <c r="E775" s="0" t="n">
        <v>1.586935303455482e-05</v>
      </c>
      <c r="F775" s="0" t="n">
        <v>1.579842411007649e-05</v>
      </c>
      <c r="G775" s="0" t="n">
        <v>7.092892447833806e-08</v>
      </c>
      <c r="H775" s="0" t="b">
        <v>0</v>
      </c>
    </row>
    <row r="776">
      <c r="A776" s="0" t="n">
        <v>118</v>
      </c>
      <c r="B776" s="0" t="n">
        <v>20</v>
      </c>
      <c r="C776" s="0" t="n">
        <v>4947251.93046875</v>
      </c>
      <c r="D776" s="0" t="n">
        <v>5386185.653842048</v>
      </c>
      <c r="E776" s="0" t="n">
        <v>1.587651129750397e-05</v>
      </c>
      <c r="F776" s="0" t="n">
        <v>1.579842411007649e-05</v>
      </c>
      <c r="G776" s="0" t="n">
        <v>7.808718742748942e-08</v>
      </c>
      <c r="H776" s="0" t="b">
        <v>0</v>
      </c>
    </row>
    <row r="777">
      <c r="A777" s="0" t="n">
        <v>118</v>
      </c>
      <c r="B777" s="0" t="n">
        <v>21</v>
      </c>
      <c r="C777" s="0" t="n">
        <v>4947122.330468751</v>
      </c>
      <c r="D777" s="0" t="n">
        <v>5136902.462247891</v>
      </c>
      <c r="E777" s="0" t="n">
        <v>1.587293231937099e-05</v>
      </c>
      <c r="F777" s="0" t="n">
        <v>1.579842411007649e-05</v>
      </c>
      <c r="G777" s="0" t="n">
        <v>7.45082092945086e-08</v>
      </c>
      <c r="H777" s="0" t="b">
        <v>0</v>
      </c>
    </row>
    <row r="778">
      <c r="A778" s="0" t="n">
        <v>118</v>
      </c>
      <c r="B778" s="0" t="n">
        <v>22</v>
      </c>
      <c r="C778" s="0" t="n">
        <v>4946966.810468751</v>
      </c>
      <c r="D778" s="0" t="n">
        <v>4838126.490111917</v>
      </c>
      <c r="E778" s="0" t="n">
        <v>1.586863837419162e-05</v>
      </c>
      <c r="F778" s="0" t="n">
        <v>1.579842411007649e-05</v>
      </c>
      <c r="G778" s="0" t="n">
        <v>7.021426411513872e-08</v>
      </c>
      <c r="H778" s="0" t="b">
        <v>0</v>
      </c>
    </row>
    <row r="779">
      <c r="A779" s="0" t="n">
        <v>118</v>
      </c>
      <c r="B779" s="0" t="n">
        <v>23</v>
      </c>
      <c r="C779" s="0" t="n">
        <v>4947044.570468751</v>
      </c>
      <c r="D779" s="0" t="n">
        <v>4987399.844454827</v>
      </c>
      <c r="E779" s="0" t="n">
        <v>1.587078429930072e-05</v>
      </c>
      <c r="F779" s="0" t="n">
        <v>1.579842411007649e-05</v>
      </c>
      <c r="G779" s="0" t="n">
        <v>7.236018922423656e-08</v>
      </c>
      <c r="H779" s="0" t="b">
        <v>0</v>
      </c>
    </row>
    <row r="780">
      <c r="A780" s="0" t="n">
        <v>119</v>
      </c>
      <c r="B780" s="0" t="n">
        <v>1</v>
      </c>
      <c r="C780" s="0" t="n">
        <v>6050000</v>
      </c>
      <c r="D780" s="0" t="n">
        <v>-120346587.036296</v>
      </c>
      <c r="E780" s="0" t="n">
        <v>1.185668810900693e-05</v>
      </c>
      <c r="F780" s="0" t="n">
        <v>1.54961944859755e-05</v>
      </c>
      <c r="G780" s="0" t="n">
        <v>-3.639506376968569e-06</v>
      </c>
      <c r="H780" s="0" t="b">
        <v>1</v>
      </c>
    </row>
    <row r="781">
      <c r="A781" s="0" t="n">
        <v>119</v>
      </c>
      <c r="B781" s="0" t="n">
        <v>2</v>
      </c>
      <c r="C781" s="0" t="n">
        <v>9025000</v>
      </c>
      <c r="D781" s="0" t="n">
        <v>64927053523.7888</v>
      </c>
      <c r="E781" s="0" t="n">
        <v>0.000218680401295586</v>
      </c>
      <c r="F781" s="0" t="n">
        <v>1.549619448597549e-05</v>
      </c>
      <c r="G781" s="0" t="n">
        <v>0.0002031842068096105</v>
      </c>
      <c r="H781" s="0" t="b">
        <v>0</v>
      </c>
    </row>
    <row r="782">
      <c r="A782" s="0" t="n">
        <v>119</v>
      </c>
      <c r="B782" s="0" t="n">
        <v>3</v>
      </c>
      <c r="C782" s="0" t="n">
        <v>7537500</v>
      </c>
      <c r="D782" s="0" t="n">
        <v>10403664406.94873</v>
      </c>
      <c r="E782" s="0" t="n">
        <v>6.675459621924813e-05</v>
      </c>
      <c r="F782" s="0" t="n">
        <v>1.54961944859755e-05</v>
      </c>
      <c r="G782" s="0" t="n">
        <v>5.125840173327263e-05</v>
      </c>
      <c r="H782" s="0" t="b">
        <v>0</v>
      </c>
    </row>
    <row r="783">
      <c r="A783" s="0" t="n">
        <v>119</v>
      </c>
      <c r="B783" s="0" t="n">
        <v>4</v>
      </c>
      <c r="C783" s="0" t="n">
        <v>6793750</v>
      </c>
      <c r="D783" s="0" t="n">
        <v>2120944001.553531</v>
      </c>
      <c r="E783" s="0" t="n">
        <v>3.079729261368514e-05</v>
      </c>
      <c r="F783" s="0" t="n">
        <v>1.54961944859755e-05</v>
      </c>
      <c r="G783" s="0" t="n">
        <v>1.530109812770965e-05</v>
      </c>
      <c r="H783" s="0" t="b">
        <v>0</v>
      </c>
    </row>
    <row r="784">
      <c r="A784" s="0" t="n">
        <v>119</v>
      </c>
      <c r="B784" s="0" t="n">
        <v>5</v>
      </c>
      <c r="C784" s="0" t="n">
        <v>6421875</v>
      </c>
      <c r="D784" s="0" t="n">
        <v>424608699.9414685</v>
      </c>
      <c r="E784" s="0" t="n">
        <v>1.962429456189785e-05</v>
      </c>
      <c r="F784" s="0" t="n">
        <v>1.54961944859755e-05</v>
      </c>
      <c r="G784" s="0" t="n">
        <v>4.12810007592235e-06</v>
      </c>
      <c r="H784" s="0" t="b">
        <v>0</v>
      </c>
    </row>
    <row r="785">
      <c r="A785" s="0" t="n">
        <v>119</v>
      </c>
      <c r="B785" s="0" t="n">
        <v>6</v>
      </c>
      <c r="C785" s="0" t="n">
        <v>6235937.5</v>
      </c>
      <c r="D785" s="0" t="n">
        <v>-8948761.017725538</v>
      </c>
      <c r="E785" s="0" t="n">
        <v>1.536494130589941e-05</v>
      </c>
      <c r="F785" s="0" t="n">
        <v>1.54961944859755e-05</v>
      </c>
      <c r="G785" s="0" t="n">
        <v>-1.312531800760855e-07</v>
      </c>
      <c r="H785" s="0" t="b">
        <v>1</v>
      </c>
    </row>
    <row r="786">
      <c r="A786" s="0" t="n">
        <v>119</v>
      </c>
      <c r="B786" s="0" t="n">
        <v>7</v>
      </c>
      <c r="C786" s="0" t="n">
        <v>6328906.25</v>
      </c>
      <c r="D786" s="0" t="n">
        <v>164879712.914655</v>
      </c>
      <c r="E786" s="0" t="n">
        <v>1.739456454714417e-05</v>
      </c>
      <c r="F786" s="0" t="n">
        <v>1.54961944859755e-05</v>
      </c>
      <c r="G786" s="0" t="n">
        <v>1.898370061168671e-06</v>
      </c>
      <c r="H786" s="0" t="b">
        <v>0</v>
      </c>
    </row>
    <row r="787">
      <c r="A787" s="0" t="n">
        <v>119</v>
      </c>
      <c r="B787" s="0" t="n">
        <v>8</v>
      </c>
      <c r="C787" s="0" t="n">
        <v>6282421.875</v>
      </c>
      <c r="D787" s="0" t="n">
        <v>66550493.28679775</v>
      </c>
      <c r="E787" s="0" t="n">
        <v>1.635553222426254e-05</v>
      </c>
      <c r="F787" s="0" t="n">
        <v>1.54961944859755e-05</v>
      </c>
      <c r="G787" s="0" t="n">
        <v>8.593377382870407e-07</v>
      </c>
      <c r="H787" s="0" t="b">
        <v>0</v>
      </c>
    </row>
    <row r="788">
      <c r="A788" s="0" t="n">
        <v>119</v>
      </c>
      <c r="B788" s="0" t="n">
        <v>9</v>
      </c>
      <c r="C788" s="0" t="n">
        <v>6259179.6875</v>
      </c>
      <c r="D788" s="0" t="n">
        <v>26069083.14411965</v>
      </c>
      <c r="E788" s="0" t="n">
        <v>1.585432094204963e-05</v>
      </c>
      <c r="F788" s="0" t="n">
        <v>1.54961944859755e-05</v>
      </c>
      <c r="G788" s="0" t="n">
        <v>3.5812645607413e-07</v>
      </c>
      <c r="H788" s="0" t="b">
        <v>0</v>
      </c>
    </row>
    <row r="789">
      <c r="A789" s="0" t="n">
        <v>119</v>
      </c>
      <c r="B789" s="0" t="n">
        <v>10</v>
      </c>
      <c r="C789" s="0" t="n">
        <v>6247558.59375</v>
      </c>
      <c r="D789" s="0" t="n">
        <v>7892410.847763713</v>
      </c>
      <c r="E789" s="0" t="n">
        <v>1.56081730598836e-05</v>
      </c>
      <c r="F789" s="0" t="n">
        <v>1.54961944859755e-05</v>
      </c>
      <c r="G789" s="0" t="n">
        <v>1.119785739080998e-07</v>
      </c>
      <c r="H789" s="0" t="b">
        <v>0</v>
      </c>
    </row>
    <row r="790">
      <c r="A790" s="0" t="n">
        <v>119</v>
      </c>
      <c r="B790" s="0" t="n">
        <v>11</v>
      </c>
      <c r="C790" s="0" t="n">
        <v>6241748.046875</v>
      </c>
      <c r="D790" s="0" t="n">
        <v>-693730.0328825094</v>
      </c>
      <c r="E790" s="0" t="n">
        <v>1.548618816087365e-05</v>
      </c>
      <c r="F790" s="0" t="n">
        <v>1.54961944859755e-05</v>
      </c>
      <c r="G790" s="0" t="n">
        <v>-1.000632510184796e-08</v>
      </c>
      <c r="H790" s="0" t="b">
        <v>1</v>
      </c>
    </row>
    <row r="791">
      <c r="A791" s="0" t="n">
        <v>119</v>
      </c>
      <c r="B791" s="0" t="n">
        <v>12</v>
      </c>
      <c r="C791" s="0" t="n">
        <v>6244653.3203125</v>
      </c>
      <c r="D791" s="0" t="n">
        <v>3557786.640355615</v>
      </c>
      <c r="E791" s="0" t="n">
        <v>1.554708908703509e-05</v>
      </c>
      <c r="F791" s="0" t="n">
        <v>1.54961944859755e-05</v>
      </c>
      <c r="G791" s="0" t="n">
        <v>5.089460105959387e-08</v>
      </c>
      <c r="H791" s="0" t="b">
        <v>0</v>
      </c>
    </row>
    <row r="792">
      <c r="A792" s="0" t="n">
        <v>119</v>
      </c>
      <c r="B792" s="0" t="n">
        <v>13</v>
      </c>
      <c r="C792" s="0" t="n">
        <v>6246105.95703125</v>
      </c>
      <c r="D792" s="0" t="n">
        <v>5714633.065019424</v>
      </c>
      <c r="E792" s="0" t="n">
        <v>1.557760748012236e-05</v>
      </c>
      <c r="F792" s="0" t="n">
        <v>1.54961944859755e-05</v>
      </c>
      <c r="G792" s="0" t="n">
        <v>8.141299414686799e-08</v>
      </c>
      <c r="H792" s="0" t="b">
        <v>0</v>
      </c>
    </row>
    <row r="793">
      <c r="A793" s="0" t="n">
        <v>119</v>
      </c>
      <c r="B793" s="0" t="n">
        <v>14</v>
      </c>
      <c r="C793" s="0" t="n">
        <v>6247305.95703125</v>
      </c>
      <c r="D793" s="0" t="n">
        <v>7512159.056839134</v>
      </c>
      <c r="E793" s="0" t="n">
        <v>1.560285389187154e-05</v>
      </c>
      <c r="F793" s="0" t="n">
        <v>1.54961944859755e-05</v>
      </c>
      <c r="G793" s="0" t="n">
        <v>1.066594058960416e-07</v>
      </c>
      <c r="H793" s="0" t="b">
        <v>0</v>
      </c>
    </row>
    <row r="794">
      <c r="A794" s="0" t="n">
        <v>119</v>
      </c>
      <c r="B794" s="0" t="n">
        <v>15</v>
      </c>
      <c r="C794" s="0" t="n">
        <v>6246705.95703125</v>
      </c>
      <c r="D794" s="0" t="n">
        <v>6611679.705225369</v>
      </c>
      <c r="E794" s="0" t="n">
        <v>1.559022765948947e-05</v>
      </c>
      <c r="F794" s="0" t="n">
        <v>1.54961944859755e-05</v>
      </c>
      <c r="G794" s="0" t="n">
        <v>9.40331735139739e-08</v>
      </c>
      <c r="H794" s="0" t="b">
        <v>0</v>
      </c>
    </row>
    <row r="795">
      <c r="A795" s="0" t="n">
        <v>119</v>
      </c>
      <c r="B795" s="0" t="n">
        <v>16</v>
      </c>
      <c r="C795" s="0" t="n">
        <v>6245985.95703125</v>
      </c>
      <c r="D795" s="0" t="n">
        <v>5535664.185791702</v>
      </c>
      <c r="E795" s="0" t="n">
        <v>1.557508457594244e-05</v>
      </c>
      <c r="F795" s="0" t="n">
        <v>1.54961944859755e-05</v>
      </c>
      <c r="G795" s="0" t="n">
        <v>7.889008996694332e-08</v>
      </c>
      <c r="H795" s="0" t="b">
        <v>0</v>
      </c>
    </row>
    <row r="796">
      <c r="A796" s="0" t="n">
        <v>119</v>
      </c>
      <c r="B796" s="0" t="n">
        <v>17</v>
      </c>
      <c r="C796" s="0" t="n">
        <v>6246345.95703125</v>
      </c>
      <c r="D796" s="0" t="n">
        <v>6072998.04786798</v>
      </c>
      <c r="E796" s="0" t="n">
        <v>1.558265423572385e-05</v>
      </c>
      <c r="F796" s="0" t="n">
        <v>1.54961944859755e-05</v>
      </c>
      <c r="G796" s="0" t="n">
        <v>8.645974974835142e-08</v>
      </c>
      <c r="H796" s="0" t="b">
        <v>0</v>
      </c>
    </row>
    <row r="797">
      <c r="A797" s="0" t="n">
        <v>119</v>
      </c>
      <c r="B797" s="0" t="n">
        <v>18</v>
      </c>
      <c r="C797" s="0" t="n">
        <v>6246777.95703125</v>
      </c>
      <c r="D797" s="0" t="n">
        <v>6719491.209396339</v>
      </c>
      <c r="E797" s="0" t="n">
        <v>1.559174157911984e-05</v>
      </c>
      <c r="F797" s="0" t="n">
        <v>1.54961944859755e-05</v>
      </c>
      <c r="G797" s="0" t="n">
        <v>9.554709314433846e-08</v>
      </c>
      <c r="H797" s="0" t="b">
        <v>0</v>
      </c>
    </row>
    <row r="798">
      <c r="A798" s="0" t="n">
        <v>119</v>
      </c>
      <c r="B798" s="0" t="n">
        <v>19</v>
      </c>
      <c r="C798" s="0" t="n">
        <v>6246561.95703125</v>
      </c>
      <c r="D798" s="0" t="n">
        <v>6396079.314124451</v>
      </c>
      <c r="E798" s="0" t="n">
        <v>1.558719831742036e-05</v>
      </c>
      <c r="F798" s="0" t="n">
        <v>1.54961944859755e-05</v>
      </c>
      <c r="G798" s="0" t="n">
        <v>9.100383144486221e-08</v>
      </c>
      <c r="H798" s="0" t="b">
        <v>0</v>
      </c>
    </row>
    <row r="799">
      <c r="A799" s="0" t="n">
        <v>119</v>
      </c>
      <c r="B799" s="0" t="n">
        <v>20</v>
      </c>
      <c r="C799" s="0" t="n">
        <v>6246302.75703125</v>
      </c>
      <c r="D799" s="0" t="n">
        <v>6008515.750754533</v>
      </c>
      <c r="E799" s="0" t="n">
        <v>1.558174664777867e-05</v>
      </c>
      <c r="F799" s="0" t="n">
        <v>1.54961944859755e-05</v>
      </c>
      <c r="G799" s="0" t="n">
        <v>8.555216180317451e-08</v>
      </c>
      <c r="H799" s="0" t="b">
        <v>0</v>
      </c>
    </row>
    <row r="800">
      <c r="A800" s="0" t="n">
        <v>119</v>
      </c>
      <c r="B800" s="0" t="n">
        <v>21</v>
      </c>
      <c r="C800" s="0" t="n">
        <v>6246432.357031249</v>
      </c>
      <c r="D800" s="0" t="n">
        <v>6202148.927047582</v>
      </c>
      <c r="E800" s="0" t="n">
        <v>1.558447137695155e-05</v>
      </c>
      <c r="F800" s="0" t="n">
        <v>1.54961944859755e-05</v>
      </c>
      <c r="G800" s="0" t="n">
        <v>8.827689097605585e-08</v>
      </c>
      <c r="H800" s="0" t="b">
        <v>0</v>
      </c>
    </row>
    <row r="801">
      <c r="A801" s="0" t="n">
        <v>120</v>
      </c>
      <c r="B801" s="0" t="n">
        <v>1</v>
      </c>
      <c r="C801" s="0" t="n">
        <v>6050000</v>
      </c>
      <c r="D801" s="0" t="n">
        <v>353131472149.7837</v>
      </c>
      <c r="E801" s="0" t="n">
        <v>0.0007414307747446503</v>
      </c>
      <c r="F801" s="0" t="n">
        <v>1.520317029067889e-05</v>
      </c>
      <c r="G801" s="0" t="n">
        <v>0.0007262276044539714</v>
      </c>
      <c r="H801" s="0" t="b">
        <v>0</v>
      </c>
    </row>
    <row r="802">
      <c r="A802" s="0" t="n">
        <v>120</v>
      </c>
      <c r="B802" s="0" t="n">
        <v>2</v>
      </c>
      <c r="C802" s="0" t="n">
        <v>3075000</v>
      </c>
      <c r="D802" s="0" t="n">
        <v>-5271367.170274749</v>
      </c>
      <c r="E802" s="0" t="n">
        <v>6.89601403508124e-06</v>
      </c>
      <c r="F802" s="0" t="n">
        <v>1.520317029067892e-05</v>
      </c>
      <c r="G802" s="0" t="n">
        <v>-8.307156255597676e-06</v>
      </c>
      <c r="H802" s="0" t="b">
        <v>1</v>
      </c>
    </row>
    <row r="803">
      <c r="A803" s="0" t="n">
        <v>120</v>
      </c>
      <c r="B803" s="0" t="n">
        <v>3</v>
      </c>
      <c r="C803" s="0" t="n">
        <v>4562500</v>
      </c>
      <c r="D803" s="0" t="n">
        <v>29089507101.77753</v>
      </c>
      <c r="E803" s="0" t="n">
        <v>0.0001235432337638762</v>
      </c>
      <c r="F803" s="0" t="n">
        <v>1.520317029067892e-05</v>
      </c>
      <c r="G803" s="0" t="n">
        <v>0.0001083400634731973</v>
      </c>
      <c r="H803" s="0" t="b">
        <v>0</v>
      </c>
    </row>
    <row r="804">
      <c r="A804" s="0" t="n">
        <v>120</v>
      </c>
      <c r="B804" s="0" t="n">
        <v>4</v>
      </c>
      <c r="C804" s="0" t="n">
        <v>3818750</v>
      </c>
      <c r="D804" s="0" t="n">
        <v>2404579070.055921</v>
      </c>
      <c r="E804" s="0" t="n">
        <v>3.169632441922657e-05</v>
      </c>
      <c r="F804" s="0" t="n">
        <v>1.520317029067891e-05</v>
      </c>
      <c r="G804" s="0" t="n">
        <v>1.649315412854766e-05</v>
      </c>
      <c r="H804" s="0" t="b">
        <v>0</v>
      </c>
    </row>
    <row r="805">
      <c r="A805" s="0" t="n">
        <v>120</v>
      </c>
      <c r="B805" s="0" t="n">
        <v>5</v>
      </c>
      <c r="C805" s="0" t="n">
        <v>3446875</v>
      </c>
      <c r="D805" s="0" t="n">
        <v>-104604656.1846264</v>
      </c>
      <c r="E805" s="0" t="n">
        <v>1.305585251814654e-05</v>
      </c>
      <c r="F805" s="0" t="n">
        <v>1.520317029067892e-05</v>
      </c>
      <c r="G805" s="0" t="n">
        <v>-2.147317772532371e-06</v>
      </c>
      <c r="H805" s="0" t="b">
        <v>1</v>
      </c>
    </row>
    <row r="806">
      <c r="A806" s="0" t="n">
        <v>120</v>
      </c>
      <c r="B806" s="0" t="n">
        <v>6</v>
      </c>
      <c r="C806" s="0" t="n">
        <v>3632812.5</v>
      </c>
      <c r="D806" s="0" t="n">
        <v>622705485.8891201</v>
      </c>
      <c r="E806" s="0" t="n">
        <v>2.078895389785949e-05</v>
      </c>
      <c r="F806" s="0" t="n">
        <v>1.520317029067892e-05</v>
      </c>
      <c r="G806" s="0" t="n">
        <v>5.585783607180571e-06</v>
      </c>
      <c r="H806" s="0" t="b">
        <v>0</v>
      </c>
    </row>
    <row r="807">
      <c r="A807" s="0" t="n">
        <v>120</v>
      </c>
      <c r="B807" s="0" t="n">
        <v>7</v>
      </c>
      <c r="C807" s="0" t="n">
        <v>3539843.75</v>
      </c>
      <c r="D807" s="0" t="n">
        <v>114613262.744684</v>
      </c>
      <c r="E807" s="0" t="n">
        <v>1.657148153483441e-05</v>
      </c>
      <c r="F807" s="0" t="n">
        <v>1.520317029067892e-05</v>
      </c>
      <c r="G807" s="0" t="n">
        <v>1.368311244155496e-06</v>
      </c>
      <c r="H807" s="0" t="b">
        <v>0</v>
      </c>
    </row>
    <row r="808">
      <c r="A808" s="0" t="n">
        <v>120</v>
      </c>
      <c r="B808" s="0" t="n">
        <v>8</v>
      </c>
      <c r="C808" s="0" t="n">
        <v>3493359.375</v>
      </c>
      <c r="D808" s="0" t="n">
        <v>-31096960.38641708</v>
      </c>
      <c r="E808" s="0" t="n">
        <v>1.473130226992499e-05</v>
      </c>
      <c r="F808" s="0" t="n">
        <v>1.520317029067892e-05</v>
      </c>
      <c r="G808" s="0" t="n">
        <v>-4.718680207539289e-07</v>
      </c>
      <c r="H808" s="0" t="b">
        <v>1</v>
      </c>
    </row>
    <row r="809">
      <c r="A809" s="0" t="n">
        <v>120</v>
      </c>
      <c r="B809" s="0" t="n">
        <v>9</v>
      </c>
      <c r="C809" s="0" t="n">
        <v>3516601.5625</v>
      </c>
      <c r="D809" s="0" t="n">
        <v>31918133.72438302</v>
      </c>
      <c r="E809" s="0" t="n">
        <v>1.563012458937434e-05</v>
      </c>
      <c r="F809" s="0" t="n">
        <v>1.520317029067892e-05</v>
      </c>
      <c r="G809" s="0" t="n">
        <v>4.269542986954288e-07</v>
      </c>
      <c r="H809" s="0" t="b">
        <v>0</v>
      </c>
    </row>
    <row r="810">
      <c r="A810" s="0" t="n">
        <v>120</v>
      </c>
      <c r="B810" s="0" t="n">
        <v>10</v>
      </c>
      <c r="C810" s="0" t="n">
        <v>3504980.46875</v>
      </c>
      <c r="D810" s="0" t="n">
        <v>-1946838.146407719</v>
      </c>
      <c r="E810" s="0" t="n">
        <v>1.51754810083759e-05</v>
      </c>
      <c r="F810" s="0" t="n">
        <v>1.520317029067892e-05</v>
      </c>
      <c r="G810" s="0" t="n">
        <v>-2.768928230301973e-08</v>
      </c>
      <c r="H810" s="0" t="b">
        <v>1</v>
      </c>
    </row>
    <row r="811">
      <c r="A811" s="0" t="n">
        <v>120</v>
      </c>
      <c r="B811" s="0" t="n">
        <v>11</v>
      </c>
      <c r="C811" s="0" t="n">
        <v>3510791.015625</v>
      </c>
      <c r="D811" s="0" t="n">
        <v>14383586.46602184</v>
      </c>
      <c r="E811" s="0" t="n">
        <v>1.540148474428967e-05</v>
      </c>
      <c r="F811" s="0" t="n">
        <v>1.520317029067892e-05</v>
      </c>
      <c r="G811" s="0" t="n">
        <v>1.983144536107591e-07</v>
      </c>
      <c r="H811" s="0" t="b">
        <v>0</v>
      </c>
    </row>
    <row r="812">
      <c r="A812" s="0" t="n">
        <v>120</v>
      </c>
      <c r="B812" s="0" t="n">
        <v>12</v>
      </c>
      <c r="C812" s="0" t="n">
        <v>3507885.7421875</v>
      </c>
      <c r="D812" s="0" t="n">
        <v>6069479.92798314</v>
      </c>
      <c r="E812" s="0" t="n">
        <v>1.528815502034388e-05</v>
      </c>
      <c r="F812" s="0" t="n">
        <v>1.520317029067892e-05</v>
      </c>
      <c r="G812" s="0" t="n">
        <v>8.498472966496662e-08</v>
      </c>
      <c r="H812" s="0" t="b">
        <v>0</v>
      </c>
    </row>
    <row r="813">
      <c r="A813" s="0" t="n">
        <v>120</v>
      </c>
      <c r="B813" s="0" t="n">
        <v>13</v>
      </c>
      <c r="C813" s="0" t="n">
        <v>3506433.10546875</v>
      </c>
      <c r="D813" s="0" t="n">
        <v>2024319.765377956</v>
      </c>
      <c r="E813" s="0" t="n">
        <v>1.523173654555758e-05</v>
      </c>
      <c r="F813" s="0" t="n">
        <v>1.520317029067892e-05</v>
      </c>
      <c r="G813" s="0" t="n">
        <v>2.856625487866689e-08</v>
      </c>
      <c r="H813" s="0" t="b">
        <v>0</v>
      </c>
    </row>
    <row r="814">
      <c r="A814" s="0" t="n">
        <v>120</v>
      </c>
      <c r="B814" s="0" t="n">
        <v>14</v>
      </c>
      <c r="C814" s="0" t="n">
        <v>3506933.10546875</v>
      </c>
      <c r="D814" s="0" t="n">
        <v>3408291.451349656</v>
      </c>
      <c r="E814" s="0" t="n">
        <v>1.525113737381638e-05</v>
      </c>
      <c r="F814" s="0" t="n">
        <v>1.520317029067892e-05</v>
      </c>
      <c r="G814" s="0" t="n">
        <v>4.796708313746787e-08</v>
      </c>
      <c r="H814" s="0" t="b">
        <v>0</v>
      </c>
    </row>
    <row r="815">
      <c r="A815" s="0" t="n">
        <v>120</v>
      </c>
      <c r="B815" s="0" t="n">
        <v>15</v>
      </c>
      <c r="C815" s="0" t="n">
        <v>3507533.10546875</v>
      </c>
      <c r="D815" s="0" t="n">
        <v>5080599.238815884</v>
      </c>
      <c r="E815" s="0" t="n">
        <v>1.527444312045558e-05</v>
      </c>
      <c r="F815" s="0" t="n">
        <v>1.520317029067892e-05</v>
      </c>
      <c r="G815" s="0" t="n">
        <v>7.127282977666237e-08</v>
      </c>
      <c r="H815" s="0" t="b">
        <v>0</v>
      </c>
    </row>
    <row r="816">
      <c r="A816" s="0" t="n">
        <v>120</v>
      </c>
      <c r="B816" s="0" t="n">
        <v>16</v>
      </c>
      <c r="C816" s="0" t="n">
        <v>3507233.10546875</v>
      </c>
      <c r="D816" s="0" t="n">
        <v>4242893.071540608</v>
      </c>
      <c r="E816" s="0" t="n">
        <v>1.526278719225688e-05</v>
      </c>
      <c r="F816" s="0" t="n">
        <v>1.520317029067892e-05</v>
      </c>
      <c r="G816" s="0" t="n">
        <v>5.961690157796323e-08</v>
      </c>
      <c r="H816" s="0" t="b">
        <v>0</v>
      </c>
    </row>
    <row r="817">
      <c r="A817" s="0" t="n">
        <v>120</v>
      </c>
      <c r="B817" s="0" t="n">
        <v>17</v>
      </c>
      <c r="C817" s="0" t="n">
        <v>3506873.10546875</v>
      </c>
      <c r="D817" s="0" t="n">
        <v>3241751.008072636</v>
      </c>
      <c r="E817" s="0" t="n">
        <v>1.524880824923386e-05</v>
      </c>
      <c r="F817" s="0" t="n">
        <v>1.520317029067892e-05</v>
      </c>
      <c r="G817" s="0" t="n">
        <v>4.563795855494622e-08</v>
      </c>
      <c r="H817" s="0" t="b">
        <v>0</v>
      </c>
    </row>
    <row r="818">
      <c r="A818" s="0" t="n">
        <v>120</v>
      </c>
      <c r="B818" s="0" t="n">
        <v>18</v>
      </c>
      <c r="C818" s="0" t="n">
        <v>3507053.10546875</v>
      </c>
      <c r="D818" s="0" t="n">
        <v>3741688.848960525</v>
      </c>
      <c r="E818" s="0" t="n">
        <v>1.525579557836216e-05</v>
      </c>
      <c r="F818" s="0" t="n">
        <v>1.520317029067892e-05</v>
      </c>
      <c r="G818" s="0" t="n">
        <v>5.26252876832448e-08</v>
      </c>
      <c r="H818" s="0" t="b">
        <v>0</v>
      </c>
    </row>
    <row r="819">
      <c r="A819" s="0" t="n">
        <v>120</v>
      </c>
      <c r="B819" s="0" t="n">
        <v>19</v>
      </c>
      <c r="C819" s="0" t="n">
        <v>3506963.10546875</v>
      </c>
      <c r="D819" s="0" t="n">
        <v>3491609.142307467</v>
      </c>
      <c r="E819" s="0" t="n">
        <v>1.525230204098302e-05</v>
      </c>
      <c r="F819" s="0" t="n">
        <v>1.520317029067892e-05</v>
      </c>
      <c r="G819" s="0" t="n">
        <v>4.91317503040995e-08</v>
      </c>
      <c r="H819" s="0" t="b">
        <v>0</v>
      </c>
    </row>
    <row r="820">
      <c r="A820" s="0" t="n">
        <v>121</v>
      </c>
      <c r="B820" s="0" t="n">
        <v>1</v>
      </c>
      <c r="C820" s="0" t="n">
        <v>6050000</v>
      </c>
      <c r="D820" s="0" t="n">
        <v>684520948535.2299</v>
      </c>
      <c r="E820" s="0" t="n">
        <v>0.0009287887106574442</v>
      </c>
      <c r="F820" s="0" t="n">
        <v>1.214782050917927e-05</v>
      </c>
      <c r="G820" s="0" t="n">
        <v>0.0009166408901482649</v>
      </c>
      <c r="H820" s="0" t="b">
        <v>0</v>
      </c>
    </row>
    <row r="821">
      <c r="A821" s="0" t="n">
        <v>121</v>
      </c>
      <c r="B821" s="0" t="n">
        <v>2</v>
      </c>
      <c r="C821" s="0" t="n">
        <v>3075000</v>
      </c>
      <c r="D821" s="0" t="n">
        <v>-79078068.95850225</v>
      </c>
      <c r="E821" s="0" t="n">
        <v>8.117957975582047e-06</v>
      </c>
      <c r="F821" s="0" t="n">
        <v>1.214782050917923e-05</v>
      </c>
      <c r="G821" s="0" t="n">
        <v>-4.029862533597182e-06</v>
      </c>
      <c r="H821" s="0" t="b">
        <v>1</v>
      </c>
    </row>
    <row r="822">
      <c r="A822" s="0" t="n">
        <v>121</v>
      </c>
      <c r="B822" s="0" t="n">
        <v>3</v>
      </c>
      <c r="C822" s="0" t="n">
        <v>4562500</v>
      </c>
      <c r="D822" s="0" t="n">
        <v>66667909490.74266</v>
      </c>
      <c r="E822" s="0" t="n">
        <v>0.0001660783073864829</v>
      </c>
      <c r="F822" s="0" t="n">
        <v>1.214782050917924e-05</v>
      </c>
      <c r="G822" s="0" t="n">
        <v>0.0001539304868773036</v>
      </c>
      <c r="H822" s="0" t="b">
        <v>0</v>
      </c>
    </row>
    <row r="823">
      <c r="A823" s="0" t="n">
        <v>121</v>
      </c>
      <c r="B823" s="0" t="n">
        <v>4</v>
      </c>
      <c r="C823" s="0" t="n">
        <v>3818750</v>
      </c>
      <c r="D823" s="0" t="n">
        <v>8507106859.607508</v>
      </c>
      <c r="E823" s="0" t="n">
        <v>4.5150925882777e-05</v>
      </c>
      <c r="F823" s="0" t="n">
        <v>1.214782050917923e-05</v>
      </c>
      <c r="G823" s="0" t="n">
        <v>3.300310537359778e-05</v>
      </c>
      <c r="H823" s="0" t="b">
        <v>0</v>
      </c>
    </row>
    <row r="824">
      <c r="A824" s="0" t="n">
        <v>121</v>
      </c>
      <c r="B824" s="0" t="n">
        <v>5</v>
      </c>
      <c r="C824" s="0" t="n">
        <v>3446875</v>
      </c>
      <c r="D824" s="0" t="n">
        <v>1165268445.521261</v>
      </c>
      <c r="E824" s="0" t="n">
        <v>1.933466831239963e-05</v>
      </c>
      <c r="F824" s="0" t="n">
        <v>1.214782050917923e-05</v>
      </c>
      <c r="G824" s="0" t="n">
        <v>7.186847803220402e-06</v>
      </c>
      <c r="H824" s="0" t="b">
        <v>0</v>
      </c>
    </row>
    <row r="825">
      <c r="A825" s="0" t="n">
        <v>121</v>
      </c>
      <c r="B825" s="0" t="n">
        <v>6</v>
      </c>
      <c r="C825" s="0" t="n">
        <v>3260937.5</v>
      </c>
      <c r="D825" s="0" t="n">
        <v>-27327250.51007489</v>
      </c>
      <c r="E825" s="0" t="n">
        <v>1.180668294468979e-05</v>
      </c>
      <c r="F825" s="0" t="n">
        <v>1.214782050917923e-05</v>
      </c>
      <c r="G825" s="0" t="n">
        <v>-3.41137564489438e-07</v>
      </c>
      <c r="H825" s="0" t="b">
        <v>1</v>
      </c>
    </row>
    <row r="826">
      <c r="A826" s="0" t="n">
        <v>121</v>
      </c>
      <c r="B826" s="0" t="n">
        <v>7</v>
      </c>
      <c r="C826" s="0" t="n">
        <v>3353906.25</v>
      </c>
      <c r="D826" s="0" t="n">
        <v>401019041.2920054</v>
      </c>
      <c r="E826" s="0" t="n">
        <v>1.520885745554927e-05</v>
      </c>
      <c r="F826" s="0" t="n">
        <v>1.214782050917923e-05</v>
      </c>
      <c r="G826" s="0" t="n">
        <v>3.061036946370044e-06</v>
      </c>
      <c r="H826" s="0" t="b">
        <v>0</v>
      </c>
    </row>
    <row r="827">
      <c r="A827" s="0" t="n">
        <v>121</v>
      </c>
      <c r="B827" s="0" t="n">
        <v>8</v>
      </c>
      <c r="C827" s="0" t="n">
        <v>3307421.875</v>
      </c>
      <c r="D827" s="0" t="n">
        <v>133967829.5906302</v>
      </c>
      <c r="E827" s="0" t="n">
        <v>1.342314800648568e-05</v>
      </c>
      <c r="F827" s="0" t="n">
        <v>1.214782050917923e-05</v>
      </c>
      <c r="G827" s="0" t="n">
        <v>1.275327497306454e-06</v>
      </c>
      <c r="H827" s="0" t="b">
        <v>0</v>
      </c>
    </row>
    <row r="828">
      <c r="A828" s="0" t="n">
        <v>121</v>
      </c>
      <c r="B828" s="0" t="n">
        <v>9</v>
      </c>
      <c r="C828" s="0" t="n">
        <v>3284179.6875</v>
      </c>
      <c r="D828" s="0" t="n">
        <v>41286989.46952917</v>
      </c>
      <c r="E828" s="0" t="n">
        <v>1.259447789621167e-05</v>
      </c>
      <c r="F828" s="0" t="n">
        <v>1.214782050917923e-05</v>
      </c>
      <c r="G828" s="0" t="n">
        <v>4.466573870324464e-07</v>
      </c>
      <c r="H828" s="0" t="b">
        <v>0</v>
      </c>
    </row>
    <row r="829">
      <c r="A829" s="0" t="n">
        <v>121</v>
      </c>
      <c r="B829" s="0" t="n">
        <v>10</v>
      </c>
      <c r="C829" s="0" t="n">
        <v>3272558.59375</v>
      </c>
      <c r="D829" s="0" t="n">
        <v>4116825.678564731</v>
      </c>
      <c r="E829" s="0" t="n">
        <v>1.219556082777949e-05</v>
      </c>
      <c r="F829" s="0" t="n">
        <v>1.214782050917923e-05</v>
      </c>
      <c r="G829" s="0" t="n">
        <v>4.774031860026294e-08</v>
      </c>
      <c r="H829" s="0" t="b">
        <v>0</v>
      </c>
    </row>
    <row r="830">
      <c r="A830" s="0" t="n">
        <v>121</v>
      </c>
      <c r="B830" s="0" t="n">
        <v>11</v>
      </c>
      <c r="C830" s="0" t="n">
        <v>3266748.046875</v>
      </c>
      <c r="D830" s="0" t="n">
        <v>-12302884.28217172</v>
      </c>
      <c r="E830" s="0" t="n">
        <v>1.199987894978612e-05</v>
      </c>
      <c r="F830" s="0" t="n">
        <v>1.214782050917923e-05</v>
      </c>
      <c r="G830" s="0" t="n">
        <v>-1.479415593931059e-07</v>
      </c>
      <c r="H830" s="0" t="b">
        <v>1</v>
      </c>
    </row>
    <row r="831">
      <c r="A831" s="0" t="n">
        <v>121</v>
      </c>
      <c r="B831" s="0" t="n">
        <v>12</v>
      </c>
      <c r="C831" s="0" t="n">
        <v>3269653.3203125</v>
      </c>
      <c r="D831" s="0" t="n">
        <v>-4269736.874192107</v>
      </c>
      <c r="E831" s="0" t="n">
        <v>1.209740725100902e-05</v>
      </c>
      <c r="F831" s="0" t="n">
        <v>1.214782050917923e-05</v>
      </c>
      <c r="G831" s="0" t="n">
        <v>-5.041325817020365e-08</v>
      </c>
      <c r="H831" s="0" t="b">
        <v>1</v>
      </c>
    </row>
    <row r="832">
      <c r="A832" s="0" t="n">
        <v>121</v>
      </c>
      <c r="B832" s="0" t="n">
        <v>13</v>
      </c>
      <c r="C832" s="0" t="n">
        <v>3271105.95703125</v>
      </c>
      <c r="D832" s="0" t="n">
        <v>-120848.7000211827</v>
      </c>
      <c r="E832" s="0" t="n">
        <v>1.214640647294958e-05</v>
      </c>
      <c r="F832" s="0" t="n">
        <v>1.214782050917923e-05</v>
      </c>
      <c r="G832" s="0" t="n">
        <v>-1.414036229646924e-09</v>
      </c>
      <c r="H832" s="0" t="b">
        <v>1</v>
      </c>
    </row>
    <row r="833">
      <c r="A833" s="0" t="n">
        <v>121</v>
      </c>
      <c r="B833" s="0" t="n">
        <v>14</v>
      </c>
      <c r="C833" s="0" t="n">
        <v>3271605.95703125</v>
      </c>
      <c r="D833" s="0" t="n">
        <v>1327724.1181351</v>
      </c>
      <c r="E833" s="0" t="n">
        <v>1.216330804002653e-05</v>
      </c>
      <c r="F833" s="0" t="n">
        <v>1.214782050917923e-05</v>
      </c>
      <c r="G833" s="0" t="n">
        <v>1.54875308473027e-08</v>
      </c>
      <c r="H833" s="0" t="b">
        <v>0</v>
      </c>
    </row>
    <row r="834">
      <c r="A834" s="0" t="n">
        <v>121</v>
      </c>
      <c r="B834" s="0" t="n">
        <v>15</v>
      </c>
      <c r="C834" s="0" t="n">
        <v>3272205.95703125</v>
      </c>
      <c r="D834" s="0" t="n">
        <v>3079887.688421646</v>
      </c>
      <c r="E834" s="0" t="n">
        <v>1.218361372926779e-05</v>
      </c>
      <c r="F834" s="0" t="n">
        <v>1.214782050917923e-05</v>
      </c>
      <c r="G834" s="0" t="n">
        <v>3.579322008855657e-08</v>
      </c>
      <c r="H834" s="0" t="b">
        <v>0</v>
      </c>
    </row>
    <row r="835">
      <c r="A835" s="0" t="n">
        <v>121</v>
      </c>
      <c r="B835" s="0" t="n">
        <v>16</v>
      </c>
      <c r="C835" s="0" t="n">
        <v>3272925.95703125</v>
      </c>
      <c r="D835" s="0" t="n">
        <v>5202734.890834562</v>
      </c>
      <c r="E835" s="0" t="n">
        <v>1.220801737036273e-05</v>
      </c>
      <c r="F835" s="0" t="n">
        <v>1.214782050917923e-05</v>
      </c>
      <c r="G835" s="0" t="n">
        <v>6.019686118350399e-08</v>
      </c>
      <c r="H835" s="0" t="b">
        <v>0</v>
      </c>
    </row>
    <row r="836">
      <c r="A836" s="0" t="n">
        <v>121</v>
      </c>
      <c r="B836" s="0" t="n">
        <v>17</v>
      </c>
      <c r="C836" s="0" t="n">
        <v>3272565.95703125</v>
      </c>
      <c r="D836" s="0" t="n">
        <v>4138593.506361844</v>
      </c>
      <c r="E836" s="0" t="n">
        <v>1.219581107601711e-05</v>
      </c>
      <c r="F836" s="0" t="n">
        <v>1.214782050917923e-05</v>
      </c>
      <c r="G836" s="0" t="n">
        <v>4.799056683788169e-08</v>
      </c>
      <c r="H836" s="0" t="b">
        <v>0</v>
      </c>
    </row>
    <row r="837">
      <c r="A837" s="0" t="n">
        <v>121</v>
      </c>
      <c r="B837" s="0" t="n">
        <v>18</v>
      </c>
      <c r="C837" s="0" t="n">
        <v>3272133.95703125</v>
      </c>
      <c r="D837" s="0" t="n">
        <v>2868817.111512293</v>
      </c>
      <c r="E837" s="0" t="n">
        <v>1.218117555278774e-05</v>
      </c>
      <c r="F837" s="0" t="n">
        <v>1.214782050917923e-05</v>
      </c>
      <c r="G837" s="0" t="n">
        <v>3.335504360851275e-08</v>
      </c>
      <c r="H837" s="0" t="b">
        <v>0</v>
      </c>
    </row>
    <row r="838">
      <c r="A838" s="0" t="n">
        <v>121</v>
      </c>
      <c r="B838" s="0" t="n">
        <v>19</v>
      </c>
      <c r="C838" s="0" t="n">
        <v>3272349.95703125</v>
      </c>
      <c r="D838" s="0" t="n">
        <v>3502687.276880716</v>
      </c>
      <c r="E838" s="0" t="n">
        <v>1.218849123763995e-05</v>
      </c>
      <c r="F838" s="0" t="n">
        <v>1.214782050917923e-05</v>
      </c>
      <c r="G838" s="0" t="n">
        <v>4.067072846071901e-08</v>
      </c>
      <c r="H838" s="0" t="b">
        <v>0</v>
      </c>
    </row>
    <row r="839">
      <c r="A839" s="0" t="n">
        <v>121</v>
      </c>
      <c r="B839" s="0" t="n">
        <v>20</v>
      </c>
      <c r="C839" s="0" t="n">
        <v>3272241.95703125</v>
      </c>
      <c r="D839" s="0" t="n">
        <v>3185505.268348471</v>
      </c>
      <c r="E839" s="0" t="n">
        <v>1.218483296192642e-05</v>
      </c>
      <c r="F839" s="0" t="n">
        <v>1.214782050917923e-05</v>
      </c>
      <c r="G839" s="0" t="n">
        <v>3.7012452747192e-08</v>
      </c>
      <c r="H839" s="0" t="b">
        <v>0</v>
      </c>
    </row>
    <row r="840">
      <c r="A840" s="0" t="n">
        <v>121</v>
      </c>
      <c r="B840" s="0" t="n">
        <v>21</v>
      </c>
      <c r="C840" s="0" t="n">
        <v>3272295.95703125</v>
      </c>
      <c r="D840" s="0" t="n">
        <v>3344034.52660893</v>
      </c>
      <c r="E840" s="0" t="n">
        <v>1.218666199145154e-05</v>
      </c>
      <c r="F840" s="0" t="n">
        <v>1.214782050917923e-05</v>
      </c>
      <c r="G840" s="0" t="n">
        <v>3.884148227231588e-08</v>
      </c>
      <c r="H840" s="0" t="b">
        <v>0</v>
      </c>
    </row>
    <row r="841">
      <c r="A841" s="0" t="n">
        <v>121</v>
      </c>
      <c r="B841" s="0" t="n">
        <v>22</v>
      </c>
      <c r="C841" s="0" t="n">
        <v>3272268.95703125</v>
      </c>
      <c r="D841" s="0" t="n">
        <v>3264754.462796996</v>
      </c>
      <c r="E841" s="0" t="n">
        <v>1.218574744960732e-05</v>
      </c>
      <c r="F841" s="0" t="n">
        <v>1.214782050917923e-05</v>
      </c>
      <c r="G841" s="0" t="n">
        <v>3.792694042808874e-08</v>
      </c>
      <c r="H841" s="0" t="b">
        <v>0</v>
      </c>
    </row>
    <row r="842">
      <c r="A842" s="0" t="n">
        <v>122</v>
      </c>
      <c r="B842" s="0" t="n">
        <v>1</v>
      </c>
      <c r="C842" s="0" t="n">
        <v>6050000</v>
      </c>
      <c r="D842" s="0" t="n">
        <v>245808547543.3126</v>
      </c>
      <c r="E842" s="0" t="n">
        <v>0.0003817506553670856</v>
      </c>
      <c r="F842" s="0" t="n">
        <v>1.108836305001196e-05</v>
      </c>
      <c r="G842" s="0" t="n">
        <v>0.0003706622923170736</v>
      </c>
      <c r="H842" s="0" t="b">
        <v>0</v>
      </c>
    </row>
    <row r="843">
      <c r="A843" s="0" t="n">
        <v>122</v>
      </c>
      <c r="B843" s="0" t="n">
        <v>2</v>
      </c>
      <c r="C843" s="0" t="n">
        <v>3075000</v>
      </c>
      <c r="D843" s="0" t="n">
        <v>-1390045.167901881</v>
      </c>
      <c r="E843" s="0" t="n">
        <v>3.877791131239951e-06</v>
      </c>
      <c r="F843" s="0" t="n">
        <v>1.108836305001197e-05</v>
      </c>
      <c r="G843" s="0" t="n">
        <v>-7.210571918772016e-06</v>
      </c>
      <c r="H843" s="0" t="b">
        <v>1</v>
      </c>
    </row>
    <row r="844">
      <c r="A844" s="0" t="n">
        <v>122</v>
      </c>
      <c r="B844" s="0" t="n">
        <v>3</v>
      </c>
      <c r="C844" s="0" t="n">
        <v>4562500</v>
      </c>
      <c r="D844" s="0" t="n">
        <v>15616188673.94601</v>
      </c>
      <c r="E844" s="0" t="n">
        <v>5.764838882345423e-05</v>
      </c>
      <c r="F844" s="0" t="n">
        <v>1.108836305001197e-05</v>
      </c>
      <c r="G844" s="0" t="n">
        <v>4.656002577344226e-05</v>
      </c>
      <c r="H844" s="0" t="b">
        <v>0</v>
      </c>
    </row>
    <row r="845">
      <c r="A845" s="0" t="n">
        <v>122</v>
      </c>
      <c r="B845" s="0" t="n">
        <v>4</v>
      </c>
      <c r="C845" s="0" t="n">
        <v>3818750</v>
      </c>
      <c r="D845" s="0" t="n">
        <v>325348696.7866349</v>
      </c>
      <c r="E845" s="0" t="n">
        <v>1.348548119686579e-05</v>
      </c>
      <c r="F845" s="0" t="n">
        <v>1.108836305001197e-05</v>
      </c>
      <c r="G845" s="0" t="n">
        <v>2.397118146853819e-06</v>
      </c>
      <c r="H845" s="0" t="b">
        <v>0</v>
      </c>
    </row>
    <row r="846">
      <c r="A846" s="0" t="n">
        <v>122</v>
      </c>
      <c r="B846" s="0" t="n">
        <v>5</v>
      </c>
      <c r="C846" s="0" t="n">
        <v>3446875</v>
      </c>
      <c r="D846" s="0" t="n">
        <v>-51300222.09000998</v>
      </c>
      <c r="E846" s="0" t="n">
        <v>6.945531462236313e-06</v>
      </c>
      <c r="F846" s="0" t="n">
        <v>1.108836305001197e-05</v>
      </c>
      <c r="G846" s="0" t="n">
        <v>-4.142831587775654e-06</v>
      </c>
      <c r="H846" s="0" t="b">
        <v>1</v>
      </c>
    </row>
    <row r="847">
      <c r="A847" s="0" t="n">
        <v>122</v>
      </c>
      <c r="B847" s="0" t="n">
        <v>6</v>
      </c>
      <c r="C847" s="0" t="n">
        <v>3632812.5</v>
      </c>
      <c r="D847" s="0" t="n">
        <v>-108316180.7762714</v>
      </c>
      <c r="E847" s="0" t="n">
        <v>8.903903295958265e-06</v>
      </c>
      <c r="F847" s="0" t="n">
        <v>1.108836305001197e-05</v>
      </c>
      <c r="G847" s="0" t="n">
        <v>-2.184459754053702e-06</v>
      </c>
      <c r="H847" s="0" t="b">
        <v>1</v>
      </c>
    </row>
    <row r="848">
      <c r="A848" s="0" t="n">
        <v>122</v>
      </c>
      <c r="B848" s="0" t="n">
        <v>7</v>
      </c>
      <c r="C848" s="0" t="n">
        <v>3725781.25</v>
      </c>
      <c r="D848" s="0" t="n">
        <v>-23652943.34220463</v>
      </c>
      <c r="E848" s="0" t="n">
        <v>1.081678695823327e-05</v>
      </c>
      <c r="F848" s="0" t="n">
        <v>1.108836305001197e-05</v>
      </c>
      <c r="G848" s="0" t="n">
        <v>-2.715760917786933e-07</v>
      </c>
      <c r="H848" s="0" t="b">
        <v>1</v>
      </c>
    </row>
    <row r="849">
      <c r="A849" s="0" t="n">
        <v>122</v>
      </c>
      <c r="B849" s="0" t="n">
        <v>8</v>
      </c>
      <c r="C849" s="0" t="n">
        <v>3772265.625</v>
      </c>
      <c r="D849" s="0" t="n">
        <v>111525881.6551932</v>
      </c>
      <c r="E849" s="0" t="n">
        <v>1.209358671774111e-05</v>
      </c>
      <c r="F849" s="0" t="n">
        <v>1.108836305001197e-05</v>
      </c>
      <c r="G849" s="0" t="n">
        <v>1.005223667729143e-06</v>
      </c>
      <c r="H849" s="0" t="b">
        <v>0</v>
      </c>
    </row>
    <row r="850">
      <c r="A850" s="0" t="n">
        <v>122</v>
      </c>
      <c r="B850" s="0" t="n">
        <v>9</v>
      </c>
      <c r="C850" s="0" t="n">
        <v>3749023.4375</v>
      </c>
      <c r="D850" s="0" t="n">
        <v>34904901.4600935</v>
      </c>
      <c r="E850" s="0" t="n">
        <v>1.144130906778112e-05</v>
      </c>
      <c r="F850" s="0" t="n">
        <v>1.108836305001197e-05</v>
      </c>
      <c r="G850" s="0" t="n">
        <v>3.529460177691559e-07</v>
      </c>
      <c r="H850" s="0" t="b">
        <v>0</v>
      </c>
    </row>
    <row r="851">
      <c r="A851" s="0" t="n">
        <v>122</v>
      </c>
      <c r="B851" s="0" t="n">
        <v>10</v>
      </c>
      <c r="C851" s="0" t="n">
        <v>3737402.34375</v>
      </c>
      <c r="D851" s="0" t="n">
        <v>3461533.233340668</v>
      </c>
      <c r="E851" s="0" t="n">
        <v>1.112559902700799e-05</v>
      </c>
      <c r="F851" s="0" t="n">
        <v>1.108836305001197e-05</v>
      </c>
      <c r="G851" s="0" t="n">
        <v>3.723597699602212e-08</v>
      </c>
      <c r="H851" s="0" t="b">
        <v>0</v>
      </c>
    </row>
    <row r="852">
      <c r="A852" s="0" t="n">
        <v>122</v>
      </c>
      <c r="B852" s="0" t="n">
        <v>11</v>
      </c>
      <c r="C852" s="0" t="n">
        <v>3743212.890625</v>
      </c>
      <c r="D852" s="0" t="n">
        <v>18629967.99862973</v>
      </c>
      <c r="E852" s="0" t="n">
        <v>1.128258538774487e-05</v>
      </c>
      <c r="F852" s="0" t="n">
        <v>1.108836305001197e-05</v>
      </c>
      <c r="G852" s="0" t="n">
        <v>1.942223377329044e-07</v>
      </c>
      <c r="H852" s="0" t="b">
        <v>0</v>
      </c>
    </row>
    <row r="853">
      <c r="A853" s="0" t="n">
        <v>122</v>
      </c>
      <c r="B853" s="0" t="n">
        <v>12</v>
      </c>
      <c r="C853" s="0" t="n">
        <v>3740307.6171875</v>
      </c>
      <c r="D853" s="0" t="n">
        <v>10908953.54757467</v>
      </c>
      <c r="E853" s="0" t="n">
        <v>1.120387580335082e-05</v>
      </c>
      <c r="F853" s="0" t="n">
        <v>1.108836305001197e-05</v>
      </c>
      <c r="G853" s="0" t="n">
        <v>1.155127533388555e-07</v>
      </c>
      <c r="H853" s="0" t="b">
        <v>0</v>
      </c>
    </row>
    <row r="854">
      <c r="A854" s="0" t="n">
        <v>122</v>
      </c>
      <c r="B854" s="0" t="n">
        <v>13</v>
      </c>
      <c r="C854" s="0" t="n">
        <v>3738854.98046875</v>
      </c>
      <c r="D854" s="0" t="n">
        <v>7151234.031918463</v>
      </c>
      <c r="E854" s="0" t="n">
        <v>1.11646834160577e-05</v>
      </c>
      <c r="F854" s="0" t="n">
        <v>1.108836305001197e-05</v>
      </c>
      <c r="G854" s="0" t="n">
        <v>7.632036604573807e-08</v>
      </c>
      <c r="H854" s="0" t="b">
        <v>0</v>
      </c>
    </row>
    <row r="855">
      <c r="A855" s="0" t="n">
        <v>122</v>
      </c>
      <c r="B855" s="0" t="n">
        <v>14</v>
      </c>
      <c r="C855" s="0" t="n">
        <v>3737654.98046875</v>
      </c>
      <c r="D855" s="0" t="n">
        <v>4098361.631243157</v>
      </c>
      <c r="E855" s="0" t="n">
        <v>1.11323886773795e-05</v>
      </c>
      <c r="F855" s="0" t="n">
        <v>1.108836305001197e-05</v>
      </c>
      <c r="G855" s="0" t="n">
        <v>4.402562736753757e-08</v>
      </c>
      <c r="H855" s="0" t="b">
        <v>0</v>
      </c>
    </row>
    <row r="856">
      <c r="A856" s="0" t="n">
        <v>122</v>
      </c>
      <c r="B856" s="0" t="n">
        <v>15</v>
      </c>
      <c r="C856" s="0" t="n">
        <v>3736214.98046875</v>
      </c>
      <c r="D856" s="0" t="n">
        <v>495826.0811468192</v>
      </c>
      <c r="E856" s="0" t="n">
        <v>1.109373148742075e-05</v>
      </c>
      <c r="F856" s="0" t="n">
        <v>1.108836305001197e-05</v>
      </c>
      <c r="G856" s="0" t="n">
        <v>5.368437408783761e-09</v>
      </c>
      <c r="H856" s="0" t="b">
        <v>0</v>
      </c>
    </row>
    <row r="857">
      <c r="A857" s="0" t="n">
        <v>122</v>
      </c>
      <c r="B857" s="0" t="n">
        <v>16</v>
      </c>
      <c r="C857" s="0" t="n">
        <v>3736934.98046875</v>
      </c>
      <c r="D857" s="0" t="n">
        <v>2288771.145487962</v>
      </c>
      <c r="E857" s="0" t="n">
        <v>1.111304653790764e-05</v>
      </c>
      <c r="F857" s="0" t="n">
        <v>1.108836305001197e-05</v>
      </c>
      <c r="G857" s="0" t="n">
        <v>2.46834878956703e-08</v>
      </c>
      <c r="H857" s="0" t="b">
        <v>0</v>
      </c>
    </row>
    <row r="858">
      <c r="A858" s="0" t="n">
        <v>122</v>
      </c>
      <c r="B858" s="0" t="n">
        <v>17</v>
      </c>
      <c r="C858" s="0" t="n">
        <v>3737798.98046875</v>
      </c>
      <c r="D858" s="0" t="n">
        <v>4462262.590950226</v>
      </c>
      <c r="E858" s="0" t="n">
        <v>1.113626015855964e-05</v>
      </c>
      <c r="F858" s="0" t="n">
        <v>1.108836305001197e-05</v>
      </c>
      <c r="G858" s="0" t="n">
        <v>4.78971085476772e-08</v>
      </c>
      <c r="H858" s="0" t="b">
        <v>0</v>
      </c>
    </row>
    <row r="859">
      <c r="A859" s="0" t="n">
        <v>122</v>
      </c>
      <c r="B859" s="0" t="n">
        <v>18</v>
      </c>
      <c r="C859" s="0" t="n">
        <v>3737366.98046875</v>
      </c>
      <c r="D859" s="0" t="n">
        <v>3372496.868017413</v>
      </c>
      <c r="E859" s="0" t="n">
        <v>1.112464826948131e-05</v>
      </c>
      <c r="F859" s="0" t="n">
        <v>1.108836305001197e-05</v>
      </c>
      <c r="G859" s="0" t="n">
        <v>3.628521946933909e-08</v>
      </c>
      <c r="H859" s="0" t="b">
        <v>0</v>
      </c>
    </row>
    <row r="860">
      <c r="A860" s="0" t="n">
        <v>122</v>
      </c>
      <c r="B860" s="0" t="n">
        <v>19</v>
      </c>
      <c r="C860" s="0" t="n">
        <v>3737582.98046875</v>
      </c>
      <c r="D860" s="0" t="n">
        <v>3916602.062554335</v>
      </c>
      <c r="E860" s="0" t="n">
        <v>1.113045270966605e-05</v>
      </c>
      <c r="F860" s="0" t="n">
        <v>1.108836305001197e-05</v>
      </c>
      <c r="G860" s="0" t="n">
        <v>4.208965965408801e-08</v>
      </c>
      <c r="H860" s="0" t="b">
        <v>0</v>
      </c>
    </row>
    <row r="861">
      <c r="A861" s="0" t="n">
        <v>122</v>
      </c>
      <c r="B861" s="0" t="n">
        <v>20</v>
      </c>
      <c r="C861" s="0" t="n">
        <v>3737474.98046875</v>
      </c>
      <c r="D861" s="0" t="n">
        <v>3644420.994574772</v>
      </c>
      <c r="E861" s="0" t="n">
        <v>1.112755081592431e-05</v>
      </c>
      <c r="F861" s="0" t="n">
        <v>1.108836305001197e-05</v>
      </c>
      <c r="G861" s="0" t="n">
        <v>3.918776591234677e-08</v>
      </c>
      <c r="H861" s="0" t="b">
        <v>0</v>
      </c>
    </row>
    <row r="862">
      <c r="A862" s="0" t="n">
        <v>122</v>
      </c>
      <c r="B862" s="0" t="n">
        <v>21</v>
      </c>
      <c r="C862" s="0" t="n">
        <v>3737528.98046875</v>
      </c>
      <c r="D862" s="0" t="n">
        <v>3780435.510817927</v>
      </c>
      <c r="E862" s="0" t="n">
        <v>1.112900137616163e-05</v>
      </c>
      <c r="F862" s="0" t="n">
        <v>1.108836305001197e-05</v>
      </c>
      <c r="G862" s="0" t="n">
        <v>4.063832614966351e-08</v>
      </c>
      <c r="H862" s="0" t="b">
        <v>0</v>
      </c>
    </row>
    <row r="863">
      <c r="A863" s="0" t="n">
        <v>122</v>
      </c>
      <c r="B863" s="0" t="n">
        <v>22</v>
      </c>
      <c r="C863" s="0" t="n">
        <v>3737501.98046875</v>
      </c>
      <c r="D863" s="0" t="n">
        <v>3712445.846380301</v>
      </c>
      <c r="E863" s="0" t="n">
        <v>1.112827638961348e-05</v>
      </c>
      <c r="F863" s="0" t="n">
        <v>1.108836305001197e-05</v>
      </c>
      <c r="G863" s="0" t="n">
        <v>3.991333960151413e-08</v>
      </c>
      <c r="H863" s="0" t="b">
        <v>0</v>
      </c>
    </row>
    <row r="864">
      <c r="A864" s="0" t="n">
        <v>123</v>
      </c>
      <c r="B864" s="0" t="n">
        <v>1</v>
      </c>
      <c r="C864" s="0" t="n">
        <v>6050000</v>
      </c>
      <c r="D864" s="0" t="n">
        <v>165763274895.24</v>
      </c>
      <c r="E864" s="0" t="n">
        <v>0.0002854241549660395</v>
      </c>
      <c r="F864" s="0" t="n">
        <v>1.108836305001196e-05</v>
      </c>
      <c r="G864" s="0" t="n">
        <v>0.0002743357919160275</v>
      </c>
      <c r="H864" s="0" t="b">
        <v>0</v>
      </c>
    </row>
    <row r="865">
      <c r="A865" s="0" t="n">
        <v>123</v>
      </c>
      <c r="B865" s="0" t="n">
        <v>2</v>
      </c>
      <c r="C865" s="0" t="n">
        <v>3075000</v>
      </c>
      <c r="D865" s="0" t="n">
        <v>-652977.2399602531</v>
      </c>
      <c r="E865" s="0" t="n">
        <v>3.036990358168259e-06</v>
      </c>
      <c r="F865" s="0" t="n">
        <v>1.108836305001197e-05</v>
      </c>
      <c r="G865" s="0" t="n">
        <v>-8.051372691843708e-06</v>
      </c>
      <c r="H865" s="0" t="b">
        <v>1</v>
      </c>
    </row>
    <row r="866">
      <c r="A866" s="0" t="n">
        <v>123</v>
      </c>
      <c r="B866" s="0" t="n">
        <v>3</v>
      </c>
      <c r="C866" s="0" t="n">
        <v>4562500</v>
      </c>
      <c r="D866" s="0" t="n">
        <v>8395242858.926725</v>
      </c>
      <c r="E866" s="0" t="n">
        <v>4.041501441628189e-05</v>
      </c>
      <c r="F866" s="0" t="n">
        <v>1.108836305001197e-05</v>
      </c>
      <c r="G866" s="0" t="n">
        <v>2.932665136626993e-05</v>
      </c>
      <c r="H866" s="0" t="b">
        <v>0</v>
      </c>
    </row>
    <row r="867">
      <c r="A867" s="0" t="n">
        <v>123</v>
      </c>
      <c r="B867" s="0" t="n">
        <v>4</v>
      </c>
      <c r="C867" s="0" t="n">
        <v>3818750</v>
      </c>
      <c r="D867" s="0" t="n">
        <v>-106480189.3071127</v>
      </c>
      <c r="E867" s="0" t="n">
        <v>9.091768137645408e-06</v>
      </c>
      <c r="F867" s="0" t="n">
        <v>1.108836305001197e-05</v>
      </c>
      <c r="G867" s="0" t="n">
        <v>-1.996594912366559e-06</v>
      </c>
      <c r="H867" s="0" t="b">
        <v>1</v>
      </c>
    </row>
    <row r="868">
      <c r="A868" s="0" t="n">
        <v>123</v>
      </c>
      <c r="B868" s="0" t="n">
        <v>5</v>
      </c>
      <c r="C868" s="0" t="n">
        <v>4190625</v>
      </c>
      <c r="D868" s="0" t="n">
        <v>1819662667.100853</v>
      </c>
      <c r="E868" s="0" t="n">
        <v>2.027789395831036e-05</v>
      </c>
      <c r="F868" s="0" t="n">
        <v>1.108836305001197e-05</v>
      </c>
      <c r="G868" s="0" t="n">
        <v>9.189530908298394e-06</v>
      </c>
      <c r="H868" s="0" t="b">
        <v>0</v>
      </c>
    </row>
    <row r="869">
      <c r="A869" s="0" t="n">
        <v>123</v>
      </c>
      <c r="B869" s="0" t="n">
        <v>6</v>
      </c>
      <c r="C869" s="0" t="n">
        <v>4004687.5</v>
      </c>
      <c r="D869" s="0" t="n">
        <v>367848717.369179</v>
      </c>
      <c r="E869" s="0" t="n">
        <v>1.372002231970848e-05</v>
      </c>
      <c r="F869" s="0" t="n">
        <v>1.108836305001197e-05</v>
      </c>
      <c r="G869" s="0" t="n">
        <v>2.631659269696517e-06</v>
      </c>
      <c r="H869" s="0" t="b">
        <v>0</v>
      </c>
    </row>
    <row r="870">
      <c r="A870" s="0" t="n">
        <v>123</v>
      </c>
      <c r="B870" s="0" t="n">
        <v>7</v>
      </c>
      <c r="C870" s="0" t="n">
        <v>3911718.75</v>
      </c>
      <c r="D870" s="0" t="n">
        <v>4361136.05098037</v>
      </c>
      <c r="E870" s="0" t="n">
        <v>1.113518489413798e-05</v>
      </c>
      <c r="F870" s="0" t="n">
        <v>1.108836305001197e-05</v>
      </c>
      <c r="G870" s="0" t="n">
        <v>4.682184412601326e-08</v>
      </c>
      <c r="H870" s="0" t="b">
        <v>0</v>
      </c>
    </row>
    <row r="871">
      <c r="A871" s="0" t="n">
        <v>123</v>
      </c>
      <c r="B871" s="0" t="n">
        <v>8</v>
      </c>
      <c r="C871" s="0" t="n">
        <v>3865234.375</v>
      </c>
      <c r="D871" s="0" t="n">
        <v>-77826104.07926822</v>
      </c>
      <c r="E871" s="0" t="n">
        <v>9.99534175927062e-06</v>
      </c>
      <c r="F871" s="0" t="n">
        <v>1.108836305001197e-05</v>
      </c>
      <c r="G871" s="0" t="n">
        <v>-1.093021290741347e-06</v>
      </c>
      <c r="H871" s="0" t="b">
        <v>1</v>
      </c>
    </row>
    <row r="872">
      <c r="A872" s="0" t="n">
        <v>123</v>
      </c>
      <c r="B872" s="0" t="n">
        <v>9</v>
      </c>
      <c r="C872" s="0" t="n">
        <v>3888476.5625</v>
      </c>
      <c r="D872" s="0" t="n">
        <v>-43907994.48362998</v>
      </c>
      <c r="E872" s="0" t="n">
        <v>1.055315092392438e-05</v>
      </c>
      <c r="F872" s="0" t="n">
        <v>1.108836305001197e-05</v>
      </c>
      <c r="G872" s="0" t="n">
        <v>-5.352121260875871e-07</v>
      </c>
      <c r="H872" s="0" t="b">
        <v>1</v>
      </c>
    </row>
    <row r="873">
      <c r="A873" s="0" t="n">
        <v>123</v>
      </c>
      <c r="B873" s="0" t="n">
        <v>10</v>
      </c>
      <c r="C873" s="0" t="n">
        <v>3900097.65625</v>
      </c>
      <c r="D873" s="0" t="n">
        <v>-21650589.36307551</v>
      </c>
      <c r="E873" s="0" t="n">
        <v>1.084109480890807e-05</v>
      </c>
      <c r="F873" s="0" t="n">
        <v>1.108836305001197e-05</v>
      </c>
      <c r="G873" s="0" t="n">
        <v>-2.472682411038992e-07</v>
      </c>
      <c r="H873" s="0" t="b">
        <v>1</v>
      </c>
    </row>
    <row r="874">
      <c r="A874" s="0" t="n">
        <v>123</v>
      </c>
      <c r="B874" s="0" t="n">
        <v>11</v>
      </c>
      <c r="C874" s="0" t="n">
        <v>3905908.203125</v>
      </c>
      <c r="D874" s="0" t="n">
        <v>-9124428.525117304</v>
      </c>
      <c r="E874" s="0" t="n">
        <v>1.098736591130576e-05</v>
      </c>
      <c r="F874" s="0" t="n">
        <v>1.108836305001197e-05</v>
      </c>
      <c r="G874" s="0" t="n">
        <v>-1.009971387062086e-07</v>
      </c>
      <c r="H874" s="0" t="b">
        <v>1</v>
      </c>
    </row>
    <row r="875">
      <c r="A875" s="0" t="n">
        <v>123</v>
      </c>
      <c r="B875" s="0" t="n">
        <v>12</v>
      </c>
      <c r="C875" s="0" t="n">
        <v>3908813.4765625</v>
      </c>
      <c r="D875" s="0" t="n">
        <v>-2502874.724986821</v>
      </c>
      <c r="E875" s="0" t="n">
        <v>1.106108120758045e-05</v>
      </c>
      <c r="F875" s="0" t="n">
        <v>1.108836305001197e-05</v>
      </c>
      <c r="G875" s="0" t="n">
        <v>-2.728184243151556e-08</v>
      </c>
      <c r="H875" s="0" t="b">
        <v>1</v>
      </c>
    </row>
    <row r="876">
      <c r="A876" s="0" t="n">
        <v>123</v>
      </c>
      <c r="B876" s="0" t="n">
        <v>13</v>
      </c>
      <c r="C876" s="0" t="n">
        <v>3910266.11328125</v>
      </c>
      <c r="D876" s="0" t="n">
        <v>898718.3755475114</v>
      </c>
      <c r="E876" s="0" t="n">
        <v>1.109808503719234e-05</v>
      </c>
      <c r="F876" s="0" t="n">
        <v>1.108836305001197e-05</v>
      </c>
      <c r="G876" s="0" t="n">
        <v>9.721987180372614e-09</v>
      </c>
      <c r="H876" s="0" t="b">
        <v>0</v>
      </c>
    </row>
    <row r="877">
      <c r="A877" s="0" t="n">
        <v>123</v>
      </c>
      <c r="B877" s="0" t="n">
        <v>14</v>
      </c>
      <c r="C877" s="0" t="n">
        <v>3910766.11328125</v>
      </c>
      <c r="D877" s="0" t="n">
        <v>2083614.210839033</v>
      </c>
      <c r="E877" s="0" t="n">
        <v>1.111084409808097e-05</v>
      </c>
      <c r="F877" s="0" t="n">
        <v>1.108836305001197e-05</v>
      </c>
      <c r="G877" s="0" t="n">
        <v>2.248104806900615e-08</v>
      </c>
      <c r="H877" s="0" t="b">
        <v>0</v>
      </c>
    </row>
    <row r="878">
      <c r="A878" s="0" t="n">
        <v>123</v>
      </c>
      <c r="B878" s="0" t="n">
        <v>15</v>
      </c>
      <c r="C878" s="0" t="n">
        <v>3911366.11328125</v>
      </c>
      <c r="D878" s="0" t="n">
        <v>3514979.567550888</v>
      </c>
      <c r="E878" s="0" t="n">
        <v>1.11261695682544e-05</v>
      </c>
      <c r="F878" s="0" t="n">
        <v>1.108836305001197e-05</v>
      </c>
      <c r="G878" s="0" t="n">
        <v>3.780651824243609e-08</v>
      </c>
      <c r="H878" s="0" t="b">
        <v>0</v>
      </c>
    </row>
    <row r="879">
      <c r="A879" s="0" t="n">
        <v>123</v>
      </c>
      <c r="B879" s="0" t="n">
        <v>16</v>
      </c>
      <c r="C879" s="0" t="n">
        <v>3912086.11328125</v>
      </c>
      <c r="D879" s="0" t="n">
        <v>5246468.967643869</v>
      </c>
      <c r="E879" s="0" t="n">
        <v>1.11445828193544e-05</v>
      </c>
      <c r="F879" s="0" t="n">
        <v>1.108836305001197e-05</v>
      </c>
      <c r="G879" s="0" t="n">
        <v>5.621976934243469e-08</v>
      </c>
      <c r="H879" s="0" t="b">
        <v>0</v>
      </c>
    </row>
    <row r="880">
      <c r="A880" s="0" t="n">
        <v>123</v>
      </c>
      <c r="B880" s="0" t="n">
        <v>17</v>
      </c>
      <c r="C880" s="0" t="n">
        <v>3911726.11328125</v>
      </c>
      <c r="D880" s="0" t="n">
        <v>4378842.80726659</v>
      </c>
      <c r="E880" s="0" t="n">
        <v>1.113537320113581e-05</v>
      </c>
      <c r="F880" s="0" t="n">
        <v>1.108836305001197e-05</v>
      </c>
      <c r="G880" s="0" t="n">
        <v>4.70101511238411e-08</v>
      </c>
      <c r="H880" s="0" t="b">
        <v>0</v>
      </c>
    </row>
    <row r="881">
      <c r="A881" s="0" t="n">
        <v>123</v>
      </c>
      <c r="B881" s="0" t="n">
        <v>18</v>
      </c>
      <c r="C881" s="0" t="n">
        <v>3911294.11328125</v>
      </c>
      <c r="D881" s="0" t="n">
        <v>3342658.033017896</v>
      </c>
      <c r="E881" s="0" t="n">
        <v>1.112432955968018e-05</v>
      </c>
      <c r="F881" s="0" t="n">
        <v>1.108836305001197e-05</v>
      </c>
      <c r="G881" s="0" t="n">
        <v>3.596650966821636e-08</v>
      </c>
      <c r="H881" s="0" t="b">
        <v>0</v>
      </c>
    </row>
    <row r="882">
      <c r="A882" s="0" t="n">
        <v>123</v>
      </c>
      <c r="B882" s="0" t="n">
        <v>19</v>
      </c>
      <c r="C882" s="0" t="n">
        <v>3911510.11328125</v>
      </c>
      <c r="D882" s="0" t="n">
        <v>3860132.35042151</v>
      </c>
      <c r="E882" s="0" t="n">
        <v>1.112985092917249e-05</v>
      </c>
      <c r="F882" s="0" t="n">
        <v>1.108836305001197e-05</v>
      </c>
      <c r="G882" s="0" t="n">
        <v>4.148787916052134e-08</v>
      </c>
      <c r="H882" s="0" t="b">
        <v>0</v>
      </c>
    </row>
    <row r="883">
      <c r="A883" s="0" t="n">
        <v>123</v>
      </c>
      <c r="B883" s="0" t="n">
        <v>20</v>
      </c>
      <c r="C883" s="0" t="n">
        <v>3911769.31328125</v>
      </c>
      <c r="D883" s="0" t="n">
        <v>4482759.166412652</v>
      </c>
      <c r="E883" s="0" t="n">
        <v>1.113647803924304e-05</v>
      </c>
      <c r="F883" s="0" t="n">
        <v>1.108836305001197e-05</v>
      </c>
      <c r="G883" s="0" t="n">
        <v>4.811498923107532e-08</v>
      </c>
      <c r="H883" s="0" t="b">
        <v>0</v>
      </c>
    </row>
    <row r="884">
      <c r="A884" s="0" t="n">
        <v>123</v>
      </c>
      <c r="B884" s="0" t="n">
        <v>21</v>
      </c>
      <c r="C884" s="0" t="n">
        <v>3911639.71328125</v>
      </c>
      <c r="D884" s="0" t="n">
        <v>4171231.457204401</v>
      </c>
      <c r="E884" s="0" t="n">
        <v>1.113316440953667e-05</v>
      </c>
      <c r="F884" s="0" t="n">
        <v>1.108836305001197e-05</v>
      </c>
      <c r="G884" s="0" t="n">
        <v>4.480135952470254e-08</v>
      </c>
      <c r="H884" s="0" t="b">
        <v>0</v>
      </c>
    </row>
    <row r="885">
      <c r="A885" s="0" t="n">
        <v>123</v>
      </c>
      <c r="B885" s="0" t="n">
        <v>22</v>
      </c>
      <c r="C885" s="0" t="n">
        <v>3911484.19328125</v>
      </c>
      <c r="D885" s="0" t="n">
        <v>3797912.311290751</v>
      </c>
      <c r="E885" s="0" t="n">
        <v>1.112918770037387e-05</v>
      </c>
      <c r="F885" s="0" t="n">
        <v>1.108836305001197e-05</v>
      </c>
      <c r="G885" s="0" t="n">
        <v>4.082465036190239e-08</v>
      </c>
      <c r="H885" s="0" t="b">
        <v>0</v>
      </c>
    </row>
    <row r="886">
      <c r="A886" s="0" t="n">
        <v>123</v>
      </c>
      <c r="B886" s="0" t="n">
        <v>23</v>
      </c>
      <c r="C886" s="0" t="n">
        <v>3911561.95328125</v>
      </c>
      <c r="D886" s="0" t="n">
        <v>3984454.74638981</v>
      </c>
      <c r="E886" s="0" t="n">
        <v>1.113117560233186e-05</v>
      </c>
      <c r="F886" s="0" t="n">
        <v>1.108836305001197e-05</v>
      </c>
      <c r="G886" s="0" t="n">
        <v>4.281255231989178e-08</v>
      </c>
      <c r="H886" s="0" t="b">
        <v>0</v>
      </c>
    </row>
    <row r="887">
      <c r="A887" s="0" t="n">
        <v>123</v>
      </c>
      <c r="B887" s="0" t="n">
        <v>24</v>
      </c>
      <c r="C887" s="0" t="n">
        <v>3911523.07328125</v>
      </c>
      <c r="D887" s="0" t="n">
        <v>3891161.599795291</v>
      </c>
      <c r="E887" s="0" t="n">
        <v>1.113018161645498e-05</v>
      </c>
      <c r="F887" s="0" t="n">
        <v>1.108836305001197e-05</v>
      </c>
      <c r="G887" s="0" t="n">
        <v>4.181856644301515e-08</v>
      </c>
      <c r="H887" s="0" t="b">
        <v>0</v>
      </c>
    </row>
    <row r="888">
      <c r="A888" s="0" t="n">
        <v>124</v>
      </c>
      <c r="B888" s="0" t="n">
        <v>1</v>
      </c>
      <c r="C888" s="0" t="n">
        <v>6050000</v>
      </c>
      <c r="D888" s="0" t="n">
        <v>166540439569.4533</v>
      </c>
      <c r="E888" s="0" t="n">
        <v>0.0002809764711539676</v>
      </c>
      <c r="F888" s="0" t="n">
        <v>1.091680551210317e-05</v>
      </c>
      <c r="G888" s="0" t="n">
        <v>0.0002700596656418644</v>
      </c>
      <c r="H888" s="0" t="b">
        <v>0</v>
      </c>
    </row>
    <row r="889">
      <c r="A889" s="0" t="n">
        <v>124</v>
      </c>
      <c r="B889" s="0" t="n">
        <v>2</v>
      </c>
      <c r="C889" s="0" t="n">
        <v>3075000</v>
      </c>
      <c r="D889" s="0" t="n">
        <v>-657364.1706302251</v>
      </c>
      <c r="E889" s="0" t="n">
        <v>2.99187990627037e-06</v>
      </c>
      <c r="F889" s="0" t="n">
        <v>1.091680551210319e-05</v>
      </c>
      <c r="G889" s="0" t="n">
        <v>-7.924925605832817e-06</v>
      </c>
      <c r="H889" s="0" t="b">
        <v>1</v>
      </c>
    </row>
    <row r="890">
      <c r="A890" s="0" t="n">
        <v>124</v>
      </c>
      <c r="B890" s="0" t="n">
        <v>3</v>
      </c>
      <c r="C890" s="0" t="n">
        <v>4562500</v>
      </c>
      <c r="D890" s="0" t="n">
        <v>8396041378.815492</v>
      </c>
      <c r="E890" s="0" t="n">
        <v>3.970849322042337e-05</v>
      </c>
      <c r="F890" s="0" t="n">
        <v>1.091680551210319e-05</v>
      </c>
      <c r="G890" s="0" t="n">
        <v>2.879168770832018e-05</v>
      </c>
      <c r="H890" s="0" t="b">
        <v>0</v>
      </c>
    </row>
    <row r="891">
      <c r="A891" s="0" t="n">
        <v>124</v>
      </c>
      <c r="B891" s="0" t="n">
        <v>4</v>
      </c>
      <c r="C891" s="0" t="n">
        <v>3818750</v>
      </c>
      <c r="D891" s="0" t="n">
        <v>-105726489.0720962</v>
      </c>
      <c r="E891" s="0" t="n">
        <v>8.968836661081395e-06</v>
      </c>
      <c r="F891" s="0" t="n">
        <v>1.091680551210319e-05</v>
      </c>
      <c r="G891" s="0" t="n">
        <v>-1.947968851021791e-06</v>
      </c>
      <c r="H891" s="0" t="b">
        <v>1</v>
      </c>
    </row>
    <row r="892">
      <c r="A892" s="0" t="n">
        <v>124</v>
      </c>
      <c r="B892" s="0" t="n">
        <v>5</v>
      </c>
      <c r="C892" s="0" t="n">
        <v>4190625</v>
      </c>
      <c r="D892" s="0" t="n">
        <v>1810887981.20981</v>
      </c>
      <c r="E892" s="0" t="n">
        <v>1.990707254469156e-05</v>
      </c>
      <c r="F892" s="0" t="n">
        <v>1.091680551210319e-05</v>
      </c>
      <c r="G892" s="0" t="n">
        <v>8.990267032588375e-06</v>
      </c>
      <c r="H892" s="0" t="b">
        <v>0</v>
      </c>
    </row>
    <row r="893">
      <c r="A893" s="0" t="n">
        <v>124</v>
      </c>
      <c r="B893" s="0" t="n">
        <v>6</v>
      </c>
      <c r="C893" s="0" t="n">
        <v>4004687.5</v>
      </c>
      <c r="D893" s="0" t="n">
        <v>358934574.8878771</v>
      </c>
      <c r="E893" s="0" t="n">
        <v>1.346262793503217e-05</v>
      </c>
      <c r="F893" s="0" t="n">
        <v>1.091680551210319e-05</v>
      </c>
      <c r="G893" s="0" t="n">
        <v>2.545822422928984e-06</v>
      </c>
      <c r="H893" s="0" t="b">
        <v>0</v>
      </c>
    </row>
    <row r="894">
      <c r="A894" s="0" t="n">
        <v>124</v>
      </c>
      <c r="B894" s="0" t="n">
        <v>7</v>
      </c>
      <c r="C894" s="0" t="n">
        <v>3911718.75</v>
      </c>
      <c r="D894" s="0" t="n">
        <v>649717.3047409257</v>
      </c>
      <c r="E894" s="0" t="n">
        <v>1.092374740490619e-05</v>
      </c>
      <c r="F894" s="0" t="n">
        <v>1.091680551210319e-05</v>
      </c>
      <c r="G894" s="0" t="n">
        <v>6.941892802999743e-09</v>
      </c>
      <c r="H894" s="0" t="b">
        <v>0</v>
      </c>
    </row>
    <row r="895">
      <c r="A895" s="0" t="n">
        <v>124</v>
      </c>
      <c r="B895" s="0" t="n">
        <v>8</v>
      </c>
      <c r="C895" s="0" t="n">
        <v>3958203.125</v>
      </c>
      <c r="D895" s="0" t="n">
        <v>143120852.8009452</v>
      </c>
      <c r="E895" s="0" t="n">
        <v>1.214139088334128e-05</v>
      </c>
      <c r="F895" s="0" t="n">
        <v>1.091680551210319e-05</v>
      </c>
      <c r="G895" s="0" t="n">
        <v>1.224585371238097e-06</v>
      </c>
      <c r="H895" s="0" t="b">
        <v>0</v>
      </c>
    </row>
    <row r="896">
      <c r="A896" s="0" t="n">
        <v>124</v>
      </c>
      <c r="B896" s="0" t="n">
        <v>9</v>
      </c>
      <c r="C896" s="0" t="n">
        <v>3934960.9375</v>
      </c>
      <c r="D896" s="0" t="n">
        <v>63414253.50755216</v>
      </c>
      <c r="E896" s="0" t="n">
        <v>1.152005318706751e-05</v>
      </c>
      <c r="F896" s="0" t="n">
        <v>1.091680551210319e-05</v>
      </c>
      <c r="G896" s="0" t="n">
        <v>6.032476749643279e-07</v>
      </c>
      <c r="H896" s="0" t="b">
        <v>0</v>
      </c>
    </row>
    <row r="897">
      <c r="A897" s="0" t="n">
        <v>124</v>
      </c>
      <c r="B897" s="0" t="n">
        <v>10</v>
      </c>
      <c r="C897" s="0" t="n">
        <v>3923339.84375</v>
      </c>
      <c r="D897" s="0" t="n">
        <v>29995181.09715053</v>
      </c>
      <c r="E897" s="0" t="n">
        <v>1.121878739038818e-05</v>
      </c>
      <c r="F897" s="0" t="n">
        <v>1.091680551210319e-05</v>
      </c>
      <c r="G897" s="0" t="n">
        <v>3.019818782849948e-07</v>
      </c>
      <c r="H897" s="0" t="b">
        <v>0</v>
      </c>
    </row>
    <row r="898">
      <c r="A898" s="0" t="n">
        <v>124</v>
      </c>
      <c r="B898" s="0" t="n">
        <v>11</v>
      </c>
      <c r="C898" s="0" t="n">
        <v>3917529.296875</v>
      </c>
      <c r="D898" s="0" t="n">
        <v>14823822.19111216</v>
      </c>
      <c r="E898" s="0" t="n">
        <v>1.107049495724939e-05</v>
      </c>
      <c r="F898" s="0" t="n">
        <v>1.091680551210319e-05</v>
      </c>
      <c r="G898" s="0" t="n">
        <v>1.536894451462051e-07</v>
      </c>
      <c r="H898" s="0" t="b">
        <v>0</v>
      </c>
    </row>
    <row r="899">
      <c r="A899" s="0" t="n">
        <v>124</v>
      </c>
      <c r="B899" s="0" t="n">
        <v>12</v>
      </c>
      <c r="C899" s="0" t="n">
        <v>3914624.0234375</v>
      </c>
      <c r="D899" s="0" t="n">
        <v>7613391.90637267</v>
      </c>
      <c r="E899" s="0" t="n">
        <v>1.099692838888578e-05</v>
      </c>
      <c r="F899" s="0" t="n">
        <v>1.091680551210319e-05</v>
      </c>
      <c r="G899" s="0" t="n">
        <v>8.012287678258884e-08</v>
      </c>
      <c r="H899" s="0" t="b">
        <v>0</v>
      </c>
    </row>
    <row r="900">
      <c r="A900" s="0" t="n">
        <v>124</v>
      </c>
      <c r="B900" s="0" t="n">
        <v>13</v>
      </c>
      <c r="C900" s="0" t="n">
        <v>3913171.38671875</v>
      </c>
      <c r="D900" s="0" t="n">
        <v>4100882.170136025</v>
      </c>
      <c r="E900" s="0" t="n">
        <v>1.096028986318312e-05</v>
      </c>
      <c r="F900" s="0" t="n">
        <v>1.091680551210319e-05</v>
      </c>
      <c r="G900" s="0" t="n">
        <v>4.348435107993214e-08</v>
      </c>
      <c r="H900" s="0" t="b">
        <v>0</v>
      </c>
    </row>
    <row r="901">
      <c r="A901" s="0" t="n">
        <v>124</v>
      </c>
      <c r="B901" s="0" t="n">
        <v>14</v>
      </c>
      <c r="C901" s="0" t="n">
        <v>3911971.38671875</v>
      </c>
      <c r="D901" s="0" t="n">
        <v>1245537.690092133</v>
      </c>
      <c r="E901" s="0" t="n">
        <v>1.093009582884565e-05</v>
      </c>
      <c r="F901" s="0" t="n">
        <v>1.091680551210319e-05</v>
      </c>
      <c r="G901" s="0" t="n">
        <v>1.329031674246796e-08</v>
      </c>
      <c r="H901" s="0" t="b">
        <v>0</v>
      </c>
    </row>
    <row r="902">
      <c r="A902" s="0" t="n">
        <v>124</v>
      </c>
      <c r="B902" s="0" t="n">
        <v>15</v>
      </c>
      <c r="C902" s="0" t="n">
        <v>3912571.38671875</v>
      </c>
      <c r="D902" s="0" t="n">
        <v>2668046.800068292</v>
      </c>
      <c r="E902" s="0" t="n">
        <v>1.094518527207221e-05</v>
      </c>
      <c r="F902" s="0" t="n">
        <v>1.091680551210319e-05</v>
      </c>
      <c r="G902" s="0" t="n">
        <v>2.837975996902472e-08</v>
      </c>
      <c r="H902" s="0" t="b">
        <v>0</v>
      </c>
    </row>
    <row r="903">
      <c r="A903" s="0" t="n">
        <v>124</v>
      </c>
      <c r="B903" s="0" t="n">
        <v>16</v>
      </c>
      <c r="C903" s="0" t="n">
        <v>3913291.38671875</v>
      </c>
      <c r="D903" s="0" t="n">
        <v>4388774.628264922</v>
      </c>
      <c r="E903" s="0" t="n">
        <v>1.096331348596761e-05</v>
      </c>
      <c r="F903" s="0" t="n">
        <v>1.091680551210319e-05</v>
      </c>
      <c r="G903" s="0" t="n">
        <v>4.650797386442456e-08</v>
      </c>
      <c r="H903" s="0" t="b">
        <v>0</v>
      </c>
    </row>
    <row r="904">
      <c r="A904" s="0" t="n">
        <v>124</v>
      </c>
      <c r="B904" s="0" t="n">
        <v>17</v>
      </c>
      <c r="C904" s="0" t="n">
        <v>3912931.38671875</v>
      </c>
      <c r="D904" s="0" t="n">
        <v>3526470.212942446</v>
      </c>
      <c r="E904" s="0" t="n">
        <v>1.095424581508e-05</v>
      </c>
      <c r="F904" s="0" t="n">
        <v>1.091680551210319e-05</v>
      </c>
      <c r="G904" s="0" t="n">
        <v>3.744030297680912e-08</v>
      </c>
      <c r="H904" s="0" t="b">
        <v>0</v>
      </c>
    </row>
    <row r="905">
      <c r="A905" s="0" t="n">
        <v>124</v>
      </c>
      <c r="B905" s="0" t="n">
        <v>18</v>
      </c>
      <c r="C905" s="0" t="n">
        <v>3913111.38671875</v>
      </c>
      <c r="D905" s="0" t="n">
        <v>3957180.754276775</v>
      </c>
      <c r="E905" s="0" t="n">
        <v>1.09587792205151e-05</v>
      </c>
      <c r="F905" s="0" t="n">
        <v>1.091680551210319e-05</v>
      </c>
      <c r="G905" s="0" t="n">
        <v>4.197370841191774e-08</v>
      </c>
      <c r="H905" s="0" t="b">
        <v>0</v>
      </c>
    </row>
    <row r="906">
      <c r="A906" s="0" t="n">
        <v>124</v>
      </c>
      <c r="B906" s="0" t="n">
        <v>19</v>
      </c>
      <c r="C906" s="0" t="n">
        <v>3913021.38671875</v>
      </c>
      <c r="D906" s="0" t="n">
        <v>3741736.991903199</v>
      </c>
      <c r="E906" s="0" t="n">
        <v>1.095651264088773e-05</v>
      </c>
      <c r="F906" s="0" t="n">
        <v>1.091680551210319e-05</v>
      </c>
      <c r="G906" s="0" t="n">
        <v>3.970712878454758e-08</v>
      </c>
      <c r="H906" s="0" t="b">
        <v>0</v>
      </c>
    </row>
    <row r="907">
      <c r="A907" s="0" t="n">
        <v>124</v>
      </c>
      <c r="B907" s="0" t="n">
        <v>20</v>
      </c>
      <c r="C907" s="0" t="n">
        <v>3913066.38671875</v>
      </c>
      <c r="D907" s="0" t="n">
        <v>3849370.984945455</v>
      </c>
      <c r="E907" s="0" t="n">
        <v>1.09576452695314e-05</v>
      </c>
      <c r="F907" s="0" t="n">
        <v>1.091680551210319e-05</v>
      </c>
      <c r="G907" s="0" t="n">
        <v>4.083975742821476e-08</v>
      </c>
      <c r="H907" s="0" t="b">
        <v>0</v>
      </c>
    </row>
    <row r="908">
      <c r="A908" s="0" t="n">
        <v>124</v>
      </c>
      <c r="B908" s="0" t="n">
        <v>21</v>
      </c>
      <c r="C908" s="0" t="n">
        <v>3913120.38671875</v>
      </c>
      <c r="D908" s="0" t="n">
        <v>3978679.571270579</v>
      </c>
      <c r="E908" s="0" t="n">
        <v>1.095900528358379e-05</v>
      </c>
      <c r="F908" s="0" t="n">
        <v>1.091680551210319e-05</v>
      </c>
      <c r="G908" s="0" t="n">
        <v>4.219977148060343e-08</v>
      </c>
      <c r="H908" s="0" t="b">
        <v>0</v>
      </c>
    </row>
    <row r="909">
      <c r="A909" s="0" t="n">
        <v>124</v>
      </c>
      <c r="B909" s="0" t="n">
        <v>22</v>
      </c>
      <c r="C909" s="0" t="n">
        <v>3913093.38671875</v>
      </c>
      <c r="D909" s="0" t="n">
        <v>3914073.170405586</v>
      </c>
      <c r="E909" s="0" t="n">
        <v>1.095832587509345e-05</v>
      </c>
      <c r="F909" s="0" t="n">
        <v>1.091680551210319e-05</v>
      </c>
      <c r="G909" s="0" t="n">
        <v>4.152036299026146e-08</v>
      </c>
      <c r="H909" s="0" t="b">
        <v>0</v>
      </c>
    </row>
    <row r="910">
      <c r="A910" s="0" t="n">
        <v>125</v>
      </c>
      <c r="B910" s="0" t="n">
        <v>1</v>
      </c>
      <c r="C910" s="0" t="n">
        <v>6050000</v>
      </c>
      <c r="D910" s="0" t="n">
        <v>1.456737749419129e+18</v>
      </c>
      <c r="E910" s="0" t="n">
        <v>536.8709220000001</v>
      </c>
      <c r="F910" s="0" t="n">
        <v>2.58248516047388e-05</v>
      </c>
      <c r="G910" s="0" t="n">
        <v>536.8708961751485</v>
      </c>
      <c r="H910" s="0" t="b">
        <v>0</v>
      </c>
    </row>
    <row r="911">
      <c r="A911" s="0" t="n">
        <v>125</v>
      </c>
      <c r="B911" s="0" t="n">
        <v>2</v>
      </c>
      <c r="C911" s="0" t="n">
        <v>3075000</v>
      </c>
      <c r="D911" s="0" t="n">
        <v>4023163935.700887</v>
      </c>
      <c r="E911" s="0" t="n">
        <v>7.154446792573949e-05</v>
      </c>
      <c r="F911" s="0" t="n">
        <v>2.582485157616558e-05</v>
      </c>
      <c r="G911" s="0" t="n">
        <v>4.571961634957391e-05</v>
      </c>
      <c r="H911" s="0" t="b">
        <v>0</v>
      </c>
    </row>
    <row r="912">
      <c r="A912" s="0" t="n">
        <v>125</v>
      </c>
      <c r="B912" s="0" t="n">
        <v>3</v>
      </c>
      <c r="C912" s="0" t="n">
        <v>1587500</v>
      </c>
      <c r="D912" s="0" t="n">
        <v>-8643.716844098102</v>
      </c>
      <c r="E912" s="0" t="n">
        <v>-2.004196725517892e-05</v>
      </c>
      <c r="F912" s="0" t="n">
        <v>2.582485157616557e-05</v>
      </c>
      <c r="G912" s="0" t="n">
        <v>-4.58668188313445e-05</v>
      </c>
      <c r="H912" s="0" t="b">
        <v>1</v>
      </c>
    </row>
    <row r="913">
      <c r="A913" s="0" t="n">
        <v>125</v>
      </c>
      <c r="B913" s="0" t="n">
        <v>4</v>
      </c>
      <c r="C913" s="0" t="n">
        <v>2331250</v>
      </c>
      <c r="D913" s="0" t="n">
        <v>-60049.17586566458</v>
      </c>
      <c r="E913" s="0" t="n">
        <v>-1.396681345586901e-06</v>
      </c>
      <c r="F913" s="0" t="n">
        <v>2.582485157616558e-05</v>
      </c>
      <c r="G913" s="0" t="n">
        <v>-2.722153292175248e-05</v>
      </c>
      <c r="H913" s="0" t="b">
        <v>1</v>
      </c>
    </row>
    <row r="914">
      <c r="A914" s="0" t="n">
        <v>125</v>
      </c>
      <c r="B914" s="0" t="n">
        <v>5</v>
      </c>
      <c r="C914" s="0" t="n">
        <v>2703125</v>
      </c>
      <c r="D914" s="0" t="n">
        <v>-245903.3910960126</v>
      </c>
      <c r="E914" s="0" t="n">
        <v>5.036786395868094e-06</v>
      </c>
      <c r="F914" s="0" t="n">
        <v>2.582485157616558e-05</v>
      </c>
      <c r="G914" s="0" t="n">
        <v>-2.078806518029748e-05</v>
      </c>
      <c r="H914" s="0" t="b">
        <v>1</v>
      </c>
    </row>
    <row r="915">
      <c r="A915" s="0" t="n">
        <v>125</v>
      </c>
      <c r="B915" s="0" t="n">
        <v>6</v>
      </c>
      <c r="C915" s="0" t="n">
        <v>2889062.5</v>
      </c>
      <c r="D915" s="0" t="n">
        <v>-16548064.96553061</v>
      </c>
      <c r="E915" s="0" t="n">
        <v>1.33288452253755e-05</v>
      </c>
      <c r="F915" s="0" t="n">
        <v>2.582485157616558e-05</v>
      </c>
      <c r="G915" s="0" t="n">
        <v>-1.249600635079008e-05</v>
      </c>
      <c r="H915" s="0" t="b">
        <v>1</v>
      </c>
    </row>
    <row r="916">
      <c r="A916" s="0" t="n">
        <v>125</v>
      </c>
      <c r="B916" s="0" t="n">
        <v>7</v>
      </c>
      <c r="C916" s="0" t="n">
        <v>2982031.25</v>
      </c>
      <c r="D916" s="0" t="n">
        <v>266366586.2942221</v>
      </c>
      <c r="E916" s="0" t="n">
        <v>3.078786491524652e-05</v>
      </c>
      <c r="F916" s="0" t="n">
        <v>2.582485157616558e-05</v>
      </c>
      <c r="G916" s="0" t="n">
        <v>4.963013339080945e-06</v>
      </c>
      <c r="H916" s="0" t="b">
        <v>0</v>
      </c>
    </row>
    <row r="917">
      <c r="A917" s="0" t="n">
        <v>125</v>
      </c>
      <c r="B917" s="0" t="n">
        <v>8</v>
      </c>
      <c r="C917" s="0" t="n">
        <v>2935546.875</v>
      </c>
      <c r="D917" s="0" t="n">
        <v>-138031749.7898879</v>
      </c>
      <c r="E917" s="0" t="n">
        <v>1.98261486140016e-05</v>
      </c>
      <c r="F917" s="0" t="n">
        <v>2.582485157616558e-05</v>
      </c>
      <c r="G917" s="0" t="n">
        <v>-5.998702962163979e-06</v>
      </c>
      <c r="H917" s="0" t="b">
        <v>1</v>
      </c>
    </row>
    <row r="918">
      <c r="A918" s="0" t="n">
        <v>125</v>
      </c>
      <c r="B918" s="0" t="n">
        <v>9</v>
      </c>
      <c r="C918" s="0" t="n">
        <v>2958789.0625</v>
      </c>
      <c r="D918" s="0" t="n">
        <v>-43633500.48766729</v>
      </c>
      <c r="E918" s="0" t="n">
        <v>2.474614408032839e-05</v>
      </c>
      <c r="F918" s="0" t="n">
        <v>2.582485157616558e-05</v>
      </c>
      <c r="G918" s="0" t="n">
        <v>-1.07870749583719e-06</v>
      </c>
      <c r="H918" s="0" t="b">
        <v>1</v>
      </c>
    </row>
    <row r="919">
      <c r="A919" s="0" t="n">
        <v>125</v>
      </c>
      <c r="B919" s="0" t="n">
        <v>10</v>
      </c>
      <c r="C919" s="0" t="n">
        <v>2970410.15625</v>
      </c>
      <c r="D919" s="0" t="n">
        <v>87831254.27416913</v>
      </c>
      <c r="E919" s="0" t="n">
        <v>2.761322568280759e-05</v>
      </c>
      <c r="F919" s="0" t="n">
        <v>2.582485157616558e-05</v>
      </c>
      <c r="G919" s="0" t="n">
        <v>1.788374106642014e-06</v>
      </c>
      <c r="H919" s="0" t="b">
        <v>0</v>
      </c>
    </row>
    <row r="920">
      <c r="A920" s="0" t="n">
        <v>125</v>
      </c>
      <c r="B920" s="0" t="n">
        <v>11</v>
      </c>
      <c r="C920" s="0" t="n">
        <v>2964599.609375</v>
      </c>
      <c r="D920" s="0" t="n">
        <v>14319641.47573953</v>
      </c>
      <c r="E920" s="0" t="n">
        <v>2.614299890611275e-05</v>
      </c>
      <c r="F920" s="0" t="n">
        <v>2.582485157616558e-05</v>
      </c>
      <c r="G920" s="0" t="n">
        <v>3.181473299471781e-07</v>
      </c>
      <c r="H920" s="0" t="b">
        <v>0</v>
      </c>
    </row>
    <row r="921">
      <c r="A921" s="0" t="n">
        <v>125</v>
      </c>
      <c r="B921" s="0" t="n">
        <v>12</v>
      </c>
      <c r="C921" s="0" t="n">
        <v>2961694.3359375</v>
      </c>
      <c r="D921" s="0" t="n">
        <v>-16628355.25315206</v>
      </c>
      <c r="E921" s="0" t="n">
        <v>2.543561482852879e-05</v>
      </c>
      <c r="F921" s="0" t="n">
        <v>2.582485157616558e-05</v>
      </c>
      <c r="G921" s="0" t="n">
        <v>-3.892367476367833e-07</v>
      </c>
      <c r="H921" s="0" t="b">
        <v>1</v>
      </c>
    </row>
    <row r="922">
      <c r="A922" s="0" t="n">
        <v>125</v>
      </c>
      <c r="B922" s="0" t="n">
        <v>13</v>
      </c>
      <c r="C922" s="0" t="n">
        <v>2963146.97265625</v>
      </c>
      <c r="D922" s="0" t="n">
        <v>-1658486.371083743</v>
      </c>
      <c r="E922" s="0" t="n">
        <v>2.578704067505456e-05</v>
      </c>
      <c r="F922" s="0" t="n">
        <v>2.582485157616558e-05</v>
      </c>
      <c r="G922" s="0" t="n">
        <v>-3.781090111101588e-08</v>
      </c>
      <c r="H922" s="0" t="b">
        <v>1</v>
      </c>
    </row>
    <row r="923">
      <c r="A923" s="0" t="n">
        <v>125</v>
      </c>
      <c r="B923" s="0" t="n">
        <v>14</v>
      </c>
      <c r="C923" s="0" t="n">
        <v>2963646.97265625</v>
      </c>
      <c r="D923" s="0" t="n">
        <v>3726319.216279262</v>
      </c>
      <c r="E923" s="0" t="n">
        <v>2.590904909699693e-05</v>
      </c>
      <c r="F923" s="0" t="n">
        <v>2.582485157616558e-05</v>
      </c>
      <c r="G923" s="0" t="n">
        <v>8.419752083135381e-08</v>
      </c>
      <c r="H923" s="0" t="b">
        <v>0</v>
      </c>
    </row>
    <row r="924">
      <c r="A924" s="0" t="n">
        <v>125</v>
      </c>
      <c r="B924" s="0" t="n">
        <v>15</v>
      </c>
      <c r="C924" s="0" t="n">
        <v>2963396.97265625</v>
      </c>
      <c r="D924" s="0" t="n">
        <v>1018962.456592183</v>
      </c>
      <c r="E924" s="0" t="n">
        <v>2.584797843523982e-05</v>
      </c>
      <c r="F924" s="0" t="n">
        <v>2.582485157616558e-05</v>
      </c>
      <c r="G924" s="0" t="n">
        <v>2.312685907424324e-08</v>
      </c>
      <c r="H924" s="0" t="b">
        <v>0</v>
      </c>
    </row>
    <row r="925">
      <c r="A925" s="0" t="n">
        <v>125</v>
      </c>
      <c r="B925" s="0" t="n">
        <v>16</v>
      </c>
      <c r="C925" s="0" t="n">
        <v>2963521.97265625</v>
      </c>
      <c r="D925" s="0" t="n">
        <v>2368816.41672393</v>
      </c>
      <c r="E925" s="0" t="n">
        <v>2.587849535982206e-05</v>
      </c>
      <c r="F925" s="0" t="n">
        <v>2.582485157616558e-05</v>
      </c>
      <c r="G925" s="0" t="n">
        <v>5.364378365648516e-08</v>
      </c>
      <c r="H925" s="0" t="b">
        <v>0</v>
      </c>
    </row>
    <row r="926">
      <c r="A926" s="0" t="n">
        <v>125</v>
      </c>
      <c r="B926" s="0" t="n">
        <v>17</v>
      </c>
      <c r="C926" s="0" t="n">
        <v>2963671.97265625</v>
      </c>
      <c r="D926" s="0" t="n">
        <v>3998708.099592934</v>
      </c>
      <c r="E926" s="0" t="n">
        <v>2.591516356981587e-05</v>
      </c>
      <c r="F926" s="0" t="n">
        <v>2.582485157616558e-05</v>
      </c>
      <c r="G926" s="0" t="n">
        <v>9.031199365029302e-08</v>
      </c>
      <c r="H926" s="0" t="b">
        <v>0</v>
      </c>
    </row>
    <row r="927">
      <c r="A927" s="0" t="n">
        <v>125</v>
      </c>
      <c r="B927" s="0" t="n">
        <v>18</v>
      </c>
      <c r="C927" s="0" t="n">
        <v>2963596.97265625</v>
      </c>
      <c r="D927" s="0" t="n">
        <v>3182444.130019689</v>
      </c>
      <c r="E927" s="0" t="n">
        <v>2.589682419352985e-05</v>
      </c>
      <c r="F927" s="0" t="n">
        <v>2.582485157616558e-05</v>
      </c>
      <c r="G927" s="0" t="n">
        <v>7.197261736427541e-08</v>
      </c>
      <c r="H927" s="0" t="b">
        <v>0</v>
      </c>
    </row>
    <row r="928">
      <c r="A928" s="0" t="n">
        <v>125</v>
      </c>
      <c r="B928" s="0" t="n">
        <v>19</v>
      </c>
      <c r="C928" s="0" t="n">
        <v>2963506.97265625</v>
      </c>
      <c r="D928" s="0" t="n">
        <v>2206429.408692165</v>
      </c>
      <c r="E928" s="0" t="n">
        <v>2.587483136335234e-05</v>
      </c>
      <c r="F928" s="0" t="n">
        <v>2.582485157616558e-05</v>
      </c>
      <c r="G928" s="0" t="n">
        <v>4.997978718676653e-08</v>
      </c>
      <c r="H928" s="0" t="b">
        <v>0</v>
      </c>
    </row>
    <row r="929">
      <c r="A929" s="0" t="n">
        <v>125</v>
      </c>
      <c r="B929" s="0" t="n">
        <v>20</v>
      </c>
      <c r="C929" s="0" t="n">
        <v>2963551.97265625</v>
      </c>
      <c r="D929" s="0" t="n">
        <v>2693984.970368745</v>
      </c>
      <c r="E929" s="0" t="n">
        <v>2.58858263869941e-05</v>
      </c>
      <c r="F929" s="0" t="n">
        <v>2.582485157616558e-05</v>
      </c>
      <c r="G929" s="0" t="n">
        <v>6.097481082852001e-08</v>
      </c>
      <c r="H929" s="0" t="b">
        <v>0</v>
      </c>
    </row>
    <row r="930">
      <c r="A930" s="0" t="n">
        <v>125</v>
      </c>
      <c r="B930" s="0" t="n">
        <v>21</v>
      </c>
      <c r="C930" s="0" t="n">
        <v>2963605.97265625</v>
      </c>
      <c r="D930" s="0" t="n">
        <v>3280252.852109689</v>
      </c>
      <c r="E930" s="0" t="n">
        <v>2.589902427847588e-05</v>
      </c>
      <c r="F930" s="0" t="n">
        <v>2.582485157616558e-05</v>
      </c>
      <c r="G930" s="0" t="n">
        <v>7.41727023103041e-08</v>
      </c>
      <c r="H930" s="0" t="b">
        <v>0</v>
      </c>
    </row>
    <row r="931">
      <c r="A931" s="0" t="n">
        <v>125</v>
      </c>
      <c r="B931" s="0" t="n">
        <v>22</v>
      </c>
      <c r="C931" s="0" t="n">
        <v>2963578.97265625</v>
      </c>
      <c r="D931" s="0" t="n">
        <v>2986873.369549604</v>
      </c>
      <c r="E931" s="0" t="n">
        <v>2.589242296648033e-05</v>
      </c>
      <c r="F931" s="0" t="n">
        <v>2.582485157616558e-05</v>
      </c>
      <c r="G931" s="0" t="n">
        <v>6.757139031475043e-08</v>
      </c>
      <c r="H931" s="0" t="b">
        <v>0</v>
      </c>
    </row>
    <row r="932">
      <c r="A932" s="0" t="n">
        <v>126</v>
      </c>
      <c r="B932" s="0" t="n">
        <v>1</v>
      </c>
      <c r="C932" s="0" t="n">
        <v>6050000</v>
      </c>
      <c r="D932" s="0" t="n">
        <v>4.692185447324585e+17</v>
      </c>
      <c r="E932" s="0" t="n">
        <v>176.4610744767006</v>
      </c>
      <c r="F932" s="0" t="n">
        <v>2.381119156780187e-05</v>
      </c>
      <c r="G932" s="0" t="n">
        <v>176.461050665509</v>
      </c>
      <c r="H932" s="0" t="b">
        <v>0</v>
      </c>
    </row>
    <row r="933">
      <c r="A933" s="0" t="n">
        <v>126</v>
      </c>
      <c r="B933" s="0" t="n">
        <v>2</v>
      </c>
      <c r="C933" s="0" t="n">
        <v>3075000</v>
      </c>
      <c r="D933" s="0" t="n">
        <v>-86435895.04200666</v>
      </c>
      <c r="E933" s="0" t="n">
        <v>1.506166779867647e-05</v>
      </c>
      <c r="F933" s="0" t="n">
        <v>2.381119158132104e-05</v>
      </c>
      <c r="G933" s="0" t="n">
        <v>-8.749523782644568e-06</v>
      </c>
      <c r="H933" s="0" t="b">
        <v>1</v>
      </c>
    </row>
    <row r="934">
      <c r="A934" s="0" t="n">
        <v>126</v>
      </c>
      <c r="B934" s="0" t="n">
        <v>3</v>
      </c>
      <c r="C934" s="0" t="n">
        <v>4562500</v>
      </c>
      <c r="D934" s="0" t="n">
        <v>205025299928120.6</v>
      </c>
      <c r="E934" s="0" t="n">
        <v>0.2242888947954094</v>
      </c>
      <c r="F934" s="0" t="n">
        <v>2.381119158131884e-05</v>
      </c>
      <c r="G934" s="0" t="n">
        <v>0.2242650836038281</v>
      </c>
      <c r="H934" s="0" t="b">
        <v>0</v>
      </c>
    </row>
    <row r="935">
      <c r="A935" s="0" t="n">
        <v>126</v>
      </c>
      <c r="B935" s="0" t="n">
        <v>4</v>
      </c>
      <c r="C935" s="0" t="n">
        <v>3818750</v>
      </c>
      <c r="D935" s="0" t="n">
        <v>1484871817324.217</v>
      </c>
      <c r="E935" s="0" t="n">
        <v>0.003981238975690619</v>
      </c>
      <c r="F935" s="0" t="n">
        <v>2.381119158132144e-05</v>
      </c>
      <c r="G935" s="0" t="n">
        <v>0.003957427784109298</v>
      </c>
      <c r="H935" s="0" t="b">
        <v>0</v>
      </c>
    </row>
    <row r="936">
      <c r="A936" s="0" t="n">
        <v>126</v>
      </c>
      <c r="B936" s="0" t="n">
        <v>5</v>
      </c>
      <c r="C936" s="0" t="n">
        <v>3446875</v>
      </c>
      <c r="D936" s="0" t="n">
        <v>53466432018.78648</v>
      </c>
      <c r="E936" s="0" t="n">
        <v>0.0003202823198131715</v>
      </c>
      <c r="F936" s="0" t="n">
        <v>2.381119158132106e-05</v>
      </c>
      <c r="G936" s="0" t="n">
        <v>0.0002964711282318504</v>
      </c>
      <c r="H936" s="0" t="b">
        <v>0</v>
      </c>
    </row>
    <row r="937">
      <c r="A937" s="0" t="n">
        <v>126</v>
      </c>
      <c r="B937" s="0" t="n">
        <v>6</v>
      </c>
      <c r="C937" s="0" t="n">
        <v>3260937.5</v>
      </c>
      <c r="D937" s="0" t="n">
        <v>5318122808.342071</v>
      </c>
      <c r="E937" s="0" t="n">
        <v>7.523216251842911e-05</v>
      </c>
      <c r="F937" s="0" t="n">
        <v>2.381119158132104e-05</v>
      </c>
      <c r="G937" s="0" t="n">
        <v>5.142097093710806e-05</v>
      </c>
      <c r="H937" s="0" t="b">
        <v>0</v>
      </c>
    </row>
    <row r="938">
      <c r="A938" s="0" t="n">
        <v>126</v>
      </c>
      <c r="B938" s="0" t="n">
        <v>7</v>
      </c>
      <c r="C938" s="0" t="n">
        <v>3167968.75</v>
      </c>
      <c r="D938" s="0" t="n">
        <v>718508003.5616183</v>
      </c>
      <c r="E938" s="0" t="n">
        <v>3.440668654981234e-05</v>
      </c>
      <c r="F938" s="0" t="n">
        <v>2.381119158132104e-05</v>
      </c>
      <c r="G938" s="0" t="n">
        <v>1.05954949684913e-05</v>
      </c>
      <c r="H938" s="0" t="b">
        <v>0</v>
      </c>
    </row>
    <row r="939">
      <c r="A939" s="0" t="n">
        <v>126</v>
      </c>
      <c r="B939" s="0" t="n">
        <v>8</v>
      </c>
      <c r="C939" s="0" t="n">
        <v>3121484.375</v>
      </c>
      <c r="D939" s="0" t="n">
        <v>-40122979.51520986</v>
      </c>
      <c r="E939" s="0" t="n">
        <v>2.289539685814531e-05</v>
      </c>
      <c r="F939" s="0" t="n">
        <v>2.381119158132104e-05</v>
      </c>
      <c r="G939" s="0" t="n">
        <v>-9.157947231757299e-07</v>
      </c>
      <c r="H939" s="0" t="b">
        <v>1</v>
      </c>
    </row>
    <row r="940">
      <c r="A940" s="0" t="n">
        <v>126</v>
      </c>
      <c r="B940" s="0" t="n">
        <v>9</v>
      </c>
      <c r="C940" s="0" t="n">
        <v>3144726.5625</v>
      </c>
      <c r="D940" s="0" t="n">
        <v>251723570.0966352</v>
      </c>
      <c r="E940" s="0" t="n">
        <v>2.810627728461668e-05</v>
      </c>
      <c r="F940" s="0" t="n">
        <v>2.381119158132104e-05</v>
      </c>
      <c r="G940" s="0" t="n">
        <v>4.295085703295642e-06</v>
      </c>
      <c r="H940" s="0" t="b">
        <v>0</v>
      </c>
    </row>
    <row r="941">
      <c r="A941" s="0" t="n">
        <v>126</v>
      </c>
      <c r="B941" s="0" t="n">
        <v>10</v>
      </c>
      <c r="C941" s="0" t="n">
        <v>3133105.46875</v>
      </c>
      <c r="D941" s="0" t="n">
        <v>83362748.88011174</v>
      </c>
      <c r="E941" s="0" t="n">
        <v>2.537638442746443e-05</v>
      </c>
      <c r="F941" s="0" t="n">
        <v>2.381119158132104e-05</v>
      </c>
      <c r="G941" s="0" t="n">
        <v>1.565192846143384e-06</v>
      </c>
      <c r="H941" s="0" t="b">
        <v>0</v>
      </c>
    </row>
    <row r="942">
      <c r="A942" s="0" t="n">
        <v>126</v>
      </c>
      <c r="B942" s="0" t="n">
        <v>11</v>
      </c>
      <c r="C942" s="0" t="n">
        <v>3127294.921875</v>
      </c>
      <c r="D942" s="0" t="n">
        <v>14303723.44132367</v>
      </c>
      <c r="E942" s="0" t="n">
        <v>2.410612169979131e-05</v>
      </c>
      <c r="F942" s="0" t="n">
        <v>2.381119158132104e-05</v>
      </c>
      <c r="G942" s="0" t="n">
        <v>2.949301184702682e-07</v>
      </c>
      <c r="H942" s="0" t="b">
        <v>0</v>
      </c>
    </row>
    <row r="943">
      <c r="A943" s="0" t="n">
        <v>126</v>
      </c>
      <c r="B943" s="0" t="n">
        <v>12</v>
      </c>
      <c r="C943" s="0" t="n">
        <v>3124389.6484375</v>
      </c>
      <c r="D943" s="0" t="n">
        <v>-14660991.33227364</v>
      </c>
      <c r="E943" s="0" t="n">
        <v>2.349348218090684e-05</v>
      </c>
      <c r="F943" s="0" t="n">
        <v>2.381119158132104e-05</v>
      </c>
      <c r="G943" s="0" t="n">
        <v>-3.177094004142056e-07</v>
      </c>
      <c r="H943" s="0" t="b">
        <v>1</v>
      </c>
    </row>
    <row r="944">
      <c r="A944" s="0" t="n">
        <v>126</v>
      </c>
      <c r="B944" s="0" t="n">
        <v>13</v>
      </c>
      <c r="C944" s="0" t="n">
        <v>3125842.28515625</v>
      </c>
      <c r="D944" s="0" t="n">
        <v>-626082.7753401547</v>
      </c>
      <c r="E944" s="0" t="n">
        <v>2.379796073434019e-05</v>
      </c>
      <c r="F944" s="0" t="n">
        <v>2.381119158132104e-05</v>
      </c>
      <c r="G944" s="0" t="n">
        <v>-1.32308469808485e-08</v>
      </c>
      <c r="H944" s="0" t="b">
        <v>1</v>
      </c>
    </row>
    <row r="945">
      <c r="A945" s="0" t="n">
        <v>126</v>
      </c>
      <c r="B945" s="0" t="n">
        <v>14</v>
      </c>
      <c r="C945" s="0" t="n">
        <v>3126342.28515625</v>
      </c>
      <c r="D945" s="0" t="n">
        <v>4410864.913008654</v>
      </c>
      <c r="E945" s="0" t="n">
        <v>2.390361384692042e-05</v>
      </c>
      <c r="F945" s="0" t="n">
        <v>2.381119158132104e-05</v>
      </c>
      <c r="G945" s="0" t="n">
        <v>9.242226559938078e-08</v>
      </c>
      <c r="H945" s="0" t="b">
        <v>0</v>
      </c>
    </row>
    <row r="946">
      <c r="A946" s="0" t="n">
        <v>126</v>
      </c>
      <c r="B946" s="0" t="n">
        <v>15</v>
      </c>
      <c r="C946" s="0" t="n">
        <v>3126092.28515625</v>
      </c>
      <c r="D946" s="0" t="n">
        <v>1879056.525629507</v>
      </c>
      <c r="E946" s="0" t="n">
        <v>2.385073197002764e-05</v>
      </c>
      <c r="F946" s="0" t="n">
        <v>2.381119158132104e-05</v>
      </c>
      <c r="G946" s="0" t="n">
        <v>3.954038870660227e-08</v>
      </c>
      <c r="H946" s="0" t="b">
        <v>0</v>
      </c>
    </row>
    <row r="947">
      <c r="A947" s="0" t="n">
        <v>126</v>
      </c>
      <c r="B947" s="0" t="n">
        <v>16</v>
      </c>
      <c r="C947" s="0" t="n">
        <v>3126217.28515625</v>
      </c>
      <c r="D947" s="0" t="n">
        <v>3141594.774963826</v>
      </c>
      <c r="E947" s="0" t="n">
        <v>2.387715852129293e-05</v>
      </c>
      <c r="F947" s="0" t="n">
        <v>2.381119158132104e-05</v>
      </c>
      <c r="G947" s="0" t="n">
        <v>6.596693997188509e-08</v>
      </c>
      <c r="H947" s="0" t="b">
        <v>0</v>
      </c>
    </row>
    <row r="948">
      <c r="A948" s="0" t="n">
        <v>127</v>
      </c>
      <c r="B948" s="0" t="n">
        <v>1</v>
      </c>
      <c r="C948" s="0" t="n">
        <v>6050000</v>
      </c>
      <c r="D948" s="0" t="n">
        <v>2.267963876258167e+16</v>
      </c>
      <c r="E948" s="0" t="n">
        <v>9.957699015143119</v>
      </c>
      <c r="F948" s="0" t="n">
        <v>2.016522264014498e-05</v>
      </c>
      <c r="G948" s="0" t="n">
        <v>9.957678849920478</v>
      </c>
      <c r="H948" s="0" t="b">
        <v>0</v>
      </c>
    </row>
    <row r="949">
      <c r="A949" s="0" t="n">
        <v>127</v>
      </c>
      <c r="B949" s="0" t="n">
        <v>2</v>
      </c>
      <c r="C949" s="0" t="n">
        <v>3075000</v>
      </c>
      <c r="D949" s="0" t="n">
        <v>-227072.5114193519</v>
      </c>
      <c r="E949" s="0" t="n">
        <v>3.421155149105195e-06</v>
      </c>
      <c r="F949" s="0" t="n">
        <v>2.016522263974255e-05</v>
      </c>
      <c r="G949" s="0" t="n">
        <v>-1.674406749063736e-05</v>
      </c>
      <c r="H949" s="0" t="b">
        <v>1</v>
      </c>
    </row>
    <row r="950">
      <c r="A950" s="0" t="n">
        <v>127</v>
      </c>
      <c r="B950" s="0" t="n">
        <v>3</v>
      </c>
      <c r="C950" s="0" t="n">
        <v>4562500</v>
      </c>
      <c r="D950" s="0" t="n">
        <v>15838749918633.62</v>
      </c>
      <c r="E950" s="0" t="n">
        <v>0.02161807058611245</v>
      </c>
      <c r="F950" s="0" t="n">
        <v>2.016522263974252e-05</v>
      </c>
      <c r="G950" s="0" t="n">
        <v>0.02159790536347271</v>
      </c>
      <c r="H950" s="0" t="b">
        <v>0</v>
      </c>
    </row>
    <row r="951">
      <c r="A951" s="0" t="n">
        <v>127</v>
      </c>
      <c r="B951" s="0" t="n">
        <v>4</v>
      </c>
      <c r="C951" s="0" t="n">
        <v>3818750</v>
      </c>
      <c r="D951" s="0" t="n">
        <v>76506592572.52492</v>
      </c>
      <c r="E951" s="0" t="n">
        <v>0.00033807540703148</v>
      </c>
      <c r="F951" s="0" t="n">
        <v>2.016522263974257e-05</v>
      </c>
      <c r="G951" s="0" t="n">
        <v>0.0003179101843917375</v>
      </c>
      <c r="H951" s="0" t="b">
        <v>0</v>
      </c>
    </row>
    <row r="952">
      <c r="A952" s="0" t="n">
        <v>127</v>
      </c>
      <c r="B952" s="0" t="n">
        <v>5</v>
      </c>
      <c r="C952" s="0" t="n">
        <v>3446875</v>
      </c>
      <c r="D952" s="0" t="n">
        <v>254639579.9601269</v>
      </c>
      <c r="E952" s="0" t="n">
        <v>2.374424681579527e-05</v>
      </c>
      <c r="F952" s="0" t="n">
        <v>2.016522263974255e-05</v>
      </c>
      <c r="G952" s="0" t="n">
        <v>3.579024176052715e-06</v>
      </c>
      <c r="H952" s="0" t="b">
        <v>0</v>
      </c>
    </row>
    <row r="953">
      <c r="A953" s="0" t="n">
        <v>127</v>
      </c>
      <c r="B953" s="0" t="n">
        <v>6</v>
      </c>
      <c r="C953" s="0" t="n">
        <v>3260937.5</v>
      </c>
      <c r="D953" s="0" t="n">
        <v>-2216873.557471018</v>
      </c>
      <c r="E953" s="0" t="n">
        <v>7.990648513815911e-06</v>
      </c>
      <c r="F953" s="0" t="n">
        <v>2.016522263974255e-05</v>
      </c>
      <c r="G953" s="0" t="n">
        <v>-1.217457412592664e-05</v>
      </c>
      <c r="H953" s="0" t="b">
        <v>1</v>
      </c>
    </row>
    <row r="954">
      <c r="A954" s="0" t="n">
        <v>127</v>
      </c>
      <c r="B954" s="0" t="n">
        <v>7</v>
      </c>
      <c r="C954" s="0" t="n">
        <v>3353906.25</v>
      </c>
      <c r="D954" s="0" t="n">
        <v>-46100541.10707558</v>
      </c>
      <c r="E954" s="0" t="n">
        <v>1.182980879670119e-05</v>
      </c>
      <c r="F954" s="0" t="n">
        <v>2.016522263974255e-05</v>
      </c>
      <c r="G954" s="0" t="n">
        <v>-8.335413843041361e-06</v>
      </c>
      <c r="H954" s="0" t="b">
        <v>1</v>
      </c>
    </row>
    <row r="955">
      <c r="A955" s="0" t="n">
        <v>127</v>
      </c>
      <c r="B955" s="0" t="n">
        <v>8</v>
      </c>
      <c r="C955" s="0" t="n">
        <v>3400390.625</v>
      </c>
      <c r="D955" s="0" t="n">
        <v>-125532407.7091326</v>
      </c>
      <c r="E955" s="0" t="n">
        <v>1.6409404509813e-05</v>
      </c>
      <c r="F955" s="0" t="n">
        <v>2.016522263974255e-05</v>
      </c>
      <c r="G955" s="0" t="n">
        <v>-3.755818129929557e-06</v>
      </c>
      <c r="H955" s="0" t="b">
        <v>1</v>
      </c>
    </row>
    <row r="956">
      <c r="A956" s="0" t="n">
        <v>127</v>
      </c>
      <c r="B956" s="0" t="n">
        <v>9</v>
      </c>
      <c r="C956" s="0" t="n">
        <v>3423632.8125</v>
      </c>
      <c r="D956" s="0" t="n">
        <v>-21292747.58984548</v>
      </c>
      <c r="E956" s="0" t="n">
        <v>1.976215251419216e-05</v>
      </c>
      <c r="F956" s="0" t="n">
        <v>2.016522263974255e-05</v>
      </c>
      <c r="G956" s="0" t="n">
        <v>-4.030701255503888e-07</v>
      </c>
      <c r="H956" s="0" t="b">
        <v>1</v>
      </c>
    </row>
    <row r="957">
      <c r="A957" s="0" t="n">
        <v>127</v>
      </c>
      <c r="B957" s="0" t="n">
        <v>10</v>
      </c>
      <c r="C957" s="0" t="n">
        <v>3435253.90625</v>
      </c>
      <c r="D957" s="0" t="n">
        <v>94771750.34274319</v>
      </c>
      <c r="E957" s="0" t="n">
        <v>2.166817317844188e-05</v>
      </c>
      <c r="F957" s="0" t="n">
        <v>2.016522263974255e-05</v>
      </c>
      <c r="G957" s="0" t="n">
        <v>1.502950538699323e-06</v>
      </c>
      <c r="H957" s="0" t="b">
        <v>0</v>
      </c>
    </row>
    <row r="958">
      <c r="A958" s="0" t="n">
        <v>127</v>
      </c>
      <c r="B958" s="0" t="n">
        <v>11</v>
      </c>
      <c r="C958" s="0" t="n">
        <v>3429443.359375</v>
      </c>
      <c r="D958" s="0" t="n">
        <v>30661535.15233978</v>
      </c>
      <c r="E958" s="0" t="n">
        <v>2.069477423139607e-05</v>
      </c>
      <c r="F958" s="0" t="n">
        <v>2.016522263974255e-05</v>
      </c>
      <c r="G958" s="0" t="n">
        <v>5.295515916535183e-07</v>
      </c>
      <c r="H958" s="0" t="b">
        <v>0</v>
      </c>
    </row>
    <row r="959">
      <c r="A959" s="0" t="n">
        <v>127</v>
      </c>
      <c r="B959" s="0" t="n">
        <v>12</v>
      </c>
      <c r="C959" s="0" t="n">
        <v>3426538.0859375</v>
      </c>
      <c r="D959" s="0" t="n">
        <v>3223300.226865034</v>
      </c>
      <c r="E959" s="0" t="n">
        <v>2.022345409313389e-05</v>
      </c>
      <c r="F959" s="0" t="n">
        <v>2.016522263974255e-05</v>
      </c>
      <c r="G959" s="0" t="n">
        <v>5.823145339133281e-08</v>
      </c>
      <c r="H959" s="0" t="b">
        <v>0</v>
      </c>
    </row>
    <row r="960">
      <c r="A960" s="0" t="n">
        <v>127</v>
      </c>
      <c r="B960" s="0" t="n">
        <v>13</v>
      </c>
      <c r="C960" s="0" t="n">
        <v>3427990.72265625</v>
      </c>
      <c r="D960" s="0" t="n">
        <v>16569845.71375796</v>
      </c>
      <c r="E960" s="0" t="n">
        <v>2.04578493788995e-05</v>
      </c>
      <c r="F960" s="0" t="n">
        <v>2.016522263974255e-05</v>
      </c>
      <c r="G960" s="0" t="n">
        <v>2.92626739156951e-07</v>
      </c>
      <c r="H960" s="0" t="b">
        <v>0</v>
      </c>
    </row>
    <row r="961">
      <c r="A961" s="0" t="n">
        <v>127</v>
      </c>
      <c r="B961" s="0" t="n">
        <v>14</v>
      </c>
      <c r="C961" s="0" t="n">
        <v>3427490.72265625</v>
      </c>
      <c r="D961" s="0" t="n">
        <v>11892587.06839888</v>
      </c>
      <c r="E961" s="0" t="n">
        <v>2.037688590068826e-05</v>
      </c>
      <c r="F961" s="0" t="n">
        <v>2.016522263974255e-05</v>
      </c>
      <c r="G961" s="0" t="n">
        <v>2.116632609457031e-07</v>
      </c>
      <c r="H961" s="0" t="b">
        <v>0</v>
      </c>
    </row>
    <row r="962">
      <c r="A962" s="0" t="n">
        <v>127</v>
      </c>
      <c r="B962" s="0" t="n">
        <v>15</v>
      </c>
      <c r="C962" s="0" t="n">
        <v>3426890.72265625</v>
      </c>
      <c r="D962" s="0" t="n">
        <v>6395561.290327125</v>
      </c>
      <c r="E962" s="0" t="n">
        <v>2.028012387581147e-05</v>
      </c>
      <c r="F962" s="0" t="n">
        <v>2.016522263974255e-05</v>
      </c>
      <c r="G962" s="0" t="n">
        <v>1.149012360689165e-07</v>
      </c>
      <c r="H962" s="0" t="b">
        <v>0</v>
      </c>
    </row>
    <row r="963">
      <c r="A963" s="0" t="n">
        <v>127</v>
      </c>
      <c r="B963" s="0" t="n">
        <v>16</v>
      </c>
      <c r="C963" s="0" t="n">
        <v>3426170.72265625</v>
      </c>
      <c r="D963" s="0" t="n">
        <v>-35716.71799419882</v>
      </c>
      <c r="E963" s="0" t="n">
        <v>2.016457362925773e-05</v>
      </c>
      <c r="F963" s="0" t="n">
        <v>2.016522263974255e-05</v>
      </c>
      <c r="G963" s="0" t="n">
        <v>-6.490104848265758e-10</v>
      </c>
      <c r="H963" s="0" t="b">
        <v>1</v>
      </c>
    </row>
    <row r="964">
      <c r="A964" s="0" t="n">
        <v>127</v>
      </c>
      <c r="B964" s="0" t="n">
        <v>17</v>
      </c>
      <c r="C964" s="0" t="n">
        <v>3426530.72265625</v>
      </c>
      <c r="D964" s="0" t="n">
        <v>3157520.922350615</v>
      </c>
      <c r="E964" s="0" t="n">
        <v>2.022227236601467e-05</v>
      </c>
      <c r="F964" s="0" t="n">
        <v>2.016522263974255e-05</v>
      </c>
      <c r="G964" s="0" t="n">
        <v>5.704972627211421e-08</v>
      </c>
      <c r="H964" s="0" t="b">
        <v>0</v>
      </c>
    </row>
    <row r="965">
      <c r="A965" s="0" t="n">
        <v>127</v>
      </c>
      <c r="B965" s="0" t="n">
        <v>18</v>
      </c>
      <c r="C965" s="0" t="n">
        <v>3426962.72265625</v>
      </c>
      <c r="D965" s="0" t="n">
        <v>7048503.524988566</v>
      </c>
      <c r="E965" s="0" t="n">
        <v>2.029171145365893e-05</v>
      </c>
      <c r="F965" s="0" t="n">
        <v>2.016522263974255e-05</v>
      </c>
      <c r="G965" s="0" t="n">
        <v>1.264888139163782e-07</v>
      </c>
      <c r="H965" s="0" t="b">
        <v>0</v>
      </c>
    </row>
    <row r="966">
      <c r="A966" s="0" t="n">
        <v>127</v>
      </c>
      <c r="B966" s="0" t="n">
        <v>19</v>
      </c>
      <c r="C966" s="0" t="n">
        <v>3426746.72265625</v>
      </c>
      <c r="D966" s="0" t="n">
        <v>5094947.752538662</v>
      </c>
      <c r="E966" s="0" t="n">
        <v>2.025696478981483e-05</v>
      </c>
      <c r="F966" s="0" t="n">
        <v>2.016522263974255e-05</v>
      </c>
      <c r="G966" s="0" t="n">
        <v>9.174215007227575e-08</v>
      </c>
      <c r="H966" s="0" t="b">
        <v>0</v>
      </c>
    </row>
    <row r="967">
      <c r="A967" s="0" t="n">
        <v>127</v>
      </c>
      <c r="B967" s="0" t="n">
        <v>20</v>
      </c>
      <c r="C967" s="0" t="n">
        <v>3426487.52265625</v>
      </c>
      <c r="D967" s="0" t="n">
        <v>2771975.040915319</v>
      </c>
      <c r="E967" s="0" t="n">
        <v>2.021534052868918e-05</v>
      </c>
      <c r="F967" s="0" t="n">
        <v>2.016522263974255e-05</v>
      </c>
      <c r="G967" s="0" t="n">
        <v>5.011788894662564e-08</v>
      </c>
      <c r="H967" s="0" t="b">
        <v>0</v>
      </c>
    </row>
    <row r="968">
      <c r="A968" s="0" t="n">
        <v>127</v>
      </c>
      <c r="B968" s="0" t="n">
        <v>21</v>
      </c>
      <c r="C968" s="0" t="n">
        <v>3426617.12265625</v>
      </c>
      <c r="D968" s="0" t="n">
        <v>3930483.414765998</v>
      </c>
      <c r="E968" s="0" t="n">
        <v>2.023614147472876e-05</v>
      </c>
      <c r="F968" s="0" t="n">
        <v>2.016522263974255e-05</v>
      </c>
      <c r="G968" s="0" t="n">
        <v>7.091883498620634e-08</v>
      </c>
      <c r="H968" s="0" t="b">
        <v>0</v>
      </c>
    </row>
    <row r="969">
      <c r="A969" s="0" t="n">
        <v>127</v>
      </c>
      <c r="B969" s="0" t="n">
        <v>22</v>
      </c>
      <c r="C969" s="0" t="n">
        <v>3426552.32265625</v>
      </c>
      <c r="D969" s="0" t="n">
        <v>3350468.654503224</v>
      </c>
      <c r="E969" s="0" t="n">
        <v>2.022573790455859e-05</v>
      </c>
      <c r="F969" s="0" t="n">
        <v>2.016522263974255e-05</v>
      </c>
      <c r="G969" s="0" t="n">
        <v>6.051526481603322e-08</v>
      </c>
      <c r="H969" s="0" t="b">
        <v>0</v>
      </c>
    </row>
    <row r="970">
      <c r="A970" s="0" t="n">
        <v>127</v>
      </c>
      <c r="B970" s="0" t="n">
        <v>23</v>
      </c>
      <c r="C970" s="0" t="n">
        <v>3426584.72265625</v>
      </c>
      <c r="D970" s="0" t="n">
        <v>3640294.21699053</v>
      </c>
      <c r="E970" s="0" t="n">
        <v>2.023093906646225e-05</v>
      </c>
      <c r="F970" s="0" t="n">
        <v>2.016522263974255e-05</v>
      </c>
      <c r="G970" s="0" t="n">
        <v>6.571642671969694e-08</v>
      </c>
      <c r="H970" s="0" t="b">
        <v>0</v>
      </c>
    </row>
    <row r="971">
      <c r="A971" s="0" t="n">
        <v>127</v>
      </c>
      <c r="B971" s="0" t="n">
        <v>24</v>
      </c>
      <c r="C971" s="0" t="n">
        <v>3426568.52265625</v>
      </c>
      <c r="D971" s="0" t="n">
        <v>3495403.464592236</v>
      </c>
      <c r="E971" s="0" t="n">
        <v>2.022833954059447e-05</v>
      </c>
      <c r="F971" s="0" t="n">
        <v>2.016522263974255e-05</v>
      </c>
      <c r="G971" s="0" t="n">
        <v>6.311690085191289e-08</v>
      </c>
      <c r="H971" s="0" t="b">
        <v>0</v>
      </c>
    </row>
    <row r="972">
      <c r="A972" s="0" t="n">
        <v>127</v>
      </c>
      <c r="B972" s="0" t="n">
        <v>25</v>
      </c>
      <c r="C972" s="0" t="n">
        <v>3426549.08265625</v>
      </c>
      <c r="D972" s="0" t="n">
        <v>3321573.511875939</v>
      </c>
      <c r="E972" s="0" t="n">
        <v>2.022521906755098e-05</v>
      </c>
      <c r="F972" s="0" t="n">
        <v>2.016522263974255e-05</v>
      </c>
      <c r="G972" s="0" t="n">
        <v>5.999642780842192e-08</v>
      </c>
      <c r="H972" s="0" t="b">
        <v>0</v>
      </c>
    </row>
    <row r="973">
      <c r="A973" s="0" t="n">
        <v>127</v>
      </c>
      <c r="B973" s="0" t="n">
        <v>26</v>
      </c>
      <c r="C973" s="0" t="n">
        <v>3426558.80265625</v>
      </c>
      <c r="D973" s="0" t="n">
        <v>3408472.130460951</v>
      </c>
      <c r="E973" s="0" t="n">
        <v>2.022677924799637e-05</v>
      </c>
      <c r="F973" s="0" t="n">
        <v>2.016522263974255e-05</v>
      </c>
      <c r="G973" s="0" t="n">
        <v>6.155660825381989e-08</v>
      </c>
      <c r="H973" s="0" t="b">
        <v>0</v>
      </c>
    </row>
    <row r="974">
      <c r="A974" s="0" t="n">
        <v>128</v>
      </c>
      <c r="B974" s="0" t="n">
        <v>1</v>
      </c>
      <c r="C974" s="0" t="n">
        <v>6050000</v>
      </c>
      <c r="D974" s="0" t="n">
        <v>7152674619688184</v>
      </c>
      <c r="E974" s="0" t="n">
        <v>3.428515939085445</v>
      </c>
      <c r="F974" s="0" t="n">
        <v>1.914685022219587e-05</v>
      </c>
      <c r="G974" s="0" t="n">
        <v>3.428496792235223</v>
      </c>
      <c r="H974" s="0" t="b">
        <v>0</v>
      </c>
    </row>
    <row r="975">
      <c r="A975" s="0" t="n">
        <v>128</v>
      </c>
      <c r="B975" s="0" t="n">
        <v>2</v>
      </c>
      <c r="C975" s="0" t="n">
        <v>3075000</v>
      </c>
      <c r="D975" s="0" t="n">
        <v>-144032.6363475484</v>
      </c>
      <c r="E975" s="0" t="n">
        <v>1.806107808602481e-06</v>
      </c>
      <c r="F975" s="0" t="n">
        <v>1.914685022205411e-05</v>
      </c>
      <c r="G975" s="0" t="n">
        <v>-1.734074241345163e-05</v>
      </c>
      <c r="H975" s="0" t="b">
        <v>1</v>
      </c>
    </row>
    <row r="976">
      <c r="A976" s="0" t="n">
        <v>128</v>
      </c>
      <c r="B976" s="0" t="n">
        <v>3</v>
      </c>
      <c r="C976" s="0" t="n">
        <v>4562500</v>
      </c>
      <c r="D976" s="0" t="n">
        <v>5004115770359.235</v>
      </c>
      <c r="E976" s="0" t="n">
        <v>0.007944952372115115</v>
      </c>
      <c r="F976" s="0" t="n">
        <v>1.914685022205362e-05</v>
      </c>
      <c r="G976" s="0" t="n">
        <v>0.007925805521893061</v>
      </c>
      <c r="H976" s="0" t="b">
        <v>0</v>
      </c>
    </row>
    <row r="977">
      <c r="A977" s="0" t="n">
        <v>128</v>
      </c>
      <c r="B977" s="0" t="n">
        <v>4</v>
      </c>
      <c r="C977" s="0" t="n">
        <v>3818750</v>
      </c>
      <c r="D977" s="0" t="n">
        <v>16813826924.6852</v>
      </c>
      <c r="E977" s="0" t="n">
        <v>0.000113872457700458</v>
      </c>
      <c r="F977" s="0" t="n">
        <v>1.914685022205411e-05</v>
      </c>
      <c r="G977" s="0" t="n">
        <v>9.472560747840394e-05</v>
      </c>
      <c r="H977" s="0" t="b">
        <v>0</v>
      </c>
    </row>
    <row r="978">
      <c r="A978" s="0" t="n">
        <v>128</v>
      </c>
      <c r="B978" s="0" t="n">
        <v>5</v>
      </c>
      <c r="C978" s="0" t="n">
        <v>3446875</v>
      </c>
      <c r="D978" s="0" t="n">
        <v>-10791835.78116963</v>
      </c>
      <c r="E978" s="0" t="n">
        <v>9.503094195964031e-06</v>
      </c>
      <c r="F978" s="0" t="n">
        <v>1.914685022205411e-05</v>
      </c>
      <c r="G978" s="0" t="n">
        <v>-9.643756026090082e-06</v>
      </c>
      <c r="H978" s="0" t="b">
        <v>1</v>
      </c>
    </row>
    <row r="979">
      <c r="A979" s="0" t="n">
        <v>128</v>
      </c>
      <c r="B979" s="0" t="n">
        <v>6</v>
      </c>
      <c r="C979" s="0" t="n">
        <v>3632812.5</v>
      </c>
      <c r="D979" s="0" t="n">
        <v>1127729165.743614</v>
      </c>
      <c r="E979" s="0" t="n">
        <v>3.103068112675173e-05</v>
      </c>
      <c r="F979" s="0" t="n">
        <v>1.914685022205411e-05</v>
      </c>
      <c r="G979" s="0" t="n">
        <v>1.188383090469761e-05</v>
      </c>
      <c r="H979" s="0" t="b">
        <v>0</v>
      </c>
    </row>
    <row r="980">
      <c r="A980" s="0" t="n">
        <v>128</v>
      </c>
      <c r="B980" s="0" t="n">
        <v>7</v>
      </c>
      <c r="C980" s="0" t="n">
        <v>3539843.75</v>
      </c>
      <c r="D980" s="0" t="n">
        <v>-125399332.582545</v>
      </c>
      <c r="E980" s="0" t="n">
        <v>1.544955351840596e-05</v>
      </c>
      <c r="F980" s="0" t="n">
        <v>1.914685022205411e-05</v>
      </c>
      <c r="G980" s="0" t="n">
        <v>-3.697296703648154e-06</v>
      </c>
      <c r="H980" s="0" t="b">
        <v>1</v>
      </c>
    </row>
    <row r="981">
      <c r="A981" s="0" t="n">
        <v>128</v>
      </c>
      <c r="B981" s="0" t="n">
        <v>8</v>
      </c>
      <c r="C981" s="0" t="n">
        <v>3586328.125</v>
      </c>
      <c r="D981" s="0" t="n">
        <v>210497881.8671868</v>
      </c>
      <c r="E981" s="0" t="n">
        <v>2.198802302434337e-05</v>
      </c>
      <c r="F981" s="0" t="n">
        <v>1.914685022205411e-05</v>
      </c>
      <c r="G981" s="0" t="n">
        <v>2.841172802289258e-06</v>
      </c>
      <c r="H981" s="0" t="b">
        <v>0</v>
      </c>
    </row>
    <row r="982">
      <c r="A982" s="0" t="n">
        <v>128</v>
      </c>
      <c r="B982" s="0" t="n">
        <v>9</v>
      </c>
      <c r="C982" s="0" t="n">
        <v>3563085.9375</v>
      </c>
      <c r="D982" s="0" t="n">
        <v>-37138564.04371105</v>
      </c>
      <c r="E982" s="0" t="n">
        <v>1.845095190791136e-05</v>
      </c>
      <c r="F982" s="0" t="n">
        <v>1.914685022205411e-05</v>
      </c>
      <c r="G982" s="0" t="n">
        <v>-6.958983141427572e-07</v>
      </c>
      <c r="H982" s="0" t="b">
        <v>1</v>
      </c>
    </row>
    <row r="983">
      <c r="A983" s="0" t="n">
        <v>128</v>
      </c>
      <c r="B983" s="0" t="n">
        <v>10</v>
      </c>
      <c r="C983" s="0" t="n">
        <v>3574707.03125</v>
      </c>
      <c r="D983" s="0" t="n">
        <v>63668033.21436638</v>
      </c>
      <c r="E983" s="0" t="n">
        <v>2.014737999244296e-05</v>
      </c>
      <c r="F983" s="0" t="n">
        <v>1.914685022205411e-05</v>
      </c>
      <c r="G983" s="0" t="n">
        <v>1.000529770388843e-06</v>
      </c>
      <c r="H983" s="0" t="b">
        <v>0</v>
      </c>
    </row>
    <row r="984">
      <c r="A984" s="0" t="n">
        <v>128</v>
      </c>
      <c r="B984" s="0" t="n">
        <v>11</v>
      </c>
      <c r="C984" s="0" t="n">
        <v>3568896.484375</v>
      </c>
      <c r="D984" s="0" t="n">
        <v>7891273.645891943</v>
      </c>
      <c r="E984" s="0" t="n">
        <v>1.928183703341007e-05</v>
      </c>
      <c r="F984" s="0" t="n">
        <v>1.914685022205411e-05</v>
      </c>
      <c r="G984" s="0" t="n">
        <v>1.34986811355953e-07</v>
      </c>
      <c r="H984" s="0" t="b">
        <v>0</v>
      </c>
    </row>
    <row r="985">
      <c r="A985" s="0" t="n">
        <v>128</v>
      </c>
      <c r="B985" s="0" t="n">
        <v>12</v>
      </c>
      <c r="C985" s="0" t="n">
        <v>3565991.2109375</v>
      </c>
      <c r="D985" s="0" t="n">
        <v>-15916582.5111991</v>
      </c>
      <c r="E985" s="0" t="n">
        <v>1.886213281295993e-05</v>
      </c>
      <c r="F985" s="0" t="n">
        <v>1.914685022205411e-05</v>
      </c>
      <c r="G985" s="0" t="n">
        <v>-2.847174090941866e-07</v>
      </c>
      <c r="H985" s="0" t="b">
        <v>1</v>
      </c>
    </row>
    <row r="986">
      <c r="A986" s="0" t="n">
        <v>128</v>
      </c>
      <c r="B986" s="0" t="n">
        <v>13</v>
      </c>
      <c r="C986" s="0" t="n">
        <v>3567443.84765625</v>
      </c>
      <c r="D986" s="0" t="n">
        <v>-4342154.388658475</v>
      </c>
      <c r="E986" s="0" t="n">
        <v>1.907091017465259e-05</v>
      </c>
      <c r="F986" s="0" t="n">
        <v>1.914685022205411e-05</v>
      </c>
      <c r="G986" s="0" t="n">
        <v>-7.594004740152209e-08</v>
      </c>
      <c r="H986" s="0" t="b">
        <v>1</v>
      </c>
    </row>
    <row r="987">
      <c r="A987" s="0" t="n">
        <v>128</v>
      </c>
      <c r="B987" s="0" t="n">
        <v>14</v>
      </c>
      <c r="C987" s="0" t="n">
        <v>3567943.84765625</v>
      </c>
      <c r="D987" s="0" t="n">
        <v>-206415.1486939635</v>
      </c>
      <c r="E987" s="0" t="n">
        <v>1.914326780768398e-05</v>
      </c>
      <c r="F987" s="0" t="n">
        <v>1.914685022205411e-05</v>
      </c>
      <c r="G987" s="0" t="n">
        <v>-3.582414370135827e-09</v>
      </c>
      <c r="H987" s="0" t="b">
        <v>1</v>
      </c>
    </row>
    <row r="988">
      <c r="A988" s="0" t="n">
        <v>128</v>
      </c>
      <c r="B988" s="0" t="n">
        <v>15</v>
      </c>
      <c r="C988" s="0" t="n">
        <v>3568443.84765625</v>
      </c>
      <c r="D988" s="0" t="n">
        <v>4007924.123759987</v>
      </c>
      <c r="E988" s="0" t="n">
        <v>1.921588105426888e-05</v>
      </c>
      <c r="F988" s="0" t="n">
        <v>1.914685022205411e-05</v>
      </c>
      <c r="G988" s="0" t="n">
        <v>6.903083221476407e-08</v>
      </c>
      <c r="H988" s="0" t="b">
        <v>0</v>
      </c>
    </row>
    <row r="989">
      <c r="A989" s="0" t="n">
        <v>128</v>
      </c>
      <c r="B989" s="0" t="n">
        <v>16</v>
      </c>
      <c r="C989" s="0" t="n">
        <v>3568193.84765625</v>
      </c>
      <c r="D989" s="0" t="n">
        <v>1890896.920865459</v>
      </c>
      <c r="E989" s="0" t="n">
        <v>1.917954242727116e-05</v>
      </c>
      <c r="F989" s="0" t="n">
        <v>1.914685022205411e-05</v>
      </c>
      <c r="G989" s="0" t="n">
        <v>3.269220521704723e-08</v>
      </c>
      <c r="H989" s="0" t="b">
        <v>0</v>
      </c>
    </row>
    <row r="990">
      <c r="A990" s="0" t="n">
        <v>128</v>
      </c>
      <c r="B990" s="0" t="n">
        <v>17</v>
      </c>
      <c r="C990" s="0" t="n">
        <v>3568318.84765625</v>
      </c>
      <c r="D990" s="0" t="n">
        <v>2946875.37046575</v>
      </c>
      <c r="E990" s="0" t="n">
        <v>1.919770258872577e-05</v>
      </c>
      <c r="F990" s="0" t="n">
        <v>1.914685022205411e-05</v>
      </c>
      <c r="G990" s="0" t="n">
        <v>5.085236667166072e-08</v>
      </c>
      <c r="H990" s="0" t="b">
        <v>0</v>
      </c>
    </row>
    <row r="991">
      <c r="A991" s="0" t="n">
        <v>128</v>
      </c>
      <c r="B991" s="0" t="n">
        <v>18</v>
      </c>
      <c r="C991" s="0" t="n">
        <v>3568468.84765625</v>
      </c>
      <c r="D991" s="0" t="n">
        <v>4220713.688664038</v>
      </c>
      <c r="E991" s="0" t="n">
        <v>1.921951844138557e-05</v>
      </c>
      <c r="F991" s="0" t="n">
        <v>1.914685022205411e-05</v>
      </c>
      <c r="G991" s="0" t="n">
        <v>7.266821933145265e-08</v>
      </c>
      <c r="H991" s="0" t="b">
        <v>0</v>
      </c>
    </row>
    <row r="992">
      <c r="A992" s="0" t="n">
        <v>128</v>
      </c>
      <c r="B992" s="0" t="n">
        <v>19</v>
      </c>
      <c r="C992" s="0" t="n">
        <v>3568393.84765625</v>
      </c>
      <c r="D992" s="0" t="n">
        <v>3582938.340788734</v>
      </c>
      <c r="E992" s="0" t="n">
        <v>1.92086082032785e-05</v>
      </c>
      <c r="F992" s="0" t="n">
        <v>1.914685022205411e-05</v>
      </c>
      <c r="G992" s="0" t="n">
        <v>6.175798122438827e-08</v>
      </c>
      <c r="H992" s="0" t="b">
        <v>0</v>
      </c>
    </row>
    <row r="993">
      <c r="A993" s="0" t="n">
        <v>129</v>
      </c>
      <c r="B993" s="0" t="n">
        <v>1</v>
      </c>
      <c r="C993" s="0" t="n">
        <v>6050000</v>
      </c>
      <c r="D993" s="0" t="n">
        <v>175208336501866.3</v>
      </c>
      <c r="E993" s="0" t="n">
        <v>0.1085626349752463</v>
      </c>
      <c r="F993" s="0" t="n">
        <v>1.520317029067575e-05</v>
      </c>
      <c r="G993" s="0" t="n">
        <v>0.1085474318049556</v>
      </c>
      <c r="H993" s="0" t="b">
        <v>0</v>
      </c>
    </row>
    <row r="994">
      <c r="A994" s="0" t="n">
        <v>129</v>
      </c>
      <c r="B994" s="0" t="n">
        <v>2</v>
      </c>
      <c r="C994" s="0" t="n">
        <v>3075000</v>
      </c>
      <c r="D994" s="0" t="n">
        <v>-51860.41363340951</v>
      </c>
      <c r="E994" s="0" t="n">
        <v>-2.375519740348439e-06</v>
      </c>
      <c r="F994" s="0" t="n">
        <v>1.520317029067891e-05</v>
      </c>
      <c r="G994" s="0" t="n">
        <v>-1.757869003102735e-05</v>
      </c>
      <c r="H994" s="0" t="b">
        <v>1</v>
      </c>
    </row>
    <row r="995">
      <c r="A995" s="0" t="n">
        <v>129</v>
      </c>
      <c r="B995" s="0" t="n">
        <v>3</v>
      </c>
      <c r="C995" s="0" t="n">
        <v>4562500</v>
      </c>
      <c r="D995" s="0" t="n">
        <v>68027456699.29866</v>
      </c>
      <c r="E995" s="0" t="n">
        <v>0.0002208370995137331</v>
      </c>
      <c r="F995" s="0" t="n">
        <v>1.520317029067892e-05</v>
      </c>
      <c r="G995" s="0" t="n">
        <v>0.0002056339292230541</v>
      </c>
      <c r="H995" s="0" t="b">
        <v>0</v>
      </c>
    </row>
    <row r="996">
      <c r="A996" s="0" t="n">
        <v>129</v>
      </c>
      <c r="B996" s="0" t="n">
        <v>4</v>
      </c>
      <c r="C996" s="0" t="n">
        <v>3818750</v>
      </c>
      <c r="D996" s="0" t="n">
        <v>-916006.1472476525</v>
      </c>
      <c r="E996" s="0" t="n">
        <v>4.849011094688601e-06</v>
      </c>
      <c r="F996" s="0" t="n">
        <v>1.520317029067892e-05</v>
      </c>
      <c r="G996" s="0" t="n">
        <v>-1.035415919599031e-05</v>
      </c>
      <c r="H996" s="0" t="b">
        <v>1</v>
      </c>
    </row>
    <row r="997">
      <c r="A997" s="0" t="n">
        <v>129</v>
      </c>
      <c r="B997" s="0" t="n">
        <v>5</v>
      </c>
      <c r="C997" s="0" t="n">
        <v>4190625</v>
      </c>
      <c r="D997" s="0" t="n">
        <v>1468386735.567175</v>
      </c>
      <c r="E997" s="0" t="n">
        <v>2.641768122483536e-05</v>
      </c>
      <c r="F997" s="0" t="n">
        <v>1.520317029067892e-05</v>
      </c>
      <c r="G997" s="0" t="n">
        <v>1.121451093415644e-05</v>
      </c>
      <c r="H997" s="0" t="b">
        <v>0</v>
      </c>
    </row>
    <row r="998">
      <c r="A998" s="0" t="n">
        <v>129</v>
      </c>
      <c r="B998" s="0" t="n">
        <v>6</v>
      </c>
      <c r="C998" s="0" t="n">
        <v>4004687.5</v>
      </c>
      <c r="D998" s="0" t="n">
        <v>-53107257.30772611</v>
      </c>
      <c r="E998" s="0" t="n">
        <v>9.289476509939568e-06</v>
      </c>
      <c r="F998" s="0" t="n">
        <v>1.520317029067892e-05</v>
      </c>
      <c r="G998" s="0" t="n">
        <v>-5.913693780739348e-06</v>
      </c>
      <c r="H998" s="0" t="b">
        <v>1</v>
      </c>
    </row>
    <row r="999">
      <c r="A999" s="0" t="n">
        <v>129</v>
      </c>
      <c r="B999" s="0" t="n">
        <v>7</v>
      </c>
      <c r="C999" s="0" t="n">
        <v>4097656.25</v>
      </c>
      <c r="D999" s="0" t="n">
        <v>-33195220.26762153</v>
      </c>
      <c r="E999" s="0" t="n">
        <v>1.4696812863952e-05</v>
      </c>
      <c r="F999" s="0" t="n">
        <v>1.520317029067892e-05</v>
      </c>
      <c r="G999" s="0" t="n">
        <v>-5.063574267269146e-07</v>
      </c>
      <c r="H999" s="0" t="b">
        <v>1</v>
      </c>
    </row>
    <row r="1000">
      <c r="A1000" s="0" t="n">
        <v>129</v>
      </c>
      <c r="B1000" s="0" t="n">
        <v>8</v>
      </c>
      <c r="C1000" s="0" t="n">
        <v>4144140.625</v>
      </c>
      <c r="D1000" s="0" t="n">
        <v>489741957.8189004</v>
      </c>
      <c r="E1000" s="0" t="n">
        <v>1.976497054564727e-05</v>
      </c>
      <c r="F1000" s="0" t="n">
        <v>1.520317029067892e-05</v>
      </c>
      <c r="G1000" s="0" t="n">
        <v>4.561800254968358e-06</v>
      </c>
      <c r="H1000" s="0" t="b">
        <v>0</v>
      </c>
    </row>
    <row r="1001">
      <c r="A1001" s="0" t="n">
        <v>129</v>
      </c>
      <c r="B1001" s="0" t="n">
        <v>9</v>
      </c>
      <c r="C1001" s="0" t="n">
        <v>4120898.4375</v>
      </c>
      <c r="D1001" s="0" t="n">
        <v>163685392.2583308</v>
      </c>
      <c r="E1001" s="0" t="n">
        <v>1.705688608403876e-05</v>
      </c>
      <c r="F1001" s="0" t="n">
        <v>1.520317029067892e-05</v>
      </c>
      <c r="G1001" s="0" t="n">
        <v>1.853715793359842e-06</v>
      </c>
      <c r="H1001" s="0" t="b">
        <v>0</v>
      </c>
    </row>
    <row r="1002">
      <c r="A1002" s="0" t="n">
        <v>129</v>
      </c>
      <c r="B1002" s="0" t="n">
        <v>10</v>
      </c>
      <c r="C1002" s="0" t="n">
        <v>4109277.34375</v>
      </c>
      <c r="D1002" s="0" t="n">
        <v>48576749.27033278</v>
      </c>
      <c r="E1002" s="0" t="n">
        <v>1.583608224703403e-05</v>
      </c>
      <c r="F1002" s="0" t="n">
        <v>1.520317029067892e-05</v>
      </c>
      <c r="G1002" s="0" t="n">
        <v>6.329119563551127e-07</v>
      </c>
      <c r="H1002" s="0" t="b">
        <v>0</v>
      </c>
    </row>
    <row r="1003">
      <c r="A1003" s="0" t="n">
        <v>129</v>
      </c>
      <c r="B1003" s="0" t="n">
        <v>11</v>
      </c>
      <c r="C1003" s="0" t="n">
        <v>4103466.796875</v>
      </c>
      <c r="D1003" s="0" t="n">
        <v>3798998.077001032</v>
      </c>
      <c r="E1003" s="0" t="n">
        <v>1.525659569950603e-05</v>
      </c>
      <c r="F1003" s="0" t="n">
        <v>1.520317029067892e-05</v>
      </c>
      <c r="G1003" s="0" t="n">
        <v>5.342540882711331e-08</v>
      </c>
      <c r="H1003" s="0" t="b">
        <v>0</v>
      </c>
    </row>
    <row r="1004">
      <c r="A1004" s="0" t="n">
        <v>129</v>
      </c>
      <c r="B1004" s="0" t="n">
        <v>12</v>
      </c>
      <c r="C1004" s="0" t="n">
        <v>4106372.0703125</v>
      </c>
      <c r="D1004" s="0" t="n">
        <v>25181591.04394786</v>
      </c>
      <c r="E1004" s="0" t="n">
        <v>1.554383673784168e-05</v>
      </c>
      <c r="F1004" s="0" t="n">
        <v>1.520317029067892e-05</v>
      </c>
      <c r="G1004" s="0" t="n">
        <v>3.406664471627641e-07</v>
      </c>
      <c r="H1004" s="0" t="b">
        <v>0</v>
      </c>
    </row>
    <row r="1005">
      <c r="A1005" s="0" t="n">
        <v>129</v>
      </c>
      <c r="B1005" s="0" t="n">
        <v>13</v>
      </c>
      <c r="C1005" s="0" t="n">
        <v>4104919.43359375</v>
      </c>
      <c r="D1005" s="0" t="n">
        <v>14243341.58324944</v>
      </c>
      <c r="E1005" s="0" t="n">
        <v>1.53996010211691e-05</v>
      </c>
      <c r="F1005" s="0" t="n">
        <v>1.520317029067892e-05</v>
      </c>
      <c r="G1005" s="0" t="n">
        <v>1.964307304901829e-07</v>
      </c>
      <c r="H1005" s="0" t="b">
        <v>0</v>
      </c>
    </row>
    <row r="1006">
      <c r="A1006" s="0" t="n">
        <v>129</v>
      </c>
      <c r="B1006" s="0" t="n">
        <v>14</v>
      </c>
      <c r="C1006" s="0" t="n">
        <v>4103719.43359375</v>
      </c>
      <c r="D1006" s="0" t="n">
        <v>5580286.38667884</v>
      </c>
      <c r="E1006" s="0" t="n">
        <v>1.528137821489391e-05</v>
      </c>
      <c r="F1006" s="0" t="n">
        <v>1.520317029067892e-05</v>
      </c>
      <c r="G1006" s="0" t="n">
        <v>7.820792421499888e-08</v>
      </c>
      <c r="H1006" s="0" t="b">
        <v>0</v>
      </c>
    </row>
    <row r="1007">
      <c r="A1007" s="0" t="n">
        <v>129</v>
      </c>
      <c r="B1007" s="0" t="n">
        <v>15</v>
      </c>
      <c r="C1007" s="0" t="n">
        <v>4102279.43359375</v>
      </c>
      <c r="D1007" s="0" t="n">
        <v>-4376343.098087245</v>
      </c>
      <c r="E1007" s="0" t="n">
        <v>1.514062113413346e-05</v>
      </c>
      <c r="F1007" s="0" t="n">
        <v>1.520317029067892e-05</v>
      </c>
      <c r="G1007" s="0" t="n">
        <v>-6.254915654545179e-08</v>
      </c>
      <c r="H1007" s="0" t="b">
        <v>1</v>
      </c>
    </row>
    <row r="1008">
      <c r="A1008" s="0" t="n">
        <v>129</v>
      </c>
      <c r="B1008" s="0" t="n">
        <v>16</v>
      </c>
      <c r="C1008" s="0" t="n">
        <v>4102999.43359375</v>
      </c>
      <c r="D1008" s="0" t="n">
        <v>542552.4232923886</v>
      </c>
      <c r="E1008" s="0" t="n">
        <v>1.521084880731632e-05</v>
      </c>
      <c r="F1008" s="0" t="n">
        <v>1.520317029067892e-05</v>
      </c>
      <c r="G1008" s="0" t="n">
        <v>7.678516637400277e-09</v>
      </c>
      <c r="H1008" s="0" t="b">
        <v>0</v>
      </c>
    </row>
    <row r="1009">
      <c r="A1009" s="0" t="n">
        <v>129</v>
      </c>
      <c r="B1009" s="0" t="n">
        <v>17</v>
      </c>
      <c r="C1009" s="0" t="n">
        <v>4103863.43359375</v>
      </c>
      <c r="D1009" s="0" t="n">
        <v>6602268.095804938</v>
      </c>
      <c r="E1009" s="0" t="n">
        <v>1.529552159093602e-05</v>
      </c>
      <c r="F1009" s="0" t="n">
        <v>1.520317029067892e-05</v>
      </c>
      <c r="G1009" s="0" t="n">
        <v>9.23513002571068e-08</v>
      </c>
      <c r="H1009" s="0" t="b">
        <v>0</v>
      </c>
    </row>
    <row r="1010">
      <c r="A1010" s="0" t="n">
        <v>129</v>
      </c>
      <c r="B1010" s="0" t="n">
        <v>18</v>
      </c>
      <c r="C1010" s="0" t="n">
        <v>4103431.43359375</v>
      </c>
      <c r="D1010" s="0" t="n">
        <v>3550898.363146103</v>
      </c>
      <c r="E1010" s="0" t="n">
        <v>1.525313059630667e-05</v>
      </c>
      <c r="F1010" s="0" t="n">
        <v>1.520317029067892e-05</v>
      </c>
      <c r="G1010" s="0" t="n">
        <v>4.996030562775798e-08</v>
      </c>
      <c r="H1010" s="0" t="b">
        <v>0</v>
      </c>
    </row>
    <row r="1011">
      <c r="A1011" s="0" t="n">
        <v>129</v>
      </c>
      <c r="B1011" s="0" t="n">
        <v>19</v>
      </c>
      <c r="C1011" s="0" t="n">
        <v>4103647.43359375</v>
      </c>
      <c r="D1011" s="0" t="n">
        <v>5071191.556355771</v>
      </c>
      <c r="E1011" s="0" t="n">
        <v>1.527431242668848e-05</v>
      </c>
      <c r="F1011" s="0" t="n">
        <v>1.520317029067892e-05</v>
      </c>
      <c r="G1011" s="0" t="n">
        <v>7.114213600956428e-08</v>
      </c>
      <c r="H1011" s="0" t="b">
        <v>0</v>
      </c>
    </row>
    <row r="1012">
      <c r="A1012" s="0" t="n">
        <v>129</v>
      </c>
      <c r="B1012" s="0" t="n">
        <v>20</v>
      </c>
      <c r="C1012" s="0" t="n">
        <v>4103539.43359375</v>
      </c>
      <c r="D1012" s="0" t="n">
        <v>4309634.640182691</v>
      </c>
      <c r="E1012" s="0" t="n">
        <v>1.52637172034951e-05</v>
      </c>
      <c r="F1012" s="0" t="n">
        <v>1.520317029067892e-05</v>
      </c>
      <c r="G1012" s="0" t="n">
        <v>6.054691281618699e-08</v>
      </c>
      <c r="H1012" s="0" t="b">
        <v>0</v>
      </c>
    </row>
    <row r="1013">
      <c r="A1013" s="0" t="n">
        <v>129</v>
      </c>
      <c r="B1013" s="0" t="n">
        <v>21</v>
      </c>
      <c r="C1013" s="0" t="n">
        <v>4103409.83359375</v>
      </c>
      <c r="D1013" s="0" t="n">
        <v>3399397.242466498</v>
      </c>
      <c r="E1013" s="0" t="n">
        <v>1.525101302295329e-05</v>
      </c>
      <c r="F1013" s="0" t="n">
        <v>1.520317029067892e-05</v>
      </c>
      <c r="G1013" s="0" t="n">
        <v>4.784273227437535e-08</v>
      </c>
      <c r="H1013" s="0" t="b">
        <v>0</v>
      </c>
    </row>
    <row r="1014">
      <c r="A1014" s="0" t="n">
        <v>129</v>
      </c>
      <c r="B1014" s="0" t="n">
        <v>22</v>
      </c>
      <c r="C1014" s="0" t="n">
        <v>4103474.63359375</v>
      </c>
      <c r="D1014" s="0" t="n">
        <v>3854095.650164759</v>
      </c>
      <c r="E1014" s="0" t="n">
        <v>1.525736477723247e-05</v>
      </c>
      <c r="F1014" s="0" t="n">
        <v>1.520317029067892e-05</v>
      </c>
      <c r="G1014" s="0" t="n">
        <v>5.419448655355038e-08</v>
      </c>
      <c r="H1014" s="0" t="b">
        <v>0</v>
      </c>
    </row>
    <row r="1015">
      <c r="A1015" s="0" t="n">
        <v>129</v>
      </c>
      <c r="B1015" s="0" t="n">
        <v>23</v>
      </c>
      <c r="C1015" s="0" t="n">
        <v>4103552.393593749</v>
      </c>
      <c r="D1015" s="0" t="n">
        <v>4400935.664693807</v>
      </c>
      <c r="E1015" s="0" t="n">
        <v>1.526498905570877e-05</v>
      </c>
      <c r="F1015" s="0" t="n">
        <v>1.520317029067892e-05</v>
      </c>
      <c r="G1015" s="0" t="n">
        <v>6.181876502985556e-08</v>
      </c>
      <c r="H1015" s="0" t="b">
        <v>0</v>
      </c>
    </row>
    <row r="1016">
      <c r="A1016" s="0" t="n">
        <v>129</v>
      </c>
      <c r="B1016" s="0" t="n">
        <v>24</v>
      </c>
      <c r="C1016" s="0" t="n">
        <v>4103513.51359375</v>
      </c>
      <c r="D1016" s="0" t="n">
        <v>4127341.242613093</v>
      </c>
      <c r="E1016" s="0" t="n">
        <v>1.526117647398811e-05</v>
      </c>
      <c r="F1016" s="0" t="n">
        <v>1.520317029067892e-05</v>
      </c>
      <c r="G1016" s="0" t="n">
        <v>5.80061833091918e-08</v>
      </c>
      <c r="H1016" s="0" t="b">
        <v>0</v>
      </c>
    </row>
    <row r="1017">
      <c r="A1017" s="0" t="n">
        <v>130</v>
      </c>
      <c r="B1017" s="0" t="n">
        <v>1</v>
      </c>
      <c r="C1017" s="0" t="n">
        <v>6050000</v>
      </c>
      <c r="D1017" s="0" t="n">
        <v>40045121125455.37</v>
      </c>
      <c r="E1017" s="0" t="n">
        <v>0.02878657709212831</v>
      </c>
      <c r="F1017" s="0" t="n">
        <v>1.403080691364175e-05</v>
      </c>
      <c r="G1017" s="0" t="n">
        <v>0.02877254628521466</v>
      </c>
      <c r="H1017" s="0" t="b">
        <v>0</v>
      </c>
    </row>
    <row r="1018">
      <c r="A1018" s="0" t="n">
        <v>130</v>
      </c>
      <c r="B1018" s="0" t="n">
        <v>2</v>
      </c>
      <c r="C1018" s="0" t="n">
        <v>3075000</v>
      </c>
      <c r="D1018" s="0" t="n">
        <v>-35913.21699950912</v>
      </c>
      <c r="E1018" s="0" t="n">
        <v>-3.946107753941748e-06</v>
      </c>
      <c r="F1018" s="0" t="n">
        <v>1.403080691364119e-05</v>
      </c>
      <c r="G1018" s="0" t="n">
        <v>-1.797691466758293e-05</v>
      </c>
      <c r="H1018" s="0" t="b">
        <v>1</v>
      </c>
    </row>
    <row r="1019">
      <c r="A1019" s="0" t="n">
        <v>130</v>
      </c>
      <c r="B1019" s="0" t="n">
        <v>3</v>
      </c>
      <c r="C1019" s="0" t="n">
        <v>4562500</v>
      </c>
      <c r="D1019" s="0" t="n">
        <v>7502510302.333957</v>
      </c>
      <c r="E1019" s="0" t="n">
        <v>4.966799048358703e-05</v>
      </c>
      <c r="F1019" s="0" t="n">
        <v>1.403080691364119e-05</v>
      </c>
      <c r="G1019" s="0" t="n">
        <v>3.563718356994584e-05</v>
      </c>
      <c r="H1019" s="0" t="b">
        <v>0</v>
      </c>
    </row>
    <row r="1020">
      <c r="A1020" s="0" t="n">
        <v>130</v>
      </c>
      <c r="B1020" s="0" t="n">
        <v>4</v>
      </c>
      <c r="C1020" s="0" t="n">
        <v>3818750</v>
      </c>
      <c r="D1020" s="0" t="n">
        <v>-227836.5816105747</v>
      </c>
      <c r="E1020" s="0" t="n">
        <v>2.065623518107975e-06</v>
      </c>
      <c r="F1020" s="0" t="n">
        <v>1.403080691364119e-05</v>
      </c>
      <c r="G1020" s="0" t="n">
        <v>-1.196518339553321e-05</v>
      </c>
      <c r="H1020" s="0" t="b">
        <v>1</v>
      </c>
    </row>
    <row r="1021">
      <c r="A1021" s="0" t="n">
        <v>130</v>
      </c>
      <c r="B1021" s="0" t="n">
        <v>5</v>
      </c>
      <c r="C1021" s="0" t="n">
        <v>4190625</v>
      </c>
      <c r="D1021" s="0" t="n">
        <v>-18578524.29088096</v>
      </c>
      <c r="E1021" s="0" t="n">
        <v>7.535923327972231e-06</v>
      </c>
      <c r="F1021" s="0" t="n">
        <v>1.403080691364119e-05</v>
      </c>
      <c r="G1021" s="0" t="n">
        <v>-6.494883585668956e-06</v>
      </c>
      <c r="H1021" s="0" t="b">
        <v>1</v>
      </c>
    </row>
    <row r="1022">
      <c r="A1022" s="0" t="n">
        <v>130</v>
      </c>
      <c r="B1022" s="0" t="n">
        <v>6</v>
      </c>
      <c r="C1022" s="0" t="n">
        <v>4376562.5</v>
      </c>
      <c r="D1022" s="0" t="n">
        <v>349987579.7070099</v>
      </c>
      <c r="E1022" s="0" t="n">
        <v>1.719534362070325e-05</v>
      </c>
      <c r="F1022" s="0" t="n">
        <v>1.403080691364119e-05</v>
      </c>
      <c r="G1022" s="0" t="n">
        <v>3.164536707062059e-06</v>
      </c>
      <c r="H1022" s="0" t="b">
        <v>0</v>
      </c>
    </row>
    <row r="1023">
      <c r="A1023" s="0" t="n">
        <v>130</v>
      </c>
      <c r="B1023" s="0" t="n">
        <v>7</v>
      </c>
      <c r="C1023" s="0" t="n">
        <v>4283593.75</v>
      </c>
      <c r="D1023" s="0" t="n">
        <v>-107264331.5394793</v>
      </c>
      <c r="E1023" s="0" t="n">
        <v>1.008904566275274e-05</v>
      </c>
      <c r="F1023" s="0" t="n">
        <v>1.403080691364119e-05</v>
      </c>
      <c r="G1023" s="0" t="n">
        <v>-3.941761250888447e-06</v>
      </c>
      <c r="H1023" s="0" t="b">
        <v>1</v>
      </c>
    </row>
    <row r="1024">
      <c r="A1024" s="0" t="n">
        <v>130</v>
      </c>
      <c r="B1024" s="0" t="n">
        <v>8</v>
      </c>
      <c r="C1024" s="0" t="n">
        <v>4330078.125</v>
      </c>
      <c r="D1024" s="0" t="n">
        <v>-64595600.07236508</v>
      </c>
      <c r="E1024" s="0" t="n">
        <v>1.301564029444596e-05</v>
      </c>
      <c r="F1024" s="0" t="n">
        <v>1.403080691364119e-05</v>
      </c>
      <c r="G1024" s="0" t="n">
        <v>-1.01516661919523e-06</v>
      </c>
      <c r="H1024" s="0" t="b">
        <v>1</v>
      </c>
    </row>
    <row r="1025">
      <c r="A1025" s="0" t="n">
        <v>130</v>
      </c>
      <c r="B1025" s="0" t="n">
        <v>9</v>
      </c>
      <c r="C1025" s="0" t="n">
        <v>4353320.3125</v>
      </c>
      <c r="D1025" s="0" t="n">
        <v>81211744.07765569</v>
      </c>
      <c r="E1025" s="0" t="n">
        <v>1.497071358677749e-05</v>
      </c>
      <c r="F1025" s="0" t="n">
        <v>1.403080691364119e-05</v>
      </c>
      <c r="G1025" s="0" t="n">
        <v>9.39906673136308e-07</v>
      </c>
      <c r="H1025" s="0" t="b">
        <v>0</v>
      </c>
    </row>
    <row r="1026">
      <c r="A1026" s="0" t="n">
        <v>130</v>
      </c>
      <c r="B1026" s="0" t="n">
        <v>10</v>
      </c>
      <c r="C1026" s="0" t="n">
        <v>4341699.21875</v>
      </c>
      <c r="D1026" s="0" t="n">
        <v>-5190288.3491545</v>
      </c>
      <c r="E1026" s="0" t="n">
        <v>1.396144589914064e-05</v>
      </c>
      <c r="F1026" s="0" t="n">
        <v>1.403080691364119e-05</v>
      </c>
      <c r="G1026" s="0" t="n">
        <v>-6.936101450054645e-08</v>
      </c>
      <c r="H1026" s="0" t="b">
        <v>1</v>
      </c>
    </row>
    <row r="1027">
      <c r="A1027" s="0" t="n">
        <v>130</v>
      </c>
      <c r="B1027" s="0" t="n">
        <v>11</v>
      </c>
      <c r="C1027" s="0" t="n">
        <v>4347509.765625</v>
      </c>
      <c r="D1027" s="0" t="n">
        <v>34413359.3885968</v>
      </c>
      <c r="E1027" s="0" t="n">
        <v>1.445792054091455e-05</v>
      </c>
      <c r="F1027" s="0" t="n">
        <v>1.403080691364119e-05</v>
      </c>
      <c r="G1027" s="0" t="n">
        <v>4.27113627273363e-07</v>
      </c>
      <c r="H1027" s="0" t="b">
        <v>0</v>
      </c>
    </row>
    <row r="1028">
      <c r="A1028" s="0" t="n">
        <v>130</v>
      </c>
      <c r="B1028" s="0" t="n">
        <v>12</v>
      </c>
      <c r="C1028" s="0" t="n">
        <v>4344604.4921875</v>
      </c>
      <c r="D1028" s="0" t="n">
        <v>13740440.7396169</v>
      </c>
      <c r="E1028" s="0" t="n">
        <v>1.420767048722362e-05</v>
      </c>
      <c r="F1028" s="0" t="n">
        <v>1.403080691364119e-05</v>
      </c>
      <c r="G1028" s="0" t="n">
        <v>1.768635735824366e-07</v>
      </c>
      <c r="H1028" s="0" t="b">
        <v>0</v>
      </c>
    </row>
    <row r="1029">
      <c r="A1029" s="0" t="n">
        <v>130</v>
      </c>
      <c r="B1029" s="0" t="n">
        <v>13</v>
      </c>
      <c r="C1029" s="0" t="n">
        <v>4343151.85546875</v>
      </c>
      <c r="D1029" s="0" t="n">
        <v>4060770.383086238</v>
      </c>
      <c r="E1029" s="0" t="n">
        <v>1.408405812194279e-05</v>
      </c>
      <c r="F1029" s="0" t="n">
        <v>1.403080691364119e-05</v>
      </c>
      <c r="G1029" s="0" t="n">
        <v>5.325120830160812e-08</v>
      </c>
      <c r="H1029" s="0" t="b">
        <v>0</v>
      </c>
    </row>
    <row r="1030">
      <c r="A1030" s="0" t="n">
        <v>130</v>
      </c>
      <c r="B1030" s="0" t="n">
        <v>14</v>
      </c>
      <c r="C1030" s="0" t="n">
        <v>4343651.85546875</v>
      </c>
      <c r="D1030" s="0" t="n">
        <v>7343849.450408338</v>
      </c>
      <c r="E1030" s="0" t="n">
        <v>1.412649307944567e-05</v>
      </c>
      <c r="F1030" s="0" t="n">
        <v>1.403080691364119e-05</v>
      </c>
      <c r="G1030" s="0" t="n">
        <v>9.568616580448171e-08</v>
      </c>
      <c r="H1030" s="0" t="b">
        <v>0</v>
      </c>
    </row>
    <row r="1031">
      <c r="A1031" s="0" t="n">
        <v>130</v>
      </c>
      <c r="B1031" s="0" t="n">
        <v>15</v>
      </c>
      <c r="C1031" s="0" t="n">
        <v>4343401.85546875</v>
      </c>
      <c r="D1031" s="0" t="n">
        <v>5695913.790342454</v>
      </c>
      <c r="E1031" s="0" t="n">
        <v>1.410526037310376e-05</v>
      </c>
      <c r="F1031" s="0" t="n">
        <v>1.403080691364119e-05</v>
      </c>
      <c r="G1031" s="0" t="n">
        <v>7.445345946256865e-08</v>
      </c>
      <c r="H1031" s="0" t="b">
        <v>0</v>
      </c>
    </row>
    <row r="1032">
      <c r="A1032" s="0" t="n">
        <v>130</v>
      </c>
      <c r="B1032" s="0" t="n">
        <v>16</v>
      </c>
      <c r="C1032" s="0" t="n">
        <v>4343101.85546875</v>
      </c>
      <c r="D1032" s="0" t="n">
        <v>3735265.968176508</v>
      </c>
      <c r="E1032" s="0" t="n">
        <v>1.407982122454899e-05</v>
      </c>
      <c r="F1032" s="0" t="n">
        <v>1.403080691364119e-05</v>
      </c>
      <c r="G1032" s="0" t="n">
        <v>4.901431090780449e-08</v>
      </c>
      <c r="H1032" s="0" t="b">
        <v>0</v>
      </c>
    </row>
    <row r="1033">
      <c r="A1033" s="0" t="n">
        <v>130</v>
      </c>
      <c r="B1033" s="0" t="n">
        <v>17</v>
      </c>
      <c r="C1033" s="0" t="n">
        <v>4343251.85546875</v>
      </c>
      <c r="D1033" s="0" t="n">
        <v>4713365.792558799</v>
      </c>
      <c r="E1033" s="0" t="n">
        <v>1.409253628826531e-05</v>
      </c>
      <c r="F1033" s="0" t="n">
        <v>1.403080691364119e-05</v>
      </c>
      <c r="G1033" s="0" t="n">
        <v>6.172937462412671e-08</v>
      </c>
      <c r="H1033" s="0" t="b">
        <v>0</v>
      </c>
    </row>
    <row r="1034">
      <c r="A1034" s="0" t="n">
        <v>130</v>
      </c>
      <c r="B1034" s="0" t="n">
        <v>18</v>
      </c>
      <c r="C1034" s="0" t="n">
        <v>4343176.85546875</v>
      </c>
      <c r="D1034" s="0" t="n">
        <v>4223712.964047599</v>
      </c>
      <c r="E1034" s="0" t="n">
        <v>1.408617701458162e-05</v>
      </c>
      <c r="F1034" s="0" t="n">
        <v>1.403080691364119e-05</v>
      </c>
      <c r="G1034" s="0" t="n">
        <v>5.537010094043261e-08</v>
      </c>
      <c r="H1034" s="0" t="b">
        <v>0</v>
      </c>
    </row>
    <row r="1035">
      <c r="A1035" s="0" t="n">
        <v>130</v>
      </c>
      <c r="B1035" s="0" t="n">
        <v>19</v>
      </c>
      <c r="C1035" s="0" t="n">
        <v>4343214.35546875</v>
      </c>
      <c r="D1035" s="0" t="n">
        <v>4468427.990564559</v>
      </c>
      <c r="E1035" s="0" t="n">
        <v>1.408935672791694e-05</v>
      </c>
      <c r="F1035" s="0" t="n">
        <v>1.403080691364119e-05</v>
      </c>
      <c r="G1035" s="0" t="n">
        <v>5.854981427574905e-08</v>
      </c>
      <c r="H1035" s="0" t="b">
        <v>0</v>
      </c>
    </row>
    <row r="1036">
      <c r="A1036" s="0" t="n">
        <v>130</v>
      </c>
      <c r="B1036" s="0" t="n">
        <v>20</v>
      </c>
      <c r="C1036" s="0" t="n">
        <v>4343195.60546875</v>
      </c>
      <c r="D1036" s="0" t="n">
        <v>4346066.267065408</v>
      </c>
      <c r="E1036" s="0" t="n">
        <v>1.408776719755435e-05</v>
      </c>
      <c r="F1036" s="0" t="n">
        <v>1.403080691364119e-05</v>
      </c>
      <c r="G1036" s="0" t="n">
        <v>5.696028391316724e-08</v>
      </c>
      <c r="H1036" s="0" t="b">
        <v>0</v>
      </c>
    </row>
    <row r="1037">
      <c r="A1037" s="0" t="n">
        <v>131</v>
      </c>
      <c r="B1037" s="0" t="n">
        <v>1</v>
      </c>
      <c r="C1037" s="0" t="n">
        <v>6050000</v>
      </c>
      <c r="D1037" s="0" t="n">
        <v>2036879773948.61</v>
      </c>
      <c r="E1037" s="0" t="n">
        <v>0.001971585392795905</v>
      </c>
      <c r="F1037" s="0" t="n">
        <v>1.126428991525888e-05</v>
      </c>
      <c r="G1037" s="0" t="n">
        <v>0.001960321102880646</v>
      </c>
      <c r="H1037" s="0" t="b">
        <v>0</v>
      </c>
    </row>
    <row r="1038">
      <c r="A1038" s="0" t="n">
        <v>131</v>
      </c>
      <c r="B1038" s="0" t="n">
        <v>2</v>
      </c>
      <c r="C1038" s="0" t="n">
        <v>3075000</v>
      </c>
      <c r="D1038" s="0" t="n">
        <v>-18680.4885194892</v>
      </c>
      <c r="E1038" s="0" t="n">
        <v>-6.62188154960487e-06</v>
      </c>
      <c r="F1038" s="0" t="n">
        <v>1.126428991525899e-05</v>
      </c>
      <c r="G1038" s="0" t="n">
        <v>-1.788617146486386e-05</v>
      </c>
      <c r="H1038" s="0" t="b">
        <v>1</v>
      </c>
    </row>
    <row r="1039">
      <c r="A1039" s="0" t="n">
        <v>131</v>
      </c>
      <c r="B1039" s="0" t="n">
        <v>3</v>
      </c>
      <c r="C1039" s="0" t="n">
        <v>4562500</v>
      </c>
      <c r="D1039" s="0" t="n">
        <v>-2707955.932599585</v>
      </c>
      <c r="E1039" s="0" t="n">
        <v>4.568485799353694e-06</v>
      </c>
      <c r="F1039" s="0" t="n">
        <v>1.126428991525899e-05</v>
      </c>
      <c r="G1039" s="0" t="n">
        <v>-6.695804115905295e-06</v>
      </c>
      <c r="H1039" s="0" t="b">
        <v>1</v>
      </c>
    </row>
    <row r="1040">
      <c r="A1040" s="0" t="n">
        <v>131</v>
      </c>
      <c r="B1040" s="0" t="n">
        <v>4</v>
      </c>
      <c r="C1040" s="0" t="n">
        <v>5306250</v>
      </c>
      <c r="D1040" s="0" t="n">
        <v>37430747389.75233</v>
      </c>
      <c r="E1040" s="0" t="n">
        <v>0.0001023097002715998</v>
      </c>
      <c r="F1040" s="0" t="n">
        <v>1.126428991525899e-05</v>
      </c>
      <c r="G1040" s="0" t="n">
        <v>9.104541035634077e-05</v>
      </c>
      <c r="H1040" s="0" t="b">
        <v>0</v>
      </c>
    </row>
    <row r="1041">
      <c r="A1041" s="0" t="n">
        <v>131</v>
      </c>
      <c r="B1041" s="0" t="n">
        <v>5</v>
      </c>
      <c r="C1041" s="0" t="n">
        <v>4934375</v>
      </c>
      <c r="D1041" s="0" t="n">
        <v>1039905104.870737</v>
      </c>
      <c r="E1041" s="0" t="n">
        <v>1.727340272933912e-05</v>
      </c>
      <c r="F1041" s="0" t="n">
        <v>1.126428991525899e-05</v>
      </c>
      <c r="G1041" s="0" t="n">
        <v>6.009112814080128e-06</v>
      </c>
      <c r="H1041" s="0" t="b">
        <v>0</v>
      </c>
    </row>
    <row r="1042">
      <c r="A1042" s="0" t="n">
        <v>131</v>
      </c>
      <c r="B1042" s="0" t="n">
        <v>6</v>
      </c>
      <c r="C1042" s="0" t="n">
        <v>4748437.5</v>
      </c>
      <c r="D1042" s="0" t="n">
        <v>-85350520.02238283</v>
      </c>
      <c r="E1042" s="0" t="n">
        <v>7.747850274632865e-06</v>
      </c>
      <c r="F1042" s="0" t="n">
        <v>1.126428991525899e-05</v>
      </c>
      <c r="G1042" s="0" t="n">
        <v>-3.516439640626125e-06</v>
      </c>
      <c r="H1042" s="0" t="b">
        <v>1</v>
      </c>
    </row>
    <row r="1043">
      <c r="A1043" s="0" t="n">
        <v>131</v>
      </c>
      <c r="B1043" s="0" t="n">
        <v>7</v>
      </c>
      <c r="C1043" s="0" t="n">
        <v>4841406.25</v>
      </c>
      <c r="D1043" s="0" t="n">
        <v>-49556697.66667776</v>
      </c>
      <c r="E1043" s="0" t="n">
        <v>1.064111289159487e-05</v>
      </c>
      <c r="F1043" s="0" t="n">
        <v>1.126428991525899e-05</v>
      </c>
      <c r="G1043" s="0" t="n">
        <v>-6.2317702366412e-07</v>
      </c>
      <c r="H1043" s="0" t="b">
        <v>1</v>
      </c>
    </row>
    <row r="1044">
      <c r="A1044" s="0" t="n">
        <v>131</v>
      </c>
      <c r="B1044" s="0" t="n">
        <v>8</v>
      </c>
      <c r="C1044" s="0" t="n">
        <v>4887890.625</v>
      </c>
      <c r="D1044" s="0" t="n">
        <v>306358850.1263468</v>
      </c>
      <c r="E1044" s="0" t="n">
        <v>1.358701113891218e-05</v>
      </c>
      <c r="F1044" s="0" t="n">
        <v>1.126428991525899e-05</v>
      </c>
      <c r="G1044" s="0" t="n">
        <v>2.322721223653195e-06</v>
      </c>
      <c r="H1044" s="0" t="b">
        <v>0</v>
      </c>
    </row>
    <row r="1045">
      <c r="A1045" s="0" t="n">
        <v>131</v>
      </c>
      <c r="B1045" s="0" t="n">
        <v>9</v>
      </c>
      <c r="C1045" s="0" t="n">
        <v>4864648.4375</v>
      </c>
      <c r="D1045" s="0" t="n">
        <v>80415284.42140026</v>
      </c>
      <c r="E1045" s="0" t="n">
        <v>1.203077568674024e-05</v>
      </c>
      <c r="F1045" s="0" t="n">
        <v>1.126428991525899e-05</v>
      </c>
      <c r="G1045" s="0" t="n">
        <v>7.664857714812514e-07</v>
      </c>
      <c r="H1045" s="0" t="b">
        <v>0</v>
      </c>
    </row>
    <row r="1046">
      <c r="A1046" s="0" t="n">
        <v>131</v>
      </c>
      <c r="B1046" s="0" t="n">
        <v>10</v>
      </c>
      <c r="C1046" s="0" t="n">
        <v>4853027.34375</v>
      </c>
      <c r="D1046" s="0" t="n">
        <v>4775025.476988538</v>
      </c>
      <c r="E1046" s="0" t="n">
        <v>1.131618725465453e-05</v>
      </c>
      <c r="F1046" s="0" t="n">
        <v>1.126428991525899e-05</v>
      </c>
      <c r="G1046" s="0" t="n">
        <v>5.189733939554497e-08</v>
      </c>
      <c r="H1046" s="0" t="b">
        <v>0</v>
      </c>
    </row>
    <row r="1047">
      <c r="A1047" s="0" t="n">
        <v>131</v>
      </c>
      <c r="B1047" s="0" t="n">
        <v>11</v>
      </c>
      <c r="C1047" s="0" t="n">
        <v>4858837.890625</v>
      </c>
      <c r="D1047" s="0" t="n">
        <v>39769939.90229569</v>
      </c>
      <c r="E1047" s="0" t="n">
        <v>1.166841134169328e-05</v>
      </c>
      <c r="F1047" s="0" t="n">
        <v>1.126428991525899e-05</v>
      </c>
      <c r="G1047" s="0" t="n">
        <v>4.041214264342862e-07</v>
      </c>
      <c r="H1047" s="0" t="b">
        <v>0</v>
      </c>
    </row>
    <row r="1048">
      <c r="A1048" s="0" t="n">
        <v>131</v>
      </c>
      <c r="B1048" s="0" t="n">
        <v>12</v>
      </c>
      <c r="C1048" s="0" t="n">
        <v>4855932.6171875</v>
      </c>
      <c r="D1048" s="0" t="n">
        <v>21586798.01683325</v>
      </c>
      <c r="E1048" s="0" t="n">
        <v>1.149104890048832e-05</v>
      </c>
      <c r="F1048" s="0" t="n">
        <v>1.126428991525899e-05</v>
      </c>
      <c r="G1048" s="0" t="n">
        <v>2.267589852293264e-07</v>
      </c>
      <c r="H1048" s="0" t="b">
        <v>0</v>
      </c>
    </row>
    <row r="1049">
      <c r="A1049" s="0" t="n">
        <v>131</v>
      </c>
      <c r="B1049" s="0" t="n">
        <v>13</v>
      </c>
      <c r="C1049" s="0" t="n">
        <v>4854479.98046875</v>
      </c>
      <c r="D1049" s="0" t="n">
        <v>13011978.06421266</v>
      </c>
      <c r="E1049" s="0" t="n">
        <v>1.140330702350469e-05</v>
      </c>
      <c r="F1049" s="0" t="n">
        <v>1.126428991525899e-05</v>
      </c>
      <c r="G1049" s="0" t="n">
        <v>1.39017108245696e-07</v>
      </c>
      <c r="H1049" s="0" t="b">
        <v>0</v>
      </c>
    </row>
    <row r="1050">
      <c r="A1050" s="0" t="n">
        <v>131</v>
      </c>
      <c r="B1050" s="0" t="n">
        <v>14</v>
      </c>
      <c r="C1050" s="0" t="n">
        <v>4853279.98046875</v>
      </c>
      <c r="D1050" s="0" t="n">
        <v>6183517.483085133</v>
      </c>
      <c r="E1050" s="0" t="n">
        <v>1.133129430904561e-05</v>
      </c>
      <c r="F1050" s="0" t="n">
        <v>1.126428991525899e-05</v>
      </c>
      <c r="G1050" s="0" t="n">
        <v>6.700439378662055e-08</v>
      </c>
      <c r="H1050" s="0" t="b">
        <v>0</v>
      </c>
    </row>
    <row r="1051">
      <c r="A1051" s="0" t="n">
        <v>131</v>
      </c>
      <c r="B1051" s="0" t="n">
        <v>15</v>
      </c>
      <c r="C1051" s="0" t="n">
        <v>4851839.98046875</v>
      </c>
      <c r="D1051" s="0" t="n">
        <v>-1710282.67126514</v>
      </c>
      <c r="E1051" s="0" t="n">
        <v>1.124543627404737e-05</v>
      </c>
      <c r="F1051" s="0" t="n">
        <v>1.126428991525899e-05</v>
      </c>
      <c r="G1051" s="0" t="n">
        <v>-1.885364121161743e-08</v>
      </c>
      <c r="H1051" s="0" t="b">
        <v>1</v>
      </c>
    </row>
    <row r="1052">
      <c r="A1052" s="0" t="n">
        <v>131</v>
      </c>
      <c r="B1052" s="0" t="n">
        <v>16</v>
      </c>
      <c r="C1052" s="0" t="n">
        <v>4852559.98046875</v>
      </c>
      <c r="D1052" s="0" t="n">
        <v>2195969.631375518</v>
      </c>
      <c r="E1052" s="0" t="n">
        <v>1.12882899358179e-05</v>
      </c>
      <c r="F1052" s="0" t="n">
        <v>1.126428991525899e-05</v>
      </c>
      <c r="G1052" s="0" t="n">
        <v>2.400002055890767e-08</v>
      </c>
      <c r="H1052" s="0" t="b">
        <v>0</v>
      </c>
    </row>
    <row r="1053">
      <c r="A1053" s="0" t="n">
        <v>131</v>
      </c>
      <c r="B1053" s="0" t="n">
        <v>17</v>
      </c>
      <c r="C1053" s="0" t="n">
        <v>4853423.98046875</v>
      </c>
      <c r="D1053" s="0" t="n">
        <v>6990855.269833972</v>
      </c>
      <c r="E1053" s="0" t="n">
        <v>1.13399135186306e-05</v>
      </c>
      <c r="F1053" s="0" t="n">
        <v>1.126428991525899e-05</v>
      </c>
      <c r="G1053" s="0" t="n">
        <v>7.562360337160853e-08</v>
      </c>
      <c r="H1053" s="0" t="b">
        <v>0</v>
      </c>
    </row>
    <row r="1054">
      <c r="A1054" s="0" t="n">
        <v>131</v>
      </c>
      <c r="B1054" s="0" t="n">
        <v>18</v>
      </c>
      <c r="C1054" s="0" t="n">
        <v>4852991.98046875</v>
      </c>
      <c r="D1054" s="0" t="n">
        <v>4578732.883696253</v>
      </c>
      <c r="E1054" s="0" t="n">
        <v>1.131407475340654e-05</v>
      </c>
      <c r="F1054" s="0" t="n">
        <v>1.126428991525899e-05</v>
      </c>
      <c r="G1054" s="0" t="n">
        <v>4.978483814754656e-08</v>
      </c>
      <c r="H1054" s="0" t="b">
        <v>0</v>
      </c>
    </row>
    <row r="1055">
      <c r="A1055" s="0" t="n">
        <v>131</v>
      </c>
      <c r="B1055" s="0" t="n">
        <v>19</v>
      </c>
      <c r="C1055" s="0" t="n">
        <v>4853207.98046875</v>
      </c>
      <c r="D1055" s="0" t="n">
        <v>5781078.382487858</v>
      </c>
      <c r="E1055" s="0" t="n">
        <v>1.132698698223647e-05</v>
      </c>
      <c r="F1055" s="0" t="n">
        <v>1.126428991525899e-05</v>
      </c>
      <c r="G1055" s="0" t="n">
        <v>6.269706697748237e-08</v>
      </c>
      <c r="H1055" s="0" t="b">
        <v>0</v>
      </c>
    </row>
    <row r="1056">
      <c r="A1056" s="0" t="n">
        <v>131</v>
      </c>
      <c r="B1056" s="0" t="n">
        <v>20</v>
      </c>
      <c r="C1056" s="0" t="n">
        <v>4853099.98046875</v>
      </c>
      <c r="D1056" s="0" t="n">
        <v>5178955.254670983</v>
      </c>
      <c r="E1056" s="0" t="n">
        <v>1.132052883811886e-05</v>
      </c>
      <c r="F1056" s="0" t="n">
        <v>1.126428991525899e-05</v>
      </c>
      <c r="G1056" s="0" t="n">
        <v>5.623892285986882e-08</v>
      </c>
      <c r="H1056" s="0" t="b">
        <v>0</v>
      </c>
    </row>
    <row r="1057">
      <c r="A1057" s="0" t="n">
        <v>131</v>
      </c>
      <c r="B1057" s="0" t="n">
        <v>21</v>
      </c>
      <c r="C1057" s="0" t="n">
        <v>4852970.38046875</v>
      </c>
      <c r="D1057" s="0" t="n">
        <v>4458837.171041939</v>
      </c>
      <c r="E1057" s="0" t="n">
        <v>1.131278357130142e-05</v>
      </c>
      <c r="F1057" s="0" t="n">
        <v>1.126428991525899e-05</v>
      </c>
      <c r="G1057" s="0" t="n">
        <v>4.849365604242566e-08</v>
      </c>
      <c r="H1057" s="0" t="b">
        <v>0</v>
      </c>
    </row>
    <row r="1058">
      <c r="A1058" s="0" t="n">
        <v>131</v>
      </c>
      <c r="B1058" s="0" t="n">
        <v>22</v>
      </c>
      <c r="C1058" s="0" t="n">
        <v>4853035.18046875</v>
      </c>
      <c r="D1058" s="0" t="n">
        <v>4818565.091996213</v>
      </c>
      <c r="E1058" s="0" t="n">
        <v>1.1316655590398e-05</v>
      </c>
      <c r="F1058" s="0" t="n">
        <v>1.126428991525899e-05</v>
      </c>
      <c r="G1058" s="0" t="n">
        <v>5.236567513900554e-08</v>
      </c>
      <c r="H1058" s="0" t="b">
        <v>0</v>
      </c>
    </row>
    <row r="1059">
      <c r="A1059" s="0" t="n">
        <v>132</v>
      </c>
      <c r="B1059" s="0" t="n">
        <v>1</v>
      </c>
      <c r="C1059" s="0" t="n">
        <v>6050000</v>
      </c>
      <c r="D1059" s="0" t="n">
        <v>1328997670759.705</v>
      </c>
      <c r="E1059" s="0" t="n">
        <v>0.00139288115710264</v>
      </c>
      <c r="F1059" s="0" t="n">
        <v>1.114651232335178e-05</v>
      </c>
      <c r="G1059" s="0" t="n">
        <v>0.001381734644779288</v>
      </c>
      <c r="H1059" s="0" t="b">
        <v>0</v>
      </c>
    </row>
    <row r="1060">
      <c r="A1060" s="0" t="n">
        <v>132</v>
      </c>
      <c r="B1060" s="0" t="n">
        <v>2</v>
      </c>
      <c r="C1060" s="0" t="n">
        <v>3075000</v>
      </c>
      <c r="D1060" s="0" t="n">
        <v>-17189.5244821572</v>
      </c>
      <c r="E1060" s="0" t="n">
        <v>-7.033680683434121e-06</v>
      </c>
      <c r="F1060" s="0" t="n">
        <v>1.114651232335171e-05</v>
      </c>
      <c r="G1060" s="0" t="n">
        <v>-1.818019300678583e-05</v>
      </c>
      <c r="H1060" s="0" t="b">
        <v>1</v>
      </c>
    </row>
    <row r="1061">
      <c r="A1061" s="0" t="n">
        <v>132</v>
      </c>
      <c r="B1061" s="0" t="n">
        <v>3</v>
      </c>
      <c r="C1061" s="0" t="n">
        <v>4562500</v>
      </c>
      <c r="D1061" s="0" t="n">
        <v>-1141877.500363767</v>
      </c>
      <c r="E1061" s="0" t="n">
        <v>3.696719474809132e-06</v>
      </c>
      <c r="F1061" s="0" t="n">
        <v>1.114651232335171e-05</v>
      </c>
      <c r="G1061" s="0" t="n">
        <v>-7.449792848542576e-06</v>
      </c>
      <c r="H1061" s="0" t="b">
        <v>1</v>
      </c>
    </row>
    <row r="1062">
      <c r="A1062" s="0" t="n">
        <v>132</v>
      </c>
      <c r="B1062" s="0" t="n">
        <v>4</v>
      </c>
      <c r="C1062" s="0" t="n">
        <v>5306250</v>
      </c>
      <c r="D1062" s="0" t="n">
        <v>21315244482.65327</v>
      </c>
      <c r="E1062" s="0" t="n">
        <v>7.020861854101729e-05</v>
      </c>
      <c r="F1062" s="0" t="n">
        <v>1.114651232335171e-05</v>
      </c>
      <c r="G1062" s="0" t="n">
        <v>5.906210621766558e-05</v>
      </c>
      <c r="H1062" s="0" t="b">
        <v>0</v>
      </c>
    </row>
    <row r="1063">
      <c r="A1063" s="0" t="n">
        <v>132</v>
      </c>
      <c r="B1063" s="0" t="n">
        <v>5</v>
      </c>
      <c r="C1063" s="0" t="n">
        <v>4934375</v>
      </c>
      <c r="D1063" s="0" t="n">
        <v>47167438.20111552</v>
      </c>
      <c r="E1063" s="0" t="n">
        <v>1.161552760413252e-05</v>
      </c>
      <c r="F1063" s="0" t="n">
        <v>1.114651232335171e-05</v>
      </c>
      <c r="G1063" s="0" t="n">
        <v>4.690152807808098e-07</v>
      </c>
      <c r="H1063" s="0" t="b">
        <v>0</v>
      </c>
    </row>
    <row r="1064">
      <c r="A1064" s="0" t="n">
        <v>132</v>
      </c>
      <c r="B1064" s="0" t="n">
        <v>6</v>
      </c>
      <c r="C1064" s="0" t="n">
        <v>4748437.5</v>
      </c>
      <c r="D1064" s="0" t="n">
        <v>-24908689.1204185</v>
      </c>
      <c r="E1064" s="0" t="n">
        <v>6.305838022526078e-06</v>
      </c>
      <c r="F1064" s="0" t="n">
        <v>1.114651232335171e-05</v>
      </c>
      <c r="G1064" s="0" t="n">
        <v>-4.84067430082563e-06</v>
      </c>
      <c r="H1064" s="0" t="b">
        <v>1</v>
      </c>
    </row>
    <row r="1065">
      <c r="A1065" s="0" t="n">
        <v>132</v>
      </c>
      <c r="B1065" s="0" t="n">
        <v>7</v>
      </c>
      <c r="C1065" s="0" t="n">
        <v>4841406.25</v>
      </c>
      <c r="D1065" s="0" t="n">
        <v>-100118354.3624606</v>
      </c>
      <c r="E1065" s="0" t="n">
        <v>8.120693035758545e-06</v>
      </c>
      <c r="F1065" s="0" t="n">
        <v>1.114651232335171e-05</v>
      </c>
      <c r="G1065" s="0" t="n">
        <v>-3.025819287593162e-06</v>
      </c>
      <c r="H1065" s="0" t="b">
        <v>1</v>
      </c>
    </row>
    <row r="1066">
      <c r="A1066" s="0" t="n">
        <v>132</v>
      </c>
      <c r="B1066" s="0" t="n">
        <v>8</v>
      </c>
      <c r="C1066" s="0" t="n">
        <v>4887890.625</v>
      </c>
      <c r="D1066" s="0" t="n">
        <v>-105992264.3607287</v>
      </c>
      <c r="E1066" s="0" t="n">
        <v>9.184931501052083e-06</v>
      </c>
      <c r="F1066" s="0" t="n">
        <v>1.114651232335171e-05</v>
      </c>
      <c r="G1066" s="0" t="n">
        <v>-1.961580822299624e-06</v>
      </c>
      <c r="H1066" s="0" t="b">
        <v>1</v>
      </c>
    </row>
    <row r="1067">
      <c r="A1067" s="0" t="n">
        <v>132</v>
      </c>
      <c r="B1067" s="0" t="n">
        <v>9</v>
      </c>
      <c r="C1067" s="0" t="n">
        <v>4911132.8125</v>
      </c>
      <c r="D1067" s="0" t="n">
        <v>-64589331.68224897</v>
      </c>
      <c r="E1067" s="0" t="n">
        <v>1.029267961243134e-05</v>
      </c>
      <c r="F1067" s="0" t="n">
        <v>1.114651232335171e-05</v>
      </c>
      <c r="G1067" s="0" t="n">
        <v>-8.538327109203712e-07</v>
      </c>
      <c r="H1067" s="0" t="b">
        <v>1</v>
      </c>
    </row>
    <row r="1068">
      <c r="A1068" s="0" t="n">
        <v>132</v>
      </c>
      <c r="B1068" s="0" t="n">
        <v>10</v>
      </c>
      <c r="C1068" s="0" t="n">
        <v>4922753.90625</v>
      </c>
      <c r="D1068" s="0" t="n">
        <v>-18540253.52547586</v>
      </c>
      <c r="E1068" s="0" t="n">
        <v>1.093557623115673e-05</v>
      </c>
      <c r="F1068" s="0" t="n">
        <v>1.114651232335171e-05</v>
      </c>
      <c r="G1068" s="0" t="n">
        <v>-2.109360921949777e-07</v>
      </c>
      <c r="H1068" s="0" t="b">
        <v>1</v>
      </c>
    </row>
    <row r="1069">
      <c r="A1069" s="0" t="n">
        <v>132</v>
      </c>
      <c r="B1069" s="0" t="n">
        <v>11</v>
      </c>
      <c r="C1069" s="0" t="n">
        <v>4928564.453125</v>
      </c>
      <c r="D1069" s="0" t="n">
        <v>11705452.66167007</v>
      </c>
      <c r="E1069" s="0" t="n">
        <v>1.127080054695795e-05</v>
      </c>
      <c r="F1069" s="0" t="n">
        <v>1.114651232335171e-05</v>
      </c>
      <c r="G1069" s="0" t="n">
        <v>1.242882236062392e-07</v>
      </c>
      <c r="H1069" s="0" t="b">
        <v>0</v>
      </c>
    </row>
    <row r="1070">
      <c r="A1070" s="0" t="n">
        <v>132</v>
      </c>
      <c r="B1070" s="0" t="n">
        <v>12</v>
      </c>
      <c r="C1070" s="0" t="n">
        <v>4925659.1796875</v>
      </c>
      <c r="D1070" s="0" t="n">
        <v>-4050315.268879846</v>
      </c>
      <c r="E1070" s="0" t="n">
        <v>1.110201535691856e-05</v>
      </c>
      <c r="F1070" s="0" t="n">
        <v>1.114651232335171e-05</v>
      </c>
      <c r="G1070" s="0" t="n">
        <v>-4.449696643314254e-08</v>
      </c>
      <c r="H1070" s="0" t="b">
        <v>1</v>
      </c>
    </row>
    <row r="1071">
      <c r="A1071" s="0" t="n">
        <v>132</v>
      </c>
      <c r="B1071" s="0" t="n">
        <v>13</v>
      </c>
      <c r="C1071" s="0" t="n">
        <v>4927111.81640625</v>
      </c>
      <c r="D1071" s="0" t="n">
        <v>3666942.927839193</v>
      </c>
      <c r="E1071" s="0" t="n">
        <v>1.118611257203243e-05</v>
      </c>
      <c r="F1071" s="0" t="n">
        <v>1.114651232335171e-05</v>
      </c>
      <c r="G1071" s="0" t="n">
        <v>3.96002486807236e-08</v>
      </c>
      <c r="H1071" s="0" t="b">
        <v>0</v>
      </c>
    </row>
    <row r="1072">
      <c r="A1072" s="0" t="n">
        <v>132</v>
      </c>
      <c r="B1072" s="0" t="n">
        <v>14</v>
      </c>
      <c r="C1072" s="0" t="n">
        <v>4927611.81640625</v>
      </c>
      <c r="D1072" s="0" t="n">
        <v>6397358.837076846</v>
      </c>
      <c r="E1072" s="0" t="n">
        <v>1.121519594287599e-05</v>
      </c>
      <c r="F1072" s="0" t="n">
        <v>1.114651232335171e-05</v>
      </c>
      <c r="G1072" s="0" t="n">
        <v>6.868361952428698e-08</v>
      </c>
      <c r="H1072" s="0" t="b">
        <v>0</v>
      </c>
    </row>
    <row r="1073">
      <c r="A1073" s="0" t="n">
        <v>132</v>
      </c>
      <c r="B1073" s="0" t="n">
        <v>15</v>
      </c>
      <c r="C1073" s="0" t="n">
        <v>4927361.81640625</v>
      </c>
      <c r="D1073" s="0" t="n">
        <v>5027411.883465549</v>
      </c>
      <c r="E1073" s="0" t="n">
        <v>1.120064582722215e-05</v>
      </c>
      <c r="F1073" s="0" t="n">
        <v>1.114651232335171e-05</v>
      </c>
      <c r="G1073" s="0" t="n">
        <v>5.413350387044083e-08</v>
      </c>
      <c r="H1073" s="0" t="b">
        <v>0</v>
      </c>
    </row>
    <row r="1074">
      <c r="A1074" s="0" t="n">
        <v>132</v>
      </c>
      <c r="B1074" s="0" t="n">
        <v>16</v>
      </c>
      <c r="C1074" s="0" t="n">
        <v>4927061.81640625</v>
      </c>
      <c r="D1074" s="0" t="n">
        <v>3396003.490647577</v>
      </c>
      <c r="E1074" s="0" t="n">
        <v>1.118320814682978e-05</v>
      </c>
      <c r="F1074" s="0" t="n">
        <v>1.114651232335171e-05</v>
      </c>
      <c r="G1074" s="0" t="n">
        <v>3.669582347807111e-08</v>
      </c>
      <c r="H1074" s="0" t="b">
        <v>0</v>
      </c>
    </row>
    <row r="1075">
      <c r="A1075" s="0" t="n">
        <v>132</v>
      </c>
      <c r="B1075" s="0" t="n">
        <v>17</v>
      </c>
      <c r="C1075" s="0" t="n">
        <v>4927211.81640625</v>
      </c>
      <c r="D1075" s="0" t="n">
        <v>4210023.28277702</v>
      </c>
      <c r="E1075" s="0" t="n">
        <v>1.119192415822071e-05</v>
      </c>
      <c r="F1075" s="0" t="n">
        <v>1.114651232335171e-05</v>
      </c>
      <c r="G1075" s="0" t="n">
        <v>4.541183486900325e-08</v>
      </c>
      <c r="H1075" s="0" t="b">
        <v>0</v>
      </c>
    </row>
    <row r="1076">
      <c r="A1076" s="0" t="n">
        <v>132</v>
      </c>
      <c r="B1076" s="0" t="n">
        <v>18</v>
      </c>
      <c r="C1076" s="0" t="n">
        <v>4927391.81640625</v>
      </c>
      <c r="D1076" s="0" t="n">
        <v>5191241.436951869</v>
      </c>
      <c r="E1076" s="0" t="n">
        <v>1.12023902779497e-05</v>
      </c>
      <c r="F1076" s="0" t="n">
        <v>1.114651232335171e-05</v>
      </c>
      <c r="G1076" s="0" t="n">
        <v>5.587795459799429e-08</v>
      </c>
      <c r="H1076" s="0" t="b">
        <v>0</v>
      </c>
    </row>
    <row r="1077">
      <c r="A1077" s="0" t="n">
        <v>132</v>
      </c>
      <c r="B1077" s="0" t="n">
        <v>19</v>
      </c>
      <c r="C1077" s="0" t="n">
        <v>4927301.81640625</v>
      </c>
      <c r="D1077" s="0" t="n">
        <v>4700044.716658538</v>
      </c>
      <c r="E1077" s="0" t="n">
        <v>1.119715640393178e-05</v>
      </c>
      <c r="F1077" s="0" t="n">
        <v>1.114651232335171e-05</v>
      </c>
      <c r="G1077" s="0" t="n">
        <v>5.064408058007337e-08</v>
      </c>
      <c r="H1077" s="0" t="b">
        <v>0</v>
      </c>
    </row>
    <row r="1078">
      <c r="A1078" s="0" t="n">
        <v>132</v>
      </c>
      <c r="B1078" s="0" t="n">
        <v>20</v>
      </c>
      <c r="C1078" s="0" t="n">
        <v>4927346.81640625</v>
      </c>
      <c r="D1078" s="0" t="n">
        <v>4945518.602296153</v>
      </c>
      <c r="E1078" s="0" t="n">
        <v>1.11997733769197e-05</v>
      </c>
      <c r="F1078" s="0" t="n">
        <v>1.114651232335171e-05</v>
      </c>
      <c r="G1078" s="0" t="n">
        <v>5.326105356799493e-08</v>
      </c>
      <c r="H1078" s="0" t="b">
        <v>0</v>
      </c>
    </row>
    <row r="1079">
      <c r="A1079" s="0" t="n">
        <v>133</v>
      </c>
      <c r="B1079" s="0" t="n">
        <v>1</v>
      </c>
      <c r="C1079" s="0" t="n">
        <v>6050000</v>
      </c>
      <c r="D1079" s="0" t="n">
        <v>830545441086.1624</v>
      </c>
      <c r="E1079" s="0" t="n">
        <v>0.0009303252507973526</v>
      </c>
      <c r="F1079" s="0" t="n">
        <v>1.080478752847418e-05</v>
      </c>
      <c r="G1079" s="0" t="n">
        <v>0.0009195204632688784</v>
      </c>
      <c r="H1079" s="0" t="b">
        <v>0</v>
      </c>
    </row>
    <row r="1080">
      <c r="A1080" s="0" t="n">
        <v>133</v>
      </c>
      <c r="B1080" s="0" t="n">
        <v>2</v>
      </c>
      <c r="C1080" s="0" t="n">
        <v>3075000</v>
      </c>
      <c r="D1080" s="0" t="n">
        <v>-15701.93605833014</v>
      </c>
      <c r="E1080" s="0" t="n">
        <v>-7.402580790504963e-06</v>
      </c>
      <c r="F1080" s="0" t="n">
        <v>1.080478752847419e-05</v>
      </c>
      <c r="G1080" s="0" t="n">
        <v>-1.820736831897915e-05</v>
      </c>
      <c r="H1080" s="0" t="b">
        <v>1</v>
      </c>
    </row>
    <row r="1081">
      <c r="A1081" s="0" t="n">
        <v>133</v>
      </c>
      <c r="B1081" s="0" t="n">
        <v>3</v>
      </c>
      <c r="C1081" s="0" t="n">
        <v>4562500</v>
      </c>
      <c r="D1081" s="0" t="n">
        <v>-622812.2113174808</v>
      </c>
      <c r="E1081" s="0" t="n">
        <v>2.890780220675129e-06</v>
      </c>
      <c r="F1081" s="0" t="n">
        <v>1.080478752847419e-05</v>
      </c>
      <c r="G1081" s="0" t="n">
        <v>-7.914007307799062e-06</v>
      </c>
      <c r="H1081" s="0" t="b">
        <v>1</v>
      </c>
    </row>
    <row r="1082">
      <c r="A1082" s="0" t="n">
        <v>133</v>
      </c>
      <c r="B1082" s="0" t="n">
        <v>4</v>
      </c>
      <c r="C1082" s="0" t="n">
        <v>5306250</v>
      </c>
      <c r="D1082" s="0" t="n">
        <v>10952188781.4821</v>
      </c>
      <c r="E1082" s="0" t="n">
        <v>4.547449047635176e-05</v>
      </c>
      <c r="F1082" s="0" t="n">
        <v>1.080478752847419e-05</v>
      </c>
      <c r="G1082" s="0" t="n">
        <v>3.466970294787757e-05</v>
      </c>
      <c r="H1082" s="0" t="b">
        <v>0</v>
      </c>
    </row>
    <row r="1083">
      <c r="A1083" s="0" t="n">
        <v>133</v>
      </c>
      <c r="B1083" s="0" t="n">
        <v>5</v>
      </c>
      <c r="C1083" s="0" t="n">
        <v>4934375</v>
      </c>
      <c r="D1083" s="0" t="n">
        <v>-105421863.9806095</v>
      </c>
      <c r="E1083" s="0" t="n">
        <v>8.19808124865417e-06</v>
      </c>
      <c r="F1083" s="0" t="n">
        <v>1.080478752847419e-05</v>
      </c>
      <c r="G1083" s="0" t="n">
        <v>-2.606706279820021e-06</v>
      </c>
      <c r="H1083" s="0" t="b">
        <v>1</v>
      </c>
    </row>
    <row r="1084">
      <c r="A1084" s="0" t="n">
        <v>133</v>
      </c>
      <c r="B1084" s="0" t="n">
        <v>6</v>
      </c>
      <c r="C1084" s="0" t="n">
        <v>5120312.5</v>
      </c>
      <c r="D1084" s="0" t="n">
        <v>1602702366.258718</v>
      </c>
      <c r="E1084" s="0" t="n">
        <v>1.887861001028611e-05</v>
      </c>
      <c r="F1084" s="0" t="n">
        <v>1.080478752847419e-05</v>
      </c>
      <c r="G1084" s="0" t="n">
        <v>8.073822481811919e-06</v>
      </c>
      <c r="H1084" s="0" t="b">
        <v>0</v>
      </c>
    </row>
    <row r="1085">
      <c r="A1085" s="0" t="n">
        <v>133</v>
      </c>
      <c r="B1085" s="0" t="n">
        <v>7</v>
      </c>
      <c r="C1085" s="0" t="n">
        <v>5027343.75</v>
      </c>
      <c r="D1085" s="0" t="n">
        <v>125294347.1069281</v>
      </c>
      <c r="E1085" s="0" t="n">
        <v>1.188960382778812e-05</v>
      </c>
      <c r="F1085" s="0" t="n">
        <v>1.080478752847419e-05</v>
      </c>
      <c r="G1085" s="0" t="n">
        <v>1.084816299313926e-06</v>
      </c>
      <c r="H1085" s="0" t="b">
        <v>0</v>
      </c>
    </row>
    <row r="1086">
      <c r="A1086" s="0" t="n">
        <v>133</v>
      </c>
      <c r="B1086" s="0" t="n">
        <v>8</v>
      </c>
      <c r="C1086" s="0" t="n">
        <v>4980859.375</v>
      </c>
      <c r="D1086" s="0" t="n">
        <v>-92929874.36487404</v>
      </c>
      <c r="E1086" s="0" t="n">
        <v>9.378167923501268e-06</v>
      </c>
      <c r="F1086" s="0" t="n">
        <v>1.080478752847419e-05</v>
      </c>
      <c r="G1086" s="0" t="n">
        <v>-1.426619604972923e-06</v>
      </c>
      <c r="H1086" s="0" t="b">
        <v>1</v>
      </c>
    </row>
    <row r="1087">
      <c r="A1087" s="0" t="n">
        <v>133</v>
      </c>
      <c r="B1087" s="0" t="n">
        <v>9</v>
      </c>
      <c r="C1087" s="0" t="n">
        <v>5004101.5625</v>
      </c>
      <c r="D1087" s="0" t="n">
        <v>-21453244.77053315</v>
      </c>
      <c r="E1087" s="0" t="n">
        <v>1.056496010807943e-05</v>
      </c>
      <c r="F1087" s="0" t="n">
        <v>1.080478752847419e-05</v>
      </c>
      <c r="G1087" s="0" t="n">
        <v>-2.398274203947569e-07</v>
      </c>
      <c r="H1087" s="0" t="b">
        <v>1</v>
      </c>
    </row>
    <row r="1088">
      <c r="A1088" s="0" t="n">
        <v>133</v>
      </c>
      <c r="B1088" s="0" t="n">
        <v>10</v>
      </c>
      <c r="C1088" s="0" t="n">
        <v>5015722.65625</v>
      </c>
      <c r="D1088" s="0" t="n">
        <v>41359110.50450784</v>
      </c>
      <c r="E1088" s="0" t="n">
        <v>1.120918581088119e-05</v>
      </c>
      <c r="F1088" s="0" t="n">
        <v>1.080478752847419e-05</v>
      </c>
      <c r="G1088" s="0" t="n">
        <v>4.043982824070004e-07</v>
      </c>
      <c r="H1088" s="0" t="b">
        <v>0</v>
      </c>
    </row>
    <row r="1089">
      <c r="A1089" s="0" t="n">
        <v>133</v>
      </c>
      <c r="B1089" s="0" t="n">
        <v>11</v>
      </c>
      <c r="C1089" s="0" t="n">
        <v>5009912.109375</v>
      </c>
      <c r="D1089" s="0" t="n">
        <v>7460683.018663112</v>
      </c>
      <c r="E1089" s="0" t="n">
        <v>1.088265633814936e-05</v>
      </c>
      <c r="F1089" s="0" t="n">
        <v>1.080478752847419e-05</v>
      </c>
      <c r="G1089" s="0" t="n">
        <v>7.78688096751712e-08</v>
      </c>
      <c r="H1089" s="0" t="b">
        <v>0</v>
      </c>
    </row>
    <row r="1090">
      <c r="A1090" s="0" t="n">
        <v>133</v>
      </c>
      <c r="B1090" s="0" t="n">
        <v>12</v>
      </c>
      <c r="C1090" s="0" t="n">
        <v>5007006.8359375</v>
      </c>
      <c r="D1090" s="0" t="n">
        <v>-7601120.7929597</v>
      </c>
      <c r="E1090" s="0" t="n">
        <v>1.072271854057194e-05</v>
      </c>
      <c r="F1090" s="0" t="n">
        <v>1.080478752847419e-05</v>
      </c>
      <c r="G1090" s="0" t="n">
        <v>-8.20689879022492e-08</v>
      </c>
      <c r="H1090" s="0" t="b">
        <v>1</v>
      </c>
    </row>
    <row r="1091">
      <c r="A1091" s="0" t="n">
        <v>133</v>
      </c>
      <c r="B1091" s="0" t="n">
        <v>13</v>
      </c>
      <c r="C1091" s="0" t="n">
        <v>5008459.47265625</v>
      </c>
      <c r="D1091" s="0" t="n">
        <v>-223722.7846819432</v>
      </c>
      <c r="E1091" s="0" t="n">
        <v>1.080241284228151e-05</v>
      </c>
      <c r="F1091" s="0" t="n">
        <v>1.080478752847419e-05</v>
      </c>
      <c r="G1091" s="0" t="n">
        <v>-2.374686192683947e-09</v>
      </c>
      <c r="H1091" s="0" t="b">
        <v>1</v>
      </c>
    </row>
    <row r="1092">
      <c r="A1092" s="0" t="n">
        <v>133</v>
      </c>
      <c r="B1092" s="0" t="n">
        <v>14</v>
      </c>
      <c r="C1092" s="0" t="n">
        <v>5008959.47265625</v>
      </c>
      <c r="D1092" s="0" t="n">
        <v>2386448.5334894</v>
      </c>
      <c r="E1092" s="0" t="n">
        <v>1.082997131406531e-05</v>
      </c>
      <c r="F1092" s="0" t="n">
        <v>1.080478752847419e-05</v>
      </c>
      <c r="G1092" s="0" t="n">
        <v>2.518378559112157e-08</v>
      </c>
      <c r="H1092" s="0" t="b">
        <v>0</v>
      </c>
    </row>
    <row r="1093">
      <c r="A1093" s="0" t="n">
        <v>133</v>
      </c>
      <c r="B1093" s="0" t="n">
        <v>15</v>
      </c>
      <c r="C1093" s="0" t="n">
        <v>5009559.47265625</v>
      </c>
      <c r="D1093" s="0" t="n">
        <v>5566788.233650098</v>
      </c>
      <c r="E1093" s="0" t="n">
        <v>1.086312611557935e-05</v>
      </c>
      <c r="F1093" s="0" t="n">
        <v>1.080478752847419e-05</v>
      </c>
      <c r="G1093" s="0" t="n">
        <v>5.833858710516109e-08</v>
      </c>
      <c r="H1093" s="0" t="b">
        <v>0</v>
      </c>
    </row>
    <row r="1094">
      <c r="A1094" s="0" t="n">
        <v>133</v>
      </c>
      <c r="B1094" s="0" t="n">
        <v>16</v>
      </c>
      <c r="C1094" s="0" t="n">
        <v>5009259.47265625</v>
      </c>
      <c r="D1094" s="0" t="n">
        <v>3970049.116869294</v>
      </c>
      <c r="E1094" s="0" t="n">
        <v>1.084653728432452e-05</v>
      </c>
      <c r="F1094" s="0" t="n">
        <v>1.080478752847419e-05</v>
      </c>
      <c r="G1094" s="0" t="n">
        <v>4.174975585033396e-08</v>
      </c>
      <c r="H1094" s="0" t="b">
        <v>0</v>
      </c>
    </row>
    <row r="1095">
      <c r="A1095" s="0" t="n">
        <v>133</v>
      </c>
      <c r="B1095" s="0" t="n">
        <v>17</v>
      </c>
      <c r="C1095" s="0" t="n">
        <v>5009409.47265625</v>
      </c>
      <c r="D1095" s="0" t="n">
        <v>4766796.236650758</v>
      </c>
      <c r="E1095" s="0" t="n">
        <v>1.085482907212574e-05</v>
      </c>
      <c r="F1095" s="0" t="n">
        <v>1.080478752847419e-05</v>
      </c>
      <c r="G1095" s="0" t="n">
        <v>5.004154365154788e-08</v>
      </c>
      <c r="H1095" s="0" t="b">
        <v>0</v>
      </c>
    </row>
    <row r="1096">
      <c r="A1096" s="0" t="n">
        <v>133</v>
      </c>
      <c r="B1096" s="0" t="n">
        <v>18</v>
      </c>
      <c r="C1096" s="0" t="n">
        <v>5009589.47265625</v>
      </c>
      <c r="D1096" s="0" t="n">
        <v>5727195.504043073</v>
      </c>
      <c r="E1096" s="0" t="n">
        <v>1.086478635289523e-05</v>
      </c>
      <c r="F1096" s="0" t="n">
        <v>1.080478752847419e-05</v>
      </c>
      <c r="G1096" s="0" t="n">
        <v>5.999882442104253e-08</v>
      </c>
      <c r="H1096" s="0" t="b">
        <v>0</v>
      </c>
    </row>
    <row r="1097">
      <c r="A1097" s="0" t="n">
        <v>133</v>
      </c>
      <c r="B1097" s="0" t="n">
        <v>19</v>
      </c>
      <c r="C1097" s="0" t="n">
        <v>5009499.47265625</v>
      </c>
      <c r="D1097" s="0" t="n">
        <v>5246370.800032842</v>
      </c>
      <c r="E1097" s="0" t="n">
        <v>1.085980634619919e-05</v>
      </c>
      <c r="F1097" s="0" t="n">
        <v>1.080478752847419e-05</v>
      </c>
      <c r="G1097" s="0" t="n">
        <v>5.501881772500035e-08</v>
      </c>
      <c r="H1097" s="0" t="b">
        <v>0</v>
      </c>
    </row>
    <row r="1098">
      <c r="A1098" s="0" t="n">
        <v>133</v>
      </c>
      <c r="B1098" s="0" t="n">
        <v>20</v>
      </c>
      <c r="C1098" s="0" t="n">
        <v>5009391.47265625</v>
      </c>
      <c r="D1098" s="0" t="n">
        <v>4671012.200438858</v>
      </c>
      <c r="E1098" s="0" t="n">
        <v>1.085383374754227e-05</v>
      </c>
      <c r="F1098" s="0" t="n">
        <v>1.080478752847419e-05</v>
      </c>
      <c r="G1098" s="0" t="n">
        <v>4.904621906807681e-08</v>
      </c>
      <c r="H1098" s="0" t="b">
        <v>0</v>
      </c>
    </row>
    <row r="1099">
      <c r="A1099" s="0" t="n">
        <v>133</v>
      </c>
      <c r="B1099" s="0" t="n">
        <v>21</v>
      </c>
      <c r="C1099" s="0" t="n">
        <v>5009445.47265625</v>
      </c>
      <c r="D1099" s="0" t="n">
        <v>4958507.074483272</v>
      </c>
      <c r="E1099" s="0" t="n">
        <v>1.085681997503602e-05</v>
      </c>
      <c r="F1099" s="0" t="n">
        <v>1.080478752847419e-05</v>
      </c>
      <c r="G1099" s="0" t="n">
        <v>5.203244656183087e-08</v>
      </c>
      <c r="H1099" s="0" t="b">
        <v>0</v>
      </c>
    </row>
    <row r="1100">
      <c r="A1100" s="0" t="n">
        <v>133</v>
      </c>
      <c r="B1100" s="0" t="n">
        <v>22</v>
      </c>
      <c r="C1100" s="0" t="n">
        <v>5009510.27265625</v>
      </c>
      <c r="D1100" s="0" t="n">
        <v>5304006.873149271</v>
      </c>
      <c r="E1100" s="0" t="n">
        <v>1.086040383529884e-05</v>
      </c>
      <c r="F1100" s="0" t="n">
        <v>1.080478752847419e-05</v>
      </c>
      <c r="G1100" s="0" t="n">
        <v>5.561630682464969e-08</v>
      </c>
      <c r="H1100" s="0" t="b">
        <v>0</v>
      </c>
    </row>
    <row r="1101">
      <c r="A1101" s="0" t="n">
        <v>133</v>
      </c>
      <c r="B1101" s="0" t="n">
        <v>23</v>
      </c>
      <c r="C1101" s="0" t="n">
        <v>5009477.872656249</v>
      </c>
      <c r="D1101" s="0" t="n">
        <v>5131209.628391015</v>
      </c>
      <c r="E1101" s="0" t="n">
        <v>1.085861207695843e-05</v>
      </c>
      <c r="F1101" s="0" t="n">
        <v>1.080478752847419e-05</v>
      </c>
      <c r="G1101" s="0" t="n">
        <v>5.382454848424357e-08</v>
      </c>
      <c r="H1101" s="0" t="b">
        <v>0</v>
      </c>
    </row>
    <row r="1102">
      <c r="A1102" s="0" t="n">
        <v>133</v>
      </c>
      <c r="B1102" s="0" t="n">
        <v>24</v>
      </c>
      <c r="C1102" s="0" t="n">
        <v>5009438.99265625</v>
      </c>
      <c r="D1102" s="0" t="n">
        <v>4923985.07330968</v>
      </c>
      <c r="E1102" s="0" t="n">
        <v>1.08564615875421e-05</v>
      </c>
      <c r="F1102" s="0" t="n">
        <v>1.080478752847419e-05</v>
      </c>
      <c r="G1102" s="0" t="n">
        <v>5.167405906791245e-08</v>
      </c>
      <c r="H1102" s="0" t="b">
        <v>0</v>
      </c>
    </row>
    <row r="1103">
      <c r="A1103" s="0" t="n">
        <v>133</v>
      </c>
      <c r="B1103" s="0" t="n">
        <v>25</v>
      </c>
      <c r="C1103" s="0" t="n">
        <v>5009458.43265625</v>
      </c>
      <c r="D1103" s="0" t="n">
        <v>5027569.585227221</v>
      </c>
      <c r="E1103" s="0" t="n">
        <v>1.085753678291349e-05</v>
      </c>
      <c r="F1103" s="0" t="n">
        <v>1.080478752847419e-05</v>
      </c>
      <c r="G1103" s="0" t="n">
        <v>5.274925443930314e-08</v>
      </c>
      <c r="H1103" s="0" t="b">
        <v>0</v>
      </c>
    </row>
    <row r="1104">
      <c r="A1104" s="0" t="n">
        <v>134</v>
      </c>
      <c r="B1104" s="0" t="n">
        <v>1</v>
      </c>
      <c r="C1104" s="0" t="n">
        <v>6050000</v>
      </c>
      <c r="D1104" s="0" t="n">
        <v>302525591394.5807</v>
      </c>
      <c r="E1104" s="0" t="n">
        <v>0.0009890727347552585</v>
      </c>
      <c r="F1104" s="0" t="n">
        <v>1.817588406482183e-05</v>
      </c>
      <c r="G1104" s="0" t="n">
        <v>0.0009708968506904367</v>
      </c>
      <c r="H1104" s="0" t="b">
        <v>0</v>
      </c>
    </row>
    <row r="1105">
      <c r="A1105" s="0" t="n">
        <v>134</v>
      </c>
      <c r="B1105" s="0" t="n">
        <v>2</v>
      </c>
      <c r="C1105" s="0" t="n">
        <v>3075000</v>
      </c>
      <c r="D1105" s="0" t="n">
        <v>41284895.21777403</v>
      </c>
      <c r="E1105" s="0" t="n">
        <v>1.913457834476151e-05</v>
      </c>
      <c r="F1105" s="0" t="n">
        <v>1.81758840648218e-05</v>
      </c>
      <c r="G1105" s="0" t="n">
        <v>9.586942799397084e-07</v>
      </c>
      <c r="H1105" s="0" t="b">
        <v>0</v>
      </c>
    </row>
    <row r="1106">
      <c r="A1106" s="0" t="n">
        <v>134</v>
      </c>
      <c r="B1106" s="0" t="n">
        <v>3</v>
      </c>
      <c r="C1106" s="0" t="n">
        <v>1587500</v>
      </c>
      <c r="D1106" s="0" t="n">
        <v>-118044.9039820562</v>
      </c>
      <c r="E1106" s="0" t="n">
        <v>-3.278153794747274e-08</v>
      </c>
      <c r="F1106" s="0" t="n">
        <v>1.81758840648218e-05</v>
      </c>
      <c r="G1106" s="0" t="n">
        <v>-1.820866560276927e-05</v>
      </c>
      <c r="H1106" s="0" t="b">
        <v>1</v>
      </c>
    </row>
    <row r="1107">
      <c r="A1107" s="0" t="n">
        <v>134</v>
      </c>
      <c r="B1107" s="0" t="n">
        <v>4</v>
      </c>
      <c r="C1107" s="0" t="n">
        <v>2331250</v>
      </c>
      <c r="D1107" s="0" t="n">
        <v>-888884.9934332544</v>
      </c>
      <c r="E1107" s="0" t="n">
        <v>5.585133657002766e-06</v>
      </c>
      <c r="F1107" s="0" t="n">
        <v>1.81758840648218e-05</v>
      </c>
      <c r="G1107" s="0" t="n">
        <v>-1.259075040781903e-05</v>
      </c>
      <c r="H1107" s="0" t="b">
        <v>1</v>
      </c>
    </row>
    <row r="1108">
      <c r="A1108" s="0" t="n">
        <v>134</v>
      </c>
      <c r="B1108" s="0" t="n">
        <v>5</v>
      </c>
      <c r="C1108" s="0" t="n">
        <v>2703125</v>
      </c>
      <c r="D1108" s="0" t="n">
        <v>-20527815.21993023</v>
      </c>
      <c r="E1108" s="0" t="n">
        <v>1.037650044801333e-05</v>
      </c>
      <c r="F1108" s="0" t="n">
        <v>1.81758840648218e-05</v>
      </c>
      <c r="G1108" s="0" t="n">
        <v>-7.799383616808469e-06</v>
      </c>
      <c r="H1108" s="0" t="b">
        <v>1</v>
      </c>
    </row>
    <row r="1109">
      <c r="A1109" s="0" t="n">
        <v>134</v>
      </c>
      <c r="B1109" s="0" t="n">
        <v>6</v>
      </c>
      <c r="C1109" s="0" t="n">
        <v>2889062.5</v>
      </c>
      <c r="D1109" s="0" t="n">
        <v>-72325659.55951481</v>
      </c>
      <c r="E1109" s="0" t="n">
        <v>1.345040396055803e-05</v>
      </c>
      <c r="F1109" s="0" t="n">
        <v>1.81758840648218e-05</v>
      </c>
      <c r="G1109" s="0" t="n">
        <v>-4.725480104263768e-06</v>
      </c>
      <c r="H1109" s="0" t="b">
        <v>1</v>
      </c>
    </row>
    <row r="1110">
      <c r="A1110" s="0" t="n">
        <v>134</v>
      </c>
      <c r="B1110" s="0" t="n">
        <v>7</v>
      </c>
      <c r="C1110" s="0" t="n">
        <v>2982031.25</v>
      </c>
      <c r="D1110" s="0" t="n">
        <v>-72079981.53021303</v>
      </c>
      <c r="E1110" s="0" t="n">
        <v>1.515216853856075e-05</v>
      </c>
      <c r="F1110" s="0" t="n">
        <v>1.81758840648218e-05</v>
      </c>
      <c r="G1110" s="0" t="n">
        <v>-3.023715526261044e-06</v>
      </c>
      <c r="H1110" s="0" t="b">
        <v>1</v>
      </c>
    </row>
    <row r="1111">
      <c r="A1111" s="0" t="n">
        <v>134</v>
      </c>
      <c r="B1111" s="0" t="n">
        <v>8</v>
      </c>
      <c r="C1111" s="0" t="n">
        <v>3028515.625</v>
      </c>
      <c r="D1111" s="0" t="n">
        <v>-37351257.92127773</v>
      </c>
      <c r="E1111" s="0" t="n">
        <v>1.70505374108849e-05</v>
      </c>
      <c r="F1111" s="0" t="n">
        <v>1.81758840648218e-05</v>
      </c>
      <c r="G1111" s="0" t="n">
        <v>-1.125346653936896e-06</v>
      </c>
      <c r="H1111" s="0" t="b">
        <v>1</v>
      </c>
    </row>
    <row r="1112">
      <c r="A1112" s="0" t="n">
        <v>134</v>
      </c>
      <c r="B1112" s="0" t="n">
        <v>9</v>
      </c>
      <c r="C1112" s="0" t="n">
        <v>3051757.8125</v>
      </c>
      <c r="D1112" s="0" t="n">
        <v>-4029023.348735813</v>
      </c>
      <c r="E1112" s="0" t="n">
        <v>1.807007132027791e-05</v>
      </c>
      <c r="F1112" s="0" t="n">
        <v>1.81758840648218e-05</v>
      </c>
      <c r="G1112" s="0" t="n">
        <v>-1.058127445438862e-07</v>
      </c>
      <c r="H1112" s="0" t="b">
        <v>1</v>
      </c>
    </row>
    <row r="1113">
      <c r="A1113" s="0" t="n">
        <v>134</v>
      </c>
      <c r="B1113" s="0" t="n">
        <v>10</v>
      </c>
      <c r="C1113" s="0" t="n">
        <v>3063378.90625</v>
      </c>
      <c r="D1113" s="0" t="n">
        <v>17063898.67976451</v>
      </c>
      <c r="E1113" s="0" t="n">
        <v>1.859660838443043e-05</v>
      </c>
      <c r="F1113" s="0" t="n">
        <v>1.81758840648218e-05</v>
      </c>
      <c r="G1113" s="0" t="n">
        <v>4.207243196086312e-07</v>
      </c>
      <c r="H1113" s="0" t="b">
        <v>0</v>
      </c>
    </row>
    <row r="1114">
      <c r="A1114" s="0" t="n">
        <v>134</v>
      </c>
      <c r="B1114" s="0" t="n">
        <v>11</v>
      </c>
      <c r="C1114" s="0" t="n">
        <v>3057568.359375</v>
      </c>
      <c r="D1114" s="0" t="n">
        <v>6134535.119368896</v>
      </c>
      <c r="E1114" s="0" t="n">
        <v>1.833192117795383e-05</v>
      </c>
      <c r="F1114" s="0" t="n">
        <v>1.81758840648218e-05</v>
      </c>
      <c r="G1114" s="0" t="n">
        <v>1.560371131320322e-07</v>
      </c>
      <c r="H1114" s="0" t="b">
        <v>0</v>
      </c>
    </row>
    <row r="1115">
      <c r="A1115" s="0" t="n">
        <v>134</v>
      </c>
      <c r="B1115" s="0" t="n">
        <v>12</v>
      </c>
      <c r="C1115" s="0" t="n">
        <v>3054663.0859375</v>
      </c>
      <c r="D1115" s="0" t="n">
        <v>958029.7450499487</v>
      </c>
      <c r="E1115" s="0" t="n">
        <v>1.820064256905995e-05</v>
      </c>
      <c r="F1115" s="0" t="n">
        <v>1.81758840648218e-05</v>
      </c>
      <c r="G1115" s="0" t="n">
        <v>2.475850423814966e-08</v>
      </c>
      <c r="H1115" s="0" t="b">
        <v>0</v>
      </c>
    </row>
    <row r="1116">
      <c r="A1116" s="0" t="n">
        <v>134</v>
      </c>
      <c r="B1116" s="0" t="n">
        <v>13</v>
      </c>
      <c r="C1116" s="0" t="n">
        <v>3056115.72265625</v>
      </c>
      <c r="D1116" s="0" t="n">
        <v>3522474.975628193</v>
      </c>
      <c r="E1116" s="0" t="n">
        <v>1.826619330650376e-05</v>
      </c>
      <c r="F1116" s="0" t="n">
        <v>1.81758840648218e-05</v>
      </c>
      <c r="G1116" s="0" t="n">
        <v>9.030924168196207e-08</v>
      </c>
      <c r="H1116" s="0" t="b">
        <v>0</v>
      </c>
    </row>
    <row r="1117">
      <c r="A1117" s="0" t="n">
        <v>134</v>
      </c>
      <c r="B1117" s="0" t="n">
        <v>14</v>
      </c>
      <c r="C1117" s="0" t="n">
        <v>3055615.72265625</v>
      </c>
      <c r="D1117" s="0" t="n">
        <v>2634366.798452994</v>
      </c>
      <c r="E1117" s="0" t="n">
        <v>1.824360911093103e-05</v>
      </c>
      <c r="F1117" s="0" t="n">
        <v>1.81758840648218e-05</v>
      </c>
      <c r="G1117" s="0" t="n">
        <v>6.772504610923232e-08</v>
      </c>
      <c r="H1117" s="0" t="b">
        <v>0</v>
      </c>
    </row>
    <row r="1118">
      <c r="A1118" s="0" t="n">
        <v>134</v>
      </c>
      <c r="B1118" s="0" t="n">
        <v>15</v>
      </c>
      <c r="C1118" s="0" t="n">
        <v>3055865.72265625</v>
      </c>
      <c r="D1118" s="0" t="n">
        <v>3077685.886423342</v>
      </c>
      <c r="E1118" s="0" t="n">
        <v>1.82548978128041e-05</v>
      </c>
      <c r="F1118" s="0" t="n">
        <v>1.81758840648218e-05</v>
      </c>
      <c r="G1118" s="0" t="n">
        <v>7.901374798229945e-08</v>
      </c>
      <c r="H1118" s="0" t="b">
        <v>0</v>
      </c>
    </row>
    <row r="1119">
      <c r="A1119" s="0" t="n">
        <v>135</v>
      </c>
      <c r="B1119" s="0" t="n">
        <v>1</v>
      </c>
      <c r="C1119" s="0" t="n">
        <v>6050000</v>
      </c>
      <c r="D1119" s="0" t="n">
        <v>204741728311.4602</v>
      </c>
      <c r="E1119" s="0" t="n">
        <v>0.0007182423663553135</v>
      </c>
      <c r="F1119" s="0" t="n">
        <v>1.781135490909035e-05</v>
      </c>
      <c r="G1119" s="0" t="n">
        <v>0.0007004310114462231</v>
      </c>
      <c r="H1119" s="0" t="b">
        <v>0</v>
      </c>
    </row>
    <row r="1120">
      <c r="A1120" s="0" t="n">
        <v>135</v>
      </c>
      <c r="B1120" s="0" t="n">
        <v>2</v>
      </c>
      <c r="C1120" s="0" t="n">
        <v>3075000</v>
      </c>
      <c r="D1120" s="0" t="n">
        <v>-74296269.28322756</v>
      </c>
      <c r="E1120" s="0" t="n">
        <v>1.357324090287935e-05</v>
      </c>
      <c r="F1120" s="0" t="n">
        <v>1.781135490909032e-05</v>
      </c>
      <c r="G1120" s="0" t="n">
        <v>-4.238114006210973e-06</v>
      </c>
      <c r="H1120" s="0" t="b">
        <v>1</v>
      </c>
    </row>
    <row r="1121">
      <c r="A1121" s="0" t="n">
        <v>135</v>
      </c>
      <c r="B1121" s="0" t="n">
        <v>3</v>
      </c>
      <c r="C1121" s="0" t="n">
        <v>4562500</v>
      </c>
      <c r="D1121" s="0" t="n">
        <v>26837365994.35054</v>
      </c>
      <c r="E1121" s="0" t="n">
        <v>0.000167785858234894</v>
      </c>
      <c r="F1121" s="0" t="n">
        <v>1.781135490909033e-05</v>
      </c>
      <c r="G1121" s="0" t="n">
        <v>0.0001499745033258036</v>
      </c>
      <c r="H1121" s="0" t="b">
        <v>0</v>
      </c>
    </row>
    <row r="1122">
      <c r="A1122" s="0" t="n">
        <v>135</v>
      </c>
      <c r="B1122" s="0" t="n">
        <v>4</v>
      </c>
      <c r="C1122" s="0" t="n">
        <v>3818750</v>
      </c>
      <c r="D1122" s="0" t="n">
        <v>4492593436.427529</v>
      </c>
      <c r="E1122" s="0" t="n">
        <v>5.727728890630383e-05</v>
      </c>
      <c r="F1122" s="0" t="n">
        <v>1.781135490909033e-05</v>
      </c>
      <c r="G1122" s="0" t="n">
        <v>3.94659339972135e-05</v>
      </c>
      <c r="H1122" s="0" t="b">
        <v>0</v>
      </c>
    </row>
    <row r="1123">
      <c r="A1123" s="0" t="n">
        <v>135</v>
      </c>
      <c r="B1123" s="0" t="n">
        <v>5</v>
      </c>
      <c r="C1123" s="0" t="n">
        <v>3446875</v>
      </c>
      <c r="D1123" s="0" t="n">
        <v>829592374.1428639</v>
      </c>
      <c r="E1123" s="0" t="n">
        <v>2.857205227720943e-05</v>
      </c>
      <c r="F1123" s="0" t="n">
        <v>1.781135490909032e-05</v>
      </c>
      <c r="G1123" s="0" t="n">
        <v>1.076069736811911e-05</v>
      </c>
      <c r="H1123" s="0" t="b">
        <v>0</v>
      </c>
    </row>
    <row r="1124">
      <c r="A1124" s="0" t="n">
        <v>135</v>
      </c>
      <c r="B1124" s="0" t="n">
        <v>6</v>
      </c>
      <c r="C1124" s="0" t="n">
        <v>3260937.5</v>
      </c>
      <c r="D1124" s="0" t="n">
        <v>57841035.30300014</v>
      </c>
      <c r="E1124" s="0" t="n">
        <v>1.908485099024828e-05</v>
      </c>
      <c r="F1124" s="0" t="n">
        <v>1.781135490909032e-05</v>
      </c>
      <c r="G1124" s="0" t="n">
        <v>1.273496081157957e-06</v>
      </c>
      <c r="H1124" s="0" t="b">
        <v>0</v>
      </c>
    </row>
    <row r="1125">
      <c r="A1125" s="0" t="n">
        <v>135</v>
      </c>
      <c r="B1125" s="0" t="n">
        <v>7</v>
      </c>
      <c r="C1125" s="0" t="n">
        <v>3167968.75</v>
      </c>
      <c r="D1125" s="0" t="n">
        <v>-66113352.608627</v>
      </c>
      <c r="E1125" s="0" t="n">
        <v>1.533656632784999e-05</v>
      </c>
      <c r="F1125" s="0" t="n">
        <v>1.781135490909032e-05</v>
      </c>
      <c r="G1125" s="0" t="n">
        <v>-2.47478858124033e-06</v>
      </c>
      <c r="H1125" s="0" t="b">
        <v>1</v>
      </c>
    </row>
    <row r="1126">
      <c r="A1126" s="0" t="n">
        <v>135</v>
      </c>
      <c r="B1126" s="0" t="n">
        <v>8</v>
      </c>
      <c r="C1126" s="0" t="n">
        <v>3214453.125</v>
      </c>
      <c r="D1126" s="0" t="n">
        <v>-24286723.74652622</v>
      </c>
      <c r="E1126" s="0" t="n">
        <v>1.713420486422373e-05</v>
      </c>
      <c r="F1126" s="0" t="n">
        <v>1.781135490909032e-05</v>
      </c>
      <c r="G1126" s="0" t="n">
        <v>-6.771500448665906e-07</v>
      </c>
      <c r="H1126" s="0" t="b">
        <v>1</v>
      </c>
    </row>
    <row r="1127">
      <c r="A1127" s="0" t="n">
        <v>135</v>
      </c>
      <c r="B1127" s="0" t="n">
        <v>9</v>
      </c>
      <c r="C1127" s="0" t="n">
        <v>3237695.3125</v>
      </c>
      <c r="D1127" s="0" t="n">
        <v>11318439.25598939</v>
      </c>
      <c r="E1127" s="0" t="n">
        <v>1.809013686164911e-05</v>
      </c>
      <c r="F1127" s="0" t="n">
        <v>1.781135490909032e-05</v>
      </c>
      <c r="G1127" s="0" t="n">
        <v>2.78781952558788e-07</v>
      </c>
      <c r="H1127" s="0" t="b">
        <v>0</v>
      </c>
    </row>
    <row r="1128">
      <c r="A1128" s="0" t="n">
        <v>135</v>
      </c>
      <c r="B1128" s="0" t="n">
        <v>10</v>
      </c>
      <c r="C1128" s="0" t="n">
        <v>3226074.21875</v>
      </c>
      <c r="D1128" s="0" t="n">
        <v>-7798834.5629214</v>
      </c>
      <c r="E1128" s="0" t="n">
        <v>1.760730965873313e-05</v>
      </c>
      <c r="F1128" s="0" t="n">
        <v>1.781135490909032e-05</v>
      </c>
      <c r="G1128" s="0" t="n">
        <v>-2.040452503571926e-07</v>
      </c>
      <c r="H1128" s="0" t="b">
        <v>1</v>
      </c>
    </row>
    <row r="1129">
      <c r="A1129" s="0" t="n">
        <v>135</v>
      </c>
      <c r="B1129" s="0" t="n">
        <v>11</v>
      </c>
      <c r="C1129" s="0" t="n">
        <v>3231884.765625</v>
      </c>
      <c r="D1129" s="0" t="n">
        <v>1424405.373739676</v>
      </c>
      <c r="E1129" s="0" t="n">
        <v>1.784750044170442e-05</v>
      </c>
      <c r="F1129" s="0" t="n">
        <v>1.781135490909032e-05</v>
      </c>
      <c r="G1129" s="0" t="n">
        <v>3.614553261410138e-08</v>
      </c>
      <c r="H1129" s="0" t="b">
        <v>0</v>
      </c>
    </row>
    <row r="1130">
      <c r="A1130" s="0" t="n">
        <v>135</v>
      </c>
      <c r="B1130" s="0" t="n">
        <v>12</v>
      </c>
      <c r="C1130" s="0" t="n">
        <v>3234790.0390625</v>
      </c>
      <c r="D1130" s="0" t="n">
        <v>6286666.428609083</v>
      </c>
      <c r="E1130" s="0" t="n">
        <v>1.796851037321183e-05</v>
      </c>
      <c r="F1130" s="0" t="n">
        <v>1.781135490909032e-05</v>
      </c>
      <c r="G1130" s="0" t="n">
        <v>1.571554641215079e-07</v>
      </c>
      <c r="H1130" s="0" t="b">
        <v>0</v>
      </c>
    </row>
    <row r="1131">
      <c r="A1131" s="0" t="n">
        <v>135</v>
      </c>
      <c r="B1131" s="0" t="n">
        <v>13</v>
      </c>
      <c r="C1131" s="0" t="n">
        <v>3233337.40234375</v>
      </c>
      <c r="D1131" s="0" t="n">
        <v>3834439.32690312</v>
      </c>
      <c r="E1131" s="0" t="n">
        <v>1.790792812301782e-05</v>
      </c>
      <c r="F1131" s="0" t="n">
        <v>1.781135490909032e-05</v>
      </c>
      <c r="G1131" s="0" t="n">
        <v>9.65732139274928e-08</v>
      </c>
      <c r="H1131" s="0" t="b">
        <v>0</v>
      </c>
    </row>
    <row r="1132">
      <c r="A1132" s="0" t="n">
        <v>135</v>
      </c>
      <c r="B1132" s="0" t="n">
        <v>14</v>
      </c>
      <c r="C1132" s="0" t="n">
        <v>3232137.40234375</v>
      </c>
      <c r="D1132" s="0" t="n">
        <v>1840541.093750381</v>
      </c>
      <c r="E1132" s="0" t="n">
        <v>1.785799903911596e-05</v>
      </c>
      <c r="F1132" s="0" t="n">
        <v>1.781135490909032e-05</v>
      </c>
      <c r="G1132" s="0" t="n">
        <v>4.664413002563662e-08</v>
      </c>
      <c r="H1132" s="0" t="b">
        <v>0</v>
      </c>
    </row>
    <row r="1133">
      <c r="A1133" s="0" t="n">
        <v>135</v>
      </c>
      <c r="B1133" s="0" t="n">
        <v>15</v>
      </c>
      <c r="C1133" s="0" t="n">
        <v>3232737.40234375</v>
      </c>
      <c r="D1133" s="0" t="n">
        <v>2833871.707842362</v>
      </c>
      <c r="E1133" s="0" t="n">
        <v>1.788294973117257e-05</v>
      </c>
      <c r="F1133" s="0" t="n">
        <v>1.781135490909032e-05</v>
      </c>
      <c r="G1133" s="0" t="n">
        <v>7.159482208224811e-08</v>
      </c>
      <c r="H1133" s="0" t="b">
        <v>0</v>
      </c>
    </row>
    <row r="1134">
      <c r="A1134" s="0" t="n">
        <v>135</v>
      </c>
      <c r="B1134" s="0" t="n">
        <v>16</v>
      </c>
      <c r="C1134" s="0" t="n">
        <v>3233457.40234375</v>
      </c>
      <c r="D1134" s="0" t="n">
        <v>4035472.094692513</v>
      </c>
      <c r="E1134" s="0" t="n">
        <v>1.791292835472461e-05</v>
      </c>
      <c r="F1134" s="0" t="n">
        <v>1.781135490909032e-05</v>
      </c>
      <c r="G1134" s="0" t="n">
        <v>1.015734456342847e-07</v>
      </c>
      <c r="H1134" s="0" t="b">
        <v>0</v>
      </c>
    </row>
    <row r="1135">
      <c r="A1135" s="0" t="n">
        <v>135</v>
      </c>
      <c r="B1135" s="0" t="n">
        <v>17</v>
      </c>
      <c r="C1135" s="0" t="n">
        <v>3233097.40234375</v>
      </c>
      <c r="D1135" s="0" t="n">
        <v>3433347.706218179</v>
      </c>
      <c r="E1135" s="0" t="n">
        <v>1.78979335632411e-05</v>
      </c>
      <c r="F1135" s="0" t="n">
        <v>1.781135490909032e-05</v>
      </c>
      <c r="G1135" s="0" t="n">
        <v>8.657865415077527e-08</v>
      </c>
      <c r="H1135" s="0" t="b">
        <v>0</v>
      </c>
    </row>
    <row r="1136">
      <c r="A1136" s="0" t="n">
        <v>135</v>
      </c>
      <c r="B1136" s="0" t="n">
        <v>18</v>
      </c>
      <c r="C1136" s="0" t="n">
        <v>3232665.40234375</v>
      </c>
      <c r="D1136" s="0" t="n">
        <v>2714346.173705278</v>
      </c>
      <c r="E1136" s="0" t="n">
        <v>1.787995558769503e-05</v>
      </c>
      <c r="F1136" s="0" t="n">
        <v>1.781135490909032e-05</v>
      </c>
      <c r="G1136" s="0" t="n">
        <v>6.860067860470253e-08</v>
      </c>
      <c r="H1136" s="0" t="b">
        <v>0</v>
      </c>
    </row>
    <row r="1137">
      <c r="A1137" s="0" t="n">
        <v>135</v>
      </c>
      <c r="B1137" s="0" t="n">
        <v>19</v>
      </c>
      <c r="C1137" s="0" t="n">
        <v>3232881.40234375</v>
      </c>
      <c r="D1137" s="0" t="n">
        <v>3073411.918785741</v>
      </c>
      <c r="E1137" s="0" t="n">
        <v>1.788894363361857e-05</v>
      </c>
      <c r="F1137" s="0" t="n">
        <v>1.781135490909032e-05</v>
      </c>
      <c r="G1137" s="0" t="n">
        <v>7.758872452825048e-08</v>
      </c>
      <c r="H1137" s="0" t="b">
        <v>0</v>
      </c>
    </row>
    <row r="1138">
      <c r="A1138" s="0" t="n">
        <v>135</v>
      </c>
      <c r="B1138" s="0" t="n">
        <v>20</v>
      </c>
      <c r="C1138" s="0" t="n">
        <v>3233140.60234375</v>
      </c>
      <c r="D1138" s="0" t="n">
        <v>3505458.504007083</v>
      </c>
      <c r="E1138" s="0" t="n">
        <v>1.789973225432214e-05</v>
      </c>
      <c r="F1138" s="0" t="n">
        <v>1.781135490909032e-05</v>
      </c>
      <c r="G1138" s="0" t="n">
        <v>8.837734523181953e-08</v>
      </c>
      <c r="H1138" s="0" t="b">
        <v>0</v>
      </c>
    </row>
    <row r="1139">
      <c r="A1139" s="0" t="n">
        <v>135</v>
      </c>
      <c r="B1139" s="0" t="n">
        <v>21</v>
      </c>
      <c r="C1139" s="0" t="n">
        <v>3233011.00234375</v>
      </c>
      <c r="D1139" s="0" t="n">
        <v>3289297.754112044</v>
      </c>
      <c r="E1139" s="0" t="n">
        <v>1.789433808412982e-05</v>
      </c>
      <c r="F1139" s="0" t="n">
        <v>1.781135490909032e-05</v>
      </c>
      <c r="G1139" s="0" t="n">
        <v>8.298317503949667e-08</v>
      </c>
      <c r="H1139" s="0" t="b">
        <v>0</v>
      </c>
    </row>
    <row r="1140">
      <c r="A1140" s="0" t="n">
        <v>135</v>
      </c>
      <c r="B1140" s="0" t="n">
        <v>22</v>
      </c>
      <c r="C1140" s="0" t="n">
        <v>3232855.48234375</v>
      </c>
      <c r="D1140" s="0" t="n">
        <v>3030215.095888079</v>
      </c>
      <c r="E1140" s="0" t="n">
        <v>1.788786339296235e-05</v>
      </c>
      <c r="F1140" s="0" t="n">
        <v>1.781135490909032e-05</v>
      </c>
      <c r="G1140" s="0" t="n">
        <v>7.650848387202337e-08</v>
      </c>
      <c r="H1140" s="0" t="b">
        <v>0</v>
      </c>
    </row>
    <row r="1141">
      <c r="A1141" s="0" t="n">
        <v>135</v>
      </c>
      <c r="B1141" s="0" t="n">
        <v>23</v>
      </c>
      <c r="C1141" s="0" t="n">
        <v>3232933.24234375</v>
      </c>
      <c r="D1141" s="0" t="n">
        <v>3159666.166616024</v>
      </c>
      <c r="E1141" s="0" t="n">
        <v>1.789109977081627e-05</v>
      </c>
      <c r="F1141" s="0" t="n">
        <v>1.781135490909032e-05</v>
      </c>
      <c r="G1141" s="0" t="n">
        <v>7.974486172594901e-08</v>
      </c>
      <c r="H1141" s="0" t="b">
        <v>0</v>
      </c>
    </row>
    <row r="1142">
      <c r="A1142" s="0" t="n">
        <v>135</v>
      </c>
      <c r="B1142" s="0" t="n">
        <v>24</v>
      </c>
      <c r="C1142" s="0" t="n">
        <v>3233026.55434375</v>
      </c>
      <c r="D1142" s="0" t="n">
        <v>3315166.591050153</v>
      </c>
      <c r="E1142" s="0" t="n">
        <v>1.78949840027134e-05</v>
      </c>
      <c r="F1142" s="0" t="n">
        <v>1.781135490909032e-05</v>
      </c>
      <c r="G1142" s="0" t="n">
        <v>8.36290936230731e-08</v>
      </c>
      <c r="H1142" s="0" t="b">
        <v>0</v>
      </c>
    </row>
    <row r="1143">
      <c r="A1143" s="0" t="n">
        <v>135</v>
      </c>
      <c r="B1143" s="0" t="n">
        <v>25</v>
      </c>
      <c r="C1143" s="0" t="n">
        <v>3232979.89834375</v>
      </c>
      <c r="D1143" s="0" t="n">
        <v>3237454.609734536</v>
      </c>
      <c r="E1143" s="0" t="n">
        <v>1.789304330498579e-05</v>
      </c>
      <c r="F1143" s="0" t="n">
        <v>1.781135490909032e-05</v>
      </c>
      <c r="G1143" s="0" t="n">
        <v>8.168839589547131e-08</v>
      </c>
      <c r="H1143" s="0" t="b">
        <v>0</v>
      </c>
    </row>
    <row r="1144">
      <c r="A1144" s="0" t="n">
        <v>136</v>
      </c>
      <c r="B1144" s="0" t="n">
        <v>1</v>
      </c>
      <c r="C1144" s="0" t="n">
        <v>6050000</v>
      </c>
      <c r="D1144" s="0" t="n">
        <v>72040182926.21149</v>
      </c>
      <c r="E1144" s="0" t="n">
        <v>0.0003176190774524785</v>
      </c>
      <c r="F1144" s="0" t="n">
        <v>1.711670038367019e-05</v>
      </c>
      <c r="G1144" s="0" t="n">
        <v>0.0003005023770688083</v>
      </c>
      <c r="H1144" s="0" t="b">
        <v>0</v>
      </c>
    </row>
    <row r="1145">
      <c r="A1145" s="0" t="n">
        <v>136</v>
      </c>
      <c r="B1145" s="0" t="n">
        <v>2</v>
      </c>
      <c r="C1145" s="0" t="n">
        <v>3075000</v>
      </c>
      <c r="D1145" s="0" t="n">
        <v>-3664588.795971208</v>
      </c>
      <c r="E1145" s="0" t="n">
        <v>7.459812820842342e-06</v>
      </c>
      <c r="F1145" s="0" t="n">
        <v>1.711670038367019e-05</v>
      </c>
      <c r="G1145" s="0" t="n">
        <v>-9.656887562827844e-06</v>
      </c>
      <c r="H1145" s="0" t="b">
        <v>1</v>
      </c>
    </row>
    <row r="1146">
      <c r="A1146" s="0" t="n">
        <v>136</v>
      </c>
      <c r="B1146" s="0" t="n">
        <v>3</v>
      </c>
      <c r="C1146" s="0" t="n">
        <v>4562500</v>
      </c>
      <c r="D1146" s="0" t="n">
        <v>6374622751.957559</v>
      </c>
      <c r="E1146" s="0" t="n">
        <v>6.603921066151193e-05</v>
      </c>
      <c r="F1146" s="0" t="n">
        <v>1.711670038367019e-05</v>
      </c>
      <c r="G1146" s="0" t="n">
        <v>4.892251027784174e-05</v>
      </c>
      <c r="H1146" s="0" t="b">
        <v>0</v>
      </c>
    </row>
    <row r="1147">
      <c r="A1147" s="0" t="n">
        <v>136</v>
      </c>
      <c r="B1147" s="0" t="n">
        <v>4</v>
      </c>
      <c r="C1147" s="0" t="n">
        <v>3818750</v>
      </c>
      <c r="D1147" s="0" t="n">
        <v>157905997.252818</v>
      </c>
      <c r="E1147" s="0" t="n">
        <v>1.997129547056988e-05</v>
      </c>
      <c r="F1147" s="0" t="n">
        <v>1.711670038367019e-05</v>
      </c>
      <c r="G1147" s="0" t="n">
        <v>2.854595086899696e-06</v>
      </c>
      <c r="H1147" s="0" t="b">
        <v>0</v>
      </c>
    </row>
    <row r="1148">
      <c r="A1148" s="0" t="n">
        <v>136</v>
      </c>
      <c r="B1148" s="0" t="n">
        <v>5</v>
      </c>
      <c r="C1148" s="0" t="n">
        <v>3446875</v>
      </c>
      <c r="D1148" s="0" t="n">
        <v>-57505732.47095572</v>
      </c>
      <c r="E1148" s="0" t="n">
        <v>1.172118894905202e-05</v>
      </c>
      <c r="F1148" s="0" t="n">
        <v>1.711670038367019e-05</v>
      </c>
      <c r="G1148" s="0" t="n">
        <v>-5.395511434618163e-06</v>
      </c>
      <c r="H1148" s="0" t="b">
        <v>1</v>
      </c>
    </row>
    <row r="1149">
      <c r="A1149" s="0" t="n">
        <v>136</v>
      </c>
      <c r="B1149" s="0" t="n">
        <v>6</v>
      </c>
      <c r="C1149" s="0" t="n">
        <v>3632812.5</v>
      </c>
      <c r="D1149" s="0" t="n">
        <v>-70925561.37100217</v>
      </c>
      <c r="E1149" s="0" t="n">
        <v>1.425658619140177e-05</v>
      </c>
      <c r="F1149" s="0" t="n">
        <v>1.711670038367019e-05</v>
      </c>
      <c r="G1149" s="0" t="n">
        <v>-2.860114192268419e-06</v>
      </c>
      <c r="H1149" s="0" t="b">
        <v>1</v>
      </c>
    </row>
    <row r="1150">
      <c r="A1150" s="0" t="n">
        <v>136</v>
      </c>
      <c r="B1150" s="0" t="n">
        <v>7</v>
      </c>
      <c r="C1150" s="0" t="n">
        <v>3725781.25</v>
      </c>
      <c r="D1150" s="0" t="n">
        <v>-17328385.30299747</v>
      </c>
      <c r="E1150" s="0" t="n">
        <v>1.666175326260569e-05</v>
      </c>
      <c r="F1150" s="0" t="n">
        <v>1.711670038367019e-05</v>
      </c>
      <c r="G1150" s="0" t="n">
        <v>-4.549471210644912e-07</v>
      </c>
      <c r="H1150" s="0" t="b">
        <v>1</v>
      </c>
    </row>
    <row r="1151">
      <c r="A1151" s="0" t="n">
        <v>136</v>
      </c>
      <c r="B1151" s="0" t="n">
        <v>8</v>
      </c>
      <c r="C1151" s="0" t="n">
        <v>3772265.625</v>
      </c>
      <c r="D1151" s="0" t="n">
        <v>53296973.80649127</v>
      </c>
      <c r="E1151" s="0" t="n">
        <v>1.82609563568439e-05</v>
      </c>
      <c r="F1151" s="0" t="n">
        <v>1.711670038367019e-05</v>
      </c>
      <c r="G1151" s="0" t="n">
        <v>1.144255973173713e-06</v>
      </c>
      <c r="H1151" s="0" t="b">
        <v>0</v>
      </c>
    </row>
    <row r="1152">
      <c r="A1152" s="0" t="n">
        <v>136</v>
      </c>
      <c r="B1152" s="0" t="n">
        <v>9</v>
      </c>
      <c r="C1152" s="0" t="n">
        <v>3749023.4375</v>
      </c>
      <c r="D1152" s="0" t="n">
        <v>14004548.47094514</v>
      </c>
      <c r="E1152" s="0" t="n">
        <v>1.744778136908885e-05</v>
      </c>
      <c r="F1152" s="0" t="n">
        <v>1.711670038367019e-05</v>
      </c>
      <c r="G1152" s="0" t="n">
        <v>3.310809854186656e-07</v>
      </c>
      <c r="H1152" s="0" t="b">
        <v>0</v>
      </c>
    </row>
    <row r="1153">
      <c r="A1153" s="0" t="n">
        <v>136</v>
      </c>
      <c r="B1153" s="0" t="n">
        <v>10</v>
      </c>
      <c r="C1153" s="0" t="n">
        <v>3737402.34375</v>
      </c>
      <c r="D1153" s="0" t="n">
        <v>-2622336.11792877</v>
      </c>
      <c r="E1153" s="0" t="n">
        <v>1.705144449494283e-05</v>
      </c>
      <c r="F1153" s="0" t="n">
        <v>1.711670038367019e-05</v>
      </c>
      <c r="G1153" s="0" t="n">
        <v>-6.525588872735916e-08</v>
      </c>
      <c r="H1153" s="0" t="b">
        <v>1</v>
      </c>
    </row>
    <row r="1154">
      <c r="A1154" s="0" t="n">
        <v>136</v>
      </c>
      <c r="B1154" s="0" t="n">
        <v>11</v>
      </c>
      <c r="C1154" s="0" t="n">
        <v>3743212.890625</v>
      </c>
      <c r="D1154" s="0" t="n">
        <v>5446446.560912346</v>
      </c>
      <c r="E1154" s="0" t="n">
        <v>1.724876660157047e-05</v>
      </c>
      <c r="F1154" s="0" t="n">
        <v>1.711670038367019e-05</v>
      </c>
      <c r="G1154" s="0" t="n">
        <v>1.320662179002882e-07</v>
      </c>
      <c r="H1154" s="0" t="b">
        <v>0</v>
      </c>
    </row>
    <row r="1155">
      <c r="A1155" s="0" t="n">
        <v>136</v>
      </c>
      <c r="B1155" s="0" t="n">
        <v>12</v>
      </c>
      <c r="C1155" s="0" t="n">
        <v>3740307.6171875</v>
      </c>
      <c r="D1155" s="0" t="n">
        <v>1351430.854081778</v>
      </c>
      <c r="E1155" s="0" t="n">
        <v>1.714989503871224e-05</v>
      </c>
      <c r="F1155" s="0" t="n">
        <v>1.711670038367019e-05</v>
      </c>
      <c r="G1155" s="0" t="n">
        <v>3.319465504205237e-08</v>
      </c>
      <c r="H1155" s="0" t="b">
        <v>0</v>
      </c>
    </row>
    <row r="1156">
      <c r="A1156" s="0" t="n">
        <v>136</v>
      </c>
      <c r="B1156" s="0" t="n">
        <v>13</v>
      </c>
      <c r="C1156" s="0" t="n">
        <v>3741760.25390625</v>
      </c>
      <c r="D1156" s="0" t="n">
        <v>3383710.801479063</v>
      </c>
      <c r="E1156" s="0" t="n">
        <v>1.719927795217647e-05</v>
      </c>
      <c r="F1156" s="0" t="n">
        <v>1.711670038367019e-05</v>
      </c>
      <c r="G1156" s="0" t="n">
        <v>8.257756850628325e-08</v>
      </c>
      <c r="H1156" s="0" t="b">
        <v>0</v>
      </c>
    </row>
    <row r="1157">
      <c r="A1157" s="0" t="n">
        <v>136</v>
      </c>
      <c r="B1157" s="0" t="n">
        <v>14</v>
      </c>
      <c r="C1157" s="0" t="n">
        <v>3742960.25390625</v>
      </c>
      <c r="D1157" s="0" t="n">
        <v>5085510.422175947</v>
      </c>
      <c r="E1157" s="0" t="n">
        <v>1.724015213392025e-05</v>
      </c>
      <c r="F1157" s="0" t="n">
        <v>1.711670038367019e-05</v>
      </c>
      <c r="G1157" s="0" t="n">
        <v>1.234517502500673e-07</v>
      </c>
      <c r="H1157" s="0" t="b">
        <v>0</v>
      </c>
    </row>
    <row r="1158">
      <c r="A1158" s="0" t="n">
        <v>136</v>
      </c>
      <c r="B1158" s="0" t="n">
        <v>15</v>
      </c>
      <c r="C1158" s="0" t="n">
        <v>3742360.25390625</v>
      </c>
      <c r="D1158" s="0" t="n">
        <v>4231949.846855482</v>
      </c>
      <c r="E1158" s="0" t="n">
        <v>1.721970461966417e-05</v>
      </c>
      <c r="F1158" s="0" t="n">
        <v>1.711670038367019e-05</v>
      </c>
      <c r="G1158" s="0" t="n">
        <v>1.030042359939804e-07</v>
      </c>
      <c r="H1158" s="0" t="b">
        <v>0</v>
      </c>
    </row>
    <row r="1159">
      <c r="A1159" s="0" t="n">
        <v>136</v>
      </c>
      <c r="B1159" s="0" t="n">
        <v>16</v>
      </c>
      <c r="C1159" s="0" t="n">
        <v>3741640.25390625</v>
      </c>
      <c r="D1159" s="0" t="n">
        <v>3214675.139152346</v>
      </c>
      <c r="E1159" s="0" t="n">
        <v>1.719519450382086e-05</v>
      </c>
      <c r="F1159" s="0" t="n">
        <v>1.711670038367019e-05</v>
      </c>
      <c r="G1159" s="0" t="n">
        <v>7.849412015067787e-08</v>
      </c>
      <c r="H1159" s="0" t="b">
        <v>0</v>
      </c>
    </row>
    <row r="1160">
      <c r="A1160" s="0" t="n">
        <v>136</v>
      </c>
      <c r="B1160" s="0" t="n">
        <v>17</v>
      </c>
      <c r="C1160" s="0" t="n">
        <v>3742000.25390625</v>
      </c>
      <c r="D1160" s="0" t="n">
        <v>3722347.678057097</v>
      </c>
      <c r="E1160" s="0" t="n">
        <v>1.720744561555765e-05</v>
      </c>
      <c r="F1160" s="0" t="n">
        <v>1.711670038367019e-05</v>
      </c>
      <c r="G1160" s="0" t="n">
        <v>9.074523188746194e-08</v>
      </c>
      <c r="H1160" s="0" t="b">
        <v>0</v>
      </c>
    </row>
    <row r="1161">
      <c r="A1161" s="0" t="n">
        <v>137</v>
      </c>
      <c r="B1161" s="0" t="n">
        <v>1</v>
      </c>
      <c r="C1161" s="0" t="n">
        <v>6050000</v>
      </c>
      <c r="D1161" s="0" t="n">
        <v>61474775537.37169</v>
      </c>
      <c r="E1161" s="0" t="n">
        <v>0.0002738034112061576</v>
      </c>
      <c r="F1161" s="0" t="n">
        <v>1.662387885437226e-05</v>
      </c>
      <c r="G1161" s="0" t="n">
        <v>0.0002571795323517853</v>
      </c>
      <c r="H1161" s="0" t="b">
        <v>0</v>
      </c>
    </row>
    <row r="1162">
      <c r="A1162" s="0" t="n">
        <v>137</v>
      </c>
      <c r="B1162" s="0" t="n">
        <v>2</v>
      </c>
      <c r="C1162" s="0" t="n">
        <v>3075000</v>
      </c>
      <c r="D1162" s="0" t="n">
        <v>-2372725.000449251</v>
      </c>
      <c r="E1162" s="0" t="n">
        <v>6.63968646459673e-06</v>
      </c>
      <c r="F1162" s="0" t="n">
        <v>1.662387885437225e-05</v>
      </c>
      <c r="G1162" s="0" t="n">
        <v>-9.984192389775516e-06</v>
      </c>
      <c r="H1162" s="0" t="b">
        <v>1</v>
      </c>
    </row>
    <row r="1163">
      <c r="A1163" s="0" t="n">
        <v>137</v>
      </c>
      <c r="B1163" s="0" t="n">
        <v>3</v>
      </c>
      <c r="C1163" s="0" t="n">
        <v>4562500</v>
      </c>
      <c r="D1163" s="0" t="n">
        <v>4903576812.459123</v>
      </c>
      <c r="E1163" s="0" t="n">
        <v>5.54743748959314e-05</v>
      </c>
      <c r="F1163" s="0" t="n">
        <v>1.662387885437225e-05</v>
      </c>
      <c r="G1163" s="0" t="n">
        <v>3.885049604155916e-05</v>
      </c>
      <c r="H1163" s="0" t="b">
        <v>0</v>
      </c>
    </row>
    <row r="1164">
      <c r="A1164" s="0" t="n">
        <v>137</v>
      </c>
      <c r="B1164" s="0" t="n">
        <v>4</v>
      </c>
      <c r="C1164" s="0" t="n">
        <v>3818750</v>
      </c>
      <c r="D1164" s="0" t="n">
        <v>-9887513.357122079</v>
      </c>
      <c r="E1164" s="0" t="n">
        <v>1.637738093429999e-05</v>
      </c>
      <c r="F1164" s="0" t="n">
        <v>1.662387885437225e-05</v>
      </c>
      <c r="G1164" s="0" t="n">
        <v>-2.464979200722529e-07</v>
      </c>
      <c r="H1164" s="0" t="b">
        <v>1</v>
      </c>
    </row>
    <row r="1165">
      <c r="A1165" s="0" t="n">
        <v>137</v>
      </c>
      <c r="B1165" s="0" t="n">
        <v>5</v>
      </c>
      <c r="C1165" s="0" t="n">
        <v>4190625</v>
      </c>
      <c r="D1165" s="0" t="n">
        <v>1412744756.891035</v>
      </c>
      <c r="E1165" s="0" t="n">
        <v>3.172716892364879e-05</v>
      </c>
      <c r="F1165" s="0" t="n">
        <v>1.662387885437225e-05</v>
      </c>
      <c r="G1165" s="0" t="n">
        <v>1.510329006927655e-05</v>
      </c>
      <c r="H1165" s="0" t="b">
        <v>0</v>
      </c>
    </row>
    <row r="1166">
      <c r="A1166" s="0" t="n">
        <v>137</v>
      </c>
      <c r="B1166" s="0" t="n">
        <v>6</v>
      </c>
      <c r="C1166" s="0" t="n">
        <v>4004687.5</v>
      </c>
      <c r="D1166" s="0" t="n">
        <v>492574354.4273348</v>
      </c>
      <c r="E1166" s="0" t="n">
        <v>2.313065639507306e-05</v>
      </c>
      <c r="F1166" s="0" t="n">
        <v>1.662387885437225e-05</v>
      </c>
      <c r="G1166" s="0" t="n">
        <v>6.506777540700819e-06</v>
      </c>
      <c r="H1166" s="0" t="b">
        <v>0</v>
      </c>
    </row>
    <row r="1167">
      <c r="A1167" s="0" t="n">
        <v>137</v>
      </c>
      <c r="B1167" s="0" t="n">
        <v>7</v>
      </c>
      <c r="C1167" s="0" t="n">
        <v>3911718.75</v>
      </c>
      <c r="D1167" s="0" t="n">
        <v>167756333.2170511</v>
      </c>
      <c r="E1167" s="0" t="n">
        <v>1.953977589662097e-05</v>
      </c>
      <c r="F1167" s="0" t="n">
        <v>1.662387885437225e-05</v>
      </c>
      <c r="G1167" s="0" t="n">
        <v>2.915897042248721e-06</v>
      </c>
      <c r="H1167" s="0" t="b">
        <v>0</v>
      </c>
    </row>
    <row r="1168">
      <c r="A1168" s="0" t="n">
        <v>137</v>
      </c>
      <c r="B1168" s="0" t="n">
        <v>8</v>
      </c>
      <c r="C1168" s="0" t="n">
        <v>3865234.375</v>
      </c>
      <c r="D1168" s="0" t="n">
        <v>62476651.23868999</v>
      </c>
      <c r="E1168" s="0" t="n">
        <v>1.790683079984858e-05</v>
      </c>
      <c r="F1168" s="0" t="n">
        <v>1.662387885437225e-05</v>
      </c>
      <c r="G1168" s="0" t="n">
        <v>1.282951945476333e-06</v>
      </c>
      <c r="H1168" s="0" t="b">
        <v>0</v>
      </c>
    </row>
    <row r="1169">
      <c r="A1169" s="0" t="n">
        <v>137</v>
      </c>
      <c r="B1169" s="0" t="n">
        <v>9</v>
      </c>
      <c r="C1169" s="0" t="n">
        <v>3841992.1875</v>
      </c>
      <c r="D1169" s="0" t="n">
        <v>22431595.16050752</v>
      </c>
      <c r="E1169" s="0" t="n">
        <v>1.712942503928544e-05</v>
      </c>
      <c r="F1169" s="0" t="n">
        <v>1.662387885437225e-05</v>
      </c>
      <c r="G1169" s="0" t="n">
        <v>5.055461849131942e-07</v>
      </c>
      <c r="H1169" s="0" t="b">
        <v>0</v>
      </c>
    </row>
    <row r="1170">
      <c r="A1170" s="0" t="n">
        <v>137</v>
      </c>
      <c r="B1170" s="0" t="n">
        <v>10</v>
      </c>
      <c r="C1170" s="0" t="n">
        <v>3830371.09375</v>
      </c>
      <c r="D1170" s="0" t="n">
        <v>5337619.186723812</v>
      </c>
      <c r="E1170" s="0" t="n">
        <v>1.675026494255771e-05</v>
      </c>
      <c r="F1170" s="0" t="n">
        <v>1.662387885437225e-05</v>
      </c>
      <c r="G1170" s="0" t="n">
        <v>1.263860881854686e-07</v>
      </c>
      <c r="H1170" s="0" t="b">
        <v>0</v>
      </c>
    </row>
    <row r="1171">
      <c r="A1171" s="0" t="n">
        <v>137</v>
      </c>
      <c r="B1171" s="0" t="n">
        <v>11</v>
      </c>
      <c r="C1171" s="0" t="n">
        <v>3824560.546875</v>
      </c>
      <c r="D1171" s="0" t="n">
        <v>-2504620.734934759</v>
      </c>
      <c r="E1171" s="0" t="n">
        <v>1.656304285150398e-05</v>
      </c>
      <c r="F1171" s="0" t="n">
        <v>1.662387885437225e-05</v>
      </c>
      <c r="G1171" s="0" t="n">
        <v>-6.083600286827003e-08</v>
      </c>
      <c r="H1171" s="0" t="b">
        <v>1</v>
      </c>
    </row>
    <row r="1172">
      <c r="A1172" s="0" t="n">
        <v>137</v>
      </c>
      <c r="B1172" s="0" t="n">
        <v>12</v>
      </c>
      <c r="C1172" s="0" t="n">
        <v>3827465.8203125</v>
      </c>
      <c r="D1172" s="0" t="n">
        <v>1358526.365021443</v>
      </c>
      <c r="E1172" s="0" t="n">
        <v>1.665645681675481e-05</v>
      </c>
      <c r="F1172" s="0" t="n">
        <v>1.662387885437225e-05</v>
      </c>
      <c r="G1172" s="0" t="n">
        <v>3.257796238256223e-08</v>
      </c>
      <c r="H1172" s="0" t="b">
        <v>0</v>
      </c>
    </row>
    <row r="1173">
      <c r="A1173" s="0" t="n">
        <v>137</v>
      </c>
      <c r="B1173" s="0" t="n">
        <v>13</v>
      </c>
      <c r="C1173" s="0" t="n">
        <v>3828918.45703125</v>
      </c>
      <c r="D1173" s="0" t="n">
        <v>3333502.520186693</v>
      </c>
      <c r="E1173" s="0" t="n">
        <v>1.670331118645588e-05</v>
      </c>
      <c r="F1173" s="0" t="n">
        <v>1.662387885437225e-05</v>
      </c>
      <c r="G1173" s="0" t="n">
        <v>7.943233208363307e-08</v>
      </c>
      <c r="H1173" s="0" t="b">
        <v>0</v>
      </c>
    </row>
    <row r="1174">
      <c r="A1174" s="0" t="n">
        <v>137</v>
      </c>
      <c r="B1174" s="0" t="n">
        <v>14</v>
      </c>
      <c r="C1174" s="0" t="n">
        <v>3830118.45703125</v>
      </c>
      <c r="D1174" s="0" t="n">
        <v>4986928.880232454</v>
      </c>
      <c r="E1174" s="0" t="n">
        <v>1.674209077076281e-05</v>
      </c>
      <c r="F1174" s="0" t="n">
        <v>1.662387885437225e-05</v>
      </c>
      <c r="G1174" s="0" t="n">
        <v>1.182119163905648e-07</v>
      </c>
      <c r="H1174" s="0" t="b">
        <v>0</v>
      </c>
    </row>
    <row r="1175">
      <c r="A1175" s="0" t="n">
        <v>137</v>
      </c>
      <c r="B1175" s="0" t="n">
        <v>15</v>
      </c>
      <c r="C1175" s="0" t="n">
        <v>3829518.45703125</v>
      </c>
      <c r="D1175" s="0" t="n">
        <v>4157730.815030009</v>
      </c>
      <c r="E1175" s="0" t="n">
        <v>1.672269261676049e-05</v>
      </c>
      <c r="F1175" s="0" t="n">
        <v>1.662387885437225e-05</v>
      </c>
      <c r="G1175" s="0" t="n">
        <v>9.881376238824894e-08</v>
      </c>
      <c r="H1175" s="0" t="b">
        <v>0</v>
      </c>
    </row>
    <row r="1176">
      <c r="A1176" s="0" t="n">
        <v>137</v>
      </c>
      <c r="B1176" s="0" t="n">
        <v>16</v>
      </c>
      <c r="C1176" s="0" t="n">
        <v>3828798.45703125</v>
      </c>
      <c r="D1176" s="0" t="n">
        <v>3169309.756240947</v>
      </c>
      <c r="E1176" s="0" t="n">
        <v>1.669943825829887e-05</v>
      </c>
      <c r="F1176" s="0" t="n">
        <v>1.662387885437225e-05</v>
      </c>
      <c r="G1176" s="0" t="n">
        <v>7.555940392662861e-08</v>
      </c>
      <c r="H1176" s="0" t="b">
        <v>0</v>
      </c>
    </row>
    <row r="1177">
      <c r="A1177" s="0" t="n">
        <v>137</v>
      </c>
      <c r="B1177" s="0" t="n">
        <v>17</v>
      </c>
      <c r="C1177" s="0" t="n">
        <v>3829158.45703125</v>
      </c>
      <c r="D1177" s="0" t="n">
        <v>3662655.520824533</v>
      </c>
      <c r="E1177" s="0" t="n">
        <v>1.671106310516554e-05</v>
      </c>
      <c r="F1177" s="0" t="n">
        <v>1.662387885437225e-05</v>
      </c>
      <c r="G1177" s="0" t="n">
        <v>8.718425079329721e-08</v>
      </c>
      <c r="H1177" s="0" t="b">
        <v>0</v>
      </c>
    </row>
    <row r="1178">
      <c r="A1178" s="0" t="n">
        <v>137</v>
      </c>
      <c r="B1178" s="0" t="n">
        <v>18</v>
      </c>
      <c r="C1178" s="0" t="n">
        <v>3829590.45703125</v>
      </c>
      <c r="D1178" s="0" t="n">
        <v>4257029.779487969</v>
      </c>
      <c r="E1178" s="0" t="n">
        <v>1.672502086617425e-05</v>
      </c>
      <c r="F1178" s="0" t="n">
        <v>1.662387885437225e-05</v>
      </c>
      <c r="G1178" s="0" t="n">
        <v>1.011420118020045e-07</v>
      </c>
      <c r="H1178" s="0" t="b">
        <v>0</v>
      </c>
    </row>
    <row r="1179">
      <c r="A1179" s="0" t="n">
        <v>137</v>
      </c>
      <c r="B1179" s="0" t="n">
        <v>19</v>
      </c>
      <c r="C1179" s="0" t="n">
        <v>3829374.45703125</v>
      </c>
      <c r="D1179" s="0" t="n">
        <v>3959463.106163353</v>
      </c>
      <c r="E1179" s="0" t="n">
        <v>1.67180395486162e-05</v>
      </c>
      <c r="F1179" s="0" t="n">
        <v>1.662387885437225e-05</v>
      </c>
      <c r="G1179" s="0" t="n">
        <v>9.416069424395885e-08</v>
      </c>
      <c r="H1179" s="0" t="b">
        <v>0</v>
      </c>
    </row>
    <row r="1180">
      <c r="A1180" s="0" t="n">
        <v>137</v>
      </c>
      <c r="B1180" s="0" t="n">
        <v>20</v>
      </c>
      <c r="C1180" s="0" t="n">
        <v>3829115.25703125</v>
      </c>
      <c r="D1180" s="0" t="n">
        <v>3603359.698687326</v>
      </c>
      <c r="E1180" s="0" t="n">
        <v>1.670966780579473e-05</v>
      </c>
      <c r="F1180" s="0" t="n">
        <v>1.662387885437225e-05</v>
      </c>
      <c r="G1180" s="0" t="n">
        <v>8.578895142248599e-08</v>
      </c>
      <c r="H1180" s="0" t="b">
        <v>0</v>
      </c>
    </row>
    <row r="1181">
      <c r="A1181" s="0" t="n">
        <v>137</v>
      </c>
      <c r="B1181" s="0" t="n">
        <v>21</v>
      </c>
      <c r="C1181" s="0" t="n">
        <v>3829244.85703125</v>
      </c>
      <c r="D1181" s="0" t="n">
        <v>3781266.820984118</v>
      </c>
      <c r="E1181" s="0" t="n">
        <v>1.671385261079592e-05</v>
      </c>
      <c r="F1181" s="0" t="n">
        <v>1.662387885437225e-05</v>
      </c>
      <c r="G1181" s="0" t="n">
        <v>8.997375642367495e-08</v>
      </c>
      <c r="H1181" s="0" t="b">
        <v>0</v>
      </c>
    </row>
    <row r="1182">
      <c r="A1182" s="0" t="n">
        <v>137</v>
      </c>
      <c r="B1182" s="0" t="n">
        <v>22</v>
      </c>
      <c r="C1182" s="0" t="n">
        <v>3829400.37703125</v>
      </c>
      <c r="D1182" s="0" t="n">
        <v>3995187.826090134</v>
      </c>
      <c r="E1182" s="0" t="n">
        <v>1.671887838336596e-05</v>
      </c>
      <c r="F1182" s="0" t="n">
        <v>1.662387885437225e-05</v>
      </c>
      <c r="G1182" s="0" t="n">
        <v>9.49995289937178e-08</v>
      </c>
      <c r="H1182" s="0" t="b">
        <v>0</v>
      </c>
    </row>
    <row r="1183">
      <c r="A1183" s="0" t="n">
        <v>137</v>
      </c>
      <c r="B1183" s="0" t="n">
        <v>23</v>
      </c>
      <c r="C1183" s="0" t="n">
        <v>3829322.61703125</v>
      </c>
      <c r="D1183" s="0" t="n">
        <v>3888214.388987001</v>
      </c>
      <c r="E1183" s="0" t="n">
        <v>1.671636603321714e-05</v>
      </c>
      <c r="F1183" s="0" t="n">
        <v>1.662387885437225e-05</v>
      </c>
      <c r="G1183" s="0" t="n">
        <v>9.248717884489528e-08</v>
      </c>
      <c r="H1183" s="0" t="b">
        <v>0</v>
      </c>
    </row>
    <row r="1184">
      <c r="A1184" s="0" t="n">
        <v>137</v>
      </c>
      <c r="B1184" s="0" t="n">
        <v>24</v>
      </c>
      <c r="C1184" s="0" t="n">
        <v>3829229.30503125</v>
      </c>
      <c r="D1184" s="0" t="n">
        <v>3759956.384938461</v>
      </c>
      <c r="E1184" s="0" t="n">
        <v>1.671335158375471e-05</v>
      </c>
      <c r="F1184" s="0" t="n">
        <v>1.662387885437225e-05</v>
      </c>
      <c r="G1184" s="0" t="n">
        <v>8.94727293824661e-08</v>
      </c>
      <c r="H1184" s="0" t="b">
        <v>0</v>
      </c>
    </row>
    <row r="1185">
      <c r="A1185" s="0" t="n">
        <v>137</v>
      </c>
      <c r="B1185" s="0" t="n">
        <v>25</v>
      </c>
      <c r="C1185" s="0" t="n">
        <v>3829275.96103125</v>
      </c>
      <c r="D1185" s="0" t="n">
        <v>3824070.372369213</v>
      </c>
      <c r="E1185" s="0" t="n">
        <v>1.671485875793634e-05</v>
      </c>
      <c r="F1185" s="0" t="n">
        <v>1.662387885437225e-05</v>
      </c>
      <c r="G1185" s="0" t="n">
        <v>9.097990356409441e-08</v>
      </c>
      <c r="H1185" s="0" t="b">
        <v>0</v>
      </c>
    </row>
    <row r="1186">
      <c r="A1186" s="0" t="n">
        <v>138</v>
      </c>
      <c r="B1186" s="0" t="n">
        <v>1</v>
      </c>
      <c r="C1186" s="0" t="n">
        <v>6050000</v>
      </c>
      <c r="D1186" s="0" t="n">
        <v>2909048005.37728</v>
      </c>
      <c r="E1186" s="0" t="n">
        <v>3.984401157090366e-05</v>
      </c>
      <c r="F1186" s="0" t="n">
        <v>1.555888306256859e-05</v>
      </c>
      <c r="G1186" s="0" t="n">
        <v>2.428512850833507e-05</v>
      </c>
      <c r="H1186" s="0" t="b">
        <v>0</v>
      </c>
    </row>
    <row r="1187">
      <c r="A1187" s="0" t="n">
        <v>138</v>
      </c>
      <c r="B1187" s="0" t="n">
        <v>2</v>
      </c>
      <c r="C1187" s="0" t="n">
        <v>3075000</v>
      </c>
      <c r="D1187" s="0" t="n">
        <v>-207367.3048173661</v>
      </c>
      <c r="E1187" s="0" t="n">
        <v>1.511885086764384e-06</v>
      </c>
      <c r="F1187" s="0" t="n">
        <v>1.555888306256859e-05</v>
      </c>
      <c r="G1187" s="0" t="n">
        <v>-1.404699797580421e-05</v>
      </c>
      <c r="H1187" s="0" t="b">
        <v>1</v>
      </c>
    </row>
    <row r="1188">
      <c r="A1188" s="0" t="n">
        <v>138</v>
      </c>
      <c r="B1188" s="0" t="n">
        <v>3</v>
      </c>
      <c r="C1188" s="0" t="n">
        <v>4562500</v>
      </c>
      <c r="D1188" s="0" t="n">
        <v>-17079757.06723597</v>
      </c>
      <c r="E1188" s="0" t="n">
        <v>8.737984196709541e-06</v>
      </c>
      <c r="F1188" s="0" t="n">
        <v>1.555888306256859e-05</v>
      </c>
      <c r="G1188" s="0" t="n">
        <v>-6.82089886585905e-06</v>
      </c>
      <c r="H1188" s="0" t="b">
        <v>1</v>
      </c>
    </row>
    <row r="1189">
      <c r="A1189" s="0" t="n">
        <v>138</v>
      </c>
      <c r="B1189" s="0" t="n">
        <v>4</v>
      </c>
      <c r="C1189" s="0" t="n">
        <v>5306250</v>
      </c>
      <c r="D1189" s="0" t="n">
        <v>46790934.98259038</v>
      </c>
      <c r="E1189" s="0" t="n">
        <v>1.64975186018372e-05</v>
      </c>
      <c r="F1189" s="0" t="n">
        <v>1.555888306256859e-05</v>
      </c>
      <c r="G1189" s="0" t="n">
        <v>9.386355392686086e-07</v>
      </c>
      <c r="H1189" s="0" t="b">
        <v>0</v>
      </c>
    </row>
    <row r="1190">
      <c r="A1190" s="0" t="n">
        <v>138</v>
      </c>
      <c r="B1190" s="0" t="n">
        <v>5</v>
      </c>
      <c r="C1190" s="0" t="n">
        <v>4934375</v>
      </c>
      <c r="D1190" s="0" t="n">
        <v>-69542051.65121984</v>
      </c>
      <c r="E1190" s="0" t="n">
        <v>1.172538018495264e-05</v>
      </c>
      <c r="F1190" s="0" t="n">
        <v>1.555888306256859e-05</v>
      </c>
      <c r="G1190" s="0" t="n">
        <v>-3.833502877615951e-06</v>
      </c>
      <c r="H1190" s="0" t="b">
        <v>1</v>
      </c>
    </row>
    <row r="1191">
      <c r="A1191" s="0" t="n">
        <v>138</v>
      </c>
      <c r="B1191" s="0" t="n">
        <v>6</v>
      </c>
      <c r="C1191" s="0" t="n">
        <v>5120312.5</v>
      </c>
      <c r="D1191" s="0" t="n">
        <v>-63749873.9733758</v>
      </c>
      <c r="E1191" s="0" t="n">
        <v>1.339161566696939e-05</v>
      </c>
      <c r="F1191" s="0" t="n">
        <v>1.555888306256859e-05</v>
      </c>
      <c r="G1191" s="0" t="n">
        <v>-2.1672673955992e-06</v>
      </c>
      <c r="H1191" s="0" t="b">
        <v>1</v>
      </c>
    </row>
    <row r="1192">
      <c r="A1192" s="0" t="n">
        <v>138</v>
      </c>
      <c r="B1192" s="0" t="n">
        <v>7</v>
      </c>
      <c r="C1192" s="0" t="n">
        <v>5213281.25</v>
      </c>
      <c r="D1192" s="0" t="n">
        <v>-38211964.79505113</v>
      </c>
      <c r="E1192" s="0" t="n">
        <v>1.452682596362483e-05</v>
      </c>
      <c r="F1192" s="0" t="n">
        <v>1.555888306256859e-05</v>
      </c>
      <c r="G1192" s="0" t="n">
        <v>-1.032057098943759e-06</v>
      </c>
      <c r="H1192" s="0" t="b">
        <v>1</v>
      </c>
    </row>
    <row r="1193">
      <c r="A1193" s="0" t="n">
        <v>138</v>
      </c>
      <c r="B1193" s="0" t="n">
        <v>8</v>
      </c>
      <c r="C1193" s="0" t="n">
        <v>5259765.625</v>
      </c>
      <c r="D1193" s="0" t="n">
        <v>-3019743.995336195</v>
      </c>
      <c r="E1193" s="0" t="n">
        <v>1.548923459502374e-05</v>
      </c>
      <c r="F1193" s="0" t="n">
        <v>1.555888306256859e-05</v>
      </c>
      <c r="G1193" s="0" t="n">
        <v>-6.964846754485129e-08</v>
      </c>
      <c r="H1193" s="0" t="b">
        <v>1</v>
      </c>
    </row>
    <row r="1194">
      <c r="A1194" s="0" t="n">
        <v>138</v>
      </c>
      <c r="B1194" s="0" t="n">
        <v>9</v>
      </c>
      <c r="C1194" s="0" t="n">
        <v>5283007.8125</v>
      </c>
      <c r="D1194" s="0" t="n">
        <v>19972059.75498252</v>
      </c>
      <c r="E1194" s="0" t="n">
        <v>1.598760611079615e-05</v>
      </c>
      <c r="F1194" s="0" t="n">
        <v>1.555888306256859e-05</v>
      </c>
      <c r="G1194" s="0" t="n">
        <v>4.287230482275634e-07</v>
      </c>
      <c r="H1194" s="0" t="b">
        <v>0</v>
      </c>
    </row>
    <row r="1195">
      <c r="A1195" s="0" t="n">
        <v>138</v>
      </c>
      <c r="B1195" s="0" t="n">
        <v>10</v>
      </c>
      <c r="C1195" s="0" t="n">
        <v>5271386.71875</v>
      </c>
      <c r="D1195" s="0" t="n">
        <v>8007980.515354814</v>
      </c>
      <c r="E1195" s="0" t="n">
        <v>1.573697237803232e-05</v>
      </c>
      <c r="F1195" s="0" t="n">
        <v>1.555888306256859e-05</v>
      </c>
      <c r="G1195" s="0" t="n">
        <v>1.780893154637272e-07</v>
      </c>
      <c r="H1195" s="0" t="b">
        <v>0</v>
      </c>
    </row>
    <row r="1196">
      <c r="A1196" s="0" t="n">
        <v>138</v>
      </c>
      <c r="B1196" s="0" t="n">
        <v>11</v>
      </c>
      <c r="C1196" s="0" t="n">
        <v>5265576.171875</v>
      </c>
      <c r="D1196" s="0" t="n">
        <v>2378442.974540006</v>
      </c>
      <c r="E1196" s="0" t="n">
        <v>1.561274240027572e-05</v>
      </c>
      <c r="F1196" s="0" t="n">
        <v>1.555888306256859e-05</v>
      </c>
      <c r="G1196" s="0" t="n">
        <v>5.385933770713424e-08</v>
      </c>
      <c r="H1196" s="0" t="b">
        <v>0</v>
      </c>
    </row>
    <row r="1197">
      <c r="A1197" s="0" t="n">
        <v>138</v>
      </c>
      <c r="B1197" s="0" t="n">
        <v>12</v>
      </c>
      <c r="C1197" s="0" t="n">
        <v>5268481.4453125</v>
      </c>
      <c r="D1197" s="0" t="n">
        <v>5164181.163149535</v>
      </c>
      <c r="E1197" s="0" t="n">
        <v>1.567476832022271e-05</v>
      </c>
      <c r="F1197" s="0" t="n">
        <v>1.555888306256859e-05</v>
      </c>
      <c r="G1197" s="0" t="n">
        <v>1.158852576541231e-07</v>
      </c>
      <c r="H1197" s="0" t="b">
        <v>0</v>
      </c>
    </row>
    <row r="1198">
      <c r="A1198" s="0" t="n">
        <v>138</v>
      </c>
      <c r="B1198" s="0" t="n">
        <v>13</v>
      </c>
      <c r="C1198" s="0" t="n">
        <v>5269934.08203125</v>
      </c>
      <c r="D1198" s="0" t="n">
        <v>6578759.187497525</v>
      </c>
      <c r="E1198" s="0" t="n">
        <v>1.570584712707825e-05</v>
      </c>
      <c r="F1198" s="0" t="n">
        <v>1.555888306256859e-05</v>
      </c>
      <c r="G1198" s="0" t="n">
        <v>1.46964064509662e-07</v>
      </c>
      <c r="H1198" s="0" t="b">
        <v>0</v>
      </c>
    </row>
    <row r="1199">
      <c r="A1199" s="0" t="n">
        <v>138</v>
      </c>
      <c r="B1199" s="0" t="n">
        <v>14</v>
      </c>
      <c r="C1199" s="0" t="n">
        <v>5269434.08203125</v>
      </c>
      <c r="D1199" s="0" t="n">
        <v>6090196.44432898</v>
      </c>
      <c r="E1199" s="0" t="n">
        <v>1.569514424245001e-05</v>
      </c>
      <c r="F1199" s="0" t="n">
        <v>1.555888306256859e-05</v>
      </c>
      <c r="G1199" s="0" t="n">
        <v>1.362611798814231e-07</v>
      </c>
      <c r="H1199" s="0" t="b">
        <v>0</v>
      </c>
    </row>
    <row r="1200">
      <c r="A1200" s="0" t="n">
        <v>138</v>
      </c>
      <c r="B1200" s="0" t="n">
        <v>15</v>
      </c>
      <c r="C1200" s="0" t="n">
        <v>5268834.08203125</v>
      </c>
      <c r="D1200" s="0" t="n">
        <v>5506254.126494072</v>
      </c>
      <c r="E1200" s="0" t="n">
        <v>1.568230904222101e-05</v>
      </c>
      <c r="F1200" s="0" t="n">
        <v>1.555888306256859e-05</v>
      </c>
      <c r="G1200" s="0" t="n">
        <v>1.23425979652416e-07</v>
      </c>
      <c r="H1200" s="0" t="b">
        <v>0</v>
      </c>
    </row>
    <row r="1201">
      <c r="A1201" s="0" t="n">
        <v>138</v>
      </c>
      <c r="B1201" s="0" t="n">
        <v>16</v>
      </c>
      <c r="C1201" s="0" t="n">
        <v>5268114.08203125</v>
      </c>
      <c r="D1201" s="0" t="n">
        <v>4808679.749562053</v>
      </c>
      <c r="E1201" s="0" t="n">
        <v>1.566691431212968e-05</v>
      </c>
      <c r="F1201" s="0" t="n">
        <v>1.555888306256859e-05</v>
      </c>
      <c r="G1201" s="0" t="n">
        <v>1.08031249561088e-07</v>
      </c>
      <c r="H1201" s="0" t="b">
        <v>0</v>
      </c>
    </row>
    <row r="1202">
      <c r="A1202" s="0" t="n">
        <v>138</v>
      </c>
      <c r="B1202" s="0" t="n">
        <v>17</v>
      </c>
      <c r="C1202" s="0" t="n">
        <v>5268474.08203125</v>
      </c>
      <c r="D1202" s="0" t="n">
        <v>5157047.595468063</v>
      </c>
      <c r="E1202" s="0" t="n">
        <v>1.567461089343749e-05</v>
      </c>
      <c r="F1202" s="0" t="n">
        <v>1.555888306256859e-05</v>
      </c>
      <c r="G1202" s="0" t="n">
        <v>1.157278308688957e-07</v>
      </c>
      <c r="H1202" s="0" t="b">
        <v>0</v>
      </c>
    </row>
    <row r="1203">
      <c r="A1203" s="0" t="n">
        <v>138</v>
      </c>
      <c r="B1203" s="0" t="n">
        <v>18</v>
      </c>
      <c r="C1203" s="0" t="n">
        <v>5268906.08203125</v>
      </c>
      <c r="D1203" s="0" t="n">
        <v>5576202.65915289</v>
      </c>
      <c r="E1203" s="0" t="n">
        <v>1.568384900447537e-05</v>
      </c>
      <c r="F1203" s="0" t="n">
        <v>1.555888306256859e-05</v>
      </c>
      <c r="G1203" s="0" t="n">
        <v>1.249659419067772e-07</v>
      </c>
      <c r="H1203" s="0" t="b">
        <v>0</v>
      </c>
    </row>
    <row r="1204">
      <c r="A1204" s="0" t="n">
        <v>138</v>
      </c>
      <c r="B1204" s="0" t="n">
        <v>19</v>
      </c>
      <c r="C1204" s="0" t="n">
        <v>5268690.08203125</v>
      </c>
      <c r="D1204" s="0" t="n">
        <v>5366464.303152927</v>
      </c>
      <c r="E1204" s="0" t="n">
        <v>1.567922945021862e-05</v>
      </c>
      <c r="F1204" s="0" t="n">
        <v>1.555888306256859e-05</v>
      </c>
      <c r="G1204" s="0" t="n">
        <v>1.20346387650031e-07</v>
      </c>
      <c r="H1204" s="0" t="b">
        <v>0</v>
      </c>
    </row>
    <row r="1205">
      <c r="A1205" s="0" t="n">
        <v>138</v>
      </c>
      <c r="B1205" s="0" t="n">
        <v>20</v>
      </c>
      <c r="C1205" s="0" t="n">
        <v>5268430.88203125</v>
      </c>
      <c r="D1205" s="0" t="n">
        <v>5115148.313350732</v>
      </c>
      <c r="E1205" s="0" t="n">
        <v>1.567368609812013e-05</v>
      </c>
      <c r="F1205" s="0" t="n">
        <v>1.555888306256859e-05</v>
      </c>
      <c r="G1205" s="0" t="n">
        <v>1.148030355515373e-07</v>
      </c>
      <c r="H1205" s="0" t="b">
        <v>0</v>
      </c>
    </row>
    <row r="1206">
      <c r="A1206" s="0" t="n">
        <v>138</v>
      </c>
      <c r="B1206" s="0" t="n">
        <v>21</v>
      </c>
      <c r="C1206" s="0" t="n">
        <v>5268560.482031249</v>
      </c>
      <c r="D1206" s="0" t="n">
        <v>5240775.689685612</v>
      </c>
      <c r="E1206" s="0" t="n">
        <v>1.567645819645786e-05</v>
      </c>
      <c r="F1206" s="0" t="n">
        <v>1.555888306256859e-05</v>
      </c>
      <c r="G1206" s="0" t="n">
        <v>1.175751338892735e-07</v>
      </c>
      <c r="H1206" s="0" t="b">
        <v>0</v>
      </c>
    </row>
    <row r="1207">
      <c r="A1207" s="0" t="n">
        <v>139</v>
      </c>
      <c r="B1207" s="0" t="n">
        <v>1</v>
      </c>
      <c r="C1207" s="0" t="n">
        <v>6050000</v>
      </c>
      <c r="D1207" s="0" t="n">
        <v>2122388936.699701</v>
      </c>
      <c r="E1207" s="0" t="n">
        <v>3.43317839644229e-05</v>
      </c>
      <c r="F1207" s="0" t="n">
        <v>1.541571907252848e-05</v>
      </c>
      <c r="G1207" s="0" t="n">
        <v>1.891606489189442e-05</v>
      </c>
      <c r="H1207" s="0" t="b">
        <v>0</v>
      </c>
    </row>
    <row r="1208">
      <c r="A1208" s="0" t="n">
        <v>139</v>
      </c>
      <c r="B1208" s="0" t="n">
        <v>2</v>
      </c>
      <c r="C1208" s="0" t="n">
        <v>3075000</v>
      </c>
      <c r="D1208" s="0" t="n">
        <v>-192071.9052531261</v>
      </c>
      <c r="E1208" s="0" t="n">
        <v>1.26932964512368e-06</v>
      </c>
      <c r="F1208" s="0" t="n">
        <v>1.541571907252848e-05</v>
      </c>
      <c r="G1208" s="0" t="n">
        <v>-1.41463894274048e-05</v>
      </c>
      <c r="H1208" s="0" t="b">
        <v>1</v>
      </c>
    </row>
    <row r="1209">
      <c r="A1209" s="0" t="n">
        <v>139</v>
      </c>
      <c r="B1209" s="0" t="n">
        <v>3</v>
      </c>
      <c r="C1209" s="0" t="n">
        <v>4562500</v>
      </c>
      <c r="D1209" s="0" t="n">
        <v>-10065497.8753013</v>
      </c>
      <c r="E1209" s="0" t="n">
        <v>7.983100414742185e-06</v>
      </c>
      <c r="F1209" s="0" t="n">
        <v>1.541571907252848e-05</v>
      </c>
      <c r="G1209" s="0" t="n">
        <v>-7.432618657786293e-06</v>
      </c>
      <c r="H1209" s="0" t="b">
        <v>1</v>
      </c>
    </row>
    <row r="1210">
      <c r="A1210" s="0" t="n">
        <v>139</v>
      </c>
      <c r="B1210" s="0" t="n">
        <v>4</v>
      </c>
      <c r="C1210" s="0" t="n">
        <v>5306250</v>
      </c>
      <c r="D1210" s="0" t="n">
        <v>-49445966.10014028</v>
      </c>
      <c r="E1210" s="0" t="n">
        <v>1.39824823370354e-05</v>
      </c>
      <c r="F1210" s="0" t="n">
        <v>1.541571907252848e-05</v>
      </c>
      <c r="G1210" s="0" t="n">
        <v>-1.433236735493082e-06</v>
      </c>
      <c r="H1210" s="0" t="b">
        <v>1</v>
      </c>
    </row>
    <row r="1211">
      <c r="A1211" s="0" t="n">
        <v>139</v>
      </c>
      <c r="B1211" s="0" t="n">
        <v>5</v>
      </c>
      <c r="C1211" s="0" t="n">
        <v>5678125</v>
      </c>
      <c r="D1211" s="0" t="n">
        <v>611507368.6153886</v>
      </c>
      <c r="E1211" s="0" t="n">
        <v>2.253902052490378e-05</v>
      </c>
      <c r="F1211" s="0" t="n">
        <v>1.541571907252848e-05</v>
      </c>
      <c r="G1211" s="0" t="n">
        <v>7.123301452375302e-06</v>
      </c>
      <c r="H1211" s="0" t="b">
        <v>0</v>
      </c>
    </row>
    <row r="1212">
      <c r="A1212" s="0" t="n">
        <v>139</v>
      </c>
      <c r="B1212" s="0" t="n">
        <v>6</v>
      </c>
      <c r="C1212" s="0" t="n">
        <v>5492187.5</v>
      </c>
      <c r="D1212" s="0" t="n">
        <v>148746575.496191</v>
      </c>
      <c r="E1212" s="0" t="n">
        <v>1.789148001434881e-05</v>
      </c>
      <c r="F1212" s="0" t="n">
        <v>1.541571907252848e-05</v>
      </c>
      <c r="G1212" s="0" t="n">
        <v>2.47576094182033e-06</v>
      </c>
      <c r="H1212" s="0" t="b">
        <v>0</v>
      </c>
    </row>
    <row r="1213">
      <c r="A1213" s="0" t="n">
        <v>139</v>
      </c>
      <c r="B1213" s="0" t="n">
        <v>7</v>
      </c>
      <c r="C1213" s="0" t="n">
        <v>5399218.75</v>
      </c>
      <c r="D1213" s="0" t="n">
        <v>20372555.9147796</v>
      </c>
      <c r="E1213" s="0" t="n">
        <v>1.584920187991883e-05</v>
      </c>
      <c r="F1213" s="0" t="n">
        <v>1.541571907252848e-05</v>
      </c>
      <c r="G1213" s="0" t="n">
        <v>4.334828073903511e-07</v>
      </c>
      <c r="H1213" s="0" t="b">
        <v>0</v>
      </c>
    </row>
    <row r="1214">
      <c r="A1214" s="0" t="n">
        <v>139</v>
      </c>
      <c r="B1214" s="0" t="n">
        <v>8</v>
      </c>
      <c r="C1214" s="0" t="n">
        <v>5352734.375</v>
      </c>
      <c r="D1214" s="0" t="n">
        <v>-21199881.01804207</v>
      </c>
      <c r="E1214" s="0" t="n">
        <v>1.489437679728117e-05</v>
      </c>
      <c r="F1214" s="0" t="n">
        <v>1.541571907252848e-05</v>
      </c>
      <c r="G1214" s="0" t="n">
        <v>-5.213422752473079e-07</v>
      </c>
      <c r="H1214" s="0" t="b">
        <v>1</v>
      </c>
    </row>
    <row r="1215">
      <c r="A1215" s="0" t="n">
        <v>139</v>
      </c>
      <c r="B1215" s="0" t="n">
        <v>9</v>
      </c>
      <c r="C1215" s="0" t="n">
        <v>5375976.5625</v>
      </c>
      <c r="D1215" s="0" t="n">
        <v>-2162873.655249491</v>
      </c>
      <c r="E1215" s="0" t="n">
        <v>1.536635097252641e-05</v>
      </c>
      <c r="F1215" s="0" t="n">
        <v>1.541571907252848e-05</v>
      </c>
      <c r="G1215" s="0" t="n">
        <v>-4.936810000206402e-08</v>
      </c>
      <c r="H1215" s="0" t="b">
        <v>1</v>
      </c>
    </row>
    <row r="1216">
      <c r="A1216" s="0" t="n">
        <v>139</v>
      </c>
      <c r="B1216" s="0" t="n">
        <v>10</v>
      </c>
      <c r="C1216" s="0" t="n">
        <v>5387597.65625</v>
      </c>
      <c r="D1216" s="0" t="n">
        <v>8657169.082800085</v>
      </c>
      <c r="E1216" s="0" t="n">
        <v>1.560640750662499e-05</v>
      </c>
      <c r="F1216" s="0" t="n">
        <v>1.541571907252848e-05</v>
      </c>
      <c r="G1216" s="0" t="n">
        <v>1.906884340965134e-07</v>
      </c>
      <c r="H1216" s="0" t="b">
        <v>0</v>
      </c>
    </row>
    <row r="1217">
      <c r="A1217" s="0" t="n">
        <v>139</v>
      </c>
      <c r="B1217" s="0" t="n">
        <v>11</v>
      </c>
      <c r="C1217" s="0" t="n">
        <v>5381787.109375</v>
      </c>
      <c r="D1217" s="0" t="n">
        <v>3136580.964618292</v>
      </c>
      <c r="E1217" s="0" t="n">
        <v>1.548603943668389e-05</v>
      </c>
      <c r="F1217" s="0" t="n">
        <v>1.541571907252848e-05</v>
      </c>
      <c r="G1217" s="0" t="n">
        <v>7.032036415541165e-08</v>
      </c>
      <c r="H1217" s="0" t="b">
        <v>0</v>
      </c>
    </row>
    <row r="1218">
      <c r="A1218" s="0" t="n">
        <v>139</v>
      </c>
      <c r="B1218" s="0" t="n">
        <v>12</v>
      </c>
      <c r="C1218" s="0" t="n">
        <v>5384692.3828125</v>
      </c>
      <c r="D1218" s="0" t="n">
        <v>5869031.693331794</v>
      </c>
      <c r="E1218" s="0" t="n">
        <v>1.554613749190178e-05</v>
      </c>
      <c r="F1218" s="0" t="n">
        <v>1.541571907252848e-05</v>
      </c>
      <c r="G1218" s="0" t="n">
        <v>1.304184193733006e-07</v>
      </c>
      <c r="H1218" s="0" t="b">
        <v>0</v>
      </c>
    </row>
    <row r="1219">
      <c r="A1219" s="0" t="n">
        <v>139</v>
      </c>
      <c r="B1219" s="0" t="n">
        <v>13</v>
      </c>
      <c r="C1219" s="0" t="n">
        <v>5383239.74609375</v>
      </c>
      <c r="D1219" s="0" t="n">
        <v>4495899.658792004</v>
      </c>
      <c r="E1219" s="0" t="n">
        <v>1.551606773018252e-05</v>
      </c>
      <c r="F1219" s="0" t="n">
        <v>1.541571907252848e-05</v>
      </c>
      <c r="G1219" s="0" t="n">
        <v>1.003486576540402e-07</v>
      </c>
      <c r="H1219" s="0" t="b">
        <v>0</v>
      </c>
    </row>
    <row r="1220">
      <c r="A1220" s="0" t="n">
        <v>139</v>
      </c>
      <c r="B1220" s="0" t="n">
        <v>14</v>
      </c>
      <c r="C1220" s="0" t="n">
        <v>5383739.74609375</v>
      </c>
      <c r="D1220" s="0" t="n">
        <v>4966985.578722317</v>
      </c>
      <c r="E1220" s="0" t="n">
        <v>1.55264133860568e-05</v>
      </c>
      <c r="F1220" s="0" t="n">
        <v>1.541571907252848e-05</v>
      </c>
      <c r="G1220" s="0" t="n">
        <v>1.106943135283229e-07</v>
      </c>
      <c r="H1220" s="0" t="b">
        <v>0</v>
      </c>
    </row>
    <row r="1221">
      <c r="A1221" s="0" t="n">
        <v>139</v>
      </c>
      <c r="B1221" s="0" t="n">
        <v>15</v>
      </c>
      <c r="C1221" s="0" t="n">
        <v>5384339.74609375</v>
      </c>
      <c r="D1221" s="0" t="n">
        <v>5534405.312848548</v>
      </c>
      <c r="E1221" s="0" t="n">
        <v>1.553883365663641e-05</v>
      </c>
      <c r="F1221" s="0" t="n">
        <v>1.541571907252848e-05</v>
      </c>
      <c r="G1221" s="0" t="n">
        <v>1.231145841079341e-07</v>
      </c>
      <c r="H1221" s="0" t="b">
        <v>0</v>
      </c>
    </row>
    <row r="1222">
      <c r="A1222" s="0" t="n">
        <v>139</v>
      </c>
      <c r="B1222" s="0" t="n">
        <v>16</v>
      </c>
      <c r="C1222" s="0" t="n">
        <v>5384039.74609375</v>
      </c>
      <c r="D1222" s="0" t="n">
        <v>5250426.456129493</v>
      </c>
      <c r="E1222" s="0" t="n">
        <v>1.55326232060781e-05</v>
      </c>
      <c r="F1222" s="0" t="n">
        <v>1.541571907252848e-05</v>
      </c>
      <c r="G1222" s="0" t="n">
        <v>1.169041335496246e-07</v>
      </c>
      <c r="H1222" s="0" t="b">
        <v>0</v>
      </c>
    </row>
    <row r="1223">
      <c r="A1223" s="0" t="n">
        <v>139</v>
      </c>
      <c r="B1223" s="0" t="n">
        <v>17</v>
      </c>
      <c r="C1223" s="0" t="n">
        <v>5384189.74609375</v>
      </c>
      <c r="D1223" s="0" t="n">
        <v>5392314.644779129</v>
      </c>
      <c r="E1223" s="0" t="n">
        <v>1.553572760921543e-05</v>
      </c>
      <c r="F1223" s="0" t="n">
        <v>1.541571907252848e-05</v>
      </c>
      <c r="G1223" s="0" t="n">
        <v>1.200085366869507e-07</v>
      </c>
      <c r="H1223" s="0" t="b">
        <v>0</v>
      </c>
    </row>
    <row r="1224">
      <c r="A1224" s="0" t="n">
        <v>140</v>
      </c>
      <c r="B1224" s="0" t="n">
        <v>1</v>
      </c>
      <c r="C1224" s="0" t="n">
        <v>6050000</v>
      </c>
      <c r="D1224" s="0" t="n">
        <v>14092673282.85307</v>
      </c>
      <c r="E1224" s="0" t="n">
        <v>9.044706330333037e-05</v>
      </c>
      <c r="F1224" s="0" t="n">
        <v>1.499870203236932e-05</v>
      </c>
      <c r="G1224" s="0" t="n">
        <v>7.544836127096105e-05</v>
      </c>
      <c r="H1224" s="0" t="b">
        <v>0</v>
      </c>
    </row>
    <row r="1225">
      <c r="A1225" s="0" t="n">
        <v>140</v>
      </c>
      <c r="B1225" s="0" t="n">
        <v>2</v>
      </c>
      <c r="C1225" s="0" t="n">
        <v>3075000</v>
      </c>
      <c r="D1225" s="0" t="n">
        <v>-374907.6592464484</v>
      </c>
      <c r="E1225" s="0" t="n">
        <v>2.871365125045012e-06</v>
      </c>
      <c r="F1225" s="0" t="n">
        <v>1.499870203236933e-05</v>
      </c>
      <c r="G1225" s="0" t="n">
        <v>-1.212733690732432e-05</v>
      </c>
      <c r="H1225" s="0" t="b">
        <v>1</v>
      </c>
    </row>
    <row r="1226">
      <c r="A1226" s="0" t="n">
        <v>140</v>
      </c>
      <c r="B1226" s="0" t="n">
        <v>3</v>
      </c>
      <c r="C1226" s="0" t="n">
        <v>4562500</v>
      </c>
      <c r="D1226" s="0" t="n">
        <v>-20700786.86740646</v>
      </c>
      <c r="E1226" s="0" t="n">
        <v>1.450132026576727e-05</v>
      </c>
      <c r="F1226" s="0" t="n">
        <v>1.499870203236933e-05</v>
      </c>
      <c r="G1226" s="0" t="n">
        <v>-4.97381766602059e-07</v>
      </c>
      <c r="H1226" s="0" t="b">
        <v>1</v>
      </c>
    </row>
    <row r="1227">
      <c r="A1227" s="0" t="n">
        <v>140</v>
      </c>
      <c r="B1227" s="0" t="n">
        <v>4</v>
      </c>
      <c r="C1227" s="0" t="n">
        <v>5306250</v>
      </c>
      <c r="D1227" s="0" t="n">
        <v>3352851093.987779</v>
      </c>
      <c r="E1227" s="0" t="n">
        <v>4.088938980212058e-05</v>
      </c>
      <c r="F1227" s="0" t="n">
        <v>1.499870203236933e-05</v>
      </c>
      <c r="G1227" s="0" t="n">
        <v>2.589068776975125e-05</v>
      </c>
      <c r="H1227" s="0" t="b">
        <v>0</v>
      </c>
    </row>
    <row r="1228">
      <c r="A1228" s="0" t="n">
        <v>140</v>
      </c>
      <c r="B1228" s="0" t="n">
        <v>5</v>
      </c>
      <c r="C1228" s="0" t="n">
        <v>4934375</v>
      </c>
      <c r="D1228" s="0" t="n">
        <v>1005672923.793545</v>
      </c>
      <c r="E1228" s="0" t="n">
        <v>2.527702439740771e-05</v>
      </c>
      <c r="F1228" s="0" t="n">
        <v>1.499870203236933e-05</v>
      </c>
      <c r="G1228" s="0" t="n">
        <v>1.027832236503838e-05</v>
      </c>
      <c r="H1228" s="0" t="b">
        <v>0</v>
      </c>
    </row>
    <row r="1229">
      <c r="A1229" s="0" t="n">
        <v>140</v>
      </c>
      <c r="B1229" s="0" t="n">
        <v>6</v>
      </c>
      <c r="C1229" s="0" t="n">
        <v>4748437.5</v>
      </c>
      <c r="D1229" s="0" t="n">
        <v>322049493.1290133</v>
      </c>
      <c r="E1229" s="0" t="n">
        <v>1.934665454891171e-05</v>
      </c>
      <c r="F1229" s="0" t="n">
        <v>1.499870203236933e-05</v>
      </c>
      <c r="G1229" s="0" t="n">
        <v>4.34795251654238e-06</v>
      </c>
      <c r="H1229" s="0" t="b">
        <v>0</v>
      </c>
    </row>
    <row r="1230">
      <c r="A1230" s="0" t="n">
        <v>140</v>
      </c>
      <c r="B1230" s="0" t="n">
        <v>7</v>
      </c>
      <c r="C1230" s="0" t="n">
        <v>4655468.75</v>
      </c>
      <c r="D1230" s="0" t="n">
        <v>103294914.0958377</v>
      </c>
      <c r="E1230" s="0" t="n">
        <v>1.67962650965244e-05</v>
      </c>
      <c r="F1230" s="0" t="n">
        <v>1.499870203236933e-05</v>
      </c>
      <c r="G1230" s="0" t="n">
        <v>1.797563064155072e-06</v>
      </c>
      <c r="H1230" s="0" t="b">
        <v>0</v>
      </c>
    </row>
    <row r="1231">
      <c r="A1231" s="0" t="n">
        <v>140</v>
      </c>
      <c r="B1231" s="0" t="n">
        <v>8</v>
      </c>
      <c r="C1231" s="0" t="n">
        <v>4608984.375</v>
      </c>
      <c r="D1231" s="0" t="n">
        <v>30602741.30982078</v>
      </c>
      <c r="E1231" s="0" t="n">
        <v>1.56177806654386e-05</v>
      </c>
      <c r="F1231" s="0" t="n">
        <v>1.499870203236933e-05</v>
      </c>
      <c r="G1231" s="0" t="n">
        <v>6.190786330692725e-07</v>
      </c>
      <c r="H1231" s="0" t="b">
        <v>0</v>
      </c>
    </row>
    <row r="1232">
      <c r="A1232" s="0" t="n">
        <v>140</v>
      </c>
      <c r="B1232" s="0" t="n">
        <v>9</v>
      </c>
      <c r="C1232" s="0" t="n">
        <v>4585742.1875</v>
      </c>
      <c r="D1232" s="0" t="n">
        <v>2420346.020945073</v>
      </c>
      <c r="E1232" s="0" t="n">
        <v>1.505190044158013e-05</v>
      </c>
      <c r="F1232" s="0" t="n">
        <v>1.499870203236933e-05</v>
      </c>
      <c r="G1232" s="0" t="n">
        <v>5.319840921079963e-08</v>
      </c>
      <c r="H1232" s="0" t="b">
        <v>0</v>
      </c>
    </row>
    <row r="1233">
      <c r="A1233" s="0" t="n">
        <v>140</v>
      </c>
      <c r="B1233" s="0" t="n">
        <v>10</v>
      </c>
      <c r="C1233" s="0" t="n">
        <v>4597363.28125</v>
      </c>
      <c r="D1233" s="0" t="n">
        <v>15860753.78888678</v>
      </c>
      <c r="E1233" s="0" t="n">
        <v>1.533291126309259e-05</v>
      </c>
      <c r="F1233" s="0" t="n">
        <v>1.499870203236933e-05</v>
      </c>
      <c r="G1233" s="0" t="n">
        <v>3.342092307232661e-07</v>
      </c>
      <c r="H1233" s="0" t="b">
        <v>0</v>
      </c>
    </row>
    <row r="1234">
      <c r="A1234" s="0" t="n">
        <v>140</v>
      </c>
      <c r="B1234" s="0" t="n">
        <v>11</v>
      </c>
      <c r="C1234" s="0" t="n">
        <v>4591552.734375</v>
      </c>
      <c r="D1234" s="0" t="n">
        <v>8980153.651723919</v>
      </c>
      <c r="E1234" s="0" t="n">
        <v>1.519192638156422e-05</v>
      </c>
      <c r="F1234" s="0" t="n">
        <v>1.499870203236933e-05</v>
      </c>
      <c r="G1234" s="0" t="n">
        <v>1.932243491948949e-07</v>
      </c>
      <c r="H1234" s="0" t="b">
        <v>0</v>
      </c>
    </row>
    <row r="1235">
      <c r="A1235" s="0" t="n">
        <v>140</v>
      </c>
      <c r="B1235" s="0" t="n">
        <v>12</v>
      </c>
      <c r="C1235" s="0" t="n">
        <v>4588647.4609375</v>
      </c>
      <c r="D1235" s="0" t="n">
        <v>5660425.132236597</v>
      </c>
      <c r="E1235" s="0" t="n">
        <v>1.512179362948221e-05</v>
      </c>
      <c r="F1235" s="0" t="n">
        <v>1.499870203236933e-05</v>
      </c>
      <c r="G1235" s="0" t="n">
        <v>1.230915971128803e-07</v>
      </c>
      <c r="H1235" s="0" t="b">
        <v>0</v>
      </c>
    </row>
    <row r="1236">
      <c r="A1236" s="0" t="n">
        <v>140</v>
      </c>
      <c r="B1236" s="0" t="n">
        <v>13</v>
      </c>
      <c r="C1236" s="0" t="n">
        <v>4587194.82421875</v>
      </c>
      <c r="D1236" s="0" t="n">
        <v>4030464.867179039</v>
      </c>
      <c r="E1236" s="0" t="n">
        <v>1.508681712421578e-05</v>
      </c>
      <c r="F1236" s="0" t="n">
        <v>1.499870203236933e-05</v>
      </c>
      <c r="G1236" s="0" t="n">
        <v>8.811509184645342e-08</v>
      </c>
      <c r="H1236" s="0" t="b">
        <v>0</v>
      </c>
    </row>
    <row r="1237">
      <c r="A1237" s="0" t="n">
        <v>140</v>
      </c>
      <c r="B1237" s="0" t="n">
        <v>14</v>
      </c>
      <c r="C1237" s="0" t="n">
        <v>4587694.82421875</v>
      </c>
      <c r="D1237" s="0" t="n">
        <v>4589201.833489558</v>
      </c>
      <c r="E1237" s="0" t="n">
        <v>1.509884815574196e-05</v>
      </c>
      <c r="F1237" s="0" t="n">
        <v>1.499870203236933e-05</v>
      </c>
      <c r="G1237" s="0" t="n">
        <v>1.001461233726342e-07</v>
      </c>
      <c r="H1237" s="0" t="b">
        <v>0</v>
      </c>
    </row>
    <row r="1238">
      <c r="A1238" s="0" t="n">
        <v>141</v>
      </c>
      <c r="B1238" s="0" t="n">
        <v>1</v>
      </c>
      <c r="C1238" s="0" t="n">
        <v>6050000</v>
      </c>
      <c r="D1238" s="0" t="n">
        <v>48845460679.07014</v>
      </c>
      <c r="E1238" s="0" t="n">
        <v>0.0002035457208783838</v>
      </c>
      <c r="F1238" s="0" t="n">
        <v>1.486371606496979e-05</v>
      </c>
      <c r="G1238" s="0" t="n">
        <v>0.000188682004813414</v>
      </c>
      <c r="H1238" s="0" t="b">
        <v>0</v>
      </c>
    </row>
    <row r="1239">
      <c r="A1239" s="0" t="n">
        <v>141</v>
      </c>
      <c r="B1239" s="0" t="n">
        <v>2</v>
      </c>
      <c r="C1239" s="0" t="n">
        <v>3075000</v>
      </c>
      <c r="D1239" s="0" t="n">
        <v>-1406081.505934603</v>
      </c>
      <c r="E1239" s="0" t="n">
        <v>5.195880181882813e-06</v>
      </c>
      <c r="F1239" s="0" t="n">
        <v>1.486371606496979e-05</v>
      </c>
      <c r="G1239" s="0" t="n">
        <v>-9.667835883086976e-06</v>
      </c>
      <c r="H1239" s="0" t="b">
        <v>1</v>
      </c>
    </row>
    <row r="1240">
      <c r="A1240" s="0" t="n">
        <v>141</v>
      </c>
      <c r="B1240" s="0" t="n">
        <v>3</v>
      </c>
      <c r="C1240" s="0" t="n">
        <v>4562500</v>
      </c>
      <c r="D1240" s="0" t="n">
        <v>3113179362.36022</v>
      </c>
      <c r="E1240" s="0" t="n">
        <v>3.909175380289858e-05</v>
      </c>
      <c r="F1240" s="0" t="n">
        <v>1.486371606496979e-05</v>
      </c>
      <c r="G1240" s="0" t="n">
        <v>2.42280377379288e-05</v>
      </c>
      <c r="H1240" s="0" t="b">
        <v>0</v>
      </c>
    </row>
    <row r="1241">
      <c r="A1241" s="0" t="n">
        <v>141</v>
      </c>
      <c r="B1241" s="0" t="n">
        <v>4</v>
      </c>
      <c r="C1241" s="0" t="n">
        <v>3818750</v>
      </c>
      <c r="D1241" s="0" t="n">
        <v>-68245005.42234944</v>
      </c>
      <c r="E1241" s="0" t="n">
        <v>1.233470826140749e-05</v>
      </c>
      <c r="F1241" s="0" t="n">
        <v>1.486371606496979e-05</v>
      </c>
      <c r="G1241" s="0" t="n">
        <v>-2.5290078035623e-06</v>
      </c>
      <c r="H1241" s="0" t="b">
        <v>1</v>
      </c>
    </row>
    <row r="1242">
      <c r="A1242" s="0" t="n">
        <v>141</v>
      </c>
      <c r="B1242" s="0" t="n">
        <v>5</v>
      </c>
      <c r="C1242" s="0" t="n">
        <v>4190625</v>
      </c>
      <c r="D1242" s="0" t="n">
        <v>631864623.0107902</v>
      </c>
      <c r="E1242" s="0" t="n">
        <v>2.187833976656015e-05</v>
      </c>
      <c r="F1242" s="0" t="n">
        <v>1.486371606496979e-05</v>
      </c>
      <c r="G1242" s="0" t="n">
        <v>7.014623701590363e-06</v>
      </c>
      <c r="H1242" s="0" t="b">
        <v>0</v>
      </c>
    </row>
    <row r="1243">
      <c r="A1243" s="0" t="n">
        <v>141</v>
      </c>
      <c r="B1243" s="0" t="n">
        <v>6</v>
      </c>
      <c r="C1243" s="0" t="n">
        <v>4004687.5</v>
      </c>
      <c r="D1243" s="0" t="n">
        <v>45864999.23379589</v>
      </c>
      <c r="E1243" s="0" t="n">
        <v>1.575050760274883e-05</v>
      </c>
      <c r="F1243" s="0" t="n">
        <v>1.486371606496979e-05</v>
      </c>
      <c r="G1243" s="0" t="n">
        <v>8.867915377790364e-07</v>
      </c>
      <c r="H1243" s="0" t="b">
        <v>0</v>
      </c>
    </row>
    <row r="1244">
      <c r="A1244" s="0" t="n">
        <v>141</v>
      </c>
      <c r="B1244" s="0" t="n">
        <v>7</v>
      </c>
      <c r="C1244" s="0" t="n">
        <v>3911718.75</v>
      </c>
      <c r="D1244" s="0" t="n">
        <v>-49265198.09863602</v>
      </c>
      <c r="E1244" s="0" t="n">
        <v>1.347078955774547e-05</v>
      </c>
      <c r="F1244" s="0" t="n">
        <v>1.486371606496979e-05</v>
      </c>
      <c r="G1244" s="0" t="n">
        <v>-1.392926507224319e-06</v>
      </c>
      <c r="H1244" s="0" t="b">
        <v>1</v>
      </c>
    </row>
    <row r="1245">
      <c r="A1245" s="0" t="n">
        <v>141</v>
      </c>
      <c r="B1245" s="0" t="n">
        <v>8</v>
      </c>
      <c r="C1245" s="0" t="n">
        <v>3958203.125</v>
      </c>
      <c r="D1245" s="0" t="n">
        <v>-17918757.01953571</v>
      </c>
      <c r="E1245" s="0" t="n">
        <v>1.444134046452156e-05</v>
      </c>
      <c r="F1245" s="0" t="n">
        <v>1.486371606496979e-05</v>
      </c>
      <c r="G1245" s="0" t="n">
        <v>-4.223756004482286e-07</v>
      </c>
      <c r="H1245" s="0" t="b">
        <v>1</v>
      </c>
    </row>
    <row r="1246">
      <c r="A1246" s="0" t="n">
        <v>141</v>
      </c>
      <c r="B1246" s="0" t="n">
        <v>9</v>
      </c>
      <c r="C1246" s="0" t="n">
        <v>3981445.3125</v>
      </c>
      <c r="D1246" s="0" t="n">
        <v>10424060.0636814</v>
      </c>
      <c r="E1246" s="0" t="n">
        <v>1.508535834920538e-05</v>
      </c>
      <c r="F1246" s="0" t="n">
        <v>1.486371606496979e-05</v>
      </c>
      <c r="G1246" s="0" t="n">
        <v>2.216422842355948e-07</v>
      </c>
      <c r="H1246" s="0" t="b">
        <v>0</v>
      </c>
    </row>
    <row r="1247">
      <c r="A1247" s="0" t="n">
        <v>141</v>
      </c>
      <c r="B1247" s="0" t="n">
        <v>10</v>
      </c>
      <c r="C1247" s="0" t="n">
        <v>3969824.21875</v>
      </c>
      <c r="D1247" s="0" t="n">
        <v>-4604970.626269449</v>
      </c>
      <c r="E1247" s="0" t="n">
        <v>1.476073499761014e-05</v>
      </c>
      <c r="F1247" s="0" t="n">
        <v>1.486371606496979e-05</v>
      </c>
      <c r="G1247" s="0" t="n">
        <v>-1.029810673596533e-07</v>
      </c>
      <c r="H1247" s="0" t="b">
        <v>1</v>
      </c>
    </row>
    <row r="1248">
      <c r="A1248" s="0" t="n">
        <v>141</v>
      </c>
      <c r="B1248" s="0" t="n">
        <v>11</v>
      </c>
      <c r="C1248" s="0" t="n">
        <v>3975634.765625</v>
      </c>
      <c r="D1248" s="0" t="n">
        <v>2691397.592555174</v>
      </c>
      <c r="E1248" s="0" t="n">
        <v>1.492238896618961e-05</v>
      </c>
      <c r="F1248" s="0" t="n">
        <v>1.486371606496979e-05</v>
      </c>
      <c r="G1248" s="0" t="n">
        <v>5.867290121981841e-08</v>
      </c>
      <c r="H1248" s="0" t="b">
        <v>0</v>
      </c>
    </row>
    <row r="1249">
      <c r="A1249" s="0" t="n">
        <v>141</v>
      </c>
      <c r="B1249" s="0" t="n">
        <v>12</v>
      </c>
      <c r="C1249" s="0" t="n">
        <v>3978540.0390625</v>
      </c>
      <c r="D1249" s="0" t="n">
        <v>6502793.840004341</v>
      </c>
      <c r="E1249" s="0" t="n">
        <v>1.500371018982957e-05</v>
      </c>
      <c r="F1249" s="0" t="n">
        <v>1.486371606496979e-05</v>
      </c>
      <c r="G1249" s="0" t="n">
        <v>1.399941248597806e-07</v>
      </c>
      <c r="H1249" s="0" t="b">
        <v>0</v>
      </c>
    </row>
    <row r="1250">
      <c r="A1250" s="0" t="n">
        <v>141</v>
      </c>
      <c r="B1250" s="0" t="n">
        <v>13</v>
      </c>
      <c r="C1250" s="0" t="n">
        <v>3977087.40234375</v>
      </c>
      <c r="D1250" s="0" t="n">
        <v>4583433.20700102</v>
      </c>
      <c r="E1250" s="0" t="n">
        <v>1.496300905999954e-05</v>
      </c>
      <c r="F1250" s="0" t="n">
        <v>1.486371606496979e-05</v>
      </c>
      <c r="G1250" s="0" t="n">
        <v>9.929299502975134e-08</v>
      </c>
      <c r="H1250" s="0" t="b">
        <v>0</v>
      </c>
    </row>
    <row r="1251">
      <c r="A1251" s="0" t="n">
        <v>141</v>
      </c>
      <c r="B1251" s="0" t="n">
        <v>14</v>
      </c>
      <c r="C1251" s="0" t="n">
        <v>3975887.40234375</v>
      </c>
      <c r="D1251" s="0" t="n">
        <v>3018481.125511867</v>
      </c>
      <c r="E1251" s="0" t="n">
        <v>1.492944733588761e-05</v>
      </c>
      <c r="F1251" s="0" t="n">
        <v>1.486371606496979e-05</v>
      </c>
      <c r="G1251" s="0" t="n">
        <v>6.57312709178197e-08</v>
      </c>
      <c r="H1251" s="0" t="b">
        <v>0</v>
      </c>
    </row>
    <row r="1252">
      <c r="A1252" s="0" t="n">
        <v>141</v>
      </c>
      <c r="B1252" s="0" t="n">
        <v>15</v>
      </c>
      <c r="C1252" s="0" t="n">
        <v>3976487.40234375</v>
      </c>
      <c r="D1252" s="0" t="n">
        <v>3798653.536953485</v>
      </c>
      <c r="E1252" s="0" t="n">
        <v>1.494622178829132e-05</v>
      </c>
      <c r="F1252" s="0" t="n">
        <v>1.486371606496979e-05</v>
      </c>
      <c r="G1252" s="0" t="n">
        <v>8.250572332153049e-08</v>
      </c>
      <c r="H1252" s="0" t="b">
        <v>0</v>
      </c>
    </row>
    <row r="1253">
      <c r="A1253" s="0" t="n">
        <v>141</v>
      </c>
      <c r="B1253" s="0" t="n">
        <v>16</v>
      </c>
      <c r="C1253" s="0" t="n">
        <v>3977207.40234375</v>
      </c>
      <c r="D1253" s="0" t="n">
        <v>4740949.430890307</v>
      </c>
      <c r="E1253" s="0" t="n">
        <v>1.496636819775735e-05</v>
      </c>
      <c r="F1253" s="0" t="n">
        <v>1.486371606496979e-05</v>
      </c>
      <c r="G1253" s="0" t="n">
        <v>1.026521327875597e-07</v>
      </c>
      <c r="H1253" s="0" t="b">
        <v>0</v>
      </c>
    </row>
    <row r="1254">
      <c r="A1254" s="0" t="n">
        <v>141</v>
      </c>
      <c r="B1254" s="0" t="n">
        <v>17</v>
      </c>
      <c r="C1254" s="0" t="n">
        <v>3976847.40234375</v>
      </c>
      <c r="D1254" s="0" t="n">
        <v>4268961.244491509</v>
      </c>
      <c r="E1254" s="0" t="n">
        <v>1.495629246806939e-05</v>
      </c>
      <c r="F1254" s="0" t="n">
        <v>1.486371606496979e-05</v>
      </c>
      <c r="G1254" s="0" t="n">
        <v>9.257640309960242e-08</v>
      </c>
      <c r="H1254" s="0" t="b">
        <v>0</v>
      </c>
    </row>
    <row r="1255">
      <c r="A1255" s="0" t="n">
        <v>141</v>
      </c>
      <c r="B1255" s="0" t="n">
        <v>18</v>
      </c>
      <c r="C1255" s="0" t="n">
        <v>3976415.40234375</v>
      </c>
      <c r="D1255" s="0" t="n">
        <v>3704793.498163861</v>
      </c>
      <c r="E1255" s="0" t="n">
        <v>1.494420825819097e-05</v>
      </c>
      <c r="F1255" s="0" t="n">
        <v>1.486371606496979e-05</v>
      </c>
      <c r="G1255" s="0" t="n">
        <v>8.049219322117837e-08</v>
      </c>
      <c r="H1255" s="0" t="b">
        <v>0</v>
      </c>
    </row>
    <row r="1256">
      <c r="A1256" s="0" t="n">
        <v>141</v>
      </c>
      <c r="B1256" s="0" t="n">
        <v>19</v>
      </c>
      <c r="C1256" s="0" t="n">
        <v>3976631.40234375</v>
      </c>
      <c r="D1256" s="0" t="n">
        <v>3986575.075057871</v>
      </c>
      <c r="E1256" s="0" t="n">
        <v>1.495024945431101e-05</v>
      </c>
      <c r="F1256" s="0" t="n">
        <v>1.486371606496979e-05</v>
      </c>
      <c r="G1256" s="0" t="n">
        <v>8.653338934121857e-08</v>
      </c>
      <c r="H1256" s="0" t="b">
        <v>0</v>
      </c>
    </row>
    <row r="1257">
      <c r="A1257" s="0" t="n">
        <v>142</v>
      </c>
      <c r="B1257" s="0" t="n">
        <v>1</v>
      </c>
      <c r="C1257" s="0" t="n">
        <v>6050000</v>
      </c>
      <c r="D1257" s="0" t="n">
        <v>42965286042.49278</v>
      </c>
      <c r="E1257" s="0" t="n">
        <v>0.0001862335476525411</v>
      </c>
      <c r="F1257" s="0" t="n">
        <v>1.486371606496979e-05</v>
      </c>
      <c r="G1257" s="0" t="n">
        <v>0.0001713698315875713</v>
      </c>
      <c r="H1257" s="0" t="b">
        <v>0</v>
      </c>
    </row>
    <row r="1258">
      <c r="A1258" s="0" t="n">
        <v>142</v>
      </c>
      <c r="B1258" s="0" t="n">
        <v>2</v>
      </c>
      <c r="C1258" s="0" t="n">
        <v>3075000</v>
      </c>
      <c r="D1258" s="0" t="n">
        <v>-1128271.279311127</v>
      </c>
      <c r="E1258" s="0" t="n">
        <v>4.862764504681246e-06</v>
      </c>
      <c r="F1258" s="0" t="n">
        <v>1.486371606496979e-05</v>
      </c>
      <c r="G1258" s="0" t="n">
        <v>-1.000095156028854e-05</v>
      </c>
      <c r="H1258" s="0" t="b">
        <v>1</v>
      </c>
    </row>
    <row r="1259">
      <c r="A1259" s="0" t="n">
        <v>142</v>
      </c>
      <c r="B1259" s="0" t="n">
        <v>3</v>
      </c>
      <c r="C1259" s="0" t="n">
        <v>4562500</v>
      </c>
      <c r="D1259" s="0" t="n">
        <v>2456253724.645511</v>
      </c>
      <c r="E1259" s="0" t="n">
        <v>3.512104419156756e-05</v>
      </c>
      <c r="F1259" s="0" t="n">
        <v>1.486371606496979e-05</v>
      </c>
      <c r="G1259" s="0" t="n">
        <v>2.025732812659777e-05</v>
      </c>
      <c r="H1259" s="0" t="b">
        <v>0</v>
      </c>
    </row>
    <row r="1260">
      <c r="A1260" s="0" t="n">
        <v>142</v>
      </c>
      <c r="B1260" s="0" t="n">
        <v>4</v>
      </c>
      <c r="C1260" s="0" t="n">
        <v>3818750</v>
      </c>
      <c r="D1260" s="0" t="n">
        <v>-70393155.65231434</v>
      </c>
      <c r="E1260" s="0" t="n">
        <v>1.162931474649915e-05</v>
      </c>
      <c r="F1260" s="0" t="n">
        <v>1.486371606496979e-05</v>
      </c>
      <c r="G1260" s="0" t="n">
        <v>-3.234401318470641e-06</v>
      </c>
      <c r="H1260" s="0" t="b">
        <v>1</v>
      </c>
    </row>
    <row r="1261">
      <c r="A1261" s="0" t="n">
        <v>142</v>
      </c>
      <c r="B1261" s="0" t="n">
        <v>5</v>
      </c>
      <c r="C1261" s="0" t="n">
        <v>4190625</v>
      </c>
      <c r="D1261" s="0" t="n">
        <v>357481381.6844656</v>
      </c>
      <c r="E1261" s="0" t="n">
        <v>1.95142045754592e-05</v>
      </c>
      <c r="F1261" s="0" t="n">
        <v>1.486371606496979e-05</v>
      </c>
      <c r="G1261" s="0" t="n">
        <v>4.650488510489415e-06</v>
      </c>
      <c r="H1261" s="0" t="b">
        <v>0</v>
      </c>
    </row>
    <row r="1262">
      <c r="A1262" s="0" t="n">
        <v>142</v>
      </c>
      <c r="B1262" s="0" t="n">
        <v>6</v>
      </c>
      <c r="C1262" s="0" t="n">
        <v>4004687.5</v>
      </c>
      <c r="D1262" s="0" t="n">
        <v>-34220176.62616377</v>
      </c>
      <c r="E1262" s="0" t="n">
        <v>1.398978512428943e-05</v>
      </c>
      <c r="F1262" s="0" t="n">
        <v>1.486371606496979e-05</v>
      </c>
      <c r="G1262" s="0" t="n">
        <v>-8.739309406803633e-07</v>
      </c>
      <c r="H1262" s="0" t="b">
        <v>1</v>
      </c>
    </row>
    <row r="1263">
      <c r="A1263" s="0" t="n">
        <v>142</v>
      </c>
      <c r="B1263" s="0" t="n">
        <v>7</v>
      </c>
      <c r="C1263" s="0" t="n">
        <v>4097656.25</v>
      </c>
      <c r="D1263" s="0" t="n">
        <v>98805061.8166324</v>
      </c>
      <c r="E1263" s="0" t="n">
        <v>1.658257813608096e-05</v>
      </c>
      <c r="F1263" s="0" t="n">
        <v>1.486371606496979e-05</v>
      </c>
      <c r="G1263" s="0" t="n">
        <v>1.718862071111173e-06</v>
      </c>
      <c r="H1263" s="0" t="b">
        <v>0</v>
      </c>
    </row>
    <row r="1264">
      <c r="A1264" s="0" t="n">
        <v>142</v>
      </c>
      <c r="B1264" s="0" t="n">
        <v>8</v>
      </c>
      <c r="C1264" s="0" t="n">
        <v>4051171.875</v>
      </c>
      <c r="D1264" s="0" t="n">
        <v>18381844.4337167</v>
      </c>
      <c r="E1264" s="0" t="n">
        <v>1.52453551342348e-05</v>
      </c>
      <c r="F1264" s="0" t="n">
        <v>1.486371606496979e-05</v>
      </c>
      <c r="G1264" s="0" t="n">
        <v>3.816390692650078e-07</v>
      </c>
      <c r="H1264" s="0" t="b">
        <v>0</v>
      </c>
    </row>
    <row r="1265">
      <c r="A1265" s="0" t="n">
        <v>142</v>
      </c>
      <c r="B1265" s="0" t="n">
        <v>9</v>
      </c>
      <c r="C1265" s="0" t="n">
        <v>4027929.6875</v>
      </c>
      <c r="D1265" s="0" t="n">
        <v>-11170038.70195704</v>
      </c>
      <c r="E1265" s="0" t="n">
        <v>1.460763712167597e-05</v>
      </c>
      <c r="F1265" s="0" t="n">
        <v>1.486371606496979e-05</v>
      </c>
      <c r="G1265" s="0" t="n">
        <v>-2.560789432938174e-07</v>
      </c>
      <c r="H1265" s="0" t="b">
        <v>1</v>
      </c>
    </row>
    <row r="1266">
      <c r="A1266" s="0" t="n">
        <v>142</v>
      </c>
      <c r="B1266" s="0" t="n">
        <v>10</v>
      </c>
      <c r="C1266" s="0" t="n">
        <v>4039550.78125</v>
      </c>
      <c r="D1266" s="0" t="n">
        <v>2764247.803492557</v>
      </c>
      <c r="E1266" s="0" t="n">
        <v>1.492396237981376e-05</v>
      </c>
      <c r="F1266" s="0" t="n">
        <v>1.486371606496979e-05</v>
      </c>
      <c r="G1266" s="0" t="n">
        <v>6.024631484397002e-08</v>
      </c>
      <c r="H1266" s="0" t="b">
        <v>0</v>
      </c>
    </row>
    <row r="1267">
      <c r="A1267" s="0" t="n">
        <v>142</v>
      </c>
      <c r="B1267" s="0" t="n">
        <v>11</v>
      </c>
      <c r="C1267" s="0" t="n">
        <v>4045361.328125</v>
      </c>
      <c r="D1267" s="0" t="n">
        <v>10359131.13480606</v>
      </c>
      <c r="E1267" s="0" t="n">
        <v>1.508402225338306e-05</v>
      </c>
      <c r="F1267" s="0" t="n">
        <v>1.486371606496979e-05</v>
      </c>
      <c r="G1267" s="0" t="n">
        <v>2.203061884132736e-07</v>
      </c>
      <c r="H1267" s="0" t="b">
        <v>0</v>
      </c>
    </row>
    <row r="1268">
      <c r="A1268" s="0" t="n">
        <v>142</v>
      </c>
      <c r="B1268" s="0" t="n">
        <v>12</v>
      </c>
      <c r="C1268" s="0" t="n">
        <v>4042456.0546875</v>
      </c>
      <c r="D1268" s="0" t="n">
        <v>6508705.893093982</v>
      </c>
      <c r="E1268" s="0" t="n">
        <v>1.50038347914296e-05</v>
      </c>
      <c r="F1268" s="0" t="n">
        <v>1.486371606496979e-05</v>
      </c>
      <c r="G1268" s="0" t="n">
        <v>1.401187264598077e-07</v>
      </c>
      <c r="H1268" s="0" t="b">
        <v>0</v>
      </c>
    </row>
    <row r="1269">
      <c r="A1269" s="0" t="n">
        <v>142</v>
      </c>
      <c r="B1269" s="0" t="n">
        <v>13</v>
      </c>
      <c r="C1269" s="0" t="n">
        <v>4041003.41796875</v>
      </c>
      <c r="D1269" s="0" t="n">
        <v>4623299.067554162</v>
      </c>
      <c r="E1269" s="0" t="n">
        <v>1.496385954959719e-05</v>
      </c>
      <c r="F1269" s="0" t="n">
        <v>1.486371606496979e-05</v>
      </c>
      <c r="G1269" s="0" t="n">
        <v>1.00143484627404e-07</v>
      </c>
      <c r="H1269" s="0" t="b">
        <v>0</v>
      </c>
    </row>
    <row r="1270">
      <c r="A1270" s="0" t="n">
        <v>142</v>
      </c>
      <c r="B1270" s="0" t="n">
        <v>14</v>
      </c>
      <c r="C1270" s="0" t="n">
        <v>4039803.41796875</v>
      </c>
      <c r="D1270" s="0" t="n">
        <v>3085719.945303769</v>
      </c>
      <c r="E1270" s="0" t="n">
        <v>1.493089643535238e-05</v>
      </c>
      <c r="F1270" s="0" t="n">
        <v>1.486371606496979e-05</v>
      </c>
      <c r="G1270" s="0" t="n">
        <v>6.718037038258839e-08</v>
      </c>
      <c r="H1270" s="0" t="b">
        <v>0</v>
      </c>
    </row>
    <row r="1271">
      <c r="A1271" s="0" t="n">
        <v>142</v>
      </c>
      <c r="B1271" s="0" t="n">
        <v>15</v>
      </c>
      <c r="C1271" s="0" t="n">
        <v>4040403.41796875</v>
      </c>
      <c r="D1271" s="0" t="n">
        <v>3852204.385307435</v>
      </c>
      <c r="E1271" s="0" t="n">
        <v>1.494737003203553e-05</v>
      </c>
      <c r="F1271" s="0" t="n">
        <v>1.486371606496979e-05</v>
      </c>
      <c r="G1271" s="0" t="n">
        <v>8.365396706573921e-08</v>
      </c>
      <c r="H1271" s="0" t="b">
        <v>0</v>
      </c>
    </row>
    <row r="1272">
      <c r="A1272" s="0" t="n">
        <v>142</v>
      </c>
      <c r="B1272" s="0" t="n">
        <v>16</v>
      </c>
      <c r="C1272" s="0" t="n">
        <v>4041123.41796875</v>
      </c>
      <c r="D1272" s="0" t="n">
        <v>4777990.770052925</v>
      </c>
      <c r="E1272" s="0" t="n">
        <v>1.496715763193653e-05</v>
      </c>
      <c r="F1272" s="0" t="n">
        <v>1.486371606496979e-05</v>
      </c>
      <c r="G1272" s="0" t="n">
        <v>1.034415669667415e-07</v>
      </c>
      <c r="H1272" s="0" t="b">
        <v>0</v>
      </c>
    </row>
    <row r="1273">
      <c r="A1273" s="0" t="n">
        <v>142</v>
      </c>
      <c r="B1273" s="0" t="n">
        <v>17</v>
      </c>
      <c r="C1273" s="0" t="n">
        <v>4040763.41796875</v>
      </c>
      <c r="D1273" s="0" t="n">
        <v>4314343.348088668</v>
      </c>
      <c r="E1273" s="0" t="n">
        <v>1.495726260075548e-05</v>
      </c>
      <c r="F1273" s="0" t="n">
        <v>1.486371606496979e-05</v>
      </c>
      <c r="G1273" s="0" t="n">
        <v>9.354653578568909e-08</v>
      </c>
      <c r="H1273" s="0" t="b">
        <v>0</v>
      </c>
    </row>
    <row r="1274">
      <c r="A1274" s="0" t="n">
        <v>142</v>
      </c>
      <c r="B1274" s="0" t="n">
        <v>18</v>
      </c>
      <c r="C1274" s="0" t="n">
        <v>4040331.41796875</v>
      </c>
      <c r="D1274" s="0" t="n">
        <v>3759982.218421872</v>
      </c>
      <c r="E1274" s="0" t="n">
        <v>1.494539234281286e-05</v>
      </c>
      <c r="F1274" s="0" t="n">
        <v>1.486371606496979e-05</v>
      </c>
      <c r="G1274" s="0" t="n">
        <v>8.167627784307203e-08</v>
      </c>
      <c r="H1274" s="0" t="b">
        <v>0</v>
      </c>
    </row>
    <row r="1275">
      <c r="A1275" s="0" t="n">
        <v>142</v>
      </c>
      <c r="B1275" s="0" t="n">
        <v>19</v>
      </c>
      <c r="C1275" s="0" t="n">
        <v>4040547.41796875</v>
      </c>
      <c r="D1275" s="0" t="n">
        <v>4036843.051614435</v>
      </c>
      <c r="E1275" s="0" t="n">
        <v>1.495132599444377e-05</v>
      </c>
      <c r="F1275" s="0" t="n">
        <v>1.486371606496979e-05</v>
      </c>
      <c r="G1275" s="0" t="n">
        <v>8.760992947398326e-08</v>
      </c>
      <c r="H1275" s="0" t="b">
        <v>0</v>
      </c>
    </row>
    <row r="1276">
      <c r="A1276" s="0" t="n">
        <v>143</v>
      </c>
      <c r="B1276" s="0" t="n">
        <v>1</v>
      </c>
      <c r="C1276" s="0" t="n">
        <v>6050000</v>
      </c>
      <c r="D1276" s="0" t="n">
        <v>17808967055.33247</v>
      </c>
      <c r="E1276" s="0" t="n">
        <v>0.0001036796354305262</v>
      </c>
      <c r="F1276" s="0" t="n">
        <v>1.486371606496979e-05</v>
      </c>
      <c r="G1276" s="0" t="n">
        <v>8.881591936555643e-05</v>
      </c>
      <c r="H1276" s="0" t="b">
        <v>0</v>
      </c>
    </row>
    <row r="1277">
      <c r="A1277" s="0" t="n">
        <v>143</v>
      </c>
      <c r="B1277" s="0" t="n">
        <v>2</v>
      </c>
      <c r="C1277" s="0" t="n">
        <v>3075000</v>
      </c>
      <c r="D1277" s="0" t="n">
        <v>-436071.9445757213</v>
      </c>
      <c r="E1277" s="0" t="n">
        <v>3.160111790084305e-06</v>
      </c>
      <c r="F1277" s="0" t="n">
        <v>1.486371606496979e-05</v>
      </c>
      <c r="G1277" s="0" t="n">
        <v>-1.170360427488548e-05</v>
      </c>
      <c r="H1277" s="0" t="b">
        <v>1</v>
      </c>
    </row>
    <row r="1278">
      <c r="A1278" s="0" t="n">
        <v>143</v>
      </c>
      <c r="B1278" s="0" t="n">
        <v>3</v>
      </c>
      <c r="C1278" s="0" t="n">
        <v>4562500</v>
      </c>
      <c r="D1278" s="0" t="n">
        <v>142291209.6554763</v>
      </c>
      <c r="E1278" s="0" t="n">
        <v>1.717646185059966e-05</v>
      </c>
      <c r="F1278" s="0" t="n">
        <v>1.486371606496979e-05</v>
      </c>
      <c r="G1278" s="0" t="n">
        <v>2.312745785629876e-06</v>
      </c>
      <c r="H1278" s="0" t="b">
        <v>0</v>
      </c>
    </row>
    <row r="1279">
      <c r="A1279" s="0" t="n">
        <v>143</v>
      </c>
      <c r="B1279" s="0" t="n">
        <v>4</v>
      </c>
      <c r="C1279" s="0" t="n">
        <v>3818750</v>
      </c>
      <c r="D1279" s="0" t="n">
        <v>-11459155.11311819</v>
      </c>
      <c r="E1279" s="0" t="n">
        <v>7.870329179863475e-06</v>
      </c>
      <c r="F1279" s="0" t="n">
        <v>1.486371606496979e-05</v>
      </c>
      <c r="G1279" s="0" t="n">
        <v>-6.993386885106314e-06</v>
      </c>
      <c r="H1279" s="0" t="b">
        <v>1</v>
      </c>
    </row>
    <row r="1280">
      <c r="A1280" s="0" t="n">
        <v>143</v>
      </c>
      <c r="B1280" s="0" t="n">
        <v>5</v>
      </c>
      <c r="C1280" s="0" t="n">
        <v>4190625</v>
      </c>
      <c r="D1280" s="0" t="n">
        <v>-68598411.2519386</v>
      </c>
      <c r="E1280" s="0" t="n">
        <v>1.125394807662188e-05</v>
      </c>
      <c r="F1280" s="0" t="n">
        <v>1.486371606496979e-05</v>
      </c>
      <c r="G1280" s="0" t="n">
        <v>-3.60976798834791e-06</v>
      </c>
      <c r="H1280" s="0" t="b">
        <v>1</v>
      </c>
    </row>
    <row r="1281">
      <c r="A1281" s="0" t="n">
        <v>143</v>
      </c>
      <c r="B1281" s="0" t="n">
        <v>6</v>
      </c>
      <c r="C1281" s="0" t="n">
        <v>4376562.5</v>
      </c>
      <c r="D1281" s="0" t="n">
        <v>-55725389.28677773</v>
      </c>
      <c r="E1281" s="0" t="n">
        <v>1.319089087423093e-05</v>
      </c>
      <c r="F1281" s="0" t="n">
        <v>1.486371606496979e-05</v>
      </c>
      <c r="G1281" s="0" t="n">
        <v>-1.672825190738854e-06</v>
      </c>
      <c r="H1281" s="0" t="b">
        <v>1</v>
      </c>
    </row>
    <row r="1282">
      <c r="A1282" s="0" t="n">
        <v>143</v>
      </c>
      <c r="B1282" s="0" t="n">
        <v>7</v>
      </c>
      <c r="C1282" s="0" t="n">
        <v>4469531.25</v>
      </c>
      <c r="D1282" s="0" t="n">
        <v>-3508424.941932324</v>
      </c>
      <c r="E1282" s="0" t="n">
        <v>1.478556749063726e-05</v>
      </c>
      <c r="F1282" s="0" t="n">
        <v>1.486371606496979e-05</v>
      </c>
      <c r="G1282" s="0" t="n">
        <v>-7.814857433252603e-08</v>
      </c>
      <c r="H1282" s="0" t="b">
        <v>1</v>
      </c>
    </row>
    <row r="1283">
      <c r="A1283" s="0" t="n">
        <v>143</v>
      </c>
      <c r="B1283" s="0" t="n">
        <v>8</v>
      </c>
      <c r="C1283" s="0" t="n">
        <v>4516015.625</v>
      </c>
      <c r="D1283" s="0" t="n">
        <v>57571165.73950478</v>
      </c>
      <c r="E1283" s="0" t="n">
        <v>1.594795725185682e-05</v>
      </c>
      <c r="F1283" s="0" t="n">
        <v>1.486371606496979e-05</v>
      </c>
      <c r="G1283" s="0" t="n">
        <v>1.084241186887031e-06</v>
      </c>
      <c r="H1283" s="0" t="b">
        <v>0</v>
      </c>
    </row>
    <row r="1284">
      <c r="A1284" s="0" t="n">
        <v>143</v>
      </c>
      <c r="B1284" s="0" t="n">
        <v>9</v>
      </c>
      <c r="C1284" s="0" t="n">
        <v>4492773.4375</v>
      </c>
      <c r="D1284" s="0" t="n">
        <v>24234206.43880486</v>
      </c>
      <c r="E1284" s="0" t="n">
        <v>1.535863252842786e-05</v>
      </c>
      <c r="F1284" s="0" t="n">
        <v>1.486371606496979e-05</v>
      </c>
      <c r="G1284" s="0" t="n">
        <v>4.949164634580748e-07</v>
      </c>
      <c r="H1284" s="0" t="b">
        <v>0</v>
      </c>
    </row>
    <row r="1285">
      <c r="A1285" s="0" t="n">
        <v>143</v>
      </c>
      <c r="B1285" s="0" t="n">
        <v>10</v>
      </c>
      <c r="C1285" s="0" t="n">
        <v>4481152.34375</v>
      </c>
      <c r="D1285" s="0" t="n">
        <v>9683326.571141735</v>
      </c>
      <c r="E1285" s="0" t="n">
        <v>1.50700846219192e-05</v>
      </c>
      <c r="F1285" s="0" t="n">
        <v>1.486371606496979e-05</v>
      </c>
      <c r="G1285" s="0" t="n">
        <v>2.063685569494139e-07</v>
      </c>
      <c r="H1285" s="0" t="b">
        <v>0</v>
      </c>
    </row>
    <row r="1286">
      <c r="A1286" s="0" t="n">
        <v>143</v>
      </c>
      <c r="B1286" s="0" t="n">
        <v>11</v>
      </c>
      <c r="C1286" s="0" t="n">
        <v>4475341.796875</v>
      </c>
      <c r="D1286" s="0" t="n">
        <v>2920081.140963972</v>
      </c>
      <c r="E1286" s="0" t="n">
        <v>1.492732550244975e-05</v>
      </c>
      <c r="F1286" s="0" t="n">
        <v>1.486371606496979e-05</v>
      </c>
      <c r="G1286" s="0" t="n">
        <v>6.3609437479961e-08</v>
      </c>
      <c r="H1286" s="0" t="b">
        <v>0</v>
      </c>
    </row>
    <row r="1287">
      <c r="A1287" s="0" t="n">
        <v>143</v>
      </c>
      <c r="B1287" s="0" t="n">
        <v>12</v>
      </c>
      <c r="C1287" s="0" t="n">
        <v>4478247.0703125</v>
      </c>
      <c r="D1287" s="0" t="n">
        <v>6259512.126257878</v>
      </c>
      <c r="E1287" s="0" t="n">
        <v>1.49985787793723e-05</v>
      </c>
      <c r="F1287" s="0" t="n">
        <v>1.486371606496979e-05</v>
      </c>
      <c r="G1287" s="0" t="n">
        <v>1.348627144025128e-07</v>
      </c>
      <c r="H1287" s="0" t="b">
        <v>0</v>
      </c>
    </row>
    <row r="1288">
      <c r="A1288" s="0" t="n">
        <v>143</v>
      </c>
      <c r="B1288" s="0" t="n">
        <v>13</v>
      </c>
      <c r="C1288" s="0" t="n">
        <v>4476794.43359375</v>
      </c>
      <c r="D1288" s="0" t="n">
        <v>4579266.769386545</v>
      </c>
      <c r="E1288" s="0" t="n">
        <v>1.49629201614494e-05</v>
      </c>
      <c r="F1288" s="0" t="n">
        <v>1.486371606496979e-05</v>
      </c>
      <c r="G1288" s="0" t="n">
        <v>9.920409647961406e-08</v>
      </c>
      <c r="H1288" s="0" t="b">
        <v>0</v>
      </c>
    </row>
    <row r="1289">
      <c r="A1289" s="0" t="n">
        <v>143</v>
      </c>
      <c r="B1289" s="0" t="n">
        <v>14</v>
      </c>
      <c r="C1289" s="0" t="n">
        <v>4475594.43359375</v>
      </c>
      <c r="D1289" s="0" t="n">
        <v>3207144.105228512</v>
      </c>
      <c r="E1289" s="0" t="n">
        <v>1.493351168016119e-05</v>
      </c>
      <c r="F1289" s="0" t="n">
        <v>1.486371606496979e-05</v>
      </c>
      <c r="G1289" s="0" t="n">
        <v>6.979561519140534e-08</v>
      </c>
      <c r="H1289" s="0" t="b">
        <v>0</v>
      </c>
    </row>
    <row r="1290">
      <c r="A1290" s="0" t="n">
        <v>143</v>
      </c>
      <c r="B1290" s="0" t="n">
        <v>15</v>
      </c>
      <c r="C1290" s="0" t="n">
        <v>4476194.43359375</v>
      </c>
      <c r="D1290" s="0" t="n">
        <v>3891389.025912874</v>
      </c>
      <c r="E1290" s="0" t="n">
        <v>1.494820997890705e-05</v>
      </c>
      <c r="F1290" s="0" t="n">
        <v>1.486371606496979e-05</v>
      </c>
      <c r="G1290" s="0" t="n">
        <v>8.449391393725725e-08</v>
      </c>
      <c r="H1290" s="0" t="b">
        <v>0</v>
      </c>
    </row>
    <row r="1291">
      <c r="A1291" s="0" t="n">
        <v>143</v>
      </c>
      <c r="B1291" s="0" t="n">
        <v>16</v>
      </c>
      <c r="C1291" s="0" t="n">
        <v>4476914.43359375</v>
      </c>
      <c r="D1291" s="0" t="n">
        <v>4717272.171304758</v>
      </c>
      <c r="E1291" s="0" t="n">
        <v>1.496586348310922e-05</v>
      </c>
      <c r="F1291" s="0" t="n">
        <v>1.486371606496979e-05</v>
      </c>
      <c r="G1291" s="0" t="n">
        <v>1.021474181394361e-07</v>
      </c>
      <c r="H1291" s="0" t="b">
        <v>0</v>
      </c>
    </row>
    <row r="1292">
      <c r="A1292" s="0" t="n">
        <v>143</v>
      </c>
      <c r="B1292" s="0" t="n">
        <v>17</v>
      </c>
      <c r="C1292" s="0" t="n">
        <v>4476554.43359375</v>
      </c>
      <c r="D1292" s="0" t="n">
        <v>4303685.949138912</v>
      </c>
      <c r="E1292" s="0" t="n">
        <v>1.495703480339163e-05</v>
      </c>
      <c r="F1292" s="0" t="n">
        <v>1.486371606496979e-05</v>
      </c>
      <c r="G1292" s="0" t="n">
        <v>9.331873842184149e-08</v>
      </c>
      <c r="H1292" s="0" t="b">
        <v>0</v>
      </c>
    </row>
    <row r="1293">
      <c r="A1293" s="0" t="n">
        <v>143</v>
      </c>
      <c r="B1293" s="0" t="n">
        <v>18</v>
      </c>
      <c r="C1293" s="0" t="n">
        <v>4476734.43359375</v>
      </c>
      <c r="D1293" s="0" t="n">
        <v>4510373.103532072</v>
      </c>
      <c r="E1293" s="0" t="n">
        <v>1.496144984130562e-05</v>
      </c>
      <c r="F1293" s="0" t="n">
        <v>1.486371606496979e-05</v>
      </c>
      <c r="G1293" s="0" t="n">
        <v>9.773377633583295e-08</v>
      </c>
      <c r="H1293" s="0" t="b">
        <v>0</v>
      </c>
    </row>
    <row r="1294">
      <c r="A1294" s="0" t="n">
        <v>144</v>
      </c>
      <c r="B1294" s="0" t="n">
        <v>1</v>
      </c>
      <c r="C1294" s="0" t="n">
        <v>6050000</v>
      </c>
      <c r="D1294" s="0" t="n">
        <v>11405840016.39975</v>
      </c>
      <c r="E1294" s="0" t="n">
        <v>5.354036884544569e-05</v>
      </c>
      <c r="F1294" s="0" t="n">
        <v>1.064817895547638e-05</v>
      </c>
      <c r="G1294" s="0" t="n">
        <v>4.289218988996931e-05</v>
      </c>
      <c r="H1294" s="0" t="b">
        <v>0</v>
      </c>
    </row>
    <row r="1295">
      <c r="A1295" s="0" t="n">
        <v>144</v>
      </c>
      <c r="B1295" s="0" t="n">
        <v>2</v>
      </c>
      <c r="C1295" s="0" t="n">
        <v>3075000</v>
      </c>
      <c r="D1295" s="0" t="n">
        <v>-374652.2197847851</v>
      </c>
      <c r="E1295" s="0" t="n">
        <v>1.832319379241888e-06</v>
      </c>
      <c r="F1295" s="0" t="n">
        <v>1.064817895547638e-05</v>
      </c>
      <c r="G1295" s="0" t="n">
        <v>-8.815859576234491e-06</v>
      </c>
      <c r="H1295" s="0" t="b">
        <v>1</v>
      </c>
    </row>
    <row r="1296">
      <c r="A1296" s="0" t="n">
        <v>144</v>
      </c>
      <c r="B1296" s="0" t="n">
        <v>3</v>
      </c>
      <c r="C1296" s="0" t="n">
        <v>4562500</v>
      </c>
      <c r="D1296" s="0" t="n">
        <v>-48676586.13596984</v>
      </c>
      <c r="E1296" s="0" t="n">
        <v>9.514626885147266e-06</v>
      </c>
      <c r="F1296" s="0" t="n">
        <v>1.064817895547638e-05</v>
      </c>
      <c r="G1296" s="0" t="n">
        <v>-1.133552070329113e-06</v>
      </c>
      <c r="H1296" s="0" t="b">
        <v>1</v>
      </c>
    </row>
    <row r="1297">
      <c r="A1297" s="0" t="n">
        <v>144</v>
      </c>
      <c r="B1297" s="0" t="n">
        <v>4</v>
      </c>
      <c r="C1297" s="0" t="n">
        <v>5306250</v>
      </c>
      <c r="D1297" s="0" t="n">
        <v>2151906556.769491</v>
      </c>
      <c r="E1297" s="0" t="n">
        <v>2.307905619628864e-05</v>
      </c>
      <c r="F1297" s="0" t="n">
        <v>1.064817895547638e-05</v>
      </c>
      <c r="G1297" s="0" t="n">
        <v>1.243087724081226e-05</v>
      </c>
      <c r="H1297" s="0" t="b">
        <v>0</v>
      </c>
    </row>
    <row r="1298">
      <c r="A1298" s="0" t="n">
        <v>144</v>
      </c>
      <c r="B1298" s="0" t="n">
        <v>5</v>
      </c>
      <c r="C1298" s="0" t="n">
        <v>4934375</v>
      </c>
      <c r="D1298" s="0" t="n">
        <v>325970899.0649654</v>
      </c>
      <c r="E1298" s="0" t="n">
        <v>1.384291404843169e-05</v>
      </c>
      <c r="F1298" s="0" t="n">
        <v>1.064817895547638e-05</v>
      </c>
      <c r="G1298" s="0" t="n">
        <v>3.194735092955307e-06</v>
      </c>
      <c r="H1298" s="0" t="b">
        <v>0</v>
      </c>
    </row>
    <row r="1299">
      <c r="A1299" s="0" t="n">
        <v>144</v>
      </c>
      <c r="B1299" s="0" t="n">
        <v>6</v>
      </c>
      <c r="C1299" s="0" t="n">
        <v>4748437.5</v>
      </c>
      <c r="D1299" s="0" t="n">
        <v>23713672.97666696</v>
      </c>
      <c r="E1299" s="0" t="n">
        <v>1.101815605422173e-05</v>
      </c>
      <c r="F1299" s="0" t="n">
        <v>1.064817895547638e-05</v>
      </c>
      <c r="G1299" s="0" t="n">
        <v>3.699770987453496e-07</v>
      </c>
      <c r="H1299" s="0" t="b">
        <v>0</v>
      </c>
    </row>
    <row r="1300">
      <c r="A1300" s="0" t="n">
        <v>144</v>
      </c>
      <c r="B1300" s="0" t="n">
        <v>7</v>
      </c>
      <c r="C1300" s="0" t="n">
        <v>4655468.75</v>
      </c>
      <c r="D1300" s="0" t="n">
        <v>-21132923.87081968</v>
      </c>
      <c r="E1300" s="0" t="n">
        <v>1.025219028333401e-05</v>
      </c>
      <c r="F1300" s="0" t="n">
        <v>1.064817895547638e-05</v>
      </c>
      <c r="G1300" s="0" t="n">
        <v>-3.959886721423647e-07</v>
      </c>
      <c r="H1300" s="0" t="b">
        <v>1</v>
      </c>
    </row>
    <row r="1301">
      <c r="A1301" s="0" t="n">
        <v>144</v>
      </c>
      <c r="B1301" s="0" t="n">
        <v>8</v>
      </c>
      <c r="C1301" s="0" t="n">
        <v>4701953.125</v>
      </c>
      <c r="D1301" s="0" t="n">
        <v>-972729.6229988763</v>
      </c>
      <c r="E1301" s="0" t="n">
        <v>1.063160744419807e-05</v>
      </c>
      <c r="F1301" s="0" t="n">
        <v>1.064817895547638e-05</v>
      </c>
      <c r="G1301" s="0" t="n">
        <v>-1.657151127830757e-08</v>
      </c>
      <c r="H1301" s="0" t="b">
        <v>1</v>
      </c>
    </row>
    <row r="1302">
      <c r="A1302" s="0" t="n">
        <v>144</v>
      </c>
      <c r="B1302" s="0" t="n">
        <v>9</v>
      </c>
      <c r="C1302" s="0" t="n">
        <v>4725195.3125</v>
      </c>
      <c r="D1302" s="0" t="n">
        <v>10793187.13449046</v>
      </c>
      <c r="E1302" s="0" t="n">
        <v>1.082399382272852e-05</v>
      </c>
      <c r="F1302" s="0" t="n">
        <v>1.064817895547638e-05</v>
      </c>
      <c r="G1302" s="0" t="n">
        <v>1.758148672521362e-07</v>
      </c>
      <c r="H1302" s="0" t="b">
        <v>0</v>
      </c>
    </row>
    <row r="1303">
      <c r="A1303" s="0" t="n">
        <v>144</v>
      </c>
      <c r="B1303" s="0" t="n">
        <v>10</v>
      </c>
      <c r="C1303" s="0" t="n">
        <v>4713574.21875</v>
      </c>
      <c r="D1303" s="0" t="n">
        <v>4767326.745549719</v>
      </c>
      <c r="E1303" s="0" t="n">
        <v>1.07275784608928e-05</v>
      </c>
      <c r="F1303" s="0" t="n">
        <v>1.064817895547638e-05</v>
      </c>
      <c r="G1303" s="0" t="n">
        <v>7.939950541641647e-08</v>
      </c>
      <c r="H1303" s="0" t="b">
        <v>0</v>
      </c>
    </row>
    <row r="1304">
      <c r="A1304" s="0" t="n">
        <v>144</v>
      </c>
      <c r="B1304" s="0" t="n">
        <v>11</v>
      </c>
      <c r="C1304" s="0" t="n">
        <v>4707763.671875</v>
      </c>
      <c r="D1304" s="0" t="n">
        <v>1861747.683947455</v>
      </c>
      <c r="E1304" s="0" t="n">
        <v>1.067953729559622e-05</v>
      </c>
      <c r="F1304" s="0" t="n">
        <v>1.064817895547638e-05</v>
      </c>
      <c r="G1304" s="0" t="n">
        <v>3.135834011983684e-08</v>
      </c>
      <c r="H1304" s="0" t="b">
        <v>0</v>
      </c>
    </row>
    <row r="1305">
      <c r="A1305" s="0" t="n">
        <v>144</v>
      </c>
      <c r="B1305" s="0" t="n">
        <v>12</v>
      </c>
      <c r="C1305" s="0" t="n">
        <v>4710668.9453125</v>
      </c>
      <c r="D1305" s="0" t="n">
        <v>3305602.959106022</v>
      </c>
      <c r="E1305" s="0" t="n">
        <v>1.07035435723176e-05</v>
      </c>
      <c r="F1305" s="0" t="n">
        <v>1.064817895547638e-05</v>
      </c>
      <c r="G1305" s="0" t="n">
        <v>5.536461684121796e-08</v>
      </c>
      <c r="H1305" s="0" t="b">
        <v>0</v>
      </c>
    </row>
    <row r="1306">
      <c r="A1306" s="0" t="n">
        <v>144</v>
      </c>
      <c r="B1306" s="0" t="n">
        <v>13</v>
      </c>
      <c r="C1306" s="0" t="n">
        <v>4712121.58203125</v>
      </c>
      <c r="D1306" s="0" t="n">
        <v>4034222.294981456</v>
      </c>
      <c r="E1306" s="0" t="n">
        <v>1.071555734066598e-05</v>
      </c>
      <c r="F1306" s="0" t="n">
        <v>1.064817895547638e-05</v>
      </c>
      <c r="G1306" s="0" t="n">
        <v>6.73783851896001e-08</v>
      </c>
      <c r="H1306" s="0" t="b">
        <v>0</v>
      </c>
    </row>
    <row r="1307">
      <c r="A1307" s="0" t="n">
        <v>144</v>
      </c>
      <c r="B1307" s="0" t="n">
        <v>14</v>
      </c>
      <c r="C1307" s="0" t="n">
        <v>4713321.58203125</v>
      </c>
      <c r="D1307" s="0" t="n">
        <v>4639511.73765598</v>
      </c>
      <c r="E1307" s="0" t="n">
        <v>1.072548736645961e-05</v>
      </c>
      <c r="F1307" s="0" t="n">
        <v>1.064817895547638e-05</v>
      </c>
      <c r="G1307" s="0" t="n">
        <v>7.730841098322896e-08</v>
      </c>
      <c r="H1307" s="0" t="b">
        <v>0</v>
      </c>
    </row>
    <row r="1308">
      <c r="A1308" s="0" t="n">
        <v>144</v>
      </c>
      <c r="B1308" s="0" t="n">
        <v>15</v>
      </c>
      <c r="C1308" s="0" t="n">
        <v>4714761.58203125</v>
      </c>
      <c r="D1308" s="0" t="n">
        <v>5369827.720135565</v>
      </c>
      <c r="E1308" s="0" t="n">
        <v>1.073740877647177e-05</v>
      </c>
      <c r="F1308" s="0" t="n">
        <v>1.064817895547638e-05</v>
      </c>
      <c r="G1308" s="0" t="n">
        <v>8.92298209953951e-08</v>
      </c>
      <c r="H1308" s="0" t="b">
        <v>0</v>
      </c>
    </row>
    <row r="1309">
      <c r="A1309" s="0" t="n">
        <v>144</v>
      </c>
      <c r="B1309" s="0" t="n">
        <v>16</v>
      </c>
      <c r="C1309" s="0" t="n">
        <v>4714041.58203125</v>
      </c>
      <c r="D1309" s="0" t="n">
        <v>5004108.675617903</v>
      </c>
      <c r="E1309" s="0" t="n">
        <v>1.073144701768237e-05</v>
      </c>
      <c r="F1309" s="0" t="n">
        <v>1.064817895547638e-05</v>
      </c>
      <c r="G1309" s="0" t="n">
        <v>8.326806220599512e-08</v>
      </c>
      <c r="H1309" s="0" t="b">
        <v>0</v>
      </c>
    </row>
    <row r="1310">
      <c r="A1310" s="0" t="n">
        <v>144</v>
      </c>
      <c r="B1310" s="0" t="n">
        <v>17</v>
      </c>
      <c r="C1310" s="0" t="n">
        <v>4713177.58203125</v>
      </c>
      <c r="D1310" s="0" t="n">
        <v>4566719.097295922</v>
      </c>
      <c r="E1310" s="0" t="n">
        <v>1.072429556093529e-05</v>
      </c>
      <c r="F1310" s="0" t="n">
        <v>1.064817895547638e-05</v>
      </c>
      <c r="G1310" s="0" t="n">
        <v>7.611660545890804e-08</v>
      </c>
      <c r="H1310" s="0" t="b">
        <v>0</v>
      </c>
    </row>
    <row r="1311">
      <c r="A1311" s="0" t="n">
        <v>144</v>
      </c>
      <c r="B1311" s="0" t="n">
        <v>18</v>
      </c>
      <c r="C1311" s="0" t="n">
        <v>4713609.58203125</v>
      </c>
      <c r="D1311" s="0" t="n">
        <v>4785228.659550584</v>
      </c>
      <c r="E1311" s="0" t="n">
        <v>1.072787118238569e-05</v>
      </c>
      <c r="F1311" s="0" t="n">
        <v>1.064817895547638e-05</v>
      </c>
      <c r="G1311" s="0" t="n">
        <v>7.96922269093134e-08</v>
      </c>
      <c r="H1311" s="0" t="b">
        <v>0</v>
      </c>
    </row>
    <row r="1312">
      <c r="A1312" s="0" t="n">
        <v>144</v>
      </c>
      <c r="B1312" s="0" t="n">
        <v>19</v>
      </c>
      <c r="C1312" s="0" t="n">
        <v>4713393.58203125</v>
      </c>
      <c r="D1312" s="0" t="n">
        <v>4675924.511966628</v>
      </c>
      <c r="E1312" s="0" t="n">
        <v>1.072608329483176e-05</v>
      </c>
      <c r="F1312" s="0" t="n">
        <v>1.064817895547638e-05</v>
      </c>
      <c r="G1312" s="0" t="n">
        <v>7.790433935537891e-08</v>
      </c>
      <c r="H1312" s="0" t="b">
        <v>0</v>
      </c>
    </row>
    <row r="1313">
      <c r="A1313" s="0" t="n">
        <v>145</v>
      </c>
      <c r="B1313" s="0" t="n">
        <v>1</v>
      </c>
      <c r="C1313" s="0" t="n">
        <v>6050000</v>
      </c>
      <c r="D1313" s="0" t="n">
        <v>135294961176.9615</v>
      </c>
      <c r="E1313" s="0" t="n">
        <v>0.0002709484403761133</v>
      </c>
      <c r="F1313" s="0" t="n">
        <v>1.034162869820729e-05</v>
      </c>
      <c r="G1313" s="0" t="n">
        <v>0.000260606811677906</v>
      </c>
      <c r="H1313" s="0" t="b">
        <v>0</v>
      </c>
    </row>
    <row r="1314">
      <c r="A1314" s="0" t="n">
        <v>145</v>
      </c>
      <c r="B1314" s="0" t="n">
        <v>2</v>
      </c>
      <c r="C1314" s="0" t="n">
        <v>3075000</v>
      </c>
      <c r="D1314" s="0" t="n">
        <v>-15738694.38878187</v>
      </c>
      <c r="E1314" s="0" t="n">
        <v>5.91257533478713e-06</v>
      </c>
      <c r="F1314" s="0" t="n">
        <v>1.03416286982073e-05</v>
      </c>
      <c r="G1314" s="0" t="n">
        <v>-4.42905336342017e-06</v>
      </c>
      <c r="H1314" s="0" t="b">
        <v>1</v>
      </c>
    </row>
    <row r="1315">
      <c r="A1315" s="0" t="n">
        <v>145</v>
      </c>
      <c r="B1315" s="0" t="n">
        <v>3</v>
      </c>
      <c r="C1315" s="0" t="n">
        <v>4562500</v>
      </c>
      <c r="D1315" s="0" t="n">
        <v>12815517111.98309</v>
      </c>
      <c r="E1315" s="0" t="n">
        <v>5.54813610630026e-05</v>
      </c>
      <c r="F1315" s="0" t="n">
        <v>1.03416286982073e-05</v>
      </c>
      <c r="G1315" s="0" t="n">
        <v>4.51397323647953e-05</v>
      </c>
      <c r="H1315" s="0" t="b">
        <v>0</v>
      </c>
    </row>
    <row r="1316">
      <c r="A1316" s="0" t="n">
        <v>145</v>
      </c>
      <c r="B1316" s="0" t="n">
        <v>4</v>
      </c>
      <c r="C1316" s="0" t="n">
        <v>3818750</v>
      </c>
      <c r="D1316" s="0" t="n">
        <v>901777662.0988283</v>
      </c>
      <c r="E1316" s="0" t="n">
        <v>1.654332868038223e-05</v>
      </c>
      <c r="F1316" s="0" t="n">
        <v>1.03416286982073e-05</v>
      </c>
      <c r="G1316" s="0" t="n">
        <v>6.201699982174929e-06</v>
      </c>
      <c r="H1316" s="0" t="b">
        <v>0</v>
      </c>
    </row>
    <row r="1317">
      <c r="A1317" s="0" t="n">
        <v>145</v>
      </c>
      <c r="B1317" s="0" t="n">
        <v>5</v>
      </c>
      <c r="C1317" s="0" t="n">
        <v>3446875</v>
      </c>
      <c r="D1317" s="0" t="n">
        <v>-45097018.95811734</v>
      </c>
      <c r="E1317" s="0" t="n">
        <v>9.348327839950168e-06</v>
      </c>
      <c r="F1317" s="0" t="n">
        <v>1.03416286982073e-05</v>
      </c>
      <c r="G1317" s="0" t="n">
        <v>-9.933008582571311e-07</v>
      </c>
      <c r="H1317" s="0" t="b">
        <v>1</v>
      </c>
    </row>
    <row r="1318">
      <c r="A1318" s="0" t="n">
        <v>145</v>
      </c>
      <c r="B1318" s="0" t="n">
        <v>6</v>
      </c>
      <c r="C1318" s="0" t="n">
        <v>3632812.5</v>
      </c>
      <c r="D1318" s="0" t="n">
        <v>80270333.69800776</v>
      </c>
      <c r="E1318" s="0" t="n">
        <v>1.140060993118311e-05</v>
      </c>
      <c r="F1318" s="0" t="n">
        <v>1.03416286982073e-05</v>
      </c>
      <c r="G1318" s="0" t="n">
        <v>1.058981232975813e-06</v>
      </c>
      <c r="H1318" s="0" t="b">
        <v>0</v>
      </c>
    </row>
    <row r="1319">
      <c r="A1319" s="0" t="n">
        <v>145</v>
      </c>
      <c r="B1319" s="0" t="n">
        <v>7</v>
      </c>
      <c r="C1319" s="0" t="n">
        <v>3539843.75</v>
      </c>
      <c r="D1319" s="0" t="n">
        <v>337232.7625713982</v>
      </c>
      <c r="E1319" s="0" t="n">
        <v>1.034721924377354e-05</v>
      </c>
      <c r="F1319" s="0" t="n">
        <v>1.03416286982073e-05</v>
      </c>
      <c r="G1319" s="0" t="n">
        <v>5.590545566241847e-09</v>
      </c>
      <c r="H1319" s="0" t="b">
        <v>0</v>
      </c>
    </row>
    <row r="1320">
      <c r="A1320" s="0" t="n">
        <v>145</v>
      </c>
      <c r="B1320" s="0" t="n">
        <v>8</v>
      </c>
      <c r="C1320" s="0" t="n">
        <v>3586328.125</v>
      </c>
      <c r="D1320" s="0" t="n">
        <v>35735921.40733909</v>
      </c>
      <c r="E1320" s="0" t="n">
        <v>1.086712418223082e-05</v>
      </c>
      <c r="F1320" s="0" t="n">
        <v>1.03416286982073e-05</v>
      </c>
      <c r="G1320" s="0" t="n">
        <v>5.2549548402352e-07</v>
      </c>
      <c r="H1320" s="0" t="b">
        <v>0</v>
      </c>
    </row>
    <row r="1321">
      <c r="A1321" s="0" t="n">
        <v>145</v>
      </c>
      <c r="B1321" s="0" t="n">
        <v>9</v>
      </c>
      <c r="C1321" s="0" t="n">
        <v>3563085.9375</v>
      </c>
      <c r="D1321" s="0" t="n">
        <v>16924511.91973507</v>
      </c>
      <c r="E1321" s="0" t="n">
        <v>1.060546615983925e-05</v>
      </c>
      <c r="F1321" s="0" t="n">
        <v>1.03416286982073e-05</v>
      </c>
      <c r="G1321" s="0" t="n">
        <v>2.638374616319469e-07</v>
      </c>
      <c r="H1321" s="0" t="b">
        <v>0</v>
      </c>
    </row>
    <row r="1322">
      <c r="A1322" s="0" t="n">
        <v>145</v>
      </c>
      <c r="B1322" s="0" t="n">
        <v>10</v>
      </c>
      <c r="C1322" s="0" t="n">
        <v>3551464.84375</v>
      </c>
      <c r="D1322" s="0" t="n">
        <v>8356775.125116725</v>
      </c>
      <c r="E1322" s="0" t="n">
        <v>1.04759158521717e-05</v>
      </c>
      <c r="F1322" s="0" t="n">
        <v>1.03416286982073e-05</v>
      </c>
      <c r="G1322" s="0" t="n">
        <v>1.342871539643987e-07</v>
      </c>
      <c r="H1322" s="0" t="b">
        <v>0</v>
      </c>
    </row>
    <row r="1323">
      <c r="A1323" s="0" t="n">
        <v>145</v>
      </c>
      <c r="B1323" s="0" t="n">
        <v>11</v>
      </c>
      <c r="C1323" s="0" t="n">
        <v>3545654.296875</v>
      </c>
      <c r="D1323" s="0" t="n">
        <v>4278955.317059916</v>
      </c>
      <c r="E1323" s="0" t="n">
        <v>1.041146040385073e-05</v>
      </c>
      <c r="F1323" s="0" t="n">
        <v>1.03416286982073e-05</v>
      </c>
      <c r="G1323" s="0" t="n">
        <v>6.983170564342642e-08</v>
      </c>
      <c r="H1323" s="0" t="b">
        <v>0</v>
      </c>
    </row>
    <row r="1324">
      <c r="A1324" s="0" t="n">
        <v>145</v>
      </c>
      <c r="B1324" s="0" t="n">
        <v>12</v>
      </c>
      <c r="C1324" s="0" t="n">
        <v>3542749.0234375</v>
      </c>
      <c r="D1324" s="0" t="n">
        <v>2291173.332572005</v>
      </c>
      <c r="E1324" s="0" t="n">
        <v>1.037931349038177e-05</v>
      </c>
      <c r="F1324" s="0" t="n">
        <v>1.03416286982073e-05</v>
      </c>
      <c r="G1324" s="0" t="n">
        <v>3.768479217447478e-08</v>
      </c>
      <c r="H1324" s="0" t="b">
        <v>0</v>
      </c>
    </row>
    <row r="1325">
      <c r="A1325" s="0" t="n">
        <v>145</v>
      </c>
      <c r="B1325" s="0" t="n">
        <v>13</v>
      </c>
      <c r="C1325" s="0" t="n">
        <v>3544201.66015625</v>
      </c>
      <c r="D1325" s="0" t="n">
        <v>3280832.888439534</v>
      </c>
      <c r="E1325" s="0" t="n">
        <v>1.039538046990602e-05</v>
      </c>
      <c r="F1325" s="0" t="n">
        <v>1.03416286982073e-05</v>
      </c>
      <c r="G1325" s="0" t="n">
        <v>5.375177169872498e-08</v>
      </c>
      <c r="H1325" s="0" t="b">
        <v>0</v>
      </c>
    </row>
    <row r="1326">
      <c r="A1326" s="0" t="n">
        <v>145</v>
      </c>
      <c r="B1326" s="0" t="n">
        <v>14</v>
      </c>
      <c r="C1326" s="0" t="n">
        <v>3545401.66015625</v>
      </c>
      <c r="D1326" s="0" t="n">
        <v>4104776.821222329</v>
      </c>
      <c r="E1326" s="0" t="n">
        <v>1.040866322982399e-05</v>
      </c>
      <c r="F1326" s="0" t="n">
        <v>1.03416286982073e-05</v>
      </c>
      <c r="G1326" s="0" t="n">
        <v>6.703453161669119e-08</v>
      </c>
      <c r="H1326" s="0" t="b">
        <v>0</v>
      </c>
    </row>
    <row r="1327">
      <c r="A1327" s="0" t="n">
        <v>145</v>
      </c>
      <c r="B1327" s="0" t="n">
        <v>15</v>
      </c>
      <c r="C1327" s="0" t="n">
        <v>3544801.66015625</v>
      </c>
      <c r="D1327" s="0" t="n">
        <v>3692054.427554816</v>
      </c>
      <c r="E1327" s="0" t="n">
        <v>1.040202029411588e-05</v>
      </c>
      <c r="F1327" s="0" t="n">
        <v>1.03416286982073e-05</v>
      </c>
      <c r="G1327" s="0" t="n">
        <v>6.039159590857877e-08</v>
      </c>
      <c r="H1327" s="0" t="b">
        <v>0</v>
      </c>
    </row>
    <row r="1328">
      <c r="A1328" s="0" t="n">
        <v>145</v>
      </c>
      <c r="B1328" s="0" t="n">
        <v>16</v>
      </c>
      <c r="C1328" s="0" t="n">
        <v>3544081.66015625</v>
      </c>
      <c r="D1328" s="0" t="n">
        <v>3198731.605871495</v>
      </c>
      <c r="E1328" s="0" t="n">
        <v>1.03940522807305e-05</v>
      </c>
      <c r="F1328" s="0" t="n">
        <v>1.03416286982073e-05</v>
      </c>
      <c r="G1328" s="0" t="n">
        <v>5.242358252320199e-08</v>
      </c>
      <c r="H1328" s="0" t="b">
        <v>0</v>
      </c>
    </row>
    <row r="1329">
      <c r="A1329" s="0" t="n">
        <v>145</v>
      </c>
      <c r="B1329" s="0" t="n">
        <v>17</v>
      </c>
      <c r="C1329" s="0" t="n">
        <v>3544441.66015625</v>
      </c>
      <c r="D1329" s="0" t="n">
        <v>3445157.962255331</v>
      </c>
      <c r="E1329" s="0" t="n">
        <v>1.039803629202948e-05</v>
      </c>
      <c r="F1329" s="0" t="n">
        <v>1.03416286982073e-05</v>
      </c>
      <c r="G1329" s="0" t="n">
        <v>5.640759382217922e-08</v>
      </c>
      <c r="H1329" s="0" t="b">
        <v>0</v>
      </c>
    </row>
    <row r="1330">
      <c r="A1330" s="0" t="n">
        <v>145</v>
      </c>
      <c r="B1330" s="0" t="n">
        <v>18</v>
      </c>
      <c r="C1330" s="0" t="n">
        <v>3544873.66015625</v>
      </c>
      <c r="D1330" s="0" t="n">
        <v>3741501.464629211</v>
      </c>
      <c r="E1330" s="0" t="n">
        <v>1.040281727609804e-05</v>
      </c>
      <c r="F1330" s="0" t="n">
        <v>1.03416286982073e-05</v>
      </c>
      <c r="G1330" s="0" t="n">
        <v>6.118857789074144e-08</v>
      </c>
      <c r="H1330" s="0" t="b">
        <v>0</v>
      </c>
    </row>
    <row r="1331">
      <c r="A1331" s="0" t="n">
        <v>145</v>
      </c>
      <c r="B1331" s="0" t="n">
        <v>19</v>
      </c>
      <c r="C1331" s="0" t="n">
        <v>3544657.66015625</v>
      </c>
      <c r="D1331" s="0" t="n">
        <v>3593222.962258835</v>
      </c>
      <c r="E1331" s="0" t="n">
        <v>1.040042642868096e-05</v>
      </c>
      <c r="F1331" s="0" t="n">
        <v>1.03416286982073e-05</v>
      </c>
      <c r="G1331" s="0" t="n">
        <v>5.879773047366188e-08</v>
      </c>
      <c r="H1331" s="0" t="b">
        <v>0</v>
      </c>
    </row>
    <row r="1332">
      <c r="A1332" s="0" t="n">
        <v>145</v>
      </c>
      <c r="B1332" s="0" t="n">
        <v>20</v>
      </c>
      <c r="C1332" s="0" t="n">
        <v>3544398.46015625</v>
      </c>
      <c r="D1332" s="0" t="n">
        <v>3415562.345239691</v>
      </c>
      <c r="E1332" s="0" t="n">
        <v>1.039755821711381e-05</v>
      </c>
      <c r="F1332" s="0" t="n">
        <v>1.03416286982073e-05</v>
      </c>
      <c r="G1332" s="0" t="n">
        <v>5.592951890651361e-08</v>
      </c>
      <c r="H1332" s="0" t="b">
        <v>0</v>
      </c>
    </row>
    <row r="1333">
      <c r="A1333" s="0" t="n">
        <v>145</v>
      </c>
      <c r="B1333" s="0" t="n">
        <v>21</v>
      </c>
      <c r="C1333" s="0" t="n">
        <v>3544528.06015625</v>
      </c>
      <c r="D1333" s="0" t="n">
        <v>3504371.726285225</v>
      </c>
      <c r="E1333" s="0" t="n">
        <v>1.039899247733374e-05</v>
      </c>
      <c r="F1333" s="0" t="n">
        <v>1.03416286982073e-05</v>
      </c>
      <c r="G1333" s="0" t="n">
        <v>5.736377912644389e-08</v>
      </c>
      <c r="H1333" s="0" t="b">
        <v>0</v>
      </c>
    </row>
    <row r="1334">
      <c r="A1334" s="0" t="n">
        <v>145</v>
      </c>
      <c r="B1334" s="0" t="n">
        <v>22</v>
      </c>
      <c r="C1334" s="0" t="n">
        <v>3544683.58015625</v>
      </c>
      <c r="D1334" s="0" t="n">
        <v>3611032.211405606</v>
      </c>
      <c r="E1334" s="0" t="n">
        <v>1.040071373006724e-05</v>
      </c>
      <c r="F1334" s="0" t="n">
        <v>1.03416286982073e-05</v>
      </c>
      <c r="G1334" s="0" t="n">
        <v>5.908503185993623e-08</v>
      </c>
      <c r="H1334" s="0" t="b">
        <v>0</v>
      </c>
    </row>
    <row r="1335">
      <c r="A1335" s="0" t="n">
        <v>145</v>
      </c>
      <c r="B1335" s="0" t="n">
        <v>23</v>
      </c>
      <c r="C1335" s="0" t="n">
        <v>3544605.82015625</v>
      </c>
      <c r="D1335" s="0" t="n">
        <v>3557664.067974357</v>
      </c>
      <c r="E1335" s="0" t="n">
        <v>1.039985266928507e-05</v>
      </c>
      <c r="F1335" s="0" t="n">
        <v>1.03416286982073e-05</v>
      </c>
      <c r="G1335" s="0" t="n">
        <v>5.822397107776647e-08</v>
      </c>
      <c r="H1335" s="0" t="b">
        <v>0</v>
      </c>
    </row>
    <row r="1336">
      <c r="A1336" s="0" t="n">
        <v>146</v>
      </c>
      <c r="B1336" s="0" t="n">
        <v>1</v>
      </c>
      <c r="C1336" s="0" t="n">
        <v>6050000</v>
      </c>
      <c r="D1336" s="0" t="n">
        <v>185627751174.9048</v>
      </c>
      <c r="E1336" s="0" t="n">
        <v>0.0003354989869256079</v>
      </c>
      <c r="F1336" s="0" t="n">
        <v>1.019362020927649e-05</v>
      </c>
      <c r="G1336" s="0" t="n">
        <v>0.0003253053667163314</v>
      </c>
      <c r="H1336" s="0" t="b">
        <v>0</v>
      </c>
    </row>
    <row r="1337">
      <c r="A1337" s="0" t="n">
        <v>146</v>
      </c>
      <c r="B1337" s="0" t="n">
        <v>2</v>
      </c>
      <c r="C1337" s="0" t="n">
        <v>3075000</v>
      </c>
      <c r="D1337" s="0" t="n">
        <v>-39382089.24883811</v>
      </c>
      <c r="E1337" s="0" t="n">
        <v>6.904526172040592e-06</v>
      </c>
      <c r="F1337" s="0" t="n">
        <v>1.019362020927648e-05</v>
      </c>
      <c r="G1337" s="0" t="n">
        <v>-3.289094037235886e-06</v>
      </c>
      <c r="H1337" s="0" t="b">
        <v>1</v>
      </c>
    </row>
    <row r="1338">
      <c r="A1338" s="0" t="n">
        <v>146</v>
      </c>
      <c r="B1338" s="0" t="n">
        <v>3</v>
      </c>
      <c r="C1338" s="0" t="n">
        <v>4562500</v>
      </c>
      <c r="D1338" s="0" t="n">
        <v>19802614631.41265</v>
      </c>
      <c r="E1338" s="0" t="n">
        <v>7.132815151149465e-05</v>
      </c>
      <c r="F1338" s="0" t="n">
        <v>1.019362020927648e-05</v>
      </c>
      <c r="G1338" s="0" t="n">
        <v>6.113453130221818e-05</v>
      </c>
      <c r="H1338" s="0" t="b">
        <v>0</v>
      </c>
    </row>
    <row r="1339">
      <c r="A1339" s="0" t="n">
        <v>146</v>
      </c>
      <c r="B1339" s="0" t="n">
        <v>4</v>
      </c>
      <c r="C1339" s="0" t="n">
        <v>3818750</v>
      </c>
      <c r="D1339" s="0" t="n">
        <v>2155912946.833611</v>
      </c>
      <c r="E1339" s="0" t="n">
        <v>2.20273946053621e-05</v>
      </c>
      <c r="F1339" s="0" t="n">
        <v>1.019362020927648e-05</v>
      </c>
      <c r="G1339" s="0" t="n">
        <v>1.183377439608562e-05</v>
      </c>
      <c r="H1339" s="0" t="b">
        <v>0</v>
      </c>
    </row>
    <row r="1340">
      <c r="A1340" s="0" t="n">
        <v>146</v>
      </c>
      <c r="B1340" s="0" t="n">
        <v>5</v>
      </c>
      <c r="C1340" s="0" t="n">
        <v>3446875</v>
      </c>
      <c r="D1340" s="0" t="n">
        <v>42833837.81945779</v>
      </c>
      <c r="E1340" s="0" t="n">
        <v>1.080405759262397e-05</v>
      </c>
      <c r="F1340" s="0" t="n">
        <v>1.019362020927648e-05</v>
      </c>
      <c r="G1340" s="0" t="n">
        <v>6.104373833474943e-07</v>
      </c>
      <c r="H1340" s="0" t="b">
        <v>0</v>
      </c>
    </row>
    <row r="1341">
      <c r="A1341" s="0" t="n">
        <v>146</v>
      </c>
      <c r="B1341" s="0" t="n">
        <v>6</v>
      </c>
      <c r="C1341" s="0" t="n">
        <v>3260937.5</v>
      </c>
      <c r="D1341" s="0" t="n">
        <v>-56144283.81359098</v>
      </c>
      <c r="E1341" s="0" t="n">
        <v>8.732611935407261e-06</v>
      </c>
      <c r="F1341" s="0" t="n">
        <v>1.019362020927648e-05</v>
      </c>
      <c r="G1341" s="0" t="n">
        <v>-1.461008273869217e-06</v>
      </c>
      <c r="H1341" s="0" t="b">
        <v>1</v>
      </c>
    </row>
    <row r="1342">
      <c r="A1342" s="0" t="n">
        <v>146</v>
      </c>
      <c r="B1342" s="0" t="n">
        <v>7</v>
      </c>
      <c r="C1342" s="0" t="n">
        <v>3353906.25</v>
      </c>
      <c r="D1342" s="0" t="n">
        <v>-24535839.66884026</v>
      </c>
      <c r="E1342" s="0" t="n">
        <v>9.73853240229627e-06</v>
      </c>
      <c r="F1342" s="0" t="n">
        <v>1.019362020927648e-05</v>
      </c>
      <c r="G1342" s="0" t="n">
        <v>-4.550878069802078e-07</v>
      </c>
      <c r="H1342" s="0" t="b">
        <v>1</v>
      </c>
    </row>
    <row r="1343">
      <c r="A1343" s="0" t="n">
        <v>146</v>
      </c>
      <c r="B1343" s="0" t="n">
        <v>8</v>
      </c>
      <c r="C1343" s="0" t="n">
        <v>3400390.625</v>
      </c>
      <c r="D1343" s="0" t="n">
        <v>4351084.288755071</v>
      </c>
      <c r="E1343" s="0" t="n">
        <v>1.026383917228086e-05</v>
      </c>
      <c r="F1343" s="0" t="n">
        <v>1.019362020927648e-05</v>
      </c>
      <c r="G1343" s="0" t="n">
        <v>7.021896300437921e-08</v>
      </c>
      <c r="H1343" s="0" t="b">
        <v>0</v>
      </c>
    </row>
    <row r="1344">
      <c r="A1344" s="0" t="n">
        <v>146</v>
      </c>
      <c r="B1344" s="0" t="n">
        <v>9</v>
      </c>
      <c r="C1344" s="0" t="n">
        <v>3377148.4375</v>
      </c>
      <c r="D1344" s="0" t="n">
        <v>-11252365.11812137</v>
      </c>
      <c r="E1344" s="0" t="n">
        <v>9.999340930899394e-06</v>
      </c>
      <c r="F1344" s="0" t="n">
        <v>1.019362020927648e-05</v>
      </c>
      <c r="G1344" s="0" t="n">
        <v>-1.942792783770834e-07</v>
      </c>
      <c r="H1344" s="0" t="b">
        <v>1</v>
      </c>
    </row>
    <row r="1345">
      <c r="A1345" s="0" t="n">
        <v>146</v>
      </c>
      <c r="B1345" s="0" t="n">
        <v>10</v>
      </c>
      <c r="C1345" s="0" t="n">
        <v>3388769.53125</v>
      </c>
      <c r="D1345" s="0" t="n">
        <v>-3745972.575616084</v>
      </c>
      <c r="E1345" s="0" t="n">
        <v>1.013112109065543e-05</v>
      </c>
      <c r="F1345" s="0" t="n">
        <v>1.019362020927648e-05</v>
      </c>
      <c r="G1345" s="0" t="n">
        <v>-6.249911862104563e-08</v>
      </c>
      <c r="H1345" s="0" t="b">
        <v>1</v>
      </c>
    </row>
    <row r="1346">
      <c r="A1346" s="0" t="n">
        <v>146</v>
      </c>
      <c r="B1346" s="0" t="n">
        <v>11</v>
      </c>
      <c r="C1346" s="0" t="n">
        <v>3394580.078125</v>
      </c>
      <c r="D1346" s="0" t="n">
        <v>228105.2656476008</v>
      </c>
      <c r="E1346" s="0" t="n">
        <v>1.019736275561178e-05</v>
      </c>
      <c r="F1346" s="0" t="n">
        <v>1.019362020927648e-05</v>
      </c>
      <c r="G1346" s="0" t="n">
        <v>3.742546335306916e-09</v>
      </c>
      <c r="H1346" s="0" t="b">
        <v>0</v>
      </c>
    </row>
    <row r="1347">
      <c r="A1347" s="0" t="n">
        <v>146</v>
      </c>
      <c r="B1347" s="0" t="n">
        <v>12</v>
      </c>
      <c r="C1347" s="0" t="n">
        <v>3397485.3515625</v>
      </c>
      <c r="D1347" s="0" t="n">
        <v>2270910.691414337</v>
      </c>
      <c r="E1347" s="0" t="n">
        <v>1.023057168617279e-05</v>
      </c>
      <c r="F1347" s="0" t="n">
        <v>1.019362020927648e-05</v>
      </c>
      <c r="G1347" s="0" t="n">
        <v>3.695147689631288e-08</v>
      </c>
      <c r="H1347" s="0" t="b">
        <v>0</v>
      </c>
    </row>
    <row r="1348">
      <c r="A1348" s="0" t="n">
        <v>146</v>
      </c>
      <c r="B1348" s="0" t="n">
        <v>13</v>
      </c>
      <c r="C1348" s="0" t="n">
        <v>3398937.98828125</v>
      </c>
      <c r="D1348" s="0" t="n">
        <v>3306343.09974591</v>
      </c>
      <c r="E1348" s="0" t="n">
        <v>1.024719852567535e-05</v>
      </c>
      <c r="F1348" s="0" t="n">
        <v>1.019362020927648e-05</v>
      </c>
      <c r="G1348" s="0" t="n">
        <v>5.357831639887323e-08</v>
      </c>
      <c r="H1348" s="0" t="b">
        <v>0</v>
      </c>
    </row>
    <row r="1349">
      <c r="A1349" s="0" t="n">
        <v>146</v>
      </c>
      <c r="B1349" s="0" t="n">
        <v>14</v>
      </c>
      <c r="C1349" s="0" t="n">
        <v>3400137.98828125</v>
      </c>
      <c r="D1349" s="0" t="n">
        <v>4168709.394739674</v>
      </c>
      <c r="E1349" s="0" t="n">
        <v>1.02609439750082e-05</v>
      </c>
      <c r="F1349" s="0" t="n">
        <v>1.019362020927648e-05</v>
      </c>
      <c r="G1349" s="0" t="n">
        <v>6.732376573171777e-08</v>
      </c>
      <c r="H1349" s="0" t="b">
        <v>0</v>
      </c>
    </row>
    <row r="1350">
      <c r="A1350" s="0" t="n">
        <v>146</v>
      </c>
      <c r="B1350" s="0" t="n">
        <v>15</v>
      </c>
      <c r="C1350" s="0" t="n">
        <v>3399537.98828125</v>
      </c>
      <c r="D1350" s="0" t="n">
        <v>3736714.181167847</v>
      </c>
      <c r="E1350" s="0" t="n">
        <v>1.025406979508329e-05</v>
      </c>
      <c r="F1350" s="0" t="n">
        <v>1.019362020927648e-05</v>
      </c>
      <c r="G1350" s="0" t="n">
        <v>6.044958580680997e-08</v>
      </c>
      <c r="H1350" s="0" t="b">
        <v>0</v>
      </c>
    </row>
    <row r="1351">
      <c r="A1351" s="0" t="n">
        <v>146</v>
      </c>
      <c r="B1351" s="0" t="n">
        <v>16</v>
      </c>
      <c r="C1351" s="0" t="n">
        <v>3398817.98828125</v>
      </c>
      <c r="D1351" s="0" t="n">
        <v>3220429.495347108</v>
      </c>
      <c r="E1351" s="0" t="n">
        <v>1.024582407461607e-05</v>
      </c>
      <c r="F1351" s="0" t="n">
        <v>1.019362020927648e-05</v>
      </c>
      <c r="G1351" s="0" t="n">
        <v>5.220386533959504e-08</v>
      </c>
      <c r="H1351" s="0" t="b">
        <v>0</v>
      </c>
    </row>
    <row r="1352">
      <c r="A1352" s="0" t="n">
        <v>146</v>
      </c>
      <c r="B1352" s="0" t="n">
        <v>17</v>
      </c>
      <c r="C1352" s="0" t="n">
        <v>3399177.98828125</v>
      </c>
      <c r="D1352" s="0" t="n">
        <v>3478310.223689099</v>
      </c>
      <c r="E1352" s="0" t="n">
        <v>1.024994689956969e-05</v>
      </c>
      <c r="F1352" s="0" t="n">
        <v>1.019362020927648e-05</v>
      </c>
      <c r="G1352" s="0" t="n">
        <v>5.632669029321638e-08</v>
      </c>
      <c r="H1352" s="0" t="b">
        <v>0</v>
      </c>
    </row>
    <row r="1353">
      <c r="A1353" s="0" t="n">
        <v>146</v>
      </c>
      <c r="B1353" s="0" t="n">
        <v>18</v>
      </c>
      <c r="C1353" s="0" t="n">
        <v>3398997.98828125</v>
      </c>
      <c r="D1353" s="0" t="n">
        <v>3349310.923286624</v>
      </c>
      <c r="E1353" s="0" t="n">
        <v>1.024788558169759e-05</v>
      </c>
      <c r="F1353" s="0" t="n">
        <v>1.019362020927648e-05</v>
      </c>
      <c r="G1353" s="0" t="n">
        <v>5.426537242110986e-08</v>
      </c>
      <c r="H1353" s="0" t="b">
        <v>0</v>
      </c>
    </row>
    <row r="1354">
      <c r="A1354" s="0" t="n">
        <v>146</v>
      </c>
      <c r="B1354" s="0" t="n">
        <v>19</v>
      </c>
      <c r="C1354" s="0" t="n">
        <v>3399087.98828125</v>
      </c>
      <c r="D1354" s="0" t="n">
        <v>3413766.691096698</v>
      </c>
      <c r="E1354" s="0" t="n">
        <v>1.024891579847246e-05</v>
      </c>
      <c r="F1354" s="0" t="n">
        <v>1.019362020927648e-05</v>
      </c>
      <c r="G1354" s="0" t="n">
        <v>5.529558919598491e-08</v>
      </c>
      <c r="H1354" s="0" t="b">
        <v>0</v>
      </c>
    </row>
    <row r="1355">
      <c r="A1355" s="0" t="n">
        <v>147</v>
      </c>
      <c r="B1355" s="0" t="n">
        <v>1</v>
      </c>
      <c r="C1355" s="0" t="n">
        <v>6050000</v>
      </c>
      <c r="D1355" s="0" t="n">
        <v>5665387362.944242</v>
      </c>
      <c r="E1355" s="0" t="n">
        <v>3.396685365073569e-05</v>
      </c>
      <c r="F1355" s="0" t="n">
        <v>1.004897580911847e-05</v>
      </c>
      <c r="G1355" s="0" t="n">
        <v>2.391787784161722e-05</v>
      </c>
      <c r="H1355" s="0" t="b">
        <v>0</v>
      </c>
    </row>
    <row r="1356">
      <c r="A1356" s="0" t="n">
        <v>147</v>
      </c>
      <c r="B1356" s="0" t="n">
        <v>2</v>
      </c>
      <c r="C1356" s="0" t="n">
        <v>3075000</v>
      </c>
      <c r="D1356" s="0" t="n">
        <v>-283169.1349338011</v>
      </c>
      <c r="E1356" s="0" t="n">
        <v>1.219726933242474e-06</v>
      </c>
      <c r="F1356" s="0" t="n">
        <v>1.004897580911847e-05</v>
      </c>
      <c r="G1356" s="0" t="n">
        <v>-8.829248875875998e-06</v>
      </c>
      <c r="H1356" s="0" t="b">
        <v>1</v>
      </c>
    </row>
    <row r="1357">
      <c r="A1357" s="0" t="n">
        <v>147</v>
      </c>
      <c r="B1357" s="0" t="n">
        <v>3</v>
      </c>
      <c r="C1357" s="0" t="n">
        <v>4562500</v>
      </c>
      <c r="D1357" s="0" t="n">
        <v>-48386485.64380932</v>
      </c>
      <c r="E1357" s="0" t="n">
        <v>7.157460665968141e-06</v>
      </c>
      <c r="F1357" s="0" t="n">
        <v>1.004897580911847e-05</v>
      </c>
      <c r="G1357" s="0" t="n">
        <v>-2.89151514315033e-06</v>
      </c>
      <c r="H1357" s="0" t="b">
        <v>1</v>
      </c>
    </row>
    <row r="1358">
      <c r="A1358" s="0" t="n">
        <v>147</v>
      </c>
      <c r="B1358" s="0" t="n">
        <v>4</v>
      </c>
      <c r="C1358" s="0" t="n">
        <v>5306250</v>
      </c>
      <c r="D1358" s="0" t="n">
        <v>468873237.4923833</v>
      </c>
      <c r="E1358" s="0" t="n">
        <v>1.395193080357839e-05</v>
      </c>
      <c r="F1358" s="0" t="n">
        <v>1.004897580911847e-05</v>
      </c>
      <c r="G1358" s="0" t="n">
        <v>3.902954994459915e-06</v>
      </c>
      <c r="H1358" s="0" t="b">
        <v>0</v>
      </c>
    </row>
    <row r="1359">
      <c r="A1359" s="0" t="n">
        <v>147</v>
      </c>
      <c r="B1359" s="0" t="n">
        <v>5</v>
      </c>
      <c r="C1359" s="0" t="n">
        <v>4934375</v>
      </c>
      <c r="D1359" s="0" t="n">
        <v>-22870695.91738534</v>
      </c>
      <c r="E1359" s="0" t="n">
        <v>9.633029257415359e-06</v>
      </c>
      <c r="F1359" s="0" t="n">
        <v>1.004897580911847e-05</v>
      </c>
      <c r="G1359" s="0" t="n">
        <v>-4.159465517031124e-07</v>
      </c>
      <c r="H1359" s="0" t="b">
        <v>1</v>
      </c>
    </row>
    <row r="1360">
      <c r="A1360" s="0" t="n">
        <v>147</v>
      </c>
      <c r="B1360" s="0" t="n">
        <v>6</v>
      </c>
      <c r="C1360" s="0" t="n">
        <v>5120312.5</v>
      </c>
      <c r="D1360" s="0" t="n">
        <v>74140562.25383428</v>
      </c>
      <c r="E1360" s="0" t="n">
        <v>1.101660275535185e-05</v>
      </c>
      <c r="F1360" s="0" t="n">
        <v>1.004897580911847e-05</v>
      </c>
      <c r="G1360" s="0" t="n">
        <v>9.676269462333753e-07</v>
      </c>
      <c r="H1360" s="0" t="b">
        <v>0</v>
      </c>
    </row>
    <row r="1361">
      <c r="A1361" s="0" t="n">
        <v>147</v>
      </c>
      <c r="B1361" s="0" t="n">
        <v>7</v>
      </c>
      <c r="C1361" s="0" t="n">
        <v>5027343.75</v>
      </c>
      <c r="D1361" s="0" t="n">
        <v>17342570.54528818</v>
      </c>
      <c r="E1361" s="0" t="n">
        <v>1.03129945875923e-05</v>
      </c>
      <c r="F1361" s="0" t="n">
        <v>1.004897580911847e-05</v>
      </c>
      <c r="G1361" s="0" t="n">
        <v>2.640187784738265e-07</v>
      </c>
      <c r="H1361" s="0" t="b">
        <v>0</v>
      </c>
    </row>
    <row r="1362">
      <c r="A1362" s="0" t="n">
        <v>147</v>
      </c>
      <c r="B1362" s="0" t="n">
        <v>8</v>
      </c>
      <c r="C1362" s="0" t="n">
        <v>4980859.375</v>
      </c>
      <c r="D1362" s="0" t="n">
        <v>-4762058.763722909</v>
      </c>
      <c r="E1362" s="0" t="n">
        <v>9.970005464678851e-06</v>
      </c>
      <c r="F1362" s="0" t="n">
        <v>1.004897580911847e-05</v>
      </c>
      <c r="G1362" s="0" t="n">
        <v>-7.897034443962069e-08</v>
      </c>
      <c r="H1362" s="0" t="b">
        <v>1</v>
      </c>
    </row>
    <row r="1363">
      <c r="A1363" s="0" t="n">
        <v>147</v>
      </c>
      <c r="B1363" s="0" t="n">
        <v>9</v>
      </c>
      <c r="C1363" s="0" t="n">
        <v>5004101.5625</v>
      </c>
      <c r="D1363" s="0" t="n">
        <v>5780616.829728252</v>
      </c>
      <c r="E1363" s="0" t="n">
        <v>1.014075128919483e-05</v>
      </c>
      <c r="F1363" s="0" t="n">
        <v>1.004897580911847e-05</v>
      </c>
      <c r="G1363" s="0" t="n">
        <v>9.17754800763614e-08</v>
      </c>
      <c r="H1363" s="0" t="b">
        <v>0</v>
      </c>
    </row>
    <row r="1364">
      <c r="A1364" s="0" t="n">
        <v>147</v>
      </c>
      <c r="B1364" s="0" t="n">
        <v>10</v>
      </c>
      <c r="C1364" s="0" t="n">
        <v>4992480.46875</v>
      </c>
      <c r="D1364" s="0" t="n">
        <v>383096.6464437962</v>
      </c>
      <c r="E1364" s="0" t="n">
        <v>1.00551906588852e-05</v>
      </c>
      <c r="F1364" s="0" t="n">
        <v>1.004897580911847e-05</v>
      </c>
      <c r="G1364" s="0" t="n">
        <v>6.214849766727462e-09</v>
      </c>
      <c r="H1364" s="0" t="b">
        <v>0</v>
      </c>
    </row>
    <row r="1365">
      <c r="A1365" s="0" t="n">
        <v>147</v>
      </c>
      <c r="B1365" s="0" t="n">
        <v>11</v>
      </c>
      <c r="C1365" s="0" t="n">
        <v>4998291.015625</v>
      </c>
      <c r="D1365" s="0" t="n">
        <v>3050157.59564518</v>
      </c>
      <c r="E1365" s="0" t="n">
        <v>1.009792413941372e-05</v>
      </c>
      <c r="F1365" s="0" t="n">
        <v>1.004897580911847e-05</v>
      </c>
      <c r="G1365" s="0" t="n">
        <v>4.894833029524969e-08</v>
      </c>
      <c r="H1365" s="0" t="b">
        <v>0</v>
      </c>
    </row>
    <row r="1366">
      <c r="A1366" s="0" t="n">
        <v>147</v>
      </c>
      <c r="B1366" s="0" t="n">
        <v>12</v>
      </c>
      <c r="C1366" s="0" t="n">
        <v>5001196.2890625</v>
      </c>
      <c r="D1366" s="0" t="n">
        <v>4407466.77234852</v>
      </c>
      <c r="E1366" s="0" t="n">
        <v>1.011932638380047e-05</v>
      </c>
      <c r="F1366" s="0" t="n">
        <v>1.004897580911847e-05</v>
      </c>
      <c r="G1366" s="0" t="n">
        <v>7.035057468200029e-08</v>
      </c>
      <c r="H1366" s="0" t="b">
        <v>0</v>
      </c>
    </row>
    <row r="1367">
      <c r="A1367" s="0" t="n">
        <v>147</v>
      </c>
      <c r="B1367" s="0" t="n">
        <v>13</v>
      </c>
      <c r="C1367" s="0" t="n">
        <v>5002648.92578125</v>
      </c>
      <c r="D1367" s="0" t="n">
        <v>5092065.364943161</v>
      </c>
      <c r="E1367" s="0" t="n">
        <v>1.013003609813048e-05</v>
      </c>
      <c r="F1367" s="0" t="n">
        <v>1.004897580911847e-05</v>
      </c>
      <c r="G1367" s="0" t="n">
        <v>8.106028901201284e-08</v>
      </c>
      <c r="H1367" s="0" t="b">
        <v>0</v>
      </c>
    </row>
    <row r="1368">
      <c r="A1368" s="0" t="n">
        <v>147</v>
      </c>
      <c r="B1368" s="0" t="n">
        <v>14</v>
      </c>
      <c r="C1368" s="0" t="n">
        <v>5002148.92578125</v>
      </c>
      <c r="D1368" s="0" t="n">
        <v>4855952.960654939</v>
      </c>
      <c r="E1368" s="0" t="n">
        <v>1.012634876391329e-05</v>
      </c>
      <c r="F1368" s="0" t="n">
        <v>1.004897580911847e-05</v>
      </c>
      <c r="G1368" s="0" t="n">
        <v>7.737295479482039e-08</v>
      </c>
      <c r="H1368" s="0" t="b">
        <v>0</v>
      </c>
    </row>
    <row r="1369">
      <c r="A1369" s="0" t="n">
        <v>147</v>
      </c>
      <c r="B1369" s="0" t="n">
        <v>15</v>
      </c>
      <c r="C1369" s="0" t="n">
        <v>5002398.92578125</v>
      </c>
      <c r="D1369" s="0" t="n">
        <v>4973962.187323891</v>
      </c>
      <c r="E1369" s="0" t="n">
        <v>1.012819253051503e-05</v>
      </c>
      <c r="F1369" s="0" t="n">
        <v>1.004897580911847e-05</v>
      </c>
      <c r="G1369" s="0" t="n">
        <v>7.921672139655627e-08</v>
      </c>
      <c r="H1369" s="0" t="b">
        <v>0</v>
      </c>
    </row>
    <row r="1370">
      <c r="A1370" s="0" t="n">
        <v>148</v>
      </c>
      <c r="B1370" s="0" t="n">
        <v>1</v>
      </c>
      <c r="C1370" s="0" t="n">
        <v>6050000</v>
      </c>
      <c r="D1370" s="0" t="n">
        <v>4681116062.577588</v>
      </c>
      <c r="E1370" s="0" t="n">
        <v>3.057641290417919e-05</v>
      </c>
      <c r="F1370" s="0" t="n">
        <v>9.977882239028309e-06</v>
      </c>
      <c r="G1370" s="0" t="n">
        <v>2.059853066515088e-05</v>
      </c>
      <c r="H1370" s="0" t="b">
        <v>0</v>
      </c>
    </row>
    <row r="1371">
      <c r="A1371" s="0" t="n">
        <v>148</v>
      </c>
      <c r="B1371" s="0" t="n">
        <v>2</v>
      </c>
      <c r="C1371" s="0" t="n">
        <v>3075000</v>
      </c>
      <c r="D1371" s="0" t="n">
        <v>-264346.8217930446</v>
      </c>
      <c r="E1371" s="0" t="n">
        <v>1.082384767464498e-06</v>
      </c>
      <c r="F1371" s="0" t="n">
        <v>9.977882239028311e-06</v>
      </c>
      <c r="G1371" s="0" t="n">
        <v>-8.895497471563813e-06</v>
      </c>
      <c r="H1371" s="0" t="b">
        <v>1</v>
      </c>
    </row>
    <row r="1372">
      <c r="A1372" s="0" t="n">
        <v>148</v>
      </c>
      <c r="B1372" s="0" t="n">
        <v>3</v>
      </c>
      <c r="C1372" s="0" t="n">
        <v>4562500</v>
      </c>
      <c r="D1372" s="0" t="n">
        <v>-37555064.06569555</v>
      </c>
      <c r="E1372" s="0" t="n">
        <v>6.713856546183112e-06</v>
      </c>
      <c r="F1372" s="0" t="n">
        <v>9.977882239028311e-06</v>
      </c>
      <c r="G1372" s="0" t="n">
        <v>-3.264025692845199e-06</v>
      </c>
      <c r="H1372" s="0" t="b">
        <v>1</v>
      </c>
    </row>
    <row r="1373">
      <c r="A1373" s="0" t="n">
        <v>148</v>
      </c>
      <c r="B1373" s="0" t="n">
        <v>4</v>
      </c>
      <c r="C1373" s="0" t="n">
        <v>5306250</v>
      </c>
      <c r="D1373" s="0" t="n">
        <v>243013021.6536792</v>
      </c>
      <c r="E1373" s="0" t="n">
        <v>1.241498637288523e-05</v>
      </c>
      <c r="F1373" s="0" t="n">
        <v>9.977882239028311e-06</v>
      </c>
      <c r="G1373" s="0" t="n">
        <v>2.437104133856915e-06</v>
      </c>
      <c r="H1373" s="0" t="b">
        <v>0</v>
      </c>
    </row>
    <row r="1374">
      <c r="A1374" s="0" t="n">
        <v>148</v>
      </c>
      <c r="B1374" s="0" t="n">
        <v>5</v>
      </c>
      <c r="C1374" s="0" t="n">
        <v>4934375</v>
      </c>
      <c r="D1374" s="0" t="n">
        <v>-43175612.36570968</v>
      </c>
      <c r="E1374" s="0" t="n">
        <v>9.063367442655346e-06</v>
      </c>
      <c r="F1374" s="0" t="n">
        <v>9.977882239028311e-06</v>
      </c>
      <c r="G1374" s="0" t="n">
        <v>-9.145147963729649e-07</v>
      </c>
      <c r="H1374" s="0" t="b">
        <v>1</v>
      </c>
    </row>
    <row r="1375">
      <c r="A1375" s="0" t="n">
        <v>148</v>
      </c>
      <c r="B1375" s="0" t="n">
        <v>6</v>
      </c>
      <c r="C1375" s="0" t="n">
        <v>5120312.5</v>
      </c>
      <c r="D1375" s="0" t="n">
        <v>27465722.04707707</v>
      </c>
      <c r="E1375" s="0" t="n">
        <v>1.038022011937651e-05</v>
      </c>
      <c r="F1375" s="0" t="n">
        <v>9.977882239028311e-06</v>
      </c>
      <c r="G1375" s="0" t="n">
        <v>4.023378803481972e-07</v>
      </c>
      <c r="H1375" s="0" t="b">
        <v>0</v>
      </c>
    </row>
    <row r="1376">
      <c r="A1376" s="0" t="n">
        <v>148</v>
      </c>
      <c r="B1376" s="0" t="n">
        <v>7</v>
      </c>
      <c r="C1376" s="0" t="n">
        <v>5027343.75</v>
      </c>
      <c r="D1376" s="0" t="n">
        <v>-15411009.9105729</v>
      </c>
      <c r="E1376" s="0" t="n">
        <v>9.710304227881165e-06</v>
      </c>
      <c r="F1376" s="0" t="n">
        <v>9.977882239028311e-06</v>
      </c>
      <c r="G1376" s="0" t="n">
        <v>-2.675780111471455e-07</v>
      </c>
      <c r="H1376" s="0" t="b">
        <v>1</v>
      </c>
    </row>
    <row r="1377">
      <c r="A1377" s="0" t="n">
        <v>148</v>
      </c>
      <c r="B1377" s="0" t="n">
        <v>8</v>
      </c>
      <c r="C1377" s="0" t="n">
        <v>5073828.125</v>
      </c>
      <c r="D1377" s="0" t="n">
        <v>4056725.404182358</v>
      </c>
      <c r="E1377" s="0" t="n">
        <v>1.004237861315348e-05</v>
      </c>
      <c r="F1377" s="0" t="n">
        <v>9.977882239028311e-06</v>
      </c>
      <c r="G1377" s="0" t="n">
        <v>6.449637412517257e-08</v>
      </c>
      <c r="H1377" s="0" t="b">
        <v>0</v>
      </c>
    </row>
    <row r="1378">
      <c r="A1378" s="0" t="n">
        <v>148</v>
      </c>
      <c r="B1378" s="0" t="n">
        <v>9</v>
      </c>
      <c r="C1378" s="0" t="n">
        <v>5097070.3125</v>
      </c>
      <c r="D1378" s="0" t="n">
        <v>15259175.59944255</v>
      </c>
      <c r="E1378" s="0" t="n">
        <v>1.021058162061563e-05</v>
      </c>
      <c r="F1378" s="0" t="n">
        <v>9.977882239028311e-06</v>
      </c>
      <c r="G1378" s="0" t="n">
        <v>2.326993815873188e-07</v>
      </c>
      <c r="H1378" s="0" t="b">
        <v>0</v>
      </c>
    </row>
    <row r="1379">
      <c r="A1379" s="0" t="n">
        <v>148</v>
      </c>
      <c r="B1379" s="0" t="n">
        <v>10</v>
      </c>
      <c r="C1379" s="0" t="n">
        <v>5085449.21875</v>
      </c>
      <c r="D1379" s="0" t="n">
        <v>9533583.053941211</v>
      </c>
      <c r="E1379" s="0" t="n">
        <v>1.012630024842015e-05</v>
      </c>
      <c r="F1379" s="0" t="n">
        <v>9.977882239028311e-06</v>
      </c>
      <c r="G1379" s="0" t="n">
        <v>1.484180093918397e-07</v>
      </c>
      <c r="H1379" s="0" t="b">
        <v>0</v>
      </c>
    </row>
    <row r="1380">
      <c r="A1380" s="0" t="n">
        <v>148</v>
      </c>
      <c r="B1380" s="0" t="n">
        <v>11</v>
      </c>
      <c r="C1380" s="0" t="n">
        <v>5079638.671875</v>
      </c>
      <c r="D1380" s="0" t="n">
        <v>6764184.018023989</v>
      </c>
      <c r="E1380" s="0" t="n">
        <v>1.008429404623397e-05</v>
      </c>
      <c r="F1380" s="0" t="n">
        <v>9.977882239028311e-06</v>
      </c>
      <c r="G1380" s="0" t="n">
        <v>1.064118072056627e-07</v>
      </c>
      <c r="H1380" s="0" t="b">
        <v>0</v>
      </c>
    </row>
    <row r="1381">
      <c r="A1381" s="0" t="n">
        <v>148</v>
      </c>
      <c r="B1381" s="0" t="n">
        <v>12</v>
      </c>
      <c r="C1381" s="0" t="n">
        <v>5076733.3984375</v>
      </c>
      <c r="D1381" s="0" t="n">
        <v>5402748.648251752</v>
      </c>
      <c r="E1381" s="0" t="n">
        <v>1.006332525530987e-05</v>
      </c>
      <c r="F1381" s="0" t="n">
        <v>9.977882239028311e-06</v>
      </c>
      <c r="G1381" s="0" t="n">
        <v>8.544301628156247e-08</v>
      </c>
      <c r="H1381" s="0" t="b">
        <v>0</v>
      </c>
    </row>
    <row r="1382">
      <c r="A1382" s="0" t="n">
        <v>148</v>
      </c>
      <c r="B1382" s="0" t="n">
        <v>13</v>
      </c>
      <c r="C1382" s="0" t="n">
        <v>5075280.76171875</v>
      </c>
      <c r="D1382" s="0" t="n">
        <v>4727786.124497954</v>
      </c>
      <c r="E1382" s="0" t="n">
        <v>1.005284875025084e-05</v>
      </c>
      <c r="F1382" s="0" t="n">
        <v>9.977882239028311e-06</v>
      </c>
      <c r="G1382" s="0" t="n">
        <v>7.49665112225311e-08</v>
      </c>
      <c r="H1382" s="0" t="b">
        <v>0</v>
      </c>
    </row>
    <row r="1383">
      <c r="A1383" s="0" t="n">
        <v>148</v>
      </c>
      <c r="B1383" s="0" t="n">
        <v>14</v>
      </c>
      <c r="C1383" s="0" t="n">
        <v>5075780.76171875</v>
      </c>
      <c r="D1383" s="0" t="n">
        <v>4959665.898042303</v>
      </c>
      <c r="E1383" s="0" t="n">
        <v>1.005645401846162e-05</v>
      </c>
      <c r="F1383" s="0" t="n">
        <v>9.977882239028311e-06</v>
      </c>
      <c r="G1383" s="0" t="n">
        <v>7.857177943330965e-08</v>
      </c>
      <c r="H1383" s="0" t="b">
        <v>0</v>
      </c>
    </row>
    <row r="1384">
      <c r="A1384" s="0" t="n">
        <v>148</v>
      </c>
      <c r="B1384" s="0" t="n">
        <v>15</v>
      </c>
      <c r="C1384" s="0" t="n">
        <v>5076380.76171875</v>
      </c>
      <c r="D1384" s="0" t="n">
        <v>5238548.462692789</v>
      </c>
      <c r="E1384" s="0" t="n">
        <v>1.006078158956449e-05</v>
      </c>
      <c r="F1384" s="0" t="n">
        <v>9.977882239028311e-06</v>
      </c>
      <c r="G1384" s="0" t="n">
        <v>8.289935053618377e-08</v>
      </c>
      <c r="H1384" s="0" t="b">
        <v>0</v>
      </c>
    </row>
    <row r="1385">
      <c r="A1385" s="0" t="n">
        <v>148</v>
      </c>
      <c r="B1385" s="0" t="n">
        <v>16</v>
      </c>
      <c r="C1385" s="0" t="n">
        <v>5076080.76171875</v>
      </c>
      <c r="D1385" s="0" t="n">
        <v>5099036.78732824</v>
      </c>
      <c r="E1385" s="0" t="n">
        <v>1.005861786816685e-05</v>
      </c>
      <c r="F1385" s="0" t="n">
        <v>9.977882239028311e-06</v>
      </c>
      <c r="G1385" s="0" t="n">
        <v>8.073562913854102e-08</v>
      </c>
      <c r="H1385" s="0" t="b">
        <v>0</v>
      </c>
    </row>
    <row r="1386">
      <c r="A1386" s="0" t="n">
        <v>149</v>
      </c>
      <c r="B1386" s="0" t="n">
        <v>1</v>
      </c>
      <c r="C1386" s="0" t="n">
        <v>6050000</v>
      </c>
      <c r="D1386" s="0" t="n">
        <v>-33455843.7432019</v>
      </c>
      <c r="E1386" s="0" t="n">
        <v>6.481363032954337e-06</v>
      </c>
      <c r="F1386" s="0" t="n">
        <v>9.838088836324964e-06</v>
      </c>
      <c r="G1386" s="0" t="n">
        <v>-3.356725803370627e-06</v>
      </c>
      <c r="H1386" s="0" t="b">
        <v>1</v>
      </c>
    </row>
    <row r="1387">
      <c r="A1387" s="0" t="n">
        <v>149</v>
      </c>
      <c r="B1387" s="0" t="n">
        <v>2</v>
      </c>
      <c r="C1387" s="0" t="n">
        <v>9025000</v>
      </c>
      <c r="D1387" s="0" t="n">
        <v>14318403896.46611</v>
      </c>
      <c r="E1387" s="0" t="n">
        <v>5.598954335231798e-05</v>
      </c>
      <c r="F1387" s="0" t="n">
        <v>9.838088836324964e-06</v>
      </c>
      <c r="G1387" s="0" t="n">
        <v>4.615145451599302e-05</v>
      </c>
      <c r="H1387" s="0" t="b">
        <v>0</v>
      </c>
    </row>
    <row r="1388">
      <c r="A1388" s="0" t="n">
        <v>149</v>
      </c>
      <c r="B1388" s="0" t="n">
        <v>3</v>
      </c>
      <c r="C1388" s="0" t="n">
        <v>7537500</v>
      </c>
      <c r="D1388" s="0" t="n">
        <v>1478784476.150478</v>
      </c>
      <c r="E1388" s="0" t="n">
        <v>1.83610874004576e-05</v>
      </c>
      <c r="F1388" s="0" t="n">
        <v>9.838088836324964e-06</v>
      </c>
      <c r="G1388" s="0" t="n">
        <v>8.522998564132638e-06</v>
      </c>
      <c r="H1388" s="0" t="b">
        <v>0</v>
      </c>
    </row>
    <row r="1389">
      <c r="A1389" s="0" t="n">
        <v>149</v>
      </c>
      <c r="B1389" s="0" t="n">
        <v>4</v>
      </c>
      <c r="C1389" s="0" t="n">
        <v>6793750</v>
      </c>
      <c r="D1389" s="0" t="n">
        <v>8194887.405892111</v>
      </c>
      <c r="E1389" s="0" t="n">
        <v>9.964943458637624e-06</v>
      </c>
      <c r="F1389" s="0" t="n">
        <v>9.838088836324964e-06</v>
      </c>
      <c r="G1389" s="0" t="n">
        <v>1.268546223126597e-07</v>
      </c>
      <c r="H1389" s="0" t="b">
        <v>0</v>
      </c>
    </row>
    <row r="1390">
      <c r="A1390" s="0" t="n">
        <v>149</v>
      </c>
      <c r="B1390" s="0" t="n">
        <v>5</v>
      </c>
      <c r="C1390" s="0" t="n">
        <v>6421875</v>
      </c>
      <c r="D1390" s="0" t="n">
        <v>-58809484.30572429</v>
      </c>
      <c r="E1390" s="0" t="n">
        <v>8.124686042959885e-06</v>
      </c>
      <c r="F1390" s="0" t="n">
        <v>9.838088836324964e-06</v>
      </c>
      <c r="G1390" s="0" t="n">
        <v>-1.713402793365079e-06</v>
      </c>
      <c r="H1390" s="0" t="b">
        <v>1</v>
      </c>
    </row>
    <row r="1391">
      <c r="A1391" s="0" t="n">
        <v>149</v>
      </c>
      <c r="B1391" s="0" t="n">
        <v>6</v>
      </c>
      <c r="C1391" s="0" t="n">
        <v>6607812.5</v>
      </c>
      <c r="D1391" s="0" t="n">
        <v>-40089533.88737367</v>
      </c>
      <c r="E1391" s="0" t="n">
        <v>9.02087000233582e-06</v>
      </c>
      <c r="F1391" s="0" t="n">
        <v>9.838088836324964e-06</v>
      </c>
      <c r="G1391" s="0" t="n">
        <v>-8.172188339891435e-07</v>
      </c>
      <c r="H1391" s="0" t="b">
        <v>1</v>
      </c>
    </row>
    <row r="1392">
      <c r="A1392" s="0" t="n">
        <v>149</v>
      </c>
      <c r="B1392" s="0" t="n">
        <v>7</v>
      </c>
      <c r="C1392" s="0" t="n">
        <v>6700781.25</v>
      </c>
      <c r="D1392" s="0" t="n">
        <v>-19925158.60794009</v>
      </c>
      <c r="E1392" s="0" t="n">
        <v>9.486973600525174e-06</v>
      </c>
      <c r="F1392" s="0" t="n">
        <v>9.838088836324964e-06</v>
      </c>
      <c r="G1392" s="0" t="n">
        <v>-3.511152357997899e-07</v>
      </c>
      <c r="H1392" s="0" t="b">
        <v>1</v>
      </c>
    </row>
    <row r="1393">
      <c r="A1393" s="0" t="n">
        <v>149</v>
      </c>
      <c r="B1393" s="0" t="n">
        <v>8</v>
      </c>
      <c r="C1393" s="0" t="n">
        <v>6747265.625</v>
      </c>
      <c r="D1393" s="0" t="n">
        <v>-6890660.650552986</v>
      </c>
      <c r="E1393" s="0" t="n">
        <v>9.724487655692471e-06</v>
      </c>
      <c r="F1393" s="0" t="n">
        <v>9.838088836324964e-06</v>
      </c>
      <c r="G1393" s="0" t="n">
        <v>-1.136011806324927e-07</v>
      </c>
      <c r="H1393" s="0" t="b">
        <v>1</v>
      </c>
    </row>
    <row r="1394">
      <c r="A1394" s="0" t="n">
        <v>149</v>
      </c>
      <c r="B1394" s="0" t="n">
        <v>9</v>
      </c>
      <c r="C1394" s="0" t="n">
        <v>6770507.8125</v>
      </c>
      <c r="D1394" s="0" t="n">
        <v>392324.7469256295</v>
      </c>
      <c r="E1394" s="0" t="n">
        <v>9.844353555823183e-06</v>
      </c>
      <c r="F1394" s="0" t="n">
        <v>9.838088836324964e-06</v>
      </c>
      <c r="G1394" s="0" t="n">
        <v>6.264719498218715e-09</v>
      </c>
      <c r="H1394" s="0" t="b">
        <v>0</v>
      </c>
    </row>
    <row r="1395">
      <c r="A1395" s="0" t="n">
        <v>149</v>
      </c>
      <c r="B1395" s="0" t="n">
        <v>10</v>
      </c>
      <c r="C1395" s="0" t="n">
        <v>6782128.90625</v>
      </c>
      <c r="D1395" s="0" t="n">
        <v>4228458.390768074</v>
      </c>
      <c r="E1395" s="0" t="n">
        <v>9.904561904293899e-06</v>
      </c>
      <c r="F1395" s="0" t="n">
        <v>9.838088836324964e-06</v>
      </c>
      <c r="G1395" s="0" t="n">
        <v>6.647306796893533e-08</v>
      </c>
      <c r="H1395" s="0" t="b">
        <v>0</v>
      </c>
    </row>
    <row r="1396">
      <c r="A1396" s="0" t="n">
        <v>149</v>
      </c>
      <c r="B1396" s="0" t="n">
        <v>11</v>
      </c>
      <c r="C1396" s="0" t="n">
        <v>6787939.453125</v>
      </c>
      <c r="D1396" s="0" t="n">
        <v>6195598.377857475</v>
      </c>
      <c r="E1396" s="0" t="n">
        <v>9.934735072968127e-06</v>
      </c>
      <c r="F1396" s="0" t="n">
        <v>9.838088836324964e-06</v>
      </c>
      <c r="G1396" s="0" t="n">
        <v>9.664623664316277e-08</v>
      </c>
      <c r="H1396" s="0" t="b">
        <v>0</v>
      </c>
    </row>
    <row r="1397">
      <c r="A1397" s="0" t="n">
        <v>149</v>
      </c>
      <c r="B1397" s="0" t="n">
        <v>12</v>
      </c>
      <c r="C1397" s="0" t="n">
        <v>6790844.7265625</v>
      </c>
      <c r="D1397" s="0" t="n">
        <v>7191163.687710385</v>
      </c>
      <c r="E1397" s="0" t="n">
        <v>9.949834025606691e-06</v>
      </c>
      <c r="F1397" s="0" t="n">
        <v>9.838088836324964e-06</v>
      </c>
      <c r="G1397" s="0" t="n">
        <v>1.11745189281727e-07</v>
      </c>
      <c r="H1397" s="0" t="b">
        <v>0</v>
      </c>
    </row>
    <row r="1398">
      <c r="A1398" s="0" t="n">
        <v>149</v>
      </c>
      <c r="B1398" s="0" t="n">
        <v>13</v>
      </c>
      <c r="C1398" s="0" t="n">
        <v>6789392.08984375</v>
      </c>
      <c r="D1398" s="0" t="n">
        <v>6692397.22979634</v>
      </c>
      <c r="E1398" s="0" t="n">
        <v>9.94228377317822e-06</v>
      </c>
      <c r="F1398" s="0" t="n">
        <v>9.838088836324964e-06</v>
      </c>
      <c r="G1398" s="0" t="n">
        <v>1.041949368532561e-07</v>
      </c>
      <c r="H1398" s="0" t="b">
        <v>0</v>
      </c>
    </row>
    <row r="1399">
      <c r="A1399" s="0" t="n">
        <v>149</v>
      </c>
      <c r="B1399" s="0" t="n">
        <v>14</v>
      </c>
      <c r="C1399" s="0" t="n">
        <v>6789892.08984375</v>
      </c>
      <c r="D1399" s="0" t="n">
        <v>6863864.510518576</v>
      </c>
      <c r="E1399" s="0" t="n">
        <v>9.944882606571098e-06</v>
      </c>
      <c r="F1399" s="0" t="n">
        <v>9.838088836324964e-06</v>
      </c>
      <c r="G1399" s="0" t="n">
        <v>1.067937702461338e-07</v>
      </c>
      <c r="H1399" s="0" t="b">
        <v>0</v>
      </c>
    </row>
    <row r="1400">
      <c r="A1400" s="0" t="n">
        <v>149</v>
      </c>
      <c r="B1400" s="0" t="n">
        <v>15</v>
      </c>
      <c r="C1400" s="0" t="n">
        <v>6789642.08984375</v>
      </c>
      <c r="D1400" s="0" t="n">
        <v>6778111.87951401</v>
      </c>
      <c r="E1400" s="0" t="n">
        <v>9.94358332079459e-06</v>
      </c>
      <c r="F1400" s="0" t="n">
        <v>9.838088836324964e-06</v>
      </c>
      <c r="G1400" s="0" t="n">
        <v>1.054944844696264e-07</v>
      </c>
      <c r="H1400" s="0" t="b">
        <v>0</v>
      </c>
    </row>
    <row r="1401">
      <c r="A1401" s="0" t="n">
        <v>150</v>
      </c>
      <c r="B1401" s="0" t="n">
        <v>1</v>
      </c>
      <c r="C1401" s="0" t="n">
        <v>6050000</v>
      </c>
      <c r="D1401" s="0" t="n">
        <v>-37999297.53426602</v>
      </c>
      <c r="E1401" s="0" t="n">
        <v>6.649099623713613e-06</v>
      </c>
      <c r="F1401" s="0" t="n">
        <v>9.838088836324964e-06</v>
      </c>
      <c r="G1401" s="0" t="n">
        <v>-3.188989212611351e-06</v>
      </c>
      <c r="H1401" s="0" t="b">
        <v>1</v>
      </c>
    </row>
    <row r="1402">
      <c r="A1402" s="0" t="n">
        <v>150</v>
      </c>
      <c r="B1402" s="0" t="n">
        <v>2</v>
      </c>
      <c r="C1402" s="0" t="n">
        <v>9025000</v>
      </c>
      <c r="D1402" s="0" t="n">
        <v>15265762923.0646</v>
      </c>
      <c r="E1402" s="0" t="n">
        <v>5.821629532288968e-05</v>
      </c>
      <c r="F1402" s="0" t="n">
        <v>9.838088836324964e-06</v>
      </c>
      <c r="G1402" s="0" t="n">
        <v>4.837820648656472e-05</v>
      </c>
      <c r="H1402" s="0" t="b">
        <v>0</v>
      </c>
    </row>
    <row r="1403">
      <c r="A1403" s="0" t="n">
        <v>150</v>
      </c>
      <c r="B1403" s="0" t="n">
        <v>3</v>
      </c>
      <c r="C1403" s="0" t="n">
        <v>7537500</v>
      </c>
      <c r="D1403" s="0" t="n">
        <v>1673796087.703539</v>
      </c>
      <c r="E1403" s="0" t="n">
        <v>1.920886061499702e-05</v>
      </c>
      <c r="F1403" s="0" t="n">
        <v>9.838088836324964e-06</v>
      </c>
      <c r="G1403" s="0" t="n">
        <v>9.370771778672058e-06</v>
      </c>
      <c r="H1403" s="0" t="b">
        <v>0</v>
      </c>
    </row>
    <row r="1404">
      <c r="A1404" s="0" t="n">
        <v>150</v>
      </c>
      <c r="B1404" s="0" t="n">
        <v>4</v>
      </c>
      <c r="C1404" s="0" t="n">
        <v>6793750</v>
      </c>
      <c r="D1404" s="0" t="n">
        <v>25000962.547096</v>
      </c>
      <c r="E1404" s="0" t="n">
        <v>1.020311117413464e-05</v>
      </c>
      <c r="F1404" s="0" t="n">
        <v>9.838088836324964e-06</v>
      </c>
      <c r="G1404" s="0" t="n">
        <v>3.650223378096745e-07</v>
      </c>
      <c r="H1404" s="0" t="b">
        <v>0</v>
      </c>
    </row>
    <row r="1405">
      <c r="A1405" s="0" t="n">
        <v>150</v>
      </c>
      <c r="B1405" s="0" t="n">
        <v>5</v>
      </c>
      <c r="C1405" s="0" t="n">
        <v>6421875</v>
      </c>
      <c r="D1405" s="0" t="n">
        <v>-56859851.09830455</v>
      </c>
      <c r="E1405" s="0" t="n">
        <v>8.326793329796314e-06</v>
      </c>
      <c r="F1405" s="0" t="n">
        <v>9.838088836324964e-06</v>
      </c>
      <c r="G1405" s="0" t="n">
        <v>-1.51129550652865e-06</v>
      </c>
      <c r="H1405" s="0" t="b">
        <v>1</v>
      </c>
    </row>
    <row r="1406">
      <c r="A1406" s="0" t="n">
        <v>150</v>
      </c>
      <c r="B1406" s="0" t="n">
        <v>6</v>
      </c>
      <c r="C1406" s="0" t="n">
        <v>6607812.5</v>
      </c>
      <c r="D1406" s="0" t="n">
        <v>-31469002.49833106</v>
      </c>
      <c r="E1406" s="0" t="n">
        <v>9.240819951369581e-06</v>
      </c>
      <c r="F1406" s="0" t="n">
        <v>9.838088836324964e-06</v>
      </c>
      <c r="G1406" s="0" t="n">
        <v>-5.972688849553824e-07</v>
      </c>
      <c r="H1406" s="0" t="b">
        <v>1</v>
      </c>
    </row>
    <row r="1407">
      <c r="A1407" s="0" t="n">
        <v>150</v>
      </c>
      <c r="B1407" s="0" t="n">
        <v>7</v>
      </c>
      <c r="C1407" s="0" t="n">
        <v>6700781.25</v>
      </c>
      <c r="D1407" s="0" t="n">
        <v>-7388651.617708981</v>
      </c>
      <c r="E1407" s="0" t="n">
        <v>9.715996812582085e-06</v>
      </c>
      <c r="F1407" s="0" t="n">
        <v>9.838088836324964e-06</v>
      </c>
      <c r="G1407" s="0" t="n">
        <v>-1.220920237428788e-07</v>
      </c>
      <c r="H1407" s="0" t="b">
        <v>1</v>
      </c>
    </row>
    <row r="1408">
      <c r="A1408" s="0" t="n">
        <v>150</v>
      </c>
      <c r="B1408" s="0" t="n">
        <v>8</v>
      </c>
      <c r="C1408" s="0" t="n">
        <v>6747265.625</v>
      </c>
      <c r="D1408" s="0" t="n">
        <v>7738872.175228223</v>
      </c>
      <c r="E1408" s="0" t="n">
        <v>9.958092819943675e-06</v>
      </c>
      <c r="F1408" s="0" t="n">
        <v>9.838088836324964e-06</v>
      </c>
      <c r="G1408" s="0" t="n">
        <v>1.200039836187113e-07</v>
      </c>
      <c r="H1408" s="0" t="b">
        <v>0</v>
      </c>
    </row>
    <row r="1409">
      <c r="A1409" s="0" t="n">
        <v>150</v>
      </c>
      <c r="B1409" s="0" t="n">
        <v>9</v>
      </c>
      <c r="C1409" s="0" t="n">
        <v>6724023.4375</v>
      </c>
      <c r="D1409" s="0" t="n">
        <v>-88591.62748131133</v>
      </c>
      <c r="E1409" s="0" t="n">
        <v>9.836671335208558e-06</v>
      </c>
      <c r="F1409" s="0" t="n">
        <v>9.838088836324964e-06</v>
      </c>
      <c r="G1409" s="0" t="n">
        <v>-1.417501116405577e-09</v>
      </c>
      <c r="H1409" s="0" t="b">
        <v>1</v>
      </c>
    </row>
    <row r="1410">
      <c r="A1410" s="0" t="n">
        <v>150</v>
      </c>
      <c r="B1410" s="0" t="n">
        <v>10</v>
      </c>
      <c r="C1410" s="0" t="n">
        <v>6735644.53125</v>
      </c>
      <c r="D1410" s="0" t="n">
        <v>3758778.730591944</v>
      </c>
      <c r="E1410" s="0" t="n">
        <v>9.897289273059464e-06</v>
      </c>
      <c r="F1410" s="0" t="n">
        <v>9.838088836324964e-06</v>
      </c>
      <c r="G1410" s="0" t="n">
        <v>5.920043673450006e-08</v>
      </c>
      <c r="H1410" s="0" t="b">
        <v>0</v>
      </c>
    </row>
    <row r="1411">
      <c r="A1411" s="0" t="n">
        <v>150</v>
      </c>
      <c r="B1411" s="0" t="n">
        <v>11</v>
      </c>
      <c r="C1411" s="0" t="n">
        <v>6741455.078125</v>
      </c>
      <c r="D1411" s="0" t="n">
        <v>5732161.501744172</v>
      </c>
      <c r="E1411" s="0" t="n">
        <v>9.927667608481711e-06</v>
      </c>
      <c r="F1411" s="0" t="n">
        <v>9.838088836324964e-06</v>
      </c>
      <c r="G1411" s="0" t="n">
        <v>8.957877215674729e-08</v>
      </c>
      <c r="H1411" s="0" t="b">
        <v>0</v>
      </c>
    </row>
    <row r="1412">
      <c r="A1412" s="0" t="n">
        <v>150</v>
      </c>
      <c r="B1412" s="0" t="n">
        <v>12</v>
      </c>
      <c r="C1412" s="0" t="n">
        <v>6744360.3515625</v>
      </c>
      <c r="D1412" s="0" t="n">
        <v>6731346.588034228</v>
      </c>
      <c r="E1412" s="0" t="n">
        <v>9.942874400912798e-06</v>
      </c>
      <c r="F1412" s="0" t="n">
        <v>9.838088836324964e-06</v>
      </c>
      <c r="G1412" s="0" t="n">
        <v>1.047855645878341e-07</v>
      </c>
      <c r="H1412" s="0" t="b">
        <v>0</v>
      </c>
    </row>
    <row r="1413">
      <c r="A1413" s="0" t="n">
        <v>151</v>
      </c>
      <c r="B1413" s="0" t="n">
        <v>1</v>
      </c>
      <c r="C1413" s="0" t="n">
        <v>6050000</v>
      </c>
      <c r="D1413" s="0" t="n">
        <v>123024278940.418</v>
      </c>
      <c r="E1413" s="0" t="n">
        <v>0.0001746941495451558</v>
      </c>
      <c r="F1413" s="0" t="n">
        <v>7.63395442096709e-06</v>
      </c>
      <c r="G1413" s="0" t="n">
        <v>0.0001670601951241887</v>
      </c>
      <c r="H1413" s="0" t="b">
        <v>0</v>
      </c>
    </row>
    <row r="1414">
      <c r="A1414" s="0" t="n">
        <v>151</v>
      </c>
      <c r="B1414" s="0" t="n">
        <v>2</v>
      </c>
      <c r="C1414" s="0" t="n">
        <v>3075000</v>
      </c>
      <c r="D1414" s="0" t="n">
        <v>-8008554.056927327</v>
      </c>
      <c r="E1414" s="0" t="n">
        <v>3.944517902643859e-06</v>
      </c>
      <c r="F1414" s="0" t="n">
        <v>7.633954420967102e-06</v>
      </c>
      <c r="G1414" s="0" t="n">
        <v>-3.689436518323242e-06</v>
      </c>
      <c r="H1414" s="0" t="b">
        <v>1</v>
      </c>
    </row>
    <row r="1415">
      <c r="A1415" s="0" t="n">
        <v>151</v>
      </c>
      <c r="B1415" s="0" t="n">
        <v>3</v>
      </c>
      <c r="C1415" s="0" t="n">
        <v>4562500</v>
      </c>
      <c r="D1415" s="0" t="n">
        <v>9525626091.904442</v>
      </c>
      <c r="E1415" s="0" t="n">
        <v>3.297515588283605e-05</v>
      </c>
      <c r="F1415" s="0" t="n">
        <v>7.633954420967104e-06</v>
      </c>
      <c r="G1415" s="0" t="n">
        <v>2.534120146186894e-05</v>
      </c>
      <c r="H1415" s="0" t="b">
        <v>0</v>
      </c>
    </row>
    <row r="1416">
      <c r="A1416" s="0" t="n">
        <v>151</v>
      </c>
      <c r="B1416" s="0" t="n">
        <v>4</v>
      </c>
      <c r="C1416" s="0" t="n">
        <v>3818750</v>
      </c>
      <c r="D1416" s="0" t="n">
        <v>231786527.1812865</v>
      </c>
      <c r="E1416" s="0" t="n">
        <v>9.492828379329782e-06</v>
      </c>
      <c r="F1416" s="0" t="n">
        <v>7.633954420967102e-06</v>
      </c>
      <c r="G1416" s="0" t="n">
        <v>1.85887395836268e-06</v>
      </c>
      <c r="H1416" s="0" t="b">
        <v>0</v>
      </c>
    </row>
    <row r="1417">
      <c r="A1417" s="0" t="n">
        <v>151</v>
      </c>
      <c r="B1417" s="0" t="n">
        <v>5</v>
      </c>
      <c r="C1417" s="0" t="n">
        <v>3446875</v>
      </c>
      <c r="D1417" s="0" t="n">
        <v>-51992909.75661249</v>
      </c>
      <c r="E1417" s="0" t="n">
        <v>6.367387945374666e-06</v>
      </c>
      <c r="F1417" s="0" t="n">
        <v>7.633954420967102e-06</v>
      </c>
      <c r="G1417" s="0" t="n">
        <v>-1.266566475592436e-06</v>
      </c>
      <c r="H1417" s="0" t="b">
        <v>1</v>
      </c>
    </row>
    <row r="1418">
      <c r="A1418" s="0" t="n">
        <v>151</v>
      </c>
      <c r="B1418" s="0" t="n">
        <v>6</v>
      </c>
      <c r="C1418" s="0" t="n">
        <v>3632812.5</v>
      </c>
      <c r="D1418" s="0" t="n">
        <v>16955293.56776391</v>
      </c>
      <c r="E1418" s="0" t="n">
        <v>7.84398952702086e-06</v>
      </c>
      <c r="F1418" s="0" t="n">
        <v>7.633954420967102e-06</v>
      </c>
      <c r="G1418" s="0" t="n">
        <v>2.100351060537584e-07</v>
      </c>
      <c r="H1418" s="0" t="b">
        <v>0</v>
      </c>
    </row>
    <row r="1419">
      <c r="A1419" s="0" t="n">
        <v>151</v>
      </c>
      <c r="B1419" s="0" t="n">
        <v>7</v>
      </c>
      <c r="C1419" s="0" t="n">
        <v>3539843.75</v>
      </c>
      <c r="D1419" s="0" t="n">
        <v>-33089354.43254207</v>
      </c>
      <c r="E1419" s="0" t="n">
        <v>7.083809505864232e-06</v>
      </c>
      <c r="F1419" s="0" t="n">
        <v>7.633954420967102e-06</v>
      </c>
      <c r="G1419" s="0" t="n">
        <v>-5.501449151028701e-07</v>
      </c>
      <c r="H1419" s="0" t="b">
        <v>1</v>
      </c>
    </row>
    <row r="1420">
      <c r="A1420" s="0" t="n">
        <v>151</v>
      </c>
      <c r="B1420" s="0" t="n">
        <v>8</v>
      </c>
      <c r="C1420" s="0" t="n">
        <v>3586328.125</v>
      </c>
      <c r="D1420" s="0" t="n">
        <v>-12335856.02405999</v>
      </c>
      <c r="E1420" s="0" t="n">
        <v>7.458436029990816e-06</v>
      </c>
      <c r="F1420" s="0" t="n">
        <v>7.633954420967102e-06</v>
      </c>
      <c r="G1420" s="0" t="n">
        <v>-1.755183909762862e-07</v>
      </c>
      <c r="H1420" s="0" t="b">
        <v>1</v>
      </c>
    </row>
    <row r="1421">
      <c r="A1421" s="0" t="n">
        <v>151</v>
      </c>
      <c r="B1421" s="0" t="n">
        <v>9</v>
      </c>
      <c r="C1421" s="0" t="n">
        <v>3609570.3125</v>
      </c>
      <c r="D1421" s="0" t="n">
        <v>1199709.605012116</v>
      </c>
      <c r="E1421" s="0" t="n">
        <v>7.649851137827563e-06</v>
      </c>
      <c r="F1421" s="0" t="n">
        <v>7.633954420967102e-06</v>
      </c>
      <c r="G1421" s="0" t="n">
        <v>1.589671686046147e-08</v>
      </c>
      <c r="H1421" s="0" t="b">
        <v>0</v>
      </c>
    </row>
    <row r="1422">
      <c r="A1422" s="0" t="n">
        <v>151</v>
      </c>
      <c r="B1422" s="0" t="n">
        <v>10</v>
      </c>
      <c r="C1422" s="0" t="n">
        <v>3621191.40625</v>
      </c>
      <c r="D1422" s="0" t="n">
        <v>8794834.376087045</v>
      </c>
      <c r="E1422" s="0" t="n">
        <v>7.746580091067968e-06</v>
      </c>
      <c r="F1422" s="0" t="n">
        <v>7.633954420967102e-06</v>
      </c>
      <c r="G1422" s="0" t="n">
        <v>1.126256701008661e-07</v>
      </c>
      <c r="H1422" s="0" t="b">
        <v>0</v>
      </c>
    </row>
    <row r="1423">
      <c r="A1423" s="0" t="n">
        <v>151</v>
      </c>
      <c r="B1423" s="0" t="n">
        <v>11</v>
      </c>
      <c r="C1423" s="0" t="n">
        <v>3615380.859375</v>
      </c>
      <c r="D1423" s="0" t="n">
        <v>4927233.172728777</v>
      </c>
      <c r="E1423" s="0" t="n">
        <v>7.698130413583973e-06</v>
      </c>
      <c r="F1423" s="0" t="n">
        <v>7.633954420967102e-06</v>
      </c>
      <c r="G1423" s="0" t="n">
        <v>6.41759926168707e-08</v>
      </c>
      <c r="H1423" s="0" t="b">
        <v>0</v>
      </c>
    </row>
    <row r="1424">
      <c r="A1424" s="0" t="n">
        <v>151</v>
      </c>
      <c r="B1424" s="0" t="n">
        <v>12</v>
      </c>
      <c r="C1424" s="0" t="n">
        <v>3612475.5859375</v>
      </c>
      <c r="D1424" s="0" t="n">
        <v>3046032.993966521</v>
      </c>
      <c r="E1424" s="0" t="n">
        <v>7.673969353960325e-06</v>
      </c>
      <c r="F1424" s="0" t="n">
        <v>7.633954420967102e-06</v>
      </c>
      <c r="G1424" s="0" t="n">
        <v>4.001493299322321e-08</v>
      </c>
      <c r="H1424" s="0" t="b">
        <v>0</v>
      </c>
    </row>
    <row r="1425">
      <c r="A1425" s="0" t="n">
        <v>151</v>
      </c>
      <c r="B1425" s="0" t="n">
        <v>13</v>
      </c>
      <c r="C1425" s="0" t="n">
        <v>3613928.22265625</v>
      </c>
      <c r="D1425" s="0" t="n">
        <v>3982266.329780206</v>
      </c>
      <c r="E1425" s="0" t="n">
        <v>7.686044567151152e-06</v>
      </c>
      <c r="F1425" s="0" t="n">
        <v>7.633954420967102e-06</v>
      </c>
      <c r="G1425" s="0" t="n">
        <v>5.20901461840496e-08</v>
      </c>
      <c r="H1425" s="0" t="b">
        <v>0</v>
      </c>
    </row>
    <row r="1426">
      <c r="A1426" s="0" t="n">
        <v>151</v>
      </c>
      <c r="B1426" s="0" t="n">
        <v>14</v>
      </c>
      <c r="C1426" s="0" t="n">
        <v>3613428.22265625</v>
      </c>
      <c r="D1426" s="0" t="n">
        <v>3659028.56044833</v>
      </c>
      <c r="E1426" s="0" t="n">
        <v>7.681887058270223e-06</v>
      </c>
      <c r="F1426" s="0" t="n">
        <v>7.633954420967102e-06</v>
      </c>
      <c r="G1426" s="0" t="n">
        <v>4.793263730312145e-08</v>
      </c>
      <c r="H1426" s="0" t="b">
        <v>0</v>
      </c>
    </row>
    <row r="1427">
      <c r="A1427" s="0" t="n">
        <v>151</v>
      </c>
      <c r="B1427" s="0" t="n">
        <v>15</v>
      </c>
      <c r="C1427" s="0" t="n">
        <v>3612828.22265625</v>
      </c>
      <c r="D1427" s="0" t="n">
        <v>3272507.893160127</v>
      </c>
      <c r="E1427" s="0" t="n">
        <v>7.676899710626946e-06</v>
      </c>
      <c r="F1427" s="0" t="n">
        <v>7.633954420967102e-06</v>
      </c>
      <c r="G1427" s="0" t="n">
        <v>4.294528965984407e-08</v>
      </c>
      <c r="H1427" s="0" t="b">
        <v>0</v>
      </c>
    </row>
    <row r="1428">
      <c r="A1428" s="0" t="n">
        <v>151</v>
      </c>
      <c r="B1428" s="0" t="n">
        <v>16</v>
      </c>
      <c r="C1428" s="0" t="n">
        <v>3613128.22265625</v>
      </c>
      <c r="D1428" s="0" t="n">
        <v>3465605.772881536</v>
      </c>
      <c r="E1428" s="0" t="n">
        <v>7.67939346162778e-06</v>
      </c>
      <c r="F1428" s="0" t="n">
        <v>7.633954420967102e-06</v>
      </c>
      <c r="G1428" s="0" t="n">
        <v>4.543904066067784e-08</v>
      </c>
      <c r="H1428" s="0" t="b">
        <v>0</v>
      </c>
    </row>
    <row r="1429">
      <c r="A1429" s="0" t="n">
        <v>151</v>
      </c>
      <c r="B1429" s="0" t="n">
        <v>17</v>
      </c>
      <c r="C1429" s="0" t="n">
        <v>3613488.22265625</v>
      </c>
      <c r="D1429" s="0" t="n">
        <v>3697762.487571273</v>
      </c>
      <c r="E1429" s="0" t="n">
        <v>7.682385892817452e-06</v>
      </c>
      <c r="F1429" s="0" t="n">
        <v>7.633954420967102e-06</v>
      </c>
      <c r="G1429" s="0" t="n">
        <v>4.843147185034967e-08</v>
      </c>
      <c r="H1429" s="0" t="b">
        <v>0</v>
      </c>
    </row>
    <row r="1430">
      <c r="A1430" s="0" t="n">
        <v>151</v>
      </c>
      <c r="B1430" s="0" t="n">
        <v>18</v>
      </c>
      <c r="C1430" s="0" t="n">
        <v>3613308.22265625</v>
      </c>
      <c r="D1430" s="0" t="n">
        <v>3581628.956078583</v>
      </c>
      <c r="E1430" s="0" t="n">
        <v>7.680889747637032e-06</v>
      </c>
      <c r="F1430" s="0" t="n">
        <v>7.633954420967102e-06</v>
      </c>
      <c r="G1430" s="0" t="n">
        <v>4.693532666993017e-08</v>
      </c>
      <c r="H1430" s="0" t="b">
        <v>0</v>
      </c>
    </row>
    <row r="1431">
      <c r="A1431" s="0" t="n">
        <v>152</v>
      </c>
      <c r="B1431" s="0" t="n">
        <v>1</v>
      </c>
      <c r="C1431" s="0" t="n">
        <v>6050000</v>
      </c>
      <c r="D1431" s="0" t="n">
        <v>49857688344.21056</v>
      </c>
      <c r="E1431" s="0" t="n">
        <v>8.720026443669611e-05</v>
      </c>
      <c r="F1431" s="0" t="n">
        <v>7.236648882401718e-06</v>
      </c>
      <c r="G1431" s="0" t="n">
        <v>7.996361555429439e-05</v>
      </c>
      <c r="H1431" s="0" t="b">
        <v>0</v>
      </c>
    </row>
    <row r="1432">
      <c r="A1432" s="0" t="n">
        <v>152</v>
      </c>
      <c r="B1432" s="0" t="n">
        <v>2</v>
      </c>
      <c r="C1432" s="0" t="n">
        <v>3075000</v>
      </c>
      <c r="D1432" s="0" t="n">
        <v>-1244881.388911539</v>
      </c>
      <c r="E1432" s="0" t="n">
        <v>2.326993739635998e-06</v>
      </c>
      <c r="F1432" s="0" t="n">
        <v>7.236648882401714e-06</v>
      </c>
      <c r="G1432" s="0" t="n">
        <v>-4.909655142765716e-06</v>
      </c>
      <c r="H1432" s="0" t="b">
        <v>1</v>
      </c>
    </row>
    <row r="1433">
      <c r="A1433" s="0" t="n">
        <v>152</v>
      </c>
      <c r="B1433" s="0" t="n">
        <v>3</v>
      </c>
      <c r="C1433" s="0" t="n">
        <v>4562500</v>
      </c>
      <c r="D1433" s="0" t="n">
        <v>1791256792.864428</v>
      </c>
      <c r="E1433" s="0" t="n">
        <v>1.415749629354581e-05</v>
      </c>
      <c r="F1433" s="0" t="n">
        <v>7.236648882401714e-06</v>
      </c>
      <c r="G1433" s="0" t="n">
        <v>6.920847411144095e-06</v>
      </c>
      <c r="H1433" s="0" t="b">
        <v>0</v>
      </c>
    </row>
    <row r="1434">
      <c r="A1434" s="0" t="n">
        <v>152</v>
      </c>
      <c r="B1434" s="0" t="n">
        <v>4</v>
      </c>
      <c r="C1434" s="0" t="n">
        <v>3818750</v>
      </c>
      <c r="D1434" s="0" t="n">
        <v>-51201967.30564635</v>
      </c>
      <c r="E1434" s="0" t="n">
        <v>5.893326943199896e-06</v>
      </c>
      <c r="F1434" s="0" t="n">
        <v>7.236648882401714e-06</v>
      </c>
      <c r="G1434" s="0" t="n">
        <v>-1.343321939201819e-06</v>
      </c>
      <c r="H1434" s="0" t="b">
        <v>1</v>
      </c>
    </row>
    <row r="1435">
      <c r="A1435" s="0" t="n">
        <v>152</v>
      </c>
      <c r="B1435" s="0" t="n">
        <v>5</v>
      </c>
      <c r="C1435" s="0" t="n">
        <v>4190625</v>
      </c>
      <c r="D1435" s="0" t="n">
        <v>142027648.927437</v>
      </c>
      <c r="E1435" s="0" t="n">
        <v>8.473393188910995e-06</v>
      </c>
      <c r="F1435" s="0" t="n">
        <v>7.236648882401714e-06</v>
      </c>
      <c r="G1435" s="0" t="n">
        <v>1.236744306509281e-06</v>
      </c>
      <c r="H1435" s="0" t="b">
        <v>0</v>
      </c>
    </row>
    <row r="1436">
      <c r="A1436" s="0" t="n">
        <v>152</v>
      </c>
      <c r="B1436" s="0" t="n">
        <v>6</v>
      </c>
      <c r="C1436" s="0" t="n">
        <v>4004687.5</v>
      </c>
      <c r="D1436" s="0" t="n">
        <v>-8796109.196119087</v>
      </c>
      <c r="E1436" s="0" t="n">
        <v>7.118268686760359e-06</v>
      </c>
      <c r="F1436" s="0" t="n">
        <v>7.236648882401714e-06</v>
      </c>
      <c r="G1436" s="0" t="n">
        <v>-1.183801956413554e-07</v>
      </c>
      <c r="H1436" s="0" t="b">
        <v>1</v>
      </c>
    </row>
    <row r="1437">
      <c r="A1437" s="0" t="n">
        <v>152</v>
      </c>
      <c r="B1437" s="0" t="n">
        <v>7</v>
      </c>
      <c r="C1437" s="0" t="n">
        <v>4097656.25</v>
      </c>
      <c r="D1437" s="0" t="n">
        <v>51151648.43138149</v>
      </c>
      <c r="E1437" s="0" t="n">
        <v>7.779762593316314e-06</v>
      </c>
      <c r="F1437" s="0" t="n">
        <v>7.236648882401714e-06</v>
      </c>
      <c r="G1437" s="0" t="n">
        <v>5.431137109145998e-07</v>
      </c>
      <c r="H1437" s="0" t="b">
        <v>0</v>
      </c>
    </row>
    <row r="1438">
      <c r="A1438" s="0" t="n">
        <v>152</v>
      </c>
      <c r="B1438" s="0" t="n">
        <v>8</v>
      </c>
      <c r="C1438" s="0" t="n">
        <v>4051171.875</v>
      </c>
      <c r="D1438" s="0" t="n">
        <v>17533668.47205391</v>
      </c>
      <c r="E1438" s="0" t="n">
        <v>7.445052780697605e-06</v>
      </c>
      <c r="F1438" s="0" t="n">
        <v>7.236648882401714e-06</v>
      </c>
      <c r="G1438" s="0" t="n">
        <v>2.084038982958906e-07</v>
      </c>
      <c r="H1438" s="0" t="b">
        <v>0</v>
      </c>
    </row>
    <row r="1439">
      <c r="A1439" s="0" t="n">
        <v>152</v>
      </c>
      <c r="B1439" s="0" t="n">
        <v>9</v>
      </c>
      <c r="C1439" s="0" t="n">
        <v>4027929.6875</v>
      </c>
      <c r="D1439" s="0" t="n">
        <v>3485355.959139603</v>
      </c>
      <c r="E1439" s="0" t="n">
        <v>7.2806621719926e-06</v>
      </c>
      <c r="F1439" s="0" t="n">
        <v>7.236648882401714e-06</v>
      </c>
      <c r="G1439" s="0" t="n">
        <v>4.401328959088611e-08</v>
      </c>
      <c r="H1439" s="0" t="b">
        <v>0</v>
      </c>
    </row>
    <row r="1440">
      <c r="A1440" s="0" t="n">
        <v>152</v>
      </c>
      <c r="B1440" s="0" t="n">
        <v>10</v>
      </c>
      <c r="C1440" s="0" t="n">
        <v>4039550.78125</v>
      </c>
      <c r="D1440" s="0" t="n">
        <v>10286550.90909487</v>
      </c>
      <c r="E1440" s="0" t="n">
        <v>7.362625754749996e-06</v>
      </c>
      <c r="F1440" s="0" t="n">
        <v>7.236648882401714e-06</v>
      </c>
      <c r="G1440" s="0" t="n">
        <v>1.259768723482814e-07</v>
      </c>
      <c r="H1440" s="0" t="b">
        <v>0</v>
      </c>
    </row>
    <row r="1441">
      <c r="A1441" s="0" t="n">
        <v>152</v>
      </c>
      <c r="B1441" s="0" t="n">
        <v>11</v>
      </c>
      <c r="C1441" s="0" t="n">
        <v>4033740.234375</v>
      </c>
      <c r="D1441" s="0" t="n">
        <v>6830125.934232667</v>
      </c>
      <c r="E1441" s="0" t="n">
        <v>7.321579966269214e-06</v>
      </c>
      <c r="F1441" s="0" t="n">
        <v>7.236648882401714e-06</v>
      </c>
      <c r="G1441" s="0" t="n">
        <v>8.493108386749982e-08</v>
      </c>
      <c r="H1441" s="0" t="b">
        <v>0</v>
      </c>
    </row>
    <row r="1442">
      <c r="A1442" s="0" t="n">
        <v>152</v>
      </c>
      <c r="B1442" s="0" t="n">
        <v>12</v>
      </c>
      <c r="C1442" s="0" t="n">
        <v>4030834.9609375</v>
      </c>
      <c r="D1442" s="0" t="n">
        <v>5143855.963719938</v>
      </c>
      <c r="E1442" s="0" t="n">
        <v>7.301105238709872e-06</v>
      </c>
      <c r="F1442" s="0" t="n">
        <v>7.236648882401714e-06</v>
      </c>
      <c r="G1442" s="0" t="n">
        <v>6.445635630815784e-08</v>
      </c>
      <c r="H1442" s="0" t="b">
        <v>0</v>
      </c>
    </row>
    <row r="1443">
      <c r="A1443" s="0" t="n">
        <v>152</v>
      </c>
      <c r="B1443" s="0" t="n">
        <v>13</v>
      </c>
      <c r="C1443" s="0" t="n">
        <v>4029382.32421875</v>
      </c>
      <c r="D1443" s="0" t="n">
        <v>4311139.022482914</v>
      </c>
      <c r="E1443" s="0" t="n">
        <v>7.29087971194762e-06</v>
      </c>
      <c r="F1443" s="0" t="n">
        <v>7.236648882401714e-06</v>
      </c>
      <c r="G1443" s="0" t="n">
        <v>5.423082954590529e-08</v>
      </c>
      <c r="H1443" s="0" t="b">
        <v>0</v>
      </c>
    </row>
    <row r="1444">
      <c r="A1444" s="0" t="n">
        <v>152</v>
      </c>
      <c r="B1444" s="0" t="n">
        <v>14</v>
      </c>
      <c r="C1444" s="0" t="n">
        <v>4028182.32421875</v>
      </c>
      <c r="D1444" s="0" t="n">
        <v>3628452.911092927</v>
      </c>
      <c r="E1444" s="0" t="n">
        <v>7.282438313094614e-06</v>
      </c>
      <c r="F1444" s="0" t="n">
        <v>7.236648882401714e-06</v>
      </c>
      <c r="G1444" s="0" t="n">
        <v>4.578943069289967e-08</v>
      </c>
      <c r="H1444" s="0" t="b">
        <v>0</v>
      </c>
    </row>
    <row r="1445">
      <c r="A1445" s="0" t="n">
        <v>152</v>
      </c>
      <c r="B1445" s="0" t="n">
        <v>15</v>
      </c>
      <c r="C1445" s="0" t="n">
        <v>4028782.32421875</v>
      </c>
      <c r="D1445" s="0" t="n">
        <v>3969216.227302096</v>
      </c>
      <c r="E1445" s="0" t="n">
        <v>7.286658470397325e-06</v>
      </c>
      <c r="F1445" s="0" t="n">
        <v>7.236648882401714e-06</v>
      </c>
      <c r="G1445" s="0" t="n">
        <v>5.000958799561067e-08</v>
      </c>
      <c r="H1445" s="0" t="b">
        <v>0</v>
      </c>
    </row>
    <row r="1446">
      <c r="A1446" s="0" t="n">
        <v>152</v>
      </c>
      <c r="B1446" s="0" t="n">
        <v>16</v>
      </c>
      <c r="C1446" s="0" t="n">
        <v>4029502.32421875</v>
      </c>
      <c r="D1446" s="0" t="n">
        <v>4379642.863084563</v>
      </c>
      <c r="E1446" s="0" t="n">
        <v>7.291723844886647e-06</v>
      </c>
      <c r="F1446" s="0" t="n">
        <v>7.236648882401714e-06</v>
      </c>
      <c r="G1446" s="0" t="n">
        <v>5.507496248493243e-08</v>
      </c>
      <c r="H1446" s="0" t="b">
        <v>0</v>
      </c>
    </row>
    <row r="1447">
      <c r="A1447" s="0" t="n">
        <v>152</v>
      </c>
      <c r="B1447" s="0" t="n">
        <v>17</v>
      </c>
      <c r="C1447" s="0" t="n">
        <v>4029142.32421875</v>
      </c>
      <c r="D1447" s="0" t="n">
        <v>4174228.007981387</v>
      </c>
      <c r="E1447" s="0" t="n">
        <v>7.289191051812127e-06</v>
      </c>
      <c r="F1447" s="0" t="n">
        <v>7.236648882401714e-06</v>
      </c>
      <c r="G1447" s="0" t="n">
        <v>5.254216941041277e-08</v>
      </c>
      <c r="H1447" s="0" t="b">
        <v>0</v>
      </c>
    </row>
    <row r="1448">
      <c r="A1448" s="0" t="n">
        <v>152</v>
      </c>
      <c r="B1448" s="0" t="n">
        <v>18</v>
      </c>
      <c r="C1448" s="0" t="n">
        <v>4028710.32421875</v>
      </c>
      <c r="D1448" s="0" t="n">
        <v>3928242.413249034</v>
      </c>
      <c r="E1448" s="0" t="n">
        <v>7.286151734365354e-06</v>
      </c>
      <c r="F1448" s="0" t="n">
        <v>7.236648882401714e-06</v>
      </c>
      <c r="G1448" s="0" t="n">
        <v>4.950285196364014e-08</v>
      </c>
      <c r="H1448" s="0" t="b">
        <v>0</v>
      </c>
    </row>
    <row r="1449">
      <c r="A1449" s="0" t="n">
        <v>152</v>
      </c>
      <c r="B1449" s="0" t="n">
        <v>19</v>
      </c>
      <c r="C1449" s="0" t="n">
        <v>4028926.32421875</v>
      </c>
      <c r="D1449" s="0" t="n">
        <v>4051147.312438902</v>
      </c>
      <c r="E1449" s="0" t="n">
        <v>7.287671165407233e-06</v>
      </c>
      <c r="F1449" s="0" t="n">
        <v>7.236648882401714e-06</v>
      </c>
      <c r="G1449" s="0" t="n">
        <v>5.102228300551891e-08</v>
      </c>
      <c r="H1449" s="0" t="b">
        <v>0</v>
      </c>
    </row>
    <row r="1450">
      <c r="A1450" s="0" t="n">
        <v>153</v>
      </c>
      <c r="B1450" s="0" t="n">
        <v>1</v>
      </c>
      <c r="C1450" s="0" t="n">
        <v>6050000</v>
      </c>
      <c r="D1450" s="0" t="n">
        <v>28110132165.4954</v>
      </c>
      <c r="E1450" s="0" t="n">
        <v>5.769729594144912e-05</v>
      </c>
      <c r="F1450" s="0" t="n">
        <v>7.029988749501866e-06</v>
      </c>
      <c r="G1450" s="0" t="n">
        <v>5.066730719194726e-05</v>
      </c>
      <c r="H1450" s="0" t="b">
        <v>0</v>
      </c>
    </row>
    <row r="1451">
      <c r="A1451" s="0" t="n">
        <v>153</v>
      </c>
      <c r="B1451" s="0" t="n">
        <v>2</v>
      </c>
      <c r="C1451" s="0" t="n">
        <v>3075000</v>
      </c>
      <c r="D1451" s="0" t="n">
        <v>-698817.0410873352</v>
      </c>
      <c r="E1451" s="0" t="n">
        <v>1.722865355569163e-06</v>
      </c>
      <c r="F1451" s="0" t="n">
        <v>7.029988749501866e-06</v>
      </c>
      <c r="G1451" s="0" t="n">
        <v>-5.307123393932703e-06</v>
      </c>
      <c r="H1451" s="0" t="b">
        <v>1</v>
      </c>
    </row>
    <row r="1452">
      <c r="A1452" s="0" t="n">
        <v>153</v>
      </c>
      <c r="B1452" s="0" t="n">
        <v>3</v>
      </c>
      <c r="C1452" s="0" t="n">
        <v>4562500</v>
      </c>
      <c r="D1452" s="0" t="n">
        <v>272290280.1993082</v>
      </c>
      <c r="E1452" s="0" t="n">
        <v>8.969475898592806e-06</v>
      </c>
      <c r="F1452" s="0" t="n">
        <v>7.029988749501866e-06</v>
      </c>
      <c r="G1452" s="0" t="n">
        <v>1.939487149090941e-06</v>
      </c>
      <c r="H1452" s="0" t="b">
        <v>0</v>
      </c>
    </row>
    <row r="1453">
      <c r="A1453" s="0" t="n">
        <v>153</v>
      </c>
      <c r="B1453" s="0" t="n">
        <v>4</v>
      </c>
      <c r="C1453" s="0" t="n">
        <v>3818750</v>
      </c>
      <c r="D1453" s="0" t="n">
        <v>-21928679.57972597</v>
      </c>
      <c r="E1453" s="0" t="n">
        <v>4.442777272669505e-06</v>
      </c>
      <c r="F1453" s="0" t="n">
        <v>7.029988749501866e-06</v>
      </c>
      <c r="G1453" s="0" t="n">
        <v>-2.587211476832361e-06</v>
      </c>
      <c r="H1453" s="0" t="b">
        <v>1</v>
      </c>
    </row>
    <row r="1454">
      <c r="A1454" s="0" t="n">
        <v>153</v>
      </c>
      <c r="B1454" s="0" t="n">
        <v>5</v>
      </c>
      <c r="C1454" s="0" t="n">
        <v>4190625</v>
      </c>
      <c r="D1454" s="0" t="n">
        <v>-33948236.09038386</v>
      </c>
      <c r="E1454" s="0" t="n">
        <v>6.482999482831644e-06</v>
      </c>
      <c r="F1454" s="0" t="n">
        <v>7.029988749501866e-06</v>
      </c>
      <c r="G1454" s="0" t="n">
        <v>-5.469892666702214e-07</v>
      </c>
      <c r="H1454" s="0" t="b">
        <v>1</v>
      </c>
    </row>
    <row r="1455">
      <c r="A1455" s="0" t="n">
        <v>153</v>
      </c>
      <c r="B1455" s="0" t="n">
        <v>6</v>
      </c>
      <c r="C1455" s="0" t="n">
        <v>4376562.5</v>
      </c>
      <c r="D1455" s="0" t="n">
        <v>64066757.12993149</v>
      </c>
      <c r="E1455" s="0" t="n">
        <v>7.671762768296596e-06</v>
      </c>
      <c r="F1455" s="0" t="n">
        <v>7.029988749501866e-06</v>
      </c>
      <c r="G1455" s="0" t="n">
        <v>6.417740187947303e-07</v>
      </c>
      <c r="H1455" s="0" t="b">
        <v>0</v>
      </c>
    </row>
    <row r="1456">
      <c r="A1456" s="0" t="n">
        <v>153</v>
      </c>
      <c r="B1456" s="0" t="n">
        <v>7</v>
      </c>
      <c r="C1456" s="0" t="n">
        <v>4283593.75</v>
      </c>
      <c r="D1456" s="0" t="n">
        <v>2699880.509567748</v>
      </c>
      <c r="E1456" s="0" t="n">
        <v>7.063531495105172e-06</v>
      </c>
      <c r="F1456" s="0" t="n">
        <v>7.029988749501866e-06</v>
      </c>
      <c r="G1456" s="0" t="n">
        <v>3.354274560330612e-08</v>
      </c>
      <c r="H1456" s="0" t="b">
        <v>0</v>
      </c>
    </row>
    <row r="1457">
      <c r="A1457" s="0" t="n">
        <v>153</v>
      </c>
      <c r="B1457" s="0" t="n">
        <v>8</v>
      </c>
      <c r="C1457" s="0" t="n">
        <v>4330078.125</v>
      </c>
      <c r="D1457" s="0" t="n">
        <v>30098319.44453909</v>
      </c>
      <c r="E1457" s="0" t="n">
        <v>7.364190238818163e-06</v>
      </c>
      <c r="F1457" s="0" t="n">
        <v>7.029988749501866e-06</v>
      </c>
      <c r="G1457" s="0" t="n">
        <v>3.342014893162973e-07</v>
      </c>
      <c r="H1457" s="0" t="b">
        <v>0</v>
      </c>
    </row>
    <row r="1458">
      <c r="A1458" s="0" t="n">
        <v>153</v>
      </c>
      <c r="B1458" s="0" t="n">
        <v>9</v>
      </c>
      <c r="C1458" s="0" t="n">
        <v>4306835.9375</v>
      </c>
      <c r="D1458" s="0" t="n">
        <v>15601052.46079908</v>
      </c>
      <c r="E1458" s="0" t="n">
        <v>7.212994119903556e-06</v>
      </c>
      <c r="F1458" s="0" t="n">
        <v>7.029988749501866e-06</v>
      </c>
      <c r="G1458" s="0" t="n">
        <v>1.830053704016905e-07</v>
      </c>
      <c r="H1458" s="0" t="b">
        <v>0</v>
      </c>
    </row>
    <row r="1459">
      <c r="A1459" s="0" t="n">
        <v>153</v>
      </c>
      <c r="B1459" s="0" t="n">
        <v>10</v>
      </c>
      <c r="C1459" s="0" t="n">
        <v>4295214.84375</v>
      </c>
      <c r="D1459" s="0" t="n">
        <v>8953939.480299035</v>
      </c>
      <c r="E1459" s="0" t="n">
        <v>7.1380457558735e-06</v>
      </c>
      <c r="F1459" s="0" t="n">
        <v>7.029988749501866e-06</v>
      </c>
      <c r="G1459" s="0" t="n">
        <v>1.08057006371634e-07</v>
      </c>
      <c r="H1459" s="0" t="b">
        <v>0</v>
      </c>
    </row>
    <row r="1460">
      <c r="A1460" s="0" t="n">
        <v>153</v>
      </c>
      <c r="B1460" s="0" t="n">
        <v>11</v>
      </c>
      <c r="C1460" s="0" t="n">
        <v>4289404.296875</v>
      </c>
      <c r="D1460" s="0" t="n">
        <v>5778157.784629945</v>
      </c>
      <c r="E1460" s="0" t="n">
        <v>7.100734322307937e-06</v>
      </c>
      <c r="F1460" s="0" t="n">
        <v>7.029988749501866e-06</v>
      </c>
      <c r="G1460" s="0" t="n">
        <v>7.074557280607186e-08</v>
      </c>
      <c r="H1460" s="0" t="b">
        <v>0</v>
      </c>
    </row>
    <row r="1461">
      <c r="A1461" s="0" t="n">
        <v>153</v>
      </c>
      <c r="B1461" s="0" t="n">
        <v>12</v>
      </c>
      <c r="C1461" s="0" t="n">
        <v>4286499.0234375</v>
      </c>
      <c r="D1461" s="0" t="n">
        <v>4226878.952289762</v>
      </c>
      <c r="E1461" s="0" t="n">
        <v>7.082119327950644e-06</v>
      </c>
      <c r="F1461" s="0" t="n">
        <v>7.029988749501866e-06</v>
      </c>
      <c r="G1461" s="0" t="n">
        <v>5.213057844877802e-08</v>
      </c>
      <c r="H1461" s="0" t="b">
        <v>0</v>
      </c>
    </row>
    <row r="1462">
      <c r="A1462" s="0" t="n">
        <v>153</v>
      </c>
      <c r="B1462" s="0" t="n">
        <v>13</v>
      </c>
      <c r="C1462" s="0" t="n">
        <v>4287951.66015625</v>
      </c>
      <c r="D1462" s="0" t="n">
        <v>4999455.138451152</v>
      </c>
      <c r="E1462" s="0" t="n">
        <v>7.091423164360782e-06</v>
      </c>
      <c r="F1462" s="0" t="n">
        <v>7.029988749501866e-06</v>
      </c>
      <c r="G1462" s="0" t="n">
        <v>6.143441485891646e-08</v>
      </c>
      <c r="H1462" s="0" t="b">
        <v>0</v>
      </c>
    </row>
    <row r="1463">
      <c r="A1463" s="0" t="n">
        <v>153</v>
      </c>
      <c r="B1463" s="0" t="n">
        <v>14</v>
      </c>
      <c r="C1463" s="0" t="n">
        <v>4287451.66015625</v>
      </c>
      <c r="D1463" s="0" t="n">
        <v>4732861.824222605</v>
      </c>
      <c r="E1463" s="0" t="n">
        <v>7.088220176493674e-06</v>
      </c>
      <c r="F1463" s="0" t="n">
        <v>7.029988749501866e-06</v>
      </c>
      <c r="G1463" s="0" t="n">
        <v>5.823142699180866e-08</v>
      </c>
      <c r="H1463" s="0" t="b">
        <v>0</v>
      </c>
    </row>
    <row r="1464">
      <c r="A1464" s="0" t="n">
        <v>153</v>
      </c>
      <c r="B1464" s="0" t="n">
        <v>15</v>
      </c>
      <c r="C1464" s="0" t="n">
        <v>4286851.66015625</v>
      </c>
      <c r="D1464" s="0" t="n">
        <v>4413851.662091173</v>
      </c>
      <c r="E1464" s="0" t="n">
        <v>7.084377067559692e-06</v>
      </c>
      <c r="F1464" s="0" t="n">
        <v>7.029988749501866e-06</v>
      </c>
      <c r="G1464" s="0" t="n">
        <v>5.438831805782698e-08</v>
      </c>
      <c r="H1464" s="0" t="b">
        <v>0</v>
      </c>
    </row>
    <row r="1465">
      <c r="A1465" s="0" t="n">
        <v>153</v>
      </c>
      <c r="B1465" s="0" t="n">
        <v>16</v>
      </c>
      <c r="C1465" s="0" t="n">
        <v>4286131.66015625</v>
      </c>
      <c r="D1465" s="0" t="n">
        <v>4032433.557798492</v>
      </c>
      <c r="E1465" s="0" t="n">
        <v>7.079767185204182e-06</v>
      </c>
      <c r="F1465" s="0" t="n">
        <v>7.029988749501866e-06</v>
      </c>
      <c r="G1465" s="0" t="n">
        <v>4.977843570231626e-08</v>
      </c>
      <c r="H1465" s="0" t="b">
        <v>0</v>
      </c>
    </row>
    <row r="1466">
      <c r="A1466" s="0" t="n">
        <v>153</v>
      </c>
      <c r="B1466" s="0" t="n">
        <v>17</v>
      </c>
      <c r="C1466" s="0" t="n">
        <v>4286491.66015625</v>
      </c>
      <c r="D1466" s="0" t="n">
        <v>4222956.206947226</v>
      </c>
      <c r="E1466" s="0" t="n">
        <v>7.082071917858288e-06</v>
      </c>
      <c r="F1466" s="0" t="n">
        <v>7.029988749501866e-06</v>
      </c>
      <c r="G1466" s="0" t="n">
        <v>5.208316835642281e-08</v>
      </c>
      <c r="H1466" s="0" t="b">
        <v>0</v>
      </c>
    </row>
    <row r="1467">
      <c r="A1467" s="0" t="n">
        <v>153</v>
      </c>
      <c r="B1467" s="0" t="n">
        <v>18</v>
      </c>
      <c r="C1467" s="0" t="n">
        <v>4286923.66015625</v>
      </c>
      <c r="D1467" s="0" t="n">
        <v>4452075.505912166</v>
      </c>
      <c r="E1467" s="0" t="n">
        <v>7.084838147543979e-06</v>
      </c>
      <c r="F1467" s="0" t="n">
        <v>7.029988749501866e-06</v>
      </c>
      <c r="G1467" s="0" t="n">
        <v>5.484939804211334e-08</v>
      </c>
      <c r="H1467" s="0" t="b">
        <v>0</v>
      </c>
    </row>
    <row r="1468">
      <c r="A1468" s="0" t="n">
        <v>153</v>
      </c>
      <c r="B1468" s="0" t="n">
        <v>19</v>
      </c>
      <c r="C1468" s="0" t="n">
        <v>4286707.66015625</v>
      </c>
      <c r="D1468" s="0" t="n">
        <v>4337448.731614818</v>
      </c>
      <c r="E1468" s="0" t="n">
        <v>7.083454957634562e-06</v>
      </c>
      <c r="F1468" s="0" t="n">
        <v>7.029988749501866e-06</v>
      </c>
      <c r="G1468" s="0" t="n">
        <v>5.346620813269599e-08</v>
      </c>
      <c r="H1468" s="0" t="b">
        <v>0</v>
      </c>
    </row>
    <row r="1469">
      <c r="A1469" s="0" t="n">
        <v>153</v>
      </c>
      <c r="B1469" s="0" t="n">
        <v>20</v>
      </c>
      <c r="C1469" s="0" t="n">
        <v>4286448.46015625</v>
      </c>
      <c r="D1469" s="0" t="n">
        <v>4200073.808486949</v>
      </c>
      <c r="E1469" s="0" t="n">
        <v>7.081795327919241e-06</v>
      </c>
      <c r="F1469" s="0" t="n">
        <v>7.029988749501866e-06</v>
      </c>
      <c r="G1469" s="0" t="n">
        <v>5.18065784173755e-08</v>
      </c>
      <c r="H1469" s="0" t="b">
        <v>0</v>
      </c>
    </row>
    <row r="1470">
      <c r="A1470" s="0" t="n">
        <v>153</v>
      </c>
      <c r="B1470" s="0" t="n">
        <v>21</v>
      </c>
      <c r="C1470" s="0" t="n">
        <v>4286578.060156249</v>
      </c>
      <c r="D1470" s="0" t="n">
        <v>4268737.109381115</v>
      </c>
      <c r="E1470" s="0" t="n">
        <v>7.082625115752532e-06</v>
      </c>
      <c r="F1470" s="0" t="n">
        <v>7.029988749501866e-06</v>
      </c>
      <c r="G1470" s="0" t="n">
        <v>5.263636625066598e-08</v>
      </c>
      <c r="H1470" s="0" t="b">
        <v>0</v>
      </c>
    </row>
    <row r="1471">
      <c r="A1471" s="0" t="n">
        <v>154</v>
      </c>
      <c r="B1471" s="0" t="n">
        <v>1</v>
      </c>
      <c r="C1471" s="0" t="n">
        <v>6050000</v>
      </c>
      <c r="D1471" s="0" t="n">
        <v>41158819155.38344</v>
      </c>
      <c r="E1471" s="0" t="n">
        <v>7.160649033618186e-05</v>
      </c>
      <c r="F1471" s="0" t="n">
        <v>6.832589050526135e-06</v>
      </c>
      <c r="G1471" s="0" t="n">
        <v>6.477390128565572e-05</v>
      </c>
      <c r="H1471" s="0" t="b">
        <v>0</v>
      </c>
    </row>
    <row r="1472">
      <c r="A1472" s="0" t="n">
        <v>154</v>
      </c>
      <c r="B1472" s="0" t="n">
        <v>2</v>
      </c>
      <c r="C1472" s="0" t="n">
        <v>3075000</v>
      </c>
      <c r="D1472" s="0" t="n">
        <v>-987212.5927802298</v>
      </c>
      <c r="E1472" s="0" t="n">
        <v>1.988374831050171e-06</v>
      </c>
      <c r="F1472" s="0" t="n">
        <v>6.832589050526128e-06</v>
      </c>
      <c r="G1472" s="0" t="n">
        <v>-4.844214219475957e-06</v>
      </c>
      <c r="H1472" s="0" t="b">
        <v>1</v>
      </c>
    </row>
    <row r="1473">
      <c r="A1473" s="0" t="n">
        <v>154</v>
      </c>
      <c r="B1473" s="0" t="n">
        <v>3</v>
      </c>
      <c r="C1473" s="0" t="n">
        <v>4562500</v>
      </c>
      <c r="D1473" s="0" t="n">
        <v>935120804.6907307</v>
      </c>
      <c r="E1473" s="0" t="n">
        <v>1.110881598778439e-05</v>
      </c>
      <c r="F1473" s="0" t="n">
        <v>6.832589050526129e-06</v>
      </c>
      <c r="G1473" s="0" t="n">
        <v>4.276226937258265e-06</v>
      </c>
      <c r="H1473" s="0" t="b">
        <v>0</v>
      </c>
    </row>
    <row r="1474">
      <c r="A1474" s="0" t="n">
        <v>154</v>
      </c>
      <c r="B1474" s="0" t="n">
        <v>4</v>
      </c>
      <c r="C1474" s="0" t="n">
        <v>3818750</v>
      </c>
      <c r="D1474" s="0" t="n">
        <v>-43302899.37033217</v>
      </c>
      <c r="E1474" s="0" t="n">
        <v>5.091354334199346e-06</v>
      </c>
      <c r="F1474" s="0" t="n">
        <v>6.832589050526129e-06</v>
      </c>
      <c r="G1474" s="0" t="n">
        <v>-1.741234716326783e-06</v>
      </c>
      <c r="H1474" s="0" t="b">
        <v>1</v>
      </c>
    </row>
    <row r="1475">
      <c r="A1475" s="0" t="n">
        <v>154</v>
      </c>
      <c r="B1475" s="0" t="n">
        <v>5</v>
      </c>
      <c r="C1475" s="0" t="n">
        <v>4190625</v>
      </c>
      <c r="D1475" s="0" t="n">
        <v>53776314.41800715</v>
      </c>
      <c r="E1475" s="0" t="n">
        <v>7.374648300767094e-06</v>
      </c>
      <c r="F1475" s="0" t="n">
        <v>6.832589050526129e-06</v>
      </c>
      <c r="G1475" s="0" t="n">
        <v>5.420592502409653e-07</v>
      </c>
      <c r="H1475" s="0" t="b">
        <v>0</v>
      </c>
    </row>
    <row r="1476">
      <c r="A1476" s="0" t="n">
        <v>154</v>
      </c>
      <c r="B1476" s="0" t="n">
        <v>6</v>
      </c>
      <c r="C1476" s="0" t="n">
        <v>4004687.5</v>
      </c>
      <c r="D1476" s="0" t="n">
        <v>-38865201.46815477</v>
      </c>
      <c r="E1476" s="0" t="n">
        <v>6.172562072519742e-06</v>
      </c>
      <c r="F1476" s="0" t="n">
        <v>6.832589050526129e-06</v>
      </c>
      <c r="G1476" s="0" t="n">
        <v>-6.600269780063865e-07</v>
      </c>
      <c r="H1476" s="0" t="b">
        <v>1</v>
      </c>
    </row>
    <row r="1477">
      <c r="A1477" s="0" t="n">
        <v>154</v>
      </c>
      <c r="B1477" s="0" t="n">
        <v>7</v>
      </c>
      <c r="C1477" s="0" t="n">
        <v>4097656.25</v>
      </c>
      <c r="D1477" s="0" t="n">
        <v>-5810761.923235757</v>
      </c>
      <c r="E1477" s="0" t="n">
        <v>6.758548964592268e-06</v>
      </c>
      <c r="F1477" s="0" t="n">
        <v>6.832589050526129e-06</v>
      </c>
      <c r="G1477" s="0" t="n">
        <v>-7.404008593386069e-08</v>
      </c>
      <c r="H1477" s="0" t="b">
        <v>1</v>
      </c>
    </row>
    <row r="1478">
      <c r="A1478" s="0" t="n">
        <v>154</v>
      </c>
      <c r="B1478" s="0" t="n">
        <v>8</v>
      </c>
      <c r="C1478" s="0" t="n">
        <v>4144140.625</v>
      </c>
      <c r="D1478" s="0" t="n">
        <v>20429950.88939428</v>
      </c>
      <c r="E1478" s="0" t="n">
        <v>7.062855690766134e-06</v>
      </c>
      <c r="F1478" s="0" t="n">
        <v>6.832589050526129e-06</v>
      </c>
      <c r="G1478" s="0" t="n">
        <v>2.302666402400054e-07</v>
      </c>
      <c r="H1478" s="0" t="b">
        <v>0</v>
      </c>
    </row>
    <row r="1479">
      <c r="A1479" s="0" t="n">
        <v>154</v>
      </c>
      <c r="B1479" s="0" t="n">
        <v>9</v>
      </c>
      <c r="C1479" s="0" t="n">
        <v>4120898.4375</v>
      </c>
      <c r="D1479" s="0" t="n">
        <v>6449472.270097949</v>
      </c>
      <c r="E1479" s="0" t="n">
        <v>6.90976389762996e-06</v>
      </c>
      <c r="F1479" s="0" t="n">
        <v>6.832589050526129e-06</v>
      </c>
      <c r="G1479" s="0" t="n">
        <v>7.717484710383078e-08</v>
      </c>
      <c r="H1479" s="0" t="b">
        <v>0</v>
      </c>
    </row>
    <row r="1480">
      <c r="A1480" s="0" t="n">
        <v>154</v>
      </c>
      <c r="B1480" s="0" t="n">
        <v>10</v>
      </c>
      <c r="C1480" s="0" t="n">
        <v>4109277.34375</v>
      </c>
      <c r="D1480" s="0" t="n">
        <v>107939.8327804776</v>
      </c>
      <c r="E1480" s="0" t="n">
        <v>6.833921361115074e-06</v>
      </c>
      <c r="F1480" s="0" t="n">
        <v>6.832589050526129e-06</v>
      </c>
      <c r="G1480" s="0" t="n">
        <v>1.332310588945384e-09</v>
      </c>
      <c r="H1480" s="0" t="b">
        <v>0</v>
      </c>
    </row>
    <row r="1481">
      <c r="A1481" s="0" t="n">
        <v>154</v>
      </c>
      <c r="B1481" s="0" t="n">
        <v>11</v>
      </c>
      <c r="C1481" s="0" t="n">
        <v>4115087.890625</v>
      </c>
      <c r="D1481" s="0" t="n">
        <v>3225385.539584338</v>
      </c>
      <c r="E1481" s="0" t="n">
        <v>6.871783810248288e-06</v>
      </c>
      <c r="F1481" s="0" t="n">
        <v>6.832589050526129e-06</v>
      </c>
      <c r="G1481" s="0" t="n">
        <v>3.919475972215882e-08</v>
      </c>
      <c r="H1481" s="0" t="b">
        <v>0</v>
      </c>
    </row>
    <row r="1482">
      <c r="A1482" s="0" t="n">
        <v>154</v>
      </c>
      <c r="B1482" s="0" t="n">
        <v>12</v>
      </c>
      <c r="C1482" s="0" t="n">
        <v>4117993.1640625</v>
      </c>
      <c r="D1482" s="0" t="n">
        <v>4824056.544572005</v>
      </c>
      <c r="E1482" s="0" t="n">
        <v>6.890759327423315e-06</v>
      </c>
      <c r="F1482" s="0" t="n">
        <v>6.832589050526129e-06</v>
      </c>
      <c r="G1482" s="0" t="n">
        <v>5.817027689718565e-08</v>
      </c>
      <c r="H1482" s="0" t="b">
        <v>0</v>
      </c>
    </row>
    <row r="1483">
      <c r="A1483" s="0" t="n">
        <v>154</v>
      </c>
      <c r="B1483" s="0" t="n">
        <v>13</v>
      </c>
      <c r="C1483" s="0" t="n">
        <v>4116540.52734375</v>
      </c>
      <c r="D1483" s="0" t="n">
        <v>4021392.913676407</v>
      </c>
      <c r="E1483" s="0" t="n">
        <v>6.881268031029454e-06</v>
      </c>
      <c r="F1483" s="0" t="n">
        <v>6.832589050526129e-06</v>
      </c>
      <c r="G1483" s="0" t="n">
        <v>4.867898050332523e-08</v>
      </c>
      <c r="H1483" s="0" t="b">
        <v>0</v>
      </c>
    </row>
    <row r="1484">
      <c r="A1484" s="0" t="n">
        <v>154</v>
      </c>
      <c r="B1484" s="0" t="n">
        <v>14</v>
      </c>
      <c r="C1484" s="0" t="n">
        <v>4117040.52734375</v>
      </c>
      <c r="D1484" s="0" t="n">
        <v>4296894.530786955</v>
      </c>
      <c r="E1484" s="0" t="n">
        <v>6.884533861931257e-06</v>
      </c>
      <c r="F1484" s="0" t="n">
        <v>6.832589050526129e-06</v>
      </c>
      <c r="G1484" s="0" t="n">
        <v>5.194481140512771e-08</v>
      </c>
      <c r="H1484" s="0" t="b">
        <v>0</v>
      </c>
    </row>
    <row r="1485">
      <c r="A1485" s="0" t="n">
        <v>154</v>
      </c>
      <c r="B1485" s="0" t="n">
        <v>15</v>
      </c>
      <c r="C1485" s="0" t="n">
        <v>4116790.52734375</v>
      </c>
      <c r="D1485" s="0" t="n">
        <v>4159055.787064314</v>
      </c>
      <c r="E1485" s="0" t="n">
        <v>6.882900968502676e-06</v>
      </c>
      <c r="F1485" s="0" t="n">
        <v>6.832589050526129e-06</v>
      </c>
      <c r="G1485" s="0" t="n">
        <v>5.031191797654693e-08</v>
      </c>
      <c r="H1485" s="0" t="b">
        <v>0</v>
      </c>
    </row>
    <row r="1486">
      <c r="A1486" s="0" t="n">
        <v>154</v>
      </c>
      <c r="B1486" s="0" t="n">
        <v>16</v>
      </c>
      <c r="C1486" s="0" t="n">
        <v>4116490.52734375</v>
      </c>
      <c r="D1486" s="0" t="n">
        <v>3993862.097414217</v>
      </c>
      <c r="E1486" s="0" t="n">
        <v>6.880941208450735e-06</v>
      </c>
      <c r="F1486" s="0" t="n">
        <v>6.832589050526129e-06</v>
      </c>
      <c r="G1486" s="0" t="n">
        <v>4.835215792460615e-08</v>
      </c>
      <c r="H1486" s="0" t="b">
        <v>0</v>
      </c>
    </row>
    <row r="1487">
      <c r="A1487" s="0" t="n">
        <v>154</v>
      </c>
      <c r="B1487" s="0" t="n">
        <v>17</v>
      </c>
      <c r="C1487" s="0" t="n">
        <v>4116640.52734375</v>
      </c>
      <c r="D1487" s="0" t="n">
        <v>4076412.269981966</v>
      </c>
      <c r="E1487" s="0" t="n">
        <v>6.881920918738277e-06</v>
      </c>
      <c r="F1487" s="0" t="n">
        <v>6.832589050526129e-06</v>
      </c>
      <c r="G1487" s="0" t="n">
        <v>4.933186821214838e-08</v>
      </c>
      <c r="H1487" s="0" t="b">
        <v>0</v>
      </c>
    </row>
    <row r="1488">
      <c r="A1488" s="0" t="n">
        <v>155</v>
      </c>
      <c r="B1488" s="0" t="n">
        <v>1</v>
      </c>
      <c r="C1488" s="0" t="n">
        <v>6050000</v>
      </c>
      <c r="D1488" s="0" t="n">
        <v>301544060739361</v>
      </c>
      <c r="E1488" s="0" t="n">
        <v>0.242333624629277</v>
      </c>
      <c r="F1488" s="0" t="n">
        <v>1.728622154698045e-05</v>
      </c>
      <c r="G1488" s="0" t="n">
        <v>0.2423163384077301</v>
      </c>
      <c r="H1488" s="0" t="b">
        <v>0</v>
      </c>
    </row>
    <row r="1489">
      <c r="A1489" s="0" t="n">
        <v>155</v>
      </c>
      <c r="B1489" s="0" t="n">
        <v>2</v>
      </c>
      <c r="C1489" s="0" t="n">
        <v>3075000</v>
      </c>
      <c r="D1489" s="0" t="n">
        <v>-405392.6038077274</v>
      </c>
      <c r="E1489" s="0" t="n">
        <v>3.630749282588799e-06</v>
      </c>
      <c r="F1489" s="0" t="n">
        <v>1.728622154698149e-05</v>
      </c>
      <c r="G1489" s="0" t="n">
        <v>-1.36554722643927e-05</v>
      </c>
      <c r="H1489" s="0" t="b">
        <v>1</v>
      </c>
    </row>
    <row r="1490">
      <c r="A1490" s="0" t="n">
        <v>155</v>
      </c>
      <c r="B1490" s="0" t="n">
        <v>3</v>
      </c>
      <c r="C1490" s="0" t="n">
        <v>4562500</v>
      </c>
      <c r="D1490" s="0" t="n">
        <v>868845206673.8336</v>
      </c>
      <c r="E1490" s="0" t="n">
        <v>0.00209218199934112</v>
      </c>
      <c r="F1490" s="0" t="n">
        <v>1.728622154698132e-05</v>
      </c>
      <c r="G1490" s="0" t="n">
        <v>0.002074895777794138</v>
      </c>
      <c r="H1490" s="0" t="b">
        <v>0</v>
      </c>
    </row>
    <row r="1491">
      <c r="A1491" s="0" t="n">
        <v>155</v>
      </c>
      <c r="B1491" s="0" t="n">
        <v>4</v>
      </c>
      <c r="C1491" s="0" t="n">
        <v>3818750</v>
      </c>
      <c r="D1491" s="0" t="n">
        <v>8215647020.399405</v>
      </c>
      <c r="E1491" s="0" t="n">
        <v>7.709491722047095e-05</v>
      </c>
      <c r="F1491" s="0" t="n">
        <v>1.728622154698149e-05</v>
      </c>
      <c r="G1491" s="0" t="n">
        <v>5.980869567348946e-05</v>
      </c>
      <c r="H1491" s="0" t="b">
        <v>0</v>
      </c>
    </row>
    <row r="1492">
      <c r="A1492" s="0" t="n">
        <v>155</v>
      </c>
      <c r="B1492" s="0" t="n">
        <v>5</v>
      </c>
      <c r="C1492" s="0" t="n">
        <v>3446875</v>
      </c>
      <c r="D1492" s="0" t="n">
        <v>-57335291.6131991</v>
      </c>
      <c r="E1492" s="0" t="n">
        <v>1.181084183465301e-05</v>
      </c>
      <c r="F1492" s="0" t="n">
        <v>1.728622154698149e-05</v>
      </c>
      <c r="G1492" s="0" t="n">
        <v>-5.47537971232848e-06</v>
      </c>
      <c r="H1492" s="0" t="b">
        <v>1</v>
      </c>
    </row>
    <row r="1493">
      <c r="A1493" s="0" t="n">
        <v>155</v>
      </c>
      <c r="B1493" s="0" t="n">
        <v>6</v>
      </c>
      <c r="C1493" s="0" t="n">
        <v>3632812.5</v>
      </c>
      <c r="D1493" s="0" t="n">
        <v>869151693.9403811</v>
      </c>
      <c r="E1493" s="0" t="n">
        <v>2.807469447324227e-05</v>
      </c>
      <c r="F1493" s="0" t="n">
        <v>1.728622154698149e-05</v>
      </c>
      <c r="G1493" s="0" t="n">
        <v>1.078847292626077e-05</v>
      </c>
      <c r="H1493" s="0" t="b">
        <v>0</v>
      </c>
    </row>
    <row r="1494">
      <c r="A1494" s="0" t="n">
        <v>155</v>
      </c>
      <c r="B1494" s="0" t="n">
        <v>7</v>
      </c>
      <c r="C1494" s="0" t="n">
        <v>3539843.75</v>
      </c>
      <c r="D1494" s="0" t="n">
        <v>-33575825.1190042</v>
      </c>
      <c r="E1494" s="0" t="n">
        <v>1.633095186169653e-05</v>
      </c>
      <c r="F1494" s="0" t="n">
        <v>1.728622154698149e-05</v>
      </c>
      <c r="G1494" s="0" t="n">
        <v>-9.552696852849648e-07</v>
      </c>
      <c r="H1494" s="0" t="b">
        <v>1</v>
      </c>
    </row>
    <row r="1495">
      <c r="A1495" s="0" t="n">
        <v>155</v>
      </c>
      <c r="B1495" s="0" t="n">
        <v>8</v>
      </c>
      <c r="C1495" s="0" t="n">
        <v>3586328.125</v>
      </c>
      <c r="D1495" s="0" t="n">
        <v>256723018.8327907</v>
      </c>
      <c r="E1495" s="0" t="n">
        <v>2.14825110722159e-05</v>
      </c>
      <c r="F1495" s="0" t="n">
        <v>1.728622154698149e-05</v>
      </c>
      <c r="G1495" s="0" t="n">
        <v>4.196289525234403e-06</v>
      </c>
      <c r="H1495" s="0" t="b">
        <v>0</v>
      </c>
    </row>
    <row r="1496">
      <c r="A1496" s="0" t="n">
        <v>155</v>
      </c>
      <c r="B1496" s="0" t="n">
        <v>9</v>
      </c>
      <c r="C1496" s="0" t="n">
        <v>3563085.9375</v>
      </c>
      <c r="D1496" s="0" t="n">
        <v>69690293.69550592</v>
      </c>
      <c r="E1496" s="0" t="n">
        <v>1.874610863688405e-05</v>
      </c>
      <c r="F1496" s="0" t="n">
        <v>1.728622154698149e-05</v>
      </c>
      <c r="G1496" s="0" t="n">
        <v>1.459887089902556e-06</v>
      </c>
      <c r="H1496" s="0" t="b">
        <v>0</v>
      </c>
    </row>
    <row r="1497">
      <c r="A1497" s="0" t="n">
        <v>155</v>
      </c>
      <c r="B1497" s="0" t="n">
        <v>10</v>
      </c>
      <c r="C1497" s="0" t="n">
        <v>3551464.84375</v>
      </c>
      <c r="D1497" s="0" t="n">
        <v>8859140.403188519</v>
      </c>
      <c r="E1497" s="0" t="n">
        <v>1.750057670228965e-05</v>
      </c>
      <c r="F1497" s="0" t="n">
        <v>1.728622154698149e-05</v>
      </c>
      <c r="G1497" s="0" t="n">
        <v>2.143551553081524e-07</v>
      </c>
      <c r="H1497" s="0" t="b">
        <v>0</v>
      </c>
    </row>
    <row r="1498">
      <c r="A1498" s="0" t="n">
        <v>155</v>
      </c>
      <c r="B1498" s="0" t="n">
        <v>11</v>
      </c>
      <c r="C1498" s="0" t="n">
        <v>3545654.296875</v>
      </c>
      <c r="D1498" s="0" t="n">
        <v>-14506845.92165262</v>
      </c>
      <c r="E1498" s="0" t="n">
        <v>1.690655414988118e-05</v>
      </c>
      <c r="F1498" s="0" t="n">
        <v>1.728622154698149e-05</v>
      </c>
      <c r="G1498" s="0" t="n">
        <v>-3.796673971003134e-07</v>
      </c>
      <c r="H1498" s="0" t="b">
        <v>1</v>
      </c>
    </row>
    <row r="1499">
      <c r="A1499" s="0" t="n">
        <v>155</v>
      </c>
      <c r="B1499" s="0" t="n">
        <v>12</v>
      </c>
      <c r="C1499" s="0" t="n">
        <v>3548559.5703125</v>
      </c>
      <c r="D1499" s="0" t="n">
        <v>-3379572.842444535</v>
      </c>
      <c r="E1499" s="0" t="n">
        <v>1.72012267562761e-05</v>
      </c>
      <c r="F1499" s="0" t="n">
        <v>1.728622154698149e-05</v>
      </c>
      <c r="G1499" s="0" t="n">
        <v>-8.499479070539885e-08</v>
      </c>
      <c r="H1499" s="0" t="b">
        <v>1</v>
      </c>
    </row>
    <row r="1500">
      <c r="A1500" s="0" t="n">
        <v>155</v>
      </c>
      <c r="B1500" s="0" t="n">
        <v>13</v>
      </c>
      <c r="C1500" s="0" t="n">
        <v>3550012.20703125</v>
      </c>
      <c r="D1500" s="0" t="n">
        <v>2598450.766309727</v>
      </c>
      <c r="E1500" s="0" t="n">
        <v>1.735031135246913e-05</v>
      </c>
      <c r="F1500" s="0" t="n">
        <v>1.728622154698149e-05</v>
      </c>
      <c r="G1500" s="0" t="n">
        <v>6.408980548763276e-08</v>
      </c>
      <c r="H1500" s="0" t="b">
        <v>0</v>
      </c>
    </row>
    <row r="1501">
      <c r="A1501" s="0" t="n">
        <v>155</v>
      </c>
      <c r="B1501" s="0" t="n">
        <v>14</v>
      </c>
      <c r="C1501" s="0" t="n">
        <v>3550512.20703125</v>
      </c>
      <c r="D1501" s="0" t="n">
        <v>4721240.545422544</v>
      </c>
      <c r="E1501" s="0" t="n">
        <v>1.740189904323425e-05</v>
      </c>
      <c r="F1501" s="0" t="n">
        <v>1.728622154698149e-05</v>
      </c>
      <c r="G1501" s="0" t="n">
        <v>1.156774962527547e-07</v>
      </c>
      <c r="H1501" s="0" t="b">
        <v>0</v>
      </c>
    </row>
    <row r="1502">
      <c r="A1502" s="0" t="n">
        <v>155</v>
      </c>
      <c r="B1502" s="0" t="n">
        <v>15</v>
      </c>
      <c r="C1502" s="0" t="n">
        <v>3550262.20703125</v>
      </c>
      <c r="D1502" s="0" t="n">
        <v>3655705.32846317</v>
      </c>
      <c r="E1502" s="0" t="n">
        <v>1.737608909417999e-05</v>
      </c>
      <c r="F1502" s="0" t="n">
        <v>1.728622154698149e-05</v>
      </c>
      <c r="G1502" s="0" t="n">
        <v>8.986754719849698e-08</v>
      </c>
      <c r="H1502" s="0" t="b">
        <v>0</v>
      </c>
    </row>
    <row r="1503">
      <c r="A1503" s="0" t="n">
        <v>155</v>
      </c>
      <c r="B1503" s="0" t="n">
        <v>16</v>
      </c>
      <c r="C1503" s="0" t="n">
        <v>3549962.20703125</v>
      </c>
      <c r="D1503" s="0" t="n">
        <v>2388019.191434774</v>
      </c>
      <c r="E1503" s="0" t="n">
        <v>1.734516034129744e-05</v>
      </c>
      <c r="F1503" s="0" t="n">
        <v>1.728622154698149e-05</v>
      </c>
      <c r="G1503" s="0" t="n">
        <v>5.893879431594868e-08</v>
      </c>
      <c r="H1503" s="0" t="b">
        <v>0</v>
      </c>
    </row>
    <row r="1504">
      <c r="A1504" s="0" t="n">
        <v>155</v>
      </c>
      <c r="B1504" s="0" t="n">
        <v>17</v>
      </c>
      <c r="C1504" s="0" t="n">
        <v>3550112.20703125</v>
      </c>
      <c r="D1504" s="0" t="n">
        <v>3020384.327167521</v>
      </c>
      <c r="E1504" s="0" t="n">
        <v>1.736061917204094e-05</v>
      </c>
      <c r="F1504" s="0" t="n">
        <v>1.728622154698149e-05</v>
      </c>
      <c r="G1504" s="0" t="n">
        <v>7.439762505944799e-08</v>
      </c>
      <c r="H1504" s="0" t="b">
        <v>0</v>
      </c>
    </row>
    <row r="1505">
      <c r="A1505" s="0" t="n">
        <v>155</v>
      </c>
      <c r="B1505" s="0" t="n">
        <v>18</v>
      </c>
      <c r="C1505" s="0" t="n">
        <v>3550292.20703125</v>
      </c>
      <c r="D1505" s="0" t="n">
        <v>3783075.595359318</v>
      </c>
      <c r="E1505" s="0" t="n">
        <v>1.737918321923595e-05</v>
      </c>
      <c r="F1505" s="0" t="n">
        <v>1.728622154698149e-05</v>
      </c>
      <c r="G1505" s="0" t="n">
        <v>9.296167225445514e-08</v>
      </c>
      <c r="H1505" s="0" t="b">
        <v>0</v>
      </c>
    </row>
    <row r="1506">
      <c r="A1506" s="0" t="n">
        <v>155</v>
      </c>
      <c r="B1506" s="0" t="n">
        <v>19</v>
      </c>
      <c r="C1506" s="0" t="n">
        <v>3550202.20703125</v>
      </c>
      <c r="D1506" s="0" t="n">
        <v>3401155.693398368</v>
      </c>
      <c r="E1506" s="0" t="n">
        <v>1.736989818221718e-05</v>
      </c>
      <c r="F1506" s="0" t="n">
        <v>1.728622154698149e-05</v>
      </c>
      <c r="G1506" s="0" t="n">
        <v>8.367663523568754e-08</v>
      </c>
      <c r="H1506" s="0" t="b">
        <v>0</v>
      </c>
    </row>
    <row r="1507">
      <c r="A1507" s="0" t="n">
        <v>155</v>
      </c>
      <c r="B1507" s="0" t="n">
        <v>20</v>
      </c>
      <c r="C1507" s="0" t="n">
        <v>3550247.20703125</v>
      </c>
      <c r="D1507" s="0" t="n">
        <v>3592036.885701942</v>
      </c>
      <c r="E1507" s="0" t="n">
        <v>1.737454152500701e-05</v>
      </c>
      <c r="F1507" s="0" t="n">
        <v>1.728622154698149e-05</v>
      </c>
      <c r="G1507" s="0" t="n">
        <v>8.831997802551084e-08</v>
      </c>
      <c r="H1507" s="0" t="b">
        <v>0</v>
      </c>
    </row>
    <row r="1508">
      <c r="A1508" s="0" t="n">
        <v>155</v>
      </c>
      <c r="B1508" s="0" t="n">
        <v>21</v>
      </c>
      <c r="C1508" s="0" t="n">
        <v>3550224.70703125</v>
      </c>
      <c r="D1508" s="0" t="n">
        <v>3496590.861770527</v>
      </c>
      <c r="E1508" s="0" t="n">
        <v>1.737222040703256e-05</v>
      </c>
      <c r="F1508" s="0" t="n">
        <v>1.728622154698149e-05</v>
      </c>
      <c r="G1508" s="0" t="n">
        <v>8.599886005106444e-08</v>
      </c>
      <c r="H1508" s="0" t="b">
        <v>0</v>
      </c>
    </row>
    <row r="1509">
      <c r="A1509" s="0" t="n">
        <v>155</v>
      </c>
      <c r="B1509" s="0" t="n">
        <v>22</v>
      </c>
      <c r="C1509" s="0" t="n">
        <v>3550235.95703125</v>
      </c>
      <c r="D1509" s="0" t="n">
        <v>3544248.218010731</v>
      </c>
      <c r="E1509" s="0" t="n">
        <v>1.737337954058628e-05</v>
      </c>
      <c r="F1509" s="0" t="n">
        <v>1.728622154698149e-05</v>
      </c>
      <c r="G1509" s="0" t="n">
        <v>8.715799360478594e-08</v>
      </c>
      <c r="H1509" s="0" t="b">
        <v>0</v>
      </c>
    </row>
    <row r="1510">
      <c r="A1510" s="0" t="n">
        <v>156</v>
      </c>
      <c r="B1510" s="0" t="n">
        <v>1</v>
      </c>
      <c r="C1510" s="0" t="n">
        <v>6050000</v>
      </c>
      <c r="D1510" s="0" t="n">
        <v>113396858144012.2</v>
      </c>
      <c r="E1510" s="0" t="n">
        <v>0.09795649252902132</v>
      </c>
      <c r="F1510" s="0" t="n">
        <v>1.615350921384262e-05</v>
      </c>
      <c r="G1510" s="0" t="n">
        <v>0.09794033901980748</v>
      </c>
      <c r="H1510" s="0" t="b">
        <v>0</v>
      </c>
    </row>
    <row r="1511">
      <c r="A1511" s="0" t="n">
        <v>156</v>
      </c>
      <c r="B1511" s="0" t="n">
        <v>2</v>
      </c>
      <c r="C1511" s="0" t="n">
        <v>3075000</v>
      </c>
      <c r="D1511" s="0" t="n">
        <v>-260808.3157845479</v>
      </c>
      <c r="E1511" s="0" t="n">
        <v>2.252918057284336e-06</v>
      </c>
      <c r="F1511" s="0" t="n">
        <v>1.615350921384297e-05</v>
      </c>
      <c r="G1511" s="0" t="n">
        <v>-1.390059115655863e-05</v>
      </c>
      <c r="H1511" s="0" t="b">
        <v>1</v>
      </c>
    </row>
    <row r="1512">
      <c r="A1512" s="0" t="n">
        <v>156</v>
      </c>
      <c r="B1512" s="0" t="n">
        <v>3</v>
      </c>
      <c r="C1512" s="0" t="n">
        <v>4562500</v>
      </c>
      <c r="D1512" s="0" t="n">
        <v>306490286431.1287</v>
      </c>
      <c r="E1512" s="0" t="n">
        <v>0.0008625104862069519</v>
      </c>
      <c r="F1512" s="0" t="n">
        <v>1.615350921384295e-05</v>
      </c>
      <c r="G1512" s="0" t="n">
        <v>0.000846356976993109</v>
      </c>
      <c r="H1512" s="0" t="b">
        <v>0</v>
      </c>
    </row>
    <row r="1513">
      <c r="A1513" s="0" t="n">
        <v>156</v>
      </c>
      <c r="B1513" s="0" t="n">
        <v>4</v>
      </c>
      <c r="C1513" s="0" t="n">
        <v>3818750</v>
      </c>
      <c r="D1513" s="0" t="n">
        <v>1214795485.768832</v>
      </c>
      <c r="E1513" s="0" t="n">
        <v>2.914266780183116e-05</v>
      </c>
      <c r="F1513" s="0" t="n">
        <v>1.615350921384297e-05</v>
      </c>
      <c r="G1513" s="0" t="n">
        <v>1.298915858798819e-05</v>
      </c>
      <c r="H1513" s="0" t="b">
        <v>0</v>
      </c>
    </row>
    <row r="1514">
      <c r="A1514" s="0" t="n">
        <v>156</v>
      </c>
      <c r="B1514" s="0" t="n">
        <v>5</v>
      </c>
      <c r="C1514" s="0" t="n">
        <v>3446875</v>
      </c>
      <c r="D1514" s="0" t="n">
        <v>-3869073.832317258</v>
      </c>
      <c r="E1514" s="0" t="n">
        <v>7.113769670220549e-06</v>
      </c>
      <c r="F1514" s="0" t="n">
        <v>1.615350921384297e-05</v>
      </c>
      <c r="G1514" s="0" t="n">
        <v>-9.039739543622416e-06</v>
      </c>
      <c r="H1514" s="0" t="b">
        <v>1</v>
      </c>
    </row>
    <row r="1515">
      <c r="A1515" s="0" t="n">
        <v>156</v>
      </c>
      <c r="B1515" s="0" t="n">
        <v>6</v>
      </c>
      <c r="C1515" s="0" t="n">
        <v>3632812.5</v>
      </c>
      <c r="D1515" s="0" t="n">
        <v>-70852834.61897051</v>
      </c>
      <c r="E1515" s="0" t="n">
        <v>1.220316541860598e-05</v>
      </c>
      <c r="F1515" s="0" t="n">
        <v>1.615350921384297e-05</v>
      </c>
      <c r="G1515" s="0" t="n">
        <v>-3.950343795236984e-06</v>
      </c>
      <c r="H1515" s="0" t="b">
        <v>1</v>
      </c>
    </row>
    <row r="1516">
      <c r="A1516" s="0" t="n">
        <v>156</v>
      </c>
      <c r="B1516" s="0" t="n">
        <v>7</v>
      </c>
      <c r="C1516" s="0" t="n">
        <v>3725781.25</v>
      </c>
      <c r="D1516" s="0" t="n">
        <v>68935500.70519732</v>
      </c>
      <c r="E1516" s="0" t="n">
        <v>1.751637791642603e-05</v>
      </c>
      <c r="F1516" s="0" t="n">
        <v>1.615350921384297e-05</v>
      </c>
      <c r="G1516" s="0" t="n">
        <v>1.362868702583061e-06</v>
      </c>
      <c r="H1516" s="0" t="b">
        <v>0</v>
      </c>
    </row>
    <row r="1517">
      <c r="A1517" s="0" t="n">
        <v>156</v>
      </c>
      <c r="B1517" s="0" t="n">
        <v>8</v>
      </c>
      <c r="C1517" s="0" t="n">
        <v>3679296.875</v>
      </c>
      <c r="D1517" s="0" t="n">
        <v>-64686021.1649924</v>
      </c>
      <c r="E1517" s="0" t="n">
        <v>1.388634311308203e-05</v>
      </c>
      <c r="F1517" s="0" t="n">
        <v>1.615350921384297e-05</v>
      </c>
      <c r="G1517" s="0" t="n">
        <v>-2.267166100760932e-06</v>
      </c>
      <c r="H1517" s="0" t="b">
        <v>1</v>
      </c>
    </row>
    <row r="1518">
      <c r="A1518" s="0" t="n">
        <v>156</v>
      </c>
      <c r="B1518" s="0" t="n">
        <v>9</v>
      </c>
      <c r="C1518" s="0" t="n">
        <v>3702539.0625</v>
      </c>
      <c r="D1518" s="0" t="n">
        <v>-29710242.90124679</v>
      </c>
      <c r="E1518" s="0" t="n">
        <v>1.536570181688251e-05</v>
      </c>
      <c r="F1518" s="0" t="n">
        <v>1.615350921384297e-05</v>
      </c>
      <c r="G1518" s="0" t="n">
        <v>-7.878073969604545e-07</v>
      </c>
      <c r="H1518" s="0" t="b">
        <v>1</v>
      </c>
    </row>
    <row r="1519">
      <c r="A1519" s="0" t="n">
        <v>156</v>
      </c>
      <c r="B1519" s="0" t="n">
        <v>10</v>
      </c>
      <c r="C1519" s="0" t="n">
        <v>3714160.15625</v>
      </c>
      <c r="D1519" s="0" t="n">
        <v>11249603.94528349</v>
      </c>
      <c r="E1519" s="0" t="n">
        <v>1.640899156499968e-05</v>
      </c>
      <c r="F1519" s="0" t="n">
        <v>1.615350921384297e-05</v>
      </c>
      <c r="G1519" s="0" t="n">
        <v>2.554823511567142e-07</v>
      </c>
      <c r="H1519" s="0" t="b">
        <v>0</v>
      </c>
    </row>
    <row r="1520">
      <c r="A1520" s="0" t="n">
        <v>156</v>
      </c>
      <c r="B1520" s="0" t="n">
        <v>11</v>
      </c>
      <c r="C1520" s="0" t="n">
        <v>3708349.609375</v>
      </c>
      <c r="D1520" s="0" t="n">
        <v>-11189860.06635584</v>
      </c>
      <c r="E1520" s="0" t="n">
        <v>1.587953722554511e-05</v>
      </c>
      <c r="F1520" s="0" t="n">
        <v>1.615350921384297e-05</v>
      </c>
      <c r="G1520" s="0" t="n">
        <v>-2.739719882978514e-07</v>
      </c>
      <c r="H1520" s="0" t="b">
        <v>1</v>
      </c>
    </row>
    <row r="1521">
      <c r="A1521" s="0" t="n">
        <v>156</v>
      </c>
      <c r="B1521" s="0" t="n">
        <v>12</v>
      </c>
      <c r="C1521" s="0" t="n">
        <v>3711254.8828125</v>
      </c>
      <c r="D1521" s="0" t="n">
        <v>-476244.5352477124</v>
      </c>
      <c r="E1521" s="0" t="n">
        <v>1.614228515247282e-05</v>
      </c>
      <c r="F1521" s="0" t="n">
        <v>1.615350921384297e-05</v>
      </c>
      <c r="G1521" s="0" t="n">
        <v>-1.12240613701457e-08</v>
      </c>
      <c r="H1521" s="0" t="b">
        <v>1</v>
      </c>
    </row>
    <row r="1522">
      <c r="A1522" s="0" t="n">
        <v>156</v>
      </c>
      <c r="B1522" s="0" t="n">
        <v>13</v>
      </c>
      <c r="C1522" s="0" t="n">
        <v>3712707.51953125</v>
      </c>
      <c r="D1522" s="0" t="n">
        <v>5258079.805859614</v>
      </c>
      <c r="E1522" s="0" t="n">
        <v>1.62751397332682e-05</v>
      </c>
      <c r="F1522" s="0" t="n">
        <v>1.615350921384297e-05</v>
      </c>
      <c r="G1522" s="0" t="n">
        <v>1.21630519425236e-07</v>
      </c>
      <c r="H1522" s="0" t="b">
        <v>0</v>
      </c>
    </row>
    <row r="1523">
      <c r="A1523" s="0" t="n">
        <v>156</v>
      </c>
      <c r="B1523" s="0" t="n">
        <v>14</v>
      </c>
      <c r="C1523" s="0" t="n">
        <v>3711507.51953125</v>
      </c>
      <c r="D1523" s="0" t="n">
        <v>502809.0351573151</v>
      </c>
      <c r="E1523" s="0" t="n">
        <v>1.616532071880902e-05</v>
      </c>
      <c r="F1523" s="0" t="n">
        <v>1.615350921384297e-05</v>
      </c>
      <c r="G1523" s="0" t="n">
        <v>1.181150496605616e-08</v>
      </c>
      <c r="H1523" s="0" t="b">
        <v>0</v>
      </c>
    </row>
    <row r="1524">
      <c r="A1524" s="0" t="n">
        <v>156</v>
      </c>
      <c r="B1524" s="0" t="n">
        <v>15</v>
      </c>
      <c r="C1524" s="0" t="n">
        <v>3712107.51953125</v>
      </c>
      <c r="D1524" s="0" t="n">
        <v>2858683.364105477</v>
      </c>
      <c r="E1524" s="0" t="n">
        <v>1.622014615281733e-05</v>
      </c>
      <c r="F1524" s="0" t="n">
        <v>1.615350921384297e-05</v>
      </c>
      <c r="G1524" s="0" t="n">
        <v>6.663693897436093e-08</v>
      </c>
      <c r="H1524" s="0" t="b">
        <v>0</v>
      </c>
    </row>
    <row r="1525">
      <c r="A1525" s="0" t="n">
        <v>156</v>
      </c>
      <c r="B1525" s="0" t="n">
        <v>16</v>
      </c>
      <c r="C1525" s="0" t="n">
        <v>3712827.51953125</v>
      </c>
      <c r="D1525" s="0" t="n">
        <v>5743282.36360593</v>
      </c>
      <c r="E1525" s="0" t="n">
        <v>1.628616037739732e-05</v>
      </c>
      <c r="F1525" s="0" t="n">
        <v>1.615350921384297e-05</v>
      </c>
      <c r="G1525" s="0" t="n">
        <v>1.326511635543496e-07</v>
      </c>
      <c r="H1525" s="0" t="b">
        <v>0</v>
      </c>
    </row>
    <row r="1526">
      <c r="A1526" s="0" t="n">
        <v>156</v>
      </c>
      <c r="B1526" s="0" t="n">
        <v>17</v>
      </c>
      <c r="C1526" s="0" t="n">
        <v>3712467.51953125</v>
      </c>
      <c r="D1526" s="0" t="n">
        <v>4293050.880185666</v>
      </c>
      <c r="E1526" s="0" t="n">
        <v>1.62531214221164e-05</v>
      </c>
      <c r="F1526" s="0" t="n">
        <v>1.615350921384297e-05</v>
      </c>
      <c r="G1526" s="0" t="n">
        <v>9.961220827342911e-08</v>
      </c>
      <c r="H1526" s="0" t="b">
        <v>0</v>
      </c>
    </row>
    <row r="1527">
      <c r="A1527" s="0" t="n">
        <v>156</v>
      </c>
      <c r="B1527" s="0" t="n">
        <v>18</v>
      </c>
      <c r="C1527" s="0" t="n">
        <v>3712035.51953125</v>
      </c>
      <c r="D1527" s="0" t="n">
        <v>2573627.450445778</v>
      </c>
      <c r="E1527" s="0" t="n">
        <v>1.621355687421129e-05</v>
      </c>
      <c r="F1527" s="0" t="n">
        <v>1.615350921384297e-05</v>
      </c>
      <c r="G1527" s="0" t="n">
        <v>6.004766036832714e-08</v>
      </c>
      <c r="H1527" s="0" t="b">
        <v>0</v>
      </c>
    </row>
    <row r="1528">
      <c r="A1528" s="0" t="n">
        <v>156</v>
      </c>
      <c r="B1528" s="0" t="n">
        <v>19</v>
      </c>
      <c r="C1528" s="0" t="n">
        <v>3712251.51953125</v>
      </c>
      <c r="D1528" s="0" t="n">
        <v>3430510.746995418</v>
      </c>
      <c r="E1528" s="0" t="n">
        <v>1.623332816107007e-05</v>
      </c>
      <c r="F1528" s="0" t="n">
        <v>1.615350921384297e-05</v>
      </c>
      <c r="G1528" s="0" t="n">
        <v>7.98189472271038e-08</v>
      </c>
      <c r="H1528" s="0" t="b">
        <v>0</v>
      </c>
    </row>
    <row r="1529">
      <c r="A1529" s="0" t="n">
        <v>156</v>
      </c>
      <c r="B1529" s="0" t="n">
        <v>20</v>
      </c>
      <c r="C1529" s="0" t="n">
        <v>3712510.71953125</v>
      </c>
      <c r="D1529" s="0" t="n">
        <v>4466295.484306182</v>
      </c>
      <c r="E1529" s="0" t="n">
        <v>1.625708400632205e-05</v>
      </c>
      <c r="F1529" s="0" t="n">
        <v>1.615350921384297e-05</v>
      </c>
      <c r="G1529" s="0" t="n">
        <v>1.035747924790812e-07</v>
      </c>
      <c r="H1529" s="0" t="b">
        <v>0</v>
      </c>
    </row>
    <row r="1530">
      <c r="A1530" s="0" t="n">
        <v>156</v>
      </c>
      <c r="B1530" s="0" t="n">
        <v>21</v>
      </c>
      <c r="C1530" s="0" t="n">
        <v>3712381.11953125</v>
      </c>
      <c r="D1530" s="0" t="n">
        <v>3947355.141851569</v>
      </c>
      <c r="E1530" s="0" t="n">
        <v>1.624520147939166e-05</v>
      </c>
      <c r="F1530" s="0" t="n">
        <v>1.615350921384297e-05</v>
      </c>
      <c r="G1530" s="0" t="n">
        <v>9.169226554869408e-08</v>
      </c>
      <c r="H1530" s="0" t="b">
        <v>0</v>
      </c>
    </row>
    <row r="1531">
      <c r="A1531" s="0" t="n">
        <v>156</v>
      </c>
      <c r="B1531" s="0" t="n">
        <v>22</v>
      </c>
      <c r="C1531" s="0" t="n">
        <v>3712225.59953125</v>
      </c>
      <c r="D1531" s="0" t="n">
        <v>3327442.397889029</v>
      </c>
      <c r="E1531" s="0" t="n">
        <v>1.623095573768019e-05</v>
      </c>
      <c r="F1531" s="0" t="n">
        <v>1.615350921384297e-05</v>
      </c>
      <c r="G1531" s="0" t="n">
        <v>7.744652383722238e-08</v>
      </c>
      <c r="H1531" s="0" t="b">
        <v>0</v>
      </c>
    </row>
    <row r="1532">
      <c r="A1532" s="0" t="n">
        <v>156</v>
      </c>
      <c r="B1532" s="0" t="n">
        <v>23</v>
      </c>
      <c r="C1532" s="0" t="n">
        <v>3712303.35953125</v>
      </c>
      <c r="D1532" s="0" t="n">
        <v>3637003.966225726</v>
      </c>
      <c r="E1532" s="0" t="n">
        <v>1.623807653884871e-05</v>
      </c>
      <c r="F1532" s="0" t="n">
        <v>1.615350921384297e-05</v>
      </c>
      <c r="G1532" s="0" t="n">
        <v>8.456732500574114e-08</v>
      </c>
      <c r="H1532" s="0" t="b">
        <v>0</v>
      </c>
    </row>
    <row r="1533">
      <c r="A1533" s="0" t="n">
        <v>156</v>
      </c>
      <c r="B1533" s="0" t="n">
        <v>24</v>
      </c>
      <c r="C1533" s="0" t="n">
        <v>3712396.67153125</v>
      </c>
      <c r="D1533" s="0" t="n">
        <v>4009513.457996246</v>
      </c>
      <c r="E1533" s="0" t="n">
        <v>1.624662680941484e-05</v>
      </c>
      <c r="F1533" s="0" t="n">
        <v>1.615350921384297e-05</v>
      </c>
      <c r="G1533" s="0" t="n">
        <v>9.311759557187132e-08</v>
      </c>
      <c r="H1533" s="0" t="b">
        <v>0</v>
      </c>
    </row>
    <row r="1534">
      <c r="A1534" s="0" t="n">
        <v>156</v>
      </c>
      <c r="B1534" s="0" t="n">
        <v>25</v>
      </c>
      <c r="C1534" s="0" t="n">
        <v>3712350.01553125</v>
      </c>
      <c r="D1534" s="0" t="n">
        <v>3823126.605701154</v>
      </c>
      <c r="E1534" s="0" t="n">
        <v>1.624235116128414e-05</v>
      </c>
      <c r="F1534" s="0" t="n">
        <v>1.615350921384297e-05</v>
      </c>
      <c r="G1534" s="0" t="n">
        <v>8.884194744117511e-08</v>
      </c>
      <c r="H1534" s="0" t="b">
        <v>0</v>
      </c>
    </row>
    <row r="1535">
      <c r="A1535" s="0" t="n">
        <v>156</v>
      </c>
      <c r="B1535" s="0" t="n">
        <v>26</v>
      </c>
      <c r="C1535" s="0" t="n">
        <v>3712294.02833125</v>
      </c>
      <c r="D1535" s="0" t="n">
        <v>3599811.131863689</v>
      </c>
      <c r="E1535" s="0" t="n">
        <v>1.623722173742512e-05</v>
      </c>
      <c r="F1535" s="0" t="n">
        <v>1.615350921384297e-05</v>
      </c>
      <c r="G1535" s="0" t="n">
        <v>8.371252358215086e-08</v>
      </c>
      <c r="H1535" s="0" t="b">
        <v>0</v>
      </c>
    </row>
    <row r="1536">
      <c r="A1536" s="0" t="n">
        <v>156</v>
      </c>
      <c r="B1536" s="0" t="n">
        <v>27</v>
      </c>
      <c r="C1536" s="0" t="n">
        <v>3712322.02193125</v>
      </c>
      <c r="D1536" s="0" t="n">
        <v>3711477.557558487</v>
      </c>
      <c r="E1536" s="0" t="n">
        <v>1.623978755637746e-05</v>
      </c>
      <c r="F1536" s="0" t="n">
        <v>1.615350921384297e-05</v>
      </c>
      <c r="G1536" s="0" t="n">
        <v>8.627834253449211e-08</v>
      </c>
      <c r="H1536" s="0" t="b">
        <v>0</v>
      </c>
    </row>
    <row r="1537">
      <c r="A1537" s="0" t="n">
        <v>157</v>
      </c>
      <c r="B1537" s="0" t="n">
        <v>1</v>
      </c>
      <c r="C1537" s="0" t="n">
        <v>6050000</v>
      </c>
      <c r="D1537" s="0" t="n">
        <v>14444844225280.8</v>
      </c>
      <c r="E1537" s="0" t="n">
        <v>0.01443216785790698</v>
      </c>
      <c r="F1537" s="0" t="n">
        <v>1.361467577069148e-05</v>
      </c>
      <c r="G1537" s="0" t="n">
        <v>0.01441855318213628</v>
      </c>
      <c r="H1537" s="0" t="b">
        <v>0</v>
      </c>
    </row>
    <row r="1538">
      <c r="A1538" s="0" t="n">
        <v>157</v>
      </c>
      <c r="B1538" s="0" t="n">
        <v>2</v>
      </c>
      <c r="C1538" s="0" t="n">
        <v>3075000</v>
      </c>
      <c r="D1538" s="0" t="n">
        <v>-131330.6811683684</v>
      </c>
      <c r="E1538" s="0" t="n">
        <v>-8.982676820699892e-08</v>
      </c>
      <c r="F1538" s="0" t="n">
        <v>1.361467577069189e-05</v>
      </c>
      <c r="G1538" s="0" t="n">
        <v>-1.370450253889889e-05</v>
      </c>
      <c r="H1538" s="0" t="b">
        <v>1</v>
      </c>
    </row>
    <row r="1539">
      <c r="A1539" s="0" t="n">
        <v>157</v>
      </c>
      <c r="B1539" s="0" t="n">
        <v>3</v>
      </c>
      <c r="C1539" s="0" t="n">
        <v>4562500</v>
      </c>
      <c r="D1539" s="0" t="n">
        <v>24129018589.78883</v>
      </c>
      <c r="E1539" s="0" t="n">
        <v>0.0001137871623421388</v>
      </c>
      <c r="F1539" s="0" t="n">
        <v>1.361467577069188e-05</v>
      </c>
      <c r="G1539" s="0" t="n">
        <v>0.0001001724865714469</v>
      </c>
      <c r="H1539" s="0" t="b">
        <v>0</v>
      </c>
    </row>
    <row r="1540">
      <c r="A1540" s="0" t="n">
        <v>157</v>
      </c>
      <c r="B1540" s="0" t="n">
        <v>4</v>
      </c>
      <c r="C1540" s="0" t="n">
        <v>3818750</v>
      </c>
      <c r="D1540" s="0" t="n">
        <v>-6442104.591430099</v>
      </c>
      <c r="E1540" s="0" t="n">
        <v>6.587538133566631e-06</v>
      </c>
      <c r="F1540" s="0" t="n">
        <v>1.361467577069189e-05</v>
      </c>
      <c r="G1540" s="0" t="n">
        <v>-7.027137637125258e-06</v>
      </c>
      <c r="H1540" s="0" t="b">
        <v>1</v>
      </c>
    </row>
    <row r="1541">
      <c r="A1541" s="0" t="n">
        <v>157</v>
      </c>
      <c r="B1541" s="0" t="n">
        <v>5</v>
      </c>
      <c r="C1541" s="0" t="n">
        <v>4190625</v>
      </c>
      <c r="D1541" s="0" t="n">
        <v>847461371.0571959</v>
      </c>
      <c r="E1541" s="0" t="n">
        <v>2.164106798209305e-05</v>
      </c>
      <c r="F1541" s="0" t="n">
        <v>1.361467577069189e-05</v>
      </c>
      <c r="G1541" s="0" t="n">
        <v>8.026392211401161e-06</v>
      </c>
      <c r="H1541" s="0" t="b">
        <v>0</v>
      </c>
    </row>
    <row r="1542">
      <c r="A1542" s="0" t="n">
        <v>157</v>
      </c>
      <c r="B1542" s="0" t="n">
        <v>6</v>
      </c>
      <c r="C1542" s="0" t="n">
        <v>4004687.5</v>
      </c>
      <c r="D1542" s="0" t="n">
        <v>-67957902.37093575</v>
      </c>
      <c r="E1542" s="0" t="n">
        <v>1.064854096608862e-05</v>
      </c>
      <c r="F1542" s="0" t="n">
        <v>1.361467577069189e-05</v>
      </c>
      <c r="G1542" s="0" t="n">
        <v>-2.966134804603264e-06</v>
      </c>
      <c r="H1542" s="0" t="b">
        <v>1</v>
      </c>
    </row>
    <row r="1543">
      <c r="A1543" s="0" t="n">
        <v>157</v>
      </c>
      <c r="B1543" s="0" t="n">
        <v>7</v>
      </c>
      <c r="C1543" s="0" t="n">
        <v>4097656.25</v>
      </c>
      <c r="D1543" s="0" t="n">
        <v>3370088.596692785</v>
      </c>
      <c r="E1543" s="0" t="n">
        <v>1.368299935227395e-05</v>
      </c>
      <c r="F1543" s="0" t="n">
        <v>1.361467577069189e-05</v>
      </c>
      <c r="G1543" s="0" t="n">
        <v>6.832358158206297e-08</v>
      </c>
      <c r="H1543" s="0" t="b">
        <v>0</v>
      </c>
    </row>
    <row r="1544">
      <c r="A1544" s="0" t="n">
        <v>157</v>
      </c>
      <c r="B1544" s="0" t="n">
        <v>8</v>
      </c>
      <c r="C1544" s="0" t="n">
        <v>4144140.625</v>
      </c>
      <c r="D1544" s="0" t="n">
        <v>285129663.2973752</v>
      </c>
      <c r="E1544" s="0" t="n">
        <v>1.724949744858653e-05</v>
      </c>
      <c r="F1544" s="0" t="n">
        <v>1.361467577069189e-05</v>
      </c>
      <c r="G1544" s="0" t="n">
        <v>3.634821677894642e-06</v>
      </c>
      <c r="H1544" s="0" t="b">
        <v>0</v>
      </c>
    </row>
    <row r="1545">
      <c r="A1545" s="0" t="n">
        <v>157</v>
      </c>
      <c r="B1545" s="0" t="n">
        <v>9</v>
      </c>
      <c r="C1545" s="0" t="n">
        <v>4120898.4375</v>
      </c>
      <c r="D1545" s="0" t="n">
        <v>111523872.4566164</v>
      </c>
      <c r="E1545" s="0" t="n">
        <v>1.537253054788263e-05</v>
      </c>
      <c r="F1545" s="0" t="n">
        <v>1.361467577069189e-05</v>
      </c>
      <c r="G1545" s="0" t="n">
        <v>1.757854777190744e-06</v>
      </c>
      <c r="H1545" s="0" t="b">
        <v>0</v>
      </c>
    </row>
    <row r="1546">
      <c r="A1546" s="0" t="n">
        <v>157</v>
      </c>
      <c r="B1546" s="0" t="n">
        <v>10</v>
      </c>
      <c r="C1546" s="0" t="n">
        <v>4109277.34375</v>
      </c>
      <c r="D1546" s="0" t="n">
        <v>50119860.4465213</v>
      </c>
      <c r="E1546" s="0" t="n">
        <v>1.450540165476397e-05</v>
      </c>
      <c r="F1546" s="0" t="n">
        <v>1.361467577069189e-05</v>
      </c>
      <c r="G1546" s="0" t="n">
        <v>8.907258840720834e-07</v>
      </c>
      <c r="H1546" s="0" t="b">
        <v>0</v>
      </c>
    </row>
    <row r="1547">
      <c r="A1547" s="0" t="n">
        <v>157</v>
      </c>
      <c r="B1547" s="0" t="n">
        <v>11</v>
      </c>
      <c r="C1547" s="0" t="n">
        <v>4103466.796875</v>
      </c>
      <c r="D1547" s="0" t="n">
        <v>25015152.04485612</v>
      </c>
      <c r="E1547" s="0" t="n">
        <v>1.408874164276571e-05</v>
      </c>
      <c r="F1547" s="0" t="n">
        <v>1.361467577069189e-05</v>
      </c>
      <c r="G1547" s="0" t="n">
        <v>4.740658720738182e-07</v>
      </c>
      <c r="H1547" s="0" t="b">
        <v>0</v>
      </c>
    </row>
    <row r="1548">
      <c r="A1548" s="0" t="n">
        <v>157</v>
      </c>
      <c r="B1548" s="0" t="n">
        <v>12</v>
      </c>
      <c r="C1548" s="0" t="n">
        <v>4100561.5234375</v>
      </c>
      <c r="D1548" s="0" t="n">
        <v>13772622.25063604</v>
      </c>
      <c r="E1548" s="0" t="n">
        <v>1.38845219828406e-05</v>
      </c>
      <c r="F1548" s="0" t="n">
        <v>1.361467577069189e-05</v>
      </c>
      <c r="G1548" s="0" t="n">
        <v>2.698462121487134e-07</v>
      </c>
      <c r="H1548" s="0" t="b">
        <v>0</v>
      </c>
    </row>
    <row r="1549">
      <c r="A1549" s="0" t="n">
        <v>157</v>
      </c>
      <c r="B1549" s="0" t="n">
        <v>13</v>
      </c>
      <c r="C1549" s="0" t="n">
        <v>4099108.88671875</v>
      </c>
      <c r="D1549" s="0" t="n">
        <v>8467840.705506248</v>
      </c>
      <c r="E1549" s="0" t="n">
        <v>1.378342446415405e-05</v>
      </c>
      <c r="F1549" s="0" t="n">
        <v>1.361467577069189e-05</v>
      </c>
      <c r="G1549" s="0" t="n">
        <v>1.687486934621574e-07</v>
      </c>
      <c r="H1549" s="0" t="b">
        <v>0</v>
      </c>
    </row>
    <row r="1550">
      <c r="A1550" s="0" t="n">
        <v>157</v>
      </c>
      <c r="B1550" s="0" t="n">
        <v>14</v>
      </c>
      <c r="C1550" s="0" t="n">
        <v>4097908.88671875</v>
      </c>
      <c r="D1550" s="0" t="n">
        <v>4241949.442651306</v>
      </c>
      <c r="E1550" s="0" t="n">
        <v>1.370041710945607e-05</v>
      </c>
      <c r="F1550" s="0" t="n">
        <v>1.361467577069189e-05</v>
      </c>
      <c r="G1550" s="0" t="n">
        <v>8.574133876417672e-08</v>
      </c>
      <c r="H1550" s="0" t="b">
        <v>0</v>
      </c>
    </row>
    <row r="1551">
      <c r="A1551" s="0" t="n">
        <v>157</v>
      </c>
      <c r="B1551" s="0" t="n">
        <v>15</v>
      </c>
      <c r="C1551" s="0" t="n">
        <v>4096468.88671875</v>
      </c>
      <c r="D1551" s="0" t="n">
        <v>-645279.7552537214</v>
      </c>
      <c r="E1551" s="0" t="n">
        <v>1.360140647950797e-05</v>
      </c>
      <c r="F1551" s="0" t="n">
        <v>1.361467577069189e-05</v>
      </c>
      <c r="G1551" s="0" t="n">
        <v>-1.326929118392223e-08</v>
      </c>
      <c r="H1551" s="0" t="b">
        <v>1</v>
      </c>
    </row>
    <row r="1552">
      <c r="A1552" s="0" t="n">
        <v>157</v>
      </c>
      <c r="B1552" s="0" t="n">
        <v>16</v>
      </c>
      <c r="C1552" s="0" t="n">
        <v>4097188.88671875</v>
      </c>
      <c r="D1552" s="0" t="n">
        <v>1773440.860744912</v>
      </c>
      <c r="E1552" s="0" t="n">
        <v>1.365083065672442e-05</v>
      </c>
      <c r="F1552" s="0" t="n">
        <v>1.361467577069189e-05</v>
      </c>
      <c r="G1552" s="0" t="n">
        <v>3.615488603253179e-08</v>
      </c>
      <c r="H1552" s="0" t="b">
        <v>0</v>
      </c>
    </row>
    <row r="1553">
      <c r="A1553" s="0" t="n">
        <v>157</v>
      </c>
      <c r="B1553" s="0" t="n">
        <v>17</v>
      </c>
      <c r="C1553" s="0" t="n">
        <v>4098052.88671875</v>
      </c>
      <c r="D1553" s="0" t="n">
        <v>4741612.224840449</v>
      </c>
      <c r="E1553" s="0" t="n">
        <v>1.371035300450097e-05</v>
      </c>
      <c r="F1553" s="0" t="n">
        <v>1.361467577069189e-05</v>
      </c>
      <c r="G1553" s="0" t="n">
        <v>9.567723380907622e-08</v>
      </c>
      <c r="H1553" s="0" t="b">
        <v>0</v>
      </c>
    </row>
    <row r="1554">
      <c r="A1554" s="0" t="n">
        <v>157</v>
      </c>
      <c r="B1554" s="0" t="n">
        <v>18</v>
      </c>
      <c r="C1554" s="0" t="n">
        <v>4097620.88671875</v>
      </c>
      <c r="D1554" s="0" t="n">
        <v>3248487.267045454</v>
      </c>
      <c r="E1554" s="0" t="n">
        <v>1.368056180852975e-05</v>
      </c>
      <c r="F1554" s="0" t="n">
        <v>1.361467577069189e-05</v>
      </c>
      <c r="G1554" s="0" t="n">
        <v>6.588603783786015e-08</v>
      </c>
      <c r="H1554" s="0" t="b">
        <v>0</v>
      </c>
    </row>
    <row r="1555">
      <c r="A1555" s="0" t="n">
        <v>157</v>
      </c>
      <c r="B1555" s="0" t="n">
        <v>19</v>
      </c>
      <c r="C1555" s="0" t="n">
        <v>4097836.88671875</v>
      </c>
      <c r="D1555" s="0" t="n">
        <v>3992844.335186887</v>
      </c>
      <c r="E1555" s="0" t="n">
        <v>1.369545108220406e-05</v>
      </c>
      <c r="F1555" s="0" t="n">
        <v>1.361467577069189e-05</v>
      </c>
      <c r="G1555" s="0" t="n">
        <v>8.077531151216614e-08</v>
      </c>
      <c r="H1555" s="0" t="b">
        <v>0</v>
      </c>
    </row>
    <row r="1556">
      <c r="A1556" s="0" t="n">
        <v>157</v>
      </c>
      <c r="B1556" s="0" t="n">
        <v>20</v>
      </c>
      <c r="C1556" s="0" t="n">
        <v>4098096.08671875</v>
      </c>
      <c r="D1556" s="0" t="n">
        <v>4891919.376603426</v>
      </c>
      <c r="E1556" s="0" t="n">
        <v>1.37133353746333e-05</v>
      </c>
      <c r="F1556" s="0" t="n">
        <v>1.361467577069189e-05</v>
      </c>
      <c r="G1556" s="0" t="n">
        <v>9.865960394140735e-08</v>
      </c>
      <c r="H1556" s="0" t="b">
        <v>0</v>
      </c>
    </row>
    <row r="1557">
      <c r="A1557" s="0" t="n">
        <v>157</v>
      </c>
      <c r="B1557" s="0" t="n">
        <v>21</v>
      </c>
      <c r="C1557" s="0" t="n">
        <v>4097966.48671875</v>
      </c>
      <c r="D1557" s="0" t="n">
        <v>4441595.054164466</v>
      </c>
      <c r="E1557" s="0" t="n">
        <v>1.370439111124933e-05</v>
      </c>
      <c r="F1557" s="0" t="n">
        <v>1.361467577069189e-05</v>
      </c>
      <c r="G1557" s="0" t="n">
        <v>8.97153405574378e-08</v>
      </c>
      <c r="H1557" s="0" t="b">
        <v>0</v>
      </c>
    </row>
    <row r="1558">
      <c r="A1558" s="0" t="n">
        <v>157</v>
      </c>
      <c r="B1558" s="0" t="n">
        <v>22</v>
      </c>
      <c r="C1558" s="0" t="n">
        <v>4097810.96671875</v>
      </c>
      <c r="D1558" s="0" t="n">
        <v>3903289.349813653</v>
      </c>
      <c r="E1558" s="0" t="n">
        <v>1.369366371350835e-05</v>
      </c>
      <c r="F1558" s="0" t="n">
        <v>1.361467577069189e-05</v>
      </c>
      <c r="G1558" s="0" t="n">
        <v>7.898794281646109e-08</v>
      </c>
      <c r="H1558" s="0" t="b">
        <v>0</v>
      </c>
    </row>
    <row r="1559">
      <c r="A1559" s="0" t="n">
        <v>157</v>
      </c>
      <c r="B1559" s="0" t="n">
        <v>23</v>
      </c>
      <c r="C1559" s="0" t="n">
        <v>4097888.72671875</v>
      </c>
      <c r="D1559" s="0" t="n">
        <v>4172149.41258376</v>
      </c>
      <c r="E1559" s="0" t="n">
        <v>1.369902645664635e-05</v>
      </c>
      <c r="F1559" s="0" t="n">
        <v>1.361467577069189e-05</v>
      </c>
      <c r="G1559" s="0" t="n">
        <v>8.435068595445889e-08</v>
      </c>
      <c r="H1559" s="0" t="b">
        <v>0</v>
      </c>
    </row>
    <row r="1560">
      <c r="A1560" s="0" t="n">
        <v>157</v>
      </c>
      <c r="B1560" s="0" t="n">
        <v>24</v>
      </c>
      <c r="C1560" s="0" t="n">
        <v>4097849.84671875</v>
      </c>
      <c r="D1560" s="0" t="n">
        <v>4037592.298015032</v>
      </c>
      <c r="E1560" s="0" t="n">
        <v>1.369634377077932e-05</v>
      </c>
      <c r="F1560" s="0" t="n">
        <v>1.361467577069189e-05</v>
      </c>
      <c r="G1560" s="0" t="n">
        <v>8.166800008742943e-08</v>
      </c>
      <c r="H1560" s="0" t="b">
        <v>0</v>
      </c>
    </row>
    <row r="1561">
      <c r="A1561" s="0" t="n">
        <v>157</v>
      </c>
      <c r="B1561" s="0" t="n">
        <v>25</v>
      </c>
      <c r="C1561" s="0" t="n">
        <v>4097869.28671875</v>
      </c>
      <c r="D1561" s="0" t="n">
        <v>4104879.51690332</v>
      </c>
      <c r="E1561" s="0" t="n">
        <v>1.369768559168046e-05</v>
      </c>
      <c r="F1561" s="0" t="n">
        <v>1.361467577069189e-05</v>
      </c>
      <c r="G1561" s="0" t="n">
        <v>8.300982098857335e-08</v>
      </c>
      <c r="H1561" s="0" t="b">
        <v>0</v>
      </c>
    </row>
    <row r="1562">
      <c r="A1562" s="0" t="n">
        <v>158</v>
      </c>
      <c r="B1562" s="0" t="n">
        <v>1</v>
      </c>
      <c r="C1562" s="0" t="n">
        <v>6050000</v>
      </c>
      <c r="D1562" s="0" t="n">
        <v>11910752501777.79</v>
      </c>
      <c r="E1562" s="0" t="n">
        <v>0.01194551864404277</v>
      </c>
      <c r="F1562" s="0" t="n">
        <v>1.327261125966782e-05</v>
      </c>
      <c r="G1562" s="0" t="n">
        <v>0.0119322460327831</v>
      </c>
      <c r="H1562" s="0" t="b">
        <v>0</v>
      </c>
    </row>
    <row r="1563">
      <c r="A1563" s="0" t="n">
        <v>158</v>
      </c>
      <c r="B1563" s="0" t="n">
        <v>2</v>
      </c>
      <c r="C1563" s="0" t="n">
        <v>3075000</v>
      </c>
      <c r="D1563" s="0" t="n">
        <v>-123739.4433099229</v>
      </c>
      <c r="E1563" s="0" t="n">
        <v>-3.014177287707676e-07</v>
      </c>
      <c r="F1563" s="0" t="n">
        <v>1.327261125966866e-05</v>
      </c>
      <c r="G1563" s="0" t="n">
        <v>-1.357402898843943e-05</v>
      </c>
      <c r="H1563" s="0" t="b">
        <v>1</v>
      </c>
    </row>
    <row r="1564">
      <c r="A1564" s="0" t="n">
        <v>158</v>
      </c>
      <c r="B1564" s="0" t="n">
        <v>3</v>
      </c>
      <c r="C1564" s="0" t="n">
        <v>4562500</v>
      </c>
      <c r="D1564" s="0" t="n">
        <v>18334323493.75306</v>
      </c>
      <c r="E1564" s="0" t="n">
        <v>9.250348932262661e-05</v>
      </c>
      <c r="F1564" s="0" t="n">
        <v>1.327261125966866e-05</v>
      </c>
      <c r="G1564" s="0" t="n">
        <v>7.923087806295795e-05</v>
      </c>
      <c r="H1564" s="0" t="b">
        <v>0</v>
      </c>
    </row>
    <row r="1565">
      <c r="A1565" s="0" t="n">
        <v>158</v>
      </c>
      <c r="B1565" s="0" t="n">
        <v>4</v>
      </c>
      <c r="C1565" s="0" t="n">
        <v>3818750</v>
      </c>
      <c r="D1565" s="0" t="n">
        <v>-3967933.36736093</v>
      </c>
      <c r="E1565" s="0" t="n">
        <v>5.884036556374603e-06</v>
      </c>
      <c r="F1565" s="0" t="n">
        <v>1.327261125966866e-05</v>
      </c>
      <c r="G1565" s="0" t="n">
        <v>-7.388574703294054e-06</v>
      </c>
      <c r="H1565" s="0" t="b">
        <v>1</v>
      </c>
    </row>
    <row r="1566">
      <c r="A1566" s="0" t="n">
        <v>158</v>
      </c>
      <c r="B1566" s="0" t="n">
        <v>5</v>
      </c>
      <c r="C1566" s="0" t="n">
        <v>4190625</v>
      </c>
      <c r="D1566" s="0" t="n">
        <v>352204872.3960909</v>
      </c>
      <c r="E1566" s="0" t="n">
        <v>1.741094317483341e-05</v>
      </c>
      <c r="F1566" s="0" t="n">
        <v>1.327261125966866e-05</v>
      </c>
      <c r="G1566" s="0" t="n">
        <v>4.138331915164754e-06</v>
      </c>
      <c r="H1566" s="0" t="b">
        <v>0</v>
      </c>
    </row>
    <row r="1567">
      <c r="A1567" s="0" t="n">
        <v>158</v>
      </c>
      <c r="B1567" s="0" t="n">
        <v>6</v>
      </c>
      <c r="C1567" s="0" t="n">
        <v>4004687.5</v>
      </c>
      <c r="D1567" s="0" t="n">
        <v>-58125314.73597044</v>
      </c>
      <c r="E1567" s="0" t="n">
        <v>9.511195926032665e-06</v>
      </c>
      <c r="F1567" s="0" t="n">
        <v>1.327261125966866e-05</v>
      </c>
      <c r="G1567" s="0" t="n">
        <v>-3.761415333635992e-06</v>
      </c>
      <c r="H1567" s="0" t="b">
        <v>1</v>
      </c>
    </row>
    <row r="1568">
      <c r="A1568" s="0" t="n">
        <v>158</v>
      </c>
      <c r="B1568" s="0" t="n">
        <v>7</v>
      </c>
      <c r="C1568" s="0" t="n">
        <v>4097656.25</v>
      </c>
      <c r="D1568" s="0" t="n">
        <v>-49480868.12532989</v>
      </c>
      <c r="E1568" s="0" t="n">
        <v>1.196484632195413e-05</v>
      </c>
      <c r="F1568" s="0" t="n">
        <v>1.327261125966866e-05</v>
      </c>
      <c r="G1568" s="0" t="n">
        <v>-1.30776493771453e-06</v>
      </c>
      <c r="H1568" s="0" t="b">
        <v>1</v>
      </c>
    </row>
    <row r="1569">
      <c r="A1569" s="0" t="n">
        <v>158</v>
      </c>
      <c r="B1569" s="0" t="n">
        <v>8</v>
      </c>
      <c r="C1569" s="0" t="n">
        <v>4144140.625</v>
      </c>
      <c r="D1569" s="0" t="n">
        <v>32117586.92852386</v>
      </c>
      <c r="E1569" s="0" t="n">
        <v>1.385711025204544e-05</v>
      </c>
      <c r="F1569" s="0" t="n">
        <v>1.327261125966866e-05</v>
      </c>
      <c r="G1569" s="0" t="n">
        <v>5.844989923767829e-07</v>
      </c>
      <c r="H1569" s="0" t="b">
        <v>0</v>
      </c>
    </row>
    <row r="1570">
      <c r="A1570" s="0" t="n">
        <v>158</v>
      </c>
      <c r="B1570" s="0" t="n">
        <v>9</v>
      </c>
      <c r="C1570" s="0" t="n">
        <v>4120898.4375</v>
      </c>
      <c r="D1570" s="0" t="n">
        <v>-27197929.37821584</v>
      </c>
      <c r="E1570" s="0" t="n">
        <v>1.265675230279379e-05</v>
      </c>
      <c r="F1570" s="0" t="n">
        <v>1.327261125966866e-05</v>
      </c>
      <c r="G1570" s="0" t="n">
        <v>-6.158589568748623e-07</v>
      </c>
      <c r="H1570" s="0" t="b">
        <v>1</v>
      </c>
    </row>
    <row r="1571">
      <c r="A1571" s="0" t="n">
        <v>158</v>
      </c>
      <c r="B1571" s="0" t="n">
        <v>10</v>
      </c>
      <c r="C1571" s="0" t="n">
        <v>4132519.53125</v>
      </c>
      <c r="D1571" s="0" t="n">
        <v>-9316161.631851554</v>
      </c>
      <c r="E1571" s="0" t="n">
        <v>1.307845357042114e-05</v>
      </c>
      <c r="F1571" s="0" t="n">
        <v>1.327261125966866e-05</v>
      </c>
      <c r="G1571" s="0" t="n">
        <v>-1.941576892475207e-07</v>
      </c>
      <c r="H1571" s="0" t="b">
        <v>1</v>
      </c>
    </row>
    <row r="1572">
      <c r="A1572" s="0" t="n">
        <v>158</v>
      </c>
      <c r="B1572" s="0" t="n">
        <v>11</v>
      </c>
      <c r="C1572" s="0" t="n">
        <v>4138330.078125</v>
      </c>
      <c r="D1572" s="0" t="n">
        <v>9775521.611877039</v>
      </c>
      <c r="E1572" s="0" t="n">
        <v>1.346266802079954e-05</v>
      </c>
      <c r="F1572" s="0" t="n">
        <v>1.327261125966866e-05</v>
      </c>
      <c r="G1572" s="0" t="n">
        <v>1.900567611308855e-07</v>
      </c>
      <c r="H1572" s="0" t="b">
        <v>0</v>
      </c>
    </row>
    <row r="1573">
      <c r="A1573" s="0" t="n">
        <v>158</v>
      </c>
      <c r="B1573" s="0" t="n">
        <v>12</v>
      </c>
      <c r="C1573" s="0" t="n">
        <v>4135424.8046875</v>
      </c>
      <c r="D1573" s="0" t="n">
        <v>-164785.3601373259</v>
      </c>
      <c r="E1573" s="0" t="n">
        <v>1.326929570722182e-05</v>
      </c>
      <c r="F1573" s="0" t="n">
        <v>1.327261125966866e-05</v>
      </c>
      <c r="G1573" s="0" t="n">
        <v>-3.315552446837955e-09</v>
      </c>
      <c r="H1573" s="0" t="b">
        <v>1</v>
      </c>
    </row>
    <row r="1574">
      <c r="A1574" s="0" t="n">
        <v>158</v>
      </c>
      <c r="B1574" s="0" t="n">
        <v>13</v>
      </c>
      <c r="C1574" s="0" t="n">
        <v>4136877.44140625</v>
      </c>
      <c r="D1574" s="0" t="n">
        <v>4705216.607235819</v>
      </c>
      <c r="E1574" s="0" t="n">
        <v>1.336566266885306e-05</v>
      </c>
      <c r="F1574" s="0" t="n">
        <v>1.327261125966866e-05</v>
      </c>
      <c r="G1574" s="0" t="n">
        <v>9.305140918440016e-08</v>
      </c>
      <c r="H1574" s="0" t="b">
        <v>0</v>
      </c>
    </row>
    <row r="1575">
      <c r="A1575" s="0" t="n">
        <v>158</v>
      </c>
      <c r="B1575" s="0" t="n">
        <v>14</v>
      </c>
      <c r="C1575" s="0" t="n">
        <v>4135677.44140625</v>
      </c>
      <c r="D1575" s="0" t="n">
        <v>667944.1452285198</v>
      </c>
      <c r="E1575" s="0" t="n">
        <v>1.328601010041001e-05</v>
      </c>
      <c r="F1575" s="0" t="n">
        <v>1.327261125966866e-05</v>
      </c>
      <c r="G1575" s="0" t="n">
        <v>1.339884074135434e-08</v>
      </c>
      <c r="H1575" s="0" t="b">
        <v>0</v>
      </c>
    </row>
    <row r="1576">
      <c r="A1576" s="0" t="n">
        <v>158</v>
      </c>
      <c r="B1576" s="0" t="n">
        <v>15</v>
      </c>
      <c r="C1576" s="0" t="n">
        <v>4136277.44140625</v>
      </c>
      <c r="D1576" s="0" t="n">
        <v>2669635.168707928</v>
      </c>
      <c r="E1576" s="0" t="n">
        <v>1.332578276604728e-05</v>
      </c>
      <c r="F1576" s="0" t="n">
        <v>1.327261125966866e-05</v>
      </c>
      <c r="G1576" s="0" t="n">
        <v>5.31715063786241e-08</v>
      </c>
      <c r="H1576" s="0" t="b">
        <v>0</v>
      </c>
    </row>
    <row r="1577">
      <c r="A1577" s="0" t="n">
        <v>158</v>
      </c>
      <c r="B1577" s="0" t="n">
        <v>16</v>
      </c>
      <c r="C1577" s="0" t="n">
        <v>4136997.44140625</v>
      </c>
      <c r="D1577" s="0" t="n">
        <v>5116438.660687106</v>
      </c>
      <c r="E1577" s="0" t="n">
        <v>1.337365194272917e-05</v>
      </c>
      <c r="F1577" s="0" t="n">
        <v>1.327261125966866e-05</v>
      </c>
      <c r="G1577" s="0" t="n">
        <v>1.010406830605102e-07</v>
      </c>
      <c r="H1577" s="0" t="b">
        <v>0</v>
      </c>
    </row>
    <row r="1578">
      <c r="A1578" s="0" t="n">
        <v>158</v>
      </c>
      <c r="B1578" s="0" t="n">
        <v>17</v>
      </c>
      <c r="C1578" s="0" t="n">
        <v>4136637.44140625</v>
      </c>
      <c r="D1578" s="0" t="n">
        <v>3886929.665396377</v>
      </c>
      <c r="E1578" s="0" t="n">
        <v>1.334969832568685e-05</v>
      </c>
      <c r="F1578" s="0" t="n">
        <v>1.327261125966866e-05</v>
      </c>
      <c r="G1578" s="0" t="n">
        <v>7.708706601819592e-08</v>
      </c>
      <c r="H1578" s="0" t="b">
        <v>0</v>
      </c>
    </row>
    <row r="1579">
      <c r="A1579" s="0" t="n">
        <v>158</v>
      </c>
      <c r="B1579" s="0" t="n">
        <v>18</v>
      </c>
      <c r="C1579" s="0" t="n">
        <v>4136817.44140625</v>
      </c>
      <c r="D1579" s="0" t="n">
        <v>4500119.712607237</v>
      </c>
      <c r="E1579" s="0" t="n">
        <v>1.336166969372797e-05</v>
      </c>
      <c r="F1579" s="0" t="n">
        <v>1.327261125966866e-05</v>
      </c>
      <c r="G1579" s="0" t="n">
        <v>8.905843405931212e-08</v>
      </c>
      <c r="H1579" s="0" t="b">
        <v>0</v>
      </c>
    </row>
    <row r="1580">
      <c r="A1580" s="0" t="n">
        <v>158</v>
      </c>
      <c r="B1580" s="0" t="n">
        <v>19</v>
      </c>
      <c r="C1580" s="0" t="n">
        <v>4136727.44140625</v>
      </c>
      <c r="D1580" s="0" t="n">
        <v>4193114.29137338</v>
      </c>
      <c r="E1580" s="0" t="n">
        <v>1.335568226575282e-05</v>
      </c>
      <c r="F1580" s="0" t="n">
        <v>1.327261125966866e-05</v>
      </c>
      <c r="G1580" s="0" t="n">
        <v>8.307100608416136e-08</v>
      </c>
      <c r="H1580" s="0" t="b">
        <v>0</v>
      </c>
    </row>
    <row r="1581">
      <c r="A1581" s="0" t="n">
        <v>158</v>
      </c>
      <c r="B1581" s="0" t="n">
        <v>20</v>
      </c>
      <c r="C1581" s="0" t="n">
        <v>4136619.44140625</v>
      </c>
      <c r="D1581" s="0" t="n">
        <v>3825774.019650006</v>
      </c>
      <c r="E1581" s="0" t="n">
        <v>1.33485016209858e-05</v>
      </c>
      <c r="F1581" s="0" t="n">
        <v>1.327261125966866e-05</v>
      </c>
      <c r="G1581" s="0" t="n">
        <v>7.589036131714148e-08</v>
      </c>
      <c r="H1581" s="0" t="b">
        <v>0</v>
      </c>
    </row>
    <row r="1582">
      <c r="A1582" s="0" t="n">
        <v>158</v>
      </c>
      <c r="B1582" s="0" t="n">
        <v>21</v>
      </c>
      <c r="C1582" s="0" t="n">
        <v>4136673.44140625</v>
      </c>
      <c r="D1582" s="0" t="n">
        <v>4009279.376647554</v>
      </c>
      <c r="E1582" s="0" t="n">
        <v>1.335209098064064e-05</v>
      </c>
      <c r="F1582" s="0" t="n">
        <v>1.327261125966866e-05</v>
      </c>
      <c r="G1582" s="0" t="n">
        <v>7.947972097197874e-08</v>
      </c>
      <c r="H1582" s="0" t="b">
        <v>0</v>
      </c>
    </row>
    <row r="1583">
      <c r="A1583" s="0" t="n">
        <v>158</v>
      </c>
      <c r="B1583" s="0" t="n">
        <v>22</v>
      </c>
      <c r="C1583" s="0" t="n">
        <v>4136738.24140625</v>
      </c>
      <c r="D1583" s="0" t="n">
        <v>4229968.090423265</v>
      </c>
      <c r="E1583" s="0" t="n">
        <v>1.335640167584674e-05</v>
      </c>
      <c r="F1583" s="0" t="n">
        <v>1.327261125966866e-05</v>
      </c>
      <c r="G1583" s="0" t="n">
        <v>8.379041617808011e-08</v>
      </c>
      <c r="H1583" s="0" t="b">
        <v>0</v>
      </c>
    </row>
    <row r="1584">
      <c r="A1584" s="0" t="n">
        <v>158</v>
      </c>
      <c r="B1584" s="0" t="n">
        <v>23</v>
      </c>
      <c r="C1584" s="0" t="n">
        <v>4136705.84140625</v>
      </c>
      <c r="D1584" s="0" t="n">
        <v>4119600.812153339</v>
      </c>
      <c r="E1584" s="0" t="n">
        <v>1.335424669371587e-05</v>
      </c>
      <c r="F1584" s="0" t="n">
        <v>1.327261125966866e-05</v>
      </c>
      <c r="G1584" s="0" t="n">
        <v>8.163543404721593e-08</v>
      </c>
      <c r="H1584" s="0" t="b">
        <v>0</v>
      </c>
    </row>
    <row r="1585">
      <c r="A1585" s="0" t="n">
        <v>159</v>
      </c>
      <c r="B1585" s="0" t="n">
        <v>1</v>
      </c>
      <c r="C1585" s="0" t="n">
        <v>6050000</v>
      </c>
      <c r="D1585" s="0" t="n">
        <v>211944966458.9651</v>
      </c>
      <c r="E1585" s="0" t="n">
        <v>0.0003451307252357715</v>
      </c>
      <c r="F1585" s="0" t="n">
        <v>9.634199860582792e-06</v>
      </c>
      <c r="G1585" s="0" t="n">
        <v>0.0003354965253751887</v>
      </c>
      <c r="H1585" s="0" t="b">
        <v>0</v>
      </c>
    </row>
    <row r="1586">
      <c r="A1586" s="0" t="n">
        <v>159</v>
      </c>
      <c r="B1586" s="0" t="n">
        <v>2</v>
      </c>
      <c r="C1586" s="0" t="n">
        <v>3075000</v>
      </c>
      <c r="D1586" s="0" t="n">
        <v>-39039.02570472557</v>
      </c>
      <c r="E1586" s="0" t="n">
        <v>-4.120940333596766e-06</v>
      </c>
      <c r="F1586" s="0" t="n">
        <v>9.634199860582798e-06</v>
      </c>
      <c r="G1586" s="0" t="n">
        <v>-1.375514019417956e-05</v>
      </c>
      <c r="H1586" s="0" t="b">
        <v>1</v>
      </c>
    </row>
    <row r="1587">
      <c r="A1587" s="0" t="n">
        <v>159</v>
      </c>
      <c r="B1587" s="0" t="n">
        <v>3</v>
      </c>
      <c r="C1587" s="0" t="n">
        <v>4562500</v>
      </c>
      <c r="D1587" s="0" t="n">
        <v>-4151987.942045688</v>
      </c>
      <c r="E1587" s="0" t="n">
        <v>4.330964981107044e-06</v>
      </c>
      <c r="F1587" s="0" t="n">
        <v>9.6341998605828e-06</v>
      </c>
      <c r="G1587" s="0" t="n">
        <v>-5.303234879475756e-06</v>
      </c>
      <c r="H1587" s="0" t="b">
        <v>1</v>
      </c>
    </row>
    <row r="1588">
      <c r="A1588" s="0" t="n">
        <v>159</v>
      </c>
      <c r="B1588" s="0" t="n">
        <v>4</v>
      </c>
      <c r="C1588" s="0" t="n">
        <v>5306250</v>
      </c>
      <c r="D1588" s="0" t="n">
        <v>5661461559.587319</v>
      </c>
      <c r="E1588" s="0" t="n">
        <v>3.238485318372828e-05</v>
      </c>
      <c r="F1588" s="0" t="n">
        <v>9.634199860582798e-06</v>
      </c>
      <c r="G1588" s="0" t="n">
        <v>2.275065332314549e-05</v>
      </c>
      <c r="H1588" s="0" t="b">
        <v>0</v>
      </c>
    </row>
    <row r="1589">
      <c r="A1589" s="0" t="n">
        <v>159</v>
      </c>
      <c r="B1589" s="0" t="n">
        <v>5</v>
      </c>
      <c r="C1589" s="0" t="n">
        <v>4934375</v>
      </c>
      <c r="D1589" s="0" t="n">
        <v>-17821000.90880328</v>
      </c>
      <c r="E1589" s="0" t="n">
        <v>9.328285215574377e-06</v>
      </c>
      <c r="F1589" s="0" t="n">
        <v>9.6341998605828e-06</v>
      </c>
      <c r="G1589" s="0" t="n">
        <v>-3.059146450084233e-07</v>
      </c>
      <c r="H1589" s="0" t="b">
        <v>1</v>
      </c>
    </row>
    <row r="1590">
      <c r="A1590" s="0" t="n">
        <v>159</v>
      </c>
      <c r="B1590" s="0" t="n">
        <v>6</v>
      </c>
      <c r="C1590" s="0" t="n">
        <v>5120312.5</v>
      </c>
      <c r="D1590" s="0" t="n">
        <v>1099891132.977762</v>
      </c>
      <c r="E1590" s="0" t="n">
        <v>1.625122159309805e-05</v>
      </c>
      <c r="F1590" s="0" t="n">
        <v>9.6341998605828e-06</v>
      </c>
      <c r="G1590" s="0" t="n">
        <v>6.617021732515245e-06</v>
      </c>
      <c r="H1590" s="0" t="b">
        <v>0</v>
      </c>
    </row>
    <row r="1591">
      <c r="A1591" s="0" t="n">
        <v>159</v>
      </c>
      <c r="B1591" s="0" t="n">
        <v>7</v>
      </c>
      <c r="C1591" s="0" t="n">
        <v>5027343.75</v>
      </c>
      <c r="D1591" s="0" t="n">
        <v>153342902.4071795</v>
      </c>
      <c r="E1591" s="0" t="n">
        <v>1.130749829435901e-05</v>
      </c>
      <c r="F1591" s="0" t="n">
        <v>9.6341998605828e-06</v>
      </c>
      <c r="G1591" s="0" t="n">
        <v>1.673298433776212e-06</v>
      </c>
      <c r="H1591" s="0" t="b">
        <v>0</v>
      </c>
    </row>
    <row r="1592">
      <c r="A1592" s="0" t="n">
        <v>159</v>
      </c>
      <c r="B1592" s="0" t="n">
        <v>8</v>
      </c>
      <c r="C1592" s="0" t="n">
        <v>4980859.375</v>
      </c>
      <c r="D1592" s="0" t="n">
        <v>42439218.1208834</v>
      </c>
      <c r="E1592" s="0" t="n">
        <v>1.021281892760027e-05</v>
      </c>
      <c r="F1592" s="0" t="n">
        <v>9.6341998605828e-06</v>
      </c>
      <c r="G1592" s="0" t="n">
        <v>5.786190670174706e-07</v>
      </c>
      <c r="H1592" s="0" t="b">
        <v>0</v>
      </c>
    </row>
    <row r="1593">
      <c r="A1593" s="0" t="n">
        <v>159</v>
      </c>
      <c r="B1593" s="0" t="n">
        <v>9</v>
      </c>
      <c r="C1593" s="0" t="n">
        <v>4957617.1875</v>
      </c>
      <c r="D1593" s="0" t="n">
        <v>8397666.085502841</v>
      </c>
      <c r="E1593" s="0" t="n">
        <v>9.762053313627023e-06</v>
      </c>
      <c r="F1593" s="0" t="n">
        <v>9.6341998605828e-06</v>
      </c>
      <c r="G1593" s="0" t="n">
        <v>1.278534530442224e-07</v>
      </c>
      <c r="H1593" s="0" t="b">
        <v>0</v>
      </c>
    </row>
    <row r="1594">
      <c r="A1594" s="0" t="n">
        <v>159</v>
      </c>
      <c r="B1594" s="0" t="n">
        <v>10</v>
      </c>
      <c r="C1594" s="0" t="n">
        <v>4945996.09375</v>
      </c>
      <c r="D1594" s="0" t="n">
        <v>-5644504.416915858</v>
      </c>
      <c r="E1594" s="0" t="n">
        <v>9.543067851007151e-06</v>
      </c>
      <c r="F1594" s="0" t="n">
        <v>9.6341998605828e-06</v>
      </c>
      <c r="G1594" s="0" t="n">
        <v>-9.113200957564892e-08</v>
      </c>
      <c r="H1594" s="0" t="b">
        <v>1</v>
      </c>
    </row>
    <row r="1595">
      <c r="A1595" s="0" t="n">
        <v>159</v>
      </c>
      <c r="B1595" s="0" t="n">
        <v>11</v>
      </c>
      <c r="C1595" s="0" t="n">
        <v>4951806.640625</v>
      </c>
      <c r="D1595" s="0" t="n">
        <v>1137676.061792361</v>
      </c>
      <c r="E1595" s="0" t="n">
        <v>9.652031139751995e-06</v>
      </c>
      <c r="F1595" s="0" t="n">
        <v>9.6341998605828e-06</v>
      </c>
      <c r="G1595" s="0" t="n">
        <v>1.783127916919454e-08</v>
      </c>
      <c r="H1595" s="0" t="b">
        <v>0</v>
      </c>
    </row>
    <row r="1596">
      <c r="A1596" s="0" t="n">
        <v>159</v>
      </c>
      <c r="B1596" s="0" t="n">
        <v>12</v>
      </c>
      <c r="C1596" s="0" t="n">
        <v>4954711.9140625</v>
      </c>
      <c r="D1596" s="0" t="n">
        <v>4707258.278984376</v>
      </c>
      <c r="E1596" s="0" t="n">
        <v>9.706909776027413e-06</v>
      </c>
      <c r="F1596" s="0" t="n">
        <v>9.6341998605828e-06</v>
      </c>
      <c r="G1596" s="0" t="n">
        <v>7.270991544461334e-08</v>
      </c>
      <c r="H1596" s="0" t="b">
        <v>0</v>
      </c>
    </row>
    <row r="1597">
      <c r="A1597" s="0" t="n">
        <v>159</v>
      </c>
      <c r="B1597" s="0" t="n">
        <v>13</v>
      </c>
      <c r="C1597" s="0" t="n">
        <v>4956164.55078125</v>
      </c>
      <c r="D1597" s="0" t="n">
        <v>6537252.667413378</v>
      </c>
      <c r="E1597" s="0" t="n">
        <v>9.734448112010984e-06</v>
      </c>
      <c r="F1597" s="0" t="n">
        <v>9.6341998605828e-06</v>
      </c>
      <c r="G1597" s="0" t="n">
        <v>1.002482514281838e-07</v>
      </c>
      <c r="H1597" s="0" t="b">
        <v>0</v>
      </c>
    </row>
    <row r="1598">
      <c r="A1598" s="0" t="n">
        <v>159</v>
      </c>
      <c r="B1598" s="0" t="n">
        <v>14</v>
      </c>
      <c r="C1598" s="0" t="n">
        <v>4955664.55078125</v>
      </c>
      <c r="D1598" s="0" t="n">
        <v>5903959.36656836</v>
      </c>
      <c r="E1598" s="0" t="n">
        <v>9.724962099658177e-06</v>
      </c>
      <c r="F1598" s="0" t="n">
        <v>9.6341998605828e-06</v>
      </c>
      <c r="G1598" s="0" t="n">
        <v>9.076223907537658e-08</v>
      </c>
      <c r="H1598" s="0" t="b">
        <v>0</v>
      </c>
    </row>
    <row r="1599">
      <c r="A1599" s="0" t="n">
        <v>159</v>
      </c>
      <c r="B1599" s="0" t="n">
        <v>15</v>
      </c>
      <c r="C1599" s="0" t="n">
        <v>4955064.55078125</v>
      </c>
      <c r="D1599" s="0" t="n">
        <v>5148722.40542538</v>
      </c>
      <c r="E1599" s="0" t="n">
        <v>9.713588857556917e-06</v>
      </c>
      <c r="F1599" s="0" t="n">
        <v>9.6341998605828e-06</v>
      </c>
      <c r="G1599" s="0" t="n">
        <v>7.938899697411662e-08</v>
      </c>
      <c r="H1599" s="0" t="b">
        <v>0</v>
      </c>
    </row>
    <row r="1600">
      <c r="A1600" s="0" t="n">
        <v>159</v>
      </c>
      <c r="B1600" s="0" t="n">
        <v>16</v>
      </c>
      <c r="C1600" s="0" t="n">
        <v>4954344.55078125</v>
      </c>
      <c r="D1600" s="0" t="n">
        <v>4249228.950585496</v>
      </c>
      <c r="E1600" s="0" t="n">
        <v>9.699955580411592e-06</v>
      </c>
      <c r="F1600" s="0" t="n">
        <v>9.6341998605828e-06</v>
      </c>
      <c r="G1600" s="0" t="n">
        <v>6.575571982879237e-08</v>
      </c>
      <c r="H1600" s="0" t="b">
        <v>0</v>
      </c>
    </row>
    <row r="1601">
      <c r="A1601" s="0" t="n">
        <v>159</v>
      </c>
      <c r="B1601" s="0" t="n">
        <v>17</v>
      </c>
      <c r="C1601" s="0" t="n">
        <v>4954704.55078125</v>
      </c>
      <c r="D1601" s="0" t="n">
        <v>4698059.213132324</v>
      </c>
      <c r="E1601" s="0" t="n">
        <v>9.70677035422548e-06</v>
      </c>
      <c r="F1601" s="0" t="n">
        <v>9.6341998605828e-06</v>
      </c>
      <c r="G1601" s="0" t="n">
        <v>7.257049364267985e-08</v>
      </c>
      <c r="H1601" s="0" t="b">
        <v>0</v>
      </c>
    </row>
    <row r="1602">
      <c r="A1602" s="0" t="n">
        <v>159</v>
      </c>
      <c r="B1602" s="0" t="n">
        <v>18</v>
      </c>
      <c r="C1602" s="0" t="n">
        <v>4955136.55078125</v>
      </c>
      <c r="D1602" s="0" t="n">
        <v>5239054.845404888</v>
      </c>
      <c r="E1602" s="0" t="n">
        <v>9.714952698526535e-06</v>
      </c>
      <c r="F1602" s="0" t="n">
        <v>9.6341998605828e-06</v>
      </c>
      <c r="G1602" s="0" t="n">
        <v>8.075283794373452e-08</v>
      </c>
      <c r="H1602" s="0" t="b">
        <v>0</v>
      </c>
    </row>
    <row r="1603">
      <c r="A1603" s="0" t="n">
        <v>159</v>
      </c>
      <c r="B1603" s="0" t="n">
        <v>19</v>
      </c>
      <c r="C1603" s="0" t="n">
        <v>4954920.55078125</v>
      </c>
      <c r="D1603" s="0" t="n">
        <v>4968234.25367333</v>
      </c>
      <c r="E1603" s="0" t="n">
        <v>9.710860966742981e-06</v>
      </c>
      <c r="F1603" s="0" t="n">
        <v>9.6341998605828e-06</v>
      </c>
      <c r="G1603" s="0" t="n">
        <v>7.666110616018133e-08</v>
      </c>
      <c r="H1603" s="0" t="b">
        <v>0</v>
      </c>
    </row>
    <row r="1604">
      <c r="A1604" s="0" t="n">
        <v>160</v>
      </c>
      <c r="B1604" s="0" t="n">
        <v>1</v>
      </c>
      <c r="C1604" s="0" t="n">
        <v>6050000</v>
      </c>
      <c r="D1604" s="0" t="n">
        <v>97687508252.96721</v>
      </c>
      <c r="E1604" s="0" t="n">
        <v>0.0001839549756903099</v>
      </c>
      <c r="F1604" s="0" t="n">
        <v>9.122356337791249e-06</v>
      </c>
      <c r="G1604" s="0" t="n">
        <v>0.0001748326193525187</v>
      </c>
      <c r="H1604" s="0" t="b">
        <v>0</v>
      </c>
    </row>
    <row r="1605">
      <c r="A1605" s="0" t="n">
        <v>160</v>
      </c>
      <c r="B1605" s="0" t="n">
        <v>2</v>
      </c>
      <c r="C1605" s="0" t="n">
        <v>3075000</v>
      </c>
      <c r="D1605" s="0" t="n">
        <v>-32538.82751165966</v>
      </c>
      <c r="E1605" s="0" t="n">
        <v>-4.720720460769869e-06</v>
      </c>
      <c r="F1605" s="0" t="n">
        <v>9.122356337791248e-06</v>
      </c>
      <c r="G1605" s="0" t="n">
        <v>-1.384307679856112e-05</v>
      </c>
      <c r="H1605" s="0" t="b">
        <v>1</v>
      </c>
    </row>
    <row r="1606">
      <c r="A1606" s="0" t="n">
        <v>160</v>
      </c>
      <c r="B1606" s="0" t="n">
        <v>3</v>
      </c>
      <c r="C1606" s="0" t="n">
        <v>4562500</v>
      </c>
      <c r="D1606" s="0" t="n">
        <v>-1325951.226688082</v>
      </c>
      <c r="E1606" s="0" t="n">
        <v>3.045644978149582e-06</v>
      </c>
      <c r="F1606" s="0" t="n">
        <v>9.122356337791248e-06</v>
      </c>
      <c r="G1606" s="0" t="n">
        <v>-6.076711359641666e-06</v>
      </c>
      <c r="H1606" s="0" t="b">
        <v>1</v>
      </c>
    </row>
    <row r="1607">
      <c r="A1607" s="0" t="n">
        <v>160</v>
      </c>
      <c r="B1607" s="0" t="n">
        <v>4</v>
      </c>
      <c r="C1607" s="0" t="n">
        <v>5306250</v>
      </c>
      <c r="D1607" s="0" t="n">
        <v>1339677028.040467</v>
      </c>
      <c r="E1607" s="0" t="n">
        <v>1.63624227637138e-05</v>
      </c>
      <c r="F1607" s="0" t="n">
        <v>9.122356337791248e-06</v>
      </c>
      <c r="G1607" s="0" t="n">
        <v>7.240066425922553e-06</v>
      </c>
      <c r="H1607" s="0" t="b">
        <v>0</v>
      </c>
    </row>
    <row r="1608">
      <c r="A1608" s="0" t="n">
        <v>160</v>
      </c>
      <c r="B1608" s="0" t="n">
        <v>5</v>
      </c>
      <c r="C1608" s="0" t="n">
        <v>4934375</v>
      </c>
      <c r="D1608" s="0" t="n">
        <v>-46618171.32973316</v>
      </c>
      <c r="E1608" s="0" t="n">
        <v>6.545193268005029e-06</v>
      </c>
      <c r="F1608" s="0" t="n">
        <v>9.122356337791248e-06</v>
      </c>
      <c r="G1608" s="0" t="n">
        <v>-2.577163069786219e-06</v>
      </c>
      <c r="H1608" s="0" t="b">
        <v>1</v>
      </c>
    </row>
    <row r="1609">
      <c r="A1609" s="0" t="n">
        <v>160</v>
      </c>
      <c r="B1609" s="0" t="n">
        <v>6</v>
      </c>
      <c r="C1609" s="0" t="n">
        <v>5120312.5</v>
      </c>
      <c r="D1609" s="0" t="n">
        <v>17278952.08756724</v>
      </c>
      <c r="E1609" s="0" t="n">
        <v>9.366620075114066e-06</v>
      </c>
      <c r="F1609" s="0" t="n">
        <v>9.122356337791248e-06</v>
      </c>
      <c r="G1609" s="0" t="n">
        <v>2.442637373228182e-07</v>
      </c>
      <c r="H1609" s="0" t="b">
        <v>0</v>
      </c>
    </row>
    <row r="1610">
      <c r="A1610" s="0" t="n">
        <v>160</v>
      </c>
      <c r="B1610" s="0" t="n">
        <v>7</v>
      </c>
      <c r="C1610" s="0" t="n">
        <v>5027343.75</v>
      </c>
      <c r="D1610" s="0" t="n">
        <v>-53219360.76368783</v>
      </c>
      <c r="E1610" s="0" t="n">
        <v>7.847577148971948e-06</v>
      </c>
      <c r="F1610" s="0" t="n">
        <v>9.122356337791248e-06</v>
      </c>
      <c r="G1610" s="0" t="n">
        <v>-1.2747791888193e-06</v>
      </c>
      <c r="H1610" s="0" t="b">
        <v>1</v>
      </c>
    </row>
    <row r="1611">
      <c r="A1611" s="0" t="n">
        <v>160</v>
      </c>
      <c r="B1611" s="0" t="n">
        <v>8</v>
      </c>
      <c r="C1611" s="0" t="n">
        <v>5073828.125</v>
      </c>
      <c r="D1611" s="0" t="n">
        <v>-30293980.63566979</v>
      </c>
      <c r="E1611" s="0" t="n">
        <v>8.578435832735961e-06</v>
      </c>
      <c r="F1611" s="0" t="n">
        <v>9.122356337791248e-06</v>
      </c>
      <c r="G1611" s="0" t="n">
        <v>-5.439205050552868e-07</v>
      </c>
      <c r="H1611" s="0" t="b">
        <v>1</v>
      </c>
    </row>
    <row r="1612">
      <c r="A1612" s="0" t="n">
        <v>160</v>
      </c>
      <c r="B1612" s="0" t="n">
        <v>9</v>
      </c>
      <c r="C1612" s="0" t="n">
        <v>5097070.3125</v>
      </c>
      <c r="D1612" s="0" t="n">
        <v>-9918109.375966012</v>
      </c>
      <c r="E1612" s="0" t="n">
        <v>8.965151638835816e-06</v>
      </c>
      <c r="F1612" s="0" t="n">
        <v>9.122356337791248e-06</v>
      </c>
      <c r="G1612" s="0" t="n">
        <v>-1.572046989554318e-07</v>
      </c>
      <c r="H1612" s="0" t="b">
        <v>1</v>
      </c>
    </row>
    <row r="1613">
      <c r="A1613" s="0" t="n">
        <v>160</v>
      </c>
      <c r="B1613" s="0" t="n">
        <v>10</v>
      </c>
      <c r="C1613" s="0" t="n">
        <v>5108691.40625</v>
      </c>
      <c r="D1613" s="0" t="n">
        <v>2786085.38685835</v>
      </c>
      <c r="E1613" s="0" t="n">
        <v>9.164011845972044e-06</v>
      </c>
      <c r="F1613" s="0" t="n">
        <v>9.122356337791248e-06</v>
      </c>
      <c r="G1613" s="0" t="n">
        <v>4.165550818079656e-08</v>
      </c>
      <c r="H1613" s="0" t="b">
        <v>0</v>
      </c>
    </row>
    <row r="1614">
      <c r="A1614" s="0" t="n">
        <v>160</v>
      </c>
      <c r="B1614" s="0" t="n">
        <v>11</v>
      </c>
      <c r="C1614" s="0" t="n">
        <v>5114501.953125</v>
      </c>
      <c r="D1614" s="0" t="n">
        <v>9803720.0978365</v>
      </c>
      <c r="E1614" s="0" t="n">
        <v>9.264844215611541e-06</v>
      </c>
      <c r="F1614" s="0" t="n">
        <v>9.122356337791248e-06</v>
      </c>
      <c r="G1614" s="0" t="n">
        <v>1.424878778202928e-07</v>
      </c>
      <c r="H1614" s="0" t="b">
        <v>0</v>
      </c>
    </row>
    <row r="1615">
      <c r="A1615" s="0" t="n">
        <v>160</v>
      </c>
      <c r="B1615" s="0" t="n">
        <v>12</v>
      </c>
      <c r="C1615" s="0" t="n">
        <v>5111596.6796875</v>
      </c>
      <c r="D1615" s="0" t="n">
        <v>6238379.531416785</v>
      </c>
      <c r="E1615" s="0" t="n">
        <v>9.214310833768804e-06</v>
      </c>
      <c r="F1615" s="0" t="n">
        <v>9.122356337791248e-06</v>
      </c>
      <c r="G1615" s="0" t="n">
        <v>9.195449597755641e-08</v>
      </c>
      <c r="H1615" s="0" t="b">
        <v>0</v>
      </c>
    </row>
    <row r="1616">
      <c r="A1616" s="0" t="n">
        <v>160</v>
      </c>
      <c r="B1616" s="0" t="n">
        <v>13</v>
      </c>
      <c r="C1616" s="0" t="n">
        <v>5110144.04296875</v>
      </c>
      <c r="D1616" s="0" t="n">
        <v>4498166.092372669</v>
      </c>
      <c r="E1616" s="0" t="n">
        <v>9.189131845787e-06</v>
      </c>
      <c r="F1616" s="0" t="n">
        <v>9.122356337791248e-06</v>
      </c>
      <c r="G1616" s="0" t="n">
        <v>6.677550799575258e-08</v>
      </c>
      <c r="H1616" s="0" t="b">
        <v>0</v>
      </c>
    </row>
    <row r="1617">
      <c r="A1617" s="0" t="n">
        <v>160</v>
      </c>
      <c r="B1617" s="0" t="n">
        <v>14</v>
      </c>
      <c r="C1617" s="0" t="n">
        <v>5110644.04296875</v>
      </c>
      <c r="D1617" s="0" t="n">
        <v>5093984.380412214</v>
      </c>
      <c r="E1617" s="0" t="n">
        <v>9.197792084510302e-06</v>
      </c>
      <c r="F1617" s="0" t="n">
        <v>9.122356337791248e-06</v>
      </c>
      <c r="G1617" s="0" t="n">
        <v>7.543574671905391e-08</v>
      </c>
      <c r="H1617" s="0" t="b">
        <v>0</v>
      </c>
    </row>
    <row r="1618">
      <c r="A1618" s="0" t="n">
        <v>161</v>
      </c>
      <c r="B1618" s="0" t="n">
        <v>1</v>
      </c>
      <c r="C1618" s="0" t="n">
        <v>6050000</v>
      </c>
      <c r="D1618" s="0" t="n">
        <v>2001552038.047415</v>
      </c>
      <c r="E1618" s="0" t="n">
        <v>1.467002344776433e-05</v>
      </c>
      <c r="F1618" s="0" t="n">
        <v>7.194547451183022e-06</v>
      </c>
      <c r="G1618" s="0" t="n">
        <v>7.475475996581313e-06</v>
      </c>
      <c r="H1618" s="0" t="b">
        <v>0</v>
      </c>
    </row>
    <row r="1619">
      <c r="A1619" s="0" t="n">
        <v>161</v>
      </c>
      <c r="B1619" s="0" t="n">
        <v>2</v>
      </c>
      <c r="C1619" s="0" t="n">
        <v>3075000</v>
      </c>
      <c r="D1619" s="0" t="n">
        <v>-16787.65923871107</v>
      </c>
      <c r="E1619" s="0" t="n">
        <v>-6.769686719434214e-06</v>
      </c>
      <c r="F1619" s="0" t="n">
        <v>7.194547451183022e-06</v>
      </c>
      <c r="G1619" s="0" t="n">
        <v>-1.396423417061724e-05</v>
      </c>
      <c r="H1619" s="0" t="b">
        <v>1</v>
      </c>
    </row>
    <row r="1620">
      <c r="A1620" s="0" t="n">
        <v>161</v>
      </c>
      <c r="B1620" s="0" t="n">
        <v>3</v>
      </c>
      <c r="C1620" s="0" t="n">
        <v>4562500</v>
      </c>
      <c r="D1620" s="0" t="n">
        <v>-255608.29858042</v>
      </c>
      <c r="E1620" s="0" t="n">
        <v>5.568685838248664e-07</v>
      </c>
      <c r="F1620" s="0" t="n">
        <v>7.194547451183022e-06</v>
      </c>
      <c r="G1620" s="0" t="n">
        <v>-6.637678867358155e-06</v>
      </c>
      <c r="H1620" s="0" t="b">
        <v>1</v>
      </c>
    </row>
    <row r="1621">
      <c r="A1621" s="0" t="n">
        <v>161</v>
      </c>
      <c r="B1621" s="0" t="n">
        <v>4</v>
      </c>
      <c r="C1621" s="0" t="n">
        <v>5306250</v>
      </c>
      <c r="D1621" s="0" t="n">
        <v>-4926778.454059778</v>
      </c>
      <c r="E1621" s="0" t="n">
        <v>3.378721347551051e-06</v>
      </c>
      <c r="F1621" s="0" t="n">
        <v>7.194547451183022e-06</v>
      </c>
      <c r="G1621" s="0" t="n">
        <v>-3.81582610363197e-06</v>
      </c>
      <c r="H1621" s="0" t="b">
        <v>1</v>
      </c>
    </row>
    <row r="1622">
      <c r="A1622" s="0" t="n">
        <v>161</v>
      </c>
      <c r="B1622" s="0" t="n">
        <v>5</v>
      </c>
      <c r="C1622" s="0" t="n">
        <v>5678125</v>
      </c>
      <c r="D1622" s="0" t="n">
        <v>-40777639.72725933</v>
      </c>
      <c r="E1622" s="0" t="n">
        <v>6.46884722726671e-06</v>
      </c>
      <c r="F1622" s="0" t="n">
        <v>7.194547451183022e-06</v>
      </c>
      <c r="G1622" s="0" t="n">
        <v>-7.257002239163111e-07</v>
      </c>
      <c r="H1622" s="0" t="b">
        <v>1</v>
      </c>
    </row>
    <row r="1623">
      <c r="A1623" s="0" t="n">
        <v>161</v>
      </c>
      <c r="B1623" s="0" t="n">
        <v>6</v>
      </c>
      <c r="C1623" s="0" t="n">
        <v>5864062.5</v>
      </c>
      <c r="D1623" s="0" t="n">
        <v>199109676.959157</v>
      </c>
      <c r="E1623" s="0" t="n">
        <v>8.776505391524051e-06</v>
      </c>
      <c r="F1623" s="0" t="n">
        <v>7.194547451183022e-06</v>
      </c>
      <c r="G1623" s="0" t="n">
        <v>1.58195794034103e-06</v>
      </c>
      <c r="H1623" s="0" t="b">
        <v>0</v>
      </c>
    </row>
    <row r="1624">
      <c r="A1624" s="0" t="n">
        <v>161</v>
      </c>
      <c r="B1624" s="0" t="n">
        <v>7</v>
      </c>
      <c r="C1624" s="0" t="n">
        <v>5771093.75</v>
      </c>
      <c r="D1624" s="0" t="n">
        <v>31433927.4150871</v>
      </c>
      <c r="E1624" s="0" t="n">
        <v>7.548024709417138e-06</v>
      </c>
      <c r="F1624" s="0" t="n">
        <v>7.194547451183022e-06</v>
      </c>
      <c r="G1624" s="0" t="n">
        <v>3.534772582341161e-07</v>
      </c>
      <c r="H1624" s="0" t="b">
        <v>0</v>
      </c>
    </row>
    <row r="1625">
      <c r="A1625" s="0" t="n">
        <v>161</v>
      </c>
      <c r="B1625" s="0" t="n">
        <v>8</v>
      </c>
      <c r="C1625" s="0" t="n">
        <v>5724609.375</v>
      </c>
      <c r="D1625" s="0" t="n">
        <v>-14674654.95044063</v>
      </c>
      <c r="E1625" s="0" t="n">
        <v>6.990663865274216e-06</v>
      </c>
      <c r="F1625" s="0" t="n">
        <v>7.194547451183022e-06</v>
      </c>
      <c r="G1625" s="0" t="n">
        <v>-2.038835859088053e-07</v>
      </c>
      <c r="H1625" s="0" t="b">
        <v>1</v>
      </c>
    </row>
    <row r="1626">
      <c r="A1626" s="0" t="n">
        <v>161</v>
      </c>
      <c r="B1626" s="0" t="n">
        <v>9</v>
      </c>
      <c r="C1626" s="0" t="n">
        <v>5747851.5625</v>
      </c>
      <c r="D1626" s="0" t="n">
        <v>5641776.274315389</v>
      </c>
      <c r="E1626" s="0" t="n">
        <v>7.264793511812518e-06</v>
      </c>
      <c r="F1626" s="0" t="n">
        <v>7.194547451183022e-06</v>
      </c>
      <c r="G1626" s="0" t="n">
        <v>7.024606062949666e-08</v>
      </c>
      <c r="H1626" s="0" t="b">
        <v>0</v>
      </c>
    </row>
    <row r="1627">
      <c r="A1627" s="0" t="n">
        <v>161</v>
      </c>
      <c r="B1627" s="0" t="n">
        <v>10</v>
      </c>
      <c r="C1627" s="0" t="n">
        <v>5759472.65625</v>
      </c>
      <c r="D1627" s="0" t="n">
        <v>17823117.89871629</v>
      </c>
      <c r="E1627" s="0" t="n">
        <v>7.405253422928552e-06</v>
      </c>
      <c r="F1627" s="0" t="n">
        <v>7.194547451183022e-06</v>
      </c>
      <c r="G1627" s="0" t="n">
        <v>2.107059717455306e-07</v>
      </c>
      <c r="H1627" s="0" t="b">
        <v>0</v>
      </c>
    </row>
    <row r="1628">
      <c r="A1628" s="0" t="n">
        <v>161</v>
      </c>
      <c r="B1628" s="0" t="n">
        <v>11</v>
      </c>
      <c r="C1628" s="0" t="n">
        <v>5753662.109375</v>
      </c>
      <c r="D1628" s="0" t="n">
        <v>11557554.90068134</v>
      </c>
      <c r="E1628" s="0" t="n">
        <v>7.334736592803601e-06</v>
      </c>
      <c r="F1628" s="0" t="n">
        <v>7.194547451183022e-06</v>
      </c>
      <c r="G1628" s="0" t="n">
        <v>1.401891416205789e-07</v>
      </c>
      <c r="H1628" s="0" t="b">
        <v>0</v>
      </c>
    </row>
    <row r="1629">
      <c r="A1629" s="0" t="n">
        <v>161</v>
      </c>
      <c r="B1629" s="0" t="n">
        <v>12</v>
      </c>
      <c r="C1629" s="0" t="n">
        <v>5750756.8359375</v>
      </c>
      <c r="D1629" s="0" t="n">
        <v>8556416.358760474</v>
      </c>
      <c r="E1629" s="0" t="n">
        <v>7.299693611911061e-06</v>
      </c>
      <c r="F1629" s="0" t="n">
        <v>7.194547451183022e-06</v>
      </c>
      <c r="G1629" s="0" t="n">
        <v>1.05146160728039e-07</v>
      </c>
      <c r="H1629" s="0" t="b">
        <v>0</v>
      </c>
    </row>
    <row r="1630">
      <c r="A1630" s="0" t="n">
        <v>161</v>
      </c>
      <c r="B1630" s="0" t="n">
        <v>13</v>
      </c>
      <c r="C1630" s="0" t="n">
        <v>5749304.19921875</v>
      </c>
      <c r="D1630" s="0" t="n">
        <v>7088329.443084392</v>
      </c>
      <c r="E1630" s="0" t="n">
        <v>7.282225572826348e-06</v>
      </c>
      <c r="F1630" s="0" t="n">
        <v>7.194547451183022e-06</v>
      </c>
      <c r="G1630" s="0" t="n">
        <v>8.767812164332636e-08</v>
      </c>
      <c r="H1630" s="0" t="b">
        <v>0</v>
      </c>
    </row>
    <row r="1631">
      <c r="A1631" s="0" t="n">
        <v>161</v>
      </c>
      <c r="B1631" s="0" t="n">
        <v>14</v>
      </c>
      <c r="C1631" s="0" t="n">
        <v>5748104.19921875</v>
      </c>
      <c r="D1631" s="0" t="n">
        <v>5891835.296298197</v>
      </c>
      <c r="E1631" s="0" t="n">
        <v>7.267822910235657e-06</v>
      </c>
      <c r="F1631" s="0" t="n">
        <v>7.194547451183022e-06</v>
      </c>
      <c r="G1631" s="0" t="n">
        <v>7.327545905263529e-08</v>
      </c>
      <c r="H1631" s="0" t="b">
        <v>0</v>
      </c>
    </row>
    <row r="1632">
      <c r="A1632" s="0" t="n">
        <v>161</v>
      </c>
      <c r="B1632" s="0" t="n">
        <v>15</v>
      </c>
      <c r="C1632" s="0" t="n">
        <v>5746664.19921875</v>
      </c>
      <c r="D1632" s="0" t="n">
        <v>4475302.703321734</v>
      </c>
      <c r="E1632" s="0" t="n">
        <v>7.250571555716603e-06</v>
      </c>
      <c r="F1632" s="0" t="n">
        <v>7.194547451183022e-06</v>
      </c>
      <c r="G1632" s="0" t="n">
        <v>5.602410453358095e-08</v>
      </c>
      <c r="H1632" s="0" t="b">
        <v>0</v>
      </c>
    </row>
    <row r="1633">
      <c r="A1633" s="0" t="n">
        <v>161</v>
      </c>
      <c r="B1633" s="0" t="n">
        <v>16</v>
      </c>
      <c r="C1633" s="0" t="n">
        <v>5747384.19921875</v>
      </c>
      <c r="D1633" s="0" t="n">
        <v>5180925.108632101</v>
      </c>
      <c r="E1633" s="0" t="n">
        <v>7.259192604801304e-06</v>
      </c>
      <c r="F1633" s="0" t="n">
        <v>7.194547451183022e-06</v>
      </c>
      <c r="G1633" s="0" t="n">
        <v>6.464515361828236e-08</v>
      </c>
      <c r="H1633" s="0" t="b">
        <v>0</v>
      </c>
    </row>
    <row r="1634">
      <c r="A1634" s="0" t="n">
        <v>161</v>
      </c>
      <c r="B1634" s="0" t="n">
        <v>17</v>
      </c>
      <c r="C1634" s="0" t="n">
        <v>5748248.19921875</v>
      </c>
      <c r="D1634" s="0" t="n">
        <v>6034644.146395085</v>
      </c>
      <c r="E1634" s="0" t="n">
        <v>7.269549973370211e-06</v>
      </c>
      <c r="F1634" s="0" t="n">
        <v>7.194547451183022e-06</v>
      </c>
      <c r="G1634" s="0" t="n">
        <v>7.500252218718979e-08</v>
      </c>
      <c r="H1634" s="0" t="b">
        <v>0</v>
      </c>
    </row>
    <row r="1635">
      <c r="A1635" s="0" t="n">
        <v>161</v>
      </c>
      <c r="B1635" s="0" t="n">
        <v>18</v>
      </c>
      <c r="C1635" s="0" t="n">
        <v>5747816.19921875</v>
      </c>
      <c r="D1635" s="0" t="n">
        <v>5606828.335445994</v>
      </c>
      <c r="E1635" s="0" t="n">
        <v>7.264369587214504e-06</v>
      </c>
      <c r="F1635" s="0" t="n">
        <v>7.194547451183022e-06</v>
      </c>
      <c r="G1635" s="0" t="n">
        <v>6.982213603148209e-08</v>
      </c>
      <c r="H1635" s="0" t="b">
        <v>0</v>
      </c>
    </row>
    <row r="1636">
      <c r="A1636" s="0" t="n">
        <v>161</v>
      </c>
      <c r="B1636" s="0" t="n">
        <v>19</v>
      </c>
      <c r="C1636" s="0" t="n">
        <v>5748032.19921875</v>
      </c>
      <c r="D1636" s="0" t="n">
        <v>5820509.796835037</v>
      </c>
      <c r="E1636" s="0" t="n">
        <v>7.266959510164268e-06</v>
      </c>
      <c r="F1636" s="0" t="n">
        <v>7.194547451183022e-06</v>
      </c>
      <c r="G1636" s="0" t="n">
        <v>7.241205898124685e-08</v>
      </c>
      <c r="H1636" s="0" t="b">
        <v>0</v>
      </c>
    </row>
    <row r="1637">
      <c r="A1637" s="0" t="n">
        <v>161</v>
      </c>
      <c r="B1637" s="0" t="n">
        <v>20</v>
      </c>
      <c r="C1637" s="0" t="n">
        <v>5747924.19921875</v>
      </c>
      <c r="D1637" s="0" t="n">
        <v>5713620.164557869</v>
      </c>
      <c r="E1637" s="0" t="n">
        <v>7.265664574408395e-06</v>
      </c>
      <c r="F1637" s="0" t="n">
        <v>7.194547451183022e-06</v>
      </c>
      <c r="G1637" s="0" t="n">
        <v>7.111712322537388e-08</v>
      </c>
      <c r="H1637" s="0" t="b">
        <v>0</v>
      </c>
    </row>
    <row r="1638">
      <c r="A1638" s="0" t="n">
        <v>162</v>
      </c>
      <c r="B1638" s="0" t="n">
        <v>1</v>
      </c>
      <c r="C1638" s="0" t="n">
        <v>6050000</v>
      </c>
      <c r="D1638" s="0" t="n">
        <v>861301549.9001275</v>
      </c>
      <c r="E1638" s="0" t="n">
        <v>1.120004579159664e-05</v>
      </c>
      <c r="F1638" s="0" t="n">
        <v>7.029988749501866e-06</v>
      </c>
      <c r="G1638" s="0" t="n">
        <v>4.17005704209477e-06</v>
      </c>
      <c r="H1638" s="0" t="b">
        <v>0</v>
      </c>
    </row>
    <row r="1639">
      <c r="A1639" s="0" t="n">
        <v>162</v>
      </c>
      <c r="B1639" s="0" t="n">
        <v>2</v>
      </c>
      <c r="C1639" s="0" t="n">
        <v>3075000</v>
      </c>
      <c r="D1639" s="0" t="n">
        <v>-15729.45458009233</v>
      </c>
      <c r="E1639" s="0" t="n">
        <v>-6.971134998995831e-06</v>
      </c>
      <c r="F1639" s="0" t="n">
        <v>7.029988749501865e-06</v>
      </c>
      <c r="G1639" s="0" t="n">
        <v>-1.40011237484977e-05</v>
      </c>
      <c r="H1639" s="0" t="b">
        <v>1</v>
      </c>
    </row>
    <row r="1640">
      <c r="A1640" s="0" t="n">
        <v>162</v>
      </c>
      <c r="B1640" s="0" t="n">
        <v>3</v>
      </c>
      <c r="C1640" s="0" t="n">
        <v>4562500</v>
      </c>
      <c r="D1640" s="0" t="n">
        <v>-226096.5330977534</v>
      </c>
      <c r="E1640" s="0" t="n">
        <v>3.544221917671808e-07</v>
      </c>
      <c r="F1640" s="0" t="n">
        <v>7.029988749501866e-06</v>
      </c>
      <c r="G1640" s="0" t="n">
        <v>-6.675566557734685e-06</v>
      </c>
      <c r="H1640" s="0" t="b">
        <v>1</v>
      </c>
    </row>
    <row r="1641">
      <c r="A1641" s="0" t="n">
        <v>162</v>
      </c>
      <c r="B1641" s="0" t="n">
        <v>4</v>
      </c>
      <c r="C1641" s="0" t="n">
        <v>5306250</v>
      </c>
      <c r="D1641" s="0" t="n">
        <v>-2983420.793233004</v>
      </c>
      <c r="E1641" s="0" t="n">
        <v>2.943238375656185e-06</v>
      </c>
      <c r="F1641" s="0" t="n">
        <v>7.029988749501866e-06</v>
      </c>
      <c r="G1641" s="0" t="n">
        <v>-4.086750373845681e-06</v>
      </c>
      <c r="H1641" s="0" t="b">
        <v>1</v>
      </c>
    </row>
    <row r="1642">
      <c r="A1642" s="0" t="n">
        <v>162</v>
      </c>
      <c r="B1642" s="0" t="n">
        <v>5</v>
      </c>
      <c r="C1642" s="0" t="n">
        <v>5678125</v>
      </c>
      <c r="D1642" s="0" t="n">
        <v>-50142517.58018821</v>
      </c>
      <c r="E1642" s="0" t="n">
        <v>5.630063860218454e-06</v>
      </c>
      <c r="F1642" s="0" t="n">
        <v>7.029988749501866e-06</v>
      </c>
      <c r="G1642" s="0" t="n">
        <v>-1.399924889283411e-06</v>
      </c>
      <c r="H1642" s="0" t="b">
        <v>1</v>
      </c>
    </row>
    <row r="1643">
      <c r="A1643" s="0" t="n">
        <v>162</v>
      </c>
      <c r="B1643" s="0" t="n">
        <v>6</v>
      </c>
      <c r="C1643" s="0" t="n">
        <v>5864062.5</v>
      </c>
      <c r="D1643" s="0" t="n">
        <v>61013501.95843867</v>
      </c>
      <c r="E1643" s="0" t="n">
        <v>7.646182724347056e-06</v>
      </c>
      <c r="F1643" s="0" t="n">
        <v>7.029988749501866e-06</v>
      </c>
      <c r="G1643" s="0" t="n">
        <v>6.161939748451903e-07</v>
      </c>
      <c r="H1643" s="0" t="b">
        <v>0</v>
      </c>
    </row>
    <row r="1644">
      <c r="A1644" s="0" t="n">
        <v>162</v>
      </c>
      <c r="B1644" s="0" t="n">
        <v>7</v>
      </c>
      <c r="C1644" s="0" t="n">
        <v>5771093.75</v>
      </c>
      <c r="D1644" s="0" t="n">
        <v>-29706427.74560049</v>
      </c>
      <c r="E1644" s="0" t="n">
        <v>6.572119542437697e-06</v>
      </c>
      <c r="F1644" s="0" t="n">
        <v>7.029988749501866e-06</v>
      </c>
      <c r="G1644" s="0" t="n">
        <v>-4.578692070641688e-07</v>
      </c>
      <c r="H1644" s="0" t="b">
        <v>1</v>
      </c>
    </row>
    <row r="1645">
      <c r="A1645" s="0" t="n">
        <v>162</v>
      </c>
      <c r="B1645" s="0" t="n">
        <v>8</v>
      </c>
      <c r="C1645" s="0" t="n">
        <v>5817578.125</v>
      </c>
      <c r="D1645" s="0" t="n">
        <v>5034098.649182739</v>
      </c>
      <c r="E1645" s="0" t="n">
        <v>7.091838813794405e-06</v>
      </c>
      <c r="F1645" s="0" t="n">
        <v>7.029988749501866e-06</v>
      </c>
      <c r="G1645" s="0" t="n">
        <v>6.185006429253925e-08</v>
      </c>
      <c r="H1645" s="0" t="b">
        <v>0</v>
      </c>
    </row>
    <row r="1646">
      <c r="A1646" s="0" t="n">
        <v>162</v>
      </c>
      <c r="B1646" s="0" t="n">
        <v>9</v>
      </c>
      <c r="C1646" s="0" t="n">
        <v>5840820.3125</v>
      </c>
      <c r="D1646" s="0" t="n">
        <v>30136578.63404893</v>
      </c>
      <c r="E1646" s="0" t="n">
        <v>7.364570163237292e-06</v>
      </c>
      <c r="F1646" s="0" t="n">
        <v>7.029988749501866e-06</v>
      </c>
      <c r="G1646" s="0" t="n">
        <v>3.345814137354266e-07</v>
      </c>
      <c r="H1646" s="0" t="b">
        <v>0</v>
      </c>
    </row>
    <row r="1647">
      <c r="A1647" s="0" t="n">
        <v>162</v>
      </c>
      <c r="B1647" s="0" t="n">
        <v>10</v>
      </c>
      <c r="C1647" s="0" t="n">
        <v>5829199.21875</v>
      </c>
      <c r="D1647" s="0" t="n">
        <v>16893152.0274488</v>
      </c>
      <c r="E1647" s="0" t="n">
        <v>7.227111725462415e-06</v>
      </c>
      <c r="F1647" s="0" t="n">
        <v>7.029988749501866e-06</v>
      </c>
      <c r="G1647" s="0" t="n">
        <v>1.9712297596055e-07</v>
      </c>
      <c r="H1647" s="0" t="b">
        <v>0</v>
      </c>
    </row>
    <row r="1648">
      <c r="A1648" s="0" t="n">
        <v>162</v>
      </c>
      <c r="B1648" s="0" t="n">
        <v>11</v>
      </c>
      <c r="C1648" s="0" t="n">
        <v>5823388.671875</v>
      </c>
      <c r="D1648" s="0" t="n">
        <v>10794556.5042122</v>
      </c>
      <c r="E1648" s="0" t="n">
        <v>7.159207841522912e-06</v>
      </c>
      <c r="F1648" s="0" t="n">
        <v>7.029988749501866e-06</v>
      </c>
      <c r="G1648" s="0" t="n">
        <v>1.292190920210468e-07</v>
      </c>
      <c r="H1648" s="0" t="b">
        <v>0</v>
      </c>
    </row>
    <row r="1649">
      <c r="A1649" s="0" t="n">
        <v>162</v>
      </c>
      <c r="B1649" s="0" t="n">
        <v>12</v>
      </c>
      <c r="C1649" s="0" t="n">
        <v>5820483.3984375</v>
      </c>
      <c r="D1649" s="0" t="n">
        <v>7872497.346178447</v>
      </c>
      <c r="E1649" s="0" t="n">
        <v>7.125456591027662e-06</v>
      </c>
      <c r="F1649" s="0" t="n">
        <v>7.029988749501866e-06</v>
      </c>
      <c r="G1649" s="0" t="n">
        <v>9.546784152579644e-08</v>
      </c>
      <c r="H1649" s="0" t="b">
        <v>0</v>
      </c>
    </row>
    <row r="1650">
      <c r="A1650" s="0" t="n">
        <v>162</v>
      </c>
      <c r="B1650" s="0" t="n">
        <v>13</v>
      </c>
      <c r="C1650" s="0" t="n">
        <v>5819030.76171875</v>
      </c>
      <c r="D1650" s="0" t="n">
        <v>6442888.848606709</v>
      </c>
      <c r="E1650" s="0" t="n">
        <v>7.108630960053408e-06</v>
      </c>
      <c r="F1650" s="0" t="n">
        <v>7.029988749501866e-06</v>
      </c>
      <c r="G1650" s="0" t="n">
        <v>7.864221055154211e-08</v>
      </c>
      <c r="H1650" s="0" t="b">
        <v>0</v>
      </c>
    </row>
    <row r="1651">
      <c r="A1651" s="0" t="n">
        <v>162</v>
      </c>
      <c r="B1651" s="0" t="n">
        <v>14</v>
      </c>
      <c r="C1651" s="0" t="n">
        <v>5817830.76171875</v>
      </c>
      <c r="D1651" s="0" t="n">
        <v>5277612.731171851</v>
      </c>
      <c r="E1651" s="0" t="n">
        <v>7.094756756027711e-06</v>
      </c>
      <c r="F1651" s="0" t="n">
        <v>7.029988749501866e-06</v>
      </c>
      <c r="G1651" s="0" t="n">
        <v>6.476800652584566e-08</v>
      </c>
      <c r="H1651" s="0" t="b">
        <v>0</v>
      </c>
    </row>
    <row r="1652">
      <c r="A1652" s="0" t="n">
        <v>162</v>
      </c>
      <c r="B1652" s="0" t="n">
        <v>15</v>
      </c>
      <c r="C1652" s="0" t="n">
        <v>5818430.76171875</v>
      </c>
      <c r="D1652" s="0" t="n">
        <v>5858485.547592031</v>
      </c>
      <c r="E1652" s="0" t="n">
        <v>7.101691083076225e-06</v>
      </c>
      <c r="F1652" s="0" t="n">
        <v>7.029988749501866e-06</v>
      </c>
      <c r="G1652" s="0" t="n">
        <v>7.170233357435989e-08</v>
      </c>
      <c r="H1652" s="0" t="b">
        <v>0</v>
      </c>
    </row>
    <row r="1653">
      <c r="A1653" s="0" t="n">
        <v>163</v>
      </c>
      <c r="B1653" s="0" t="n">
        <v>1</v>
      </c>
      <c r="C1653" s="0" t="n">
        <v>6050000</v>
      </c>
      <c r="D1653" s="0" t="n">
        <v>90202034.45699616</v>
      </c>
      <c r="E1653" s="0" t="n">
        <v>7.45440265384997e-06</v>
      </c>
      <c r="F1653" s="0" t="n">
        <v>6.643886907248726e-06</v>
      </c>
      <c r="G1653" s="0" t="n">
        <v>8.105157466012437e-07</v>
      </c>
      <c r="H1653" s="0" t="b">
        <v>0</v>
      </c>
    </row>
    <row r="1654">
      <c r="A1654" s="0" t="n">
        <v>163</v>
      </c>
      <c r="B1654" s="0" t="n">
        <v>2</v>
      </c>
      <c r="C1654" s="0" t="n">
        <v>3075000</v>
      </c>
      <c r="D1654" s="0" t="n">
        <v>-13558.55323769758</v>
      </c>
      <c r="E1654" s="0" t="n">
        <v>-7.413059862115025e-06</v>
      </c>
      <c r="F1654" s="0" t="n">
        <v>6.643886907248726e-06</v>
      </c>
      <c r="G1654" s="0" t="n">
        <v>-1.405694676936375e-05</v>
      </c>
      <c r="H1654" s="0" t="b">
        <v>1</v>
      </c>
    </row>
    <row r="1655">
      <c r="A1655" s="0" t="n">
        <v>163</v>
      </c>
      <c r="B1655" s="0" t="n">
        <v>3</v>
      </c>
      <c r="C1655" s="0" t="n">
        <v>4562500</v>
      </c>
      <c r="D1655" s="0" t="n">
        <v>-172300.6223012825</v>
      </c>
      <c r="E1655" s="0" t="n">
        <v>-1.020212442822086e-07</v>
      </c>
      <c r="F1655" s="0" t="n">
        <v>6.643886907248726e-06</v>
      </c>
      <c r="G1655" s="0" t="n">
        <v>-6.745908151530935e-06</v>
      </c>
      <c r="H1655" s="0" t="b">
        <v>1</v>
      </c>
    </row>
    <row r="1656">
      <c r="A1656" s="0" t="n">
        <v>163</v>
      </c>
      <c r="B1656" s="0" t="n">
        <v>4</v>
      </c>
      <c r="C1656" s="0" t="n">
        <v>5306250</v>
      </c>
      <c r="D1656" s="0" t="n">
        <v>-1281751.052638558</v>
      </c>
      <c r="E1656" s="0" t="n">
        <v>2.147543337436069e-06</v>
      </c>
      <c r="F1656" s="0" t="n">
        <v>6.643886907248727e-06</v>
      </c>
      <c r="G1656" s="0" t="n">
        <v>-4.496343569812657e-06</v>
      </c>
      <c r="H1656" s="0" t="b">
        <v>1</v>
      </c>
    </row>
    <row r="1657">
      <c r="A1657" s="0" t="n">
        <v>163</v>
      </c>
      <c r="B1657" s="0" t="n">
        <v>5</v>
      </c>
      <c r="C1657" s="0" t="n">
        <v>5678125</v>
      </c>
      <c r="D1657" s="0" t="n">
        <v>-18446518.86957102</v>
      </c>
      <c r="E1657" s="0" t="n">
        <v>4.081511958984109e-06</v>
      </c>
      <c r="F1657" s="0" t="n">
        <v>6.643886907248726e-06</v>
      </c>
      <c r="G1657" s="0" t="n">
        <v>-2.562374948264617e-06</v>
      </c>
      <c r="H1657" s="0" t="b">
        <v>1</v>
      </c>
    </row>
    <row r="1658">
      <c r="A1658" s="0" t="n">
        <v>163</v>
      </c>
      <c r="B1658" s="0" t="n">
        <v>6</v>
      </c>
      <c r="C1658" s="0" t="n">
        <v>5864062.5</v>
      </c>
      <c r="D1658" s="0" t="n">
        <v>-48476060.08937277</v>
      </c>
      <c r="E1658" s="0" t="n">
        <v>5.549375487654625e-06</v>
      </c>
      <c r="F1658" s="0" t="n">
        <v>6.643886907248726e-06</v>
      </c>
      <c r="G1658" s="0" t="n">
        <v>-1.094511419594101e-06</v>
      </c>
      <c r="H1658" s="0" t="b">
        <v>1</v>
      </c>
    </row>
    <row r="1659">
      <c r="A1659" s="0" t="n">
        <v>163</v>
      </c>
      <c r="B1659" s="0" t="n">
        <v>7</v>
      </c>
      <c r="C1659" s="0" t="n">
        <v>5957031.25</v>
      </c>
      <c r="D1659" s="0" t="n">
        <v>-15221098.996613</v>
      </c>
      <c r="E1659" s="0" t="n">
        <v>6.441858898265379e-06</v>
      </c>
      <c r="F1659" s="0" t="n">
        <v>6.643886907248726e-06</v>
      </c>
      <c r="G1659" s="0" t="n">
        <v>-2.020280089833475e-07</v>
      </c>
      <c r="H1659" s="0" t="b">
        <v>1</v>
      </c>
    </row>
    <row r="1660">
      <c r="A1660" s="0" t="n">
        <v>163</v>
      </c>
      <c r="B1660" s="0" t="n">
        <v>8</v>
      </c>
      <c r="C1660" s="0" t="n">
        <v>6003515.625</v>
      </c>
      <c r="D1660" s="0" t="n">
        <v>26766950.69181843</v>
      </c>
      <c r="E1660" s="0" t="n">
        <v>6.932415111861927e-06</v>
      </c>
      <c r="F1660" s="0" t="n">
        <v>6.643886907248726e-06</v>
      </c>
      <c r="G1660" s="0" t="n">
        <v>2.885282046132011e-07</v>
      </c>
      <c r="H1660" s="0" t="b">
        <v>0</v>
      </c>
    </row>
    <row r="1661">
      <c r="A1661" s="0" t="n">
        <v>163</v>
      </c>
      <c r="B1661" s="0" t="n">
        <v>9</v>
      </c>
      <c r="C1661" s="0" t="n">
        <v>5980273.4375</v>
      </c>
      <c r="D1661" s="0" t="n">
        <v>3306208.260540136</v>
      </c>
      <c r="E1661" s="0" t="n">
        <v>6.683287581421167e-06</v>
      </c>
      <c r="F1661" s="0" t="n">
        <v>6.643886907248726e-06</v>
      </c>
      <c r="G1661" s="0" t="n">
        <v>3.94006741724412e-08</v>
      </c>
      <c r="H1661" s="0" t="b">
        <v>0</v>
      </c>
    </row>
    <row r="1662">
      <c r="A1662" s="0" t="n">
        <v>163</v>
      </c>
      <c r="B1662" s="0" t="n">
        <v>10</v>
      </c>
      <c r="C1662" s="0" t="n">
        <v>5991894.53125</v>
      </c>
      <c r="D1662" s="0" t="n">
        <v>14393131.35653419</v>
      </c>
      <c r="E1662" s="0" t="n">
        <v>6.806877356988765e-06</v>
      </c>
      <c r="F1662" s="0" t="n">
        <v>6.643886907248726e-06</v>
      </c>
      <c r="G1662" s="0" t="n">
        <v>1.629904497400387e-07</v>
      </c>
      <c r="H1662" s="0" t="b">
        <v>0</v>
      </c>
    </row>
    <row r="1663">
      <c r="A1663" s="0" t="n">
        <v>163</v>
      </c>
      <c r="B1663" s="0" t="n">
        <v>11</v>
      </c>
      <c r="C1663" s="0" t="n">
        <v>5986083.984375</v>
      </c>
      <c r="D1663" s="0" t="n">
        <v>8692161.762499861</v>
      </c>
      <c r="E1663" s="0" t="n">
        <v>6.744840369211402e-06</v>
      </c>
      <c r="F1663" s="0" t="n">
        <v>6.643886907248726e-06</v>
      </c>
      <c r="G1663" s="0" t="n">
        <v>1.009534619626758e-07</v>
      </c>
      <c r="H1663" s="0" t="b">
        <v>0</v>
      </c>
    </row>
    <row r="1664">
      <c r="A1664" s="0" t="n">
        <v>163</v>
      </c>
      <c r="B1664" s="0" t="n">
        <v>12</v>
      </c>
      <c r="C1664" s="0" t="n">
        <v>5983178.7109375</v>
      </c>
      <c r="D1664" s="0" t="n">
        <v>5960206.609789125</v>
      </c>
      <c r="E1664" s="0" t="n">
        <v>6.714003402353744e-06</v>
      </c>
      <c r="F1664" s="0" t="n">
        <v>6.643886907248726e-06</v>
      </c>
      <c r="G1664" s="0" t="n">
        <v>7.011649510501746e-08</v>
      </c>
      <c r="H1664" s="0" t="b">
        <v>0</v>
      </c>
    </row>
    <row r="1665">
      <c r="A1665" s="0" t="n">
        <v>164</v>
      </c>
      <c r="B1665" s="0" t="n">
        <v>1</v>
      </c>
      <c r="C1665" s="0" t="n">
        <v>6050000</v>
      </c>
      <c r="D1665" s="0" t="n">
        <v>149909107914.6203</v>
      </c>
      <c r="E1665" s="0" t="n">
        <v>0.0004783898709429871</v>
      </c>
      <c r="F1665" s="0" t="n">
        <v>1.338694819525766e-05</v>
      </c>
      <c r="G1665" s="0" t="n">
        <v>0.0004650029227477295</v>
      </c>
      <c r="H1665" s="0" t="b">
        <v>0</v>
      </c>
    </row>
    <row r="1666">
      <c r="A1666" s="0" t="n">
        <v>164</v>
      </c>
      <c r="B1666" s="0" t="n">
        <v>2</v>
      </c>
      <c r="C1666" s="0" t="n">
        <v>3075000</v>
      </c>
      <c r="D1666" s="0" t="n">
        <v>72930528.36550939</v>
      </c>
      <c r="E1666" s="0" t="n">
        <v>1.50741524631829e-05</v>
      </c>
      <c r="F1666" s="0" t="n">
        <v>1.338694819525765e-05</v>
      </c>
      <c r="G1666" s="0" t="n">
        <v>1.687204267925251e-06</v>
      </c>
      <c r="H1666" s="0" t="b">
        <v>0</v>
      </c>
    </row>
    <row r="1667">
      <c r="A1667" s="0" t="n">
        <v>164</v>
      </c>
      <c r="B1667" s="0" t="n">
        <v>3</v>
      </c>
      <c r="C1667" s="0" t="n">
        <v>1587500</v>
      </c>
      <c r="D1667" s="0" t="n">
        <v>-248838.4758046737</v>
      </c>
      <c r="E1667" s="0" t="n">
        <v>1.032973664083915e-06</v>
      </c>
      <c r="F1667" s="0" t="n">
        <v>1.338694819525765e-05</v>
      </c>
      <c r="G1667" s="0" t="n">
        <v>-1.235397453117373e-05</v>
      </c>
      <c r="H1667" s="0" t="b">
        <v>1</v>
      </c>
    </row>
    <row r="1668">
      <c r="A1668" s="0" t="n">
        <v>164</v>
      </c>
      <c r="B1668" s="0" t="n">
        <v>4</v>
      </c>
      <c r="C1668" s="0" t="n">
        <v>2331250</v>
      </c>
      <c r="D1668" s="0" t="n">
        <v>-3303541.643948393</v>
      </c>
      <c r="E1668" s="0" t="n">
        <v>5.813870842218266e-06</v>
      </c>
      <c r="F1668" s="0" t="n">
        <v>1.338694819525765e-05</v>
      </c>
      <c r="G1668" s="0" t="n">
        <v>-7.573077353039381e-06</v>
      </c>
      <c r="H1668" s="0" t="b">
        <v>1</v>
      </c>
    </row>
    <row r="1669">
      <c r="A1669" s="0" t="n">
        <v>164</v>
      </c>
      <c r="B1669" s="0" t="n">
        <v>5</v>
      </c>
      <c r="C1669" s="0" t="n">
        <v>2703125</v>
      </c>
      <c r="D1669" s="0" t="n">
        <v>-38362822.35320184</v>
      </c>
      <c r="E1669" s="0" t="n">
        <v>9.849694686353464e-06</v>
      </c>
      <c r="F1669" s="0" t="n">
        <v>1.338694819525765e-05</v>
      </c>
      <c r="G1669" s="0" t="n">
        <v>-3.537253508904183e-06</v>
      </c>
      <c r="H1669" s="0" t="b">
        <v>1</v>
      </c>
    </row>
    <row r="1670">
      <c r="A1670" s="0" t="n">
        <v>164</v>
      </c>
      <c r="B1670" s="0" t="n">
        <v>6</v>
      </c>
      <c r="C1670" s="0" t="n">
        <v>2889062.5</v>
      </c>
      <c r="D1670" s="0" t="n">
        <v>-27759274.82855006</v>
      </c>
      <c r="E1670" s="0" t="n">
        <v>1.232353864012833e-05</v>
      </c>
      <c r="F1670" s="0" t="n">
        <v>1.338694819525765e-05</v>
      </c>
      <c r="G1670" s="0" t="n">
        <v>-1.063409555129317e-06</v>
      </c>
      <c r="H1670" s="0" t="b">
        <v>1</v>
      </c>
    </row>
    <row r="1671">
      <c r="A1671" s="0" t="n">
        <v>164</v>
      </c>
      <c r="B1671" s="0" t="n">
        <v>7</v>
      </c>
      <c r="C1671" s="0" t="n">
        <v>2982031.25</v>
      </c>
      <c r="D1671" s="0" t="n">
        <v>9622411.11963642</v>
      </c>
      <c r="E1671" s="0" t="n">
        <v>1.366560191557951e-05</v>
      </c>
      <c r="F1671" s="0" t="n">
        <v>1.338694819525765e-05</v>
      </c>
      <c r="G1671" s="0" t="n">
        <v>2.78653720321866e-07</v>
      </c>
      <c r="H1671" s="0" t="b">
        <v>0</v>
      </c>
    </row>
    <row r="1672">
      <c r="A1672" s="0" t="n">
        <v>164</v>
      </c>
      <c r="B1672" s="0" t="n">
        <v>8</v>
      </c>
      <c r="C1672" s="0" t="n">
        <v>2935546.875</v>
      </c>
      <c r="D1672" s="0" t="n">
        <v>-12130231.76788918</v>
      </c>
      <c r="E1672" s="0" t="n">
        <v>1.298631007903593e-05</v>
      </c>
      <c r="F1672" s="0" t="n">
        <v>1.338694819525765e-05</v>
      </c>
      <c r="G1672" s="0" t="n">
        <v>-4.006381162217141e-07</v>
      </c>
      <c r="H1672" s="0" t="b">
        <v>1</v>
      </c>
    </row>
    <row r="1673">
      <c r="A1673" s="0" t="n">
        <v>164</v>
      </c>
      <c r="B1673" s="0" t="n">
        <v>9</v>
      </c>
      <c r="C1673" s="0" t="n">
        <v>2958789.0625</v>
      </c>
      <c r="D1673" s="0" t="n">
        <v>-2043727.690680744</v>
      </c>
      <c r="E1673" s="0" t="n">
        <v>1.332386103361146e-05</v>
      </c>
      <c r="F1673" s="0" t="n">
        <v>1.338694819525765e-05</v>
      </c>
      <c r="G1673" s="0" t="n">
        <v>-6.308716164618935e-08</v>
      </c>
      <c r="H1673" s="0" t="b">
        <v>1</v>
      </c>
    </row>
    <row r="1674">
      <c r="A1674" s="0" t="n">
        <v>164</v>
      </c>
      <c r="B1674" s="0" t="n">
        <v>10</v>
      </c>
      <c r="C1674" s="0" t="n">
        <v>2970410.15625</v>
      </c>
      <c r="D1674" s="0" t="n">
        <v>3588897.590667412</v>
      </c>
      <c r="E1674" s="0" t="n">
        <v>1.349420326246963e-05</v>
      </c>
      <c r="F1674" s="0" t="n">
        <v>1.338694819525765e-05</v>
      </c>
      <c r="G1674" s="0" t="n">
        <v>1.072550672119865e-07</v>
      </c>
      <c r="H1674" s="0" t="b">
        <v>0</v>
      </c>
    </row>
    <row r="1675">
      <c r="A1675" s="0" t="n">
        <v>164</v>
      </c>
      <c r="B1675" s="0" t="n">
        <v>11</v>
      </c>
      <c r="C1675" s="0" t="n">
        <v>2964599.609375</v>
      </c>
      <c r="D1675" s="0" t="n">
        <v>722827.721345326</v>
      </c>
      <c r="E1675" s="0" t="n">
        <v>1.340890012667308e-05</v>
      </c>
      <c r="F1675" s="0" t="n">
        <v>1.338694819525765e-05</v>
      </c>
      <c r="G1675" s="0" t="n">
        <v>2.195193141543003e-08</v>
      </c>
      <c r="H1675" s="0" t="b">
        <v>0</v>
      </c>
    </row>
    <row r="1676">
      <c r="A1676" s="0" t="n">
        <v>164</v>
      </c>
      <c r="B1676" s="0" t="n">
        <v>12</v>
      </c>
      <c r="C1676" s="0" t="n">
        <v>2967504.8828125</v>
      </c>
      <c r="D1676" s="0" t="n">
        <v>2143367.804528126</v>
      </c>
      <c r="E1676" s="0" t="n">
        <v>1.345151835778045e-05</v>
      </c>
      <c r="F1676" s="0" t="n">
        <v>1.338694819525765e-05</v>
      </c>
      <c r="G1676" s="0" t="n">
        <v>6.457016252280415e-08</v>
      </c>
      <c r="H1676" s="0" t="b">
        <v>0</v>
      </c>
    </row>
    <row r="1677">
      <c r="A1677" s="0" t="n">
        <v>164</v>
      </c>
      <c r="B1677" s="0" t="n">
        <v>13</v>
      </c>
      <c r="C1677" s="0" t="n">
        <v>2968957.51953125</v>
      </c>
      <c r="D1677" s="0" t="n">
        <v>2863026.420445908</v>
      </c>
      <c r="E1677" s="0" t="n">
        <v>1.347285315580223e-05</v>
      </c>
      <c r="F1677" s="0" t="n">
        <v>1.338694819525765e-05</v>
      </c>
      <c r="G1677" s="0" t="n">
        <v>8.590496054458765e-08</v>
      </c>
      <c r="H1677" s="0" t="b">
        <v>0</v>
      </c>
    </row>
    <row r="1678">
      <c r="A1678" s="0" t="n">
        <v>164</v>
      </c>
      <c r="B1678" s="0" t="n">
        <v>14</v>
      </c>
      <c r="C1678" s="0" t="n">
        <v>2970157.51953125</v>
      </c>
      <c r="D1678" s="0" t="n">
        <v>3462224.294728129</v>
      </c>
      <c r="E1678" s="0" t="n">
        <v>1.349048944925976e-05</v>
      </c>
      <c r="F1678" s="0" t="n">
        <v>1.338694819525765e-05</v>
      </c>
      <c r="G1678" s="0" t="n">
        <v>1.035412540021081e-07</v>
      </c>
      <c r="H1678" s="0" t="b">
        <v>0</v>
      </c>
    </row>
    <row r="1679">
      <c r="A1679" s="0" t="n">
        <v>164</v>
      </c>
      <c r="B1679" s="0" t="n">
        <v>15</v>
      </c>
      <c r="C1679" s="0" t="n">
        <v>2969557.51953125</v>
      </c>
      <c r="D1679" s="0" t="n">
        <v>3162071.169000057</v>
      </c>
      <c r="E1679" s="0" t="n">
        <v>1.348166929413412e-05</v>
      </c>
      <c r="F1679" s="0" t="n">
        <v>1.338694819525765e-05</v>
      </c>
      <c r="G1679" s="0" t="n">
        <v>9.47210988764701e-08</v>
      </c>
      <c r="H1679" s="0" t="b">
        <v>0</v>
      </c>
    </row>
    <row r="1680">
      <c r="A1680" s="0" t="n">
        <v>164</v>
      </c>
      <c r="B1680" s="0" t="n">
        <v>16</v>
      </c>
      <c r="C1680" s="0" t="n">
        <v>2968837.51953125</v>
      </c>
      <c r="D1680" s="0" t="n">
        <v>2803321.127986686</v>
      </c>
      <c r="E1680" s="0" t="n">
        <v>1.347108954602037e-05</v>
      </c>
      <c r="F1680" s="0" t="n">
        <v>1.338694819525765e-05</v>
      </c>
      <c r="G1680" s="0" t="n">
        <v>8.414135076271848e-08</v>
      </c>
      <c r="H1680" s="0" t="b">
        <v>0</v>
      </c>
    </row>
    <row r="1681">
      <c r="A1681" s="0" t="n">
        <v>164</v>
      </c>
      <c r="B1681" s="0" t="n">
        <v>17</v>
      </c>
      <c r="C1681" s="0" t="n">
        <v>2969197.51953125</v>
      </c>
      <c r="D1681" s="0" t="n">
        <v>2982524.420880815</v>
      </c>
      <c r="E1681" s="0" t="n">
        <v>1.347637951341768e-05</v>
      </c>
      <c r="F1681" s="0" t="n">
        <v>1.338694819525765e-05</v>
      </c>
      <c r="G1681" s="0" t="n">
        <v>8.943131816003654e-08</v>
      </c>
      <c r="H1681" s="0" t="b">
        <v>0</v>
      </c>
    </row>
    <row r="1682">
      <c r="A1682" s="0" t="n">
        <v>165</v>
      </c>
      <c r="B1682" s="0" t="n">
        <v>1</v>
      </c>
      <c r="C1682" s="0" t="n">
        <v>6050000</v>
      </c>
      <c r="D1682" s="0" t="n">
        <v>116789060349.3244</v>
      </c>
      <c r="E1682" s="0" t="n">
        <v>0.0003928965948807709</v>
      </c>
      <c r="F1682" s="0" t="n">
        <v>1.32430247045165e-05</v>
      </c>
      <c r="G1682" s="0" t="n">
        <v>0.0003796535701762544</v>
      </c>
      <c r="H1682" s="0" t="b">
        <v>0</v>
      </c>
    </row>
    <row r="1683">
      <c r="A1683" s="0" t="n">
        <v>165</v>
      </c>
      <c r="B1683" s="0" t="n">
        <v>2</v>
      </c>
      <c r="C1683" s="0" t="n">
        <v>3075000</v>
      </c>
      <c r="D1683" s="0" t="n">
        <v>-3082538.936849901</v>
      </c>
      <c r="E1683" s="0" t="n">
        <v>1.314801015521899e-05</v>
      </c>
      <c r="F1683" s="0" t="n">
        <v>1.324302470451648e-05</v>
      </c>
      <c r="G1683" s="0" t="n">
        <v>-9.501454929749331e-08</v>
      </c>
      <c r="H1683" s="0" t="b">
        <v>1</v>
      </c>
    </row>
    <row r="1684">
      <c r="A1684" s="0" t="n">
        <v>165</v>
      </c>
      <c r="B1684" s="0" t="n">
        <v>3</v>
      </c>
      <c r="C1684" s="0" t="n">
        <v>4562500</v>
      </c>
      <c r="D1684" s="0" t="n">
        <v>18927432065.9004</v>
      </c>
      <c r="E1684" s="0" t="n">
        <v>0.0001106899809316588</v>
      </c>
      <c r="F1684" s="0" t="n">
        <v>1.324302470451648e-05</v>
      </c>
      <c r="G1684" s="0" t="n">
        <v>9.744695622714236e-05</v>
      </c>
      <c r="H1684" s="0" t="b">
        <v>0</v>
      </c>
    </row>
    <row r="1685">
      <c r="A1685" s="0" t="n">
        <v>165</v>
      </c>
      <c r="B1685" s="0" t="n">
        <v>4</v>
      </c>
      <c r="C1685" s="0" t="n">
        <v>3818750</v>
      </c>
      <c r="D1685" s="0" t="n">
        <v>3771921442.262701</v>
      </c>
      <c r="E1685" s="0" t="n">
        <v>4.292839558033277e-05</v>
      </c>
      <c r="F1685" s="0" t="n">
        <v>1.324302470451648e-05</v>
      </c>
      <c r="G1685" s="0" t="n">
        <v>2.968537087581629e-05</v>
      </c>
      <c r="H1685" s="0" t="b">
        <v>0</v>
      </c>
    </row>
    <row r="1686">
      <c r="A1686" s="0" t="n">
        <v>165</v>
      </c>
      <c r="B1686" s="0" t="n">
        <v>5</v>
      </c>
      <c r="C1686" s="0" t="n">
        <v>3446875</v>
      </c>
      <c r="D1686" s="0" t="n">
        <v>886465839.0371816</v>
      </c>
      <c r="E1686" s="0" t="n">
        <v>2.320617522691819e-05</v>
      </c>
      <c r="F1686" s="0" t="n">
        <v>1.324302470451648e-05</v>
      </c>
      <c r="G1686" s="0" t="n">
        <v>9.96315052240171e-06</v>
      </c>
      <c r="H1686" s="0" t="b">
        <v>0</v>
      </c>
    </row>
    <row r="1687">
      <c r="A1687" s="0" t="n">
        <v>165</v>
      </c>
      <c r="B1687" s="0" t="n">
        <v>6</v>
      </c>
      <c r="C1687" s="0" t="n">
        <v>3260937.5</v>
      </c>
      <c r="D1687" s="0" t="n">
        <v>154631683.1199558</v>
      </c>
      <c r="E1687" s="0" t="n">
        <v>1.623236858807866e-05</v>
      </c>
      <c r="F1687" s="0" t="n">
        <v>1.324302470451648e-05</v>
      </c>
      <c r="G1687" s="0" t="n">
        <v>2.989343883562183e-06</v>
      </c>
      <c r="H1687" s="0" t="b">
        <v>0</v>
      </c>
    </row>
    <row r="1688">
      <c r="A1688" s="0" t="n">
        <v>165</v>
      </c>
      <c r="B1688" s="0" t="n">
        <v>7</v>
      </c>
      <c r="C1688" s="0" t="n">
        <v>3167968.75</v>
      </c>
      <c r="D1688" s="0" t="n">
        <v>49833932.62986287</v>
      </c>
      <c r="E1688" s="0" t="n">
        <v>1.446446965163676e-05</v>
      </c>
      <c r="F1688" s="0" t="n">
        <v>1.324302470451648e-05</v>
      </c>
      <c r="G1688" s="0" t="n">
        <v>1.221444947120275e-06</v>
      </c>
      <c r="H1688" s="0" t="b">
        <v>0</v>
      </c>
    </row>
    <row r="1689">
      <c r="A1689" s="0" t="n">
        <v>165</v>
      </c>
      <c r="B1689" s="0" t="n">
        <v>8</v>
      </c>
      <c r="C1689" s="0" t="n">
        <v>3121484.375</v>
      </c>
      <c r="D1689" s="0" t="n">
        <v>20340298.61574999</v>
      </c>
      <c r="E1689" s="0" t="n">
        <v>1.379886530456412e-05</v>
      </c>
      <c r="F1689" s="0" t="n">
        <v>1.324302470451648e-05</v>
      </c>
      <c r="G1689" s="0" t="n">
        <v>5.558406000476402e-07</v>
      </c>
      <c r="H1689" s="0" t="b">
        <v>0</v>
      </c>
    </row>
    <row r="1690">
      <c r="A1690" s="0" t="n">
        <v>165</v>
      </c>
      <c r="B1690" s="0" t="n">
        <v>9</v>
      </c>
      <c r="C1690" s="0" t="n">
        <v>3098242.1875</v>
      </c>
      <c r="D1690" s="0" t="n">
        <v>7886020.228867273</v>
      </c>
      <c r="E1690" s="0" t="n">
        <v>1.347153630492213e-05</v>
      </c>
      <c r="F1690" s="0" t="n">
        <v>1.324302470451648e-05</v>
      </c>
      <c r="G1690" s="0" t="n">
        <v>2.285116004056451e-07</v>
      </c>
      <c r="H1690" s="0" t="b">
        <v>0</v>
      </c>
    </row>
    <row r="1691">
      <c r="A1691" s="0" t="n">
        <v>165</v>
      </c>
      <c r="B1691" s="0" t="n">
        <v>10</v>
      </c>
      <c r="C1691" s="0" t="n">
        <v>3086621.09375</v>
      </c>
      <c r="D1691" s="0" t="n">
        <v>2218392.346197209</v>
      </c>
      <c r="E1691" s="0" t="n">
        <v>1.330929582482894e-05</v>
      </c>
      <c r="F1691" s="0" t="n">
        <v>1.324302470451648e-05</v>
      </c>
      <c r="G1691" s="0" t="n">
        <v>6.627112031246194e-08</v>
      </c>
      <c r="H1691" s="0" t="b">
        <v>0</v>
      </c>
    </row>
    <row r="1692">
      <c r="A1692" s="0" t="n">
        <v>165</v>
      </c>
      <c r="B1692" s="0" t="n">
        <v>11</v>
      </c>
      <c r="C1692" s="0" t="n">
        <v>3092431.640625</v>
      </c>
      <c r="D1692" s="0" t="n">
        <v>5006056.529440436</v>
      </c>
      <c r="E1692" s="0" t="n">
        <v>1.33902966470225e-05</v>
      </c>
      <c r="F1692" s="0" t="n">
        <v>1.324302470451648e-05</v>
      </c>
      <c r="G1692" s="0" t="n">
        <v>1.472719425060204e-07</v>
      </c>
      <c r="H1692" s="0" t="b">
        <v>0</v>
      </c>
    </row>
    <row r="1693">
      <c r="A1693" s="0" t="n">
        <v>165</v>
      </c>
      <c r="B1693" s="0" t="n">
        <v>12</v>
      </c>
      <c r="C1693" s="0" t="n">
        <v>3089526.3671875</v>
      </c>
      <c r="D1693" s="0" t="n">
        <v>3600736.915527746</v>
      </c>
      <c r="E1693" s="0" t="n">
        <v>1.334976671193794e-05</v>
      </c>
      <c r="F1693" s="0" t="n">
        <v>1.324302470451648e-05</v>
      </c>
      <c r="G1693" s="0" t="n">
        <v>1.067420074214554e-07</v>
      </c>
      <c r="H1693" s="0" t="b">
        <v>0</v>
      </c>
    </row>
    <row r="1694">
      <c r="A1694" s="0" t="n">
        <v>165</v>
      </c>
      <c r="B1694" s="0" t="n">
        <v>13</v>
      </c>
      <c r="C1694" s="0" t="n">
        <v>3088073.73046875</v>
      </c>
      <c r="D1694" s="0" t="n">
        <v>2906674.817575754</v>
      </c>
      <c r="E1694" s="0" t="n">
        <v>1.332952322249146e-05</v>
      </c>
      <c r="F1694" s="0" t="n">
        <v>1.324302470451648e-05</v>
      </c>
      <c r="G1694" s="0" t="n">
        <v>8.64985179749785e-08</v>
      </c>
      <c r="H1694" s="0" t="b">
        <v>0</v>
      </c>
    </row>
    <row r="1695">
      <c r="A1695" s="0" t="n">
        <v>165</v>
      </c>
      <c r="B1695" s="0" t="n">
        <v>14</v>
      </c>
      <c r="C1695" s="0" t="n">
        <v>3088573.73046875</v>
      </c>
      <c r="D1695" s="0" t="n">
        <v>3144916.93714815</v>
      </c>
      <c r="E1695" s="0" t="n">
        <v>1.333648918002039e-05</v>
      </c>
      <c r="F1695" s="0" t="n">
        <v>1.324302470451648e-05</v>
      </c>
      <c r="G1695" s="0" t="n">
        <v>9.346447550391009e-08</v>
      </c>
      <c r="H1695" s="0" t="b">
        <v>0</v>
      </c>
    </row>
    <row r="1696">
      <c r="A1696" s="0" t="n">
        <v>165</v>
      </c>
      <c r="B1696" s="0" t="n">
        <v>15</v>
      </c>
      <c r="C1696" s="0" t="n">
        <v>3088323.73046875</v>
      </c>
      <c r="D1696" s="0" t="n">
        <v>3025710.854244621</v>
      </c>
      <c r="E1696" s="0" t="n">
        <v>1.333300598034167e-05</v>
      </c>
      <c r="F1696" s="0" t="n">
        <v>1.324302470451648e-05</v>
      </c>
      <c r="G1696" s="0" t="n">
        <v>8.998127582518536e-08</v>
      </c>
      <c r="H1696" s="0" t="b">
        <v>0</v>
      </c>
    </row>
    <row r="1697">
      <c r="A1697" s="0" t="n">
        <v>165</v>
      </c>
      <c r="B1697" s="0" t="n">
        <v>16</v>
      </c>
      <c r="C1697" s="0" t="n">
        <v>3088448.73046875</v>
      </c>
      <c r="D1697" s="0" t="n">
        <v>3085292.63693131</v>
      </c>
      <c r="E1697" s="0" t="n">
        <v>1.333474752495543e-05</v>
      </c>
      <c r="F1697" s="0" t="n">
        <v>1.324302470451648e-05</v>
      </c>
      <c r="G1697" s="0" t="n">
        <v>9.172282043895163e-08</v>
      </c>
      <c r="H1697" s="0" t="b">
        <v>0</v>
      </c>
    </row>
    <row r="1698">
      <c r="A1698" s="0" t="n">
        <v>166</v>
      </c>
      <c r="B1698" s="0" t="n">
        <v>1</v>
      </c>
      <c r="C1698" s="0" t="n">
        <v>6050000</v>
      </c>
      <c r="D1698" s="0" t="n">
        <v>36076462815.6829</v>
      </c>
      <c r="E1698" s="0" t="n">
        <v>0.0001620048212596107</v>
      </c>
      <c r="F1698" s="0" t="n">
        <v>1.269142560613403e-05</v>
      </c>
      <c r="G1698" s="0" t="n">
        <v>0.0001493133956534767</v>
      </c>
      <c r="H1698" s="0" t="b">
        <v>0</v>
      </c>
    </row>
    <row r="1699">
      <c r="A1699" s="0" t="n">
        <v>166</v>
      </c>
      <c r="B1699" s="0" t="n">
        <v>2</v>
      </c>
      <c r="C1699" s="0" t="n">
        <v>3075000</v>
      </c>
      <c r="D1699" s="0" t="n">
        <v>-9552224.650708588</v>
      </c>
      <c r="E1699" s="0" t="n">
        <v>6.926680870480504e-06</v>
      </c>
      <c r="F1699" s="0" t="n">
        <v>1.269142560613401e-05</v>
      </c>
      <c r="G1699" s="0" t="n">
        <v>-5.764744735653508e-06</v>
      </c>
      <c r="H1699" s="0" t="b">
        <v>1</v>
      </c>
    </row>
    <row r="1700">
      <c r="A1700" s="0" t="n">
        <v>166</v>
      </c>
      <c r="B1700" s="0" t="n">
        <v>3</v>
      </c>
      <c r="C1700" s="0" t="n">
        <v>4562500</v>
      </c>
      <c r="D1700" s="0" t="n">
        <v>3497363435.524962</v>
      </c>
      <c r="E1700" s="0" t="n">
        <v>3.940132700135616e-05</v>
      </c>
      <c r="F1700" s="0" t="n">
        <v>1.269142560613401e-05</v>
      </c>
      <c r="G1700" s="0" t="n">
        <v>2.670990139522215e-05</v>
      </c>
      <c r="H1700" s="0" t="b">
        <v>0</v>
      </c>
    </row>
    <row r="1701">
      <c r="A1701" s="0" t="n">
        <v>166</v>
      </c>
      <c r="B1701" s="0" t="n">
        <v>4</v>
      </c>
      <c r="C1701" s="0" t="n">
        <v>3818750</v>
      </c>
      <c r="D1701" s="0" t="n">
        <v>69485998.84581681</v>
      </c>
      <c r="E1701" s="0" t="n">
        <v>1.424320459285938e-05</v>
      </c>
      <c r="F1701" s="0" t="n">
        <v>1.269142560613401e-05</v>
      </c>
      <c r="G1701" s="0" t="n">
        <v>1.551778986725366e-06</v>
      </c>
      <c r="H1701" s="0" t="b">
        <v>0</v>
      </c>
    </row>
    <row r="1702">
      <c r="A1702" s="0" t="n">
        <v>166</v>
      </c>
      <c r="B1702" s="0" t="n">
        <v>5</v>
      </c>
      <c r="C1702" s="0" t="n">
        <v>3446875</v>
      </c>
      <c r="D1702" s="0" t="n">
        <v>-41789682.40724166</v>
      </c>
      <c r="E1702" s="0" t="n">
        <v>1.024774453447185e-05</v>
      </c>
      <c r="F1702" s="0" t="n">
        <v>1.269142560613401e-05</v>
      </c>
      <c r="G1702" s="0" t="n">
        <v>-2.443681071662163e-06</v>
      </c>
      <c r="H1702" s="0" t="b">
        <v>1</v>
      </c>
    </row>
    <row r="1703">
      <c r="A1703" s="0" t="n">
        <v>166</v>
      </c>
      <c r="B1703" s="0" t="n">
        <v>6</v>
      </c>
      <c r="C1703" s="0" t="n">
        <v>3632812.5</v>
      </c>
      <c r="D1703" s="0" t="n">
        <v>-15962475.81370169</v>
      </c>
      <c r="E1703" s="0" t="n">
        <v>1.216688984207691e-05</v>
      </c>
      <c r="F1703" s="0" t="n">
        <v>1.269142560613401e-05</v>
      </c>
      <c r="G1703" s="0" t="n">
        <v>-5.245357640571056e-07</v>
      </c>
      <c r="H1703" s="0" t="b">
        <v>1</v>
      </c>
    </row>
    <row r="1704">
      <c r="A1704" s="0" t="n">
        <v>166</v>
      </c>
      <c r="B1704" s="0" t="n">
        <v>7</v>
      </c>
      <c r="C1704" s="0" t="n">
        <v>3725781.25</v>
      </c>
      <c r="D1704" s="0" t="n">
        <v>18564423.26580342</v>
      </c>
      <c r="E1704" s="0" t="n">
        <v>1.318617104969038e-05</v>
      </c>
      <c r="F1704" s="0" t="n">
        <v>1.269142560613401e-05</v>
      </c>
      <c r="G1704" s="0" t="n">
        <v>4.947454435563705e-07</v>
      </c>
      <c r="H1704" s="0" t="b">
        <v>0</v>
      </c>
    </row>
    <row r="1705">
      <c r="A1705" s="0" t="n">
        <v>166</v>
      </c>
      <c r="B1705" s="0" t="n">
        <v>8</v>
      </c>
      <c r="C1705" s="0" t="n">
        <v>3679296.875</v>
      </c>
      <c r="D1705" s="0" t="n">
        <v>-666847.0215916494</v>
      </c>
      <c r="E1705" s="0" t="n">
        <v>1.267178534290225e-05</v>
      </c>
      <c r="F1705" s="0" t="n">
        <v>1.269142560613401e-05</v>
      </c>
      <c r="G1705" s="0" t="n">
        <v>-1.964026323176498e-08</v>
      </c>
      <c r="H1705" s="0" t="b">
        <v>1</v>
      </c>
    </row>
    <row r="1706">
      <c r="A1706" s="0" t="n">
        <v>166</v>
      </c>
      <c r="B1706" s="0" t="n">
        <v>9</v>
      </c>
      <c r="C1706" s="0" t="n">
        <v>3702539.0625</v>
      </c>
      <c r="D1706" s="0" t="n">
        <v>8447544.993012192</v>
      </c>
      <c r="E1706" s="0" t="n">
        <v>1.292783397741075e-05</v>
      </c>
      <c r="F1706" s="0" t="n">
        <v>1.269142560613401e-05</v>
      </c>
      <c r="G1706" s="0" t="n">
        <v>2.364083712767366e-07</v>
      </c>
      <c r="H1706" s="0" t="b">
        <v>0</v>
      </c>
    </row>
    <row r="1707">
      <c r="A1707" s="0" t="n">
        <v>166</v>
      </c>
      <c r="B1707" s="0" t="n">
        <v>10</v>
      </c>
      <c r="C1707" s="0" t="n">
        <v>3690917.96875</v>
      </c>
      <c r="D1707" s="0" t="n">
        <v>3766970.384969764</v>
      </c>
      <c r="E1707" s="0" t="n">
        <v>1.279954230931831e-05</v>
      </c>
      <c r="F1707" s="0" t="n">
        <v>1.269142560613401e-05</v>
      </c>
      <c r="G1707" s="0" t="n">
        <v>1.081167031843017e-07</v>
      </c>
      <c r="H1707" s="0" t="b">
        <v>0</v>
      </c>
    </row>
    <row r="1708">
      <c r="A1708" s="0" t="n">
        <v>166</v>
      </c>
      <c r="B1708" s="0" t="n">
        <v>11</v>
      </c>
      <c r="C1708" s="0" t="n">
        <v>3685107.421875</v>
      </c>
      <c r="D1708" s="0" t="n">
        <v>1519053.813737005</v>
      </c>
      <c r="E1708" s="0" t="n">
        <v>1.273558799854781e-05</v>
      </c>
      <c r="F1708" s="0" t="n">
        <v>1.269142560613401e-05</v>
      </c>
      <c r="G1708" s="0" t="n">
        <v>4.416239241380131e-08</v>
      </c>
      <c r="H1708" s="0" t="b">
        <v>0</v>
      </c>
    </row>
    <row r="1709">
      <c r="A1709" s="0" t="n">
        <v>166</v>
      </c>
      <c r="B1709" s="0" t="n">
        <v>12</v>
      </c>
      <c r="C1709" s="0" t="n">
        <v>3688012.6953125</v>
      </c>
      <c r="D1709" s="0" t="n">
        <v>2635218.108987359</v>
      </c>
      <c r="E1709" s="0" t="n">
        <v>1.276754561959434e-05</v>
      </c>
      <c r="F1709" s="0" t="n">
        <v>1.269142560613401e-05</v>
      </c>
      <c r="G1709" s="0" t="n">
        <v>7.612001346032478e-08</v>
      </c>
      <c r="H1709" s="0" t="b">
        <v>0</v>
      </c>
    </row>
    <row r="1710">
      <c r="A1710" s="0" t="n">
        <v>166</v>
      </c>
      <c r="B1710" s="0" t="n">
        <v>13</v>
      </c>
      <c r="C1710" s="0" t="n">
        <v>3689465.33203125</v>
      </c>
      <c r="D1710" s="0" t="n">
        <v>3199138.298176436</v>
      </c>
      <c r="E1710" s="0" t="n">
        <v>1.278353894938363e-05</v>
      </c>
      <c r="F1710" s="0" t="n">
        <v>1.269142560613401e-05</v>
      </c>
      <c r="G1710" s="0" t="n">
        <v>9.211334324961823e-08</v>
      </c>
      <c r="H1710" s="0" t="b">
        <v>0</v>
      </c>
    </row>
    <row r="1711">
      <c r="A1711" s="0" t="n">
        <v>166</v>
      </c>
      <c r="B1711" s="0" t="n">
        <v>14</v>
      </c>
      <c r="C1711" s="0" t="n">
        <v>3690665.33203125</v>
      </c>
      <c r="D1711" s="0" t="n">
        <v>3667919.703731856</v>
      </c>
      <c r="E1711" s="0" t="n">
        <v>1.279675794529488e-05</v>
      </c>
      <c r="F1711" s="0" t="n">
        <v>1.269142560613401e-05</v>
      </c>
      <c r="G1711" s="0" t="n">
        <v>1.053323391608636e-07</v>
      </c>
      <c r="H1711" s="0" t="b">
        <v>0</v>
      </c>
    </row>
    <row r="1712">
      <c r="A1712" s="0" t="n">
        <v>167</v>
      </c>
      <c r="B1712" s="0" t="n">
        <v>1</v>
      </c>
      <c r="C1712" s="0" t="n">
        <v>6050000</v>
      </c>
      <c r="D1712" s="0" t="n">
        <v>38654994531.12931</v>
      </c>
      <c r="E1712" s="0" t="n">
        <v>0.0001698726923006293</v>
      </c>
      <c r="F1712" s="0" t="n">
        <v>1.269142560613403e-05</v>
      </c>
      <c r="G1712" s="0" t="n">
        <v>0.0001571812666944953</v>
      </c>
      <c r="H1712" s="0" t="b">
        <v>0</v>
      </c>
    </row>
    <row r="1713">
      <c r="A1713" s="0" t="n">
        <v>167</v>
      </c>
      <c r="B1713" s="0" t="n">
        <v>2</v>
      </c>
      <c r="C1713" s="0" t="n">
        <v>3075000</v>
      </c>
      <c r="D1713" s="0" t="n">
        <v>-11351056.75211855</v>
      </c>
      <c r="E1713" s="0" t="n">
        <v>7.166996200631131e-06</v>
      </c>
      <c r="F1713" s="0" t="n">
        <v>1.269142560613401e-05</v>
      </c>
      <c r="G1713" s="0" t="n">
        <v>-5.524429405502882e-06</v>
      </c>
      <c r="H1713" s="0" t="b">
        <v>1</v>
      </c>
    </row>
    <row r="1714">
      <c r="A1714" s="0" t="n">
        <v>167</v>
      </c>
      <c r="B1714" s="0" t="n">
        <v>3</v>
      </c>
      <c r="C1714" s="0" t="n">
        <v>4562500</v>
      </c>
      <c r="D1714" s="0" t="n">
        <v>3912688736.825793</v>
      </c>
      <c r="E1714" s="0" t="n">
        <v>4.171074795272407e-05</v>
      </c>
      <c r="F1714" s="0" t="n">
        <v>1.269142560613401e-05</v>
      </c>
      <c r="G1714" s="0" t="n">
        <v>2.901932234659006e-05</v>
      </c>
      <c r="H1714" s="0" t="b">
        <v>0</v>
      </c>
    </row>
    <row r="1715">
      <c r="A1715" s="0" t="n">
        <v>167</v>
      </c>
      <c r="B1715" s="0" t="n">
        <v>4</v>
      </c>
      <c r="C1715" s="0" t="n">
        <v>3818750</v>
      </c>
      <c r="D1715" s="0" t="n">
        <v>95304993.02229416</v>
      </c>
      <c r="E1715" s="0" t="n">
        <v>1.468611874860168e-05</v>
      </c>
      <c r="F1715" s="0" t="n">
        <v>1.269142560613401e-05</v>
      </c>
      <c r="G1715" s="0" t="n">
        <v>1.994693142467666e-06</v>
      </c>
      <c r="H1715" s="0" t="b">
        <v>0</v>
      </c>
    </row>
    <row r="1716">
      <c r="A1716" s="0" t="n">
        <v>167</v>
      </c>
      <c r="B1716" s="0" t="n">
        <v>5</v>
      </c>
      <c r="C1716" s="0" t="n">
        <v>3446875</v>
      </c>
      <c r="D1716" s="0" t="n">
        <v>-40884376.90789524</v>
      </c>
      <c r="E1716" s="0" t="n">
        <v>1.058566926379516e-05</v>
      </c>
      <c r="F1716" s="0" t="n">
        <v>1.269142560613401e-05</v>
      </c>
      <c r="G1716" s="0" t="n">
        <v>-2.105756342338851e-06</v>
      </c>
      <c r="H1716" s="0" t="b">
        <v>1</v>
      </c>
    </row>
    <row r="1717">
      <c r="A1717" s="0" t="n">
        <v>167</v>
      </c>
      <c r="B1717" s="0" t="n">
        <v>6</v>
      </c>
      <c r="C1717" s="0" t="n">
        <v>3632812.5</v>
      </c>
      <c r="D1717" s="0" t="n">
        <v>-4468522.009862361</v>
      </c>
      <c r="E1717" s="0" t="n">
        <v>1.25566332098293e-05</v>
      </c>
      <c r="F1717" s="0" t="n">
        <v>1.269142560613401e-05</v>
      </c>
      <c r="G1717" s="0" t="n">
        <v>-1.347923963047124e-07</v>
      </c>
      <c r="H1717" s="0" t="b">
        <v>1</v>
      </c>
    </row>
    <row r="1718">
      <c r="A1718" s="0" t="n">
        <v>167</v>
      </c>
      <c r="B1718" s="0" t="n">
        <v>7</v>
      </c>
      <c r="C1718" s="0" t="n">
        <v>3725781.25</v>
      </c>
      <c r="D1718" s="0" t="n">
        <v>36792711.79664893</v>
      </c>
      <c r="E1718" s="0" t="n">
        <v>1.360227865747791e-05</v>
      </c>
      <c r="F1718" s="0" t="n">
        <v>1.269142560613401e-05</v>
      </c>
      <c r="G1718" s="0" t="n">
        <v>9.108530513438929e-07</v>
      </c>
      <c r="H1718" s="0" t="b">
        <v>0</v>
      </c>
    </row>
    <row r="1719">
      <c r="A1719" s="0" t="n">
        <v>167</v>
      </c>
      <c r="B1719" s="0" t="n">
        <v>8</v>
      </c>
      <c r="C1719" s="0" t="n">
        <v>3679296.875</v>
      </c>
      <c r="D1719" s="0" t="n">
        <v>14086800.9162418</v>
      </c>
      <c r="E1719" s="0" t="n">
        <v>1.30747238379997e-05</v>
      </c>
      <c r="F1719" s="0" t="n">
        <v>1.269142560613401e-05</v>
      </c>
      <c r="G1719" s="0" t="n">
        <v>3.832982318656891e-07</v>
      </c>
      <c r="H1719" s="0" t="b">
        <v>0</v>
      </c>
    </row>
    <row r="1720">
      <c r="A1720" s="0" t="n">
        <v>167</v>
      </c>
      <c r="B1720" s="0" t="n">
        <v>9</v>
      </c>
      <c r="C1720" s="0" t="n">
        <v>3656054.6875</v>
      </c>
      <c r="D1720" s="0" t="n">
        <v>4299231.509438351</v>
      </c>
      <c r="E1720" s="0" t="n">
        <v>1.281445291320244e-05</v>
      </c>
      <c r="F1720" s="0" t="n">
        <v>1.269142560613401e-05</v>
      </c>
      <c r="G1720" s="0" t="n">
        <v>1.23027307068428e-07</v>
      </c>
      <c r="H1720" s="0" t="b">
        <v>0</v>
      </c>
    </row>
    <row r="1721">
      <c r="A1721" s="0" t="n">
        <v>167</v>
      </c>
      <c r="B1721" s="0" t="n">
        <v>10</v>
      </c>
      <c r="C1721" s="0" t="n">
        <v>3644433.59375</v>
      </c>
      <c r="D1721" s="0" t="n">
        <v>-210892.0280781543</v>
      </c>
      <c r="E1721" s="0" t="n">
        <v>1.268523139653909e-05</v>
      </c>
      <c r="F1721" s="0" t="n">
        <v>1.269142560613401e-05</v>
      </c>
      <c r="G1721" s="0" t="n">
        <v>-6.194209594918355e-09</v>
      </c>
      <c r="H1721" s="0" t="b">
        <v>1</v>
      </c>
    </row>
    <row r="1722">
      <c r="A1722" s="0" t="n">
        <v>167</v>
      </c>
      <c r="B1722" s="0" t="n">
        <v>11</v>
      </c>
      <c r="C1722" s="0" t="n">
        <v>3650244.140625</v>
      </c>
      <c r="D1722" s="0" t="n">
        <v>2012418.674594612</v>
      </c>
      <c r="E1722" s="0" t="n">
        <v>1.274976402497958e-05</v>
      </c>
      <c r="F1722" s="0" t="n">
        <v>1.269142560613401e-05</v>
      </c>
      <c r="G1722" s="0" t="n">
        <v>5.833841884557114e-08</v>
      </c>
      <c r="H1722" s="0" t="b">
        <v>0</v>
      </c>
    </row>
    <row r="1723">
      <c r="A1723" s="0" t="n">
        <v>167</v>
      </c>
      <c r="B1723" s="0" t="n">
        <v>12</v>
      </c>
      <c r="C1723" s="0" t="n">
        <v>3653149.4140625</v>
      </c>
      <c r="D1723" s="0" t="n">
        <v>3147886.82705513</v>
      </c>
      <c r="E1723" s="0" t="n">
        <v>1.278208956215877e-05</v>
      </c>
      <c r="F1723" s="0" t="n">
        <v>1.269142560613401e-05</v>
      </c>
      <c r="G1723" s="0" t="n">
        <v>9.06639560247621e-08</v>
      </c>
      <c r="H1723" s="0" t="b">
        <v>0</v>
      </c>
    </row>
    <row r="1724">
      <c r="A1724" s="0" t="n">
        <v>167</v>
      </c>
      <c r="B1724" s="0" t="n">
        <v>13</v>
      </c>
      <c r="C1724" s="0" t="n">
        <v>3654602.05078125</v>
      </c>
      <c r="D1724" s="0" t="n">
        <v>3721557.695069661</v>
      </c>
      <c r="E1724" s="0" t="n">
        <v>1.279826611184952e-05</v>
      </c>
      <c r="F1724" s="0" t="n">
        <v>1.269142560613401e-05</v>
      </c>
      <c r="G1724" s="0" t="n">
        <v>1.068405057155034e-07</v>
      </c>
      <c r="H1724" s="0" t="b">
        <v>0</v>
      </c>
    </row>
    <row r="1725">
      <c r="A1725" s="0" t="n">
        <v>167</v>
      </c>
      <c r="B1725" s="0" t="n">
        <v>14</v>
      </c>
      <c r="C1725" s="0" t="n">
        <v>3654102.05078125</v>
      </c>
      <c r="D1725" s="0" t="n">
        <v>3523662.367403784</v>
      </c>
      <c r="E1725" s="0" t="n">
        <v>1.279269737149109e-05</v>
      </c>
      <c r="F1725" s="0" t="n">
        <v>1.269142560613401e-05</v>
      </c>
      <c r="G1725" s="0" t="n">
        <v>1.012717653570796e-07</v>
      </c>
      <c r="H1725" s="0" t="b">
        <v>0</v>
      </c>
    </row>
    <row r="1726">
      <c r="A1726" s="0" t="n">
        <v>167</v>
      </c>
      <c r="B1726" s="0" t="n">
        <v>15</v>
      </c>
      <c r="C1726" s="0" t="n">
        <v>3654352.05078125</v>
      </c>
      <c r="D1726" s="0" t="n">
        <v>3622560.593970525</v>
      </c>
      <c r="E1726" s="0" t="n">
        <v>1.279548186620126e-05</v>
      </c>
      <c r="F1726" s="0" t="n">
        <v>1.269142560613401e-05</v>
      </c>
      <c r="G1726" s="0" t="n">
        <v>1.04056260067244e-07</v>
      </c>
      <c r="H1726" s="0" t="b">
        <v>0</v>
      </c>
    </row>
    <row r="1727">
      <c r="A1727" s="0" t="n">
        <v>168</v>
      </c>
      <c r="B1727" s="0" t="n">
        <v>1</v>
      </c>
      <c r="C1727" s="0" t="n">
        <v>6050000</v>
      </c>
      <c r="D1727" s="0" t="n">
        <v>646841186.6181664</v>
      </c>
      <c r="E1727" s="0" t="n">
        <v>1.792723555063881e-05</v>
      </c>
      <c r="F1727" s="0" t="n">
        <v>1.113114932207177e-05</v>
      </c>
      <c r="G1727" s="0" t="n">
        <v>6.796086228567037e-06</v>
      </c>
      <c r="H1727" s="0" t="b">
        <v>0</v>
      </c>
    </row>
    <row r="1728">
      <c r="A1728" s="0" t="n">
        <v>168</v>
      </c>
      <c r="B1728" s="0" t="n">
        <v>2</v>
      </c>
      <c r="C1728" s="0" t="n">
        <v>3075000</v>
      </c>
      <c r="D1728" s="0" t="n">
        <v>-357261.7176848019</v>
      </c>
      <c r="E1728" s="0" t="n">
        <v>1.48189170846354e-06</v>
      </c>
      <c r="F1728" s="0" t="n">
        <v>1.113114932207177e-05</v>
      </c>
      <c r="G1728" s="0" t="n">
        <v>-9.649257613608234e-06</v>
      </c>
      <c r="H1728" s="0" t="b">
        <v>1</v>
      </c>
    </row>
    <row r="1729">
      <c r="A1729" s="0" t="n">
        <v>168</v>
      </c>
      <c r="B1729" s="0" t="n">
        <v>3</v>
      </c>
      <c r="C1729" s="0" t="n">
        <v>4562500</v>
      </c>
      <c r="D1729" s="0" t="n">
        <v>-12463632.76497545</v>
      </c>
      <c r="E1729" s="0" t="n">
        <v>6.482262702803877e-06</v>
      </c>
      <c r="F1729" s="0" t="n">
        <v>1.113114932207177e-05</v>
      </c>
      <c r="G1729" s="0" t="n">
        <v>-4.648886619267897e-06</v>
      </c>
      <c r="H1729" s="0" t="b">
        <v>1</v>
      </c>
    </row>
    <row r="1730">
      <c r="A1730" s="0" t="n">
        <v>168</v>
      </c>
      <c r="B1730" s="0" t="n">
        <v>4</v>
      </c>
      <c r="C1730" s="0" t="n">
        <v>5306250</v>
      </c>
      <c r="D1730" s="0" t="n">
        <v>-15053272.58060847</v>
      </c>
      <c r="E1730" s="0" t="n">
        <v>1.067990497241327e-05</v>
      </c>
      <c r="F1730" s="0" t="n">
        <v>1.113114932207177e-05</v>
      </c>
      <c r="G1730" s="0" t="n">
        <v>-4.512443496585078e-07</v>
      </c>
      <c r="H1730" s="0" t="b">
        <v>1</v>
      </c>
    </row>
    <row r="1731">
      <c r="A1731" s="0" t="n">
        <v>168</v>
      </c>
      <c r="B1731" s="0" t="n">
        <v>5</v>
      </c>
      <c r="C1731" s="0" t="n">
        <v>5678125</v>
      </c>
      <c r="D1731" s="0" t="n">
        <v>112517490.446835</v>
      </c>
      <c r="E1731" s="0" t="n">
        <v>1.315869406128518e-05</v>
      </c>
      <c r="F1731" s="0" t="n">
        <v>1.113114932207177e-05</v>
      </c>
      <c r="G1731" s="0" t="n">
        <v>2.027544739213409e-06</v>
      </c>
      <c r="H1731" s="0" t="b">
        <v>0</v>
      </c>
    </row>
    <row r="1732">
      <c r="A1732" s="0" t="n">
        <v>168</v>
      </c>
      <c r="B1732" s="0" t="n">
        <v>6</v>
      </c>
      <c r="C1732" s="0" t="n">
        <v>5492187.5</v>
      </c>
      <c r="D1732" s="0" t="n">
        <v>33610922.16804205</v>
      </c>
      <c r="E1732" s="0" t="n">
        <v>1.189062730538655e-05</v>
      </c>
      <c r="F1732" s="0" t="n">
        <v>1.113114932207177e-05</v>
      </c>
      <c r="G1732" s="0" t="n">
        <v>7.594779833147807e-07</v>
      </c>
      <c r="H1732" s="0" t="b">
        <v>0</v>
      </c>
    </row>
    <row r="1733">
      <c r="A1733" s="0" t="n">
        <v>168</v>
      </c>
      <c r="B1733" s="0" t="n">
        <v>7</v>
      </c>
      <c r="C1733" s="0" t="n">
        <v>5399218.75</v>
      </c>
      <c r="D1733" s="0" t="n">
        <v>5685689.271842706</v>
      </c>
      <c r="E1733" s="0" t="n">
        <v>1.12778684257453e-05</v>
      </c>
      <c r="F1733" s="0" t="n">
        <v>1.113114932207177e-05</v>
      </c>
      <c r="G1733" s="0" t="n">
        <v>1.46719103673526e-07</v>
      </c>
      <c r="H1733" s="0" t="b">
        <v>0</v>
      </c>
    </row>
    <row r="1734">
      <c r="A1734" s="0" t="n">
        <v>168</v>
      </c>
      <c r="B1734" s="0" t="n">
        <v>8</v>
      </c>
      <c r="C1734" s="0" t="n">
        <v>5352734.375</v>
      </c>
      <c r="D1734" s="0" t="n">
        <v>-5554114.36666587</v>
      </c>
      <c r="E1734" s="0" t="n">
        <v>1.097704173171767e-05</v>
      </c>
      <c r="F1734" s="0" t="n">
        <v>1.113114932207177e-05</v>
      </c>
      <c r="G1734" s="0" t="n">
        <v>-1.541075903541035e-07</v>
      </c>
      <c r="H1734" s="0" t="b">
        <v>1</v>
      </c>
    </row>
    <row r="1735">
      <c r="A1735" s="0" t="n">
        <v>168</v>
      </c>
      <c r="B1735" s="0" t="n">
        <v>9</v>
      </c>
      <c r="C1735" s="0" t="n">
        <v>5375976.5625</v>
      </c>
      <c r="D1735" s="0" t="n">
        <v>-155217.4846246233</v>
      </c>
      <c r="E1735" s="0" t="n">
        <v>1.112699831995553e-05</v>
      </c>
      <c r="F1735" s="0" t="n">
        <v>1.113114932207177e-05</v>
      </c>
      <c r="G1735" s="0" t="n">
        <v>-4.151002116245772e-09</v>
      </c>
      <c r="H1735" s="0" t="b">
        <v>1</v>
      </c>
    </row>
    <row r="1736">
      <c r="A1736" s="0" t="n">
        <v>168</v>
      </c>
      <c r="B1736" s="0" t="n">
        <v>10</v>
      </c>
      <c r="C1736" s="0" t="n">
        <v>5387597.65625</v>
      </c>
      <c r="D1736" s="0" t="n">
        <v>2709423.009947181</v>
      </c>
      <c r="E1736" s="0" t="n">
        <v>1.12023158505867e-05</v>
      </c>
      <c r="F1736" s="0" t="n">
        <v>1.113114932207177e-05</v>
      </c>
      <c r="G1736" s="0" t="n">
        <v>7.116652851493078e-08</v>
      </c>
      <c r="H1736" s="0" t="b">
        <v>0</v>
      </c>
    </row>
    <row r="1737">
      <c r="A1737" s="0" t="n">
        <v>168</v>
      </c>
      <c r="B1737" s="0" t="n">
        <v>11</v>
      </c>
      <c r="C1737" s="0" t="n">
        <v>5393408.203125</v>
      </c>
      <c r="D1737" s="0" t="n">
        <v>4183543.620424442</v>
      </c>
      <c r="E1737" s="0" t="n">
        <v>1.124006265072325e-05</v>
      </c>
      <c r="F1737" s="0" t="n">
        <v>1.113114932207177e-05</v>
      </c>
      <c r="G1737" s="0" t="n">
        <v>1.089133286514776e-07</v>
      </c>
      <c r="H1737" s="0" t="b">
        <v>0</v>
      </c>
    </row>
    <row r="1738">
      <c r="A1738" s="0" t="n">
        <v>168</v>
      </c>
      <c r="B1738" s="0" t="n">
        <v>12</v>
      </c>
      <c r="C1738" s="0" t="n">
        <v>5396313.4765625</v>
      </c>
      <c r="D1738" s="0" t="n">
        <v>4931100.28288074</v>
      </c>
      <c r="E1738" s="0" t="n">
        <v>1.125895801130979e-05</v>
      </c>
      <c r="F1738" s="0" t="n">
        <v>1.113114932207177e-05</v>
      </c>
      <c r="G1738" s="0" t="n">
        <v>1.278086892380183e-07</v>
      </c>
      <c r="H1738" s="0" t="b">
        <v>0</v>
      </c>
    </row>
    <row r="1739">
      <c r="A1739" s="0" t="n">
        <v>168</v>
      </c>
      <c r="B1739" s="0" t="n">
        <v>13</v>
      </c>
      <c r="C1739" s="0" t="n">
        <v>5397766.11328125</v>
      </c>
      <c r="D1739" s="0" t="n">
        <v>5307508.437557564</v>
      </c>
      <c r="E1739" s="0" t="n">
        <v>1.126841117583867e-05</v>
      </c>
      <c r="F1739" s="0" t="n">
        <v>1.113114932207177e-05</v>
      </c>
      <c r="G1739" s="0" t="n">
        <v>1.37261853766896e-07</v>
      </c>
      <c r="H1739" s="0" t="b">
        <v>0</v>
      </c>
    </row>
    <row r="1740">
      <c r="A1740" s="0" t="n">
        <v>168</v>
      </c>
      <c r="B1740" s="0" t="n">
        <v>14</v>
      </c>
      <c r="C1740" s="0" t="n">
        <v>5398966.11328125</v>
      </c>
      <c r="D1740" s="0" t="n">
        <v>5619794.408807024</v>
      </c>
      <c r="E1740" s="0" t="n">
        <v>1.127622347154186e-05</v>
      </c>
      <c r="F1740" s="0" t="n">
        <v>1.113114932207177e-05</v>
      </c>
      <c r="G1740" s="0" t="n">
        <v>1.450741494700836e-07</v>
      </c>
      <c r="H1740" s="0" t="b">
        <v>0</v>
      </c>
    </row>
    <row r="1741">
      <c r="A1741" s="0" t="n">
        <v>168</v>
      </c>
      <c r="B1741" s="0" t="n">
        <v>15</v>
      </c>
      <c r="C1741" s="0" t="n">
        <v>5398366.11328125</v>
      </c>
      <c r="D1741" s="0" t="n">
        <v>5463492.990729507</v>
      </c>
      <c r="E1741" s="0" t="n">
        <v>1.127231679637191e-05</v>
      </c>
      <c r="F1741" s="0" t="n">
        <v>1.113114932207177e-05</v>
      </c>
      <c r="G1741" s="0" t="n">
        <v>1.411674743001334e-07</v>
      </c>
      <c r="H1741" s="0" t="b">
        <v>0</v>
      </c>
    </row>
    <row r="1742">
      <c r="A1742" s="0" t="n">
        <v>168</v>
      </c>
      <c r="B1742" s="0" t="n">
        <v>16</v>
      </c>
      <c r="C1742" s="0" t="n">
        <v>5397646.11328125</v>
      </c>
      <c r="D1742" s="0" t="n">
        <v>5276364.65826752</v>
      </c>
      <c r="E1742" s="0" t="n">
        <v>1.126763055748981e-05</v>
      </c>
      <c r="F1742" s="0" t="n">
        <v>1.113114932207177e-05</v>
      </c>
      <c r="G1742" s="0" t="n">
        <v>1.364812354180363e-07</v>
      </c>
      <c r="H1742" s="0" t="b">
        <v>0</v>
      </c>
    </row>
    <row r="1743">
      <c r="A1743" s="0" t="n">
        <v>168</v>
      </c>
      <c r="B1743" s="0" t="n">
        <v>17</v>
      </c>
      <c r="C1743" s="0" t="n">
        <v>5398006.11328125</v>
      </c>
      <c r="D1743" s="0" t="n">
        <v>5369883.528689428</v>
      </c>
      <c r="E1743" s="0" t="n">
        <v>1.126997378032779e-05</v>
      </c>
      <c r="F1743" s="0" t="n">
        <v>1.113114932207177e-05</v>
      </c>
      <c r="G1743" s="0" t="n">
        <v>1.388244582560138e-07</v>
      </c>
      <c r="H1743" s="0" t="b">
        <v>0</v>
      </c>
    </row>
    <row r="1744">
      <c r="A1744" s="0" t="n">
        <v>169</v>
      </c>
      <c r="B1744" s="0" t="n">
        <v>1</v>
      </c>
      <c r="C1744" s="0" t="n">
        <v>6050000</v>
      </c>
      <c r="D1744" s="0" t="n">
        <v>838952094.2091556</v>
      </c>
      <c r="E1744" s="0" t="n">
        <v>1.9147567622394e-05</v>
      </c>
      <c r="F1744" s="0" t="n">
        <v>1.113114932207177e-05</v>
      </c>
      <c r="G1744" s="0" t="n">
        <v>8.016418300322231e-06</v>
      </c>
      <c r="H1744" s="0" t="b">
        <v>0</v>
      </c>
    </row>
    <row r="1745">
      <c r="A1745" s="0" t="n">
        <v>169</v>
      </c>
      <c r="B1745" s="0" t="n">
        <v>2</v>
      </c>
      <c r="C1745" s="0" t="n">
        <v>3075000</v>
      </c>
      <c r="D1745" s="0" t="n">
        <v>-373730.0326611738</v>
      </c>
      <c r="E1745" s="0" t="n">
        <v>1.573044845435466e-06</v>
      </c>
      <c r="F1745" s="0" t="n">
        <v>1.113114932207178e-05</v>
      </c>
      <c r="G1745" s="0" t="n">
        <v>-9.558104476636309e-06</v>
      </c>
      <c r="H1745" s="0" t="b">
        <v>1</v>
      </c>
    </row>
    <row r="1746">
      <c r="A1746" s="0" t="n">
        <v>169</v>
      </c>
      <c r="B1746" s="0" t="n">
        <v>3</v>
      </c>
      <c r="C1746" s="0" t="n">
        <v>4562500</v>
      </c>
      <c r="D1746" s="0" t="n">
        <v>-14880772.93141172</v>
      </c>
      <c r="E1746" s="0" t="n">
        <v>6.724205746088452e-06</v>
      </c>
      <c r="F1746" s="0" t="n">
        <v>1.113114932207177e-05</v>
      </c>
      <c r="G1746" s="0" t="n">
        <v>-4.406943575983322e-06</v>
      </c>
      <c r="H1746" s="0" t="b">
        <v>1</v>
      </c>
    </row>
    <row r="1747">
      <c r="A1747" s="0" t="n">
        <v>169</v>
      </c>
      <c r="B1747" s="0" t="n">
        <v>4</v>
      </c>
      <c r="C1747" s="0" t="n">
        <v>5306250</v>
      </c>
      <c r="D1747" s="0" t="n">
        <v>-3036385.303827175</v>
      </c>
      <c r="E1747" s="0" t="n">
        <v>1.104837771380966e-05</v>
      </c>
      <c r="F1747" s="0" t="n">
        <v>1.113114932207177e-05</v>
      </c>
      <c r="G1747" s="0" t="n">
        <v>-8.277160826211244e-08</v>
      </c>
      <c r="H1747" s="0" t="b">
        <v>1</v>
      </c>
    </row>
    <row r="1748">
      <c r="A1748" s="0" t="n">
        <v>169</v>
      </c>
      <c r="B1748" s="0" t="n">
        <v>5</v>
      </c>
      <c r="C1748" s="0" t="n">
        <v>5678125</v>
      </c>
      <c r="D1748" s="0" t="n">
        <v>145971706.482453</v>
      </c>
      <c r="E1748" s="0" t="n">
        <v>1.359326576066204e-05</v>
      </c>
      <c r="F1748" s="0" t="n">
        <v>1.113114932207177e-05</v>
      </c>
      <c r="G1748" s="0" t="n">
        <v>2.462116438590265e-06</v>
      </c>
      <c r="H1748" s="0" t="b">
        <v>0</v>
      </c>
    </row>
    <row r="1749">
      <c r="A1749" s="0" t="n">
        <v>169</v>
      </c>
      <c r="B1749" s="0" t="n">
        <v>6</v>
      </c>
      <c r="C1749" s="0" t="n">
        <v>5492187.5</v>
      </c>
      <c r="D1749" s="0" t="n">
        <v>55533001.25526801</v>
      </c>
      <c r="E1749" s="0" t="n">
        <v>1.22920081608901e-05</v>
      </c>
      <c r="F1749" s="0" t="n">
        <v>1.113114932207177e-05</v>
      </c>
      <c r="G1749" s="0" t="n">
        <v>1.16085883881833e-06</v>
      </c>
      <c r="H1749" s="0" t="b">
        <v>0</v>
      </c>
    </row>
    <row r="1750">
      <c r="A1750" s="0" t="n">
        <v>169</v>
      </c>
      <c r="B1750" s="0" t="n">
        <v>7</v>
      </c>
      <c r="C1750" s="0" t="n">
        <v>5399218.75</v>
      </c>
      <c r="D1750" s="0" t="n">
        <v>22443145.80905031</v>
      </c>
      <c r="E1750" s="0" t="n">
        <v>1.166280852290895e-05</v>
      </c>
      <c r="F1750" s="0" t="n">
        <v>1.113114932207177e-05</v>
      </c>
      <c r="G1750" s="0" t="n">
        <v>5.316592008371749e-07</v>
      </c>
      <c r="H1750" s="0" t="b">
        <v>0</v>
      </c>
    </row>
    <row r="1751">
      <c r="A1751" s="0" t="n">
        <v>169</v>
      </c>
      <c r="B1751" s="0" t="n">
        <v>8</v>
      </c>
      <c r="C1751" s="0" t="n">
        <v>5352734.375</v>
      </c>
      <c r="D1751" s="0" t="n">
        <v>8775802.865286825</v>
      </c>
      <c r="E1751" s="0" t="n">
        <v>1.135368849513671e-05</v>
      </c>
      <c r="F1751" s="0" t="n">
        <v>1.113114932207177e-05</v>
      </c>
      <c r="G1751" s="0" t="n">
        <v>2.2253917306494e-07</v>
      </c>
      <c r="H1751" s="0" t="b">
        <v>0</v>
      </c>
    </row>
    <row r="1752">
      <c r="A1752" s="0" t="n">
        <v>169</v>
      </c>
      <c r="B1752" s="0" t="n">
        <v>9</v>
      </c>
      <c r="C1752" s="0" t="n">
        <v>5329492.1875</v>
      </c>
      <c r="D1752" s="0" t="n">
        <v>2641170.417535257</v>
      </c>
      <c r="E1752" s="0" t="n">
        <v>1.120055207938362e-05</v>
      </c>
      <c r="F1752" s="0" t="n">
        <v>1.113114932207177e-05</v>
      </c>
      <c r="G1752" s="0" t="n">
        <v>6.940275731184309e-08</v>
      </c>
      <c r="H1752" s="0" t="b">
        <v>0</v>
      </c>
    </row>
    <row r="1753">
      <c r="A1753" s="0" t="n">
        <v>169</v>
      </c>
      <c r="B1753" s="0" t="n">
        <v>10</v>
      </c>
      <c r="C1753" s="0" t="n">
        <v>5341113.28125</v>
      </c>
      <c r="D1753" s="0" t="n">
        <v>5650894.77184221</v>
      </c>
      <c r="E1753" s="0" t="n">
        <v>1.127699999122614e-05</v>
      </c>
      <c r="F1753" s="0" t="n">
        <v>1.113114932207177e-05</v>
      </c>
      <c r="G1753" s="0" t="n">
        <v>1.458506691543644e-07</v>
      </c>
      <c r="H1753" s="0" t="b">
        <v>0</v>
      </c>
    </row>
    <row r="1754">
      <c r="A1754" s="0" t="n">
        <v>169</v>
      </c>
      <c r="B1754" s="0" t="n">
        <v>11</v>
      </c>
      <c r="C1754" s="0" t="n">
        <v>5335302.734375</v>
      </c>
      <c r="D1754" s="0" t="n">
        <v>4131701.686292937</v>
      </c>
      <c r="E1754" s="0" t="n">
        <v>1.123874622986785e-05</v>
      </c>
      <c r="F1754" s="0" t="n">
        <v>1.113114932207177e-05</v>
      </c>
      <c r="G1754" s="0" t="n">
        <v>1.07596907796075e-07</v>
      </c>
      <c r="H1754" s="0" t="b">
        <v>0</v>
      </c>
    </row>
    <row r="1755">
      <c r="A1755" s="0" t="n">
        <v>169</v>
      </c>
      <c r="B1755" s="0" t="n">
        <v>12</v>
      </c>
      <c r="C1755" s="0" t="n">
        <v>5338208.0078125</v>
      </c>
      <c r="D1755" s="0" t="n">
        <v>4887698.064871149</v>
      </c>
      <c r="E1755" s="0" t="n">
        <v>1.125786539692355e-05</v>
      </c>
      <c r="F1755" s="0" t="n">
        <v>1.113114932207177e-05</v>
      </c>
      <c r="G1755" s="0" t="n">
        <v>1.267160748517802e-07</v>
      </c>
      <c r="H1755" s="0" t="b">
        <v>0</v>
      </c>
    </row>
    <row r="1756">
      <c r="A1756" s="0" t="n">
        <v>169</v>
      </c>
      <c r="B1756" s="0" t="n">
        <v>13</v>
      </c>
      <c r="C1756" s="0" t="n">
        <v>5339660.64453125</v>
      </c>
      <c r="D1756" s="0" t="n">
        <v>5268397.648756365</v>
      </c>
      <c r="E1756" s="0" t="n">
        <v>1.126743082033398e-05</v>
      </c>
      <c r="F1756" s="0" t="n">
        <v>1.113114932207177e-05</v>
      </c>
      <c r="G1756" s="0" t="n">
        <v>1.362814982622019e-07</v>
      </c>
      <c r="H1756" s="0" t="b">
        <v>0</v>
      </c>
    </row>
    <row r="1757">
      <c r="A1757" s="0" t="n">
        <v>169</v>
      </c>
      <c r="B1757" s="0" t="n">
        <v>14</v>
      </c>
      <c r="C1757" s="0" t="n">
        <v>5340860.64453125</v>
      </c>
      <c r="D1757" s="0" t="n">
        <v>5584243.215684355</v>
      </c>
      <c r="E1757" s="0" t="n">
        <v>1.127533549050008e-05</v>
      </c>
      <c r="F1757" s="0" t="n">
        <v>1.113114932207177e-05</v>
      </c>
      <c r="G1757" s="0" t="n">
        <v>1.441861684283048e-07</v>
      </c>
      <c r="H1757" s="0" t="b">
        <v>0</v>
      </c>
    </row>
    <row r="1758">
      <c r="A1758" s="0" t="n">
        <v>169</v>
      </c>
      <c r="B1758" s="0" t="n">
        <v>15</v>
      </c>
      <c r="C1758" s="0" t="n">
        <v>5340260.64453125</v>
      </c>
      <c r="D1758" s="0" t="n">
        <v>5426184.300256602</v>
      </c>
      <c r="E1758" s="0" t="n">
        <v>1.127138326780213e-05</v>
      </c>
      <c r="F1758" s="0" t="n">
        <v>1.113114932207177e-05</v>
      </c>
      <c r="G1758" s="0" t="n">
        <v>1.40233945730359e-07</v>
      </c>
      <c r="H1758" s="0" t="b">
        <v>0</v>
      </c>
    </row>
    <row r="1759">
      <c r="A1759" s="0" t="n">
        <v>169</v>
      </c>
      <c r="B1759" s="0" t="n">
        <v>16</v>
      </c>
      <c r="C1759" s="0" t="n">
        <v>5339540.64453125</v>
      </c>
      <c r="D1759" s="0" t="n">
        <v>5236897.789182031</v>
      </c>
      <c r="E1759" s="0" t="n">
        <v>1.126664092570957e-05</v>
      </c>
      <c r="F1759" s="0" t="n">
        <v>1.113114932207177e-05</v>
      </c>
      <c r="G1759" s="0" t="n">
        <v>1.354916036377988e-07</v>
      </c>
      <c r="H1759" s="0" t="b">
        <v>0</v>
      </c>
    </row>
    <row r="1760">
      <c r="A1760" s="0" t="n">
        <v>169</v>
      </c>
      <c r="B1760" s="0" t="n">
        <v>17</v>
      </c>
      <c r="C1760" s="0" t="n">
        <v>5339900.64453125</v>
      </c>
      <c r="D1760" s="0" t="n">
        <v>5331485.83609903</v>
      </c>
      <c r="E1760" s="0" t="n">
        <v>1.12690119816845e-05</v>
      </c>
      <c r="F1760" s="0" t="n">
        <v>1.113114932207177e-05</v>
      </c>
      <c r="G1760" s="0" t="n">
        <v>1.378626596127285e-07</v>
      </c>
      <c r="H1760" s="0" t="b">
        <v>0</v>
      </c>
    </row>
    <row r="1761">
      <c r="A1761" s="0" t="n">
        <v>170</v>
      </c>
      <c r="B1761" s="0" t="n">
        <v>1</v>
      </c>
      <c r="C1761" s="0" t="n">
        <v>6050000</v>
      </c>
      <c r="D1761" s="0" t="n">
        <v>7308544346.959741</v>
      </c>
      <c r="E1761" s="0" t="n">
        <v>5.050834074200237e-05</v>
      </c>
      <c r="F1761" s="0" t="n">
        <v>1.113114932207178e-05</v>
      </c>
      <c r="G1761" s="0" t="n">
        <v>3.937719141993059e-05</v>
      </c>
      <c r="H1761" s="0" t="b">
        <v>0</v>
      </c>
    </row>
    <row r="1762">
      <c r="A1762" s="0" t="n">
        <v>170</v>
      </c>
      <c r="B1762" s="0" t="n">
        <v>2</v>
      </c>
      <c r="C1762" s="0" t="n">
        <v>3075000</v>
      </c>
      <c r="D1762" s="0" t="n">
        <v>-837299.519670382</v>
      </c>
      <c r="E1762" s="0" t="n">
        <v>2.996866541207684e-06</v>
      </c>
      <c r="F1762" s="0" t="n">
        <v>1.113114932207177e-05</v>
      </c>
      <c r="G1762" s="0" t="n">
        <v>-8.13428278086409e-06</v>
      </c>
      <c r="H1762" s="0" t="b">
        <v>1</v>
      </c>
    </row>
    <row r="1763">
      <c r="A1763" s="0" t="n">
        <v>170</v>
      </c>
      <c r="B1763" s="0" t="n">
        <v>3</v>
      </c>
      <c r="C1763" s="0" t="n">
        <v>4562500</v>
      </c>
      <c r="D1763" s="0" t="n">
        <v>24567421.2791251</v>
      </c>
      <c r="E1763" s="0" t="n">
        <v>1.170763780243494e-05</v>
      </c>
      <c r="F1763" s="0" t="n">
        <v>1.113114932207177e-05</v>
      </c>
      <c r="G1763" s="0" t="n">
        <v>5.764884803631697e-07</v>
      </c>
      <c r="H1763" s="0" t="b">
        <v>0</v>
      </c>
    </row>
    <row r="1764">
      <c r="A1764" s="0" t="n">
        <v>170</v>
      </c>
      <c r="B1764" s="0" t="n">
        <v>4</v>
      </c>
      <c r="C1764" s="0" t="n">
        <v>3818750</v>
      </c>
      <c r="D1764" s="0" t="n">
        <v>-12451814.30862099</v>
      </c>
      <c r="E1764" s="0" t="n">
        <v>6.480998256638255e-06</v>
      </c>
      <c r="F1764" s="0" t="n">
        <v>1.113114932207177e-05</v>
      </c>
      <c r="G1764" s="0" t="n">
        <v>-4.650151065433519e-06</v>
      </c>
      <c r="H1764" s="0" t="b">
        <v>1</v>
      </c>
    </row>
    <row r="1765">
      <c r="A1765" s="0" t="n">
        <v>170</v>
      </c>
      <c r="B1765" s="0" t="n">
        <v>5</v>
      </c>
      <c r="C1765" s="0" t="n">
        <v>4190625</v>
      </c>
      <c r="D1765" s="0" t="n">
        <v>-39109130.67557167</v>
      </c>
      <c r="E1765" s="0" t="n">
        <v>8.894404836500809e-06</v>
      </c>
      <c r="F1765" s="0" t="n">
        <v>1.113114932207177e-05</v>
      </c>
      <c r="G1765" s="0" t="n">
        <v>-2.236744485570965e-06</v>
      </c>
      <c r="H1765" s="0" t="b">
        <v>1</v>
      </c>
    </row>
    <row r="1766">
      <c r="A1766" s="0" t="n">
        <v>170</v>
      </c>
      <c r="B1766" s="0" t="n">
        <v>6</v>
      </c>
      <c r="C1766" s="0" t="n">
        <v>4376562.5</v>
      </c>
      <c r="D1766" s="0" t="n">
        <v>-25895080.01123193</v>
      </c>
      <c r="E1766" s="0" t="n">
        <v>1.025391567909836e-05</v>
      </c>
      <c r="F1766" s="0" t="n">
        <v>1.113114932207177e-05</v>
      </c>
      <c r="G1766" s="0" t="n">
        <v>-8.772336429734108e-07</v>
      </c>
      <c r="H1766" s="0" t="b">
        <v>1</v>
      </c>
    </row>
    <row r="1767">
      <c r="A1767" s="0" t="n">
        <v>170</v>
      </c>
      <c r="B1767" s="0" t="n">
        <v>7</v>
      </c>
      <c r="C1767" s="0" t="n">
        <v>4469531.25</v>
      </c>
      <c r="D1767" s="0" t="n">
        <v>-5821086.492321203</v>
      </c>
      <c r="E1767" s="0" t="n">
        <v>1.096932147213511e-05</v>
      </c>
      <c r="F1767" s="0" t="n">
        <v>1.113114932207177e-05</v>
      </c>
      <c r="G1767" s="0" t="n">
        <v>-1.618278499366622e-07</v>
      </c>
      <c r="H1767" s="0" t="b">
        <v>1</v>
      </c>
    </row>
    <row r="1768">
      <c r="A1768" s="0" t="n">
        <v>170</v>
      </c>
      <c r="B1768" s="0" t="n">
        <v>8</v>
      </c>
      <c r="C1768" s="0" t="n">
        <v>4516015.625</v>
      </c>
      <c r="D1768" s="0" t="n">
        <v>8031700.42971334</v>
      </c>
      <c r="E1768" s="0" t="n">
        <v>1.133566093226812e-05</v>
      </c>
      <c r="F1768" s="0" t="n">
        <v>1.113114932207177e-05</v>
      </c>
      <c r="G1768" s="0" t="n">
        <v>2.045116101963497e-07</v>
      </c>
      <c r="H1768" s="0" t="b">
        <v>0</v>
      </c>
    </row>
    <row r="1769">
      <c r="A1769" s="0" t="n">
        <v>170</v>
      </c>
      <c r="B1769" s="0" t="n">
        <v>9</v>
      </c>
      <c r="C1769" s="0" t="n">
        <v>4492773.4375</v>
      </c>
      <c r="D1769" s="0" t="n">
        <v>775889.1927377307</v>
      </c>
      <c r="E1769" s="0" t="n">
        <v>1.115177583007389e-05</v>
      </c>
      <c r="F1769" s="0" t="n">
        <v>1.113114932207177e-05</v>
      </c>
      <c r="G1769" s="0" t="n">
        <v>2.062650800211195e-08</v>
      </c>
      <c r="H1769" s="0" t="b">
        <v>0</v>
      </c>
    </row>
    <row r="1770">
      <c r="A1770" s="0" t="n">
        <v>170</v>
      </c>
      <c r="B1770" s="0" t="n">
        <v>10</v>
      </c>
      <c r="C1770" s="0" t="n">
        <v>4504394.53125</v>
      </c>
      <c r="D1770" s="0" t="n">
        <v>4320658.251603992</v>
      </c>
      <c r="E1770" s="0" t="n">
        <v>1.124354058597711e-05</v>
      </c>
      <c r="F1770" s="0" t="n">
        <v>1.113114932207177e-05</v>
      </c>
      <c r="G1770" s="0" t="n">
        <v>1.123912639053386e-07</v>
      </c>
      <c r="H1770" s="0" t="b">
        <v>0</v>
      </c>
    </row>
    <row r="1771">
      <c r="A1771" s="0" t="n">
        <v>170</v>
      </c>
      <c r="B1771" s="0" t="n">
        <v>11</v>
      </c>
      <c r="C1771" s="0" t="n">
        <v>4510205.078125</v>
      </c>
      <c r="D1771" s="0" t="n">
        <v>6155295.767412739</v>
      </c>
      <c r="E1771" s="0" t="n">
        <v>1.12895563448815e-05</v>
      </c>
      <c r="F1771" s="0" t="n">
        <v>1.113114932207177e-05</v>
      </c>
      <c r="G1771" s="0" t="n">
        <v>1.584070228097223e-07</v>
      </c>
      <c r="H1771" s="0" t="b">
        <v>0</v>
      </c>
    </row>
    <row r="1772">
      <c r="A1772" s="0" t="n">
        <v>170</v>
      </c>
      <c r="B1772" s="0" t="n">
        <v>12</v>
      </c>
      <c r="C1772" s="0" t="n">
        <v>4507299.8046875</v>
      </c>
      <c r="D1772" s="0" t="n">
        <v>5232750.385867984</v>
      </c>
      <c r="E1772" s="0" t="n">
        <v>1.126653690388635e-05</v>
      </c>
      <c r="F1772" s="0" t="n">
        <v>1.113114932207177e-05</v>
      </c>
      <c r="G1772" s="0" t="n">
        <v>1.353875818145714e-07</v>
      </c>
      <c r="H1772" s="0" t="b">
        <v>0</v>
      </c>
    </row>
    <row r="1773">
      <c r="A1773" s="0" t="n">
        <v>170</v>
      </c>
      <c r="B1773" s="0" t="n">
        <v>13</v>
      </c>
      <c r="C1773" s="0" t="n">
        <v>4505847.16796875</v>
      </c>
      <c r="D1773" s="0" t="n">
        <v>4775412.539949927</v>
      </c>
      <c r="E1773" s="0" t="n">
        <v>1.125503618822057e-05</v>
      </c>
      <c r="F1773" s="0" t="n">
        <v>1.113114932207177e-05</v>
      </c>
      <c r="G1773" s="0" t="n">
        <v>1.238868661487926e-07</v>
      </c>
      <c r="H1773" s="0" t="b">
        <v>0</v>
      </c>
    </row>
    <row r="1774">
      <c r="A1774" s="0" t="n">
        <v>170</v>
      </c>
      <c r="B1774" s="0" t="n">
        <v>14</v>
      </c>
      <c r="C1774" s="0" t="n">
        <v>4504647.16796875</v>
      </c>
      <c r="D1774" s="0" t="n">
        <v>4399542.946523204</v>
      </c>
      <c r="E1774" s="0" t="n">
        <v>1.124553900951447e-05</v>
      </c>
      <c r="F1774" s="0" t="n">
        <v>1.113114932207177e-05</v>
      </c>
      <c r="G1774" s="0" t="n">
        <v>1.143896874427006e-07</v>
      </c>
      <c r="H1774" s="0" t="b">
        <v>0</v>
      </c>
    </row>
    <row r="1775">
      <c r="A1775" s="0" t="n">
        <v>170</v>
      </c>
      <c r="B1775" s="0" t="n">
        <v>15</v>
      </c>
      <c r="C1775" s="0" t="n">
        <v>4505247.16796875</v>
      </c>
      <c r="D1775" s="0" t="n">
        <v>4587264.749405792</v>
      </c>
      <c r="E1775" s="0" t="n">
        <v>1.125028734732397e-05</v>
      </c>
      <c r="F1775" s="0" t="n">
        <v>1.113114932207177e-05</v>
      </c>
      <c r="G1775" s="0" t="n">
        <v>1.19138025252191e-07</v>
      </c>
      <c r="H1775" s="0" t="b">
        <v>0</v>
      </c>
    </row>
    <row r="1776">
      <c r="A1776" s="0" t="n">
        <v>170</v>
      </c>
      <c r="B1776" s="0" t="n">
        <v>16</v>
      </c>
      <c r="C1776" s="0" t="n">
        <v>4504947.16796875</v>
      </c>
      <c r="D1776" s="0" t="n">
        <v>4493339.588271194</v>
      </c>
      <c r="E1776" s="0" t="n">
        <v>1.124791283683817e-05</v>
      </c>
      <c r="F1776" s="0" t="n">
        <v>1.113114932207177e-05</v>
      </c>
      <c r="G1776" s="0" t="n">
        <v>1.16763514766397e-07</v>
      </c>
      <c r="H1776" s="0" t="b">
        <v>0</v>
      </c>
    </row>
    <row r="1777">
      <c r="A1777" s="0" t="n">
        <v>171</v>
      </c>
      <c r="B1777" s="0" t="n">
        <v>1</v>
      </c>
      <c r="C1777" s="0" t="n">
        <v>6050000</v>
      </c>
      <c r="D1777" s="0" t="n">
        <v>24920931226.34543</v>
      </c>
      <c r="E1777" s="0" t="n">
        <v>0.0001068178394003055</v>
      </c>
      <c r="F1777" s="0" t="n">
        <v>1.102398402156931e-05</v>
      </c>
      <c r="G1777" s="0" t="n">
        <v>9.579385537873621e-05</v>
      </c>
      <c r="H1777" s="0" t="b">
        <v>0</v>
      </c>
    </row>
    <row r="1778">
      <c r="A1778" s="0" t="n">
        <v>171</v>
      </c>
      <c r="B1778" s="0" t="n">
        <v>2</v>
      </c>
      <c r="C1778" s="0" t="n">
        <v>3075000</v>
      </c>
      <c r="D1778" s="0" t="n">
        <v>-3737879.928712632</v>
      </c>
      <c r="E1778" s="0" t="n">
        <v>4.951795727677616e-06</v>
      </c>
      <c r="F1778" s="0" t="n">
        <v>1.102398402156931e-05</v>
      </c>
      <c r="G1778" s="0" t="n">
        <v>-6.072188293891693e-06</v>
      </c>
      <c r="H1778" s="0" t="b">
        <v>1</v>
      </c>
    </row>
    <row r="1779">
      <c r="A1779" s="0" t="n">
        <v>171</v>
      </c>
      <c r="B1779" s="0" t="n">
        <v>3</v>
      </c>
      <c r="C1779" s="0" t="n">
        <v>4562500</v>
      </c>
      <c r="D1779" s="0" t="n">
        <v>1614854380.72824</v>
      </c>
      <c r="E1779" s="0" t="n">
        <v>2.377798521610398e-05</v>
      </c>
      <c r="F1779" s="0" t="n">
        <v>1.102398402156931e-05</v>
      </c>
      <c r="G1779" s="0" t="n">
        <v>1.275400119453467e-05</v>
      </c>
      <c r="H1779" s="0" t="b">
        <v>0</v>
      </c>
    </row>
    <row r="1780">
      <c r="A1780" s="0" t="n">
        <v>171</v>
      </c>
      <c r="B1780" s="0" t="n">
        <v>4</v>
      </c>
      <c r="C1780" s="0" t="n">
        <v>3818750</v>
      </c>
      <c r="D1780" s="0" t="n">
        <v>-17812350.24305403</v>
      </c>
      <c r="E1780" s="0" t="n">
        <v>1.047880894137968e-05</v>
      </c>
      <c r="F1780" s="0" t="n">
        <v>1.102398402156931e-05</v>
      </c>
      <c r="G1780" s="0" t="n">
        <v>-5.451750801896317e-07</v>
      </c>
      <c r="H1780" s="0" t="b">
        <v>1</v>
      </c>
    </row>
    <row r="1781">
      <c r="A1781" s="0" t="n">
        <v>171</v>
      </c>
      <c r="B1781" s="0" t="n">
        <v>5</v>
      </c>
      <c r="C1781" s="0" t="n">
        <v>4190625</v>
      </c>
      <c r="D1781" s="0" t="n">
        <v>196902712.4338788</v>
      </c>
      <c r="E1781" s="0" t="n">
        <v>1.405457365154328e-05</v>
      </c>
      <c r="F1781" s="0" t="n">
        <v>1.102398402156931e-05</v>
      </c>
      <c r="G1781" s="0" t="n">
        <v>3.030589629973971e-06</v>
      </c>
      <c r="H1781" s="0" t="b">
        <v>0</v>
      </c>
    </row>
    <row r="1782">
      <c r="A1782" s="0" t="n">
        <v>171</v>
      </c>
      <c r="B1782" s="0" t="n">
        <v>6</v>
      </c>
      <c r="C1782" s="0" t="n">
        <v>4004687.5</v>
      </c>
      <c r="D1782" s="0" t="n">
        <v>57320558.72785435</v>
      </c>
      <c r="E1782" s="0" t="n">
        <v>1.22061673226641e-05</v>
      </c>
      <c r="F1782" s="0" t="n">
        <v>1.102398402156931e-05</v>
      </c>
      <c r="G1782" s="0" t="n">
        <v>1.182183301094787e-06</v>
      </c>
      <c r="H1782" s="0" t="b">
        <v>0</v>
      </c>
    </row>
    <row r="1783">
      <c r="A1783" s="0" t="n">
        <v>171</v>
      </c>
      <c r="B1783" s="0" t="n">
        <v>7</v>
      </c>
      <c r="C1783" s="0" t="n">
        <v>3911718.75</v>
      </c>
      <c r="D1783" s="0" t="n">
        <v>12249069.75682199</v>
      </c>
      <c r="E1783" s="0" t="n">
        <v>1.132670528719303e-05</v>
      </c>
      <c r="F1783" s="0" t="n">
        <v>1.102398402156931e-05</v>
      </c>
      <c r="G1783" s="0" t="n">
        <v>3.027212656237221e-07</v>
      </c>
      <c r="H1783" s="0" t="b">
        <v>0</v>
      </c>
    </row>
    <row r="1784">
      <c r="A1784" s="0" t="n">
        <v>171</v>
      </c>
      <c r="B1784" s="0" t="n">
        <v>8</v>
      </c>
      <c r="C1784" s="0" t="n">
        <v>3865234.375</v>
      </c>
      <c r="D1784" s="0" t="n">
        <v>-4576462.108753132</v>
      </c>
      <c r="E1784" s="0" t="n">
        <v>1.089871610899684e-05</v>
      </c>
      <c r="F1784" s="0" t="n">
        <v>1.102398402156931e-05</v>
      </c>
      <c r="G1784" s="0" t="n">
        <v>-1.252679125724706e-07</v>
      </c>
      <c r="H1784" s="0" t="b">
        <v>1</v>
      </c>
    </row>
    <row r="1785">
      <c r="A1785" s="0" t="n">
        <v>171</v>
      </c>
      <c r="B1785" s="0" t="n">
        <v>9</v>
      </c>
      <c r="C1785" s="0" t="n">
        <v>3888476.5625</v>
      </c>
      <c r="D1785" s="0" t="n">
        <v>3376554.426516121</v>
      </c>
      <c r="E1785" s="0" t="n">
        <v>1.111170869697079e-05</v>
      </c>
      <c r="F1785" s="0" t="n">
        <v>1.102398402156931e-05</v>
      </c>
      <c r="G1785" s="0" t="n">
        <v>8.772467540147992e-08</v>
      </c>
      <c r="H1785" s="0" t="b">
        <v>0</v>
      </c>
    </row>
    <row r="1786">
      <c r="A1786" s="0" t="n">
        <v>171</v>
      </c>
      <c r="B1786" s="0" t="n">
        <v>10</v>
      </c>
      <c r="C1786" s="0" t="n">
        <v>3900097.65625</v>
      </c>
      <c r="D1786" s="0" t="n">
        <v>7696563.194635859</v>
      </c>
      <c r="E1786" s="0" t="n">
        <v>1.121895772495986e-05</v>
      </c>
      <c r="F1786" s="0" t="n">
        <v>1.102398402156931e-05</v>
      </c>
      <c r="G1786" s="0" t="n">
        <v>1.949737033905472e-07</v>
      </c>
      <c r="H1786" s="0" t="b">
        <v>0</v>
      </c>
    </row>
    <row r="1787">
      <c r="A1787" s="0" t="n">
        <v>171</v>
      </c>
      <c r="B1787" s="0" t="n">
        <v>11</v>
      </c>
      <c r="C1787" s="0" t="n">
        <v>3894287.109375</v>
      </c>
      <c r="D1787" s="0" t="n">
        <v>5507637.780638433</v>
      </c>
      <c r="E1787" s="0" t="n">
        <v>1.11652702415882e-05</v>
      </c>
      <c r="F1787" s="0" t="n">
        <v>1.102398402156931e-05</v>
      </c>
      <c r="G1787" s="0" t="n">
        <v>1.41286220018895e-07</v>
      </c>
      <c r="H1787" s="0" t="b">
        <v>0</v>
      </c>
    </row>
    <row r="1788">
      <c r="A1788" s="0" t="n">
        <v>171</v>
      </c>
      <c r="B1788" s="0" t="n">
        <v>12</v>
      </c>
      <c r="C1788" s="0" t="n">
        <v>3891381.8359375</v>
      </c>
      <c r="D1788" s="0" t="n">
        <v>4434882.291531214</v>
      </c>
      <c r="E1788" s="0" t="n">
        <v>1.113847360398126e-05</v>
      </c>
      <c r="F1788" s="0" t="n">
        <v>1.102398402156931e-05</v>
      </c>
      <c r="G1788" s="0" t="n">
        <v>1.14489582411952e-07</v>
      </c>
      <c r="H1788" s="0" t="b">
        <v>0</v>
      </c>
    </row>
    <row r="1789">
      <c r="A1789" s="0" t="n">
        <v>171</v>
      </c>
      <c r="B1789" s="0" t="n">
        <v>13</v>
      </c>
      <c r="C1789" s="0" t="n">
        <v>3889929.19921875</v>
      </c>
      <c r="D1789" s="0" t="n">
        <v>3903910.70561335</v>
      </c>
      <c r="E1789" s="0" t="n">
        <v>1.112508700963306e-05</v>
      </c>
      <c r="F1789" s="0" t="n">
        <v>1.102398402156931e-05</v>
      </c>
      <c r="G1789" s="0" t="n">
        <v>1.011029880637503e-07</v>
      </c>
      <c r="H1789" s="0" t="b">
        <v>0</v>
      </c>
    </row>
    <row r="1790">
      <c r="A1790" s="0" t="n">
        <v>172</v>
      </c>
      <c r="B1790" s="0" t="n">
        <v>1</v>
      </c>
      <c r="C1790" s="0" t="n">
        <v>6050000</v>
      </c>
      <c r="D1790" s="0" t="n">
        <v>8969638996.308939</v>
      </c>
      <c r="E1790" s="0" t="n">
        <v>5.563747902942292e-05</v>
      </c>
      <c r="F1790" s="0" t="n">
        <v>1.091846144392627e-05</v>
      </c>
      <c r="G1790" s="0" t="n">
        <v>4.471901758549665e-05</v>
      </c>
      <c r="H1790" s="0" t="b">
        <v>0</v>
      </c>
    </row>
    <row r="1791">
      <c r="A1791" s="0" t="n">
        <v>172</v>
      </c>
      <c r="B1791" s="0" t="n">
        <v>2</v>
      </c>
      <c r="C1791" s="0" t="n">
        <v>3075000</v>
      </c>
      <c r="D1791" s="0" t="n">
        <v>-980614.3059747732</v>
      </c>
      <c r="E1791" s="0" t="n">
        <v>3.170280268523899e-06</v>
      </c>
      <c r="F1791" s="0" t="n">
        <v>1.091846144392627e-05</v>
      </c>
      <c r="G1791" s="0" t="n">
        <v>-7.748181175402371e-06</v>
      </c>
      <c r="H1791" s="0" t="b">
        <v>1</v>
      </c>
    </row>
    <row r="1792">
      <c r="A1792" s="0" t="n">
        <v>172</v>
      </c>
      <c r="B1792" s="0" t="n">
        <v>3</v>
      </c>
      <c r="C1792" s="0" t="n">
        <v>4562500</v>
      </c>
      <c r="D1792" s="0" t="n">
        <v>71697166.06504253</v>
      </c>
      <c r="E1792" s="0" t="n">
        <v>1.232401093890466e-05</v>
      </c>
      <c r="F1792" s="0" t="n">
        <v>1.091846144392627e-05</v>
      </c>
      <c r="G1792" s="0" t="n">
        <v>1.405549494978388e-06</v>
      </c>
      <c r="H1792" s="0" t="b">
        <v>0</v>
      </c>
    </row>
    <row r="1793">
      <c r="A1793" s="0" t="n">
        <v>172</v>
      </c>
      <c r="B1793" s="0" t="n">
        <v>4</v>
      </c>
      <c r="C1793" s="0" t="n">
        <v>3818750</v>
      </c>
      <c r="D1793" s="0" t="n">
        <v>-17708011.90579505</v>
      </c>
      <c r="E1793" s="0" t="n">
        <v>6.8579478866766e-06</v>
      </c>
      <c r="F1793" s="0" t="n">
        <v>1.091846144392627e-05</v>
      </c>
      <c r="G1793" s="0" t="n">
        <v>-4.06051355724967e-06</v>
      </c>
      <c r="H1793" s="0" t="b">
        <v>1</v>
      </c>
    </row>
    <row r="1794">
      <c r="A1794" s="0" t="n">
        <v>172</v>
      </c>
      <c r="B1794" s="0" t="n">
        <v>5</v>
      </c>
      <c r="C1794" s="0" t="n">
        <v>4190625</v>
      </c>
      <c r="D1794" s="0" t="n">
        <v>-36208050.57047817</v>
      </c>
      <c r="E1794" s="0" t="n">
        <v>9.388639910978187e-06</v>
      </c>
      <c r="F1794" s="0" t="n">
        <v>1.091846144392627e-05</v>
      </c>
      <c r="G1794" s="0" t="n">
        <v>-1.529821532948083e-06</v>
      </c>
      <c r="H1794" s="0" t="b">
        <v>1</v>
      </c>
    </row>
    <row r="1795">
      <c r="A1795" s="0" t="n">
        <v>172</v>
      </c>
      <c r="B1795" s="0" t="n">
        <v>6</v>
      </c>
      <c r="C1795" s="0" t="n">
        <v>4376562.5</v>
      </c>
      <c r="D1795" s="0" t="n">
        <v>-4048204.244977216</v>
      </c>
      <c r="E1795" s="0" t="n">
        <v>1.080878836928488e-05</v>
      </c>
      <c r="F1795" s="0" t="n">
        <v>1.091846144392627e-05</v>
      </c>
      <c r="G1795" s="0" t="n">
        <v>-1.096730746413864e-07</v>
      </c>
      <c r="H1795" s="0" t="b">
        <v>1</v>
      </c>
    </row>
    <row r="1796">
      <c r="A1796" s="0" t="n">
        <v>172</v>
      </c>
      <c r="B1796" s="0" t="n">
        <v>7</v>
      </c>
      <c r="C1796" s="0" t="n">
        <v>4469531.25</v>
      </c>
      <c r="D1796" s="0" t="n">
        <v>27934697.9973051</v>
      </c>
      <c r="E1796" s="0" t="n">
        <v>1.155500772329445e-05</v>
      </c>
      <c r="F1796" s="0" t="n">
        <v>1.091846144392627e-05</v>
      </c>
      <c r="G1796" s="0" t="n">
        <v>6.365462793681836e-07</v>
      </c>
      <c r="H1796" s="0" t="b">
        <v>0</v>
      </c>
    </row>
    <row r="1797">
      <c r="A1797" s="0" t="n">
        <v>172</v>
      </c>
      <c r="B1797" s="0" t="n">
        <v>8</v>
      </c>
      <c r="C1797" s="0" t="n">
        <v>4423046.875</v>
      </c>
      <c r="D1797" s="0" t="n">
        <v>10517029.73452642</v>
      </c>
      <c r="E1797" s="0" t="n">
        <v>1.11789417289817e-05</v>
      </c>
      <c r="F1797" s="0" t="n">
        <v>1.091846144392627e-05</v>
      </c>
      <c r="G1797" s="0" t="n">
        <v>2.604802850554305e-07</v>
      </c>
      <c r="H1797" s="0" t="b">
        <v>0</v>
      </c>
    </row>
    <row r="1798">
      <c r="A1798" s="0" t="n">
        <v>172</v>
      </c>
      <c r="B1798" s="0" t="n">
        <v>9</v>
      </c>
      <c r="C1798" s="0" t="n">
        <v>4399804.6875</v>
      </c>
      <c r="D1798" s="0" t="n">
        <v>2884615.452475835</v>
      </c>
      <c r="E1798" s="0" t="n">
        <v>1.099311997597833e-05</v>
      </c>
      <c r="F1798" s="0" t="n">
        <v>1.091846144392627e-05</v>
      </c>
      <c r="G1798" s="0" t="n">
        <v>7.465853205206312e-08</v>
      </c>
      <c r="H1798" s="0" t="b">
        <v>0</v>
      </c>
    </row>
    <row r="1799">
      <c r="A1799" s="0" t="n">
        <v>172</v>
      </c>
      <c r="B1799" s="0" t="n">
        <v>10</v>
      </c>
      <c r="C1799" s="0" t="n">
        <v>4411425.78125</v>
      </c>
      <c r="D1799" s="0" t="n">
        <v>6612504.703758983</v>
      </c>
      <c r="E1799" s="0" t="n">
        <v>1.108584533584561e-05</v>
      </c>
      <c r="F1799" s="0" t="n">
        <v>1.091846144392627e-05</v>
      </c>
      <c r="G1799" s="0" t="n">
        <v>1.673838919193403e-07</v>
      </c>
      <c r="H1799" s="0" t="b">
        <v>0</v>
      </c>
    </row>
    <row r="1800">
      <c r="A1800" s="0" t="n">
        <v>172</v>
      </c>
      <c r="B1800" s="0" t="n">
        <v>11</v>
      </c>
      <c r="C1800" s="0" t="n">
        <v>4405615.234375</v>
      </c>
      <c r="D1800" s="0" t="n">
        <v>4726587.553396795</v>
      </c>
      <c r="E1800" s="0" t="n">
        <v>1.103943618080283e-05</v>
      </c>
      <c r="F1800" s="0" t="n">
        <v>1.091846144392627e-05</v>
      </c>
      <c r="G1800" s="0" t="n">
        <v>1.209747368765614e-07</v>
      </c>
      <c r="H1800" s="0" t="b">
        <v>0</v>
      </c>
    </row>
    <row r="1801">
      <c r="A1801" s="0" t="n">
        <v>172</v>
      </c>
      <c r="B1801" s="0" t="n">
        <v>12</v>
      </c>
      <c r="C1801" s="0" t="n">
        <v>4402709.9609375</v>
      </c>
      <c r="D1801" s="0" t="n">
        <v>3800139.561100654</v>
      </c>
      <c r="E1801" s="0" t="n">
        <v>1.101626689239928e-05</v>
      </c>
      <c r="F1801" s="0" t="n">
        <v>1.091846144392627e-05</v>
      </c>
      <c r="G1801" s="0" t="n">
        <v>9.78054484730065e-08</v>
      </c>
      <c r="H1801" s="0" t="b">
        <v>0</v>
      </c>
    </row>
    <row r="1802">
      <c r="A1802" s="0" t="n">
        <v>172</v>
      </c>
      <c r="B1802" s="0" t="n">
        <v>13</v>
      </c>
      <c r="C1802" s="0" t="n">
        <v>4404162.59765625</v>
      </c>
      <c r="D1802" s="0" t="n">
        <v>4261983.10804944</v>
      </c>
      <c r="E1802" s="0" t="n">
        <v>1.102784840792707e-05</v>
      </c>
      <c r="F1802" s="0" t="n">
        <v>1.091846144392627e-05</v>
      </c>
      <c r="G1802" s="0" t="n">
        <v>1.09386964000797e-07</v>
      </c>
      <c r="H1802" s="0" t="b">
        <v>0</v>
      </c>
    </row>
    <row r="1803">
      <c r="A1803" s="0" t="n">
        <v>172</v>
      </c>
      <c r="B1803" s="0" t="n">
        <v>14</v>
      </c>
      <c r="C1803" s="0" t="n">
        <v>4405362.59765625</v>
      </c>
      <c r="D1803" s="0" t="n">
        <v>4645588.218142129</v>
      </c>
      <c r="E1803" s="0" t="n">
        <v>1.103742046469586e-05</v>
      </c>
      <c r="F1803" s="0" t="n">
        <v>1.091846144392627e-05</v>
      </c>
      <c r="G1803" s="0" t="n">
        <v>1.189590207695879e-07</v>
      </c>
      <c r="H1803" s="0" t="b">
        <v>0</v>
      </c>
    </row>
    <row r="1804">
      <c r="A1804" s="0" t="n">
        <v>172</v>
      </c>
      <c r="B1804" s="0" t="n">
        <v>15</v>
      </c>
      <c r="C1804" s="0" t="n">
        <v>4404762.59765625</v>
      </c>
      <c r="D1804" s="0" t="n">
        <v>4453569.135425221</v>
      </c>
      <c r="E1804" s="0" t="n">
        <v>1.103263437957291e-05</v>
      </c>
      <c r="F1804" s="0" t="n">
        <v>1.091846144392627e-05</v>
      </c>
      <c r="G1804" s="0" t="n">
        <v>1.141729356466405e-07</v>
      </c>
      <c r="H1804" s="0" t="b">
        <v>0</v>
      </c>
    </row>
    <row r="1805">
      <c r="A1805" s="0" t="n">
        <v>172</v>
      </c>
      <c r="B1805" s="0" t="n">
        <v>16</v>
      </c>
      <c r="C1805" s="0" t="n">
        <v>4404042.59765625</v>
      </c>
      <c r="D1805" s="0" t="n">
        <v>4223743.120614779</v>
      </c>
      <c r="E1805" s="0" t="n">
        <v>1.10268918590277e-05</v>
      </c>
      <c r="F1805" s="0" t="n">
        <v>1.091846144392627e-05</v>
      </c>
      <c r="G1805" s="0" t="n">
        <v>1.084304151014258e-07</v>
      </c>
      <c r="H1805" s="0" t="b">
        <v>0</v>
      </c>
    </row>
    <row r="1806">
      <c r="A1806" s="0" t="n">
        <v>172</v>
      </c>
      <c r="B1806" s="0" t="n">
        <v>17</v>
      </c>
      <c r="C1806" s="0" t="n">
        <v>4404402.59765625</v>
      </c>
      <c r="D1806" s="0" t="n">
        <v>4338571.870965779</v>
      </c>
      <c r="E1806" s="0" t="n">
        <v>1.102976294083036e-05</v>
      </c>
      <c r="F1806" s="0" t="n">
        <v>1.091846144392627e-05</v>
      </c>
      <c r="G1806" s="0" t="n">
        <v>1.113014969040921e-07</v>
      </c>
      <c r="H1806" s="0" t="b">
        <v>0</v>
      </c>
    </row>
    <row r="1807">
      <c r="A1807" s="0" t="n">
        <v>172</v>
      </c>
      <c r="B1807" s="0" t="n">
        <v>18</v>
      </c>
      <c r="C1807" s="0" t="n">
        <v>4404834.59765625</v>
      </c>
      <c r="D1807" s="0" t="n">
        <v>4476571.217521555</v>
      </c>
      <c r="E1807" s="0" t="n">
        <v>1.103320827117148e-05</v>
      </c>
      <c r="F1807" s="0" t="n">
        <v>1.091846144392627e-05</v>
      </c>
      <c r="G1807" s="0" t="n">
        <v>1.147468272452106e-07</v>
      </c>
      <c r="H1807" s="0" t="b">
        <v>0</v>
      </c>
    </row>
    <row r="1808">
      <c r="A1808" s="0" t="n">
        <v>172</v>
      </c>
      <c r="B1808" s="0" t="n">
        <v>19</v>
      </c>
      <c r="C1808" s="0" t="n">
        <v>4404618.59765625</v>
      </c>
      <c r="D1808" s="0" t="n">
        <v>4407532.425306883</v>
      </c>
      <c r="E1808" s="0" t="n">
        <v>1.103148532235502e-05</v>
      </c>
      <c r="F1808" s="0" t="n">
        <v>1.091846144392627e-05</v>
      </c>
      <c r="G1808" s="0" t="n">
        <v>1.130238784287452e-07</v>
      </c>
      <c r="H1808" s="0" t="b">
        <v>0</v>
      </c>
    </row>
    <row r="1809">
      <c r="A1809" s="0" t="n">
        <v>173</v>
      </c>
      <c r="B1809" s="0" t="n">
        <v>1</v>
      </c>
      <c r="C1809" s="0" t="n">
        <v>6050000</v>
      </c>
      <c r="D1809" s="0" t="n">
        <v>24325438615.79295</v>
      </c>
      <c r="E1809" s="0" t="n">
        <v>0.0001039376163665161</v>
      </c>
      <c r="F1809" s="0" t="n">
        <v>1.091846144392628e-05</v>
      </c>
      <c r="G1809" s="0" t="n">
        <v>9.301915492258984e-05</v>
      </c>
      <c r="H1809" s="0" t="b">
        <v>0</v>
      </c>
    </row>
    <row r="1810">
      <c r="A1810" s="0" t="n">
        <v>173</v>
      </c>
      <c r="B1810" s="0" t="n">
        <v>2</v>
      </c>
      <c r="C1810" s="0" t="n">
        <v>3075000</v>
      </c>
      <c r="D1810" s="0" t="n">
        <v>-3550363.396661073</v>
      </c>
      <c r="E1810" s="0" t="n">
        <v>4.844359236619161e-06</v>
      </c>
      <c r="F1810" s="0" t="n">
        <v>1.091846144392627e-05</v>
      </c>
      <c r="G1810" s="0" t="n">
        <v>-6.074102207307109e-06</v>
      </c>
      <c r="H1810" s="0" t="b">
        <v>1</v>
      </c>
    </row>
    <row r="1811">
      <c r="A1811" s="0" t="n">
        <v>173</v>
      </c>
      <c r="B1811" s="0" t="n">
        <v>3</v>
      </c>
      <c r="C1811" s="0" t="n">
        <v>4562500</v>
      </c>
      <c r="D1811" s="0" t="n">
        <v>1524408561.73846</v>
      </c>
      <c r="E1811" s="0" t="n">
        <v>2.299587069208693e-05</v>
      </c>
      <c r="F1811" s="0" t="n">
        <v>1.091846144392627e-05</v>
      </c>
      <c r="G1811" s="0" t="n">
        <v>1.207740924816066e-05</v>
      </c>
      <c r="H1811" s="0" t="b">
        <v>0</v>
      </c>
    </row>
    <row r="1812">
      <c r="A1812" s="0" t="n">
        <v>173</v>
      </c>
      <c r="B1812" s="0" t="n">
        <v>4</v>
      </c>
      <c r="C1812" s="0" t="n">
        <v>3818750</v>
      </c>
      <c r="D1812" s="0" t="n">
        <v>-20707812.73825235</v>
      </c>
      <c r="E1812" s="0" t="n">
        <v>1.026826972521896e-05</v>
      </c>
      <c r="F1812" s="0" t="n">
        <v>1.091846144392627e-05</v>
      </c>
      <c r="G1812" s="0" t="n">
        <v>-6.501917187073064e-07</v>
      </c>
      <c r="H1812" s="0" t="b">
        <v>1</v>
      </c>
    </row>
    <row r="1813">
      <c r="A1813" s="0" t="n">
        <v>173</v>
      </c>
      <c r="B1813" s="0" t="n">
        <v>5</v>
      </c>
      <c r="C1813" s="0" t="n">
        <v>4190625</v>
      </c>
      <c r="D1813" s="0" t="n">
        <v>184336762.7473427</v>
      </c>
      <c r="E1813" s="0" t="n">
        <v>1.378563546991553e-05</v>
      </c>
      <c r="F1813" s="0" t="n">
        <v>1.091846144392627e-05</v>
      </c>
      <c r="G1813" s="0" t="n">
        <v>2.867174025989259e-06</v>
      </c>
      <c r="H1813" s="0" t="b">
        <v>0</v>
      </c>
    </row>
    <row r="1814">
      <c r="A1814" s="0" t="n">
        <v>173</v>
      </c>
      <c r="B1814" s="0" t="n">
        <v>6</v>
      </c>
      <c r="C1814" s="0" t="n">
        <v>4004687.5</v>
      </c>
      <c r="D1814" s="0" t="n">
        <v>50023083.49293203</v>
      </c>
      <c r="E1814" s="0" t="n">
        <v>1.196691760374172e-05</v>
      </c>
      <c r="F1814" s="0" t="n">
        <v>1.091846144392627e-05</v>
      </c>
      <c r="G1814" s="0" t="n">
        <v>1.048456159815447e-06</v>
      </c>
      <c r="H1814" s="0" t="b">
        <v>0</v>
      </c>
    </row>
    <row r="1815">
      <c r="A1815" s="0" t="n">
        <v>173</v>
      </c>
      <c r="B1815" s="0" t="n">
        <v>7</v>
      </c>
      <c r="C1815" s="0" t="n">
        <v>3911718.75</v>
      </c>
      <c r="D1815" s="0" t="n">
        <v>7275078.151776765</v>
      </c>
      <c r="E1815" s="0" t="n">
        <v>1.110191904851025e-05</v>
      </c>
      <c r="F1815" s="0" t="n">
        <v>1.091846144392627e-05</v>
      </c>
      <c r="G1815" s="0" t="n">
        <v>1.834576045839775e-07</v>
      </c>
      <c r="H1815" s="0" t="b">
        <v>0</v>
      </c>
    </row>
    <row r="1816">
      <c r="A1816" s="0" t="n">
        <v>173</v>
      </c>
      <c r="B1816" s="0" t="n">
        <v>8</v>
      </c>
      <c r="C1816" s="0" t="n">
        <v>3865234.375</v>
      </c>
      <c r="D1816" s="0" t="n">
        <v>-8475404.431790004</v>
      </c>
      <c r="E1816" s="0" t="n">
        <v>1.068116142787392e-05</v>
      </c>
      <c r="F1816" s="0" t="n">
        <v>1.091846144392627e-05</v>
      </c>
      <c r="G1816" s="0" t="n">
        <v>-2.37300016052352e-07</v>
      </c>
      <c r="H1816" s="0" t="b">
        <v>1</v>
      </c>
    </row>
    <row r="1817">
      <c r="A1817" s="0" t="n">
        <v>173</v>
      </c>
      <c r="B1817" s="0" t="n">
        <v>9</v>
      </c>
      <c r="C1817" s="0" t="n">
        <v>3888476.5625</v>
      </c>
      <c r="D1817" s="0" t="n">
        <v>-1051774.85237079</v>
      </c>
      <c r="E1817" s="0" t="n">
        <v>1.089054604011148e-05</v>
      </c>
      <c r="F1817" s="0" t="n">
        <v>1.091846144392627e-05</v>
      </c>
      <c r="G1817" s="0" t="n">
        <v>-2.791540381479175e-08</v>
      </c>
      <c r="H1817" s="0" t="b">
        <v>1</v>
      </c>
    </row>
    <row r="1818">
      <c r="A1818" s="0" t="n">
        <v>173</v>
      </c>
      <c r="B1818" s="0" t="n">
        <v>10</v>
      </c>
      <c r="C1818" s="0" t="n">
        <v>3900097.65625</v>
      </c>
      <c r="D1818" s="0" t="n">
        <v>2997399.686467033</v>
      </c>
      <c r="E1818" s="0" t="n">
        <v>1.099598521177465e-05</v>
      </c>
      <c r="F1818" s="0" t="n">
        <v>1.091846144392627e-05</v>
      </c>
      <c r="G1818" s="0" t="n">
        <v>7.752376784837722e-08</v>
      </c>
      <c r="H1818" s="0" t="b">
        <v>0</v>
      </c>
    </row>
    <row r="1819">
      <c r="A1819" s="0" t="n">
        <v>173</v>
      </c>
      <c r="B1819" s="0" t="n">
        <v>11</v>
      </c>
      <c r="C1819" s="0" t="n">
        <v>3905908.203125</v>
      </c>
      <c r="D1819" s="0" t="n">
        <v>5107516.891055626</v>
      </c>
      <c r="E1819" s="0" t="n">
        <v>1.104889059147623e-05</v>
      </c>
      <c r="F1819" s="0" t="n">
        <v>1.091846144392627e-05</v>
      </c>
      <c r="G1819" s="0" t="n">
        <v>1.304291475499637e-07</v>
      </c>
      <c r="H1819" s="0" t="b">
        <v>0</v>
      </c>
    </row>
    <row r="1820">
      <c r="A1820" s="0" t="n">
        <v>173</v>
      </c>
      <c r="B1820" s="0" t="n">
        <v>12</v>
      </c>
      <c r="C1820" s="0" t="n">
        <v>3903002.9296875</v>
      </c>
      <c r="D1820" s="0" t="n">
        <v>4045295.860893982</v>
      </c>
      <c r="E1820" s="0" t="n">
        <v>1.102242244016238e-05</v>
      </c>
      <c r="F1820" s="0" t="n">
        <v>1.091846144392627e-05</v>
      </c>
      <c r="G1820" s="0" t="n">
        <v>1.039609962361068e-07</v>
      </c>
      <c r="H1820" s="0" t="b">
        <v>0</v>
      </c>
    </row>
    <row r="1821">
      <c r="A1821" s="0" t="n">
        <v>173</v>
      </c>
      <c r="B1821" s="0" t="n">
        <v>13</v>
      </c>
      <c r="C1821" s="0" t="n">
        <v>3901550.29296875</v>
      </c>
      <c r="D1821" s="0" t="n">
        <v>3519559.765928587</v>
      </c>
      <c r="E1821" s="0" t="n">
        <v>1.100919995891533e-05</v>
      </c>
      <c r="F1821" s="0" t="n">
        <v>1.091846144392627e-05</v>
      </c>
      <c r="G1821" s="0" t="n">
        <v>9.073851498906045e-08</v>
      </c>
      <c r="H1821" s="0" t="b">
        <v>0</v>
      </c>
    </row>
    <row r="1822">
      <c r="A1822" s="0" t="n">
        <v>173</v>
      </c>
      <c r="B1822" s="0" t="n">
        <v>14</v>
      </c>
      <c r="C1822" s="0" t="n">
        <v>3902050.29296875</v>
      </c>
      <c r="D1822" s="0" t="n">
        <v>3700115.290524285</v>
      </c>
      <c r="E1822" s="0" t="n">
        <v>1.101375029002941e-05</v>
      </c>
      <c r="F1822" s="0" t="n">
        <v>1.091846144392627e-05</v>
      </c>
      <c r="G1822" s="0" t="n">
        <v>9.528884610313828e-08</v>
      </c>
      <c r="H1822" s="0" t="b">
        <v>0</v>
      </c>
    </row>
    <row r="1823">
      <c r="A1823" s="0" t="n">
        <v>173</v>
      </c>
      <c r="B1823" s="0" t="n">
        <v>15</v>
      </c>
      <c r="C1823" s="0" t="n">
        <v>3902650.29296875</v>
      </c>
      <c r="D1823" s="0" t="n">
        <v>3917341.452524879</v>
      </c>
      <c r="E1823" s="0" t="n">
        <v>1.10192118964619e-05</v>
      </c>
      <c r="F1823" s="0" t="n">
        <v>1.091846144392627e-05</v>
      </c>
      <c r="G1823" s="0" t="n">
        <v>1.007504525356283e-07</v>
      </c>
      <c r="H1823" s="0" t="b">
        <v>0</v>
      </c>
    </row>
    <row r="1824">
      <c r="A1824" s="0" t="n">
        <v>174</v>
      </c>
      <c r="B1824" s="0" t="n">
        <v>1</v>
      </c>
      <c r="C1824" s="0" t="n">
        <v>6050000</v>
      </c>
      <c r="D1824" s="0" t="n">
        <v>6132930356.709847</v>
      </c>
      <c r="E1824" s="0" t="n">
        <v>3.003820637597372e-05</v>
      </c>
      <c r="F1824" s="0" t="n">
        <v>7.670476928739705e-06</v>
      </c>
      <c r="G1824" s="0" t="n">
        <v>2.236772944723402e-05</v>
      </c>
      <c r="H1824" s="0" t="b">
        <v>0</v>
      </c>
    </row>
    <row r="1825">
      <c r="A1825" s="0" t="n">
        <v>174</v>
      </c>
      <c r="B1825" s="0" t="n">
        <v>2</v>
      </c>
      <c r="C1825" s="0" t="n">
        <v>3075000</v>
      </c>
      <c r="D1825" s="0" t="n">
        <v>-827455.3525865105</v>
      </c>
      <c r="E1825" s="0" t="n">
        <v>1.952852181799864e-06</v>
      </c>
      <c r="F1825" s="0" t="n">
        <v>7.670476928739707e-06</v>
      </c>
      <c r="G1825" s="0" t="n">
        <v>-5.717624746939843e-06</v>
      </c>
      <c r="H1825" s="0" t="b">
        <v>1</v>
      </c>
    </row>
    <row r="1826">
      <c r="A1826" s="0" t="n">
        <v>174</v>
      </c>
      <c r="B1826" s="0" t="n">
        <v>3</v>
      </c>
      <c r="C1826" s="0" t="n">
        <v>4562500</v>
      </c>
      <c r="D1826" s="0" t="n">
        <v>9827495.772094272</v>
      </c>
      <c r="E1826" s="0" t="n">
        <v>7.861315885867609e-06</v>
      </c>
      <c r="F1826" s="0" t="n">
        <v>7.670476928739707e-06</v>
      </c>
      <c r="G1826" s="0" t="n">
        <v>1.908389571279017e-07</v>
      </c>
      <c r="H1826" s="0" t="b">
        <v>0</v>
      </c>
    </row>
    <row r="1827">
      <c r="A1827" s="0" t="n">
        <v>174</v>
      </c>
      <c r="B1827" s="0" t="n">
        <v>4</v>
      </c>
      <c r="C1827" s="0" t="n">
        <v>3818750</v>
      </c>
      <c r="D1827" s="0" t="n">
        <v>-8283848.451274408</v>
      </c>
      <c r="E1827" s="0" t="n">
        <v>4.230574264545321e-06</v>
      </c>
      <c r="F1827" s="0" t="n">
        <v>7.670476928739707e-06</v>
      </c>
      <c r="G1827" s="0" t="n">
        <v>-3.439902664194386e-06</v>
      </c>
      <c r="H1827" s="0" t="b">
        <v>1</v>
      </c>
    </row>
    <row r="1828">
      <c r="A1828" s="0" t="n">
        <v>174</v>
      </c>
      <c r="B1828" s="0" t="n">
        <v>5</v>
      </c>
      <c r="C1828" s="0" t="n">
        <v>4190625</v>
      </c>
      <c r="D1828" s="0" t="n">
        <v>-29511870.12848241</v>
      </c>
      <c r="E1828" s="0" t="n">
        <v>5.884324734335084e-06</v>
      </c>
      <c r="F1828" s="0" t="n">
        <v>7.670476928739707e-06</v>
      </c>
      <c r="G1828" s="0" t="n">
        <v>-1.786152194404623e-06</v>
      </c>
      <c r="H1828" s="0" t="b">
        <v>1</v>
      </c>
    </row>
    <row r="1829">
      <c r="A1829" s="0" t="n">
        <v>174</v>
      </c>
      <c r="B1829" s="0" t="n">
        <v>6</v>
      </c>
      <c r="C1829" s="0" t="n">
        <v>4376562.5</v>
      </c>
      <c r="D1829" s="0" t="n">
        <v>-27307567.65639955</v>
      </c>
      <c r="E1829" s="0" t="n">
        <v>6.834034834080724e-06</v>
      </c>
      <c r="F1829" s="0" t="n">
        <v>7.670476928739707e-06</v>
      </c>
      <c r="G1829" s="0" t="n">
        <v>-8.364420946589829e-07</v>
      </c>
      <c r="H1829" s="0" t="b">
        <v>1</v>
      </c>
    </row>
    <row r="1830">
      <c r="A1830" s="0" t="n">
        <v>174</v>
      </c>
      <c r="B1830" s="0" t="n">
        <v>7</v>
      </c>
      <c r="C1830" s="0" t="n">
        <v>4469531.25</v>
      </c>
      <c r="D1830" s="0" t="n">
        <v>-13893193.51064268</v>
      </c>
      <c r="E1830" s="0" t="n">
        <v>7.338178883678108e-06</v>
      </c>
      <c r="F1830" s="0" t="n">
        <v>7.670476928739707e-06</v>
      </c>
      <c r="G1830" s="0" t="n">
        <v>-3.322980450615985e-07</v>
      </c>
      <c r="H1830" s="0" t="b">
        <v>1</v>
      </c>
    </row>
    <row r="1831">
      <c r="A1831" s="0" t="n">
        <v>174</v>
      </c>
      <c r="B1831" s="0" t="n">
        <v>8</v>
      </c>
      <c r="C1831" s="0" t="n">
        <v>4516015.625</v>
      </c>
      <c r="D1831" s="0" t="n">
        <v>-3405458.26931131</v>
      </c>
      <c r="E1831" s="0" t="n">
        <v>7.597390005598787e-06</v>
      </c>
      <c r="F1831" s="0" t="n">
        <v>7.670476928739707e-06</v>
      </c>
      <c r="G1831" s="0" t="n">
        <v>-7.308692314091948e-08</v>
      </c>
      <c r="H1831" s="0" t="b">
        <v>1</v>
      </c>
    </row>
    <row r="1832">
      <c r="A1832" s="0" t="n">
        <v>174</v>
      </c>
      <c r="B1832" s="0" t="n">
        <v>9</v>
      </c>
      <c r="C1832" s="0" t="n">
        <v>4539257.8125</v>
      </c>
      <c r="D1832" s="0" t="n">
        <v>2858066.091918872</v>
      </c>
      <c r="E1832" s="0" t="n">
        <v>7.728767054861112e-06</v>
      </c>
      <c r="F1832" s="0" t="n">
        <v>7.670476928739707e-06</v>
      </c>
      <c r="G1832" s="0" t="n">
        <v>5.829012612140513e-08</v>
      </c>
      <c r="H1832" s="0" t="b">
        <v>0</v>
      </c>
    </row>
    <row r="1833">
      <c r="A1833" s="0" t="n">
        <v>174</v>
      </c>
      <c r="B1833" s="0" t="n">
        <v>10</v>
      </c>
      <c r="C1833" s="0" t="n">
        <v>4550878.90625</v>
      </c>
      <c r="D1833" s="0" t="n">
        <v>6253360.91917565</v>
      </c>
      <c r="E1833" s="0" t="n">
        <v>7.794895486466766e-06</v>
      </c>
      <c r="F1833" s="0" t="n">
        <v>7.670476928739707e-06</v>
      </c>
      <c r="G1833" s="0" t="n">
        <v>1.244185577270595e-07</v>
      </c>
      <c r="H1833" s="0" t="b">
        <v>0</v>
      </c>
    </row>
    <row r="1834">
      <c r="A1834" s="0" t="n">
        <v>174</v>
      </c>
      <c r="B1834" s="0" t="n">
        <v>11</v>
      </c>
      <c r="C1834" s="0" t="n">
        <v>4545068.359375</v>
      </c>
      <c r="D1834" s="0" t="n">
        <v>4533504.668405964</v>
      </c>
      <c r="E1834" s="0" t="n">
        <v>7.761794717248156e-06</v>
      </c>
      <c r="F1834" s="0" t="n">
        <v>7.670476928739707e-06</v>
      </c>
      <c r="G1834" s="0" t="n">
        <v>9.131778850844934e-08</v>
      </c>
      <c r="H1834" s="0" t="b">
        <v>0</v>
      </c>
    </row>
    <row r="1835">
      <c r="A1835" s="0" t="n">
        <v>175</v>
      </c>
      <c r="B1835" s="0" t="n">
        <v>1</v>
      </c>
      <c r="C1835" s="0" t="n">
        <v>6050000</v>
      </c>
      <c r="D1835" s="0" t="n">
        <v>74070993461.74345</v>
      </c>
      <c r="E1835" s="0" t="n">
        <v>0.0001405919747277211</v>
      </c>
      <c r="F1835" s="0" t="n">
        <v>7.438027789305273e-06</v>
      </c>
      <c r="G1835" s="0" t="n">
        <v>0.0001331539469384159</v>
      </c>
      <c r="H1835" s="0" t="b">
        <v>0</v>
      </c>
    </row>
    <row r="1836">
      <c r="A1836" s="0" t="n">
        <v>175</v>
      </c>
      <c r="B1836" s="0" t="n">
        <v>2</v>
      </c>
      <c r="C1836" s="0" t="n">
        <v>3075000</v>
      </c>
      <c r="D1836" s="0" t="n">
        <v>-24188225.33102184</v>
      </c>
      <c r="E1836" s="0" t="n">
        <v>5.366502411888253e-06</v>
      </c>
      <c r="F1836" s="0" t="n">
        <v>7.438027789305276e-06</v>
      </c>
      <c r="G1836" s="0" t="n">
        <v>-2.071525377417024e-06</v>
      </c>
      <c r="H1836" s="0" t="b">
        <v>1</v>
      </c>
    </row>
    <row r="1837">
      <c r="A1837" s="0" t="n">
        <v>175</v>
      </c>
      <c r="B1837" s="0" t="n">
        <v>3</v>
      </c>
      <c r="C1837" s="0" t="n">
        <v>4562500</v>
      </c>
      <c r="D1837" s="0" t="n">
        <v>7768849314.474826</v>
      </c>
      <c r="E1837" s="0" t="n">
        <v>3.305096222971943e-05</v>
      </c>
      <c r="F1837" s="0" t="n">
        <v>7.438027789305276e-06</v>
      </c>
      <c r="G1837" s="0" t="n">
        <v>2.561293444041415e-05</v>
      </c>
      <c r="H1837" s="0" t="b">
        <v>0</v>
      </c>
    </row>
    <row r="1838">
      <c r="A1838" s="0" t="n">
        <v>175</v>
      </c>
      <c r="B1838" s="0" t="n">
        <v>4</v>
      </c>
      <c r="C1838" s="0" t="n">
        <v>3818750</v>
      </c>
      <c r="D1838" s="0" t="n">
        <v>467652877.6163265</v>
      </c>
      <c r="E1838" s="0" t="n">
        <v>1.124215696425533e-05</v>
      </c>
      <c r="F1838" s="0" t="n">
        <v>7.438027789305276e-06</v>
      </c>
      <c r="G1838" s="0" t="n">
        <v>3.804129174950055e-06</v>
      </c>
      <c r="H1838" s="0" t="b">
        <v>0</v>
      </c>
    </row>
    <row r="1839">
      <c r="A1839" s="0" t="n">
        <v>175</v>
      </c>
      <c r="B1839" s="0" t="n">
        <v>5</v>
      </c>
      <c r="C1839" s="0" t="n">
        <v>3446875</v>
      </c>
      <c r="D1839" s="0" t="n">
        <v>35123700.90649151</v>
      </c>
      <c r="E1839" s="0" t="n">
        <v>8.019774037693481e-06</v>
      </c>
      <c r="F1839" s="0" t="n">
        <v>7.438027789305276e-06</v>
      </c>
      <c r="G1839" s="0" t="n">
        <v>5.817462483882044e-07</v>
      </c>
      <c r="H1839" s="0" t="b">
        <v>0</v>
      </c>
    </row>
    <row r="1840">
      <c r="A1840" s="0" t="n">
        <v>175</v>
      </c>
      <c r="B1840" s="0" t="n">
        <v>6</v>
      </c>
      <c r="C1840" s="0" t="n">
        <v>3260937.5</v>
      </c>
      <c r="D1840" s="0" t="n">
        <v>-27056464.26432888</v>
      </c>
      <c r="E1840" s="0" t="n">
        <v>6.617898308468161e-06</v>
      </c>
      <c r="F1840" s="0" t="n">
        <v>7.438027789305276e-06</v>
      </c>
      <c r="G1840" s="0" t="n">
        <v>-8.201294808371152e-07</v>
      </c>
      <c r="H1840" s="0" t="b">
        <v>1</v>
      </c>
    </row>
    <row r="1841">
      <c r="A1841" s="0" t="n">
        <v>175</v>
      </c>
      <c r="B1841" s="0" t="n">
        <v>7</v>
      </c>
      <c r="C1841" s="0" t="n">
        <v>3353906.25</v>
      </c>
      <c r="D1841" s="0" t="n">
        <v>-6342822.994425259</v>
      </c>
      <c r="E1841" s="0" t="n">
        <v>7.300679163828228e-06</v>
      </c>
      <c r="F1841" s="0" t="n">
        <v>7.438027789305276e-06</v>
      </c>
      <c r="G1841" s="0" t="n">
        <v>-1.373486254770481e-07</v>
      </c>
      <c r="H1841" s="0" t="b">
        <v>1</v>
      </c>
    </row>
    <row r="1842">
      <c r="A1842" s="0" t="n">
        <v>175</v>
      </c>
      <c r="B1842" s="0" t="n">
        <v>8</v>
      </c>
      <c r="C1842" s="0" t="n">
        <v>3400390.625</v>
      </c>
      <c r="D1842" s="0" t="n">
        <v>11571910.81496564</v>
      </c>
      <c r="E1842" s="0" t="n">
        <v>7.655668342255878e-06</v>
      </c>
      <c r="F1842" s="0" t="n">
        <v>7.438027789305276e-06</v>
      </c>
      <c r="G1842" s="0" t="n">
        <v>2.176405529506013e-07</v>
      </c>
      <c r="H1842" s="0" t="b">
        <v>0</v>
      </c>
    </row>
    <row r="1843">
      <c r="A1843" s="0" t="n">
        <v>175</v>
      </c>
      <c r="B1843" s="0" t="n">
        <v>9</v>
      </c>
      <c r="C1843" s="0" t="n">
        <v>3377148.4375</v>
      </c>
      <c r="D1843" s="0" t="n">
        <v>1936336.820842946</v>
      </c>
      <c r="E1843" s="0" t="n">
        <v>7.477030663405416e-06</v>
      </c>
      <c r="F1843" s="0" t="n">
        <v>7.438027789305276e-06</v>
      </c>
      <c r="G1843" s="0" t="n">
        <v>3.900287410013964e-08</v>
      </c>
      <c r="H1843" s="0" t="b">
        <v>0</v>
      </c>
    </row>
    <row r="1844">
      <c r="A1844" s="0" t="n">
        <v>175</v>
      </c>
      <c r="B1844" s="0" t="n">
        <v>10</v>
      </c>
      <c r="C1844" s="0" t="n">
        <v>3388769.53125</v>
      </c>
      <c r="D1844" s="0" t="n">
        <v>6581148.349192784</v>
      </c>
      <c r="E1844" s="0" t="n">
        <v>7.566063500316336e-06</v>
      </c>
      <c r="F1844" s="0" t="n">
        <v>7.438027789305276e-06</v>
      </c>
      <c r="G1844" s="0" t="n">
        <v>1.280357110110596e-07</v>
      </c>
      <c r="H1844" s="0" t="b">
        <v>0</v>
      </c>
    </row>
    <row r="1845">
      <c r="A1845" s="0" t="n">
        <v>175</v>
      </c>
      <c r="B1845" s="0" t="n">
        <v>11</v>
      </c>
      <c r="C1845" s="0" t="n">
        <v>3382958.984375</v>
      </c>
      <c r="D1845" s="0" t="n">
        <v>4215896.504983325</v>
      </c>
      <c r="E1845" s="0" t="n">
        <v>7.521475123038875e-06</v>
      </c>
      <c r="F1845" s="0" t="n">
        <v>7.438027789305276e-06</v>
      </c>
      <c r="G1845" s="0" t="n">
        <v>8.34473337335987e-08</v>
      </c>
      <c r="H1845" s="0" t="b">
        <v>0</v>
      </c>
    </row>
    <row r="1846">
      <c r="A1846" s="0" t="n">
        <v>175</v>
      </c>
      <c r="B1846" s="0" t="n">
        <v>12</v>
      </c>
      <c r="C1846" s="0" t="n">
        <v>3380053.7109375</v>
      </c>
      <c r="D1846" s="0" t="n">
        <v>3065452.482169481</v>
      </c>
      <c r="E1846" s="0" t="n">
        <v>7.499234785500579e-06</v>
      </c>
      <c r="F1846" s="0" t="n">
        <v>7.438027789305276e-06</v>
      </c>
      <c r="G1846" s="0" t="n">
        <v>6.120699619530283e-08</v>
      </c>
      <c r="H1846" s="0" t="b">
        <v>0</v>
      </c>
    </row>
    <row r="1847">
      <c r="A1847" s="0" t="n">
        <v>175</v>
      </c>
      <c r="B1847" s="0" t="n">
        <v>13</v>
      </c>
      <c r="C1847" s="0" t="n">
        <v>3381506.34765625</v>
      </c>
      <c r="D1847" s="0" t="n">
        <v>3638020.934477944</v>
      </c>
      <c r="E1847" s="0" t="n">
        <v>7.510350799495394e-06</v>
      </c>
      <c r="F1847" s="0" t="n">
        <v>7.438027789305276e-06</v>
      </c>
      <c r="G1847" s="0" t="n">
        <v>7.232301019011778e-08</v>
      </c>
      <c r="H1847" s="0" t="b">
        <v>0</v>
      </c>
    </row>
    <row r="1848">
      <c r="A1848" s="0" t="n">
        <v>175</v>
      </c>
      <c r="B1848" s="0" t="n">
        <v>14</v>
      </c>
      <c r="C1848" s="0" t="n">
        <v>3381006.34765625</v>
      </c>
      <c r="D1848" s="0" t="n">
        <v>3440329.17463348</v>
      </c>
      <c r="E1848" s="0" t="n">
        <v>7.506523431841012e-06</v>
      </c>
      <c r="F1848" s="0" t="n">
        <v>7.438027789305276e-06</v>
      </c>
      <c r="G1848" s="0" t="n">
        <v>6.849564253573598e-08</v>
      </c>
      <c r="H1848" s="0" t="b">
        <v>0</v>
      </c>
    </row>
    <row r="1849">
      <c r="A1849" s="0" t="n">
        <v>175</v>
      </c>
      <c r="B1849" s="0" t="n">
        <v>15</v>
      </c>
      <c r="C1849" s="0" t="n">
        <v>3380406.34765625</v>
      </c>
      <c r="D1849" s="0" t="n">
        <v>3203953.324489816</v>
      </c>
      <c r="E1849" s="0" t="n">
        <v>7.501932374926613e-06</v>
      </c>
      <c r="F1849" s="0" t="n">
        <v>7.438027789305276e-06</v>
      </c>
      <c r="G1849" s="0" t="n">
        <v>6.39045856213363e-08</v>
      </c>
      <c r="H1849" s="0" t="b">
        <v>0</v>
      </c>
    </row>
    <row r="1850">
      <c r="A1850" s="0" t="n">
        <v>175</v>
      </c>
      <c r="B1850" s="0" t="n">
        <v>16</v>
      </c>
      <c r="C1850" s="0" t="n">
        <v>3380706.34765625</v>
      </c>
      <c r="D1850" s="0" t="n">
        <v>3322027.512988538</v>
      </c>
      <c r="E1850" s="0" t="n">
        <v>7.504227712298138e-06</v>
      </c>
      <c r="F1850" s="0" t="n">
        <v>7.438027789305276e-06</v>
      </c>
      <c r="G1850" s="0" t="n">
        <v>6.619992299286219e-08</v>
      </c>
      <c r="H1850" s="0" t="b">
        <v>0</v>
      </c>
    </row>
    <row r="1851">
      <c r="A1851" s="0" t="n">
        <v>175</v>
      </c>
      <c r="B1851" s="0" t="n">
        <v>17</v>
      </c>
      <c r="C1851" s="0" t="n">
        <v>3381066.34765625</v>
      </c>
      <c r="D1851" s="0" t="n">
        <v>3464016.813955667</v>
      </c>
      <c r="E1851" s="0" t="n">
        <v>7.506982621607667e-06</v>
      </c>
      <c r="F1851" s="0" t="n">
        <v>7.438027789305276e-06</v>
      </c>
      <c r="G1851" s="0" t="n">
        <v>6.895483230239092e-08</v>
      </c>
      <c r="H1851" s="0" t="b">
        <v>0</v>
      </c>
    </row>
    <row r="1852">
      <c r="A1852" s="0" t="n">
        <v>175</v>
      </c>
      <c r="B1852" s="0" t="n">
        <v>18</v>
      </c>
      <c r="C1852" s="0" t="n">
        <v>3380886.34765625</v>
      </c>
      <c r="D1852" s="0" t="n">
        <v>3392981.205772606</v>
      </c>
      <c r="E1852" s="0" t="n">
        <v>7.505605098165202e-06</v>
      </c>
      <c r="F1852" s="0" t="n">
        <v>7.438027789305276e-06</v>
      </c>
      <c r="G1852" s="0" t="n">
        <v>6.75773088599259e-08</v>
      </c>
      <c r="H1852" s="0" t="b">
        <v>0</v>
      </c>
    </row>
    <row r="1853">
      <c r="A1853" s="0" t="n">
        <v>176</v>
      </c>
      <c r="B1853" s="0" t="n">
        <v>1</v>
      </c>
      <c r="C1853" s="0" t="n">
        <v>6050000</v>
      </c>
      <c r="D1853" s="0" t="n">
        <v>-25493051.52224436</v>
      </c>
      <c r="E1853" s="0" t="n">
        <v>6.590159109172702e-06</v>
      </c>
      <c r="F1853" s="0" t="n">
        <v>7.325987490245379e-06</v>
      </c>
      <c r="G1853" s="0" t="n">
        <v>-7.358283810726764e-07</v>
      </c>
      <c r="H1853" s="0" t="b">
        <v>1</v>
      </c>
    </row>
    <row r="1854">
      <c r="A1854" s="0" t="n">
        <v>176</v>
      </c>
      <c r="B1854" s="0" t="n">
        <v>2</v>
      </c>
      <c r="C1854" s="0" t="n">
        <v>9025000</v>
      </c>
      <c r="D1854" s="0" t="n">
        <v>11537771055.67345</v>
      </c>
      <c r="E1854" s="0" t="n">
        <v>4.084012435438807e-05</v>
      </c>
      <c r="F1854" s="0" t="n">
        <v>7.325987490245379e-06</v>
      </c>
      <c r="G1854" s="0" t="n">
        <v>3.351413686414269e-05</v>
      </c>
      <c r="H1854" s="0" t="b">
        <v>0</v>
      </c>
    </row>
    <row r="1855">
      <c r="A1855" s="0" t="n">
        <v>176</v>
      </c>
      <c r="B1855" s="0" t="n">
        <v>3</v>
      </c>
      <c r="C1855" s="0" t="n">
        <v>7537500</v>
      </c>
      <c r="D1855" s="0" t="n">
        <v>1505023138.965057</v>
      </c>
      <c r="E1855" s="0" t="n">
        <v>1.499008065408624e-05</v>
      </c>
      <c r="F1855" s="0" t="n">
        <v>7.325987490245379e-06</v>
      </c>
      <c r="G1855" s="0" t="n">
        <v>7.664093163840857e-06</v>
      </c>
      <c r="H1855" s="0" t="b">
        <v>0</v>
      </c>
    </row>
    <row r="1856">
      <c r="A1856" s="0" t="n">
        <v>176</v>
      </c>
      <c r="B1856" s="0" t="n">
        <v>4</v>
      </c>
      <c r="C1856" s="0" t="n">
        <v>6793750</v>
      </c>
      <c r="D1856" s="0" t="n">
        <v>213434647.0222094</v>
      </c>
      <c r="E1856" s="0" t="n">
        <v>9.573179794537565e-06</v>
      </c>
      <c r="F1856" s="0" t="n">
        <v>7.325987490245379e-06</v>
      </c>
      <c r="G1856" s="0" t="n">
        <v>2.247192304292186e-06</v>
      </c>
      <c r="H1856" s="0" t="b">
        <v>0</v>
      </c>
    </row>
    <row r="1857">
      <c r="A1857" s="0" t="n">
        <v>176</v>
      </c>
      <c r="B1857" s="0" t="n">
        <v>5</v>
      </c>
      <c r="C1857" s="0" t="n">
        <v>6421875</v>
      </c>
      <c r="D1857" s="0" t="n">
        <v>43602526.50483128</v>
      </c>
      <c r="E1857" s="0" t="n">
        <v>8.014234266484304e-06</v>
      </c>
      <c r="F1857" s="0" t="n">
        <v>7.325987490245379e-06</v>
      </c>
      <c r="G1857" s="0" t="n">
        <v>6.88246776238925e-07</v>
      </c>
      <c r="H1857" s="0" t="b">
        <v>0</v>
      </c>
    </row>
    <row r="1858">
      <c r="A1858" s="0" t="n">
        <v>176</v>
      </c>
      <c r="B1858" s="0" t="n">
        <v>6</v>
      </c>
      <c r="C1858" s="0" t="n">
        <v>6235937.5</v>
      </c>
      <c r="D1858" s="0" t="n">
        <v>-2009000.264394706</v>
      </c>
      <c r="E1858" s="0" t="n">
        <v>7.28456526355976e-06</v>
      </c>
      <c r="F1858" s="0" t="n">
        <v>7.325987490245379e-06</v>
      </c>
      <c r="G1858" s="0" t="n">
        <v>-4.14222266856182e-08</v>
      </c>
      <c r="H1858" s="0" t="b">
        <v>1</v>
      </c>
    </row>
    <row r="1859">
      <c r="A1859" s="0" t="n">
        <v>176</v>
      </c>
      <c r="B1859" s="0" t="n">
        <v>7</v>
      </c>
      <c r="C1859" s="0" t="n">
        <v>6328906.25</v>
      </c>
      <c r="D1859" s="0" t="n">
        <v>17810996.65469987</v>
      </c>
      <c r="E1859" s="0" t="n">
        <v>7.645056073693837e-06</v>
      </c>
      <c r="F1859" s="0" t="n">
        <v>7.325987490245379e-06</v>
      </c>
      <c r="G1859" s="0" t="n">
        <v>3.190685834484583e-07</v>
      </c>
      <c r="H1859" s="0" t="b">
        <v>0</v>
      </c>
    </row>
    <row r="1860">
      <c r="A1860" s="0" t="n">
        <v>176</v>
      </c>
      <c r="B1860" s="0" t="n">
        <v>8</v>
      </c>
      <c r="C1860" s="0" t="n">
        <v>6282421.875</v>
      </c>
      <c r="D1860" s="0" t="n">
        <v>7179959.1773058</v>
      </c>
      <c r="E1860" s="0" t="n">
        <v>7.463712208402747e-06</v>
      </c>
      <c r="F1860" s="0" t="n">
        <v>7.325987490245379e-06</v>
      </c>
      <c r="G1860" s="0" t="n">
        <v>1.377247181573682e-07</v>
      </c>
      <c r="H1860" s="0" t="b">
        <v>0</v>
      </c>
    </row>
    <row r="1861">
      <c r="A1861" s="0" t="n">
        <v>176</v>
      </c>
      <c r="B1861" s="0" t="n">
        <v>9</v>
      </c>
      <c r="C1861" s="0" t="n">
        <v>6259179.6875</v>
      </c>
      <c r="D1861" s="0" t="n">
        <v>2408560.573421863</v>
      </c>
      <c r="E1861" s="0" t="n">
        <v>7.373862661165696e-06</v>
      </c>
      <c r="F1861" s="0" t="n">
        <v>7.325987490245379e-06</v>
      </c>
      <c r="G1861" s="0" t="n">
        <v>4.787517092031774e-08</v>
      </c>
      <c r="H1861" s="0" t="b">
        <v>0</v>
      </c>
    </row>
    <row r="1862">
      <c r="A1862" s="0" t="n">
        <v>176</v>
      </c>
      <c r="B1862" s="0" t="n">
        <v>10</v>
      </c>
      <c r="C1862" s="0" t="n">
        <v>6270800.78125</v>
      </c>
      <c r="D1862" s="0" t="n">
        <v>4749590.167381627</v>
      </c>
      <c r="E1862" s="0" t="n">
        <v>7.41871831711276e-06</v>
      </c>
      <c r="F1862" s="0" t="n">
        <v>7.325987490245379e-06</v>
      </c>
      <c r="G1862" s="0" t="n">
        <v>9.273082686738184e-08</v>
      </c>
      <c r="H1862" s="0" t="b">
        <v>0</v>
      </c>
    </row>
    <row r="1863">
      <c r="A1863" s="0" t="n">
        <v>176</v>
      </c>
      <c r="B1863" s="0" t="n">
        <v>11</v>
      </c>
      <c r="C1863" s="0" t="n">
        <v>6276611.328125</v>
      </c>
      <c r="D1863" s="0" t="n">
        <v>5953565.481468291</v>
      </c>
      <c r="E1863" s="0" t="n">
        <v>7.441198207858836e-06</v>
      </c>
      <c r="F1863" s="0" t="n">
        <v>7.325987490245379e-06</v>
      </c>
      <c r="G1863" s="0" t="n">
        <v>1.152107176134577e-07</v>
      </c>
      <c r="H1863" s="0" t="b">
        <v>0</v>
      </c>
    </row>
    <row r="1864">
      <c r="A1864" s="0" t="n">
        <v>176</v>
      </c>
      <c r="B1864" s="0" t="n">
        <v>12</v>
      </c>
      <c r="C1864" s="0" t="n">
        <v>6279516.6015625</v>
      </c>
      <c r="D1864" s="0" t="n">
        <v>6563951.750740803</v>
      </c>
      <c r="E1864" s="0" t="n">
        <v>7.45245091406137e-06</v>
      </c>
      <c r="F1864" s="0" t="n">
        <v>7.325987490245379e-06</v>
      </c>
      <c r="G1864" s="0" t="n">
        <v>1.264634238159913e-07</v>
      </c>
      <c r="H1864" s="0" t="b">
        <v>0</v>
      </c>
    </row>
    <row r="1865">
      <c r="A1865" s="0" t="n">
        <v>176</v>
      </c>
      <c r="B1865" s="0" t="n">
        <v>13</v>
      </c>
      <c r="C1865" s="0" t="n">
        <v>6278063.96484375</v>
      </c>
      <c r="D1865" s="0" t="n">
        <v>6258042.33789538</v>
      </c>
      <c r="E1865" s="0" t="n">
        <v>7.446823220758972e-06</v>
      </c>
      <c r="F1865" s="0" t="n">
        <v>7.325987490245379e-06</v>
      </c>
      <c r="G1865" s="0" t="n">
        <v>1.208357305135929e-07</v>
      </c>
      <c r="H1865" s="0" t="b">
        <v>0</v>
      </c>
    </row>
    <row r="1866">
      <c r="A1866" s="0" t="n">
        <v>177</v>
      </c>
      <c r="B1866" s="0" t="n">
        <v>1</v>
      </c>
      <c r="C1866" s="0" t="n">
        <v>6050000</v>
      </c>
      <c r="D1866" s="0" t="n">
        <v>74694941997.80659</v>
      </c>
      <c r="E1866" s="0" t="n">
        <v>0.0001388580358973305</v>
      </c>
      <c r="F1866" s="0" t="n">
        <v>7.325987490245392e-06</v>
      </c>
      <c r="G1866" s="0" t="n">
        <v>0.0001315320484070852</v>
      </c>
      <c r="H1866" s="0" t="b">
        <v>0</v>
      </c>
    </row>
    <row r="1867">
      <c r="A1867" s="0" t="n">
        <v>177</v>
      </c>
      <c r="B1867" s="0" t="n">
        <v>2</v>
      </c>
      <c r="C1867" s="0" t="n">
        <v>3075000</v>
      </c>
      <c r="D1867" s="0" t="n">
        <v>-24064844.46472406</v>
      </c>
      <c r="E1867" s="0" t="n">
        <v>5.294620045802032e-06</v>
      </c>
      <c r="F1867" s="0" t="n">
        <v>7.325987490245379e-06</v>
      </c>
      <c r="G1867" s="0" t="n">
        <v>-2.031367444443347e-06</v>
      </c>
      <c r="H1867" s="0" t="b">
        <v>1</v>
      </c>
    </row>
    <row r="1868">
      <c r="A1868" s="0" t="n">
        <v>177</v>
      </c>
      <c r="B1868" s="0" t="n">
        <v>3</v>
      </c>
      <c r="C1868" s="0" t="n">
        <v>4562500</v>
      </c>
      <c r="D1868" s="0" t="n">
        <v>7795863113.561717</v>
      </c>
      <c r="E1868" s="0" t="n">
        <v>3.254960088279005e-05</v>
      </c>
      <c r="F1868" s="0" t="n">
        <v>7.325987490245379e-06</v>
      </c>
      <c r="G1868" s="0" t="n">
        <v>2.522361339254468e-05</v>
      </c>
      <c r="H1868" s="0" t="b">
        <v>0</v>
      </c>
    </row>
    <row r="1869">
      <c r="A1869" s="0" t="n">
        <v>177</v>
      </c>
      <c r="B1869" s="0" t="n">
        <v>4</v>
      </c>
      <c r="C1869" s="0" t="n">
        <v>3818750</v>
      </c>
      <c r="D1869" s="0" t="n">
        <v>472912837.4902074</v>
      </c>
      <c r="E1869" s="0" t="n">
        <v>1.11047661831752e-05</v>
      </c>
      <c r="F1869" s="0" t="n">
        <v>7.325987490245379e-06</v>
      </c>
      <c r="G1869" s="0" t="n">
        <v>3.778778692929826e-06</v>
      </c>
      <c r="H1869" s="0" t="b">
        <v>0</v>
      </c>
    </row>
    <row r="1870">
      <c r="A1870" s="0" t="n">
        <v>177</v>
      </c>
      <c r="B1870" s="0" t="n">
        <v>5</v>
      </c>
      <c r="C1870" s="0" t="n">
        <v>3446875</v>
      </c>
      <c r="D1870" s="0" t="n">
        <v>36275409.74753481</v>
      </c>
      <c r="E1870" s="0" t="n">
        <v>7.917083656180703e-06</v>
      </c>
      <c r="F1870" s="0" t="n">
        <v>7.325987490245379e-06</v>
      </c>
      <c r="G1870" s="0" t="n">
        <v>5.91096165935324e-07</v>
      </c>
      <c r="H1870" s="0" t="b">
        <v>0</v>
      </c>
    </row>
    <row r="1871">
      <c r="A1871" s="0" t="n">
        <v>177</v>
      </c>
      <c r="B1871" s="0" t="n">
        <v>6</v>
      </c>
      <c r="C1871" s="0" t="n">
        <v>3260937.5</v>
      </c>
      <c r="D1871" s="0" t="n">
        <v>-26621498.04931069</v>
      </c>
      <c r="E1871" s="0" t="n">
        <v>6.531170927679527e-06</v>
      </c>
      <c r="F1871" s="0" t="n">
        <v>7.325987490245379e-06</v>
      </c>
      <c r="G1871" s="0" t="n">
        <v>-7.948165625658512e-07</v>
      </c>
      <c r="H1871" s="0" t="b">
        <v>1</v>
      </c>
    </row>
    <row r="1872">
      <c r="A1872" s="0" t="n">
        <v>177</v>
      </c>
      <c r="B1872" s="0" t="n">
        <v>7</v>
      </c>
      <c r="C1872" s="0" t="n">
        <v>3353906.25</v>
      </c>
      <c r="D1872" s="0" t="n">
        <v>-5635955.812833703</v>
      </c>
      <c r="E1872" s="0" t="n">
        <v>7.205842505434259e-06</v>
      </c>
      <c r="F1872" s="0" t="n">
        <v>7.325987490245379e-06</v>
      </c>
      <c r="G1872" s="0" t="n">
        <v>-1.201449848111192e-07</v>
      </c>
      <c r="H1872" s="0" t="b">
        <v>1</v>
      </c>
    </row>
    <row r="1873">
      <c r="A1873" s="0" t="n">
        <v>177</v>
      </c>
      <c r="B1873" s="0" t="n">
        <v>8</v>
      </c>
      <c r="C1873" s="0" t="n">
        <v>3400390.625</v>
      </c>
      <c r="D1873" s="0" t="n">
        <v>12477221.7739431</v>
      </c>
      <c r="E1873" s="0" t="n">
        <v>7.556928449688085e-06</v>
      </c>
      <c r="F1873" s="0" t="n">
        <v>7.325987490245379e-06</v>
      </c>
      <c r="G1873" s="0" t="n">
        <v>2.309409594427067e-07</v>
      </c>
      <c r="H1873" s="0" t="b">
        <v>0</v>
      </c>
    </row>
    <row r="1874">
      <c r="A1874" s="0" t="n">
        <v>177</v>
      </c>
      <c r="B1874" s="0" t="n">
        <v>9</v>
      </c>
      <c r="C1874" s="0" t="n">
        <v>3377148.4375</v>
      </c>
      <c r="D1874" s="0" t="n">
        <v>2736626.248447192</v>
      </c>
      <c r="E1874" s="0" t="n">
        <v>7.380244100950894e-06</v>
      </c>
      <c r="F1874" s="0" t="n">
        <v>7.325987490245379e-06</v>
      </c>
      <c r="G1874" s="0" t="n">
        <v>5.425661070551534e-08</v>
      </c>
      <c r="H1874" s="0" t="b">
        <v>0</v>
      </c>
    </row>
    <row r="1875">
      <c r="A1875" s="0" t="n">
        <v>177</v>
      </c>
      <c r="B1875" s="0" t="n">
        <v>10</v>
      </c>
      <c r="C1875" s="0" t="n">
        <v>3388769.53125</v>
      </c>
      <c r="D1875" s="0" t="n">
        <v>7432491.563312124</v>
      </c>
      <c r="E1875" s="0" t="n">
        <v>7.468301730527614e-06</v>
      </c>
      <c r="F1875" s="0" t="n">
        <v>7.325987490245379e-06</v>
      </c>
      <c r="G1875" s="0" t="n">
        <v>1.423142402822351e-07</v>
      </c>
      <c r="H1875" s="0" t="b">
        <v>0</v>
      </c>
    </row>
    <row r="1876">
      <c r="A1876" s="0" t="n">
        <v>177</v>
      </c>
      <c r="B1876" s="0" t="n">
        <v>11</v>
      </c>
      <c r="C1876" s="0" t="n">
        <v>3382958.984375</v>
      </c>
      <c r="D1876" s="0" t="n">
        <v>5041374.420154911</v>
      </c>
      <c r="E1876" s="0" t="n">
        <v>7.424201694069455e-06</v>
      </c>
      <c r="F1876" s="0" t="n">
        <v>7.325987490245379e-06</v>
      </c>
      <c r="G1876" s="0" t="n">
        <v>9.821420382407595e-08</v>
      </c>
      <c r="H1876" s="0" t="b">
        <v>0</v>
      </c>
    </row>
    <row r="1877">
      <c r="A1877" s="0" t="n">
        <v>177</v>
      </c>
      <c r="B1877" s="0" t="n">
        <v>12</v>
      </c>
      <c r="C1877" s="0" t="n">
        <v>3380053.7109375</v>
      </c>
      <c r="D1877" s="0" t="n">
        <v>3878273.465859332</v>
      </c>
      <c r="E1877" s="0" t="n">
        <v>7.4022053827454e-06</v>
      </c>
      <c r="F1877" s="0" t="n">
        <v>7.325987490245379e-06</v>
      </c>
      <c r="G1877" s="0" t="n">
        <v>7.621789250002166e-08</v>
      </c>
      <c r="H1877" s="0" t="b">
        <v>0</v>
      </c>
    </row>
    <row r="1878">
      <c r="A1878" s="0" t="n">
        <v>177</v>
      </c>
      <c r="B1878" s="0" t="n">
        <v>13</v>
      </c>
      <c r="C1878" s="0" t="n">
        <v>3378601.07421875</v>
      </c>
      <c r="D1878" s="0" t="n">
        <v>3304761.949629898</v>
      </c>
      <c r="E1878" s="0" t="n">
        <v>7.391220115553441e-06</v>
      </c>
      <c r="F1878" s="0" t="n">
        <v>7.325987490245379e-06</v>
      </c>
      <c r="G1878" s="0" t="n">
        <v>6.523262530806239e-08</v>
      </c>
      <c r="H1878" s="0" t="b">
        <v>0</v>
      </c>
    </row>
    <row r="1879">
      <c r="A1879" s="0" t="n">
        <v>177</v>
      </c>
      <c r="B1879" s="0" t="n">
        <v>14</v>
      </c>
      <c r="C1879" s="0" t="n">
        <v>3379101.07421875</v>
      </c>
      <c r="D1879" s="0" t="n">
        <v>3501554.499976132</v>
      </c>
      <c r="E1879" s="0" t="n">
        <v>7.395000148997139e-06</v>
      </c>
      <c r="F1879" s="0" t="n">
        <v>7.325987490245379e-06</v>
      </c>
      <c r="G1879" s="0" t="n">
        <v>6.901265875176002e-08</v>
      </c>
      <c r="H1879" s="0" t="b">
        <v>0</v>
      </c>
    </row>
    <row r="1880">
      <c r="A1880" s="0" t="n">
        <v>177</v>
      </c>
      <c r="B1880" s="0" t="n">
        <v>15</v>
      </c>
      <c r="C1880" s="0" t="n">
        <v>3378851.07421875</v>
      </c>
      <c r="D1880" s="0" t="n">
        <v>3403078.842527444</v>
      </c>
      <c r="E1880" s="0" t="n">
        <v>7.393110000305384e-06</v>
      </c>
      <c r="F1880" s="0" t="n">
        <v>7.325987490245379e-06</v>
      </c>
      <c r="G1880" s="0" t="n">
        <v>6.712251006000496e-08</v>
      </c>
      <c r="H1880" s="0" t="b">
        <v>0</v>
      </c>
    </row>
    <row r="1881">
      <c r="A1881" s="0" t="n">
        <v>178</v>
      </c>
      <c r="B1881" s="0" t="n">
        <v>1</v>
      </c>
      <c r="C1881" s="0" t="n">
        <v>6050000</v>
      </c>
      <c r="D1881" s="0" t="n">
        <v>1790083854.958067</v>
      </c>
      <c r="E1881" s="0" t="n">
        <v>1.567424682766052e-05</v>
      </c>
      <c r="F1881" s="0" t="n">
        <v>7.216614559804518e-06</v>
      </c>
      <c r="G1881" s="0" t="n">
        <v>8.457632267856005e-06</v>
      </c>
      <c r="H1881" s="0" t="b">
        <v>0</v>
      </c>
    </row>
    <row r="1882">
      <c r="A1882" s="0" t="n">
        <v>178</v>
      </c>
      <c r="B1882" s="0" t="n">
        <v>2</v>
      </c>
      <c r="C1882" s="0" t="n">
        <v>3075000</v>
      </c>
      <c r="D1882" s="0" t="n">
        <v>-495986.0029059246</v>
      </c>
      <c r="E1882" s="0" t="n">
        <v>1.201485783100441e-06</v>
      </c>
      <c r="F1882" s="0" t="n">
        <v>7.216614559804519e-06</v>
      </c>
      <c r="G1882" s="0" t="n">
        <v>-6.015128776704078e-06</v>
      </c>
      <c r="H1882" s="0" t="b">
        <v>1</v>
      </c>
    </row>
    <row r="1883">
      <c r="A1883" s="0" t="n">
        <v>178</v>
      </c>
      <c r="B1883" s="0" t="n">
        <v>3</v>
      </c>
      <c r="C1883" s="0" t="n">
        <v>4562500</v>
      </c>
      <c r="D1883" s="0" t="n">
        <v>-25800472.9337199</v>
      </c>
      <c r="E1883" s="0" t="n">
        <v>5.352800373934605e-06</v>
      </c>
      <c r="F1883" s="0" t="n">
        <v>7.216614559804519e-06</v>
      </c>
      <c r="G1883" s="0" t="n">
        <v>-1.863814185869915e-06</v>
      </c>
      <c r="H1883" s="0" t="b">
        <v>1</v>
      </c>
    </row>
    <row r="1884">
      <c r="A1884" s="0" t="n">
        <v>178</v>
      </c>
      <c r="B1884" s="0" t="n">
        <v>4</v>
      </c>
      <c r="C1884" s="0" t="n">
        <v>5306250</v>
      </c>
      <c r="D1884" s="0" t="n">
        <v>141793160.8804359</v>
      </c>
      <c r="E1884" s="0" t="n">
        <v>8.887853453895886e-06</v>
      </c>
      <c r="F1884" s="0" t="n">
        <v>7.216614559804519e-06</v>
      </c>
      <c r="G1884" s="0" t="n">
        <v>1.671238894091367e-06</v>
      </c>
      <c r="H1884" s="0" t="b">
        <v>0</v>
      </c>
    </row>
    <row r="1885">
      <c r="A1885" s="0" t="n">
        <v>178</v>
      </c>
      <c r="B1885" s="0" t="n">
        <v>5</v>
      </c>
      <c r="C1885" s="0" t="n">
        <v>4934375</v>
      </c>
      <c r="D1885" s="0" t="n">
        <v>-9702640.753855303</v>
      </c>
      <c r="E1885" s="0" t="n">
        <v>7.002679162649205e-06</v>
      </c>
      <c r="F1885" s="0" t="n">
        <v>7.216614559804519e-06</v>
      </c>
      <c r="G1885" s="0" t="n">
        <v>-2.139353971553138e-07</v>
      </c>
      <c r="H1885" s="0" t="b">
        <v>1</v>
      </c>
    </row>
    <row r="1886">
      <c r="A1886" s="0" t="n">
        <v>178</v>
      </c>
      <c r="B1886" s="0" t="n">
        <v>6</v>
      </c>
      <c r="C1886" s="0" t="n">
        <v>5120312.5</v>
      </c>
      <c r="D1886" s="0" t="n">
        <v>45179524.77519451</v>
      </c>
      <c r="E1886" s="0" t="n">
        <v>7.917236946032054e-06</v>
      </c>
      <c r="F1886" s="0" t="n">
        <v>7.216614559804519e-06</v>
      </c>
      <c r="G1886" s="0" t="n">
        <v>7.006223862275344e-07</v>
      </c>
      <c r="H1886" s="0" t="b">
        <v>0</v>
      </c>
    </row>
    <row r="1887">
      <c r="A1887" s="0" t="n">
        <v>178</v>
      </c>
      <c r="B1887" s="0" t="n">
        <v>7</v>
      </c>
      <c r="C1887" s="0" t="n">
        <v>5027343.75</v>
      </c>
      <c r="D1887" s="0" t="n">
        <v>12925564.18087669</v>
      </c>
      <c r="E1887" s="0" t="n">
        <v>7.452774014194694e-06</v>
      </c>
      <c r="F1887" s="0" t="n">
        <v>7.216614559804519e-06</v>
      </c>
      <c r="G1887" s="0" t="n">
        <v>2.361594543901748e-07</v>
      </c>
      <c r="H1887" s="0" t="b">
        <v>0</v>
      </c>
    </row>
    <row r="1888">
      <c r="A1888" s="0" t="n">
        <v>178</v>
      </c>
      <c r="B1888" s="0" t="n">
        <v>8</v>
      </c>
      <c r="C1888" s="0" t="n">
        <v>4980859.375</v>
      </c>
      <c r="D1888" s="0" t="n">
        <v>463844.3885008693</v>
      </c>
      <c r="E1888" s="0" t="n">
        <v>7.225893159450629e-06</v>
      </c>
      <c r="F1888" s="0" t="n">
        <v>7.216614559804519e-06</v>
      </c>
      <c r="G1888" s="0" t="n">
        <v>9.278599646109997e-09</v>
      </c>
      <c r="H1888" s="0" t="b">
        <v>0</v>
      </c>
    </row>
    <row r="1889">
      <c r="A1889" s="0" t="n">
        <v>178</v>
      </c>
      <c r="B1889" s="0" t="n">
        <v>9</v>
      </c>
      <c r="C1889" s="0" t="n">
        <v>5004101.5625</v>
      </c>
      <c r="D1889" s="0" t="n">
        <v>6400404.715001688</v>
      </c>
      <c r="E1889" s="0" t="n">
        <v>7.338878112256822e-06</v>
      </c>
      <c r="F1889" s="0" t="n">
        <v>7.216614559804519e-06</v>
      </c>
      <c r="G1889" s="0" t="n">
        <v>1.222635524523025e-07</v>
      </c>
      <c r="H1889" s="0" t="b">
        <v>0</v>
      </c>
    </row>
    <row r="1890">
      <c r="A1890" s="0" t="n">
        <v>178</v>
      </c>
      <c r="B1890" s="0" t="n">
        <v>10</v>
      </c>
      <c r="C1890" s="0" t="n">
        <v>4992480.46875</v>
      </c>
      <c r="D1890" s="0" t="n">
        <v>3359444.720402588</v>
      </c>
      <c r="E1890" s="0" t="n">
        <v>7.282271231092679e-06</v>
      </c>
      <c r="F1890" s="0" t="n">
        <v>7.216614559804519e-06</v>
      </c>
      <c r="G1890" s="0" t="n">
        <v>6.565667128815988e-08</v>
      </c>
      <c r="H1890" s="0" t="b">
        <v>0</v>
      </c>
    </row>
    <row r="1891">
      <c r="A1891" s="0" t="n">
        <v>178</v>
      </c>
      <c r="B1891" s="0" t="n">
        <v>11</v>
      </c>
      <c r="C1891" s="0" t="n">
        <v>4998291.015625</v>
      </c>
      <c r="D1891" s="0" t="n">
        <v>4861649.316089783</v>
      </c>
      <c r="E1891" s="0" t="n">
        <v>7.310546282517427e-06</v>
      </c>
      <c r="F1891" s="0" t="n">
        <v>7.216614559804519e-06</v>
      </c>
      <c r="G1891" s="0" t="n">
        <v>9.393172271290755e-08</v>
      </c>
      <c r="H1891" s="0" t="b">
        <v>0</v>
      </c>
    </row>
    <row r="1892">
      <c r="A1892" s="0" t="n">
        <v>178</v>
      </c>
      <c r="B1892" s="0" t="n">
        <v>12</v>
      </c>
      <c r="C1892" s="0" t="n">
        <v>5001196.2890625</v>
      </c>
      <c r="D1892" s="0" t="n">
        <v>5626427.209427926</v>
      </c>
      <c r="E1892" s="0" t="n">
        <v>7.32470479574336e-06</v>
      </c>
      <c r="F1892" s="0" t="n">
        <v>7.216614559804519e-06</v>
      </c>
      <c r="G1892" s="0" t="n">
        <v>1.080902359388404e-07</v>
      </c>
      <c r="H1892" s="0" t="b">
        <v>0</v>
      </c>
    </row>
    <row r="1893">
      <c r="A1893" s="0" t="n">
        <v>178</v>
      </c>
      <c r="B1893" s="0" t="n">
        <v>13</v>
      </c>
      <c r="C1893" s="0" t="n">
        <v>4999743.65234375</v>
      </c>
      <c r="D1893" s="0" t="n">
        <v>5242886.444609229</v>
      </c>
      <c r="E1893" s="0" t="n">
        <v>7.317623619596145e-06</v>
      </c>
      <c r="F1893" s="0" t="n">
        <v>7.216614559804519e-06</v>
      </c>
      <c r="G1893" s="0" t="n">
        <v>1.010090597916263e-07</v>
      </c>
      <c r="H1893" s="0" t="b">
        <v>0</v>
      </c>
    </row>
    <row r="1894">
      <c r="A1894" s="0" t="n">
        <v>178</v>
      </c>
      <c r="B1894" s="0" t="n">
        <v>14</v>
      </c>
      <c r="C1894" s="0" t="n">
        <v>4998543.65234375</v>
      </c>
      <c r="D1894" s="0" t="n">
        <v>4927790.857051186</v>
      </c>
      <c r="E1894" s="0" t="n">
        <v>7.311776936151612e-06</v>
      </c>
      <c r="F1894" s="0" t="n">
        <v>7.216614559804519e-06</v>
      </c>
      <c r="G1894" s="0" t="n">
        <v>9.516237634709319e-08</v>
      </c>
      <c r="H1894" s="0" t="b">
        <v>0</v>
      </c>
    </row>
    <row r="1895">
      <c r="A1895" s="0" t="n">
        <v>178</v>
      </c>
      <c r="B1895" s="0" t="n">
        <v>15</v>
      </c>
      <c r="C1895" s="0" t="n">
        <v>4999143.65234375</v>
      </c>
      <c r="D1895" s="0" t="n">
        <v>5085136.144744936</v>
      </c>
      <c r="E1895" s="0" t="n">
        <v>7.314699836431082e-06</v>
      </c>
      <c r="F1895" s="0" t="n">
        <v>7.216614559804519e-06</v>
      </c>
      <c r="G1895" s="0" t="n">
        <v>9.808527662656331e-08</v>
      </c>
      <c r="H1895" s="0" t="b">
        <v>0</v>
      </c>
    </row>
    <row r="1896">
      <c r="A1896" s="0" t="n">
        <v>178</v>
      </c>
      <c r="B1896" s="0" t="n">
        <v>16</v>
      </c>
      <c r="C1896" s="0" t="n">
        <v>4998843.65234375</v>
      </c>
      <c r="D1896" s="0" t="n">
        <v>5006422.142071186</v>
      </c>
      <c r="E1896" s="0" t="n">
        <v>7.313238447677363e-06</v>
      </c>
      <c r="F1896" s="0" t="n">
        <v>7.216614559804519e-06</v>
      </c>
      <c r="G1896" s="0" t="n">
        <v>9.662388787284373e-08</v>
      </c>
      <c r="H1896" s="0" t="b">
        <v>0</v>
      </c>
    </row>
    <row r="1897">
      <c r="A1897" s="0" t="n">
        <v>179</v>
      </c>
      <c r="B1897" s="0" t="n">
        <v>1</v>
      </c>
      <c r="C1897" s="0" t="n">
        <v>6050000</v>
      </c>
      <c r="D1897" s="0" t="n">
        <v>-26955866.57708725</v>
      </c>
      <c r="E1897" s="0" t="n">
        <v>6.349307495458726e-06</v>
      </c>
      <c r="F1897" s="0" t="n">
        <v>7.162901126064025e-06</v>
      </c>
      <c r="G1897" s="0" t="n">
        <v>-8.135936306052992e-07</v>
      </c>
      <c r="H1897" s="0" t="b">
        <v>1</v>
      </c>
    </row>
    <row r="1898">
      <c r="A1898" s="0" t="n">
        <v>179</v>
      </c>
      <c r="B1898" s="0" t="n">
        <v>2</v>
      </c>
      <c r="C1898" s="0" t="n">
        <v>9025000</v>
      </c>
      <c r="D1898" s="0" t="n">
        <v>11080232901.14157</v>
      </c>
      <c r="E1898" s="0" t="n">
        <v>3.88537368472234e-05</v>
      </c>
      <c r="F1898" s="0" t="n">
        <v>7.162901126064024e-06</v>
      </c>
      <c r="G1898" s="0" t="n">
        <v>3.169083572115938e-05</v>
      </c>
      <c r="H1898" s="0" t="b">
        <v>0</v>
      </c>
    </row>
    <row r="1899">
      <c r="A1899" s="0" t="n">
        <v>179</v>
      </c>
      <c r="B1899" s="0" t="n">
        <v>3</v>
      </c>
      <c r="C1899" s="0" t="n">
        <v>7537500</v>
      </c>
      <c r="D1899" s="0" t="n">
        <v>1336616660.293892</v>
      </c>
      <c r="E1899" s="0" t="n">
        <v>1.415008016373702e-05</v>
      </c>
      <c r="F1899" s="0" t="n">
        <v>7.162901126064025e-06</v>
      </c>
      <c r="G1899" s="0" t="n">
        <v>6.987179037672995e-06</v>
      </c>
      <c r="H1899" s="0" t="b">
        <v>0</v>
      </c>
    </row>
    <row r="1900">
      <c r="A1900" s="0" t="n">
        <v>179</v>
      </c>
      <c r="B1900" s="0" t="n">
        <v>4</v>
      </c>
      <c r="C1900" s="0" t="n">
        <v>6793750</v>
      </c>
      <c r="D1900" s="0" t="n">
        <v>195903744.4612961</v>
      </c>
      <c r="E1900" s="0" t="n">
        <v>9.24245140089635e-06</v>
      </c>
      <c r="F1900" s="0" t="n">
        <v>7.162901126064025e-06</v>
      </c>
      <c r="G1900" s="0" t="n">
        <v>2.079550274832324e-06</v>
      </c>
      <c r="H1900" s="0" t="b">
        <v>0</v>
      </c>
    </row>
    <row r="1901">
      <c r="A1901" s="0" t="n">
        <v>179</v>
      </c>
      <c r="B1901" s="0" t="n">
        <v>5</v>
      </c>
      <c r="C1901" s="0" t="n">
        <v>6421875</v>
      </c>
      <c r="D1901" s="0" t="n">
        <v>35153087.93401451</v>
      </c>
      <c r="E1901" s="0" t="n">
        <v>7.72930591869676e-06</v>
      </c>
      <c r="F1901" s="0" t="n">
        <v>7.162901126064025e-06</v>
      </c>
      <c r="G1901" s="0" t="n">
        <v>5.664047926327351e-07</v>
      </c>
      <c r="H1901" s="0" t="b">
        <v>0</v>
      </c>
    </row>
    <row r="1902">
      <c r="A1902" s="0" t="n">
        <v>179</v>
      </c>
      <c r="B1902" s="0" t="n">
        <v>6</v>
      </c>
      <c r="C1902" s="0" t="n">
        <v>6235937.5</v>
      </c>
      <c r="D1902" s="0" t="n">
        <v>-6633185.888294425</v>
      </c>
      <c r="E1902" s="0" t="n">
        <v>7.021925040605057e-06</v>
      </c>
      <c r="F1902" s="0" t="n">
        <v>7.162901126064025e-06</v>
      </c>
      <c r="G1902" s="0" t="n">
        <v>-1.409760854589677e-07</v>
      </c>
      <c r="H1902" s="0" t="b">
        <v>1</v>
      </c>
    </row>
    <row r="1903">
      <c r="A1903" s="0" t="n">
        <v>179</v>
      </c>
      <c r="B1903" s="0" t="n">
        <v>7</v>
      </c>
      <c r="C1903" s="0" t="n">
        <v>6328906.25</v>
      </c>
      <c r="D1903" s="0" t="n">
        <v>11348211.18699818</v>
      </c>
      <c r="E1903" s="0" t="n">
        <v>7.371343687430503e-06</v>
      </c>
      <c r="F1903" s="0" t="n">
        <v>7.162901126064025e-06</v>
      </c>
      <c r="G1903" s="0" t="n">
        <v>2.084425613664774e-07</v>
      </c>
      <c r="H1903" s="0" t="b">
        <v>0</v>
      </c>
    </row>
    <row r="1904">
      <c r="A1904" s="0" t="n">
        <v>179</v>
      </c>
      <c r="B1904" s="0" t="n">
        <v>8</v>
      </c>
      <c r="C1904" s="0" t="n">
        <v>6282421.875</v>
      </c>
      <c r="D1904" s="0" t="n">
        <v>1655892.703138705</v>
      </c>
      <c r="E1904" s="0" t="n">
        <v>7.195551340532929e-06</v>
      </c>
      <c r="F1904" s="0" t="n">
        <v>7.162901126064025e-06</v>
      </c>
      <c r="G1904" s="0" t="n">
        <v>3.265021446890362e-08</v>
      </c>
      <c r="H1904" s="0" t="b">
        <v>0</v>
      </c>
    </row>
    <row r="1905">
      <c r="A1905" s="0" t="n">
        <v>179</v>
      </c>
      <c r="B1905" s="0" t="n">
        <v>9</v>
      </c>
      <c r="C1905" s="0" t="n">
        <v>6305664.0625</v>
      </c>
      <c r="D1905" s="0" t="n">
        <v>6323188.33376987</v>
      </c>
      <c r="E1905" s="0" t="n">
        <v>7.283177831678565e-06</v>
      </c>
      <c r="F1905" s="0" t="n">
        <v>7.162901126064025e-06</v>
      </c>
      <c r="G1905" s="0" t="n">
        <v>1.202767056145402e-07</v>
      </c>
      <c r="H1905" s="0" t="b">
        <v>0</v>
      </c>
    </row>
    <row r="1906">
      <c r="A1906" s="0" t="n">
        <v>180</v>
      </c>
      <c r="B1906" s="0" t="n">
        <v>1</v>
      </c>
      <c r="C1906" s="0" t="n">
        <v>6050000</v>
      </c>
      <c r="D1906" s="0" t="n">
        <v>1711707282.280933</v>
      </c>
      <c r="E1906" s="0" t="n">
        <v>1.527364905124237e-05</v>
      </c>
      <c r="F1906" s="0" t="n">
        <v>7.162901126064025e-06</v>
      </c>
      <c r="G1906" s="0" t="n">
        <v>8.110747925178344e-06</v>
      </c>
      <c r="H1906" s="0" t="b">
        <v>0</v>
      </c>
    </row>
    <row r="1907">
      <c r="A1907" s="0" t="n">
        <v>180</v>
      </c>
      <c r="B1907" s="0" t="n">
        <v>2</v>
      </c>
      <c r="C1907" s="0" t="n">
        <v>3075000</v>
      </c>
      <c r="D1907" s="0" t="n">
        <v>-488989.9496318573</v>
      </c>
      <c r="E1907" s="0" t="n">
        <v>1.171008777670083e-06</v>
      </c>
      <c r="F1907" s="0" t="n">
        <v>7.162901126064025e-06</v>
      </c>
      <c r="G1907" s="0" t="n">
        <v>-5.991892348393942e-06</v>
      </c>
      <c r="H1907" s="0" t="b">
        <v>1</v>
      </c>
    </row>
    <row r="1908">
      <c r="A1908" s="0" t="n">
        <v>180</v>
      </c>
      <c r="B1908" s="0" t="n">
        <v>3</v>
      </c>
      <c r="C1908" s="0" t="n">
        <v>4562500</v>
      </c>
      <c r="D1908" s="0" t="n">
        <v>-24986188.0918574</v>
      </c>
      <c r="E1908" s="0" t="n">
        <v>5.265670215964431e-06</v>
      </c>
      <c r="F1908" s="0" t="n">
        <v>7.162901126064025e-06</v>
      </c>
      <c r="G1908" s="0" t="n">
        <v>-1.897230910099594e-06</v>
      </c>
      <c r="H1908" s="0" t="b">
        <v>1</v>
      </c>
    </row>
    <row r="1909">
      <c r="A1909" s="0" t="n">
        <v>180</v>
      </c>
      <c r="B1909" s="0" t="n">
        <v>4</v>
      </c>
      <c r="C1909" s="0" t="n">
        <v>5306250</v>
      </c>
      <c r="D1909" s="0" t="n">
        <v>133333936.4730737</v>
      </c>
      <c r="E1909" s="0" t="n">
        <v>8.752802163684703e-06</v>
      </c>
      <c r="F1909" s="0" t="n">
        <v>7.162901126064025e-06</v>
      </c>
      <c r="G1909" s="0" t="n">
        <v>1.589901037620678e-06</v>
      </c>
      <c r="H1909" s="0" t="b">
        <v>0</v>
      </c>
    </row>
    <row r="1910">
      <c r="A1910" s="0" t="n">
        <v>180</v>
      </c>
      <c r="B1910" s="0" t="n">
        <v>5</v>
      </c>
      <c r="C1910" s="0" t="n">
        <v>4934375</v>
      </c>
      <c r="D1910" s="0" t="n">
        <v>-11994554.3370537</v>
      </c>
      <c r="E1910" s="0" t="n">
        <v>6.892332831240375e-06</v>
      </c>
      <c r="F1910" s="0" t="n">
        <v>7.162901126064025e-06</v>
      </c>
      <c r="G1910" s="0" t="n">
        <v>-2.705682948236506e-07</v>
      </c>
      <c r="H1910" s="0" t="b">
        <v>1</v>
      </c>
    </row>
    <row r="1911">
      <c r="A1911" s="0" t="n">
        <v>180</v>
      </c>
      <c r="B1911" s="0" t="n">
        <v>6</v>
      </c>
      <c r="C1911" s="0" t="n">
        <v>5120312.5</v>
      </c>
      <c r="D1911" s="0" t="n">
        <v>40092507.99050833</v>
      </c>
      <c r="E1911" s="0" t="n">
        <v>7.794695192941981e-06</v>
      </c>
      <c r="F1911" s="0" t="n">
        <v>7.162901126064025e-06</v>
      </c>
      <c r="G1911" s="0" t="n">
        <v>6.317940668779555e-07</v>
      </c>
      <c r="H1911" s="0" t="b">
        <v>0</v>
      </c>
    </row>
    <row r="1912">
      <c r="A1912" s="0" t="n">
        <v>180</v>
      </c>
      <c r="B1912" s="0" t="n">
        <v>7</v>
      </c>
      <c r="C1912" s="0" t="n">
        <v>5027343.75</v>
      </c>
      <c r="D1912" s="0" t="n">
        <v>9313615.265165444</v>
      </c>
      <c r="E1912" s="0" t="n">
        <v>7.33633995685284e-06</v>
      </c>
      <c r="F1912" s="0" t="n">
        <v>7.162901126064025e-06</v>
      </c>
      <c r="G1912" s="0" t="n">
        <v>1.73438830788815e-07</v>
      </c>
      <c r="H1912" s="0" t="b">
        <v>0</v>
      </c>
    </row>
    <row r="1913">
      <c r="A1913" s="0" t="n">
        <v>180</v>
      </c>
      <c r="B1913" s="0" t="n">
        <v>8</v>
      </c>
      <c r="C1913" s="0" t="n">
        <v>4980859.375</v>
      </c>
      <c r="D1913" s="0" t="n">
        <v>-2466984.171411233</v>
      </c>
      <c r="E1913" s="0" t="n">
        <v>7.112514730175531e-06</v>
      </c>
      <c r="F1913" s="0" t="n">
        <v>7.162901126064025e-06</v>
      </c>
      <c r="G1913" s="0" t="n">
        <v>-5.03863958884938e-08</v>
      </c>
      <c r="H1913" s="0" t="b">
        <v>1</v>
      </c>
    </row>
    <row r="1914">
      <c r="A1914" s="0" t="n">
        <v>180</v>
      </c>
      <c r="B1914" s="0" t="n">
        <v>9</v>
      </c>
      <c r="C1914" s="0" t="n">
        <v>5004101.5625</v>
      </c>
      <c r="D1914" s="0" t="n">
        <v>3134129.467682682</v>
      </c>
      <c r="E1914" s="0" t="n">
        <v>7.223974208407278e-06</v>
      </c>
      <c r="F1914" s="0" t="n">
        <v>7.162901126064025e-06</v>
      </c>
      <c r="G1914" s="0" t="n">
        <v>6.107308234325302e-08</v>
      </c>
      <c r="H1914" s="0" t="b">
        <v>0</v>
      </c>
    </row>
    <row r="1915">
      <c r="A1915" s="0" t="n">
        <v>180</v>
      </c>
      <c r="B1915" s="0" t="n">
        <v>10</v>
      </c>
      <c r="C1915" s="0" t="n">
        <v>5015722.65625</v>
      </c>
      <c r="D1915" s="0" t="n">
        <v>6150656.601052789</v>
      </c>
      <c r="E1915" s="0" t="n">
        <v>7.280044049944802e-06</v>
      </c>
      <c r="F1915" s="0" t="n">
        <v>7.162901126064025e-06</v>
      </c>
      <c r="G1915" s="0" t="n">
        <v>1.171429238807771e-07</v>
      </c>
      <c r="H1915" s="0" t="b">
        <v>0</v>
      </c>
    </row>
    <row r="1916">
      <c r="A1916" s="0" t="n">
        <v>180</v>
      </c>
      <c r="B1916" s="0" t="n">
        <v>11</v>
      </c>
      <c r="C1916" s="0" t="n">
        <v>5009912.109375</v>
      </c>
      <c r="D1916" s="0" t="n">
        <v>4624204.226080104</v>
      </c>
      <c r="E1916" s="0" t="n">
        <v>7.25198086517902e-06</v>
      </c>
      <c r="F1916" s="0" t="n">
        <v>7.162901126064025e-06</v>
      </c>
      <c r="G1916" s="0" t="n">
        <v>8.907973911499489e-08</v>
      </c>
      <c r="H1916" s="0" t="b">
        <v>0</v>
      </c>
    </row>
    <row r="1917">
      <c r="A1917" s="0" t="n">
        <v>180</v>
      </c>
      <c r="B1917" s="0" t="n">
        <v>12</v>
      </c>
      <c r="C1917" s="0" t="n">
        <v>5012817.3828125</v>
      </c>
      <c r="D1917" s="0" t="n">
        <v>5382868.993124127</v>
      </c>
      <c r="E1917" s="0" t="n">
        <v>7.266005396597907e-06</v>
      </c>
      <c r="F1917" s="0" t="n">
        <v>7.162901126064025e-06</v>
      </c>
      <c r="G1917" s="0" t="n">
        <v>1.031042705338818e-07</v>
      </c>
      <c r="H1917" s="0" t="b">
        <v>0</v>
      </c>
    </row>
    <row r="1918">
      <c r="A1918" s="0" t="n">
        <v>180</v>
      </c>
      <c r="B1918" s="0" t="n">
        <v>13</v>
      </c>
      <c r="C1918" s="0" t="n">
        <v>5011364.74609375</v>
      </c>
      <c r="D1918" s="0" t="n">
        <v>5002412.763162362</v>
      </c>
      <c r="E1918" s="0" t="n">
        <v>7.258991637425843e-06</v>
      </c>
      <c r="F1918" s="0" t="n">
        <v>7.162901126064025e-06</v>
      </c>
      <c r="G1918" s="0" t="n">
        <v>9.609051136181754e-08</v>
      </c>
      <c r="H1918" s="0" t="b">
        <v>0</v>
      </c>
    </row>
    <row r="1919">
      <c r="A1919" s="0" t="n">
        <v>181</v>
      </c>
      <c r="B1919" s="0" t="n">
        <v>1</v>
      </c>
      <c r="C1919" s="0" t="n">
        <v>6050000</v>
      </c>
      <c r="D1919" s="0" t="n">
        <v>46514230825.292</v>
      </c>
      <c r="E1919" s="0" t="n">
        <v>6.9688155354613e-05</v>
      </c>
      <c r="F1919" s="0" t="n">
        <v>5.408805722959895e-06</v>
      </c>
      <c r="G1919" s="0" t="n">
        <v>6.427934963165311e-05</v>
      </c>
      <c r="H1919" s="0" t="b">
        <v>0</v>
      </c>
    </row>
    <row r="1920">
      <c r="A1920" s="0" t="n">
        <v>181</v>
      </c>
      <c r="B1920" s="0" t="n">
        <v>2</v>
      </c>
      <c r="C1920" s="0" t="n">
        <v>3075000</v>
      </c>
      <c r="D1920" s="0" t="n">
        <v>-7119818.508103254</v>
      </c>
      <c r="E1920" s="0" t="n">
        <v>2.967419560206038e-06</v>
      </c>
      <c r="F1920" s="0" t="n">
        <v>5.408805722959889e-06</v>
      </c>
      <c r="G1920" s="0" t="n">
        <v>-2.441386162753851e-06</v>
      </c>
      <c r="H1920" s="0" t="b">
        <v>1</v>
      </c>
    </row>
    <row r="1921">
      <c r="A1921" s="0" t="n">
        <v>181</v>
      </c>
      <c r="B1921" s="0" t="n">
        <v>3</v>
      </c>
      <c r="C1921" s="0" t="n">
        <v>4562500</v>
      </c>
      <c r="D1921" s="0" t="n">
        <v>2859767290.526632</v>
      </c>
      <c r="E1921" s="0" t="n">
        <v>1.397485629579203e-05</v>
      </c>
      <c r="F1921" s="0" t="n">
        <v>5.408805722959888e-06</v>
      </c>
      <c r="G1921" s="0" t="n">
        <v>8.566050572832142e-06</v>
      </c>
      <c r="H1921" s="0" t="b">
        <v>0</v>
      </c>
    </row>
    <row r="1922">
      <c r="A1922" s="0" t="n">
        <v>181</v>
      </c>
      <c r="B1922" s="0" t="n">
        <v>4</v>
      </c>
      <c r="C1922" s="0" t="n">
        <v>3818750</v>
      </c>
      <c r="D1922" s="0" t="n">
        <v>110617351.3258228</v>
      </c>
      <c r="E1922" s="0" t="n">
        <v>6.520125605816713e-06</v>
      </c>
      <c r="F1922" s="0" t="n">
        <v>5.408805722959889e-06</v>
      </c>
      <c r="G1922" s="0" t="n">
        <v>1.111319882856824e-06</v>
      </c>
      <c r="H1922" s="0" t="b">
        <v>0</v>
      </c>
    </row>
    <row r="1923">
      <c r="A1923" s="0" t="n">
        <v>181</v>
      </c>
      <c r="B1923" s="0" t="n">
        <v>5</v>
      </c>
      <c r="C1923" s="0" t="n">
        <v>3446875</v>
      </c>
      <c r="D1923" s="0" t="n">
        <v>-25452667.1358055</v>
      </c>
      <c r="E1923" s="0" t="n">
        <v>4.528950877386352e-06</v>
      </c>
      <c r="F1923" s="0" t="n">
        <v>5.408805722959889e-06</v>
      </c>
      <c r="G1923" s="0" t="n">
        <v>-8.798548455735373e-07</v>
      </c>
      <c r="H1923" s="0" t="b">
        <v>1</v>
      </c>
    </row>
    <row r="1924">
      <c r="A1924" s="0" t="n">
        <v>181</v>
      </c>
      <c r="B1924" s="0" t="n">
        <v>6</v>
      </c>
      <c r="C1924" s="0" t="n">
        <v>3632812.5</v>
      </c>
      <c r="D1924" s="0" t="n">
        <v>3890441.714326612</v>
      </c>
      <c r="E1924" s="0" t="n">
        <v>5.472461564381075e-06</v>
      </c>
      <c r="F1924" s="0" t="n">
        <v>5.408805722959889e-06</v>
      </c>
      <c r="G1924" s="0" t="n">
        <v>6.365584142118642e-08</v>
      </c>
      <c r="H1924" s="0" t="b">
        <v>0</v>
      </c>
    </row>
    <row r="1925">
      <c r="A1925" s="0" t="n">
        <v>181</v>
      </c>
      <c r="B1925" s="0" t="n">
        <v>7</v>
      </c>
      <c r="C1925" s="0" t="n">
        <v>3539843.75</v>
      </c>
      <c r="D1925" s="0" t="n">
        <v>-18552230.78732241</v>
      </c>
      <c r="E1925" s="0" t="n">
        <v>4.987573997923215e-06</v>
      </c>
      <c r="F1925" s="0" t="n">
        <v>5.408805722959889e-06</v>
      </c>
      <c r="G1925" s="0" t="n">
        <v>-4.212317250366741e-07</v>
      </c>
      <c r="H1925" s="0" t="b">
        <v>1</v>
      </c>
    </row>
    <row r="1926">
      <c r="A1926" s="0" t="n">
        <v>181</v>
      </c>
      <c r="B1926" s="0" t="n">
        <v>8</v>
      </c>
      <c r="C1926" s="0" t="n">
        <v>3586328.125</v>
      </c>
      <c r="D1926" s="0" t="n">
        <v>-9535183.031861713</v>
      </c>
      <c r="E1926" s="0" t="n">
        <v>5.226709709694259e-06</v>
      </c>
      <c r="F1926" s="0" t="n">
        <v>5.408805722959889e-06</v>
      </c>
      <c r="G1926" s="0" t="n">
        <v>-1.820960132656306e-07</v>
      </c>
      <c r="H1926" s="0" t="b">
        <v>1</v>
      </c>
    </row>
    <row r="1927">
      <c r="A1927" s="0" t="n">
        <v>181</v>
      </c>
      <c r="B1927" s="0" t="n">
        <v>9</v>
      </c>
      <c r="C1927" s="0" t="n">
        <v>3609570.3125</v>
      </c>
      <c r="D1927" s="0" t="n">
        <v>-3403825.39396915</v>
      </c>
      <c r="E1927" s="0" t="n">
        <v>5.348762279725605e-06</v>
      </c>
      <c r="F1927" s="0" t="n">
        <v>5.408805722959889e-06</v>
      </c>
      <c r="G1927" s="0" t="n">
        <v>-6.00434432342838e-08</v>
      </c>
      <c r="H1927" s="0" t="b">
        <v>1</v>
      </c>
    </row>
    <row r="1928">
      <c r="A1928" s="0" t="n">
        <v>181</v>
      </c>
      <c r="B1928" s="0" t="n">
        <v>10</v>
      </c>
      <c r="C1928" s="0" t="n">
        <v>3621191.40625</v>
      </c>
      <c r="D1928" s="0" t="n">
        <v>94288.30045833523</v>
      </c>
      <c r="E1928" s="0" t="n">
        <v>5.410406793222576e-06</v>
      </c>
      <c r="F1928" s="0" t="n">
        <v>5.408805722959889e-06</v>
      </c>
      <c r="G1928" s="0" t="n">
        <v>1.601070262686918e-09</v>
      </c>
      <c r="H1928" s="0" t="b">
        <v>0</v>
      </c>
    </row>
    <row r="1929">
      <c r="A1929" s="0" t="n">
        <v>181</v>
      </c>
      <c r="B1929" s="0" t="n">
        <v>11</v>
      </c>
      <c r="C1929" s="0" t="n">
        <v>3627001.953125</v>
      </c>
      <c r="D1929" s="0" t="n">
        <v>1954662.880696628</v>
      </c>
      <c r="E1929" s="0" t="n">
        <v>5.441383016612682e-06</v>
      </c>
      <c r="F1929" s="0" t="n">
        <v>5.408805722959889e-06</v>
      </c>
      <c r="G1929" s="0" t="n">
        <v>3.257729365279306e-08</v>
      </c>
      <c r="H1929" s="0" t="b">
        <v>0</v>
      </c>
    </row>
    <row r="1930">
      <c r="A1930" s="0" t="n">
        <v>181</v>
      </c>
      <c r="B1930" s="0" t="n">
        <v>12</v>
      </c>
      <c r="C1930" s="0" t="n">
        <v>3629907.2265625</v>
      </c>
      <c r="D1930" s="0" t="n">
        <v>2913076.735546234</v>
      </c>
      <c r="E1930" s="0" t="n">
        <v>5.456909600853693e-06</v>
      </c>
      <c r="F1930" s="0" t="n">
        <v>5.408805722959889e-06</v>
      </c>
      <c r="G1930" s="0" t="n">
        <v>4.810387789380441e-08</v>
      </c>
      <c r="H1930" s="0" t="b">
        <v>0</v>
      </c>
    </row>
    <row r="1931">
      <c r="A1931" s="0" t="n">
        <v>181</v>
      </c>
      <c r="B1931" s="0" t="n">
        <v>13</v>
      </c>
      <c r="C1931" s="0" t="n">
        <v>3631359.86328125</v>
      </c>
      <c r="D1931" s="0" t="n">
        <v>3399373.132789456</v>
      </c>
      <c r="E1931" s="0" t="n">
        <v>5.464682247440043e-06</v>
      </c>
      <c r="F1931" s="0" t="n">
        <v>5.408805722959889e-06</v>
      </c>
      <c r="G1931" s="0" t="n">
        <v>5.58765244801539e-08</v>
      </c>
      <c r="H1931" s="0" t="b">
        <v>0</v>
      </c>
    </row>
    <row r="1932">
      <c r="A1932" s="0" t="n">
        <v>181</v>
      </c>
      <c r="B1932" s="0" t="n">
        <v>14</v>
      </c>
      <c r="C1932" s="0" t="n">
        <v>3632559.86328125</v>
      </c>
      <c r="D1932" s="0" t="n">
        <v>3804709.156561865</v>
      </c>
      <c r="E1932" s="0" t="n">
        <v>5.471108383415513e-06</v>
      </c>
      <c r="F1932" s="0" t="n">
        <v>5.408805722959889e-06</v>
      </c>
      <c r="G1932" s="0" t="n">
        <v>6.230266045562425e-08</v>
      </c>
      <c r="H1932" s="0" t="b">
        <v>0</v>
      </c>
    </row>
    <row r="1933">
      <c r="A1933" s="0" t="n">
        <v>181</v>
      </c>
      <c r="B1933" s="0" t="n">
        <v>15</v>
      </c>
      <c r="C1933" s="0" t="n">
        <v>3631959.86328125</v>
      </c>
      <c r="D1933" s="0" t="n">
        <v>3601642.096391499</v>
      </c>
      <c r="E1933" s="0" t="n">
        <v>5.467894882240411e-06</v>
      </c>
      <c r="F1933" s="0" t="n">
        <v>5.408805722959889e-06</v>
      </c>
      <c r="G1933" s="0" t="n">
        <v>5.908915928052223e-08</v>
      </c>
      <c r="H1933" s="0" t="b">
        <v>0</v>
      </c>
    </row>
    <row r="1934">
      <c r="A1934" s="0" t="n">
        <v>182</v>
      </c>
      <c r="B1934" s="0" t="n">
        <v>1</v>
      </c>
      <c r="C1934" s="0" t="n">
        <v>6050000</v>
      </c>
      <c r="D1934" s="0" t="n">
        <v>12316987542.89982</v>
      </c>
      <c r="E1934" s="0" t="n">
        <v>2.791014492500737e-05</v>
      </c>
      <c r="F1934" s="0" t="n">
        <v>5.083768890380651e-06</v>
      </c>
      <c r="G1934" s="0" t="n">
        <v>2.282637603462672e-05</v>
      </c>
      <c r="H1934" s="0" t="b">
        <v>0</v>
      </c>
    </row>
    <row r="1935">
      <c r="A1935" s="0" t="n">
        <v>182</v>
      </c>
      <c r="B1935" s="0" t="n">
        <v>2</v>
      </c>
      <c r="C1935" s="0" t="n">
        <v>3075000</v>
      </c>
      <c r="D1935" s="0" t="n">
        <v>-1373018.251317055</v>
      </c>
      <c r="E1935" s="0" t="n">
        <v>1.629348980554894e-06</v>
      </c>
      <c r="F1935" s="0" t="n">
        <v>5.083768890380649e-06</v>
      </c>
      <c r="G1935" s="0" t="n">
        <v>-3.454419909825755e-06</v>
      </c>
      <c r="H1935" s="0" t="b">
        <v>1</v>
      </c>
    </row>
    <row r="1936">
      <c r="A1936" s="0" t="n">
        <v>182</v>
      </c>
      <c r="B1936" s="0" t="n">
        <v>3</v>
      </c>
      <c r="C1936" s="0" t="n">
        <v>4562500</v>
      </c>
      <c r="D1936" s="0" t="n">
        <v>213594627.7995543</v>
      </c>
      <c r="E1936" s="0" t="n">
        <v>6.736243122407887e-06</v>
      </c>
      <c r="F1936" s="0" t="n">
        <v>5.083768890380649e-06</v>
      </c>
      <c r="G1936" s="0" t="n">
        <v>1.652474232027238e-06</v>
      </c>
      <c r="H1936" s="0" t="b">
        <v>0</v>
      </c>
    </row>
    <row r="1937">
      <c r="A1937" s="0" t="n">
        <v>182</v>
      </c>
      <c r="B1937" s="0" t="n">
        <v>4</v>
      </c>
      <c r="C1937" s="0" t="n">
        <v>3818750</v>
      </c>
      <c r="D1937" s="0" t="n">
        <v>-17422238.29388681</v>
      </c>
      <c r="E1937" s="0" t="n">
        <v>3.587553097413286e-06</v>
      </c>
      <c r="F1937" s="0" t="n">
        <v>5.083768890380649e-06</v>
      </c>
      <c r="G1937" s="0" t="n">
        <v>-1.496215792967363e-06</v>
      </c>
      <c r="H1937" s="0" t="b">
        <v>1</v>
      </c>
    </row>
    <row r="1938">
      <c r="A1938" s="0" t="n">
        <v>182</v>
      </c>
      <c r="B1938" s="0" t="n">
        <v>5</v>
      </c>
      <c r="C1938" s="0" t="n">
        <v>4190625</v>
      </c>
      <c r="D1938" s="0" t="n">
        <v>-3785540.828377482</v>
      </c>
      <c r="E1938" s="0" t="n">
        <v>5.018734243974756e-06</v>
      </c>
      <c r="F1938" s="0" t="n">
        <v>5.083768890380649e-06</v>
      </c>
      <c r="G1938" s="0" t="n">
        <v>-6.503464640589301e-08</v>
      </c>
      <c r="H1938" s="0" t="b">
        <v>1</v>
      </c>
    </row>
    <row r="1939">
      <c r="A1939" s="0" t="n">
        <v>182</v>
      </c>
      <c r="B1939" s="0" t="n">
        <v>6</v>
      </c>
      <c r="C1939" s="0" t="n">
        <v>4376562.5</v>
      </c>
      <c r="D1939" s="0" t="n">
        <v>69829356.41315582</v>
      </c>
      <c r="E1939" s="0" t="n">
        <v>5.84307122169306e-06</v>
      </c>
      <c r="F1939" s="0" t="n">
        <v>5.083768890380649e-06</v>
      </c>
      <c r="G1939" s="0" t="n">
        <v>7.593023313124109e-07</v>
      </c>
      <c r="H1939" s="0" t="b">
        <v>0</v>
      </c>
    </row>
    <row r="1940">
      <c r="A1940" s="0" t="n">
        <v>182</v>
      </c>
      <c r="B1940" s="0" t="n">
        <v>7</v>
      </c>
      <c r="C1940" s="0" t="n">
        <v>4283593.75</v>
      </c>
      <c r="D1940" s="0" t="n">
        <v>25222531.13872828</v>
      </c>
      <c r="E1940" s="0" t="n">
        <v>5.422094543499225e-06</v>
      </c>
      <c r="F1940" s="0" t="n">
        <v>5.083768890380649e-06</v>
      </c>
      <c r="G1940" s="0" t="n">
        <v>3.383256531185766e-07</v>
      </c>
      <c r="H1940" s="0" t="b">
        <v>0</v>
      </c>
    </row>
    <row r="1941">
      <c r="A1941" s="0" t="n">
        <v>182</v>
      </c>
      <c r="B1941" s="0" t="n">
        <v>8</v>
      </c>
      <c r="C1941" s="0" t="n">
        <v>4237109.375</v>
      </c>
      <c r="D1941" s="0" t="n">
        <v>8902059.433989277</v>
      </c>
      <c r="E1941" s="0" t="n">
        <v>5.218177818288649e-06</v>
      </c>
      <c r="F1941" s="0" t="n">
        <v>5.083768890380649e-06</v>
      </c>
      <c r="G1941" s="0" t="n">
        <v>1.344089279079996e-07</v>
      </c>
      <c r="H1941" s="0" t="b">
        <v>0</v>
      </c>
    </row>
    <row r="1942">
      <c r="A1942" s="0" t="n">
        <v>182</v>
      </c>
      <c r="B1942" s="0" t="n">
        <v>9</v>
      </c>
      <c r="C1942" s="0" t="n">
        <v>4213867.1875</v>
      </c>
      <c r="D1942" s="0" t="n">
        <v>2121957.236913682</v>
      </c>
      <c r="E1942" s="0" t="n">
        <v>5.117894602233388e-06</v>
      </c>
      <c r="F1942" s="0" t="n">
        <v>5.083768890380649e-06</v>
      </c>
      <c r="G1942" s="0" t="n">
        <v>3.412571185273942e-08</v>
      </c>
      <c r="H1942" s="0" t="b">
        <v>0</v>
      </c>
    </row>
    <row r="1943">
      <c r="A1943" s="0" t="n">
        <v>182</v>
      </c>
      <c r="B1943" s="0" t="n">
        <v>10</v>
      </c>
      <c r="C1943" s="0" t="n">
        <v>4225488.28125</v>
      </c>
      <c r="D1943" s="0" t="n">
        <v>5400671.146409946</v>
      </c>
      <c r="E1943" s="0" t="n">
        <v>5.167896237459916e-06</v>
      </c>
      <c r="F1943" s="0" t="n">
        <v>5.083768890380649e-06</v>
      </c>
      <c r="G1943" s="0" t="n">
        <v>8.4127347079267e-08</v>
      </c>
      <c r="H1943" s="0" t="b">
        <v>0</v>
      </c>
    </row>
    <row r="1944">
      <c r="A1944" s="0" t="n">
        <v>182</v>
      </c>
      <c r="B1944" s="0" t="n">
        <v>11</v>
      </c>
      <c r="C1944" s="0" t="n">
        <v>4219677.734375</v>
      </c>
      <c r="D1944" s="0" t="n">
        <v>3733745.332101993</v>
      </c>
      <c r="E1944" s="0" t="n">
        <v>5.142860159014793e-06</v>
      </c>
      <c r="F1944" s="0" t="n">
        <v>5.083768890380649e-06</v>
      </c>
      <c r="G1944" s="0" t="n">
        <v>5.9091268634144e-08</v>
      </c>
      <c r="H1944" s="0" t="b">
        <v>0</v>
      </c>
    </row>
    <row r="1945">
      <c r="A1945" s="0" t="n">
        <v>182</v>
      </c>
      <c r="B1945" s="0" t="n">
        <v>12</v>
      </c>
      <c r="C1945" s="0" t="n">
        <v>4222583.0078125</v>
      </c>
      <c r="D1945" s="0" t="n">
        <v>4560290.620892243</v>
      </c>
      <c r="E1945" s="0" t="n">
        <v>5.155369538018257e-06</v>
      </c>
      <c r="F1945" s="0" t="n">
        <v>5.083768890380649e-06</v>
      </c>
      <c r="G1945" s="0" t="n">
        <v>7.160064763760807e-08</v>
      </c>
      <c r="H1945" s="0" t="b">
        <v>0</v>
      </c>
    </row>
    <row r="1946">
      <c r="A1946" s="0" t="n">
        <v>182</v>
      </c>
      <c r="B1946" s="0" t="n">
        <v>13</v>
      </c>
      <c r="C1946" s="0" t="n">
        <v>4221130.37109375</v>
      </c>
      <c r="D1946" s="0" t="n">
        <v>4145297.894511611</v>
      </c>
      <c r="E1946" s="0" t="n">
        <v>5.149112758003796e-06</v>
      </c>
      <c r="F1946" s="0" t="n">
        <v>5.083768890380649e-06</v>
      </c>
      <c r="G1946" s="0" t="n">
        <v>6.534386762314692e-08</v>
      </c>
      <c r="H1946" s="0" t="b">
        <v>0</v>
      </c>
    </row>
    <row r="1947">
      <c r="A1947" s="0" t="n">
        <v>182</v>
      </c>
      <c r="B1947" s="0" t="n">
        <v>14</v>
      </c>
      <c r="C1947" s="0" t="n">
        <v>4221630.37109375</v>
      </c>
      <c r="D1947" s="0" t="n">
        <v>4287748.89174787</v>
      </c>
      <c r="E1947" s="0" t="n">
        <v>5.151265857762327e-06</v>
      </c>
      <c r="F1947" s="0" t="n">
        <v>5.083768890380649e-06</v>
      </c>
      <c r="G1947" s="0" t="n">
        <v>6.74969673816776e-08</v>
      </c>
      <c r="H1947" s="0" t="b">
        <v>0</v>
      </c>
    </row>
    <row r="1948">
      <c r="A1948" s="0" t="n">
        <v>182</v>
      </c>
      <c r="B1948" s="0" t="n">
        <v>15</v>
      </c>
      <c r="C1948" s="0" t="n">
        <v>4221380.37109375</v>
      </c>
      <c r="D1948" s="0" t="n">
        <v>4216458.949073313</v>
      </c>
      <c r="E1948" s="0" t="n">
        <v>5.150189042270915e-06</v>
      </c>
      <c r="F1948" s="0" t="n">
        <v>5.083768890380649e-06</v>
      </c>
      <c r="G1948" s="0" t="n">
        <v>6.64201518902662e-08</v>
      </c>
      <c r="H1948" s="0" t="b">
        <v>0</v>
      </c>
    </row>
    <row r="1949">
      <c r="A1949" s="0" t="n">
        <v>183</v>
      </c>
      <c r="B1949" s="0" t="n">
        <v>1</v>
      </c>
      <c r="C1949" s="0" t="n">
        <v>6050000</v>
      </c>
      <c r="D1949" s="0" t="n">
        <v>15800769648.82697</v>
      </c>
      <c r="E1949" s="0" t="n">
        <v>3.193675571102062e-05</v>
      </c>
      <c r="F1949" s="0" t="n">
        <v>5.022485017762471e-06</v>
      </c>
      <c r="G1949" s="0" t="n">
        <v>2.691427069325815e-05</v>
      </c>
      <c r="H1949" s="0" t="b">
        <v>0</v>
      </c>
    </row>
    <row r="1950">
      <c r="A1950" s="0" t="n">
        <v>183</v>
      </c>
      <c r="B1950" s="0" t="n">
        <v>2</v>
      </c>
      <c r="C1950" s="0" t="n">
        <v>3075000</v>
      </c>
      <c r="D1950" s="0" t="n">
        <v>-1669036.419119311</v>
      </c>
      <c r="E1950" s="0" t="n">
        <v>1.754707601436885e-06</v>
      </c>
      <c r="F1950" s="0" t="n">
        <v>5.02248501776247e-06</v>
      </c>
      <c r="G1950" s="0" t="n">
        <v>-3.267777416325586e-06</v>
      </c>
      <c r="H1950" s="0" t="b">
        <v>1</v>
      </c>
    </row>
    <row r="1951">
      <c r="A1951" s="0" t="n">
        <v>183</v>
      </c>
      <c r="B1951" s="0" t="n">
        <v>3</v>
      </c>
      <c r="C1951" s="0" t="n">
        <v>4562500</v>
      </c>
      <c r="D1951" s="0" t="n">
        <v>348184820.9296949</v>
      </c>
      <c r="E1951" s="0" t="n">
        <v>7.255221910972006e-06</v>
      </c>
      <c r="F1951" s="0" t="n">
        <v>5.02248501776247e-06</v>
      </c>
      <c r="G1951" s="0" t="n">
        <v>2.232736893209535e-06</v>
      </c>
      <c r="H1951" s="0" t="b">
        <v>0</v>
      </c>
    </row>
    <row r="1952">
      <c r="A1952" s="0" t="n">
        <v>183</v>
      </c>
      <c r="B1952" s="0" t="n">
        <v>4</v>
      </c>
      <c r="C1952" s="0" t="n">
        <v>3818750</v>
      </c>
      <c r="D1952" s="0" t="n">
        <v>-22008909.16786427</v>
      </c>
      <c r="E1952" s="0" t="n">
        <v>3.885137390689027e-06</v>
      </c>
      <c r="F1952" s="0" t="n">
        <v>5.02248501776247e-06</v>
      </c>
      <c r="G1952" s="0" t="n">
        <v>-1.137347627073443e-06</v>
      </c>
      <c r="H1952" s="0" t="b">
        <v>1</v>
      </c>
    </row>
    <row r="1953">
      <c r="A1953" s="0" t="n">
        <v>183</v>
      </c>
      <c r="B1953" s="0" t="n">
        <v>5</v>
      </c>
      <c r="C1953" s="0" t="n">
        <v>4190625</v>
      </c>
      <c r="D1953" s="0" t="n">
        <v>31163073.88424074</v>
      </c>
      <c r="E1953" s="0" t="n">
        <v>5.422743559104412e-06</v>
      </c>
      <c r="F1953" s="0" t="n">
        <v>5.02248501776247e-06</v>
      </c>
      <c r="G1953" s="0" t="n">
        <v>4.002585413419418e-07</v>
      </c>
      <c r="H1953" s="0" t="b">
        <v>0</v>
      </c>
    </row>
    <row r="1954">
      <c r="A1954" s="0" t="n">
        <v>183</v>
      </c>
      <c r="B1954" s="0" t="n">
        <v>6</v>
      </c>
      <c r="C1954" s="0" t="n">
        <v>4004687.5</v>
      </c>
      <c r="D1954" s="0" t="n">
        <v>-18260041.98191512</v>
      </c>
      <c r="E1954" s="0" t="n">
        <v>4.61562276860396e-06</v>
      </c>
      <c r="F1954" s="0" t="n">
        <v>5.02248501776247e-06</v>
      </c>
      <c r="G1954" s="0" t="n">
        <v>-4.068622491585104e-07</v>
      </c>
      <c r="H1954" s="0" t="b">
        <v>1</v>
      </c>
    </row>
    <row r="1955">
      <c r="A1955" s="0" t="n">
        <v>183</v>
      </c>
      <c r="B1955" s="0" t="n">
        <v>7</v>
      </c>
      <c r="C1955" s="0" t="n">
        <v>4097656.25</v>
      </c>
      <c r="D1955" s="0" t="n">
        <v>-773147.7291426525</v>
      </c>
      <c r="E1955" s="0" t="n">
        <v>5.009742345123652e-06</v>
      </c>
      <c r="F1955" s="0" t="n">
        <v>5.02248501776247e-06</v>
      </c>
      <c r="G1955" s="0" t="n">
        <v>-1.274267263881838e-08</v>
      </c>
      <c r="H1955" s="0" t="b">
        <v>1</v>
      </c>
    </row>
    <row r="1956">
      <c r="A1956" s="0" t="n">
        <v>183</v>
      </c>
      <c r="B1956" s="0" t="n">
        <v>8</v>
      </c>
      <c r="C1956" s="0" t="n">
        <v>4144140.625</v>
      </c>
      <c r="D1956" s="0" t="n">
        <v>13231271.2457914</v>
      </c>
      <c r="E1956" s="0" t="n">
        <v>5.213934510386057e-06</v>
      </c>
      <c r="F1956" s="0" t="n">
        <v>5.02248501776247e-06</v>
      </c>
      <c r="G1956" s="0" t="n">
        <v>1.914494926235873e-07</v>
      </c>
      <c r="H1956" s="0" t="b">
        <v>0</v>
      </c>
    </row>
    <row r="1957">
      <c r="A1957" s="0" t="n">
        <v>183</v>
      </c>
      <c r="B1957" s="0" t="n">
        <v>9</v>
      </c>
      <c r="C1957" s="0" t="n">
        <v>4120898.4375</v>
      </c>
      <c r="D1957" s="0" t="n">
        <v>5756422.012252869</v>
      </c>
      <c r="E1957" s="0" t="n">
        <v>5.111248383848791e-06</v>
      </c>
      <c r="F1957" s="0" t="n">
        <v>5.02248501776247e-06</v>
      </c>
      <c r="G1957" s="0" t="n">
        <v>8.876336608632048e-08</v>
      </c>
      <c r="H1957" s="0" t="b">
        <v>0</v>
      </c>
    </row>
    <row r="1958">
      <c r="A1958" s="0" t="n">
        <v>183</v>
      </c>
      <c r="B1958" s="0" t="n">
        <v>10</v>
      </c>
      <c r="C1958" s="0" t="n">
        <v>4109277.34375</v>
      </c>
      <c r="D1958" s="0" t="n">
        <v>2375941.739372074</v>
      </c>
      <c r="E1958" s="0" t="n">
        <v>5.060347391375888e-06</v>
      </c>
      <c r="F1958" s="0" t="n">
        <v>5.02248501776247e-06</v>
      </c>
      <c r="G1958" s="0" t="n">
        <v>3.786237361341774e-08</v>
      </c>
      <c r="H1958" s="0" t="b">
        <v>0</v>
      </c>
    </row>
    <row r="1959">
      <c r="A1959" s="0" t="n">
        <v>183</v>
      </c>
      <c r="B1959" s="0" t="n">
        <v>11</v>
      </c>
      <c r="C1959" s="0" t="n">
        <v>4115087.890625</v>
      </c>
      <c r="D1959" s="0" t="n">
        <v>4036953.585382931</v>
      </c>
      <c r="E1959" s="0" t="n">
        <v>5.085761055358678e-06</v>
      </c>
      <c r="F1959" s="0" t="n">
        <v>5.02248501776247e-06</v>
      </c>
      <c r="G1959" s="0" t="n">
        <v>6.327603759620795e-08</v>
      </c>
      <c r="H1959" s="0" t="b">
        <v>0</v>
      </c>
    </row>
    <row r="1960">
      <c r="A1960" s="0" t="n">
        <v>183</v>
      </c>
      <c r="B1960" s="0" t="n">
        <v>12</v>
      </c>
      <c r="C1960" s="0" t="n">
        <v>4117993.1640625</v>
      </c>
      <c r="D1960" s="0" t="n">
        <v>4889326.805992115</v>
      </c>
      <c r="E1960" s="0" t="n">
        <v>5.098495290842938e-06</v>
      </c>
      <c r="F1960" s="0" t="n">
        <v>5.02248501776247e-06</v>
      </c>
      <c r="G1960" s="0" t="n">
        <v>7.601027308046738e-08</v>
      </c>
      <c r="H1960" s="0" t="b">
        <v>0</v>
      </c>
    </row>
    <row r="1961">
      <c r="A1961" s="0" t="n">
        <v>183</v>
      </c>
      <c r="B1961" s="0" t="n">
        <v>13</v>
      </c>
      <c r="C1961" s="0" t="n">
        <v>4116540.52734375</v>
      </c>
      <c r="D1961" s="0" t="n">
        <v>4461314.939830429</v>
      </c>
      <c r="E1961" s="0" t="n">
        <v>5.092125965853298e-06</v>
      </c>
      <c r="F1961" s="0" t="n">
        <v>5.02248501776247e-06</v>
      </c>
      <c r="G1961" s="0" t="n">
        <v>6.964094809082737e-08</v>
      </c>
      <c r="H1961" s="0" t="b">
        <v>0</v>
      </c>
    </row>
    <row r="1962">
      <c r="A1962" s="0" t="n">
        <v>183</v>
      </c>
      <c r="B1962" s="0" t="n">
        <v>14</v>
      </c>
      <c r="C1962" s="0" t="n">
        <v>4115340.52734375</v>
      </c>
      <c r="D1962" s="0" t="n">
        <v>4110480.708509436</v>
      </c>
      <c r="E1962" s="0" t="n">
        <v>5.086867483185845e-06</v>
      </c>
      <c r="F1962" s="0" t="n">
        <v>5.02248501776247e-06</v>
      </c>
      <c r="G1962" s="0" t="n">
        <v>6.438246542337501e-08</v>
      </c>
      <c r="H1962" s="0" t="b">
        <v>0</v>
      </c>
    </row>
    <row r="1963">
      <c r="A1963" s="0" t="n">
        <v>184</v>
      </c>
      <c r="B1963" s="0" t="n">
        <v>1</v>
      </c>
      <c r="C1963" s="0" t="n">
        <v>6050000</v>
      </c>
      <c r="D1963" s="0" t="n">
        <v>32326281555.1884</v>
      </c>
      <c r="E1963" s="0" t="n">
        <v>4.979429297325823e-05</v>
      </c>
      <c r="F1963" s="0" t="n">
        <v>4.99228204551581e-06</v>
      </c>
      <c r="G1963" s="0" t="n">
        <v>4.480201092774242e-05</v>
      </c>
      <c r="H1963" s="0" t="b">
        <v>0</v>
      </c>
    </row>
    <row r="1964">
      <c r="A1964" s="0" t="n">
        <v>184</v>
      </c>
      <c r="B1964" s="0" t="n">
        <v>2</v>
      </c>
      <c r="C1964" s="0" t="n">
        <v>3075000</v>
      </c>
      <c r="D1964" s="0" t="n">
        <v>-3739848.125467943</v>
      </c>
      <c r="E1964" s="0" t="n">
        <v>2.309411519621606e-06</v>
      </c>
      <c r="F1964" s="0" t="n">
        <v>4.992282045515813e-06</v>
      </c>
      <c r="G1964" s="0" t="n">
        <v>-2.682870525894207e-06</v>
      </c>
      <c r="H1964" s="0" t="b">
        <v>1</v>
      </c>
    </row>
    <row r="1965">
      <c r="A1965" s="0" t="n">
        <v>184</v>
      </c>
      <c r="B1965" s="0" t="n">
        <v>3</v>
      </c>
      <c r="C1965" s="0" t="n">
        <v>4562500</v>
      </c>
      <c r="D1965" s="0" t="n">
        <v>1079231398.00809</v>
      </c>
      <c r="E1965" s="0" t="n">
        <v>9.370044322607498e-06</v>
      </c>
      <c r="F1965" s="0" t="n">
        <v>4.992282045515813e-06</v>
      </c>
      <c r="G1965" s="0" t="n">
        <v>4.377762277091685e-06</v>
      </c>
      <c r="H1965" s="0" t="b">
        <v>0</v>
      </c>
    </row>
    <row r="1966">
      <c r="A1966" s="0" t="n">
        <v>184</v>
      </c>
      <c r="B1966" s="0" t="n">
        <v>4</v>
      </c>
      <c r="C1966" s="0" t="n">
        <v>3818750</v>
      </c>
      <c r="D1966" s="0" t="n">
        <v>9426129.77402053</v>
      </c>
      <c r="E1966" s="0" t="n">
        <v>5.132472655859354e-06</v>
      </c>
      <c r="F1966" s="0" t="n">
        <v>4.992282045515813e-06</v>
      </c>
      <c r="G1966" s="0" t="n">
        <v>1.401906103435409e-07</v>
      </c>
      <c r="H1966" s="0" t="b">
        <v>0</v>
      </c>
    </row>
    <row r="1967">
      <c r="A1967" s="0" t="n">
        <v>184</v>
      </c>
      <c r="B1967" s="0" t="n">
        <v>5</v>
      </c>
      <c r="C1967" s="0" t="n">
        <v>3446875</v>
      </c>
      <c r="D1967" s="0" t="n">
        <v>-17372306.54878883</v>
      </c>
      <c r="E1967" s="0" t="n">
        <v>3.533234142096533e-06</v>
      </c>
      <c r="F1967" s="0" t="n">
        <v>4.992282045515813e-06</v>
      </c>
      <c r="G1967" s="0" t="n">
        <v>-1.45904790341928e-06</v>
      </c>
      <c r="H1967" s="0" t="b">
        <v>1</v>
      </c>
    </row>
    <row r="1968">
      <c r="A1968" s="0" t="n">
        <v>184</v>
      </c>
      <c r="B1968" s="0" t="n">
        <v>6</v>
      </c>
      <c r="C1968" s="0" t="n">
        <v>3632812.5</v>
      </c>
      <c r="D1968" s="0" t="n">
        <v>-23620431.25027731</v>
      </c>
      <c r="E1968" s="0" t="n">
        <v>4.286711580587104e-06</v>
      </c>
      <c r="F1968" s="0" t="n">
        <v>4.992282045515813e-06</v>
      </c>
      <c r="G1968" s="0" t="n">
        <v>-7.05570464928709e-07</v>
      </c>
      <c r="H1968" s="0" t="b">
        <v>1</v>
      </c>
    </row>
    <row r="1969">
      <c r="A1969" s="0" t="n">
        <v>184</v>
      </c>
      <c r="B1969" s="0" t="n">
        <v>7</v>
      </c>
      <c r="C1969" s="0" t="n">
        <v>3725781.25</v>
      </c>
      <c r="D1969" s="0" t="n">
        <v>-14524195.1925985</v>
      </c>
      <c r="E1969" s="0" t="n">
        <v>4.698138975069395e-06</v>
      </c>
      <c r="F1969" s="0" t="n">
        <v>4.992282045515813e-06</v>
      </c>
      <c r="G1969" s="0" t="n">
        <v>-2.941430704464177e-07</v>
      </c>
      <c r="H1969" s="0" t="b">
        <v>1</v>
      </c>
    </row>
    <row r="1970">
      <c r="A1970" s="0" t="n">
        <v>184</v>
      </c>
      <c r="B1970" s="0" t="n">
        <v>8</v>
      </c>
      <c r="C1970" s="0" t="n">
        <v>3772265.625</v>
      </c>
      <c r="D1970" s="0" t="n">
        <v>-4636656.147948908</v>
      </c>
      <c r="E1970" s="0" t="n">
        <v>4.912464346961929e-06</v>
      </c>
      <c r="F1970" s="0" t="n">
        <v>4.992282045515813e-06</v>
      </c>
      <c r="G1970" s="0" t="n">
        <v>-7.981769855388426e-08</v>
      </c>
      <c r="H1970" s="0" t="b">
        <v>1</v>
      </c>
    </row>
    <row r="1971">
      <c r="A1971" s="0" t="n">
        <v>184</v>
      </c>
      <c r="B1971" s="0" t="n">
        <v>9</v>
      </c>
      <c r="C1971" s="0" t="n">
        <v>3795507.8125</v>
      </c>
      <c r="D1971" s="0" t="n">
        <v>1845754.211996512</v>
      </c>
      <c r="E1971" s="0" t="n">
        <v>5.021760837831846e-06</v>
      </c>
      <c r="F1971" s="0" t="n">
        <v>4.992282045515813e-06</v>
      </c>
      <c r="G1971" s="0" t="n">
        <v>2.947879231603269e-08</v>
      </c>
      <c r="H1971" s="0" t="b">
        <v>0</v>
      </c>
    </row>
    <row r="1972">
      <c r="A1972" s="0" t="n">
        <v>184</v>
      </c>
      <c r="B1972" s="0" t="n">
        <v>10</v>
      </c>
      <c r="C1972" s="0" t="n">
        <v>3807128.90625</v>
      </c>
      <c r="D1972" s="0" t="n">
        <v>5495431.449818772</v>
      </c>
      <c r="E1972" s="0" t="n">
        <v>5.076940464205698e-06</v>
      </c>
      <c r="F1972" s="0" t="n">
        <v>4.992282045515813e-06</v>
      </c>
      <c r="G1972" s="0" t="n">
        <v>8.465841868988541e-08</v>
      </c>
      <c r="H1972" s="0" t="b">
        <v>0</v>
      </c>
    </row>
    <row r="1973">
      <c r="A1973" s="0" t="n">
        <v>184</v>
      </c>
      <c r="B1973" s="0" t="n">
        <v>11</v>
      </c>
      <c r="C1973" s="0" t="n">
        <v>3801318.359375</v>
      </c>
      <c r="D1973" s="0" t="n">
        <v>3635875.018731375</v>
      </c>
      <c r="E1973" s="0" t="n">
        <v>5.049306597550461e-06</v>
      </c>
      <c r="F1973" s="0" t="n">
        <v>4.992282045515813e-06</v>
      </c>
      <c r="G1973" s="0" t="n">
        <v>5.702455203464763e-08</v>
      </c>
      <c r="H1973" s="0" t="b">
        <v>0</v>
      </c>
    </row>
    <row r="1974">
      <c r="A1974" s="0" t="n">
        <v>184</v>
      </c>
      <c r="B1974" s="0" t="n">
        <v>12</v>
      </c>
      <c r="C1974" s="0" t="n">
        <v>3804223.6328125</v>
      </c>
      <c r="D1974" s="0" t="n">
        <v>4556907.006521539</v>
      </c>
      <c r="E1974" s="0" t="n">
        <v>5.063112287550038e-06</v>
      </c>
      <c r="F1974" s="0" t="n">
        <v>4.992282045515813e-06</v>
      </c>
      <c r="G1974" s="0" t="n">
        <v>7.083024203422483e-08</v>
      </c>
      <c r="H1974" s="0" t="b">
        <v>0</v>
      </c>
    </row>
    <row r="1975">
      <c r="A1975" s="0" t="n">
        <v>184</v>
      </c>
      <c r="B1975" s="0" t="n">
        <v>13</v>
      </c>
      <c r="C1975" s="0" t="n">
        <v>3802770.99609375</v>
      </c>
      <c r="D1975" s="0" t="n">
        <v>4094221.201849362</v>
      </c>
      <c r="E1975" s="0" t="n">
        <v>5.05620678533741e-06</v>
      </c>
      <c r="F1975" s="0" t="n">
        <v>4.992282045515813e-06</v>
      </c>
      <c r="G1975" s="0" t="n">
        <v>6.392473982159696e-08</v>
      </c>
      <c r="H1975" s="0" t="b">
        <v>0</v>
      </c>
    </row>
    <row r="1976">
      <c r="A1976" s="0" t="n">
        <v>184</v>
      </c>
      <c r="B1976" s="0" t="n">
        <v>14</v>
      </c>
      <c r="C1976" s="0" t="n">
        <v>3801570.99609375</v>
      </c>
      <c r="D1976" s="0" t="n">
        <v>3715262.978684751</v>
      </c>
      <c r="E1976" s="0" t="n">
        <v>5.050506048645142e-06</v>
      </c>
      <c r="F1976" s="0" t="n">
        <v>4.992282045515813e-06</v>
      </c>
      <c r="G1976" s="0" t="n">
        <v>5.822400312932887e-08</v>
      </c>
      <c r="H1976" s="0" t="b">
        <v>0</v>
      </c>
    </row>
    <row r="1977">
      <c r="A1977" s="0" t="n">
        <v>184</v>
      </c>
      <c r="B1977" s="0" t="n">
        <v>15</v>
      </c>
      <c r="C1977" s="0" t="n">
        <v>3802170.99609375</v>
      </c>
      <c r="D1977" s="0" t="n">
        <v>3904364.327885934</v>
      </c>
      <c r="E1977" s="0" t="n">
        <v>5.053355843343008e-06</v>
      </c>
      <c r="F1977" s="0" t="n">
        <v>4.992282045515813e-06</v>
      </c>
      <c r="G1977" s="0" t="n">
        <v>6.107379782719529e-08</v>
      </c>
      <c r="H1977" s="0" t="b">
        <v>0</v>
      </c>
    </row>
    <row r="1978">
      <c r="A1978" s="0" t="n">
        <v>184</v>
      </c>
      <c r="B1978" s="0" t="n">
        <v>16</v>
      </c>
      <c r="C1978" s="0" t="n">
        <v>3801870.99609375</v>
      </c>
      <c r="D1978" s="0" t="n">
        <v>3809720.98194381</v>
      </c>
      <c r="E1978" s="0" t="n">
        <v>5.05193082825389e-06</v>
      </c>
      <c r="F1978" s="0" t="n">
        <v>4.992282045515813e-06</v>
      </c>
      <c r="G1978" s="0" t="n">
        <v>5.964878273807694e-08</v>
      </c>
      <c r="H1978" s="0" t="b">
        <v>0</v>
      </c>
    </row>
    <row r="1979">
      <c r="A1979" s="0" t="n">
        <v>185</v>
      </c>
      <c r="B1979" s="0" t="n">
        <v>1</v>
      </c>
      <c r="C1979" s="0" t="n">
        <v>6050000</v>
      </c>
      <c r="D1979" s="0" t="n">
        <v>1299973057316.44</v>
      </c>
      <c r="E1979" s="0" t="n">
        <v>0.002147402631705043</v>
      </c>
      <c r="F1979" s="0" t="n">
        <v>1.19304186298806e-05</v>
      </c>
      <c r="G1979" s="0" t="n">
        <v>0.002135472213075163</v>
      </c>
      <c r="H1979" s="0" t="b">
        <v>0</v>
      </c>
    </row>
    <row r="1980">
      <c r="A1980" s="0" t="n">
        <v>185</v>
      </c>
      <c r="B1980" s="0" t="n">
        <v>2</v>
      </c>
      <c r="C1980" s="0" t="n">
        <v>3075000</v>
      </c>
      <c r="D1980" s="0" t="n">
        <v>-232007.4534256203</v>
      </c>
      <c r="E1980" s="0" t="n">
        <v>6.372487020022278e-07</v>
      </c>
      <c r="F1980" s="0" t="n">
        <v>1.193041862988072e-05</v>
      </c>
      <c r="G1980" s="0" t="n">
        <v>-1.12931699278785e-05</v>
      </c>
      <c r="H1980" s="0" t="b">
        <v>1</v>
      </c>
    </row>
    <row r="1981">
      <c r="A1981" s="0" t="n">
        <v>185</v>
      </c>
      <c r="B1981" s="0" t="n">
        <v>3</v>
      </c>
      <c r="C1981" s="0" t="n">
        <v>4562500</v>
      </c>
      <c r="D1981" s="0" t="n">
        <v>3466340606.01383</v>
      </c>
      <c r="E1981" s="0" t="n">
        <v>3.661696382879409e-05</v>
      </c>
      <c r="F1981" s="0" t="n">
        <v>1.193041862988072e-05</v>
      </c>
      <c r="G1981" s="0" t="n">
        <v>2.468654519891337e-05</v>
      </c>
      <c r="H1981" s="0" t="b">
        <v>0</v>
      </c>
    </row>
    <row r="1982">
      <c r="A1982" s="0" t="n">
        <v>185</v>
      </c>
      <c r="B1982" s="0" t="n">
        <v>4</v>
      </c>
      <c r="C1982" s="0" t="n">
        <v>3818750</v>
      </c>
      <c r="D1982" s="0" t="n">
        <v>-4338144.132507002</v>
      </c>
      <c r="E1982" s="0" t="n">
        <v>5.536196839825048e-06</v>
      </c>
      <c r="F1982" s="0" t="n">
        <v>1.193041862988072e-05</v>
      </c>
      <c r="G1982" s="0" t="n">
        <v>-6.394221790055677e-06</v>
      </c>
      <c r="H1982" s="0" t="b">
        <v>1</v>
      </c>
    </row>
    <row r="1983">
      <c r="A1983" s="0" t="n">
        <v>185</v>
      </c>
      <c r="B1983" s="0" t="n">
        <v>5</v>
      </c>
      <c r="C1983" s="0" t="n">
        <v>4190625</v>
      </c>
      <c r="D1983" s="0" t="n">
        <v>-10043029.99206056</v>
      </c>
      <c r="E1983" s="0" t="n">
        <v>1.162848105477785e-05</v>
      </c>
      <c r="F1983" s="0" t="n">
        <v>1.193041862988072e-05</v>
      </c>
      <c r="G1983" s="0" t="n">
        <v>-3.019375751028714e-07</v>
      </c>
      <c r="H1983" s="0" t="b">
        <v>1</v>
      </c>
    </row>
    <row r="1984">
      <c r="A1984" s="0" t="n">
        <v>185</v>
      </c>
      <c r="B1984" s="0" t="n">
        <v>6</v>
      </c>
      <c r="C1984" s="0" t="n">
        <v>4376562.5</v>
      </c>
      <c r="D1984" s="0" t="n">
        <v>560540952.4797852</v>
      </c>
      <c r="E1984" s="0" t="n">
        <v>1.854663876608458e-05</v>
      </c>
      <c r="F1984" s="0" t="n">
        <v>1.193041862988072e-05</v>
      </c>
      <c r="G1984" s="0" t="n">
        <v>6.616220136203856e-06</v>
      </c>
      <c r="H1984" s="0" t="b">
        <v>0</v>
      </c>
    </row>
    <row r="1985">
      <c r="A1985" s="0" t="n">
        <v>185</v>
      </c>
      <c r="B1985" s="0" t="n">
        <v>7</v>
      </c>
      <c r="C1985" s="0" t="n">
        <v>4283593.75</v>
      </c>
      <c r="D1985" s="0" t="n">
        <v>96830575.47525387</v>
      </c>
      <c r="E1985" s="0" t="n">
        <v>1.384684588469069e-05</v>
      </c>
      <c r="F1985" s="0" t="n">
        <v>1.193041862988072e-05</v>
      </c>
      <c r="G1985" s="0" t="n">
        <v>1.916427254809965e-06</v>
      </c>
      <c r="H1985" s="0" t="b">
        <v>0</v>
      </c>
    </row>
    <row r="1986">
      <c r="A1986" s="0" t="n">
        <v>185</v>
      </c>
      <c r="B1986" s="0" t="n">
        <v>8</v>
      </c>
      <c r="C1986" s="0" t="n">
        <v>4237109.375</v>
      </c>
      <c r="D1986" s="0" t="n">
        <v>31929202.99634599</v>
      </c>
      <c r="E1986" s="0" t="n">
        <v>1.269712538637919e-05</v>
      </c>
      <c r="F1986" s="0" t="n">
        <v>1.193041862988072e-05</v>
      </c>
      <c r="G1986" s="0" t="n">
        <v>7.667067564984613e-07</v>
      </c>
      <c r="H1986" s="0" t="b">
        <v>0</v>
      </c>
    </row>
    <row r="1987">
      <c r="A1987" s="0" t="n">
        <v>185</v>
      </c>
      <c r="B1987" s="0" t="n">
        <v>9</v>
      </c>
      <c r="C1987" s="0" t="n">
        <v>4213867.1875</v>
      </c>
      <c r="D1987" s="0" t="n">
        <v>8319320.820421855</v>
      </c>
      <c r="E1987" s="0" t="n">
        <v>1.215293763445677e-05</v>
      </c>
      <c r="F1987" s="0" t="n">
        <v>1.193041862988072e-05</v>
      </c>
      <c r="G1987" s="0" t="n">
        <v>2.22519004576045e-07</v>
      </c>
      <c r="H1987" s="0" t="b">
        <v>0</v>
      </c>
    </row>
    <row r="1988">
      <c r="A1988" s="0" t="n">
        <v>185</v>
      </c>
      <c r="B1988" s="0" t="n">
        <v>10</v>
      </c>
      <c r="C1988" s="0" t="n">
        <v>4202246.09375</v>
      </c>
      <c r="D1988" s="0" t="n">
        <v>-1488478.286788127</v>
      </c>
      <c r="E1988" s="0" t="n">
        <v>1.188826075120938e-05</v>
      </c>
      <c r="F1988" s="0" t="n">
        <v>1.193041862988072e-05</v>
      </c>
      <c r="G1988" s="0" t="n">
        <v>-4.215787867134739e-08</v>
      </c>
      <c r="H1988" s="0" t="b">
        <v>1</v>
      </c>
    </row>
    <row r="1989">
      <c r="A1989" s="0" t="n">
        <v>185</v>
      </c>
      <c r="B1989" s="0" t="n">
        <v>11</v>
      </c>
      <c r="C1989" s="0" t="n">
        <v>4208056.640625</v>
      </c>
      <c r="D1989" s="0" t="n">
        <v>3255020.260202144</v>
      </c>
      <c r="E1989" s="0" t="n">
        <v>1.201998279018457e-05</v>
      </c>
      <c r="F1989" s="0" t="n">
        <v>1.193041862988072e-05</v>
      </c>
      <c r="G1989" s="0" t="n">
        <v>8.956416030384635e-08</v>
      </c>
      <c r="H1989" s="0" t="b">
        <v>0</v>
      </c>
    </row>
    <row r="1990">
      <c r="A1990" s="0" t="n">
        <v>185</v>
      </c>
      <c r="B1990" s="0" t="n">
        <v>12</v>
      </c>
      <c r="C1990" s="0" t="n">
        <v>4210961.9140625</v>
      </c>
      <c r="D1990" s="0" t="n">
        <v>5746604.353832503</v>
      </c>
      <c r="E1990" s="0" t="n">
        <v>1.208630567152422e-05</v>
      </c>
      <c r="F1990" s="0" t="n">
        <v>1.193041862988072e-05</v>
      </c>
      <c r="G1990" s="0" t="n">
        <v>1.558870416434964e-07</v>
      </c>
      <c r="H1990" s="0" t="b">
        <v>0</v>
      </c>
    </row>
    <row r="1991">
      <c r="A1991" s="0" t="n">
        <v>185</v>
      </c>
      <c r="B1991" s="0" t="n">
        <v>13</v>
      </c>
      <c r="C1991" s="0" t="n">
        <v>4209509.27734375</v>
      </c>
      <c r="D1991" s="0" t="n">
        <v>4490729.164306446</v>
      </c>
      <c r="E1991" s="0" t="n">
        <v>1.205310565411486e-05</v>
      </c>
      <c r="F1991" s="0" t="n">
        <v>1.193041862988072e-05</v>
      </c>
      <c r="G1991" s="0" t="n">
        <v>1.226870242341386e-07</v>
      </c>
      <c r="H1991" s="0" t="b">
        <v>0</v>
      </c>
    </row>
    <row r="1992">
      <c r="A1992" s="0" t="n">
        <v>185</v>
      </c>
      <c r="B1992" s="0" t="n">
        <v>14</v>
      </c>
      <c r="C1992" s="0" t="n">
        <v>4208309.27734375</v>
      </c>
      <c r="D1992" s="0" t="n">
        <v>3468486.437058131</v>
      </c>
      <c r="E1992" s="0" t="n">
        <v>1.202573785331197e-05</v>
      </c>
      <c r="F1992" s="0" t="n">
        <v>1.193041862988072e-05</v>
      </c>
      <c r="G1992" s="0" t="n">
        <v>9.531922343124451e-08</v>
      </c>
      <c r="H1992" s="0" t="b">
        <v>0</v>
      </c>
    </row>
    <row r="1993">
      <c r="A1993" s="0" t="n">
        <v>185</v>
      </c>
      <c r="B1993" s="0" t="n">
        <v>15</v>
      </c>
      <c r="C1993" s="0" t="n">
        <v>4208909.27734375</v>
      </c>
      <c r="D1993" s="0" t="n">
        <v>3977909.24987827</v>
      </c>
      <c r="E1993" s="0" t="n">
        <v>1.203941564652795e-05</v>
      </c>
      <c r="F1993" s="0" t="n">
        <v>1.193041862988072e-05</v>
      </c>
      <c r="G1993" s="0" t="n">
        <v>1.089970166472301e-07</v>
      </c>
      <c r="H1993" s="0" t="b">
        <v>0</v>
      </c>
    </row>
    <row r="1994">
      <c r="A1994" s="0" t="n">
        <v>185</v>
      </c>
      <c r="B1994" s="0" t="n">
        <v>16</v>
      </c>
      <c r="C1994" s="0" t="n">
        <v>4209629.27734375</v>
      </c>
      <c r="D1994" s="0" t="n">
        <v>4593727.177127412</v>
      </c>
      <c r="E1994" s="0" t="n">
        <v>1.205584580560334e-05</v>
      </c>
      <c r="F1994" s="0" t="n">
        <v>1.193041862988072e-05</v>
      </c>
      <c r="G1994" s="0" t="n">
        <v>1.254271757226153e-07</v>
      </c>
      <c r="H1994" s="0" t="b">
        <v>0</v>
      </c>
    </row>
    <row r="1995">
      <c r="A1995" s="0" t="n">
        <v>185</v>
      </c>
      <c r="B1995" s="0" t="n">
        <v>17</v>
      </c>
      <c r="C1995" s="0" t="n">
        <v>4209269.27734375</v>
      </c>
      <c r="D1995" s="0" t="n">
        <v>4285181.716520191</v>
      </c>
      <c r="E1995" s="0" t="n">
        <v>1.204762788221634e-05</v>
      </c>
      <c r="F1995" s="0" t="n">
        <v>1.193041862988072e-05</v>
      </c>
      <c r="G1995" s="0" t="n">
        <v>1.172092523356135e-07</v>
      </c>
      <c r="H1995" s="0" t="b">
        <v>0</v>
      </c>
    </row>
    <row r="1996">
      <c r="A1996" s="0" t="n">
        <v>185</v>
      </c>
      <c r="B1996" s="0" t="n">
        <v>18</v>
      </c>
      <c r="C1996" s="0" t="n">
        <v>4208837.27734375</v>
      </c>
      <c r="D1996" s="0" t="n">
        <v>3916600.199502685</v>
      </c>
      <c r="E1996" s="0" t="n">
        <v>1.203777369080286e-05</v>
      </c>
      <c r="F1996" s="0" t="n">
        <v>1.193041862988072e-05</v>
      </c>
      <c r="G1996" s="0" t="n">
        <v>1.073550609221386e-07</v>
      </c>
      <c r="H1996" s="0" t="b">
        <v>0</v>
      </c>
    </row>
    <row r="1997">
      <c r="A1997" s="0" t="n">
        <v>185</v>
      </c>
      <c r="B1997" s="0" t="n">
        <v>19</v>
      </c>
      <c r="C1997" s="0" t="n">
        <v>4209053.27734375</v>
      </c>
      <c r="D1997" s="0" t="n">
        <v>4100676.996985539</v>
      </c>
      <c r="E1997" s="0" t="n">
        <v>1.204270016270883e-05</v>
      </c>
      <c r="F1997" s="0" t="n">
        <v>1.193041862988072e-05</v>
      </c>
      <c r="G1997" s="0" t="n">
        <v>1.122815328281053e-07</v>
      </c>
      <c r="H1997" s="0" t="b">
        <v>0</v>
      </c>
    </row>
    <row r="1998">
      <c r="A1998" s="0" t="n">
        <v>185</v>
      </c>
      <c r="B1998" s="0" t="n">
        <v>20</v>
      </c>
      <c r="C1998" s="0" t="n">
        <v>4209312.47734375</v>
      </c>
      <c r="D1998" s="0" t="n">
        <v>4322157.487498101</v>
      </c>
      <c r="E1998" s="0" t="n">
        <v>1.204861420131069e-05</v>
      </c>
      <c r="F1998" s="0" t="n">
        <v>1.193041862988072e-05</v>
      </c>
      <c r="G1998" s="0" t="n">
        <v>1.181955714299693e-07</v>
      </c>
      <c r="H1998" s="0" t="b">
        <v>0</v>
      </c>
    </row>
    <row r="1999">
      <c r="A1999" s="0" t="n">
        <v>185</v>
      </c>
      <c r="B1999" s="0" t="n">
        <v>21</v>
      </c>
      <c r="C1999" s="0" t="n">
        <v>4209182.877343751</v>
      </c>
      <c r="D1999" s="0" t="n">
        <v>4211319.286635262</v>
      </c>
      <c r="E1999" s="0" t="n">
        <v>1.204565639971865e-05</v>
      </c>
      <c r="F1999" s="0" t="n">
        <v>1.193041862988072e-05</v>
      </c>
      <c r="G1999" s="0" t="n">
        <v>1.152377698379285e-07</v>
      </c>
      <c r="H1999" s="0" t="b">
        <v>0</v>
      </c>
    </row>
    <row r="2000">
      <c r="A2000" s="0" t="n">
        <v>186</v>
      </c>
      <c r="B2000" s="0" t="n">
        <v>1</v>
      </c>
      <c r="C2000" s="0" t="n">
        <v>6050000</v>
      </c>
      <c r="D2000" s="0" t="n">
        <v>1502156548071.971</v>
      </c>
      <c r="E2000" s="0" t="n">
        <v>0.002404099753805428</v>
      </c>
      <c r="F2000" s="0" t="n">
        <v>1.19304186298806e-05</v>
      </c>
      <c r="G2000" s="0" t="n">
        <v>0.002392169335175547</v>
      </c>
      <c r="H2000" s="0" t="b">
        <v>0</v>
      </c>
    </row>
    <row r="2001">
      <c r="A2001" s="0" t="n">
        <v>186</v>
      </c>
      <c r="B2001" s="0" t="n">
        <v>2</v>
      </c>
      <c r="C2001" s="0" t="n">
        <v>3075000</v>
      </c>
      <c r="D2001" s="0" t="n">
        <v>-245912.1086154048</v>
      </c>
      <c r="E2001" s="0" t="n">
        <v>7.82248808454078e-07</v>
      </c>
      <c r="F2001" s="0" t="n">
        <v>1.193041862988072e-05</v>
      </c>
      <c r="G2001" s="0" t="n">
        <v>-1.114816982142665e-05</v>
      </c>
      <c r="H2001" s="0" t="b">
        <v>1</v>
      </c>
    </row>
    <row r="2002">
      <c r="A2002" s="0" t="n">
        <v>186</v>
      </c>
      <c r="B2002" s="0" t="n">
        <v>3</v>
      </c>
      <c r="C2002" s="0" t="n">
        <v>4562500</v>
      </c>
      <c r="D2002" s="0" t="n">
        <v>4485244106.055355</v>
      </c>
      <c r="E2002" s="0" t="n">
        <v>4.178257586423645e-05</v>
      </c>
      <c r="F2002" s="0" t="n">
        <v>1.193041862988072e-05</v>
      </c>
      <c r="G2002" s="0" t="n">
        <v>2.985215723435573e-05</v>
      </c>
      <c r="H2002" s="0" t="b">
        <v>0</v>
      </c>
    </row>
    <row r="2003">
      <c r="A2003" s="0" t="n">
        <v>186</v>
      </c>
      <c r="B2003" s="0" t="n">
        <v>4</v>
      </c>
      <c r="C2003" s="0" t="n">
        <v>3818750</v>
      </c>
      <c r="D2003" s="0" t="n">
        <v>-5813478.516551642</v>
      </c>
      <c r="E2003" s="0" t="n">
        <v>5.904643794694487e-06</v>
      </c>
      <c r="F2003" s="0" t="n">
        <v>1.193041862988072e-05</v>
      </c>
      <c r="G2003" s="0" t="n">
        <v>-6.025774835186237e-06</v>
      </c>
      <c r="H2003" s="0" t="b">
        <v>1</v>
      </c>
    </row>
    <row r="2004">
      <c r="A2004" s="0" t="n">
        <v>186</v>
      </c>
      <c r="B2004" s="0" t="n">
        <v>5</v>
      </c>
      <c r="C2004" s="0" t="n">
        <v>4190625</v>
      </c>
      <c r="D2004" s="0" t="n">
        <v>19039836.47478309</v>
      </c>
      <c r="E2004" s="0" t="n">
        <v>1.24133234929194e-05</v>
      </c>
      <c r="F2004" s="0" t="n">
        <v>1.193041862988072e-05</v>
      </c>
      <c r="G2004" s="0" t="n">
        <v>4.829048630386709e-07</v>
      </c>
      <c r="H2004" s="0" t="b">
        <v>0</v>
      </c>
    </row>
    <row r="2005">
      <c r="A2005" s="0" t="n">
        <v>186</v>
      </c>
      <c r="B2005" s="0" t="n">
        <v>6</v>
      </c>
      <c r="C2005" s="0" t="n">
        <v>4004687.5</v>
      </c>
      <c r="D2005" s="0" t="n">
        <v>-34051239.81919151</v>
      </c>
      <c r="E2005" s="0" t="n">
        <v>8.632686074913265e-06</v>
      </c>
      <c r="F2005" s="0" t="n">
        <v>1.193041862988072e-05</v>
      </c>
      <c r="G2005" s="0" t="n">
        <v>-3.297732554967459e-06</v>
      </c>
      <c r="H2005" s="0" t="b">
        <v>1</v>
      </c>
    </row>
    <row r="2006">
      <c r="A2006" s="0" t="n">
        <v>186</v>
      </c>
      <c r="B2006" s="0" t="n">
        <v>7</v>
      </c>
      <c r="C2006" s="0" t="n">
        <v>4097656.25</v>
      </c>
      <c r="D2006" s="0" t="n">
        <v>-36380089.00028342</v>
      </c>
      <c r="E2006" s="0" t="n">
        <v>1.037623812861067e-05</v>
      </c>
      <c r="F2006" s="0" t="n">
        <v>1.193041862988072e-05</v>
      </c>
      <c r="G2006" s="0" t="n">
        <v>-1.554180501270051e-06</v>
      </c>
      <c r="H2006" s="0" t="b">
        <v>1</v>
      </c>
    </row>
    <row r="2007">
      <c r="A2007" s="0" t="n">
        <v>186</v>
      </c>
      <c r="B2007" s="0" t="n">
        <v>8</v>
      </c>
      <c r="C2007" s="0" t="n">
        <v>4144140.625</v>
      </c>
      <c r="D2007" s="0" t="n">
        <v>-17870256.27903201</v>
      </c>
      <c r="E2007" s="0" t="n">
        <v>1.135608520863509e-05</v>
      </c>
      <c r="F2007" s="0" t="n">
        <v>1.193041862988072e-05</v>
      </c>
      <c r="G2007" s="0" t="n">
        <v>-5.743334212456317e-07</v>
      </c>
      <c r="H2007" s="0" t="b">
        <v>1</v>
      </c>
    </row>
    <row r="2008">
      <c r="A2008" s="0" t="n">
        <v>186</v>
      </c>
      <c r="B2008" s="0" t="n">
        <v>9</v>
      </c>
      <c r="C2008" s="0" t="n">
        <v>4167382.8125</v>
      </c>
      <c r="D2008" s="0" t="n">
        <v>-1958785.053933237</v>
      </c>
      <c r="E2008" s="0" t="n">
        <v>1.187477311832268e-05</v>
      </c>
      <c r="F2008" s="0" t="n">
        <v>1.193041862988072e-05</v>
      </c>
      <c r="G2008" s="0" t="n">
        <v>-5.564551155804687e-08</v>
      </c>
      <c r="H2008" s="0" t="b">
        <v>1</v>
      </c>
    </row>
    <row r="2009">
      <c r="A2009" s="0" t="n">
        <v>186</v>
      </c>
      <c r="B2009" s="0" t="n">
        <v>10</v>
      </c>
      <c r="C2009" s="0" t="n">
        <v>4179003.90625</v>
      </c>
      <c r="D2009" s="0" t="n">
        <v>7873767.060487459</v>
      </c>
      <c r="E2009" s="0" t="n">
        <v>1.214152603046007e-05</v>
      </c>
      <c r="F2009" s="0" t="n">
        <v>1.193041862988072e-05</v>
      </c>
      <c r="G2009" s="0" t="n">
        <v>2.11107400579341e-07</v>
      </c>
      <c r="H2009" s="0" t="b">
        <v>0</v>
      </c>
    </row>
    <row r="2010">
      <c r="A2010" s="0" t="n">
        <v>186</v>
      </c>
      <c r="B2010" s="0" t="n">
        <v>11</v>
      </c>
      <c r="C2010" s="0" t="n">
        <v>4173193.359375</v>
      </c>
      <c r="D2010" s="0" t="n">
        <v>2794651.859855031</v>
      </c>
      <c r="E2010" s="0" t="n">
        <v>1.200752316494286e-05</v>
      </c>
      <c r="F2010" s="0" t="n">
        <v>1.193041862988072e-05</v>
      </c>
      <c r="G2010" s="0" t="n">
        <v>7.710453506213633e-08</v>
      </c>
      <c r="H2010" s="0" t="b">
        <v>0</v>
      </c>
    </row>
    <row r="2011">
      <c r="A2011" s="0" t="n">
        <v>186</v>
      </c>
      <c r="B2011" s="0" t="n">
        <v>12</v>
      </c>
      <c r="C2011" s="0" t="n">
        <v>4176098.6328125</v>
      </c>
      <c r="D2011" s="0" t="n">
        <v>5293006.222618706</v>
      </c>
      <c r="E2011" s="0" t="n">
        <v>1.207436712955311e-05</v>
      </c>
      <c r="F2011" s="0" t="n">
        <v>1.193041862988072e-05</v>
      </c>
      <c r="G2011" s="0" t="n">
        <v>1.439484996723844e-07</v>
      </c>
      <c r="H2011" s="0" t="b">
        <v>0</v>
      </c>
    </row>
    <row r="2012">
      <c r="A2012" s="0" t="n">
        <v>186</v>
      </c>
      <c r="B2012" s="0" t="n">
        <v>13</v>
      </c>
      <c r="C2012" s="0" t="n">
        <v>4174645.99609375</v>
      </c>
      <c r="D2012" s="0" t="n">
        <v>4033599.535419965</v>
      </c>
      <c r="E2012" s="0" t="n">
        <v>1.20409061407012e-05</v>
      </c>
      <c r="F2012" s="0" t="n">
        <v>1.193041862988072e-05</v>
      </c>
      <c r="G2012" s="0" t="n">
        <v>1.104875108204792e-07</v>
      </c>
      <c r="H2012" s="0" t="b">
        <v>0</v>
      </c>
    </row>
    <row r="2013">
      <c r="A2013" s="0" t="n">
        <v>186</v>
      </c>
      <c r="B2013" s="0" t="n">
        <v>14</v>
      </c>
      <c r="C2013" s="0" t="n">
        <v>4175145.99609375</v>
      </c>
      <c r="D2013" s="0" t="n">
        <v>4464760.586057212</v>
      </c>
      <c r="E2013" s="0" t="n">
        <v>1.205241429245107e-05</v>
      </c>
      <c r="F2013" s="0" t="n">
        <v>1.193041862988072e-05</v>
      </c>
      <c r="G2013" s="0" t="n">
        <v>1.219956625703484e-07</v>
      </c>
      <c r="H2013" s="0" t="b">
        <v>0</v>
      </c>
    </row>
    <row r="2014">
      <c r="A2014" s="0" t="n">
        <v>186</v>
      </c>
      <c r="B2014" s="0" t="n">
        <v>15</v>
      </c>
      <c r="C2014" s="0" t="n">
        <v>4174895.99609375</v>
      </c>
      <c r="D2014" s="0" t="n">
        <v>4248885.449884375</v>
      </c>
      <c r="E2014" s="0" t="n">
        <v>1.204665929213296e-05</v>
      </c>
      <c r="F2014" s="0" t="n">
        <v>1.193041862988072e-05</v>
      </c>
      <c r="G2014" s="0" t="n">
        <v>1.162406622522356e-07</v>
      </c>
      <c r="H2014" s="0" t="b">
        <v>0</v>
      </c>
    </row>
    <row r="2015">
      <c r="A2015" s="0" t="n">
        <v>186</v>
      </c>
      <c r="B2015" s="0" t="n">
        <v>16</v>
      </c>
      <c r="C2015" s="0" t="n">
        <v>4174595.99609375</v>
      </c>
      <c r="D2015" s="0" t="n">
        <v>3990597.37805338</v>
      </c>
      <c r="E2015" s="0" t="n">
        <v>1.203975531360269e-05</v>
      </c>
      <c r="F2015" s="0" t="n">
        <v>1.193041862988072e-05</v>
      </c>
      <c r="G2015" s="0" t="n">
        <v>1.093366837219619e-07</v>
      </c>
      <c r="H2015" s="0" t="b">
        <v>0</v>
      </c>
    </row>
    <row r="2016">
      <c r="A2016" s="0" t="n">
        <v>186</v>
      </c>
      <c r="B2016" s="0" t="n">
        <v>17</v>
      </c>
      <c r="C2016" s="0" t="n">
        <v>4174745.99609375</v>
      </c>
      <c r="D2016" s="0" t="n">
        <v>4119623.279610219</v>
      </c>
      <c r="E2016" s="0" t="n">
        <v>1.204320664629939e-05</v>
      </c>
      <c r="F2016" s="0" t="n">
        <v>1.193041862988072e-05</v>
      </c>
      <c r="G2016" s="0" t="n">
        <v>1.127880164186652e-07</v>
      </c>
      <c r="H2016" s="0" t="b">
        <v>0</v>
      </c>
    </row>
    <row r="2017">
      <c r="A2017" s="0" t="n">
        <v>186</v>
      </c>
      <c r="B2017" s="0" t="n">
        <v>18</v>
      </c>
      <c r="C2017" s="0" t="n">
        <v>4174925.99609375</v>
      </c>
      <c r="D2017" s="0" t="n">
        <v>4274760.54570503</v>
      </c>
      <c r="E2017" s="0" t="n">
        <v>1.204734982655482e-05</v>
      </c>
      <c r="F2017" s="0" t="n">
        <v>1.193041862988072e-05</v>
      </c>
      <c r="G2017" s="0" t="n">
        <v>1.169311966740948e-07</v>
      </c>
      <c r="H2017" s="0" t="b">
        <v>0</v>
      </c>
    </row>
    <row r="2018">
      <c r="A2018" s="0" t="n">
        <v>186</v>
      </c>
      <c r="B2018" s="0" t="n">
        <v>19</v>
      </c>
      <c r="C2018" s="0" t="n">
        <v>4174835.99609375</v>
      </c>
      <c r="D2018" s="0" t="n">
        <v>4197143.658117984</v>
      </c>
      <c r="E2018" s="0" t="n">
        <v>1.204527784765983e-05</v>
      </c>
      <c r="F2018" s="0" t="n">
        <v>1.193041862988072e-05</v>
      </c>
      <c r="G2018" s="0" t="n">
        <v>1.148592177791019e-07</v>
      </c>
      <c r="H2018" s="0" t="b">
        <v>0</v>
      </c>
    </row>
    <row r="2019">
      <c r="A2019" s="0" t="n">
        <v>187</v>
      </c>
      <c r="B2019" s="0" t="n">
        <v>1</v>
      </c>
      <c r="C2019" s="0" t="n">
        <v>6050000</v>
      </c>
      <c r="D2019" s="0" t="n">
        <v>685904386082.6783</v>
      </c>
      <c r="E2019" s="0" t="n">
        <v>0.001184658696206501</v>
      </c>
      <c r="F2019" s="0" t="n">
        <v>1.102398402156929e-05</v>
      </c>
      <c r="G2019" s="0" t="n">
        <v>0.001173634712184932</v>
      </c>
      <c r="H2019" s="0" t="b">
        <v>0</v>
      </c>
    </row>
    <row r="2020">
      <c r="A2020" s="0" t="n">
        <v>187</v>
      </c>
      <c r="B2020" s="0" t="n">
        <v>2</v>
      </c>
      <c r="C2020" s="0" t="n">
        <v>3075000</v>
      </c>
      <c r="D2020" s="0" t="n">
        <v>-185012.4642883147</v>
      </c>
      <c r="E2020" s="0" t="n">
        <v>-4.522851572867692e-08</v>
      </c>
      <c r="F2020" s="0" t="n">
        <v>1.102398402156931e-05</v>
      </c>
      <c r="G2020" s="0" t="n">
        <v>-1.106921253729799e-05</v>
      </c>
      <c r="H2020" s="0" t="b">
        <v>1</v>
      </c>
    </row>
    <row r="2021">
      <c r="A2021" s="0" t="n">
        <v>187</v>
      </c>
      <c r="B2021" s="0" t="n">
        <v>3</v>
      </c>
      <c r="C2021" s="0" t="n">
        <v>4562500</v>
      </c>
      <c r="D2021" s="0" t="n">
        <v>753498878.5338318</v>
      </c>
      <c r="E2021" s="0" t="n">
        <v>1.844525855831483e-05</v>
      </c>
      <c r="F2021" s="0" t="n">
        <v>1.102398402156931e-05</v>
      </c>
      <c r="G2021" s="0" t="n">
        <v>7.421274536745519e-06</v>
      </c>
      <c r="H2021" s="0" t="b">
        <v>0</v>
      </c>
    </row>
    <row r="2022">
      <c r="A2022" s="0" t="n">
        <v>187</v>
      </c>
      <c r="B2022" s="0" t="n">
        <v>4</v>
      </c>
      <c r="C2022" s="0" t="n">
        <v>3818750</v>
      </c>
      <c r="D2022" s="0" t="n">
        <v>-1668668.117019595</v>
      </c>
      <c r="E2022" s="0" t="n">
        <v>3.946450629415576e-06</v>
      </c>
      <c r="F2022" s="0" t="n">
        <v>1.102398402156931e-05</v>
      </c>
      <c r="G2022" s="0" t="n">
        <v>-7.077533392153733e-06</v>
      </c>
      <c r="H2022" s="0" t="b">
        <v>1</v>
      </c>
    </row>
    <row r="2023">
      <c r="A2023" s="0" t="n">
        <v>187</v>
      </c>
      <c r="B2023" s="0" t="n">
        <v>5</v>
      </c>
      <c r="C2023" s="0" t="n">
        <v>4190625</v>
      </c>
      <c r="D2023" s="0" t="n">
        <v>-34775214.20232547</v>
      </c>
      <c r="E2023" s="0" t="n">
        <v>8.179391971286975e-06</v>
      </c>
      <c r="F2023" s="0" t="n">
        <v>1.102398402156931e-05</v>
      </c>
      <c r="G2023" s="0" t="n">
        <v>-2.844592050282333e-06</v>
      </c>
      <c r="H2023" s="0" t="b">
        <v>1</v>
      </c>
    </row>
    <row r="2024">
      <c r="A2024" s="0" t="n">
        <v>187</v>
      </c>
      <c r="B2024" s="0" t="n">
        <v>6</v>
      </c>
      <c r="C2024" s="0" t="n">
        <v>4376562.5</v>
      </c>
      <c r="D2024" s="0" t="n">
        <v>22450794.73323264</v>
      </c>
      <c r="E2024" s="0" t="n">
        <v>1.155191635966034e-05</v>
      </c>
      <c r="F2024" s="0" t="n">
        <v>1.102398402156931e-05</v>
      </c>
      <c r="G2024" s="0" t="n">
        <v>5.279323380910339e-07</v>
      </c>
      <c r="H2024" s="0" t="b">
        <v>0</v>
      </c>
    </row>
    <row r="2025">
      <c r="A2025" s="0" t="n">
        <v>187</v>
      </c>
      <c r="B2025" s="0" t="n">
        <v>7</v>
      </c>
      <c r="C2025" s="0" t="n">
        <v>4283593.75</v>
      </c>
      <c r="D2025" s="0" t="n">
        <v>-33245919.31776351</v>
      </c>
      <c r="E2025" s="0" t="n">
        <v>9.741110578477576e-06</v>
      </c>
      <c r="F2025" s="0" t="n">
        <v>1.102398402156931e-05</v>
      </c>
      <c r="G2025" s="0" t="n">
        <v>-1.282873443091732e-06</v>
      </c>
      <c r="H2025" s="0" t="b">
        <v>1</v>
      </c>
    </row>
    <row r="2026">
      <c r="A2026" s="0" t="n">
        <v>187</v>
      </c>
      <c r="B2026" s="0" t="n">
        <v>8</v>
      </c>
      <c r="C2026" s="0" t="n">
        <v>4330078.125</v>
      </c>
      <c r="D2026" s="0" t="n">
        <v>-13911438.18861792</v>
      </c>
      <c r="E2026" s="0" t="n">
        <v>1.0613781515935e-05</v>
      </c>
      <c r="F2026" s="0" t="n">
        <v>1.102398402156931e-05</v>
      </c>
      <c r="G2026" s="0" t="n">
        <v>-4.10202505634304e-07</v>
      </c>
      <c r="H2026" s="0" t="b">
        <v>1</v>
      </c>
    </row>
    <row r="2027">
      <c r="A2027" s="0" t="n">
        <v>187</v>
      </c>
      <c r="B2027" s="0" t="n">
        <v>9</v>
      </c>
      <c r="C2027" s="0" t="n">
        <v>4353320.3125</v>
      </c>
      <c r="D2027" s="0" t="n">
        <v>1925907.4264619</v>
      </c>
      <c r="E2027" s="0" t="n">
        <v>1.107446870427036e-05</v>
      </c>
      <c r="F2027" s="0" t="n">
        <v>1.102398402156931e-05</v>
      </c>
      <c r="G2027" s="0" t="n">
        <v>5.048468270105095e-08</v>
      </c>
      <c r="H2027" s="0" t="b">
        <v>0</v>
      </c>
    </row>
    <row r="2028">
      <c r="A2028" s="0" t="n">
        <v>187</v>
      </c>
      <c r="B2028" s="0" t="n">
        <v>10</v>
      </c>
      <c r="C2028" s="0" t="n">
        <v>4364941.40625</v>
      </c>
      <c r="D2028" s="0" t="n">
        <v>11575220.08927807</v>
      </c>
      <c r="E2028" s="0" t="n">
        <v>1.131106909693734e-05</v>
      </c>
      <c r="F2028" s="0" t="n">
        <v>1.102398402156931e-05</v>
      </c>
      <c r="G2028" s="0" t="n">
        <v>2.870850753680345e-07</v>
      </c>
      <c r="H2028" s="0" t="b">
        <v>0</v>
      </c>
    </row>
    <row r="2029">
      <c r="A2029" s="0" t="n">
        <v>187</v>
      </c>
      <c r="B2029" s="0" t="n">
        <v>11</v>
      </c>
      <c r="C2029" s="0" t="n">
        <v>4359130.859375</v>
      </c>
      <c r="D2029" s="0" t="n">
        <v>6600935.295072883</v>
      </c>
      <c r="E2029" s="0" t="n">
        <v>1.119224751609703e-05</v>
      </c>
      <c r="F2029" s="0" t="n">
        <v>1.102398402156931e-05</v>
      </c>
      <c r="G2029" s="0" t="n">
        <v>1.682634945277215e-07</v>
      </c>
      <c r="H2029" s="0" t="b">
        <v>0</v>
      </c>
    </row>
    <row r="2030">
      <c r="A2030" s="0" t="n">
        <v>187</v>
      </c>
      <c r="B2030" s="0" t="n">
        <v>12</v>
      </c>
      <c r="C2030" s="0" t="n">
        <v>4356225.5859375</v>
      </c>
      <c r="D2030" s="0" t="n">
        <v>4226530.27228565</v>
      </c>
      <c r="E2030" s="0" t="n">
        <v>1.113323061573883e-05</v>
      </c>
      <c r="F2030" s="0" t="n">
        <v>1.102398402156931e-05</v>
      </c>
      <c r="G2030" s="0" t="n">
        <v>1.092465941695243e-07</v>
      </c>
      <c r="H2030" s="0" t="b">
        <v>0</v>
      </c>
    </row>
    <row r="2031">
      <c r="A2031" s="0" t="n">
        <v>187</v>
      </c>
      <c r="B2031" s="0" t="n">
        <v>13</v>
      </c>
      <c r="C2031" s="0" t="n">
        <v>4357678.22265625</v>
      </c>
      <c r="D2031" s="0" t="n">
        <v>5404505.504879674</v>
      </c>
      <c r="E2031" s="0" t="n">
        <v>1.116270830547105e-05</v>
      </c>
      <c r="F2031" s="0" t="n">
        <v>1.102398402156931e-05</v>
      </c>
      <c r="G2031" s="0" t="n">
        <v>1.387242839017421e-07</v>
      </c>
      <c r="H2031" s="0" t="b">
        <v>0</v>
      </c>
    </row>
    <row r="2032">
      <c r="A2032" s="0" t="n">
        <v>187</v>
      </c>
      <c r="B2032" s="0" t="n">
        <v>14</v>
      </c>
      <c r="C2032" s="0" t="n">
        <v>4357178.22265625</v>
      </c>
      <c r="D2032" s="0" t="n">
        <v>4996985.548419064</v>
      </c>
      <c r="E2032" s="0" t="n">
        <v>1.115255556977179e-05</v>
      </c>
      <c r="F2032" s="0" t="n">
        <v>1.102398402156931e-05</v>
      </c>
      <c r="G2032" s="0" t="n">
        <v>1.285715482024812e-07</v>
      </c>
      <c r="H2032" s="0" t="b">
        <v>0</v>
      </c>
    </row>
    <row r="2033">
      <c r="A2033" s="0" t="n">
        <v>187</v>
      </c>
      <c r="B2033" s="0" t="n">
        <v>15</v>
      </c>
      <c r="C2033" s="0" t="n">
        <v>4356578.22265625</v>
      </c>
      <c r="D2033" s="0" t="n">
        <v>4510787.767288079</v>
      </c>
      <c r="E2033" s="0" t="n">
        <v>1.114038054691909e-05</v>
      </c>
      <c r="F2033" s="0" t="n">
        <v>1.102398402156931e-05</v>
      </c>
      <c r="G2033" s="0" t="n">
        <v>1.163965253497834e-07</v>
      </c>
      <c r="H2033" s="0" t="b">
        <v>0</v>
      </c>
    </row>
    <row r="2034">
      <c r="A2034" s="0" t="n">
        <v>187</v>
      </c>
      <c r="B2034" s="0" t="n">
        <v>16</v>
      </c>
      <c r="C2034" s="0" t="n">
        <v>4355858.22265625</v>
      </c>
      <c r="D2034" s="0" t="n">
        <v>3931545.608913148</v>
      </c>
      <c r="E2034" s="0" t="n">
        <v>1.112578577888991e-05</v>
      </c>
      <c r="F2034" s="0" t="n">
        <v>1.102398402156931e-05</v>
      </c>
      <c r="G2034" s="0" t="n">
        <v>1.018017573205985e-07</v>
      </c>
      <c r="H2034" s="0" t="b">
        <v>0</v>
      </c>
    </row>
    <row r="2035">
      <c r="A2035" s="0" t="n">
        <v>187</v>
      </c>
      <c r="B2035" s="0" t="n">
        <v>17</v>
      </c>
      <c r="C2035" s="0" t="n">
        <v>4356218.22265625</v>
      </c>
      <c r="D2035" s="0" t="n">
        <v>4220588.858284408</v>
      </c>
      <c r="E2035" s="0" t="n">
        <v>1.113308091903193e-05</v>
      </c>
      <c r="F2035" s="0" t="n">
        <v>1.102398402156931e-05</v>
      </c>
      <c r="G2035" s="0" t="n">
        <v>1.090968974626202e-07</v>
      </c>
      <c r="H2035" s="0" t="b">
        <v>0</v>
      </c>
    </row>
    <row r="2036">
      <c r="A2036" s="0" t="n">
        <v>187</v>
      </c>
      <c r="B2036" s="0" t="n">
        <v>18</v>
      </c>
      <c r="C2036" s="0" t="n">
        <v>4356650.22265625</v>
      </c>
      <c r="D2036" s="0" t="n">
        <v>4568964.312729002</v>
      </c>
      <c r="E2036" s="0" t="n">
        <v>1.114184095913369e-05</v>
      </c>
      <c r="F2036" s="0" t="n">
        <v>1.102398402156931e-05</v>
      </c>
      <c r="G2036" s="0" t="n">
        <v>1.178569375643782e-07</v>
      </c>
      <c r="H2036" s="0" t="b">
        <v>0</v>
      </c>
    </row>
    <row r="2037">
      <c r="A2037" s="0" t="n">
        <v>187</v>
      </c>
      <c r="B2037" s="0" t="n">
        <v>19</v>
      </c>
      <c r="C2037" s="0" t="n">
        <v>4356434.22265625</v>
      </c>
      <c r="D2037" s="0" t="n">
        <v>4394571.478896922</v>
      </c>
      <c r="E2037" s="0" t="n">
        <v>1.113746020916425e-05</v>
      </c>
      <c r="F2037" s="0" t="n">
        <v>1.102398402156931e-05</v>
      </c>
      <c r="G2037" s="0" t="n">
        <v>1.134761875949407e-07</v>
      </c>
      <c r="H2037" s="0" t="b">
        <v>0</v>
      </c>
    </row>
    <row r="2038">
      <c r="A2038" s="0" t="n">
        <v>188</v>
      </c>
      <c r="B2038" s="0" t="n">
        <v>1</v>
      </c>
      <c r="C2038" s="0" t="n">
        <v>6050000</v>
      </c>
      <c r="D2038" s="0" t="n">
        <v>147597172525.8774</v>
      </c>
      <c r="E2038" s="0" t="n">
        <v>0.0003109149647485675</v>
      </c>
      <c r="F2038" s="0" t="n">
        <v>9.511253242064767e-06</v>
      </c>
      <c r="G2038" s="0" t="n">
        <v>0.0003014037115065028</v>
      </c>
      <c r="H2038" s="0" t="b">
        <v>0</v>
      </c>
    </row>
    <row r="2039">
      <c r="A2039" s="0" t="n">
        <v>188</v>
      </c>
      <c r="B2039" s="0" t="n">
        <v>2</v>
      </c>
      <c r="C2039" s="0" t="n">
        <v>3075000</v>
      </c>
      <c r="D2039" s="0" t="n">
        <v>-110428.4208349875</v>
      </c>
      <c r="E2039" s="0" t="n">
        <v>-1.501802467793325e-06</v>
      </c>
      <c r="F2039" s="0" t="n">
        <v>9.511253242064767e-06</v>
      </c>
      <c r="G2039" s="0" t="n">
        <v>-1.101305570985809e-05</v>
      </c>
      <c r="H2039" s="0" t="b">
        <v>1</v>
      </c>
    </row>
    <row r="2040">
      <c r="A2040" s="0" t="n">
        <v>188</v>
      </c>
      <c r="B2040" s="0" t="n">
        <v>3</v>
      </c>
      <c r="C2040" s="0" t="n">
        <v>4562500</v>
      </c>
      <c r="D2040" s="0" t="n">
        <v>-34989411.03836901</v>
      </c>
      <c r="E2040" s="0" t="n">
        <v>7.409701059250724e-06</v>
      </c>
      <c r="F2040" s="0" t="n">
        <v>9.511253242064767e-06</v>
      </c>
      <c r="G2040" s="0" t="n">
        <v>-2.101552182814043e-06</v>
      </c>
      <c r="H2040" s="0" t="b">
        <v>1</v>
      </c>
    </row>
    <row r="2041">
      <c r="A2041" s="0" t="n">
        <v>188</v>
      </c>
      <c r="B2041" s="0" t="n">
        <v>4</v>
      </c>
      <c r="C2041" s="0" t="n">
        <v>5306250</v>
      </c>
      <c r="D2041" s="0" t="n">
        <v>8359691374.063944</v>
      </c>
      <c r="E2041" s="0" t="n">
        <v>4.559766879567566e-05</v>
      </c>
      <c r="F2041" s="0" t="n">
        <v>9.511253242064767e-06</v>
      </c>
      <c r="G2041" s="0" t="n">
        <v>3.608641555361089e-05</v>
      </c>
      <c r="H2041" s="0" t="b">
        <v>0</v>
      </c>
    </row>
    <row r="2042">
      <c r="A2042" s="0" t="n">
        <v>188</v>
      </c>
      <c r="B2042" s="0" t="n">
        <v>5</v>
      </c>
      <c r="C2042" s="0" t="n">
        <v>4934375</v>
      </c>
      <c r="D2042" s="0" t="n">
        <v>475882688.985255</v>
      </c>
      <c r="E2042" s="0" t="n">
        <v>1.432780871735098e-05</v>
      </c>
      <c r="F2042" s="0" t="n">
        <v>9.511253242064767e-06</v>
      </c>
      <c r="G2042" s="0" t="n">
        <v>4.816555475286212e-06</v>
      </c>
      <c r="H2042" s="0" t="b">
        <v>0</v>
      </c>
    </row>
    <row r="2043">
      <c r="A2043" s="0" t="n">
        <v>188</v>
      </c>
      <c r="B2043" s="0" t="n">
        <v>6</v>
      </c>
      <c r="C2043" s="0" t="n">
        <v>4748437.5</v>
      </c>
      <c r="D2043" s="0" t="n">
        <v>31244163.95172641</v>
      </c>
      <c r="E2043" s="0" t="n">
        <v>1.014320869665587e-05</v>
      </c>
      <c r="F2043" s="0" t="n">
        <v>9.511253242064767e-06</v>
      </c>
      <c r="G2043" s="0" t="n">
        <v>6.319554545911041e-07</v>
      </c>
      <c r="H2043" s="0" t="b">
        <v>0</v>
      </c>
    </row>
    <row r="2044">
      <c r="A2044" s="0" t="n">
        <v>188</v>
      </c>
      <c r="B2044" s="0" t="n">
        <v>7</v>
      </c>
      <c r="C2044" s="0" t="n">
        <v>4655468.75</v>
      </c>
      <c r="D2044" s="0" t="n">
        <v>-26127783.07757062</v>
      </c>
      <c r="E2044" s="0" t="n">
        <v>8.684505105250884e-06</v>
      </c>
      <c r="F2044" s="0" t="n">
        <v>9.511253242064767e-06</v>
      </c>
      <c r="G2044" s="0" t="n">
        <v>-8.267481368138828e-07</v>
      </c>
      <c r="H2044" s="0" t="b">
        <v>1</v>
      </c>
    </row>
    <row r="2045">
      <c r="A2045" s="0" t="n">
        <v>188</v>
      </c>
      <c r="B2045" s="0" t="n">
        <v>8</v>
      </c>
      <c r="C2045" s="0" t="n">
        <v>4701953.125</v>
      </c>
      <c r="D2045" s="0" t="n">
        <v>-4883492.153373401</v>
      </c>
      <c r="E2045" s="0" t="n">
        <v>9.389800546824985e-06</v>
      </c>
      <c r="F2045" s="0" t="n">
        <v>9.511253242064767e-06</v>
      </c>
      <c r="G2045" s="0" t="n">
        <v>-1.21452695239782e-07</v>
      </c>
      <c r="H2045" s="0" t="b">
        <v>1</v>
      </c>
    </row>
    <row r="2046">
      <c r="A2046" s="0" t="n">
        <v>188</v>
      </c>
      <c r="B2046" s="0" t="n">
        <v>9</v>
      </c>
      <c r="C2046" s="0" t="n">
        <v>4725195.3125</v>
      </c>
      <c r="D2046" s="0" t="n">
        <v>11147767.07141996</v>
      </c>
      <c r="E2046" s="0" t="n">
        <v>9.760358832044004e-06</v>
      </c>
      <c r="F2046" s="0" t="n">
        <v>9.511253242064767e-06</v>
      </c>
      <c r="G2046" s="0" t="n">
        <v>2.491055899792367e-07</v>
      </c>
      <c r="H2046" s="0" t="b">
        <v>0</v>
      </c>
    </row>
    <row r="2047">
      <c r="A2047" s="0" t="n">
        <v>188</v>
      </c>
      <c r="B2047" s="0" t="n">
        <v>10</v>
      </c>
      <c r="C2047" s="0" t="n">
        <v>4713574.21875</v>
      </c>
      <c r="D2047" s="0" t="n">
        <v>2645878.67817755</v>
      </c>
      <c r="E2047" s="0" t="n">
        <v>9.573566033312276e-06</v>
      </c>
      <c r="F2047" s="0" t="n">
        <v>9.511253242064767e-06</v>
      </c>
      <c r="G2047" s="0" t="n">
        <v>6.231279124750868e-08</v>
      </c>
      <c r="H2047" s="0" t="b">
        <v>0</v>
      </c>
    </row>
    <row r="2048">
      <c r="A2048" s="0" t="n">
        <v>188</v>
      </c>
      <c r="B2048" s="0" t="n">
        <v>11</v>
      </c>
      <c r="C2048" s="0" t="n">
        <v>4719384.765625</v>
      </c>
      <c r="D2048" s="0" t="n">
        <v>6772766.926655281</v>
      </c>
      <c r="E2048" s="0" t="n">
        <v>9.666586166022711e-06</v>
      </c>
      <c r="F2048" s="0" t="n">
        <v>9.511253242064767e-06</v>
      </c>
      <c r="G2048" s="0" t="n">
        <v>1.553329239579444e-07</v>
      </c>
      <c r="H2048" s="0" t="b">
        <v>0</v>
      </c>
    </row>
    <row r="2049">
      <c r="A2049" s="0" t="n">
        <v>188</v>
      </c>
      <c r="B2049" s="0" t="n">
        <v>12</v>
      </c>
      <c r="C2049" s="0" t="n">
        <v>4716479.4921875</v>
      </c>
      <c r="D2049" s="0" t="n">
        <v>4678658.332126258</v>
      </c>
      <c r="E2049" s="0" t="n">
        <v>9.619982683519183e-06</v>
      </c>
      <c r="F2049" s="0" t="n">
        <v>9.511253242064767e-06</v>
      </c>
      <c r="G2049" s="0" t="n">
        <v>1.087294414544161e-07</v>
      </c>
      <c r="H2049" s="0" t="b">
        <v>0</v>
      </c>
    </row>
    <row r="2050">
      <c r="A2050" s="0" t="n">
        <v>189</v>
      </c>
      <c r="B2050" s="0" t="n">
        <v>1</v>
      </c>
      <c r="C2050" s="0" t="n">
        <v>6050000</v>
      </c>
      <c r="D2050" s="0" t="n">
        <v>1855002214.51071</v>
      </c>
      <c r="E2050" s="0" t="n">
        <v>1.492061736893566e-05</v>
      </c>
      <c r="F2050" s="0" t="n">
        <v>6.80411349021822e-06</v>
      </c>
      <c r="G2050" s="0" t="n">
        <v>8.116503878717442e-06</v>
      </c>
      <c r="H2050" s="0" t="b">
        <v>0</v>
      </c>
    </row>
    <row r="2051">
      <c r="A2051" s="0" t="n">
        <v>189</v>
      </c>
      <c r="B2051" s="0" t="n">
        <v>2</v>
      </c>
      <c r="C2051" s="0" t="n">
        <v>3075000</v>
      </c>
      <c r="D2051" s="0" t="n">
        <v>-39726.61074707462</v>
      </c>
      <c r="E2051" s="0" t="n">
        <v>-4.224900639020373e-06</v>
      </c>
      <c r="F2051" s="0" t="n">
        <v>6.804113490218219e-06</v>
      </c>
      <c r="G2051" s="0" t="n">
        <v>-1.102901412923859e-05</v>
      </c>
      <c r="H2051" s="0" t="b">
        <v>1</v>
      </c>
    </row>
    <row r="2052">
      <c r="A2052" s="0" t="n">
        <v>189</v>
      </c>
      <c r="B2052" s="0" t="n">
        <v>3</v>
      </c>
      <c r="C2052" s="0" t="n">
        <v>4562500</v>
      </c>
      <c r="D2052" s="0" t="n">
        <v>-750538.9725141263</v>
      </c>
      <c r="E2052" s="0" t="n">
        <v>1.596727607031938e-06</v>
      </c>
      <c r="F2052" s="0" t="n">
        <v>6.804113490218219e-06</v>
      </c>
      <c r="G2052" s="0" t="n">
        <v>-5.20738588318628e-06</v>
      </c>
      <c r="H2052" s="0" t="b">
        <v>1</v>
      </c>
    </row>
    <row r="2053">
      <c r="A2053" s="0" t="n">
        <v>189</v>
      </c>
      <c r="B2053" s="0" t="n">
        <v>4</v>
      </c>
      <c r="C2053" s="0" t="n">
        <v>5306250</v>
      </c>
      <c r="D2053" s="0" t="n">
        <v>-19505015.82170171</v>
      </c>
      <c r="E2053" s="0" t="n">
        <v>4.692853717351155e-06</v>
      </c>
      <c r="F2053" s="0" t="n">
        <v>6.804113490218219e-06</v>
      </c>
      <c r="G2053" s="0" t="n">
        <v>-2.111259772867063e-06</v>
      </c>
      <c r="H2053" s="0" t="b">
        <v>1</v>
      </c>
    </row>
    <row r="2054">
      <c r="A2054" s="0" t="n">
        <v>189</v>
      </c>
      <c r="B2054" s="0" t="n">
        <v>5</v>
      </c>
      <c r="C2054" s="0" t="n">
        <v>5678125</v>
      </c>
      <c r="D2054" s="0" t="n">
        <v>83770017.98335144</v>
      </c>
      <c r="E2054" s="0" t="n">
        <v>7.889954296500929e-06</v>
      </c>
      <c r="F2054" s="0" t="n">
        <v>6.804113490218219e-06</v>
      </c>
      <c r="G2054" s="0" t="n">
        <v>1.08584080628271e-06</v>
      </c>
      <c r="H2054" s="0" t="b">
        <v>0</v>
      </c>
    </row>
    <row r="2055">
      <c r="A2055" s="0" t="n">
        <v>189</v>
      </c>
      <c r="B2055" s="0" t="n">
        <v>6</v>
      </c>
      <c r="C2055" s="0" t="n">
        <v>5492187.5</v>
      </c>
      <c r="D2055" s="0" t="n">
        <v>-24773463.13023894</v>
      </c>
      <c r="E2055" s="0" t="n">
        <v>6.110660649194533e-06</v>
      </c>
      <c r="F2055" s="0" t="n">
        <v>6.804113490218219e-06</v>
      </c>
      <c r="G2055" s="0" t="n">
        <v>-6.934528410236862e-07</v>
      </c>
      <c r="H2055" s="0" t="b">
        <v>1</v>
      </c>
    </row>
    <row r="2056">
      <c r="A2056" s="0" t="n">
        <v>189</v>
      </c>
      <c r="B2056" s="0" t="n">
        <v>7</v>
      </c>
      <c r="C2056" s="0" t="n">
        <v>5585156.25</v>
      </c>
      <c r="D2056" s="0" t="n">
        <v>8120317.241804666</v>
      </c>
      <c r="E2056" s="0" t="n">
        <v>6.951618234178106e-06</v>
      </c>
      <c r="F2056" s="0" t="n">
        <v>6.804113490218219e-06</v>
      </c>
      <c r="G2056" s="0" t="n">
        <v>1.475047439598872e-07</v>
      </c>
      <c r="H2056" s="0" t="b">
        <v>0</v>
      </c>
    </row>
    <row r="2057">
      <c r="A2057" s="0" t="n">
        <v>189</v>
      </c>
      <c r="B2057" s="0" t="n">
        <v>8</v>
      </c>
      <c r="C2057" s="0" t="n">
        <v>5538671.875</v>
      </c>
      <c r="D2057" s="0" t="n">
        <v>-12814319.7726978</v>
      </c>
      <c r="E2057" s="0" t="n">
        <v>6.519413779857057e-06</v>
      </c>
      <c r="F2057" s="0" t="n">
        <v>6.804113490218219e-06</v>
      </c>
      <c r="G2057" s="0" t="n">
        <v>-2.846997103611622e-07</v>
      </c>
      <c r="H2057" s="0" t="b">
        <v>1</v>
      </c>
    </row>
    <row r="2058">
      <c r="A2058" s="0" t="n">
        <v>189</v>
      </c>
      <c r="B2058" s="0" t="n">
        <v>9</v>
      </c>
      <c r="C2058" s="0" t="n">
        <v>5561914.0625</v>
      </c>
      <c r="D2058" s="0" t="n">
        <v>-3575109.434485388</v>
      </c>
      <c r="E2058" s="0" t="n">
        <v>6.732526064553024e-06</v>
      </c>
      <c r="F2058" s="0" t="n">
        <v>6.804113490218219e-06</v>
      </c>
      <c r="G2058" s="0" t="n">
        <v>-7.158742566519435e-08</v>
      </c>
      <c r="H2058" s="0" t="b">
        <v>1</v>
      </c>
    </row>
    <row r="2059">
      <c r="A2059" s="0" t="n">
        <v>189</v>
      </c>
      <c r="B2059" s="0" t="n">
        <v>10</v>
      </c>
      <c r="C2059" s="0" t="n">
        <v>5573535.15625</v>
      </c>
      <c r="D2059" s="0" t="n">
        <v>1952628.945801088</v>
      </c>
      <c r="E2059" s="0" t="n">
        <v>6.841324854902951e-06</v>
      </c>
      <c r="F2059" s="0" t="n">
        <v>6.804113490218219e-06</v>
      </c>
      <c r="G2059" s="0" t="n">
        <v>3.721136468473251e-08</v>
      </c>
      <c r="H2059" s="0" t="b">
        <v>0</v>
      </c>
    </row>
    <row r="2060">
      <c r="A2060" s="0" t="n">
        <v>189</v>
      </c>
      <c r="B2060" s="0" t="n">
        <v>11</v>
      </c>
      <c r="C2060" s="0" t="n">
        <v>5579345.703125</v>
      </c>
      <c r="D2060" s="0" t="n">
        <v>4954863.23905399</v>
      </c>
      <c r="E2060" s="0" t="n">
        <v>6.896284598634138e-06</v>
      </c>
      <c r="F2060" s="0" t="n">
        <v>6.804113490218219e-06</v>
      </c>
      <c r="G2060" s="0" t="n">
        <v>9.217110841591897e-08</v>
      </c>
      <c r="H2060" s="0" t="b">
        <v>0</v>
      </c>
    </row>
    <row r="2061">
      <c r="A2061" s="0" t="n">
        <v>189</v>
      </c>
      <c r="B2061" s="0" t="n">
        <v>12</v>
      </c>
      <c r="C2061" s="0" t="n">
        <v>5582250.9765625</v>
      </c>
      <c r="D2061" s="0" t="n">
        <v>6516936.559219576</v>
      </c>
      <c r="E2061" s="0" t="n">
        <v>6.92390379767901e-06</v>
      </c>
      <c r="F2061" s="0" t="n">
        <v>6.804113490218219e-06</v>
      </c>
      <c r="G2061" s="0" t="n">
        <v>1.197903074607916e-07</v>
      </c>
      <c r="H2061" s="0" t="b">
        <v>0</v>
      </c>
    </row>
    <row r="2062">
      <c r="A2062" s="0" t="n">
        <v>189</v>
      </c>
      <c r="B2062" s="0" t="n">
        <v>13</v>
      </c>
      <c r="C2062" s="0" t="n">
        <v>5580798.33984375</v>
      </c>
      <c r="D2062" s="0" t="n">
        <v>5730776.545454942</v>
      </c>
      <c r="E2062" s="0" t="n">
        <v>6.910082552013857e-06</v>
      </c>
      <c r="F2062" s="0" t="n">
        <v>6.804113490218219e-06</v>
      </c>
      <c r="G2062" s="0" t="n">
        <v>1.059690617956382e-07</v>
      </c>
      <c r="H2062" s="0" t="b">
        <v>0</v>
      </c>
    </row>
    <row r="2063">
      <c r="A2063" s="0" t="n">
        <v>189</v>
      </c>
      <c r="B2063" s="0" t="n">
        <v>14</v>
      </c>
      <c r="C2063" s="0" t="n">
        <v>5579598.33984375</v>
      </c>
      <c r="D2063" s="0" t="n">
        <v>5089082.456664904</v>
      </c>
      <c r="E2063" s="0" t="n">
        <v>6.898682778843299e-06</v>
      </c>
      <c r="F2063" s="0" t="n">
        <v>6.804113490218219e-06</v>
      </c>
      <c r="G2063" s="0" t="n">
        <v>9.456928862508013e-08</v>
      </c>
      <c r="H2063" s="0" t="b">
        <v>0</v>
      </c>
    </row>
    <row r="2064">
      <c r="A2064" s="0" t="n">
        <v>189</v>
      </c>
      <c r="B2064" s="0" t="n">
        <v>15</v>
      </c>
      <c r="C2064" s="0" t="n">
        <v>5580198.33984375</v>
      </c>
      <c r="D2064" s="0" t="n">
        <v>5409054.917089135</v>
      </c>
      <c r="E2064" s="0" t="n">
        <v>6.904380637441369e-06</v>
      </c>
      <c r="F2064" s="0" t="n">
        <v>6.804113490218219e-06</v>
      </c>
      <c r="G2064" s="0" t="n">
        <v>1.0026714722315e-07</v>
      </c>
      <c r="H2064" s="0" t="b">
        <v>0</v>
      </c>
    </row>
    <row r="2065">
      <c r="A2065" s="0" t="n">
        <v>189</v>
      </c>
      <c r="B2065" s="0" t="n">
        <v>16</v>
      </c>
      <c r="C2065" s="0" t="n">
        <v>5580918.33984375</v>
      </c>
      <c r="D2065" s="0" t="n">
        <v>5795331.096902761</v>
      </c>
      <c r="E2065" s="0" t="n">
        <v>6.911223421816995e-06</v>
      </c>
      <c r="F2065" s="0" t="n">
        <v>6.804113490218219e-06</v>
      </c>
      <c r="G2065" s="0" t="n">
        <v>1.07109931598776e-07</v>
      </c>
      <c r="H2065" s="0" t="b">
        <v>0</v>
      </c>
    </row>
    <row r="2066">
      <c r="A2066" s="0" t="n">
        <v>189</v>
      </c>
      <c r="B2066" s="0" t="n">
        <v>17</v>
      </c>
      <c r="C2066" s="0" t="n">
        <v>5580558.33984375</v>
      </c>
      <c r="D2066" s="0" t="n">
        <v>5601863.837260384</v>
      </c>
      <c r="E2066" s="0" t="n">
        <v>6.907801052755576e-06</v>
      </c>
      <c r="F2066" s="0" t="n">
        <v>6.804113490218219e-06</v>
      </c>
      <c r="G2066" s="0" t="n">
        <v>1.036875625373576e-07</v>
      </c>
      <c r="H2066" s="0" t="b">
        <v>0</v>
      </c>
    </row>
    <row r="2067">
      <c r="A2067" s="0" t="n">
        <v>190</v>
      </c>
      <c r="B2067" s="0" t="n">
        <v>1</v>
      </c>
      <c r="C2067" s="0" t="n">
        <v>6050000</v>
      </c>
      <c r="D2067" s="0" t="n">
        <v>622904971.8435911</v>
      </c>
      <c r="E2067" s="0" t="n">
        <v>1.062410030245349e-05</v>
      </c>
      <c r="F2067" s="0" t="n">
        <v>6.565038772495588e-06</v>
      </c>
      <c r="G2067" s="0" t="n">
        <v>4.059061529957901e-06</v>
      </c>
      <c r="H2067" s="0" t="b">
        <v>0</v>
      </c>
    </row>
    <row r="2068">
      <c r="A2068" s="0" t="n">
        <v>190</v>
      </c>
      <c r="B2068" s="0" t="n">
        <v>2</v>
      </c>
      <c r="C2068" s="0" t="n">
        <v>3075000</v>
      </c>
      <c r="D2068" s="0" t="n">
        <v>-35540.23122122826</v>
      </c>
      <c r="E2068" s="0" t="n">
        <v>-4.51778680270866e-06</v>
      </c>
      <c r="F2068" s="0" t="n">
        <v>6.565038772495588e-06</v>
      </c>
      <c r="G2068" s="0" t="n">
        <v>-1.108282557520425e-05</v>
      </c>
      <c r="H2068" s="0" t="b">
        <v>1</v>
      </c>
    </row>
    <row r="2069">
      <c r="A2069" s="0" t="n">
        <v>190</v>
      </c>
      <c r="B2069" s="0" t="n">
        <v>3</v>
      </c>
      <c r="C2069" s="0" t="n">
        <v>4562500</v>
      </c>
      <c r="D2069" s="0" t="n">
        <v>-615833.4771548316</v>
      </c>
      <c r="E2069" s="0" t="n">
        <v>1.312504628923472e-06</v>
      </c>
      <c r="F2069" s="0" t="n">
        <v>6.565038772495588e-06</v>
      </c>
      <c r="G2069" s="0" t="n">
        <v>-5.252534143572117e-06</v>
      </c>
      <c r="H2069" s="0" t="b">
        <v>1</v>
      </c>
    </row>
    <row r="2070">
      <c r="A2070" s="0" t="n">
        <v>190</v>
      </c>
      <c r="B2070" s="0" t="n">
        <v>4</v>
      </c>
      <c r="C2070" s="0" t="n">
        <v>5306250</v>
      </c>
      <c r="D2070" s="0" t="n">
        <v>-10730031.37119054</v>
      </c>
      <c r="E2070" s="0" t="n">
        <v>3.909341073977555e-06</v>
      </c>
      <c r="F2070" s="0" t="n">
        <v>6.565038772495588e-06</v>
      </c>
      <c r="G2070" s="0" t="n">
        <v>-2.655697698518033e-06</v>
      </c>
      <c r="H2070" s="0" t="b">
        <v>1</v>
      </c>
    </row>
    <row r="2071">
      <c r="A2071" s="0" t="n">
        <v>190</v>
      </c>
      <c r="B2071" s="0" t="n">
        <v>5</v>
      </c>
      <c r="C2071" s="0" t="n">
        <v>5678125</v>
      </c>
      <c r="D2071" s="0" t="n">
        <v>-590625.175696614</v>
      </c>
      <c r="E2071" s="0" t="n">
        <v>6.553775048680019e-06</v>
      </c>
      <c r="F2071" s="0" t="n">
        <v>6.565038772495588e-06</v>
      </c>
      <c r="G2071" s="0" t="n">
        <v>-1.126372381556908e-08</v>
      </c>
      <c r="H2071" s="0" t="b">
        <v>1</v>
      </c>
    </row>
    <row r="2072">
      <c r="A2072" s="0" t="n">
        <v>190</v>
      </c>
      <c r="B2072" s="0" t="n">
        <v>6</v>
      </c>
      <c r="C2072" s="0" t="n">
        <v>5864062.5</v>
      </c>
      <c r="D2072" s="0" t="n">
        <v>179387693.0396928</v>
      </c>
      <c r="E2072" s="0" t="n">
        <v>8.384515231743486e-06</v>
      </c>
      <c r="F2072" s="0" t="n">
        <v>6.565038772495588e-06</v>
      </c>
      <c r="G2072" s="0" t="n">
        <v>1.819476459247898e-06</v>
      </c>
      <c r="H2072" s="0" t="b">
        <v>0</v>
      </c>
    </row>
    <row r="2073">
      <c r="A2073" s="0" t="n">
        <v>190</v>
      </c>
      <c r="B2073" s="0" t="n">
        <v>7</v>
      </c>
      <c r="C2073" s="0" t="n">
        <v>5771093.75</v>
      </c>
      <c r="D2073" s="0" t="n">
        <v>63615047.49677218</v>
      </c>
      <c r="E2073" s="0" t="n">
        <v>7.421429458596292e-06</v>
      </c>
      <c r="F2073" s="0" t="n">
        <v>6.565038772495588e-06</v>
      </c>
      <c r="G2073" s="0" t="n">
        <v>8.56390686100704e-07</v>
      </c>
      <c r="H2073" s="0" t="b">
        <v>0</v>
      </c>
    </row>
    <row r="2074">
      <c r="A2074" s="0" t="n">
        <v>190</v>
      </c>
      <c r="B2074" s="0" t="n">
        <v>8</v>
      </c>
      <c r="C2074" s="0" t="n">
        <v>5724609.375</v>
      </c>
      <c r="D2074" s="0" t="n">
        <v>25907671.05039883</v>
      </c>
      <c r="E2074" s="0" t="n">
        <v>6.976087266019327e-06</v>
      </c>
      <c r="F2074" s="0" t="n">
        <v>6.565038772495588e-06</v>
      </c>
      <c r="G2074" s="0" t="n">
        <v>4.110484935237387e-07</v>
      </c>
      <c r="H2074" s="0" t="b">
        <v>0</v>
      </c>
    </row>
    <row r="2075">
      <c r="A2075" s="0" t="n">
        <v>190</v>
      </c>
      <c r="B2075" s="0" t="n">
        <v>9</v>
      </c>
      <c r="C2075" s="0" t="n">
        <v>5701367.1875</v>
      </c>
      <c r="D2075" s="0" t="n">
        <v>11359534.90705007</v>
      </c>
      <c r="E2075" s="0" t="n">
        <v>6.762096137895277e-06</v>
      </c>
      <c r="F2075" s="0" t="n">
        <v>6.565038772495588e-06</v>
      </c>
      <c r="G2075" s="0" t="n">
        <v>1.97057365399689e-07</v>
      </c>
      <c r="H2075" s="0" t="b">
        <v>0</v>
      </c>
    </row>
    <row r="2076">
      <c r="A2076" s="0" t="n">
        <v>190</v>
      </c>
      <c r="B2076" s="0" t="n">
        <v>10</v>
      </c>
      <c r="C2076" s="0" t="n">
        <v>5689746.09375</v>
      </c>
      <c r="D2076" s="0" t="n">
        <v>5072639.31371484</v>
      </c>
      <c r="E2076" s="0" t="n">
        <v>6.657236742035161e-06</v>
      </c>
      <c r="F2076" s="0" t="n">
        <v>6.565038772495588e-06</v>
      </c>
      <c r="G2076" s="0" t="n">
        <v>9.219796953957299e-08</v>
      </c>
      <c r="H2076" s="0" t="b">
        <v>0</v>
      </c>
    </row>
    <row r="2077">
      <c r="A2077" s="0" t="n">
        <v>190</v>
      </c>
      <c r="B2077" s="0" t="n">
        <v>11</v>
      </c>
      <c r="C2077" s="0" t="n">
        <v>5695556.640625</v>
      </c>
      <c r="D2077" s="0" t="n">
        <v>8136483.823685458</v>
      </c>
      <c r="E2077" s="0" t="n">
        <v>6.709489760233141e-06</v>
      </c>
      <c r="F2077" s="0" t="n">
        <v>6.565038772495588e-06</v>
      </c>
      <c r="G2077" s="0" t="n">
        <v>1.444509877375525e-07</v>
      </c>
      <c r="H2077" s="0" t="b">
        <v>0</v>
      </c>
    </row>
    <row r="2078">
      <c r="A2078" s="0" t="n">
        <v>190</v>
      </c>
      <c r="B2078" s="0" t="n">
        <v>12</v>
      </c>
      <c r="C2078" s="0" t="n">
        <v>5692651.3671875</v>
      </c>
      <c r="D2078" s="0" t="n">
        <v>6584859.120281328</v>
      </c>
      <c r="E2078" s="0" t="n">
        <v>6.683319172658365e-06</v>
      </c>
      <c r="F2078" s="0" t="n">
        <v>6.565038772495588e-06</v>
      </c>
      <c r="G2078" s="0" t="n">
        <v>1.182804001627771e-07</v>
      </c>
      <c r="H2078" s="0" t="b">
        <v>0</v>
      </c>
    </row>
    <row r="2079">
      <c r="A2079" s="0" t="n">
        <v>190</v>
      </c>
      <c r="B2079" s="0" t="n">
        <v>13</v>
      </c>
      <c r="C2079" s="0" t="n">
        <v>5691198.73046875</v>
      </c>
      <c r="D2079" s="0" t="n">
        <v>5823847.912113355</v>
      </c>
      <c r="E2079" s="0" t="n">
        <v>6.670266941123478e-06</v>
      </c>
      <c r="F2079" s="0" t="n">
        <v>6.565038772495588e-06</v>
      </c>
      <c r="G2079" s="0" t="n">
        <v>1.052281686278902e-07</v>
      </c>
      <c r="H2079" s="0" t="b">
        <v>0</v>
      </c>
    </row>
    <row r="2080">
      <c r="A2080" s="0" t="n">
        <v>190</v>
      </c>
      <c r="B2080" s="0" t="n">
        <v>14</v>
      </c>
      <c r="C2080" s="0" t="n">
        <v>5689998.73046875</v>
      </c>
      <c r="D2080" s="0" t="n">
        <v>5202598.35426205</v>
      </c>
      <c r="E2080" s="0" t="n">
        <v>6.659501561502939e-06</v>
      </c>
      <c r="F2080" s="0" t="n">
        <v>6.565038772495588e-06</v>
      </c>
      <c r="G2080" s="0" t="n">
        <v>9.446278900735068e-08</v>
      </c>
      <c r="H2080" s="0" t="b">
        <v>0</v>
      </c>
    </row>
    <row r="2081">
      <c r="A2081" s="0" t="n">
        <v>190</v>
      </c>
      <c r="B2081" s="0" t="n">
        <v>15</v>
      </c>
      <c r="C2081" s="0" t="n">
        <v>5690598.73046875</v>
      </c>
      <c r="D2081" s="0" t="n">
        <v>5512381.35847281</v>
      </c>
      <c r="E2081" s="0" t="n">
        <v>6.664882244953414e-06</v>
      </c>
      <c r="F2081" s="0" t="n">
        <v>6.565038772495588e-06</v>
      </c>
      <c r="G2081" s="0" t="n">
        <v>9.984347245782599e-08</v>
      </c>
      <c r="H2081" s="0" t="b">
        <v>0</v>
      </c>
    </row>
    <row r="2082">
      <c r="A2082" s="0" t="n">
        <v>190</v>
      </c>
      <c r="B2082" s="0" t="n">
        <v>16</v>
      </c>
      <c r="C2082" s="0" t="n">
        <v>5691318.73046875</v>
      </c>
      <c r="D2082" s="0" t="n">
        <v>5886355.488662669</v>
      </c>
      <c r="E2082" s="0" t="n">
        <v>6.671344567333708e-06</v>
      </c>
      <c r="F2082" s="0" t="n">
        <v>6.565038772495588e-06</v>
      </c>
      <c r="G2082" s="0" t="n">
        <v>1.063057948381202e-07</v>
      </c>
      <c r="H2082" s="0" t="b">
        <v>0</v>
      </c>
    </row>
    <row r="2083">
      <c r="A2083" s="0" t="n">
        <v>190</v>
      </c>
      <c r="B2083" s="0" t="n">
        <v>17</v>
      </c>
      <c r="C2083" s="0" t="n">
        <v>5690958.73046875</v>
      </c>
      <c r="D2083" s="0" t="n">
        <v>5699074.50764508</v>
      </c>
      <c r="E2083" s="0" t="n">
        <v>6.668112848516011e-06</v>
      </c>
      <c r="F2083" s="0" t="n">
        <v>6.565038772495588e-06</v>
      </c>
      <c r="G2083" s="0" t="n">
        <v>1.030740760204223e-07</v>
      </c>
      <c r="H2083" s="0" t="b">
        <v>0</v>
      </c>
    </row>
    <row r="2084">
      <c r="A2084" s="0" t="n">
        <v>191</v>
      </c>
      <c r="B2084" s="0" t="n">
        <v>1</v>
      </c>
      <c r="C2084" s="0" t="n">
        <v>6050000</v>
      </c>
      <c r="D2084" s="0" t="n">
        <v>-11398362.70870288</v>
      </c>
      <c r="E2084" s="0" t="n">
        <v>3.142292082396193e-06</v>
      </c>
      <c r="F2084" s="0" t="n">
        <v>5.02248501776247e-06</v>
      </c>
      <c r="G2084" s="0" t="n">
        <v>-1.880192935366277e-06</v>
      </c>
      <c r="H2084" s="0" t="b">
        <v>1</v>
      </c>
    </row>
    <row r="2085">
      <c r="A2085" s="0" t="n">
        <v>191</v>
      </c>
      <c r="B2085" s="0" t="n">
        <v>2</v>
      </c>
      <c r="C2085" s="0" t="n">
        <v>9025000</v>
      </c>
      <c r="D2085" s="0" t="n">
        <v>473680540459.1652</v>
      </c>
      <c r="E2085" s="0" t="n">
        <v>0.0003353068977666316</v>
      </c>
      <c r="F2085" s="0" t="n">
        <v>5.022485017762478e-06</v>
      </c>
      <c r="G2085" s="0" t="n">
        <v>0.0003302844127488691</v>
      </c>
      <c r="H2085" s="0" t="b">
        <v>0</v>
      </c>
    </row>
    <row r="2086">
      <c r="A2086" s="0" t="n">
        <v>191</v>
      </c>
      <c r="B2086" s="0" t="n">
        <v>3</v>
      </c>
      <c r="C2086" s="0" t="n">
        <v>7537500</v>
      </c>
      <c r="D2086" s="0" t="n">
        <v>12954104032.95628</v>
      </c>
      <c r="E2086" s="0" t="n">
        <v>2.835521108337798e-05</v>
      </c>
      <c r="F2086" s="0" t="n">
        <v>5.022485017762471e-06</v>
      </c>
      <c r="G2086" s="0" t="n">
        <v>2.33327260656155e-05</v>
      </c>
      <c r="H2086" s="0" t="b">
        <v>0</v>
      </c>
    </row>
    <row r="2087">
      <c r="A2087" s="0" t="n">
        <v>191</v>
      </c>
      <c r="B2087" s="0" t="n">
        <v>4</v>
      </c>
      <c r="C2087" s="0" t="n">
        <v>6793750</v>
      </c>
      <c r="D2087" s="0" t="n">
        <v>410068892.2361591</v>
      </c>
      <c r="E2087" s="0" t="n">
        <v>7.493052250702208e-06</v>
      </c>
      <c r="F2087" s="0" t="n">
        <v>5.02248501776247e-06</v>
      </c>
      <c r="G2087" s="0" t="n">
        <v>2.470567232939738e-06</v>
      </c>
      <c r="H2087" s="0" t="b">
        <v>0</v>
      </c>
    </row>
    <row r="2088">
      <c r="A2088" s="0" t="n">
        <v>191</v>
      </c>
      <c r="B2088" s="0" t="n">
        <v>5</v>
      </c>
      <c r="C2088" s="0" t="n">
        <v>6421875</v>
      </c>
      <c r="D2088" s="0" t="n">
        <v>-6521804.617182465</v>
      </c>
      <c r="E2088" s="0" t="n">
        <v>4.907026328898691e-06</v>
      </c>
      <c r="F2088" s="0" t="n">
        <v>5.02248501776247e-06</v>
      </c>
      <c r="G2088" s="0" t="n">
        <v>-1.154586888637797e-07</v>
      </c>
      <c r="H2088" s="0" t="b">
        <v>1</v>
      </c>
    </row>
    <row r="2089">
      <c r="A2089" s="0" t="n">
        <v>191</v>
      </c>
      <c r="B2089" s="0" t="n">
        <v>6</v>
      </c>
      <c r="C2089" s="0" t="n">
        <v>6607812.5</v>
      </c>
      <c r="D2089" s="0" t="n">
        <v>112519617.3951829</v>
      </c>
      <c r="E2089" s="0" t="n">
        <v>6.084096088435475e-06</v>
      </c>
      <c r="F2089" s="0" t="n">
        <v>5.02248501776247e-06</v>
      </c>
      <c r="G2089" s="0" t="n">
        <v>1.061611070673005e-06</v>
      </c>
      <c r="H2089" s="0" t="b">
        <v>0</v>
      </c>
    </row>
    <row r="2090">
      <c r="A2090" s="0" t="n">
        <v>191</v>
      </c>
      <c r="B2090" s="0" t="n">
        <v>7</v>
      </c>
      <c r="C2090" s="0" t="n">
        <v>6514843.75</v>
      </c>
      <c r="D2090" s="0" t="n">
        <v>35564287.77618261</v>
      </c>
      <c r="E2090" s="0" t="n">
        <v>5.468280919049782e-06</v>
      </c>
      <c r="F2090" s="0" t="n">
        <v>5.02248501776247e-06</v>
      </c>
      <c r="G2090" s="0" t="n">
        <v>4.457959012873122e-07</v>
      </c>
      <c r="H2090" s="0" t="b">
        <v>0</v>
      </c>
    </row>
    <row r="2091">
      <c r="A2091" s="0" t="n">
        <v>191</v>
      </c>
      <c r="B2091" s="0" t="n">
        <v>8</v>
      </c>
      <c r="C2091" s="0" t="n">
        <v>6468359.375</v>
      </c>
      <c r="D2091" s="0" t="n">
        <v>10741254.88172188</v>
      </c>
      <c r="E2091" s="0" t="n">
        <v>5.181043350774762e-06</v>
      </c>
      <c r="F2091" s="0" t="n">
        <v>5.02248501776247e-06</v>
      </c>
      <c r="G2091" s="0" t="n">
        <v>1.585583330122921e-07</v>
      </c>
      <c r="H2091" s="0" t="b">
        <v>0</v>
      </c>
    </row>
    <row r="2092">
      <c r="A2092" s="0" t="n">
        <v>191</v>
      </c>
      <c r="B2092" s="0" t="n">
        <v>9</v>
      </c>
      <c r="C2092" s="0" t="n">
        <v>6445117.1875</v>
      </c>
      <c r="D2092" s="0" t="n">
        <v>1235485.607006872</v>
      </c>
      <c r="E2092" s="0" t="n">
        <v>5.042407614225822e-06</v>
      </c>
      <c r="F2092" s="0" t="n">
        <v>5.02248501776247e-06</v>
      </c>
      <c r="G2092" s="0" t="n">
        <v>1.992259646335225e-08</v>
      </c>
      <c r="H2092" s="0" t="b">
        <v>0</v>
      </c>
    </row>
    <row r="2093">
      <c r="A2093" s="0" t="n">
        <v>191</v>
      </c>
      <c r="B2093" s="0" t="n">
        <v>10</v>
      </c>
      <c r="C2093" s="0" t="n">
        <v>6456738.28125</v>
      </c>
      <c r="D2093" s="0" t="n">
        <v>5760913.653730196</v>
      </c>
      <c r="E2093" s="0" t="n">
        <v>5.111313933921629e-06</v>
      </c>
      <c r="F2093" s="0" t="n">
        <v>5.02248501776247e-06</v>
      </c>
      <c r="G2093" s="0" t="n">
        <v>8.882891615915852e-08</v>
      </c>
      <c r="H2093" s="0" t="b">
        <v>0</v>
      </c>
    </row>
    <row r="2094">
      <c r="A2094" s="0" t="n">
        <v>191</v>
      </c>
      <c r="B2094" s="0" t="n">
        <v>11</v>
      </c>
      <c r="C2094" s="0" t="n">
        <v>6462548.828125</v>
      </c>
      <c r="D2094" s="0" t="n">
        <v>8193112.397845773</v>
      </c>
      <c r="E2094" s="0" t="n">
        <v>5.14607534370001e-06</v>
      </c>
      <c r="F2094" s="0" t="n">
        <v>5.02248501776247e-06</v>
      </c>
      <c r="G2094" s="0" t="n">
        <v>1.235903259375396e-07</v>
      </c>
      <c r="H2094" s="0" t="b">
        <v>0</v>
      </c>
    </row>
    <row r="2095">
      <c r="A2095" s="0" t="n">
        <v>191</v>
      </c>
      <c r="B2095" s="0" t="n">
        <v>12</v>
      </c>
      <c r="C2095" s="0" t="n">
        <v>6459643.5546875</v>
      </c>
      <c r="D2095" s="0" t="n">
        <v>6962658.759310075</v>
      </c>
      <c r="E2095" s="0" t="n">
        <v>5.128668865612117e-06</v>
      </c>
      <c r="F2095" s="0" t="n">
        <v>5.02248501776247e-06</v>
      </c>
      <c r="G2095" s="0" t="n">
        <v>1.061838478496464e-07</v>
      </c>
      <c r="H2095" s="0" t="b">
        <v>0</v>
      </c>
    </row>
    <row r="2096">
      <c r="A2096" s="0" t="n">
        <v>191</v>
      </c>
      <c r="B2096" s="0" t="n">
        <v>13</v>
      </c>
      <c r="C2096" s="0" t="n">
        <v>6458190.91796875</v>
      </c>
      <c r="D2096" s="0" t="n">
        <v>6358214.956567979</v>
      </c>
      <c r="E2096" s="0" t="n">
        <v>5.119984962897443e-06</v>
      </c>
      <c r="F2096" s="0" t="n">
        <v>5.02248501776247e-06</v>
      </c>
      <c r="G2096" s="0" t="n">
        <v>9.749994513497261e-08</v>
      </c>
      <c r="H2096" s="0" t="b">
        <v>0</v>
      </c>
    </row>
    <row r="2097">
      <c r="A2097" s="0" t="n">
        <v>191</v>
      </c>
      <c r="B2097" s="0" t="n">
        <v>14</v>
      </c>
      <c r="C2097" s="0" t="n">
        <v>6458690.91796875</v>
      </c>
      <c r="D2097" s="0" t="n">
        <v>6565457.651593211</v>
      </c>
      <c r="E2097" s="0" t="n">
        <v>5.122972523181869e-06</v>
      </c>
      <c r="F2097" s="0" t="n">
        <v>5.02248501776247e-06</v>
      </c>
      <c r="G2097" s="0" t="n">
        <v>1.004875054193991e-07</v>
      </c>
      <c r="H2097" s="0" t="b">
        <v>0</v>
      </c>
    </row>
    <row r="2098">
      <c r="A2098" s="0" t="n">
        <v>191</v>
      </c>
      <c r="B2098" s="0" t="n">
        <v>15</v>
      </c>
      <c r="C2098" s="0" t="n">
        <v>6458440.91796875</v>
      </c>
      <c r="D2098" s="0" t="n">
        <v>6461742.390108358</v>
      </c>
      <c r="E2098" s="0" t="n">
        <v>5.121478724623622e-06</v>
      </c>
      <c r="F2098" s="0" t="n">
        <v>5.02248501776247e-06</v>
      </c>
      <c r="G2098" s="0" t="n">
        <v>9.899370686115136e-08</v>
      </c>
      <c r="H2098" s="0" t="b">
        <v>0</v>
      </c>
    </row>
    <row r="2099">
      <c r="A2099" s="0" t="n">
        <v>192</v>
      </c>
      <c r="B2099" s="0" t="n">
        <v>1</v>
      </c>
      <c r="C2099" s="0" t="n">
        <v>6050000</v>
      </c>
      <c r="D2099" s="0" t="n">
        <v>-6790664.486844213</v>
      </c>
      <c r="E2099" s="0" t="n">
        <v>2.696165873930151e-06</v>
      </c>
      <c r="F2099" s="0" t="n">
        <v>4.932734936983043e-06</v>
      </c>
      <c r="G2099" s="0" t="n">
        <v>-2.236569063052892e-06</v>
      </c>
      <c r="H2099" s="0" t="b">
        <v>1</v>
      </c>
    </row>
    <row r="2100">
      <c r="A2100" s="0" t="n">
        <v>192</v>
      </c>
      <c r="B2100" s="0" t="n">
        <v>2</v>
      </c>
      <c r="C2100" s="0" t="n">
        <v>9025000</v>
      </c>
      <c r="D2100" s="0" t="n">
        <v>338061617733.8355</v>
      </c>
      <c r="E2100" s="0" t="n">
        <v>0.0002551516597977272</v>
      </c>
      <c r="F2100" s="0" t="n">
        <v>4.932734936983043e-06</v>
      </c>
      <c r="G2100" s="0" t="n">
        <v>0.0002502189248607441</v>
      </c>
      <c r="H2100" s="0" t="b">
        <v>0</v>
      </c>
    </row>
    <row r="2101">
      <c r="A2101" s="0" t="n">
        <v>192</v>
      </c>
      <c r="B2101" s="0" t="n">
        <v>3</v>
      </c>
      <c r="C2101" s="0" t="n">
        <v>7537500</v>
      </c>
      <c r="D2101" s="0" t="n">
        <v>7815846182.322091</v>
      </c>
      <c r="E2101" s="0" t="n">
        <v>2.082920750138289e-05</v>
      </c>
      <c r="F2101" s="0" t="n">
        <v>4.932734936983043e-06</v>
      </c>
      <c r="G2101" s="0" t="n">
        <v>1.589647256439985e-05</v>
      </c>
      <c r="H2101" s="0" t="b">
        <v>0</v>
      </c>
    </row>
    <row r="2102">
      <c r="A2102" s="0" t="n">
        <v>192</v>
      </c>
      <c r="B2102" s="0" t="n">
        <v>4</v>
      </c>
      <c r="C2102" s="0" t="n">
        <v>6793750</v>
      </c>
      <c r="D2102" s="0" t="n">
        <v>184381108.7443365</v>
      </c>
      <c r="E2102" s="0" t="n">
        <v>6.396460760758532e-06</v>
      </c>
      <c r="F2102" s="0" t="n">
        <v>4.932734936983043e-06</v>
      </c>
      <c r="G2102" s="0" t="n">
        <v>1.463725823775489e-06</v>
      </c>
      <c r="H2102" s="0" t="b">
        <v>0</v>
      </c>
    </row>
    <row r="2103">
      <c r="A2103" s="0" t="n">
        <v>192</v>
      </c>
      <c r="B2103" s="0" t="n">
        <v>5</v>
      </c>
      <c r="C2103" s="0" t="n">
        <v>6421875</v>
      </c>
      <c r="D2103" s="0" t="n">
        <v>-23692942.60092833</v>
      </c>
      <c r="E2103" s="0" t="n">
        <v>4.189729860532988e-06</v>
      </c>
      <c r="F2103" s="0" t="n">
        <v>4.932734936983043e-06</v>
      </c>
      <c r="G2103" s="0" t="n">
        <v>-7.430050764500546e-07</v>
      </c>
      <c r="H2103" s="0" t="b">
        <v>1</v>
      </c>
    </row>
    <row r="2104">
      <c r="A2104" s="0" t="n">
        <v>192</v>
      </c>
      <c r="B2104" s="0" t="n">
        <v>6</v>
      </c>
      <c r="C2104" s="0" t="n">
        <v>6607812.5</v>
      </c>
      <c r="D2104" s="0" t="n">
        <v>18900475.65406997</v>
      </c>
      <c r="E2104" s="0" t="n">
        <v>5.1920572338611e-06</v>
      </c>
      <c r="F2104" s="0" t="n">
        <v>4.932734936983043e-06</v>
      </c>
      <c r="G2104" s="0" t="n">
        <v>2.59322296878057e-07</v>
      </c>
      <c r="H2104" s="0" t="b">
        <v>0</v>
      </c>
    </row>
    <row r="2105">
      <c r="A2105" s="0" t="n">
        <v>192</v>
      </c>
      <c r="B2105" s="0" t="n">
        <v>7</v>
      </c>
      <c r="C2105" s="0" t="n">
        <v>6514843.75</v>
      </c>
      <c r="D2105" s="0" t="n">
        <v>-13456714.55279664</v>
      </c>
      <c r="E2105" s="0" t="n">
        <v>4.667173135606391e-06</v>
      </c>
      <c r="F2105" s="0" t="n">
        <v>4.932734936983043e-06</v>
      </c>
      <c r="G2105" s="0" t="n">
        <v>-2.655618013766513e-07</v>
      </c>
      <c r="H2105" s="0" t="b">
        <v>1</v>
      </c>
    </row>
    <row r="2106">
      <c r="A2106" s="0" t="n">
        <v>192</v>
      </c>
      <c r="B2106" s="0" t="n">
        <v>8</v>
      </c>
      <c r="C2106" s="0" t="n">
        <v>6561328.125</v>
      </c>
      <c r="D2106" s="0" t="n">
        <v>-567206.6058245732</v>
      </c>
      <c r="E2106" s="0" t="n">
        <v>4.923493964283597e-06</v>
      </c>
      <c r="F2106" s="0" t="n">
        <v>4.932734936983043e-06</v>
      </c>
      <c r="G2106" s="0" t="n">
        <v>-9.240972699445742e-09</v>
      </c>
      <c r="H2106" s="0" t="b">
        <v>1</v>
      </c>
    </row>
    <row r="2107">
      <c r="A2107" s="0" t="n">
        <v>192</v>
      </c>
      <c r="B2107" s="0" t="n">
        <v>9</v>
      </c>
      <c r="C2107" s="0" t="n">
        <v>6584570.3125</v>
      </c>
      <c r="D2107" s="0" t="n">
        <v>8278280.862797163</v>
      </c>
      <c r="E2107" s="0" t="n">
        <v>5.056225784001111e-06</v>
      </c>
      <c r="F2107" s="0" t="n">
        <v>4.932734936983043e-06</v>
      </c>
      <c r="G2107" s="0" t="n">
        <v>1.234908470180682e-07</v>
      </c>
      <c r="H2107" s="0" t="b">
        <v>0</v>
      </c>
    </row>
    <row r="2108">
      <c r="A2108" s="0" t="n">
        <v>192</v>
      </c>
      <c r="B2108" s="0" t="n">
        <v>10</v>
      </c>
      <c r="C2108" s="0" t="n">
        <v>6572949.21875</v>
      </c>
      <c r="D2108" s="0" t="n">
        <v>3641956.78151744</v>
      </c>
      <c r="E2108" s="0" t="n">
        <v>4.989478068729276e-06</v>
      </c>
      <c r="F2108" s="0" t="n">
        <v>4.932734936983043e-06</v>
      </c>
      <c r="G2108" s="0" t="n">
        <v>5.674313174623316e-08</v>
      </c>
      <c r="H2108" s="0" t="b">
        <v>0</v>
      </c>
    </row>
    <row r="2109">
      <c r="A2109" s="0" t="n">
        <v>192</v>
      </c>
      <c r="B2109" s="0" t="n">
        <v>11</v>
      </c>
      <c r="C2109" s="0" t="n">
        <v>6578759.765625</v>
      </c>
      <c r="D2109" s="0" t="n">
        <v>5905778.059201427</v>
      </c>
      <c r="E2109" s="0" t="n">
        <v>5.022757350021981e-06</v>
      </c>
      <c r="F2109" s="0" t="n">
        <v>4.932734936983043e-06</v>
      </c>
      <c r="G2109" s="0" t="n">
        <v>9.002241303893882e-08</v>
      </c>
      <c r="H2109" s="0" t="b">
        <v>0</v>
      </c>
    </row>
    <row r="2110">
      <c r="A2110" s="0" t="n">
        <v>192</v>
      </c>
      <c r="B2110" s="0" t="n">
        <v>12</v>
      </c>
      <c r="C2110" s="0" t="n">
        <v>6581665.0390625</v>
      </c>
      <c r="D2110" s="0" t="n">
        <v>7078260.325375536</v>
      </c>
      <c r="E2110" s="0" t="n">
        <v>5.039467086614436e-06</v>
      </c>
      <c r="F2110" s="0" t="n">
        <v>4.932734936983043e-06</v>
      </c>
      <c r="G2110" s="0" t="n">
        <v>1.067321496313934e-07</v>
      </c>
      <c r="H2110" s="0" t="b">
        <v>0</v>
      </c>
    </row>
    <row r="2111">
      <c r="A2111" s="0" t="n">
        <v>192</v>
      </c>
      <c r="B2111" s="0" t="n">
        <v>13</v>
      </c>
      <c r="C2111" s="0" t="n">
        <v>6580212.40234375</v>
      </c>
      <c r="D2111" s="0" t="n">
        <v>6488591.386507758</v>
      </c>
      <c r="E2111" s="0" t="n">
        <v>5.03110607619285e-06</v>
      </c>
      <c r="F2111" s="0" t="n">
        <v>4.932734936983043e-06</v>
      </c>
      <c r="G2111" s="0" t="n">
        <v>9.837113920980689e-08</v>
      </c>
      <c r="H2111" s="0" t="b">
        <v>0</v>
      </c>
    </row>
    <row r="2112">
      <c r="A2112" s="0" t="n">
        <v>192</v>
      </c>
      <c r="B2112" s="0" t="n">
        <v>14</v>
      </c>
      <c r="C2112" s="0" t="n">
        <v>6580712.40234375</v>
      </c>
      <c r="D2112" s="0" t="n">
        <v>6690782.052120925</v>
      </c>
      <c r="E2112" s="0" t="n">
        <v>5.033982577784594e-06</v>
      </c>
      <c r="F2112" s="0" t="n">
        <v>4.932734936983043e-06</v>
      </c>
      <c r="G2112" s="0" t="n">
        <v>1.012476408015515e-07</v>
      </c>
      <c r="H2112" s="0" t="b">
        <v>0</v>
      </c>
    </row>
    <row r="2113">
      <c r="A2113" s="0" t="n">
        <v>192</v>
      </c>
      <c r="B2113" s="0" t="n">
        <v>15</v>
      </c>
      <c r="C2113" s="0" t="n">
        <v>6580462.40234375</v>
      </c>
      <c r="D2113" s="0" t="n">
        <v>6589585.243690593</v>
      </c>
      <c r="E2113" s="0" t="n">
        <v>5.032544146978372e-06</v>
      </c>
      <c r="F2113" s="0" t="n">
        <v>4.932734936983043e-06</v>
      </c>
      <c r="G2113" s="0" t="n">
        <v>9.980920999532907e-08</v>
      </c>
      <c r="H2113" s="0" t="b">
        <v>0</v>
      </c>
    </row>
    <row r="2114">
      <c r="A2114" s="0" t="n">
        <v>193</v>
      </c>
      <c r="B2114" s="0" t="n">
        <v>1</v>
      </c>
      <c r="C2114" s="0" t="n">
        <v>6050000</v>
      </c>
      <c r="D2114" s="0" t="n">
        <v>-7503665.132405256</v>
      </c>
      <c r="E2114" s="0" t="n">
        <v>2.753700227507209e-06</v>
      </c>
      <c r="F2114" s="0" t="n">
        <v>4.903383353904012e-06</v>
      </c>
      <c r="G2114" s="0" t="n">
        <v>-2.149683126396803e-06</v>
      </c>
      <c r="H2114" s="0" t="b">
        <v>1</v>
      </c>
    </row>
    <row r="2115">
      <c r="A2115" s="0" t="n">
        <v>193</v>
      </c>
      <c r="B2115" s="0" t="n">
        <v>2</v>
      </c>
      <c r="C2115" s="0" t="n">
        <v>9025000</v>
      </c>
      <c r="D2115" s="0" t="n">
        <v>360586795270.5734</v>
      </c>
      <c r="E2115" s="0" t="n">
        <v>0.0002656684543247935</v>
      </c>
      <c r="F2115" s="0" t="n">
        <v>4.903383353904018e-06</v>
      </c>
      <c r="G2115" s="0" t="n">
        <v>0.0002607650709708895</v>
      </c>
      <c r="H2115" s="0" t="b">
        <v>0</v>
      </c>
    </row>
    <row r="2116">
      <c r="A2116" s="0" t="n">
        <v>193</v>
      </c>
      <c r="B2116" s="0" t="n">
        <v>3</v>
      </c>
      <c r="C2116" s="0" t="n">
        <v>7537500</v>
      </c>
      <c r="D2116" s="0" t="n">
        <v>8611954898.939762</v>
      </c>
      <c r="E2116" s="0" t="n">
        <v>2.182657670000328e-05</v>
      </c>
      <c r="F2116" s="0" t="n">
        <v>4.903383353904014e-06</v>
      </c>
      <c r="G2116" s="0" t="n">
        <v>1.692319334609927e-05</v>
      </c>
      <c r="H2116" s="0" t="b">
        <v>0</v>
      </c>
    </row>
    <row r="2117">
      <c r="A2117" s="0" t="n">
        <v>193</v>
      </c>
      <c r="B2117" s="0" t="n">
        <v>4</v>
      </c>
      <c r="C2117" s="0" t="n">
        <v>6793750</v>
      </c>
      <c r="D2117" s="0" t="n">
        <v>219972968.5372848</v>
      </c>
      <c r="E2117" s="0" t="n">
        <v>6.538098429143826e-06</v>
      </c>
      <c r="F2117" s="0" t="n">
        <v>4.903383353904012e-06</v>
      </c>
      <c r="G2117" s="0" t="n">
        <v>1.634715075239813e-06</v>
      </c>
      <c r="H2117" s="0" t="b">
        <v>0</v>
      </c>
    </row>
    <row r="2118">
      <c r="A2118" s="0" t="n">
        <v>193</v>
      </c>
      <c r="B2118" s="0" t="n">
        <v>5</v>
      </c>
      <c r="C2118" s="0" t="n">
        <v>6421875</v>
      </c>
      <c r="D2118" s="0" t="n">
        <v>-22621094.17131196</v>
      </c>
      <c r="E2118" s="0" t="n">
        <v>4.282608277067349e-06</v>
      </c>
      <c r="F2118" s="0" t="n">
        <v>4.903383353904012e-06</v>
      </c>
      <c r="G2118" s="0" t="n">
        <v>-6.207750768366634e-07</v>
      </c>
      <c r="H2118" s="0" t="b">
        <v>1</v>
      </c>
    </row>
    <row r="2119">
      <c r="A2119" s="0" t="n">
        <v>193</v>
      </c>
      <c r="B2119" s="0" t="n">
        <v>6</v>
      </c>
      <c r="C2119" s="0" t="n">
        <v>6607812.5</v>
      </c>
      <c r="D2119" s="0" t="n">
        <v>32148713.69131084</v>
      </c>
      <c r="E2119" s="0" t="n">
        <v>5.307478668749155e-06</v>
      </c>
      <c r="F2119" s="0" t="n">
        <v>4.903383353904012e-06</v>
      </c>
      <c r="G2119" s="0" t="n">
        <v>4.04095314845143e-07</v>
      </c>
      <c r="H2119" s="0" t="b">
        <v>0</v>
      </c>
    </row>
    <row r="2120">
      <c r="A2120" s="0" t="n">
        <v>193</v>
      </c>
      <c r="B2120" s="0" t="n">
        <v>7</v>
      </c>
      <c r="C2120" s="0" t="n">
        <v>6514843.75</v>
      </c>
      <c r="D2120" s="0" t="n">
        <v>-7462759.265421437</v>
      </c>
      <c r="E2120" s="0" t="n">
        <v>4.770877280681094e-06</v>
      </c>
      <c r="F2120" s="0" t="n">
        <v>4.903383353904012e-06</v>
      </c>
      <c r="G2120" s="0" t="n">
        <v>-1.325060732229182e-07</v>
      </c>
      <c r="H2120" s="0" t="b">
        <v>1</v>
      </c>
    </row>
    <row r="2121">
      <c r="A2121" s="0" t="n">
        <v>193</v>
      </c>
      <c r="B2121" s="0" t="n">
        <v>8</v>
      </c>
      <c r="C2121" s="0" t="n">
        <v>6561328.125</v>
      </c>
      <c r="D2121" s="0" t="n">
        <v>8751466.795790801</v>
      </c>
      <c r="E2121" s="0" t="n">
        <v>5.032944340865044e-06</v>
      </c>
      <c r="F2121" s="0" t="n">
        <v>4.903383353904012e-06</v>
      </c>
      <c r="G2121" s="0" t="n">
        <v>1.295609869610319e-07</v>
      </c>
      <c r="H2121" s="0" t="b">
        <v>0</v>
      </c>
    </row>
    <row r="2122">
      <c r="A2122" s="0" t="n">
        <v>193</v>
      </c>
      <c r="B2122" s="0" t="n">
        <v>9</v>
      </c>
      <c r="C2122" s="0" t="n">
        <v>6538085.9375</v>
      </c>
      <c r="D2122" s="0" t="n">
        <v>-185622.982229906</v>
      </c>
      <c r="E2122" s="0" t="n">
        <v>4.900381334093068e-06</v>
      </c>
      <c r="F2122" s="0" t="n">
        <v>4.903383353904012e-06</v>
      </c>
      <c r="G2122" s="0" t="n">
        <v>-3.002019810944717e-09</v>
      </c>
      <c r="H2122" s="0" t="b">
        <v>1</v>
      </c>
    </row>
    <row r="2123">
      <c r="A2123" s="0" t="n">
        <v>193</v>
      </c>
      <c r="B2123" s="0" t="n">
        <v>10</v>
      </c>
      <c r="C2123" s="0" t="n">
        <v>6549707.03125</v>
      </c>
      <c r="D2123" s="0" t="n">
        <v>4066862.796350887</v>
      </c>
      <c r="E2123" s="0" t="n">
        <v>4.966274643607654e-06</v>
      </c>
      <c r="F2123" s="0" t="n">
        <v>4.903383353904012e-06</v>
      </c>
      <c r="G2123" s="0" t="n">
        <v>6.289128970364204e-08</v>
      </c>
      <c r="H2123" s="0" t="b">
        <v>0</v>
      </c>
    </row>
    <row r="2124">
      <c r="A2124" s="0" t="n">
        <v>193</v>
      </c>
      <c r="B2124" s="0" t="n">
        <v>11</v>
      </c>
      <c r="C2124" s="0" t="n">
        <v>6555517.578125</v>
      </c>
      <c r="D2124" s="0" t="n">
        <v>6354106.194847967</v>
      </c>
      <c r="E2124" s="0" t="n">
        <v>4.999512260447639e-06</v>
      </c>
      <c r="F2124" s="0" t="n">
        <v>4.903383353904012e-06</v>
      </c>
      <c r="G2124" s="0" t="n">
        <v>9.612890654362686e-08</v>
      </c>
      <c r="H2124" s="0" t="b">
        <v>0</v>
      </c>
    </row>
    <row r="2125">
      <c r="A2125" s="0" t="n">
        <v>193</v>
      </c>
      <c r="B2125" s="0" t="n">
        <v>12</v>
      </c>
      <c r="C2125" s="0" t="n">
        <v>6558422.8515625</v>
      </c>
      <c r="D2125" s="0" t="n">
        <v>7538890.208785033</v>
      </c>
      <c r="E2125" s="0" t="n">
        <v>5.016203954436123e-06</v>
      </c>
      <c r="F2125" s="0" t="n">
        <v>4.903383353904012e-06</v>
      </c>
      <c r="G2125" s="0" t="n">
        <v>1.128206005321105e-07</v>
      </c>
      <c r="H2125" s="0" t="b">
        <v>0</v>
      </c>
    </row>
    <row r="2126">
      <c r="A2126" s="0" t="n">
        <v>193</v>
      </c>
      <c r="B2126" s="0" t="n">
        <v>13</v>
      </c>
      <c r="C2126" s="0" t="n">
        <v>6556970.21484375</v>
      </c>
      <c r="D2126" s="0" t="n">
        <v>6943027.513014523</v>
      </c>
      <c r="E2126" s="0" t="n">
        <v>5.007851841374838e-06</v>
      </c>
      <c r="F2126" s="0" t="n">
        <v>4.903383353904012e-06</v>
      </c>
      <c r="G2126" s="0" t="n">
        <v>1.044684874708251e-07</v>
      </c>
      <c r="H2126" s="0" t="b">
        <v>0</v>
      </c>
    </row>
    <row r="2127">
      <c r="A2127" s="0" t="n">
        <v>193</v>
      </c>
      <c r="B2127" s="0" t="n">
        <v>14</v>
      </c>
      <c r="C2127" s="0" t="n">
        <v>6555770.21484375</v>
      </c>
      <c r="D2127" s="0" t="n">
        <v>6456033.14169037</v>
      </c>
      <c r="E2127" s="0" t="n">
        <v>5.000961765138921e-06</v>
      </c>
      <c r="F2127" s="0" t="n">
        <v>4.903383353904012e-06</v>
      </c>
      <c r="G2127" s="0" t="n">
        <v>9.757841123490877e-08</v>
      </c>
      <c r="H2127" s="0" t="b">
        <v>0</v>
      </c>
    </row>
    <row r="2128">
      <c r="A2128" s="0" t="n">
        <v>193</v>
      </c>
      <c r="B2128" s="0" t="n">
        <v>15</v>
      </c>
      <c r="C2128" s="0" t="n">
        <v>6556370.21484375</v>
      </c>
      <c r="D2128" s="0" t="n">
        <v>6698951.181763723</v>
      </c>
      <c r="E2128" s="0" t="n">
        <v>5.004405901189844e-06</v>
      </c>
      <c r="F2128" s="0" t="n">
        <v>4.903383353904012e-06</v>
      </c>
      <c r="G2128" s="0" t="n">
        <v>1.010225472858314e-07</v>
      </c>
      <c r="H2128" s="0" t="b">
        <v>0</v>
      </c>
    </row>
    <row r="2129">
      <c r="A2129" s="0" t="n">
        <v>193</v>
      </c>
      <c r="B2129" s="0" t="n">
        <v>16</v>
      </c>
      <c r="C2129" s="0" t="n">
        <v>6556070.21484375</v>
      </c>
      <c r="D2129" s="0" t="n">
        <v>6577334.659403143</v>
      </c>
      <c r="E2129" s="0" t="n">
        <v>5.002683425561036e-06</v>
      </c>
      <c r="F2129" s="0" t="n">
        <v>4.903383353904012e-06</v>
      </c>
      <c r="G2129" s="0" t="n">
        <v>9.930007165702396e-08</v>
      </c>
      <c r="H2129" s="0" t="b">
        <v>0</v>
      </c>
    </row>
    <row r="2130">
      <c r="A2130" s="0" t="n">
        <v>194</v>
      </c>
      <c r="B2130" s="0" t="n">
        <v>1</v>
      </c>
      <c r="C2130" s="0" t="n">
        <v>6050000</v>
      </c>
      <c r="D2130" s="0" t="n">
        <v>1825504903420.415</v>
      </c>
      <c r="E2130" s="0" t="n">
        <v>0.00148675987903369</v>
      </c>
      <c r="F2130" s="0" t="n">
        <v>6.425375621253726e-06</v>
      </c>
      <c r="G2130" s="0" t="n">
        <v>0.001480334503412437</v>
      </c>
      <c r="H2130" s="0" t="b">
        <v>0</v>
      </c>
    </row>
    <row r="2131">
      <c r="A2131" s="0" t="n">
        <v>194</v>
      </c>
      <c r="B2131" s="0" t="n">
        <v>2</v>
      </c>
      <c r="C2131" s="0" t="n">
        <v>3075000</v>
      </c>
      <c r="D2131" s="0" t="n">
        <v>281406696512.5212</v>
      </c>
      <c r="E2131" s="0" t="n">
        <v>0.0003583737406010943</v>
      </c>
      <c r="F2131" s="0" t="n">
        <v>6.42537562125378e-06</v>
      </c>
      <c r="G2131" s="0" t="n">
        <v>0.0003519483649798405</v>
      </c>
      <c r="H2131" s="0" t="b">
        <v>0</v>
      </c>
    </row>
    <row r="2132">
      <c r="A2132" s="0" t="n">
        <v>194</v>
      </c>
      <c r="B2132" s="0" t="n">
        <v>3</v>
      </c>
      <c r="C2132" s="0" t="n">
        <v>1587500</v>
      </c>
      <c r="D2132" s="0" t="n">
        <v>4630044564.513868</v>
      </c>
      <c r="E2132" s="0" t="n">
        <v>2.381835547755705e-05</v>
      </c>
      <c r="F2132" s="0" t="n">
        <v>6.425375621253804e-06</v>
      </c>
      <c r="G2132" s="0" t="n">
        <v>1.739297985630324e-05</v>
      </c>
      <c r="H2132" s="0" t="b">
        <v>0</v>
      </c>
    </row>
    <row r="2133">
      <c r="A2133" s="0" t="n">
        <v>194</v>
      </c>
      <c r="B2133" s="0" t="n">
        <v>4</v>
      </c>
      <c r="C2133" s="0" t="n">
        <v>843750</v>
      </c>
      <c r="D2133" s="0" t="n">
        <v>-1781695.06378939</v>
      </c>
      <c r="E2133" s="0" t="n">
        <v>2.339808345663012e-06</v>
      </c>
      <c r="F2133" s="0" t="n">
        <v>6.425375621253804e-06</v>
      </c>
      <c r="G2133" s="0" t="n">
        <v>-4.085567275590792e-06</v>
      </c>
      <c r="H2133" s="0" t="b">
        <v>1</v>
      </c>
    </row>
    <row r="2134">
      <c r="A2134" s="0" t="n">
        <v>194</v>
      </c>
      <c r="B2134" s="0" t="n">
        <v>5</v>
      </c>
      <c r="C2134" s="0" t="n">
        <v>1215625</v>
      </c>
      <c r="D2134" s="0" t="n">
        <v>77776635.29386304</v>
      </c>
      <c r="E2134" s="0" t="n">
        <v>7.696000767992463e-06</v>
      </c>
      <c r="F2134" s="0" t="n">
        <v>6.425375621253804e-06</v>
      </c>
      <c r="G2134" s="0" t="n">
        <v>1.270625146738659e-06</v>
      </c>
      <c r="H2134" s="0" t="b">
        <v>0</v>
      </c>
    </row>
    <row r="2135">
      <c r="A2135" s="0" t="n">
        <v>194</v>
      </c>
      <c r="B2135" s="0" t="n">
        <v>6</v>
      </c>
      <c r="C2135" s="0" t="n">
        <v>1029687.5</v>
      </c>
      <c r="D2135" s="0" t="n">
        <v>-13239433.0045351</v>
      </c>
      <c r="E2135" s="0" t="n">
        <v>4.461156671413494e-06</v>
      </c>
      <c r="F2135" s="0" t="n">
        <v>6.425375621253804e-06</v>
      </c>
      <c r="G2135" s="0" t="n">
        <v>-1.96421894984031e-06</v>
      </c>
      <c r="H2135" s="0" t="b">
        <v>1</v>
      </c>
    </row>
    <row r="2136">
      <c r="A2136" s="0" t="n">
        <v>194</v>
      </c>
      <c r="B2136" s="0" t="n">
        <v>7</v>
      </c>
      <c r="C2136" s="0" t="n">
        <v>1122656.25</v>
      </c>
      <c r="D2136" s="0" t="n">
        <v>-13247300.1878923</v>
      </c>
      <c r="E2136" s="0" t="n">
        <v>5.947128008633228e-06</v>
      </c>
      <c r="F2136" s="0" t="n">
        <v>6.425375621253804e-06</v>
      </c>
      <c r="G2136" s="0" t="n">
        <v>-4.782476126205764e-07</v>
      </c>
      <c r="H2136" s="0" t="b">
        <v>1</v>
      </c>
    </row>
    <row r="2137">
      <c r="A2137" s="0" t="n">
        <v>194</v>
      </c>
      <c r="B2137" s="0" t="n">
        <v>8</v>
      </c>
      <c r="C2137" s="0" t="n">
        <v>1169140.625</v>
      </c>
      <c r="D2137" s="0" t="n">
        <v>15879006.20555666</v>
      </c>
      <c r="E2137" s="0" t="n">
        <v>6.79018135168638e-06</v>
      </c>
      <c r="F2137" s="0" t="n">
        <v>6.425375621253804e-06</v>
      </c>
      <c r="G2137" s="0" t="n">
        <v>3.64805730432576e-07</v>
      </c>
      <c r="H2137" s="0" t="b">
        <v>0</v>
      </c>
    </row>
    <row r="2138">
      <c r="A2138" s="0" t="n">
        <v>194</v>
      </c>
      <c r="B2138" s="0" t="n">
        <v>9</v>
      </c>
      <c r="C2138" s="0" t="n">
        <v>1145898.4375</v>
      </c>
      <c r="D2138" s="0" t="n">
        <v>-2288755.888190297</v>
      </c>
      <c r="E2138" s="0" t="n">
        <v>6.36060861080739e-06</v>
      </c>
      <c r="F2138" s="0" t="n">
        <v>6.425375621253804e-06</v>
      </c>
      <c r="G2138" s="0" t="n">
        <v>-6.476701044641365e-08</v>
      </c>
      <c r="H2138" s="0" t="b">
        <v>1</v>
      </c>
    </row>
    <row r="2139">
      <c r="A2139" s="0" t="n">
        <v>194</v>
      </c>
      <c r="B2139" s="0" t="n">
        <v>10</v>
      </c>
      <c r="C2139" s="0" t="n">
        <v>1157519.53125</v>
      </c>
      <c r="D2139" s="0" t="n">
        <v>5828023.954966897</v>
      </c>
      <c r="E2139" s="0" t="n">
        <v>6.573407637786401e-06</v>
      </c>
      <c r="F2139" s="0" t="n">
        <v>6.425375621253804e-06</v>
      </c>
      <c r="G2139" s="0" t="n">
        <v>1.480320165325967e-07</v>
      </c>
      <c r="H2139" s="0" t="b">
        <v>0</v>
      </c>
    </row>
    <row r="2140">
      <c r="A2140" s="0" t="n">
        <v>194</v>
      </c>
      <c r="B2140" s="0" t="n">
        <v>11</v>
      </c>
      <c r="C2140" s="0" t="n">
        <v>1151708.984375</v>
      </c>
      <c r="D2140" s="0" t="n">
        <v>1535797.862754035</v>
      </c>
      <c r="E2140" s="0" t="n">
        <v>6.466508188007829e-06</v>
      </c>
      <c r="F2140" s="0" t="n">
        <v>6.425375621253804e-06</v>
      </c>
      <c r="G2140" s="0" t="n">
        <v>4.113256675402544e-08</v>
      </c>
      <c r="H2140" s="0" t="b">
        <v>0</v>
      </c>
    </row>
    <row r="2141">
      <c r="A2141" s="0" t="n">
        <v>194</v>
      </c>
      <c r="B2141" s="0" t="n">
        <v>12</v>
      </c>
      <c r="C2141" s="0" t="n">
        <v>1148803.7109375</v>
      </c>
      <c r="D2141" s="0" t="n">
        <v>-433939.385400099</v>
      </c>
      <c r="E2141" s="0" t="n">
        <v>6.413432497155372e-06</v>
      </c>
      <c r="F2141" s="0" t="n">
        <v>6.425375621253804e-06</v>
      </c>
      <c r="G2141" s="0" t="n">
        <v>-1.194312409843199e-08</v>
      </c>
      <c r="H2141" s="0" t="b">
        <v>1</v>
      </c>
    </row>
    <row r="2142">
      <c r="A2142" s="0" t="n">
        <v>194</v>
      </c>
      <c r="B2142" s="0" t="n">
        <v>13</v>
      </c>
      <c r="C2142" s="0" t="n">
        <v>1150256.34765625</v>
      </c>
      <c r="D2142" s="0" t="n">
        <v>536430.351693223</v>
      </c>
      <c r="E2142" s="0" t="n">
        <v>6.439938780847598e-06</v>
      </c>
      <c r="F2142" s="0" t="n">
        <v>6.425375621253804e-06</v>
      </c>
      <c r="G2142" s="0" t="n">
        <v>1.456315959379351e-08</v>
      </c>
      <c r="H2142" s="0" t="b">
        <v>0</v>
      </c>
    </row>
    <row r="2143">
      <c r="A2143" s="0" t="n">
        <v>194</v>
      </c>
      <c r="B2143" s="0" t="n">
        <v>14</v>
      </c>
      <c r="C2143" s="0" t="n">
        <v>1150756.34765625</v>
      </c>
      <c r="D2143" s="0" t="n">
        <v>877122.9654625965</v>
      </c>
      <c r="E2143" s="0" t="n">
        <v>6.449076746872103e-06</v>
      </c>
      <c r="F2143" s="0" t="n">
        <v>6.425375621253804e-06</v>
      </c>
      <c r="G2143" s="0" t="n">
        <v>2.370112561829851e-08</v>
      </c>
      <c r="H2143" s="0" t="b">
        <v>0</v>
      </c>
    </row>
    <row r="2144">
      <c r="A2144" s="0" t="n">
        <v>194</v>
      </c>
      <c r="B2144" s="0" t="n">
        <v>15</v>
      </c>
      <c r="C2144" s="0" t="n">
        <v>1151356.34765625</v>
      </c>
      <c r="D2144" s="0" t="n">
        <v>1290522.656475825</v>
      </c>
      <c r="E2144" s="0" t="n">
        <v>6.460052675661959e-06</v>
      </c>
      <c r="F2144" s="0" t="n">
        <v>6.425375621253804e-06</v>
      </c>
      <c r="G2144" s="0" t="n">
        <v>3.467705440815452e-08</v>
      </c>
      <c r="H2144" s="0" t="b">
        <v>0</v>
      </c>
    </row>
    <row r="2145">
      <c r="A2145" s="0" t="n">
        <v>194</v>
      </c>
      <c r="B2145" s="0" t="n">
        <v>16</v>
      </c>
      <c r="C2145" s="0" t="n">
        <v>1151056.34765625</v>
      </c>
      <c r="D2145" s="0" t="n">
        <v>1083191.439646761</v>
      </c>
      <c r="E2145" s="0" t="n">
        <v>6.454563102589878e-06</v>
      </c>
      <c r="F2145" s="0" t="n">
        <v>6.425375621253804e-06</v>
      </c>
      <c r="G2145" s="0" t="n">
        <v>2.918748133607417e-08</v>
      </c>
      <c r="H2145" s="0" t="b">
        <v>0</v>
      </c>
    </row>
    <row r="2146">
      <c r="A2146" s="0" t="n">
        <v>194</v>
      </c>
      <c r="B2146" s="0" t="n">
        <v>17</v>
      </c>
      <c r="C2146" s="0" t="n">
        <v>1151206.34765625</v>
      </c>
      <c r="D2146" s="0" t="n">
        <v>1186712.028009326</v>
      </c>
      <c r="E2146" s="0" t="n">
        <v>6.457307830798108e-06</v>
      </c>
      <c r="F2146" s="0" t="n">
        <v>6.425375621253804e-06</v>
      </c>
      <c r="G2146" s="0" t="n">
        <v>3.193220954430413e-08</v>
      </c>
      <c r="H2146" s="0" t="b">
        <v>0</v>
      </c>
    </row>
    <row r="2147">
      <c r="A2147" s="0" t="n">
        <v>194</v>
      </c>
      <c r="B2147" s="0" t="n">
        <v>18</v>
      </c>
      <c r="C2147" s="0" t="n">
        <v>1151131.34765625</v>
      </c>
      <c r="D2147" s="0" t="n">
        <v>1134902.516744161</v>
      </c>
      <c r="E2147" s="0" t="n">
        <v>6.45593510825173e-06</v>
      </c>
      <c r="F2147" s="0" t="n">
        <v>6.425375621253804e-06</v>
      </c>
      <c r="G2147" s="0" t="n">
        <v>3.05594869979259e-08</v>
      </c>
      <c r="H2147" s="0" t="b">
        <v>0</v>
      </c>
    </row>
    <row r="2148">
      <c r="A2148" s="0" t="n">
        <v>194</v>
      </c>
      <c r="B2148" s="0" t="n">
        <v>19</v>
      </c>
      <c r="C2148" s="0" t="n">
        <v>1151168.84765625</v>
      </c>
      <c r="D2148" s="0" t="n">
        <v>1160807.937114019</v>
      </c>
      <c r="E2148" s="0" t="n">
        <v>6.456621723736608e-06</v>
      </c>
      <c r="F2148" s="0" t="n">
        <v>6.425375621253804e-06</v>
      </c>
      <c r="G2148" s="0" t="n">
        <v>3.124610248280408e-08</v>
      </c>
      <c r="H2148" s="0" t="b">
        <v>0</v>
      </c>
    </row>
    <row r="2149">
      <c r="A2149" s="0" t="n">
        <v>195</v>
      </c>
      <c r="B2149" s="0" t="n">
        <v>1</v>
      </c>
      <c r="C2149" s="0" t="n">
        <v>6050000</v>
      </c>
      <c r="D2149" s="0" t="n">
        <v>1830047175738.422</v>
      </c>
      <c r="E2149" s="0" t="n">
        <v>0.001474651013506043</v>
      </c>
      <c r="F2149" s="0" t="n">
        <v>6.374287503196994e-06</v>
      </c>
      <c r="G2149" s="0" t="n">
        <v>0.001468276726002846</v>
      </c>
      <c r="H2149" s="0" t="b">
        <v>0</v>
      </c>
    </row>
    <row r="2150">
      <c r="A2150" s="0" t="n">
        <v>195</v>
      </c>
      <c r="B2150" s="0" t="n">
        <v>2</v>
      </c>
      <c r="C2150" s="0" t="n">
        <v>3075000</v>
      </c>
      <c r="D2150" s="0" t="n">
        <v>279890251772.0723</v>
      </c>
      <c r="E2150" s="0" t="n">
        <v>0.0003534381621054297</v>
      </c>
      <c r="F2150" s="0" t="n">
        <v>6.374287503196994e-06</v>
      </c>
      <c r="G2150" s="0" t="n">
        <v>0.0003470638746022327</v>
      </c>
      <c r="H2150" s="0" t="b">
        <v>0</v>
      </c>
    </row>
    <row r="2151">
      <c r="A2151" s="0" t="n">
        <v>195</v>
      </c>
      <c r="B2151" s="0" t="n">
        <v>3</v>
      </c>
      <c r="C2151" s="0" t="n">
        <v>1587500</v>
      </c>
      <c r="D2151" s="0" t="n">
        <v>4492513726.141826</v>
      </c>
      <c r="E2151" s="0" t="n">
        <v>2.323700084214736e-05</v>
      </c>
      <c r="F2151" s="0" t="n">
        <v>6.374287503196973e-06</v>
      </c>
      <c r="G2151" s="0" t="n">
        <v>1.686271333895039e-05</v>
      </c>
      <c r="H2151" s="0" t="b">
        <v>0</v>
      </c>
    </row>
    <row r="2152">
      <c r="A2152" s="0" t="n">
        <v>195</v>
      </c>
      <c r="B2152" s="0" t="n">
        <v>4</v>
      </c>
      <c r="C2152" s="0" t="n">
        <v>843750</v>
      </c>
      <c r="D2152" s="0" t="n">
        <v>-1751155.990662462</v>
      </c>
      <c r="E2152" s="0" t="n">
        <v>2.303881663314473e-06</v>
      </c>
      <c r="F2152" s="0" t="n">
        <v>6.374287503196973e-06</v>
      </c>
      <c r="G2152" s="0" t="n">
        <v>-4.0704058398825e-06</v>
      </c>
      <c r="H2152" s="0" t="b">
        <v>1</v>
      </c>
    </row>
    <row r="2153">
      <c r="A2153" s="0" t="n">
        <v>195</v>
      </c>
      <c r="B2153" s="0" t="n">
        <v>5</v>
      </c>
      <c r="C2153" s="0" t="n">
        <v>1215625</v>
      </c>
      <c r="D2153" s="0" t="n">
        <v>72381220.87167937</v>
      </c>
      <c r="E2153" s="0" t="n">
        <v>7.574107819255987e-06</v>
      </c>
      <c r="F2153" s="0" t="n">
        <v>6.374287503196973e-06</v>
      </c>
      <c r="G2153" s="0" t="n">
        <v>1.199820316059014e-06</v>
      </c>
      <c r="H2153" s="0" t="b">
        <v>0</v>
      </c>
    </row>
    <row r="2154">
      <c r="A2154" s="0" t="n">
        <v>195</v>
      </c>
      <c r="B2154" s="0" t="n">
        <v>6</v>
      </c>
      <c r="C2154" s="0" t="n">
        <v>1029687.5</v>
      </c>
      <c r="D2154" s="0" t="n">
        <v>-12838271.81615961</v>
      </c>
      <c r="E2154" s="0" t="n">
        <v>4.387310845520467e-06</v>
      </c>
      <c r="F2154" s="0" t="n">
        <v>6.374287503196973e-06</v>
      </c>
      <c r="G2154" s="0" t="n">
        <v>-1.986976657676506e-06</v>
      </c>
      <c r="H2154" s="0" t="b">
        <v>1</v>
      </c>
    </row>
    <row r="2155">
      <c r="A2155" s="0" t="n">
        <v>195</v>
      </c>
      <c r="B2155" s="0" t="n">
        <v>7</v>
      </c>
      <c r="C2155" s="0" t="n">
        <v>1122656.25</v>
      </c>
      <c r="D2155" s="0" t="n">
        <v>-14091591.10799053</v>
      </c>
      <c r="E2155" s="0" t="n">
        <v>5.850175203813605e-06</v>
      </c>
      <c r="F2155" s="0" t="n">
        <v>6.374287503196973e-06</v>
      </c>
      <c r="G2155" s="0" t="n">
        <v>-5.241122993833676e-07</v>
      </c>
      <c r="H2155" s="0" t="b">
        <v>1</v>
      </c>
    </row>
    <row r="2156">
      <c r="A2156" s="0" t="n">
        <v>195</v>
      </c>
      <c r="B2156" s="0" t="n">
        <v>8</v>
      </c>
      <c r="C2156" s="0" t="n">
        <v>1169140.625</v>
      </c>
      <c r="D2156" s="0" t="n">
        <v>13077905.59140463</v>
      </c>
      <c r="E2156" s="0" t="n">
        <v>6.68094514887052e-06</v>
      </c>
      <c r="F2156" s="0" t="n">
        <v>6.374287503196973e-06</v>
      </c>
      <c r="G2156" s="0" t="n">
        <v>3.066576456735474e-07</v>
      </c>
      <c r="H2156" s="0" t="b">
        <v>0</v>
      </c>
    </row>
    <row r="2157">
      <c r="A2157" s="0" t="n">
        <v>195</v>
      </c>
      <c r="B2157" s="0" t="n">
        <v>9</v>
      </c>
      <c r="C2157" s="0" t="n">
        <v>1145898.4375</v>
      </c>
      <c r="D2157" s="0" t="n">
        <v>-4024847.383050708</v>
      </c>
      <c r="E2157" s="0" t="n">
        <v>6.257565153565668e-06</v>
      </c>
      <c r="F2157" s="0" t="n">
        <v>6.374287503196973e-06</v>
      </c>
      <c r="G2157" s="0" t="n">
        <v>-1.167223496313044e-07</v>
      </c>
      <c r="H2157" s="0" t="b">
        <v>1</v>
      </c>
    </row>
    <row r="2158">
      <c r="A2158" s="0" t="n">
        <v>195</v>
      </c>
      <c r="B2158" s="0" t="n">
        <v>10</v>
      </c>
      <c r="C2158" s="0" t="n">
        <v>1157519.53125</v>
      </c>
      <c r="D2158" s="0" t="n">
        <v>3580160.033804595</v>
      </c>
      <c r="E2158" s="0" t="n">
        <v>6.467279843808375e-06</v>
      </c>
      <c r="F2158" s="0" t="n">
        <v>6.374287503196973e-06</v>
      </c>
      <c r="G2158" s="0" t="n">
        <v>9.299234061140231e-08</v>
      </c>
      <c r="H2158" s="0" t="b">
        <v>0</v>
      </c>
    </row>
    <row r="2159">
      <c r="A2159" s="0" t="n">
        <v>195</v>
      </c>
      <c r="B2159" s="0" t="n">
        <v>11</v>
      </c>
      <c r="C2159" s="0" t="n">
        <v>1151708.984375</v>
      </c>
      <c r="D2159" s="0" t="n">
        <v>-450881.2198854514</v>
      </c>
      <c r="E2159" s="0" t="n">
        <v>6.361925761285267e-06</v>
      </c>
      <c r="F2159" s="0" t="n">
        <v>6.374287503196973e-06</v>
      </c>
      <c r="G2159" s="0" t="n">
        <v>-1.236174191170571e-08</v>
      </c>
      <c r="H2159" s="0" t="b">
        <v>1</v>
      </c>
    </row>
    <row r="2160">
      <c r="A2160" s="0" t="n">
        <v>195</v>
      </c>
      <c r="B2160" s="0" t="n">
        <v>12</v>
      </c>
      <c r="C2160" s="0" t="n">
        <v>1154614.2578125</v>
      </c>
      <c r="D2160" s="0" t="n">
        <v>1506480.402397224</v>
      </c>
      <c r="E2160" s="0" t="n">
        <v>6.414478989849998e-06</v>
      </c>
      <c r="F2160" s="0" t="n">
        <v>6.374287503196973e-06</v>
      </c>
      <c r="G2160" s="0" t="n">
        <v>4.019148665302586e-08</v>
      </c>
      <c r="H2160" s="0" t="b">
        <v>0</v>
      </c>
    </row>
    <row r="2161">
      <c r="A2161" s="0" t="n">
        <v>195</v>
      </c>
      <c r="B2161" s="0" t="n">
        <v>13</v>
      </c>
      <c r="C2161" s="0" t="n">
        <v>1153161.62109375</v>
      </c>
      <c r="D2161" s="0" t="n">
        <v>513386.6756358922</v>
      </c>
      <c r="E2161" s="0" t="n">
        <v>6.388171373802307e-06</v>
      </c>
      <c r="F2161" s="0" t="n">
        <v>6.374287503196973e-06</v>
      </c>
      <c r="G2161" s="0" t="n">
        <v>1.388387060533477e-08</v>
      </c>
      <c r="H2161" s="0" t="b">
        <v>0</v>
      </c>
    </row>
    <row r="2162">
      <c r="A2162" s="0" t="n">
        <v>195</v>
      </c>
      <c r="B2162" s="0" t="n">
        <v>14</v>
      </c>
      <c r="C2162" s="0" t="n">
        <v>1153661.62109375</v>
      </c>
      <c r="D2162" s="0" t="n">
        <v>851965.407744237</v>
      </c>
      <c r="E2162" s="0" t="n">
        <v>6.397220051125709e-06</v>
      </c>
      <c r="F2162" s="0" t="n">
        <v>6.374287503196973e-06</v>
      </c>
      <c r="G2162" s="0" t="n">
        <v>2.293254792873587e-08</v>
      </c>
      <c r="H2162" s="0" t="b">
        <v>0</v>
      </c>
    </row>
    <row r="2163">
      <c r="A2163" s="0" t="n">
        <v>195</v>
      </c>
      <c r="B2163" s="0" t="n">
        <v>15</v>
      </c>
      <c r="C2163" s="0" t="n">
        <v>1154261.62109375</v>
      </c>
      <c r="D2163" s="0" t="n">
        <v>1262737.456800875</v>
      </c>
      <c r="E2163" s="0" t="n">
        <v>6.408086956367021e-06</v>
      </c>
      <c r="F2163" s="0" t="n">
        <v>6.374287503196973e-06</v>
      </c>
      <c r="G2163" s="0" t="n">
        <v>3.379945317004867e-08</v>
      </c>
      <c r="H2163" s="0" t="b">
        <v>0</v>
      </c>
    </row>
    <row r="2164">
      <c r="A2164" s="0" t="n">
        <v>195</v>
      </c>
      <c r="B2164" s="0" t="n">
        <v>16</v>
      </c>
      <c r="C2164" s="0" t="n">
        <v>1153961.62109375</v>
      </c>
      <c r="D2164" s="0" t="n">
        <v>1056723.472604224</v>
      </c>
      <c r="E2164" s="0" t="n">
        <v>6.402651910157487e-06</v>
      </c>
      <c r="F2164" s="0" t="n">
        <v>6.374287503196973e-06</v>
      </c>
      <c r="G2164" s="0" t="n">
        <v>2.836440696051447e-08</v>
      </c>
      <c r="H2164" s="0" t="b">
        <v>0</v>
      </c>
    </row>
    <row r="2165">
      <c r="A2165" s="0" t="n">
        <v>195</v>
      </c>
      <c r="B2165" s="0" t="n">
        <v>17</v>
      </c>
      <c r="C2165" s="0" t="n">
        <v>1154111.62109375</v>
      </c>
      <c r="D2165" s="0" t="n">
        <v>1159596.577303362</v>
      </c>
      <c r="E2165" s="0" t="n">
        <v>6.405369648659697e-06</v>
      </c>
      <c r="F2165" s="0" t="n">
        <v>6.374287503196973e-06</v>
      </c>
      <c r="G2165" s="0" t="n">
        <v>3.108214546272429e-08</v>
      </c>
      <c r="H2165" s="0" t="b">
        <v>0</v>
      </c>
    </row>
    <row r="2166">
      <c r="A2166" s="0" t="n">
        <v>196</v>
      </c>
      <c r="B2166" s="0" t="n">
        <v>1</v>
      </c>
      <c r="C2166" s="0" t="n">
        <v>6050000</v>
      </c>
      <c r="D2166" s="0" t="n">
        <v>71225954891.7756</v>
      </c>
      <c r="E2166" s="0" t="n">
        <v>0.0002126605241802403</v>
      </c>
      <c r="F2166" s="0" t="n">
        <v>8.446030926099389e-06</v>
      </c>
      <c r="G2166" s="0" t="n">
        <v>0.0002042144932541409</v>
      </c>
      <c r="H2166" s="0" t="b">
        <v>0</v>
      </c>
    </row>
    <row r="2167">
      <c r="A2167" s="0" t="n">
        <v>196</v>
      </c>
      <c r="B2167" s="0" t="n">
        <v>2</v>
      </c>
      <c r="C2167" s="0" t="n">
        <v>3075000</v>
      </c>
      <c r="D2167" s="0" t="n">
        <v>356196509.0930719</v>
      </c>
      <c r="E2167" s="0" t="n">
        <v>1.373048980765356e-05</v>
      </c>
      <c r="F2167" s="0" t="n">
        <v>8.446030926099384e-06</v>
      </c>
      <c r="G2167" s="0" t="n">
        <v>5.284458881554177e-06</v>
      </c>
      <c r="H2167" s="0" t="b">
        <v>0</v>
      </c>
    </row>
    <row r="2168">
      <c r="A2168" s="0" t="n">
        <v>196</v>
      </c>
      <c r="B2168" s="0" t="n">
        <v>3</v>
      </c>
      <c r="C2168" s="0" t="n">
        <v>1587500</v>
      </c>
      <c r="D2168" s="0" t="n">
        <v>-995573.7448180357</v>
      </c>
      <c r="E2168" s="0" t="n">
        <v>2.220529016065989e-06</v>
      </c>
      <c r="F2168" s="0" t="n">
        <v>8.446030926099384e-06</v>
      </c>
      <c r="G2168" s="0" t="n">
        <v>-6.225501910033395e-06</v>
      </c>
      <c r="H2168" s="0" t="b">
        <v>1</v>
      </c>
    </row>
    <row r="2169">
      <c r="A2169" s="0" t="n">
        <v>196</v>
      </c>
      <c r="B2169" s="0" t="n">
        <v>4</v>
      </c>
      <c r="C2169" s="0" t="n">
        <v>2331250</v>
      </c>
      <c r="D2169" s="0" t="n">
        <v>-13655683.97103416</v>
      </c>
      <c r="E2169" s="0" t="n">
        <v>6.360469550972649e-06</v>
      </c>
      <c r="F2169" s="0" t="n">
        <v>8.446030926099384e-06</v>
      </c>
      <c r="G2169" s="0" t="n">
        <v>-2.085561375126735e-06</v>
      </c>
      <c r="H2169" s="0" t="b">
        <v>1</v>
      </c>
    </row>
    <row r="2170">
      <c r="A2170" s="0" t="n">
        <v>196</v>
      </c>
      <c r="B2170" s="0" t="n">
        <v>5</v>
      </c>
      <c r="C2170" s="0" t="n">
        <v>2703125</v>
      </c>
      <c r="D2170" s="0" t="n">
        <v>41669808.79349519</v>
      </c>
      <c r="E2170" s="0" t="n">
        <v>9.711078534359179e-06</v>
      </c>
      <c r="F2170" s="0" t="n">
        <v>8.446030926099384e-06</v>
      </c>
      <c r="G2170" s="0" t="n">
        <v>1.265047608259795e-06</v>
      </c>
      <c r="H2170" s="0" t="b">
        <v>0</v>
      </c>
    </row>
    <row r="2171">
      <c r="A2171" s="0" t="n">
        <v>196</v>
      </c>
      <c r="B2171" s="0" t="n">
        <v>6</v>
      </c>
      <c r="C2171" s="0" t="n">
        <v>2517187.5</v>
      </c>
      <c r="D2171" s="0" t="n">
        <v>-9047657.008473486</v>
      </c>
      <c r="E2171" s="0" t="n">
        <v>7.940608122452555e-06</v>
      </c>
      <c r="F2171" s="0" t="n">
        <v>8.446030926099384e-06</v>
      </c>
      <c r="G2171" s="0" t="n">
        <v>-5.054228036468292e-07</v>
      </c>
      <c r="H2171" s="0" t="b">
        <v>1</v>
      </c>
    </row>
    <row r="2172">
      <c r="A2172" s="0" t="n">
        <v>196</v>
      </c>
      <c r="B2172" s="0" t="n">
        <v>7</v>
      </c>
      <c r="C2172" s="0" t="n">
        <v>2610156.25</v>
      </c>
      <c r="D2172" s="0" t="n">
        <v>8975098.8736759</v>
      </c>
      <c r="E2172" s="0" t="n">
        <v>8.803296375363899e-06</v>
      </c>
      <c r="F2172" s="0" t="n">
        <v>8.446030926099384e-06</v>
      </c>
      <c r="G2172" s="0" t="n">
        <v>3.572654492645151e-07</v>
      </c>
      <c r="H2172" s="0" t="b">
        <v>0</v>
      </c>
    </row>
    <row r="2173">
      <c r="A2173" s="0" t="n">
        <v>196</v>
      </c>
      <c r="B2173" s="0" t="n">
        <v>8</v>
      </c>
      <c r="C2173" s="0" t="n">
        <v>2563671.875</v>
      </c>
      <c r="D2173" s="0" t="n">
        <v>-1711991.015676586</v>
      </c>
      <c r="E2173" s="0" t="n">
        <v>8.36612231745757e-06</v>
      </c>
      <c r="F2173" s="0" t="n">
        <v>8.446030926099384e-06</v>
      </c>
      <c r="G2173" s="0" t="n">
        <v>-7.990860864181355e-08</v>
      </c>
      <c r="H2173" s="0" t="b">
        <v>1</v>
      </c>
    </row>
    <row r="2174">
      <c r="A2174" s="0" t="n">
        <v>196</v>
      </c>
      <c r="B2174" s="0" t="n">
        <v>9</v>
      </c>
      <c r="C2174" s="0" t="n">
        <v>2586914.0625</v>
      </c>
      <c r="D2174" s="0" t="n">
        <v>3191292.512917354</v>
      </c>
      <c r="E2174" s="0" t="n">
        <v>8.58327355493975e-06</v>
      </c>
      <c r="F2174" s="0" t="n">
        <v>8.446030926099384e-06</v>
      </c>
      <c r="G2174" s="0" t="n">
        <v>1.372426288403661e-07</v>
      </c>
      <c r="H2174" s="0" t="b">
        <v>0</v>
      </c>
    </row>
    <row r="2175">
      <c r="A2175" s="0" t="n">
        <v>196</v>
      </c>
      <c r="B2175" s="0" t="n">
        <v>10</v>
      </c>
      <c r="C2175" s="0" t="n">
        <v>2575292.96875</v>
      </c>
      <c r="D2175" s="0" t="n">
        <v>632164.8949206002</v>
      </c>
      <c r="E2175" s="0" t="n">
        <v>8.474336698089425e-06</v>
      </c>
      <c r="F2175" s="0" t="n">
        <v>8.446030926099384e-06</v>
      </c>
      <c r="G2175" s="0" t="n">
        <v>2.830577199004099e-08</v>
      </c>
      <c r="H2175" s="0" t="b">
        <v>0</v>
      </c>
    </row>
    <row r="2176">
      <c r="A2176" s="0" t="n">
        <v>196</v>
      </c>
      <c r="B2176" s="0" t="n">
        <v>11</v>
      </c>
      <c r="C2176" s="0" t="n">
        <v>2581103.515625</v>
      </c>
      <c r="D2176" s="0" t="n">
        <v>1884532.70619099</v>
      </c>
      <c r="E2176" s="0" t="n">
        <v>8.528715251226202e-06</v>
      </c>
      <c r="F2176" s="0" t="n">
        <v>8.446030926099384e-06</v>
      </c>
      <c r="G2176" s="0" t="n">
        <v>8.268432512681848e-08</v>
      </c>
      <c r="H2176" s="0" t="b">
        <v>0</v>
      </c>
    </row>
    <row r="2177">
      <c r="A2177" s="0" t="n">
        <v>196</v>
      </c>
      <c r="B2177" s="0" t="n">
        <v>12</v>
      </c>
      <c r="C2177" s="0" t="n">
        <v>2584008.7890625</v>
      </c>
      <c r="D2177" s="0" t="n">
        <v>2531067.477005241</v>
      </c>
      <c r="E2177" s="0" t="n">
        <v>8.555971733107471e-06</v>
      </c>
      <c r="F2177" s="0" t="n">
        <v>8.446030926099384e-06</v>
      </c>
      <c r="G2177" s="0" t="n">
        <v>1.099408070080874e-07</v>
      </c>
      <c r="H2177" s="0" t="b">
        <v>0</v>
      </c>
    </row>
    <row r="2178">
      <c r="A2178" s="0" t="n">
        <v>196</v>
      </c>
      <c r="B2178" s="0" t="n">
        <v>13</v>
      </c>
      <c r="C2178" s="0" t="n">
        <v>2585461.42578125</v>
      </c>
      <c r="D2178" s="0" t="n">
        <v>2859464.876259916</v>
      </c>
      <c r="E2178" s="0" t="n">
        <v>8.569617030983403e-06</v>
      </c>
      <c r="F2178" s="0" t="n">
        <v>8.446030926099384e-06</v>
      </c>
      <c r="G2178" s="0" t="n">
        <v>1.23586104884019e-07</v>
      </c>
      <c r="H2178" s="0" t="b">
        <v>0</v>
      </c>
    </row>
    <row r="2179">
      <c r="A2179" s="0" t="n">
        <v>196</v>
      </c>
      <c r="B2179" s="0" t="n">
        <v>14</v>
      </c>
      <c r="C2179" s="0" t="n">
        <v>2584961.42578125</v>
      </c>
      <c r="D2179" s="0" t="n">
        <v>2746052.82948382</v>
      </c>
      <c r="E2179" s="0" t="n">
        <v>8.564919424093862e-06</v>
      </c>
      <c r="F2179" s="0" t="n">
        <v>8.446030926099384e-06</v>
      </c>
      <c r="G2179" s="0" t="n">
        <v>1.188884979944784e-07</v>
      </c>
      <c r="H2179" s="0" t="b">
        <v>0</v>
      </c>
    </row>
    <row r="2180">
      <c r="A2180" s="0" t="n">
        <v>196</v>
      </c>
      <c r="B2180" s="0" t="n">
        <v>15</v>
      </c>
      <c r="C2180" s="0" t="n">
        <v>2584361.42578125</v>
      </c>
      <c r="D2180" s="0" t="n">
        <v>2610473.260582264</v>
      </c>
      <c r="E2180" s="0" t="n">
        <v>8.559283182770621e-06</v>
      </c>
      <c r="F2180" s="0" t="n">
        <v>8.446030926099384e-06</v>
      </c>
      <c r="G2180" s="0" t="n">
        <v>1.13252256671237e-07</v>
      </c>
      <c r="H2180" s="0" t="b">
        <v>0</v>
      </c>
    </row>
    <row r="2181">
      <c r="A2181" s="0" t="n">
        <v>196</v>
      </c>
      <c r="B2181" s="0" t="n">
        <v>16</v>
      </c>
      <c r="C2181" s="0" t="n">
        <v>2583641.42578125</v>
      </c>
      <c r="D2181" s="0" t="n">
        <v>2448559.964050912</v>
      </c>
      <c r="E2181" s="0" t="n">
        <v>8.552522697300922e-06</v>
      </c>
      <c r="F2181" s="0" t="n">
        <v>8.446030926099384e-06</v>
      </c>
      <c r="G2181" s="0" t="n">
        <v>1.064917712015384e-07</v>
      </c>
      <c r="H2181" s="0" t="b">
        <v>0</v>
      </c>
    </row>
    <row r="2182">
      <c r="A2182" s="0" t="n">
        <v>196</v>
      </c>
      <c r="B2182" s="0" t="n">
        <v>17</v>
      </c>
      <c r="C2182" s="0" t="n">
        <v>2584001.42578125</v>
      </c>
      <c r="D2182" s="0" t="n">
        <v>2529421.03206178</v>
      </c>
      <c r="E2182" s="0" t="n">
        <v>8.555902989543634e-06</v>
      </c>
      <c r="F2182" s="0" t="n">
        <v>8.446030926099384e-06</v>
      </c>
      <c r="G2182" s="0" t="n">
        <v>1.098720634442506e-07</v>
      </c>
      <c r="H2182" s="0" t="b">
        <v>0</v>
      </c>
    </row>
    <row r="2183">
      <c r="A2183" s="0" t="n">
        <v>196</v>
      </c>
      <c r="B2183" s="0" t="n">
        <v>18</v>
      </c>
      <c r="C2183" s="0" t="n">
        <v>2584433.42578125</v>
      </c>
      <c r="D2183" s="0" t="n">
        <v>2626720.300147001</v>
      </c>
      <c r="E2183" s="0" t="n">
        <v>8.559959777956615e-06</v>
      </c>
      <c r="F2183" s="0" t="n">
        <v>8.446030926099384e-06</v>
      </c>
      <c r="G2183" s="0" t="n">
        <v>1.139288518572308e-07</v>
      </c>
      <c r="H2183" s="0" t="b">
        <v>0</v>
      </c>
    </row>
    <row r="2184">
      <c r="A2184" s="0" t="n">
        <v>196</v>
      </c>
      <c r="B2184" s="0" t="n">
        <v>19</v>
      </c>
      <c r="C2184" s="0" t="n">
        <v>2584217.42578125</v>
      </c>
      <c r="D2184" s="0" t="n">
        <v>2578023.372101312</v>
      </c>
      <c r="E2184" s="0" t="n">
        <v>8.557930864843843e-06</v>
      </c>
      <c r="F2184" s="0" t="n">
        <v>8.446030926099384e-06</v>
      </c>
      <c r="G2184" s="0" t="n">
        <v>1.118999387444591e-07</v>
      </c>
      <c r="H2184" s="0" t="b">
        <v>0</v>
      </c>
    </row>
    <row r="2185">
      <c r="A2185" s="0" t="n">
        <v>197</v>
      </c>
      <c r="B2185" s="0" t="n">
        <v>1</v>
      </c>
      <c r="C2185" s="0" t="n">
        <v>6050000</v>
      </c>
      <c r="D2185" s="0" t="n">
        <v>62030107958.25787</v>
      </c>
      <c r="E2185" s="0" t="n">
        <v>0.0001900730534532619</v>
      </c>
      <c r="F2185" s="0" t="n">
        <v>8.348596598507367e-06</v>
      </c>
      <c r="G2185" s="0" t="n">
        <v>0.0001817244568547545</v>
      </c>
      <c r="H2185" s="0" t="b">
        <v>0</v>
      </c>
    </row>
    <row r="2186">
      <c r="A2186" s="0" t="n">
        <v>197</v>
      </c>
      <c r="B2186" s="0" t="n">
        <v>2</v>
      </c>
      <c r="C2186" s="0" t="n">
        <v>3075000</v>
      </c>
      <c r="D2186" s="0" t="n">
        <v>258647492.3638802</v>
      </c>
      <c r="E2186" s="0" t="n">
        <v>1.265079316126326e-05</v>
      </c>
      <c r="F2186" s="0" t="n">
        <v>8.348596598507359e-06</v>
      </c>
      <c r="G2186" s="0" t="n">
        <v>4.302196562755903e-06</v>
      </c>
      <c r="H2186" s="0" t="b">
        <v>0</v>
      </c>
    </row>
    <row r="2187">
      <c r="A2187" s="0" t="n">
        <v>197</v>
      </c>
      <c r="B2187" s="0" t="n">
        <v>3</v>
      </c>
      <c r="C2187" s="0" t="n">
        <v>1587500</v>
      </c>
      <c r="D2187" s="0" t="n">
        <v>-889194.6155790556</v>
      </c>
      <c r="E2187" s="0" t="n">
        <v>2.016222735353338e-06</v>
      </c>
      <c r="F2187" s="0" t="n">
        <v>8.348596598507359e-06</v>
      </c>
      <c r="G2187" s="0" t="n">
        <v>-6.332373863154021e-06</v>
      </c>
      <c r="H2187" s="0" t="b">
        <v>1</v>
      </c>
    </row>
    <row r="2188">
      <c r="A2188" s="0" t="n">
        <v>197</v>
      </c>
      <c r="B2188" s="0" t="n">
        <v>4</v>
      </c>
      <c r="C2188" s="0" t="n">
        <v>2331250</v>
      </c>
      <c r="D2188" s="0" t="n">
        <v>-11294629.64367121</v>
      </c>
      <c r="E2188" s="0" t="n">
        <v>5.817777794317607e-06</v>
      </c>
      <c r="F2188" s="0" t="n">
        <v>8.348596598507359e-06</v>
      </c>
      <c r="G2188" s="0" t="n">
        <v>-2.530818804189752e-06</v>
      </c>
      <c r="H2188" s="0" t="b">
        <v>1</v>
      </c>
    </row>
    <row r="2189">
      <c r="A2189" s="0" t="n">
        <v>197</v>
      </c>
      <c r="B2189" s="0" t="n">
        <v>5</v>
      </c>
      <c r="C2189" s="0" t="n">
        <v>2703125</v>
      </c>
      <c r="D2189" s="0" t="n">
        <v>15063679.27292576</v>
      </c>
      <c r="E2189" s="0" t="n">
        <v>8.905166100617171e-06</v>
      </c>
      <c r="F2189" s="0" t="n">
        <v>8.348596598507359e-06</v>
      </c>
      <c r="G2189" s="0" t="n">
        <v>5.565695021098123e-07</v>
      </c>
      <c r="H2189" s="0" t="b">
        <v>0</v>
      </c>
    </row>
    <row r="2190">
      <c r="A2190" s="0" t="n">
        <v>197</v>
      </c>
      <c r="B2190" s="0" t="n">
        <v>6</v>
      </c>
      <c r="C2190" s="0" t="n">
        <v>2517187.5</v>
      </c>
      <c r="D2190" s="0" t="n">
        <v>-14346239.97201671</v>
      </c>
      <c r="E2190" s="0" t="n">
        <v>7.268693332939258e-06</v>
      </c>
      <c r="F2190" s="0" t="n">
        <v>8.348596598507359e-06</v>
      </c>
      <c r="G2190" s="0" t="n">
        <v>-1.079903265568101e-06</v>
      </c>
      <c r="H2190" s="0" t="b">
        <v>1</v>
      </c>
    </row>
    <row r="2191">
      <c r="A2191" s="0" t="n">
        <v>197</v>
      </c>
      <c r="B2191" s="0" t="n">
        <v>7</v>
      </c>
      <c r="C2191" s="0" t="n">
        <v>2610156.25</v>
      </c>
      <c r="D2191" s="0" t="n">
        <v>-5618465.576098324</v>
      </c>
      <c r="E2191" s="0" t="n">
        <v>8.065012007253093e-06</v>
      </c>
      <c r="F2191" s="0" t="n">
        <v>8.348596598507359e-06</v>
      </c>
      <c r="G2191" s="0" t="n">
        <v>-2.835845912542656e-07</v>
      </c>
      <c r="H2191" s="0" t="b">
        <v>1</v>
      </c>
    </row>
    <row r="2192">
      <c r="A2192" s="0" t="n">
        <v>197</v>
      </c>
      <c r="B2192" s="0" t="n">
        <v>8</v>
      </c>
      <c r="C2192" s="0" t="n">
        <v>2656640.625</v>
      </c>
      <c r="D2192" s="0" t="n">
        <v>3063167.94465172</v>
      </c>
      <c r="E2192" s="0" t="n">
        <v>8.479719454384905e-06</v>
      </c>
      <c r="F2192" s="0" t="n">
        <v>8.348596598507359e-06</v>
      </c>
      <c r="G2192" s="0" t="n">
        <v>1.311228558775464e-07</v>
      </c>
      <c r="H2192" s="0" t="b">
        <v>0</v>
      </c>
    </row>
    <row r="2193">
      <c r="A2193" s="0" t="n">
        <v>197</v>
      </c>
      <c r="B2193" s="0" t="n">
        <v>9</v>
      </c>
      <c r="C2193" s="0" t="n">
        <v>2633398.4375</v>
      </c>
      <c r="D2193" s="0" t="n">
        <v>-1673365.711760135</v>
      </c>
      <c r="E2193" s="0" t="n">
        <v>8.271002884968292e-06</v>
      </c>
      <c r="F2193" s="0" t="n">
        <v>8.348596598507359e-06</v>
      </c>
      <c r="G2193" s="0" t="n">
        <v>-7.75937135390673e-08</v>
      </c>
      <c r="H2193" s="0" t="b">
        <v>1</v>
      </c>
    </row>
    <row r="2194">
      <c r="A2194" s="0" t="n">
        <v>197</v>
      </c>
      <c r="B2194" s="0" t="n">
        <v>10</v>
      </c>
      <c r="C2194" s="0" t="n">
        <v>2645019.53125</v>
      </c>
      <c r="D2194" s="0" t="n">
        <v>593490.260654542</v>
      </c>
      <c r="E2194" s="0" t="n">
        <v>8.375022853408292e-06</v>
      </c>
      <c r="F2194" s="0" t="n">
        <v>8.348596598507359e-06</v>
      </c>
      <c r="G2194" s="0" t="n">
        <v>2.642625490093306e-08</v>
      </c>
      <c r="H2194" s="0" t="b">
        <v>0</v>
      </c>
    </row>
    <row r="2195">
      <c r="A2195" s="0" t="n">
        <v>197</v>
      </c>
      <c r="B2195" s="0" t="n">
        <v>11</v>
      </c>
      <c r="C2195" s="0" t="n">
        <v>2650830.078125</v>
      </c>
      <c r="D2195" s="0" t="n">
        <v>1802670.415880445</v>
      </c>
      <c r="E2195" s="0" t="n">
        <v>8.427286733984882e-06</v>
      </c>
      <c r="F2195" s="0" t="n">
        <v>8.348596598507359e-06</v>
      </c>
      <c r="G2195" s="0" t="n">
        <v>7.869013547752339e-08</v>
      </c>
      <c r="H2195" s="0" t="b">
        <v>0</v>
      </c>
    </row>
    <row r="2196">
      <c r="A2196" s="0" t="n">
        <v>197</v>
      </c>
      <c r="B2196" s="0" t="n">
        <v>12</v>
      </c>
      <c r="C2196" s="0" t="n">
        <v>2653735.3515625</v>
      </c>
      <c r="D2196" s="0" t="n">
        <v>2426472.990300868</v>
      </c>
      <c r="E2196" s="0" t="n">
        <v>8.453482271379973e-06</v>
      </c>
      <c r="F2196" s="0" t="n">
        <v>8.348596598507359e-06</v>
      </c>
      <c r="G2196" s="0" t="n">
        <v>1.048856728726144e-07</v>
      </c>
      <c r="H2196" s="0" t="b">
        <v>0</v>
      </c>
    </row>
    <row r="2197">
      <c r="A2197" s="0" t="n">
        <v>197</v>
      </c>
      <c r="B2197" s="0" t="n">
        <v>13</v>
      </c>
      <c r="C2197" s="0" t="n">
        <v>2655187.98828125</v>
      </c>
      <c r="D2197" s="0" t="n">
        <v>2743193.764170693</v>
      </c>
      <c r="E2197" s="0" t="n">
        <v>8.466595227703877e-06</v>
      </c>
      <c r="F2197" s="0" t="n">
        <v>8.348596598507359e-06</v>
      </c>
      <c r="G2197" s="0" t="n">
        <v>1.17998629196518e-07</v>
      </c>
      <c r="H2197" s="0" t="b">
        <v>0</v>
      </c>
    </row>
    <row r="2198">
      <c r="A2198" s="0" t="n">
        <v>197</v>
      </c>
      <c r="B2198" s="0" t="n">
        <v>14</v>
      </c>
      <c r="C2198" s="0" t="n">
        <v>2654687.98828125</v>
      </c>
      <c r="D2198" s="0" t="n">
        <v>2633810.146945271</v>
      </c>
      <c r="E2198" s="0" t="n">
        <v>8.462080408093945e-06</v>
      </c>
      <c r="F2198" s="0" t="n">
        <v>8.348596598507359e-06</v>
      </c>
      <c r="G2198" s="0" t="n">
        <v>1.134838095865863e-07</v>
      </c>
      <c r="H2198" s="0" t="b">
        <v>0</v>
      </c>
    </row>
    <row r="2199">
      <c r="A2199" s="0" t="n">
        <v>198</v>
      </c>
      <c r="B2199" s="0" t="n">
        <v>1</v>
      </c>
      <c r="C2199" s="0" t="n">
        <v>6050000</v>
      </c>
      <c r="D2199" s="0" t="n">
        <v>23568847731.91718</v>
      </c>
      <c r="E2199" s="0" t="n">
        <v>9.62627357584207e-05</v>
      </c>
      <c r="F2199" s="0" t="n">
        <v>8.252941613511313e-06</v>
      </c>
      <c r="G2199" s="0" t="n">
        <v>8.800979414490938e-05</v>
      </c>
      <c r="H2199" s="0" t="b">
        <v>0</v>
      </c>
    </row>
    <row r="2200">
      <c r="A2200" s="0" t="n">
        <v>198</v>
      </c>
      <c r="B2200" s="0" t="n">
        <v>2</v>
      </c>
      <c r="C2200" s="0" t="n">
        <v>3075000</v>
      </c>
      <c r="D2200" s="0" t="n">
        <v>-8537805.750154838</v>
      </c>
      <c r="E2200" s="0" t="n">
        <v>7.787228107089778e-06</v>
      </c>
      <c r="F2200" s="0" t="n">
        <v>8.252941613511316e-06</v>
      </c>
      <c r="G2200" s="0" t="n">
        <v>-4.657135064215379e-07</v>
      </c>
      <c r="H2200" s="0" t="b">
        <v>1</v>
      </c>
    </row>
    <row r="2201">
      <c r="A2201" s="0" t="n">
        <v>198</v>
      </c>
      <c r="B2201" s="0" t="n">
        <v>3</v>
      </c>
      <c r="C2201" s="0" t="n">
        <v>4562500</v>
      </c>
      <c r="D2201" s="0" t="n">
        <v>3320906793.266563</v>
      </c>
      <c r="E2201" s="0" t="n">
        <v>2.961213480894457e-05</v>
      </c>
      <c r="F2201" s="0" t="n">
        <v>8.252941613511316e-06</v>
      </c>
      <c r="G2201" s="0" t="n">
        <v>2.135919319543326e-05</v>
      </c>
      <c r="H2201" s="0" t="b">
        <v>0</v>
      </c>
    </row>
    <row r="2202">
      <c r="A2202" s="0" t="n">
        <v>198</v>
      </c>
      <c r="B2202" s="0" t="n">
        <v>4</v>
      </c>
      <c r="C2202" s="0" t="n">
        <v>3818750</v>
      </c>
      <c r="D2202" s="0" t="n">
        <v>413499891.5631894</v>
      </c>
      <c r="E2202" s="0" t="n">
        <v>1.391428148441169e-05</v>
      </c>
      <c r="F2202" s="0" t="n">
        <v>8.252941613511316e-06</v>
      </c>
      <c r="G2202" s="0" t="n">
        <v>5.661339870900375e-06</v>
      </c>
      <c r="H2202" s="0" t="b">
        <v>0</v>
      </c>
    </row>
    <row r="2203">
      <c r="A2203" s="0" t="n">
        <v>198</v>
      </c>
      <c r="B2203" s="0" t="n">
        <v>5</v>
      </c>
      <c r="C2203" s="0" t="n">
        <v>3446875</v>
      </c>
      <c r="D2203" s="0" t="n">
        <v>106296016.5643186</v>
      </c>
      <c r="E2203" s="0" t="n">
        <v>1.066322443295074e-05</v>
      </c>
      <c r="F2203" s="0" t="n">
        <v>8.252941613511316e-06</v>
      </c>
      <c r="G2203" s="0" t="n">
        <v>2.410282819439425e-06</v>
      </c>
      <c r="H2203" s="0" t="b">
        <v>0</v>
      </c>
    </row>
    <row r="2204">
      <c r="A2204" s="0" t="n">
        <v>198</v>
      </c>
      <c r="B2204" s="0" t="n">
        <v>6</v>
      </c>
      <c r="C2204" s="0" t="n">
        <v>3260937.5</v>
      </c>
      <c r="D2204" s="0" t="n">
        <v>28095607.4010042</v>
      </c>
      <c r="E2204" s="0" t="n">
        <v>9.17210358257409e-06</v>
      </c>
      <c r="F2204" s="0" t="n">
        <v>8.252941613511316e-06</v>
      </c>
      <c r="G2204" s="0" t="n">
        <v>9.191619690627745e-07</v>
      </c>
      <c r="H2204" s="0" t="b">
        <v>0</v>
      </c>
    </row>
    <row r="2205">
      <c r="A2205" s="0" t="n">
        <v>198</v>
      </c>
      <c r="B2205" s="0" t="n">
        <v>7</v>
      </c>
      <c r="C2205" s="0" t="n">
        <v>3167968.75</v>
      </c>
      <c r="D2205" s="0" t="n">
        <v>5153187.678591025</v>
      </c>
      <c r="E2205" s="0" t="n">
        <v>8.465526069367096e-06</v>
      </c>
      <c r="F2205" s="0" t="n">
        <v>8.252941613511316e-06</v>
      </c>
      <c r="G2205" s="0" t="n">
        <v>2.125844558557798e-07</v>
      </c>
      <c r="H2205" s="0" t="b">
        <v>0</v>
      </c>
    </row>
    <row r="2206">
      <c r="A2206" s="0" t="n">
        <v>198</v>
      </c>
      <c r="B2206" s="0" t="n">
        <v>8</v>
      </c>
      <c r="C2206" s="0" t="n">
        <v>3121484.375</v>
      </c>
      <c r="D2206" s="0" t="n">
        <v>-2762715.475699454</v>
      </c>
      <c r="E2206" s="0" t="n">
        <v>8.122796123648338e-06</v>
      </c>
      <c r="F2206" s="0" t="n">
        <v>8.252941613511316e-06</v>
      </c>
      <c r="G2206" s="0" t="n">
        <v>-1.301454898629775e-07</v>
      </c>
      <c r="H2206" s="0" t="b">
        <v>1</v>
      </c>
    </row>
    <row r="2207">
      <c r="A2207" s="0" t="n">
        <v>198</v>
      </c>
      <c r="B2207" s="0" t="n">
        <v>9</v>
      </c>
      <c r="C2207" s="0" t="n">
        <v>3144726.5625</v>
      </c>
      <c r="D2207" s="0" t="n">
        <v>916068.9347575495</v>
      </c>
      <c r="E2207" s="0" t="n">
        <v>8.293260879695401e-06</v>
      </c>
      <c r="F2207" s="0" t="n">
        <v>8.252941613511316e-06</v>
      </c>
      <c r="G2207" s="0" t="n">
        <v>4.031926618408532e-08</v>
      </c>
      <c r="H2207" s="0" t="b">
        <v>0</v>
      </c>
    </row>
    <row r="2208">
      <c r="A2208" s="0" t="n">
        <v>198</v>
      </c>
      <c r="B2208" s="0" t="n">
        <v>10</v>
      </c>
      <c r="C2208" s="0" t="n">
        <v>3156347.65625</v>
      </c>
      <c r="D2208" s="0" t="n">
        <v>2963491.610018247</v>
      </c>
      <c r="E2208" s="0" t="n">
        <v>8.379170332680258e-06</v>
      </c>
      <c r="F2208" s="0" t="n">
        <v>8.252941613511316e-06</v>
      </c>
      <c r="G2208" s="0" t="n">
        <v>1.262287191689418e-07</v>
      </c>
      <c r="H2208" s="0" t="b">
        <v>0</v>
      </c>
    </row>
    <row r="2209">
      <c r="A2209" s="0" t="n">
        <v>198</v>
      </c>
      <c r="B2209" s="0" t="n">
        <v>11</v>
      </c>
      <c r="C2209" s="0" t="n">
        <v>3162158.203125</v>
      </c>
      <c r="D2209" s="0" t="n">
        <v>4040392.094889542</v>
      </c>
      <c r="E2209" s="0" t="n">
        <v>8.422292688411646e-06</v>
      </c>
      <c r="F2209" s="0" t="n">
        <v>8.252941613511316e-06</v>
      </c>
      <c r="G2209" s="0" t="n">
        <v>1.693510749003297e-07</v>
      </c>
      <c r="H2209" s="0" t="b">
        <v>0</v>
      </c>
    </row>
    <row r="2210">
      <c r="A2210" s="0" t="n">
        <v>198</v>
      </c>
      <c r="B2210" s="0" t="n">
        <v>12</v>
      </c>
      <c r="C2210" s="0" t="n">
        <v>3159252.9296875</v>
      </c>
      <c r="D2210" s="0" t="n">
        <v>3497474.118363142</v>
      </c>
      <c r="E2210" s="0" t="n">
        <v>8.400717555422252e-06</v>
      </c>
      <c r="F2210" s="0" t="n">
        <v>8.252941613511316e-06</v>
      </c>
      <c r="G2210" s="0" t="n">
        <v>1.47775941910936e-07</v>
      </c>
      <c r="H2210" s="0" t="b">
        <v>0</v>
      </c>
    </row>
    <row r="2211">
      <c r="A2211" s="0" t="n">
        <v>198</v>
      </c>
      <c r="B2211" s="0" t="n">
        <v>13</v>
      </c>
      <c r="C2211" s="0" t="n">
        <v>3157800.29296875</v>
      </c>
      <c r="D2211" s="0" t="n">
        <v>3229359.811575757</v>
      </c>
      <c r="E2211" s="0" t="n">
        <v>8.389940101582954e-06</v>
      </c>
      <c r="F2211" s="0" t="n">
        <v>8.252941613511316e-06</v>
      </c>
      <c r="G2211" s="0" t="n">
        <v>1.36998488071638e-07</v>
      </c>
      <c r="H2211" s="0" t="b">
        <v>0</v>
      </c>
    </row>
    <row r="2212">
      <c r="A2212" s="0" t="n">
        <v>198</v>
      </c>
      <c r="B2212" s="0" t="n">
        <v>14</v>
      </c>
      <c r="C2212" s="0" t="n">
        <v>3156600.29296875</v>
      </c>
      <c r="D2212" s="0" t="n">
        <v>3009572.001176753</v>
      </c>
      <c r="E2212" s="0" t="n">
        <v>8.381042928591991e-06</v>
      </c>
      <c r="F2212" s="0" t="n">
        <v>8.252941613511316e-06</v>
      </c>
      <c r="G2212" s="0" t="n">
        <v>1.281013150806751e-07</v>
      </c>
      <c r="H2212" s="0" t="b">
        <v>0</v>
      </c>
    </row>
    <row r="2213">
      <c r="A2213" s="0" t="n">
        <v>198</v>
      </c>
      <c r="B2213" s="0" t="n">
        <v>15</v>
      </c>
      <c r="C2213" s="0" t="n">
        <v>3157200.29296875</v>
      </c>
      <c r="D2213" s="0" t="n">
        <v>3119271.554722519</v>
      </c>
      <c r="E2213" s="0" t="n">
        <v>8.385490739574326e-06</v>
      </c>
      <c r="F2213" s="0" t="n">
        <v>8.252941613511316e-06</v>
      </c>
      <c r="G2213" s="0" t="n">
        <v>1.325491260630105e-07</v>
      </c>
      <c r="H2213" s="0" t="b">
        <v>0</v>
      </c>
    </row>
    <row r="2214">
      <c r="A2214" s="0" t="n">
        <v>198</v>
      </c>
      <c r="B2214" s="0" t="n">
        <v>16</v>
      </c>
      <c r="C2214" s="0" t="n">
        <v>3157920.29296875</v>
      </c>
      <c r="D2214" s="0" t="n">
        <v>3251432.017880014</v>
      </c>
      <c r="E2214" s="0" t="n">
        <v>8.390830477476792e-06</v>
      </c>
      <c r="F2214" s="0" t="n">
        <v>8.252941613511316e-06</v>
      </c>
      <c r="G2214" s="0" t="n">
        <v>1.37888863965476e-07</v>
      </c>
      <c r="H2214" s="0" t="b">
        <v>0</v>
      </c>
    </row>
    <row r="2215">
      <c r="A2215" s="0" t="n">
        <v>198</v>
      </c>
      <c r="B2215" s="0" t="n">
        <v>17</v>
      </c>
      <c r="C2215" s="0" t="n">
        <v>3157560.29296875</v>
      </c>
      <c r="D2215" s="0" t="n">
        <v>3185278.904946925</v>
      </c>
      <c r="E2215" s="0" t="n">
        <v>8.388160213887692e-06</v>
      </c>
      <c r="F2215" s="0" t="n">
        <v>8.252941613511316e-06</v>
      </c>
      <c r="G2215" s="0" t="n">
        <v>1.352186003763763e-07</v>
      </c>
      <c r="H2215" s="0" t="b">
        <v>0</v>
      </c>
    </row>
    <row r="2216">
      <c r="A2216" s="0" t="n">
        <v>199</v>
      </c>
      <c r="B2216" s="0" t="n">
        <v>1</v>
      </c>
      <c r="C2216" s="0" t="n">
        <v>6050000</v>
      </c>
      <c r="D2216" s="0" t="n">
        <v>21820594338.31188</v>
      </c>
      <c r="E2216" s="0" t="n">
        <v>9.023052530584999e-05</v>
      </c>
      <c r="F2216" s="0" t="n">
        <v>8.159021664032236e-06</v>
      </c>
      <c r="G2216" s="0" t="n">
        <v>8.207150364181775e-05</v>
      </c>
      <c r="H2216" s="0" t="b">
        <v>0</v>
      </c>
    </row>
    <row r="2217">
      <c r="A2217" s="0" t="n">
        <v>199</v>
      </c>
      <c r="B2217" s="0" t="n">
        <v>2</v>
      </c>
      <c r="C2217" s="0" t="n">
        <v>3075000</v>
      </c>
      <c r="D2217" s="0" t="n">
        <v>-11898947.12915172</v>
      </c>
      <c r="E2217" s="0" t="n">
        <v>7.414809962013144e-06</v>
      </c>
      <c r="F2217" s="0" t="n">
        <v>8.159021664032235e-06</v>
      </c>
      <c r="G2217" s="0" t="n">
        <v>-7.442117020190903e-07</v>
      </c>
      <c r="H2217" s="0" t="b">
        <v>1</v>
      </c>
    </row>
    <row r="2218">
      <c r="A2218" s="0" t="n">
        <v>199</v>
      </c>
      <c r="B2218" s="0" t="n">
        <v>3</v>
      </c>
      <c r="C2218" s="0" t="n">
        <v>4562500</v>
      </c>
      <c r="D2218" s="0" t="n">
        <v>2912740541.844715</v>
      </c>
      <c r="E2218" s="0" t="n">
        <v>2.733422158163389e-05</v>
      </c>
      <c r="F2218" s="0" t="n">
        <v>8.159021664032236e-06</v>
      </c>
      <c r="G2218" s="0" t="n">
        <v>1.917519991760166e-05</v>
      </c>
      <c r="H2218" s="0" t="b">
        <v>0</v>
      </c>
    </row>
    <row r="2219">
      <c r="A2219" s="0" t="n">
        <v>199</v>
      </c>
      <c r="B2219" s="0" t="n">
        <v>4</v>
      </c>
      <c r="C2219" s="0" t="n">
        <v>3818750</v>
      </c>
      <c r="D2219" s="0" t="n">
        <v>358888141.3157999</v>
      </c>
      <c r="E2219" s="0" t="n">
        <v>1.330576939927368e-05</v>
      </c>
      <c r="F2219" s="0" t="n">
        <v>8.159021664032235e-06</v>
      </c>
      <c r="G2219" s="0" t="n">
        <v>5.146747735241449e-06</v>
      </c>
      <c r="H2219" s="0" t="b">
        <v>0</v>
      </c>
    </row>
    <row r="2220">
      <c r="A2220" s="0" t="n">
        <v>199</v>
      </c>
      <c r="B2220" s="0" t="n">
        <v>5</v>
      </c>
      <c r="C2220" s="0" t="n">
        <v>3446875</v>
      </c>
      <c r="D2220" s="0" t="n">
        <v>82656593.53837398</v>
      </c>
      <c r="E2220" s="0" t="n">
        <v>1.017317206547152e-05</v>
      </c>
      <c r="F2220" s="0" t="n">
        <v>8.159021664032235e-06</v>
      </c>
      <c r="G2220" s="0" t="n">
        <v>2.014150401439288e-06</v>
      </c>
      <c r="H2220" s="0" t="b">
        <v>0</v>
      </c>
    </row>
    <row r="2221">
      <c r="A2221" s="0" t="n">
        <v>199</v>
      </c>
      <c r="B2221" s="0" t="n">
        <v>6</v>
      </c>
      <c r="C2221" s="0" t="n">
        <v>3260937.5</v>
      </c>
      <c r="D2221" s="0" t="n">
        <v>16174337.76703674</v>
      </c>
      <c r="E2221" s="0" t="n">
        <v>8.74123296421859e-06</v>
      </c>
      <c r="F2221" s="0" t="n">
        <v>8.159021664032235e-06</v>
      </c>
      <c r="G2221" s="0" t="n">
        <v>5.822113001863549e-07</v>
      </c>
      <c r="H2221" s="0" t="b">
        <v>0</v>
      </c>
    </row>
    <row r="2222">
      <c r="A2222" s="0" t="n">
        <v>199</v>
      </c>
      <c r="B2222" s="0" t="n">
        <v>7</v>
      </c>
      <c r="C2222" s="0" t="n">
        <v>3167968.75</v>
      </c>
      <c r="D2222" s="0" t="n">
        <v>-2054052.147973149</v>
      </c>
      <c r="E2222" s="0" t="n">
        <v>8.064156536393972e-06</v>
      </c>
      <c r="F2222" s="0" t="n">
        <v>8.159021664032235e-06</v>
      </c>
      <c r="G2222" s="0" t="n">
        <v>-9.486512763826215e-08</v>
      </c>
      <c r="H2222" s="0" t="b">
        <v>1</v>
      </c>
    </row>
    <row r="2223">
      <c r="A2223" s="0" t="n">
        <v>199</v>
      </c>
      <c r="B2223" s="0" t="n">
        <v>8</v>
      </c>
      <c r="C2223" s="0" t="n">
        <v>3214453.125</v>
      </c>
      <c r="D2223" s="0" t="n">
        <v>5925848.567728958</v>
      </c>
      <c r="E2223" s="0" t="n">
        <v>8.399272442249073e-06</v>
      </c>
      <c r="F2223" s="0" t="n">
        <v>8.159021664032235e-06</v>
      </c>
      <c r="G2223" s="0" t="n">
        <v>2.402507782168379e-07</v>
      </c>
      <c r="H2223" s="0" t="b">
        <v>0</v>
      </c>
    </row>
    <row r="2224">
      <c r="A2224" s="0" t="n">
        <v>199</v>
      </c>
      <c r="B2224" s="0" t="n">
        <v>9</v>
      </c>
      <c r="C2224" s="0" t="n">
        <v>3191210.9375</v>
      </c>
      <c r="D2224" s="0" t="n">
        <v>1662419.043253472</v>
      </c>
      <c r="E2224" s="0" t="n">
        <v>8.230847501115003e-06</v>
      </c>
      <c r="F2224" s="0" t="n">
        <v>8.159021664032235e-06</v>
      </c>
      <c r="G2224" s="0" t="n">
        <v>7.182583708276816e-08</v>
      </c>
      <c r="H2224" s="0" t="b">
        <v>0</v>
      </c>
    </row>
    <row r="2225">
      <c r="A2225" s="0" t="n">
        <v>199</v>
      </c>
      <c r="B2225" s="0" t="n">
        <v>10</v>
      </c>
      <c r="C2225" s="0" t="n">
        <v>3202832.03125</v>
      </c>
      <c r="D2225" s="0" t="n">
        <v>3724454.640615196</v>
      </c>
      <c r="E2225" s="0" t="n">
        <v>8.314844266984943e-06</v>
      </c>
      <c r="F2225" s="0" t="n">
        <v>8.159021664032235e-06</v>
      </c>
      <c r="G2225" s="0" t="n">
        <v>1.558226029527087e-07</v>
      </c>
      <c r="H2225" s="0" t="b">
        <v>0</v>
      </c>
    </row>
    <row r="2226">
      <c r="A2226" s="0" t="n">
        <v>199</v>
      </c>
      <c r="B2226" s="0" t="n">
        <v>11</v>
      </c>
      <c r="C2226" s="0" t="n">
        <v>3197021.484375</v>
      </c>
      <c r="D2226" s="0" t="n">
        <v>2676183.741329102</v>
      </c>
      <c r="E2226" s="0" t="n">
        <v>8.27279204316209e-06</v>
      </c>
      <c r="F2226" s="0" t="n">
        <v>8.159021664032235e-06</v>
      </c>
      <c r="G2226" s="0" t="n">
        <v>1.137703791298551e-07</v>
      </c>
      <c r="H2226" s="0" t="b">
        <v>0</v>
      </c>
    </row>
    <row r="2227">
      <c r="A2227" s="0" t="n">
        <v>199</v>
      </c>
      <c r="B2227" s="0" t="n">
        <v>12</v>
      </c>
      <c r="C2227" s="0" t="n">
        <v>3199926.7578125</v>
      </c>
      <c r="D2227" s="0" t="n">
        <v>3195989.144047999</v>
      </c>
      <c r="E2227" s="0" t="n">
        <v>8.293804850733115e-06</v>
      </c>
      <c r="F2227" s="0" t="n">
        <v>8.159021664032235e-06</v>
      </c>
      <c r="G2227" s="0" t="n">
        <v>1.347831867008805e-07</v>
      </c>
      <c r="H2227" s="0" t="b">
        <v>0</v>
      </c>
    </row>
    <row r="2228">
      <c r="A2228" s="0" t="n">
        <v>200</v>
      </c>
      <c r="B2228" s="0" t="n">
        <v>1</v>
      </c>
      <c r="C2228" s="0" t="n">
        <v>6050000</v>
      </c>
      <c r="D2228" s="0" t="n">
        <v>846784899.8542918</v>
      </c>
      <c r="E2228" s="0" t="n">
        <v>1.485291324179242e-05</v>
      </c>
      <c r="F2228" s="0" t="n">
        <v>7.228988015280413e-06</v>
      </c>
      <c r="G2228" s="0" t="n">
        <v>7.623925226512007e-06</v>
      </c>
      <c r="H2228" s="0" t="b">
        <v>0</v>
      </c>
    </row>
    <row r="2229">
      <c r="A2229" s="0" t="n">
        <v>200</v>
      </c>
      <c r="B2229" s="0" t="n">
        <v>2</v>
      </c>
      <c r="C2229" s="0" t="n">
        <v>3075000</v>
      </c>
      <c r="D2229" s="0" t="n">
        <v>-1560988.244273093</v>
      </c>
      <c r="E2229" s="0" t="n">
        <v>2.464750410681035e-06</v>
      </c>
      <c r="F2229" s="0" t="n">
        <v>7.228988015280413e-06</v>
      </c>
      <c r="G2229" s="0" t="n">
        <v>-4.764237604599378e-06</v>
      </c>
      <c r="H2229" s="0" t="b">
        <v>1</v>
      </c>
    </row>
    <row r="2230">
      <c r="A2230" s="0" t="n">
        <v>200</v>
      </c>
      <c r="B2230" s="0" t="n">
        <v>3</v>
      </c>
      <c r="C2230" s="0" t="n">
        <v>4562500</v>
      </c>
      <c r="D2230" s="0" t="n">
        <v>-1524456.479371908</v>
      </c>
      <c r="E2230" s="0" t="n">
        <v>7.163229735470678e-06</v>
      </c>
      <c r="F2230" s="0" t="n">
        <v>7.228988015280413e-06</v>
      </c>
      <c r="G2230" s="0" t="n">
        <v>-6.575827980973494e-08</v>
      </c>
      <c r="H2230" s="0" t="b">
        <v>1</v>
      </c>
    </row>
    <row r="2231">
      <c r="A2231" s="0" t="n">
        <v>200</v>
      </c>
      <c r="B2231" s="0" t="n">
        <v>4</v>
      </c>
      <c r="C2231" s="0" t="n">
        <v>5306250</v>
      </c>
      <c r="D2231" s="0" t="n">
        <v>227998488.4954202</v>
      </c>
      <c r="E2231" s="0" t="n">
        <v>1.074315438810701e-05</v>
      </c>
      <c r="F2231" s="0" t="n">
        <v>7.228988015280413e-06</v>
      </c>
      <c r="G2231" s="0" t="n">
        <v>3.514166372826595e-06</v>
      </c>
      <c r="H2231" s="0" t="b">
        <v>0</v>
      </c>
    </row>
    <row r="2232">
      <c r="A2232" s="0" t="n">
        <v>200</v>
      </c>
      <c r="B2232" s="0" t="n">
        <v>5</v>
      </c>
      <c r="C2232" s="0" t="n">
        <v>4934375</v>
      </c>
      <c r="D2232" s="0" t="n">
        <v>70564768.87557706</v>
      </c>
      <c r="E2232" s="0" t="n">
        <v>8.873164021915112e-06</v>
      </c>
      <c r="F2232" s="0" t="n">
        <v>7.228988015280413e-06</v>
      </c>
      <c r="G2232" s="0" t="n">
        <v>1.644176006634699e-06</v>
      </c>
      <c r="H2232" s="0" t="b">
        <v>0</v>
      </c>
    </row>
    <row r="2233">
      <c r="A2233" s="0" t="n">
        <v>200</v>
      </c>
      <c r="B2233" s="0" t="n">
        <v>6</v>
      </c>
      <c r="C2233" s="0" t="n">
        <v>4748437.5</v>
      </c>
      <c r="D2233" s="0" t="n">
        <v>25066907.95613817</v>
      </c>
      <c r="E2233" s="0" t="n">
        <v>7.996374852406569e-06</v>
      </c>
      <c r="F2233" s="0" t="n">
        <v>7.228988015280413e-06</v>
      </c>
      <c r="G2233" s="0" t="n">
        <v>7.673868371261563e-07</v>
      </c>
      <c r="H2233" s="0" t="b">
        <v>0</v>
      </c>
    </row>
    <row r="2234">
      <c r="A2234" s="0" t="n">
        <v>200</v>
      </c>
      <c r="B2234" s="0" t="n">
        <v>7</v>
      </c>
      <c r="C2234" s="0" t="n">
        <v>4655468.75</v>
      </c>
      <c r="D2234" s="0" t="n">
        <v>9599508.377387099</v>
      </c>
      <c r="E2234" s="0" t="n">
        <v>7.574156233697304e-06</v>
      </c>
      <c r="F2234" s="0" t="n">
        <v>7.228988015280413e-06</v>
      </c>
      <c r="G2234" s="0" t="n">
        <v>3.451682184168912e-07</v>
      </c>
      <c r="H2234" s="0" t="b">
        <v>0</v>
      </c>
    </row>
    <row r="2235">
      <c r="A2235" s="0" t="n">
        <v>200</v>
      </c>
      <c r="B2235" s="0" t="n">
        <v>8</v>
      </c>
      <c r="C2235" s="0" t="n">
        <v>4608984.375</v>
      </c>
      <c r="D2235" s="0" t="n">
        <v>3520576.267672143</v>
      </c>
      <c r="E2235" s="0" t="n">
        <v>7.36723394179147e-06</v>
      </c>
      <c r="F2235" s="0" t="n">
        <v>7.228988015280413e-06</v>
      </c>
      <c r="G2235" s="0" t="n">
        <v>1.382459265110571e-07</v>
      </c>
      <c r="H2235" s="0" t="b">
        <v>0</v>
      </c>
    </row>
    <row r="2236">
      <c r="A2236" s="0" t="n">
        <v>200</v>
      </c>
      <c r="B2236" s="0" t="n">
        <v>9</v>
      </c>
      <c r="C2236" s="0" t="n">
        <v>4632226.5625</v>
      </c>
      <c r="D2236" s="0" t="n">
        <v>6427320.055536658</v>
      </c>
      <c r="E2236" s="0" t="n">
        <v>7.470333788206639e-06</v>
      </c>
      <c r="F2236" s="0" t="n">
        <v>7.228988015280413e-06</v>
      </c>
      <c r="G2236" s="0" t="n">
        <v>2.413457729262264e-07</v>
      </c>
      <c r="H2236" s="0" t="b">
        <v>0</v>
      </c>
    </row>
    <row r="2237">
      <c r="A2237" s="0" t="n">
        <v>200</v>
      </c>
      <c r="B2237" s="0" t="n">
        <v>10</v>
      </c>
      <c r="C2237" s="0" t="n">
        <v>4620605.46875</v>
      </c>
      <c r="D2237" s="0" t="n">
        <v>4941186.458881356</v>
      </c>
      <c r="E2237" s="0" t="n">
        <v>7.418692820258226e-06</v>
      </c>
      <c r="F2237" s="0" t="n">
        <v>7.228988015280413e-06</v>
      </c>
      <c r="G2237" s="0" t="n">
        <v>1.897048049778133e-07</v>
      </c>
      <c r="H2237" s="0" t="b">
        <v>0</v>
      </c>
    </row>
    <row r="2238">
      <c r="A2238" s="0" t="n">
        <v>200</v>
      </c>
      <c r="B2238" s="0" t="n">
        <v>11</v>
      </c>
      <c r="C2238" s="0" t="n">
        <v>4614794.921875</v>
      </c>
      <c r="D2238" s="0" t="n">
        <v>4222751.031877315</v>
      </c>
      <c r="E2238" s="0" t="n">
        <v>7.39294077822096e-06</v>
      </c>
      <c r="F2238" s="0" t="n">
        <v>7.228988015280413e-06</v>
      </c>
      <c r="G2238" s="0" t="n">
        <v>1.639527629405471e-07</v>
      </c>
      <c r="H2238" s="0" t="b">
        <v>0</v>
      </c>
    </row>
    <row r="2239">
      <c r="A2239" s="0" t="n">
        <v>200</v>
      </c>
      <c r="B2239" s="0" t="n">
        <v>12</v>
      </c>
      <c r="C2239" s="0" t="n">
        <v>4617700.1953125</v>
      </c>
      <c r="D2239" s="0" t="n">
        <v>4579924.443487157</v>
      </c>
      <c r="E2239" s="0" t="n">
        <v>7.405810977798782e-06</v>
      </c>
      <c r="F2239" s="0" t="n">
        <v>7.228988015280413e-06</v>
      </c>
      <c r="G2239" s="0" t="n">
        <v>1.768229625183687e-07</v>
      </c>
      <c r="H2239" s="0" t="b">
        <v>0</v>
      </c>
    </row>
    <row r="2240">
      <c r="A2240" s="0" t="n">
        <v>201</v>
      </c>
      <c r="B2240" s="0" t="n">
        <v>1</v>
      </c>
      <c r="C2240" s="0" t="n">
        <v>6050000</v>
      </c>
      <c r="D2240" s="0" t="n">
        <v>5630467961.869728</v>
      </c>
      <c r="E2240" s="0" t="n">
        <v>3.399216030749931e-05</v>
      </c>
      <c r="F2240" s="0" t="n">
        <v>7.228988015280412e-06</v>
      </c>
      <c r="G2240" s="0" t="n">
        <v>2.67631722922189e-05</v>
      </c>
      <c r="H2240" s="0" t="b">
        <v>0</v>
      </c>
    </row>
    <row r="2241">
      <c r="A2241" s="0" t="n">
        <v>201</v>
      </c>
      <c r="B2241" s="0" t="n">
        <v>2</v>
      </c>
      <c r="C2241" s="0" t="n">
        <v>3075000</v>
      </c>
      <c r="D2241" s="0" t="n">
        <v>-4447765.696182142</v>
      </c>
      <c r="E2241" s="0" t="n">
        <v>3.768343382593094e-06</v>
      </c>
      <c r="F2241" s="0" t="n">
        <v>7.228988015280413e-06</v>
      </c>
      <c r="G2241" s="0" t="n">
        <v>-3.460644632687319e-06</v>
      </c>
      <c r="H2241" s="0" t="b">
        <v>1</v>
      </c>
    </row>
    <row r="2242">
      <c r="A2242" s="0" t="n">
        <v>201</v>
      </c>
      <c r="B2242" s="0" t="n">
        <v>3</v>
      </c>
      <c r="C2242" s="0" t="n">
        <v>4562500</v>
      </c>
      <c r="D2242" s="0" t="n">
        <v>287059459.1405728</v>
      </c>
      <c r="E2242" s="0" t="n">
        <v>1.127137158884631e-05</v>
      </c>
      <c r="F2242" s="0" t="n">
        <v>7.228988015280413e-06</v>
      </c>
      <c r="G2242" s="0" t="n">
        <v>4.042383573565897e-06</v>
      </c>
      <c r="H2242" s="0" t="b">
        <v>0</v>
      </c>
    </row>
    <row r="2243">
      <c r="A2243" s="0" t="n">
        <v>201</v>
      </c>
      <c r="B2243" s="0" t="n">
        <v>4</v>
      </c>
      <c r="C2243" s="0" t="n">
        <v>3818750</v>
      </c>
      <c r="D2243" s="0" t="n">
        <v>-5558580.012412294</v>
      </c>
      <c r="E2243" s="0" t="n">
        <v>6.964138818323616e-06</v>
      </c>
      <c r="F2243" s="0" t="n">
        <v>7.228988015280413e-06</v>
      </c>
      <c r="G2243" s="0" t="n">
        <v>-2.648491969567971e-07</v>
      </c>
      <c r="H2243" s="0" t="b">
        <v>1</v>
      </c>
    </row>
    <row r="2244">
      <c r="A2244" s="0" t="n">
        <v>201</v>
      </c>
      <c r="B2244" s="0" t="n">
        <v>5</v>
      </c>
      <c r="C2244" s="0" t="n">
        <v>4190625</v>
      </c>
      <c r="D2244" s="0" t="n">
        <v>78791555.36340199</v>
      </c>
      <c r="E2244" s="0" t="n">
        <v>9.002140982305961e-06</v>
      </c>
      <c r="F2244" s="0" t="n">
        <v>7.228988015280413e-06</v>
      </c>
      <c r="G2244" s="0" t="n">
        <v>1.773152967025549e-06</v>
      </c>
      <c r="H2244" s="0" t="b">
        <v>0</v>
      </c>
    </row>
    <row r="2245">
      <c r="A2245" s="0" t="n">
        <v>201</v>
      </c>
      <c r="B2245" s="0" t="n">
        <v>6</v>
      </c>
      <c r="C2245" s="0" t="n">
        <v>4004687.5</v>
      </c>
      <c r="D2245" s="0" t="n">
        <v>23215587.03221472</v>
      </c>
      <c r="E2245" s="0" t="n">
        <v>7.951249823597062e-06</v>
      </c>
      <c r="F2245" s="0" t="n">
        <v>7.228988015280413e-06</v>
      </c>
      <c r="G2245" s="0" t="n">
        <v>7.222618083166491e-07</v>
      </c>
      <c r="H2245" s="0" t="b">
        <v>0</v>
      </c>
    </row>
    <row r="2246">
      <c r="A2246" s="0" t="n">
        <v>201</v>
      </c>
      <c r="B2246" s="0" t="n">
        <v>7</v>
      </c>
      <c r="C2246" s="0" t="n">
        <v>3911718.75</v>
      </c>
      <c r="D2246" s="0" t="n">
        <v>5817520.653747566</v>
      </c>
      <c r="E2246" s="0" t="n">
        <v>7.449398518056968e-06</v>
      </c>
      <c r="F2246" s="0" t="n">
        <v>7.228988015280413e-06</v>
      </c>
      <c r="G2246" s="0" t="n">
        <v>2.204105027765554e-07</v>
      </c>
      <c r="H2246" s="0" t="b">
        <v>0</v>
      </c>
    </row>
    <row r="2247">
      <c r="A2247" s="0" t="n">
        <v>201</v>
      </c>
      <c r="B2247" s="0" t="n">
        <v>8</v>
      </c>
      <c r="C2247" s="0" t="n">
        <v>3865234.375</v>
      </c>
      <c r="D2247" s="0" t="n">
        <v>-576153.1566284603</v>
      </c>
      <c r="E2247" s="0" t="n">
        <v>7.204619557665098e-06</v>
      </c>
      <c r="F2247" s="0" t="n">
        <v>7.228988015280413e-06</v>
      </c>
      <c r="G2247" s="0" t="n">
        <v>-2.436845761531476e-08</v>
      </c>
      <c r="H2247" s="0" t="b">
        <v>1</v>
      </c>
    </row>
    <row r="2248">
      <c r="A2248" s="0" t="n">
        <v>201</v>
      </c>
      <c r="B2248" s="0" t="n">
        <v>9</v>
      </c>
      <c r="C2248" s="0" t="n">
        <v>3888476.5625</v>
      </c>
      <c r="D2248" s="0" t="n">
        <v>2437956.426279636</v>
      </c>
      <c r="E2248" s="0" t="n">
        <v>7.326477361717392e-06</v>
      </c>
      <c r="F2248" s="0" t="n">
        <v>7.228988015280413e-06</v>
      </c>
      <c r="G2248" s="0" t="n">
        <v>9.748934643697881e-08</v>
      </c>
      <c r="H2248" s="0" t="b">
        <v>0</v>
      </c>
    </row>
    <row r="2249">
      <c r="A2249" s="0" t="n">
        <v>201</v>
      </c>
      <c r="B2249" s="0" t="n">
        <v>10</v>
      </c>
      <c r="C2249" s="0" t="n">
        <v>3900097.65625</v>
      </c>
      <c r="D2249" s="0" t="n">
        <v>4081297.105124038</v>
      </c>
      <c r="E2249" s="0" t="n">
        <v>7.387805918890832e-06</v>
      </c>
      <c r="F2249" s="0" t="n">
        <v>7.228988015280413e-06</v>
      </c>
      <c r="G2249" s="0" t="n">
        <v>1.588179036104197e-07</v>
      </c>
      <c r="H2249" s="0" t="b">
        <v>0</v>
      </c>
    </row>
    <row r="2250">
      <c r="A2250" s="0" t="n">
        <v>201</v>
      </c>
      <c r="B2250" s="0" t="n">
        <v>11</v>
      </c>
      <c r="C2250" s="0" t="n">
        <v>3894287.109375</v>
      </c>
      <c r="D2250" s="0" t="n">
        <v>3248113.676146552</v>
      </c>
      <c r="E2250" s="0" t="n">
        <v>7.357108653558653e-06</v>
      </c>
      <c r="F2250" s="0" t="n">
        <v>7.228988015280413e-06</v>
      </c>
      <c r="G2250" s="0" t="n">
        <v>1.281206382782404e-07</v>
      </c>
      <c r="H2250" s="0" t="b">
        <v>0</v>
      </c>
    </row>
    <row r="2251">
      <c r="A2251" s="0" t="n">
        <v>201</v>
      </c>
      <c r="B2251" s="0" t="n">
        <v>12</v>
      </c>
      <c r="C2251" s="0" t="n">
        <v>3897192.3828125</v>
      </c>
      <c r="D2251" s="0" t="n">
        <v>3661806.295388327</v>
      </c>
      <c r="E2251" s="0" t="n">
        <v>7.372448719692106e-06</v>
      </c>
      <c r="F2251" s="0" t="n">
        <v>7.228988015280413e-06</v>
      </c>
      <c r="G2251" s="0" t="n">
        <v>1.434607044116929e-07</v>
      </c>
      <c r="H2251" s="0" t="b">
        <v>0</v>
      </c>
    </row>
    <row r="2252">
      <c r="A2252" s="0" t="n">
        <v>201</v>
      </c>
      <c r="B2252" s="0" t="n">
        <v>13</v>
      </c>
      <c r="C2252" s="0" t="n">
        <v>3898645.01953125</v>
      </c>
      <c r="D2252" s="0" t="n">
        <v>3870831.443376492</v>
      </c>
      <c r="E2252" s="0" t="n">
        <v>7.380125399951233e-06</v>
      </c>
      <c r="F2252" s="0" t="n">
        <v>7.228988015280413e-06</v>
      </c>
      <c r="G2252" s="0" t="n">
        <v>1.511373846708198e-07</v>
      </c>
      <c r="H2252" s="0" t="b">
        <v>0</v>
      </c>
    </row>
    <row r="2253">
      <c r="A2253" s="0" t="n">
        <v>202</v>
      </c>
      <c r="B2253" s="0" t="n">
        <v>1</v>
      </c>
      <c r="C2253" s="0" t="n">
        <v>6050000</v>
      </c>
      <c r="D2253" s="0" t="n">
        <v>828670558.3596501</v>
      </c>
      <c r="E2253" s="0" t="n">
        <v>1.460847794005031e-05</v>
      </c>
      <c r="F2253" s="0" t="n">
        <v>7.152879524752029e-06</v>
      </c>
      <c r="G2253" s="0" t="n">
        <v>7.455598415298281e-06</v>
      </c>
      <c r="H2253" s="0" t="b">
        <v>0</v>
      </c>
    </row>
    <row r="2254">
      <c r="A2254" s="0" t="n">
        <v>202</v>
      </c>
      <c r="B2254" s="0" t="n">
        <v>2</v>
      </c>
      <c r="C2254" s="0" t="n">
        <v>3075000</v>
      </c>
      <c r="D2254" s="0" t="n">
        <v>-1542295.711396701</v>
      </c>
      <c r="E2254" s="0" t="n">
        <v>2.423046197684477e-06</v>
      </c>
      <c r="F2254" s="0" t="n">
        <v>7.152879524752029e-06</v>
      </c>
      <c r="G2254" s="0" t="n">
        <v>-4.729833327067552e-06</v>
      </c>
      <c r="H2254" s="0" t="b">
        <v>1</v>
      </c>
    </row>
    <row r="2255">
      <c r="A2255" s="0" t="n">
        <v>202</v>
      </c>
      <c r="B2255" s="0" t="n">
        <v>3</v>
      </c>
      <c r="C2255" s="0" t="n">
        <v>4562500</v>
      </c>
      <c r="D2255" s="0" t="n">
        <v>-2801345.448595045</v>
      </c>
      <c r="E2255" s="0" t="n">
        <v>7.029125368947474e-06</v>
      </c>
      <c r="F2255" s="0" t="n">
        <v>7.152879524752029e-06</v>
      </c>
      <c r="G2255" s="0" t="n">
        <v>-1.237541558045553e-07</v>
      </c>
      <c r="H2255" s="0" t="b">
        <v>1</v>
      </c>
    </row>
    <row r="2256">
      <c r="A2256" s="0" t="n">
        <v>202</v>
      </c>
      <c r="B2256" s="0" t="n">
        <v>4</v>
      </c>
      <c r="C2256" s="0" t="n">
        <v>5306250</v>
      </c>
      <c r="D2256" s="0" t="n">
        <v>219359871.5298174</v>
      </c>
      <c r="E2256" s="0" t="n">
        <v>1.055379453600381e-05</v>
      </c>
      <c r="F2256" s="0" t="n">
        <v>7.152879524752029e-06</v>
      </c>
      <c r="G2256" s="0" t="n">
        <v>3.400915011251781e-06</v>
      </c>
      <c r="H2256" s="0" t="b">
        <v>0</v>
      </c>
    </row>
    <row r="2257">
      <c r="A2257" s="0" t="n">
        <v>202</v>
      </c>
      <c r="B2257" s="0" t="n">
        <v>5</v>
      </c>
      <c r="C2257" s="0" t="n">
        <v>4934375</v>
      </c>
      <c r="D2257" s="0" t="n">
        <v>66090519.72964578</v>
      </c>
      <c r="E2257" s="0" t="n">
        <v>8.711602152311054e-06</v>
      </c>
      <c r="F2257" s="0" t="n">
        <v>7.152879524752029e-06</v>
      </c>
      <c r="G2257" s="0" t="n">
        <v>1.558722627559025e-06</v>
      </c>
      <c r="H2257" s="0" t="b">
        <v>0</v>
      </c>
    </row>
    <row r="2258">
      <c r="A2258" s="0" t="n">
        <v>202</v>
      </c>
      <c r="B2258" s="0" t="n">
        <v>6</v>
      </c>
      <c r="C2258" s="0" t="n">
        <v>4748437.5</v>
      </c>
      <c r="D2258" s="0" t="n">
        <v>22344433.20575986</v>
      </c>
      <c r="E2258" s="0" t="n">
        <v>7.84861510949357e-06</v>
      </c>
      <c r="F2258" s="0" t="n">
        <v>7.152879524752029e-06</v>
      </c>
      <c r="G2258" s="0" t="n">
        <v>6.957355847415404e-07</v>
      </c>
      <c r="H2258" s="0" t="b">
        <v>0</v>
      </c>
    </row>
    <row r="2259">
      <c r="A2259" s="0" t="n">
        <v>202</v>
      </c>
      <c r="B2259" s="0" t="n">
        <v>7</v>
      </c>
      <c r="C2259" s="0" t="n">
        <v>4655468.75</v>
      </c>
      <c r="D2259" s="0" t="n">
        <v>7641594.618533345</v>
      </c>
      <c r="E2259" s="0" t="n">
        <v>7.433219406404117e-06</v>
      </c>
      <c r="F2259" s="0" t="n">
        <v>7.152879524752029e-06</v>
      </c>
      <c r="G2259" s="0" t="n">
        <v>2.803398816520873e-07</v>
      </c>
      <c r="H2259" s="0" t="b">
        <v>0</v>
      </c>
    </row>
    <row r="2260">
      <c r="A2260" s="0" t="n">
        <v>202</v>
      </c>
      <c r="B2260" s="0" t="n">
        <v>8</v>
      </c>
      <c r="C2260" s="0" t="n">
        <v>4608984.375</v>
      </c>
      <c r="D2260" s="0" t="n">
        <v>1914504.343061249</v>
      </c>
      <c r="E2260" s="0" t="n">
        <v>7.229720309225572e-06</v>
      </c>
      <c r="F2260" s="0" t="n">
        <v>7.152879524752029e-06</v>
      </c>
      <c r="G2260" s="0" t="n">
        <v>7.684078447354264e-08</v>
      </c>
      <c r="H2260" s="0" t="b">
        <v>0</v>
      </c>
    </row>
    <row r="2261">
      <c r="A2261" s="0" t="n">
        <v>202</v>
      </c>
      <c r="B2261" s="0" t="n">
        <v>9</v>
      </c>
      <c r="C2261" s="0" t="n">
        <v>4632226.5625</v>
      </c>
      <c r="D2261" s="0" t="n">
        <v>4648092.703349059</v>
      </c>
      <c r="E2261" s="0" t="n">
        <v>7.331110359721409e-06</v>
      </c>
      <c r="F2261" s="0" t="n">
        <v>7.152879524752029e-06</v>
      </c>
      <c r="G2261" s="0" t="n">
        <v>1.782308349693793e-07</v>
      </c>
      <c r="H2261" s="0" t="b">
        <v>0</v>
      </c>
    </row>
    <row r="2262">
      <c r="A2262" s="0" t="n">
        <v>203</v>
      </c>
      <c r="B2262" s="0" t="n">
        <v>1</v>
      </c>
      <c r="C2262" s="0" t="n">
        <v>6050000</v>
      </c>
      <c r="D2262" s="0" t="n">
        <v>5858004290.86214</v>
      </c>
      <c r="E2262" s="0" t="n">
        <v>3.434925625295944e-05</v>
      </c>
      <c r="F2262" s="0" t="n">
        <v>7.152879524752028e-06</v>
      </c>
      <c r="G2262" s="0" t="n">
        <v>2.719637672820741e-05</v>
      </c>
      <c r="H2262" s="0" t="b">
        <v>0</v>
      </c>
    </row>
    <row r="2263">
      <c r="A2263" s="0" t="n">
        <v>203</v>
      </c>
      <c r="B2263" s="0" t="n">
        <v>2</v>
      </c>
      <c r="C2263" s="0" t="n">
        <v>3075000</v>
      </c>
      <c r="D2263" s="0" t="n">
        <v>-4610318.433113938</v>
      </c>
      <c r="E2263" s="0" t="n">
        <v>3.778287049588944e-06</v>
      </c>
      <c r="F2263" s="0" t="n">
        <v>7.152879524752029e-06</v>
      </c>
      <c r="G2263" s="0" t="n">
        <v>-3.374592475163085e-06</v>
      </c>
      <c r="H2263" s="0" t="b">
        <v>1</v>
      </c>
    </row>
    <row r="2264">
      <c r="A2264" s="0" t="n">
        <v>203</v>
      </c>
      <c r="B2264" s="0" t="n">
        <v>3</v>
      </c>
      <c r="C2264" s="0" t="n">
        <v>4562500</v>
      </c>
      <c r="D2264" s="0" t="n">
        <v>304706022.4884267</v>
      </c>
      <c r="E2264" s="0" t="n">
        <v>1.130435024294477e-05</v>
      </c>
      <c r="F2264" s="0" t="n">
        <v>7.152879524752029e-06</v>
      </c>
      <c r="G2264" s="0" t="n">
        <v>4.151470718192739e-06</v>
      </c>
      <c r="H2264" s="0" t="b">
        <v>0</v>
      </c>
    </row>
    <row r="2265">
      <c r="A2265" s="0" t="n">
        <v>203</v>
      </c>
      <c r="B2265" s="0" t="n">
        <v>4</v>
      </c>
      <c r="C2265" s="0" t="n">
        <v>3818750</v>
      </c>
      <c r="D2265" s="0" t="n">
        <v>-3687740.601139482</v>
      </c>
      <c r="E2265" s="0" t="n">
        <v>6.986434692822511e-06</v>
      </c>
      <c r="F2265" s="0" t="n">
        <v>7.152879524752029e-06</v>
      </c>
      <c r="G2265" s="0" t="n">
        <v>-1.664448319295182e-07</v>
      </c>
      <c r="H2265" s="0" t="b">
        <v>1</v>
      </c>
    </row>
    <row r="2266">
      <c r="A2266" s="0" t="n">
        <v>203</v>
      </c>
      <c r="B2266" s="0" t="n">
        <v>5</v>
      </c>
      <c r="C2266" s="0" t="n">
        <v>4190625</v>
      </c>
      <c r="D2266" s="0" t="n">
        <v>86777568.92352653</v>
      </c>
      <c r="E2266" s="0" t="n">
        <v>9.030098359682292e-06</v>
      </c>
      <c r="F2266" s="0" t="n">
        <v>7.152879524752029e-06</v>
      </c>
      <c r="G2266" s="0" t="n">
        <v>1.877218834930262e-06</v>
      </c>
      <c r="H2266" s="0" t="b">
        <v>0</v>
      </c>
    </row>
    <row r="2267">
      <c r="A2267" s="0" t="n">
        <v>203</v>
      </c>
      <c r="B2267" s="0" t="n">
        <v>6</v>
      </c>
      <c r="C2267" s="0" t="n">
        <v>4004687.5</v>
      </c>
      <c r="D2267" s="0" t="n">
        <v>27693969.58379742</v>
      </c>
      <c r="E2267" s="0" t="n">
        <v>7.976447213979592e-06</v>
      </c>
      <c r="F2267" s="0" t="n">
        <v>7.152879524752029e-06</v>
      </c>
      <c r="G2267" s="0" t="n">
        <v>8.235676892275622e-07</v>
      </c>
      <c r="H2267" s="0" t="b">
        <v>0</v>
      </c>
    </row>
    <row r="2268">
      <c r="A2268" s="0" t="n">
        <v>203</v>
      </c>
      <c r="B2268" s="0" t="n">
        <v>7</v>
      </c>
      <c r="C2268" s="0" t="n">
        <v>3911718.75</v>
      </c>
      <c r="D2268" s="0" t="n">
        <v>8878469.372073986</v>
      </c>
      <c r="E2268" s="0" t="n">
        <v>7.473155097109121e-06</v>
      </c>
      <c r="F2268" s="0" t="n">
        <v>7.152879524752029e-06</v>
      </c>
      <c r="G2268" s="0" t="n">
        <v>3.202755723570922e-07</v>
      </c>
      <c r="H2268" s="0" t="b">
        <v>0</v>
      </c>
    </row>
    <row r="2269">
      <c r="A2269" s="0" t="n">
        <v>203</v>
      </c>
      <c r="B2269" s="0" t="n">
        <v>8</v>
      </c>
      <c r="C2269" s="0" t="n">
        <v>3865234.375</v>
      </c>
      <c r="D2269" s="0" t="n">
        <v>1861142.751866707</v>
      </c>
      <c r="E2269" s="0" t="n">
        <v>7.227649674590919e-06</v>
      </c>
      <c r="F2269" s="0" t="n">
        <v>7.152879524752029e-06</v>
      </c>
      <c r="G2269" s="0" t="n">
        <v>7.477014983889014e-08</v>
      </c>
      <c r="H2269" s="0" t="b">
        <v>0</v>
      </c>
    </row>
    <row r="2270">
      <c r="A2270" s="0" t="n">
        <v>203</v>
      </c>
      <c r="B2270" s="0" t="n">
        <v>9</v>
      </c>
      <c r="C2270" s="0" t="n">
        <v>3888476.5625</v>
      </c>
      <c r="D2270" s="0" t="n">
        <v>5179947.093526138</v>
      </c>
      <c r="E2270" s="0" t="n">
        <v>7.349871523128003e-06</v>
      </c>
      <c r="F2270" s="0" t="n">
        <v>7.152879524752029e-06</v>
      </c>
      <c r="G2270" s="0" t="n">
        <v>1.969919983759733e-07</v>
      </c>
      <c r="H2270" s="0" t="b">
        <v>0</v>
      </c>
    </row>
    <row r="2271">
      <c r="A2271" s="0" t="n">
        <v>203</v>
      </c>
      <c r="B2271" s="0" t="n">
        <v>10</v>
      </c>
      <c r="C2271" s="0" t="n">
        <v>3876855.46875</v>
      </c>
      <c r="D2271" s="0" t="n">
        <v>3473847.796077395</v>
      </c>
      <c r="E2271" s="0" t="n">
        <v>7.288627106223829e-06</v>
      </c>
      <c r="F2271" s="0" t="n">
        <v>7.152879524752029e-06</v>
      </c>
      <c r="G2271" s="0" t="n">
        <v>1.357475814717998e-07</v>
      </c>
      <c r="H2271" s="0" t="b">
        <v>0</v>
      </c>
    </row>
    <row r="2272">
      <c r="A2272" s="0" t="n">
        <v>203</v>
      </c>
      <c r="B2272" s="0" t="n">
        <v>11</v>
      </c>
      <c r="C2272" s="0" t="n">
        <v>3882666.015625</v>
      </c>
      <c r="D2272" s="0" t="n">
        <v>4315126.79708926</v>
      </c>
      <c r="E2272" s="0" t="n">
        <v>7.319216063258213e-06</v>
      </c>
      <c r="F2272" s="0" t="n">
        <v>7.152879524752029e-06</v>
      </c>
      <c r="G2272" s="0" t="n">
        <v>1.663365385061841e-07</v>
      </c>
      <c r="H2272" s="0" t="b">
        <v>0</v>
      </c>
    </row>
    <row r="2273">
      <c r="A2273" s="0" t="n">
        <v>203</v>
      </c>
      <c r="B2273" s="0" t="n">
        <v>12</v>
      </c>
      <c r="C2273" s="0" t="n">
        <v>3879760.7421875</v>
      </c>
      <c r="D2273" s="0" t="n">
        <v>3891564.738740093</v>
      </c>
      <c r="E2273" s="0" t="n">
        <v>7.303913552640175e-06</v>
      </c>
      <c r="F2273" s="0" t="n">
        <v>7.152879524752029e-06</v>
      </c>
      <c r="G2273" s="0" t="n">
        <v>1.51034027888146e-07</v>
      </c>
      <c r="H2273" s="0" t="b">
        <v>0</v>
      </c>
    </row>
    <row r="2274">
      <c r="A2274" s="0" t="n">
        <v>204</v>
      </c>
      <c r="B2274" s="0" t="n">
        <v>1</v>
      </c>
      <c r="C2274" s="0" t="n">
        <v>6050000</v>
      </c>
      <c r="D2274" s="0" t="n">
        <v>14486811609.48547</v>
      </c>
      <c r="E2274" s="0" t="n">
        <v>5.857240128719203e-05</v>
      </c>
      <c r="F2274" s="0" t="n">
        <v>7.078038233517381e-06</v>
      </c>
      <c r="G2274" s="0" t="n">
        <v>5.149436305367465e-05</v>
      </c>
      <c r="H2274" s="0" t="b">
        <v>0</v>
      </c>
    </row>
    <row r="2275">
      <c r="A2275" s="0" t="n">
        <v>204</v>
      </c>
      <c r="B2275" s="0" t="n">
        <v>2</v>
      </c>
      <c r="C2275" s="0" t="n">
        <v>3075000</v>
      </c>
      <c r="D2275" s="0" t="n">
        <v>-11899211.64822335</v>
      </c>
      <c r="E2275" s="0" t="n">
        <v>5.273733897883334e-06</v>
      </c>
      <c r="F2275" s="0" t="n">
        <v>7.078038233517381e-06</v>
      </c>
      <c r="G2275" s="0" t="n">
        <v>-1.804304335634047e-06</v>
      </c>
      <c r="H2275" s="0" t="b">
        <v>1</v>
      </c>
    </row>
    <row r="2276">
      <c r="A2276" s="0" t="n">
        <v>204</v>
      </c>
      <c r="B2276" s="0" t="n">
        <v>3</v>
      </c>
      <c r="C2276" s="0" t="n">
        <v>4562500</v>
      </c>
      <c r="D2276" s="0" t="n">
        <v>1136618314.182513</v>
      </c>
      <c r="E2276" s="0" t="n">
        <v>1.592364680999574e-05</v>
      </c>
      <c r="F2276" s="0" t="n">
        <v>7.078038233517381e-06</v>
      </c>
      <c r="G2276" s="0" t="n">
        <v>8.845608576478363e-06</v>
      </c>
      <c r="H2276" s="0" t="b">
        <v>0</v>
      </c>
    </row>
    <row r="2277">
      <c r="A2277" s="0" t="n">
        <v>204</v>
      </c>
      <c r="B2277" s="0" t="n">
        <v>4</v>
      </c>
      <c r="C2277" s="0" t="n">
        <v>3818750</v>
      </c>
      <c r="D2277" s="0" t="n">
        <v>146492409.4430873</v>
      </c>
      <c r="E2277" s="0" t="n">
        <v>9.698052149328243e-06</v>
      </c>
      <c r="F2277" s="0" t="n">
        <v>7.078038233517381e-06</v>
      </c>
      <c r="G2277" s="0" t="n">
        <v>2.620013915810861e-06</v>
      </c>
      <c r="H2277" s="0" t="b">
        <v>0</v>
      </c>
    </row>
    <row r="2278">
      <c r="A2278" s="0" t="n">
        <v>204</v>
      </c>
      <c r="B2278" s="0" t="n">
        <v>5</v>
      </c>
      <c r="C2278" s="0" t="n">
        <v>3446875</v>
      </c>
      <c r="D2278" s="0" t="n">
        <v>6226110.313684504</v>
      </c>
      <c r="E2278" s="0" t="n">
        <v>7.309755260740661e-06</v>
      </c>
      <c r="F2278" s="0" t="n">
        <v>7.078038233517381e-06</v>
      </c>
      <c r="G2278" s="0" t="n">
        <v>2.317170272232794e-07</v>
      </c>
      <c r="H2278" s="0" t="b">
        <v>0</v>
      </c>
    </row>
    <row r="2279">
      <c r="A2279" s="0" t="n">
        <v>204</v>
      </c>
      <c r="B2279" s="0" t="n">
        <v>6</v>
      </c>
      <c r="C2279" s="0" t="n">
        <v>3260937.5</v>
      </c>
      <c r="D2279" s="0" t="n">
        <v>-12411494.09414902</v>
      </c>
      <c r="E2279" s="0" t="n">
        <v>6.243536065129529e-06</v>
      </c>
      <c r="F2279" s="0" t="n">
        <v>7.078038233517381e-06</v>
      </c>
      <c r="G2279" s="0" t="n">
        <v>-8.345021683878526e-07</v>
      </c>
      <c r="H2279" s="0" t="b">
        <v>1</v>
      </c>
    </row>
    <row r="2280">
      <c r="A2280" s="0" t="n">
        <v>204</v>
      </c>
      <c r="B2280" s="0" t="n">
        <v>7</v>
      </c>
      <c r="C2280" s="0" t="n">
        <v>3353906.25</v>
      </c>
      <c r="D2280" s="0" t="n">
        <v>-6439433.791246044</v>
      </c>
      <c r="E2280" s="0" t="n">
        <v>6.765095645423897e-06</v>
      </c>
      <c r="F2280" s="0" t="n">
        <v>7.078038233517381e-06</v>
      </c>
      <c r="G2280" s="0" t="n">
        <v>-3.129425880934844e-07</v>
      </c>
      <c r="H2280" s="0" t="b">
        <v>1</v>
      </c>
    </row>
    <row r="2281">
      <c r="A2281" s="0" t="n">
        <v>204</v>
      </c>
      <c r="B2281" s="0" t="n">
        <v>8</v>
      </c>
      <c r="C2281" s="0" t="n">
        <v>3400390.625</v>
      </c>
      <c r="D2281" s="0" t="n">
        <v>-1028004.909845134</v>
      </c>
      <c r="E2281" s="0" t="n">
        <v>7.034584135487888e-06</v>
      </c>
      <c r="F2281" s="0" t="n">
        <v>7.078038233517381e-06</v>
      </c>
      <c r="G2281" s="0" t="n">
        <v>-4.34540980294935e-08</v>
      </c>
      <c r="H2281" s="0" t="b">
        <v>1</v>
      </c>
    </row>
    <row r="2282">
      <c r="A2282" s="0" t="n">
        <v>204</v>
      </c>
      <c r="B2282" s="0" t="n">
        <v>9</v>
      </c>
      <c r="C2282" s="0" t="n">
        <v>3423632.8125</v>
      </c>
      <c r="D2282" s="0" t="n">
        <v>2358866.267627548</v>
      </c>
      <c r="E2282" s="0" t="n">
        <v>7.171467052309915e-06</v>
      </c>
      <c r="F2282" s="0" t="n">
        <v>7.078038233517381e-06</v>
      </c>
      <c r="G2282" s="0" t="n">
        <v>9.342881879253396e-08</v>
      </c>
      <c r="H2282" s="0" t="b">
        <v>0</v>
      </c>
    </row>
    <row r="2283">
      <c r="A2283" s="0" t="n">
        <v>204</v>
      </c>
      <c r="B2283" s="0" t="n">
        <v>10</v>
      </c>
      <c r="C2283" s="0" t="n">
        <v>3435253.90625</v>
      </c>
      <c r="D2283" s="0" t="n">
        <v>4231259.909022837</v>
      </c>
      <c r="E2283" s="0" t="n">
        <v>7.240436719556762e-06</v>
      </c>
      <c r="F2283" s="0" t="n">
        <v>7.078038233517381e-06</v>
      </c>
      <c r="G2283" s="0" t="n">
        <v>1.623984860393812e-07</v>
      </c>
      <c r="H2283" s="0" t="b">
        <v>0</v>
      </c>
    </row>
    <row r="2284">
      <c r="A2284" s="0" t="n">
        <v>204</v>
      </c>
      <c r="B2284" s="0" t="n">
        <v>11</v>
      </c>
      <c r="C2284" s="0" t="n">
        <v>3429443.359375</v>
      </c>
      <c r="D2284" s="0" t="n">
        <v>3279905.533975614</v>
      </c>
      <c r="E2284" s="0" t="n">
        <v>7.205908263235619e-06</v>
      </c>
      <c r="F2284" s="0" t="n">
        <v>7.078038233517381e-06</v>
      </c>
      <c r="G2284" s="0" t="n">
        <v>1.278700297182379e-07</v>
      </c>
      <c r="H2284" s="0" t="b">
        <v>0</v>
      </c>
    </row>
    <row r="2285">
      <c r="A2285" s="0" t="n">
        <v>204</v>
      </c>
      <c r="B2285" s="0" t="n">
        <v>12</v>
      </c>
      <c r="C2285" s="0" t="n">
        <v>3432348.6328125</v>
      </c>
      <c r="D2285" s="0" t="n">
        <v>3751765.68814472</v>
      </c>
      <c r="E2285" s="0" t="n">
        <v>7.223161265667661e-06</v>
      </c>
      <c r="F2285" s="0" t="n">
        <v>7.078038233517381e-06</v>
      </c>
      <c r="G2285" s="0" t="n">
        <v>1.4512303215028e-07</v>
      </c>
      <c r="H2285" s="0" t="b">
        <v>0</v>
      </c>
    </row>
    <row r="2286">
      <c r="A2286" s="0" t="n">
        <v>204</v>
      </c>
      <c r="B2286" s="0" t="n">
        <v>13</v>
      </c>
      <c r="C2286" s="0" t="n">
        <v>3430895.99609375</v>
      </c>
      <c r="D2286" s="0" t="n">
        <v>3514889.825077825</v>
      </c>
      <c r="E2286" s="0" t="n">
        <v>7.21453218016457e-06</v>
      </c>
      <c r="F2286" s="0" t="n">
        <v>7.078038233517381e-06</v>
      </c>
      <c r="G2286" s="0" t="n">
        <v>1.364939466471884e-07</v>
      </c>
      <c r="H2286" s="0" t="b">
        <v>0</v>
      </c>
    </row>
    <row r="2287">
      <c r="A2287" s="0" t="n">
        <v>204</v>
      </c>
      <c r="B2287" s="0" t="n">
        <v>14</v>
      </c>
      <c r="C2287" s="0" t="n">
        <v>3429695.99609375</v>
      </c>
      <c r="D2287" s="0" t="n">
        <v>3320636.783702197</v>
      </c>
      <c r="E2287" s="0" t="n">
        <v>7.207407707162263e-06</v>
      </c>
      <c r="F2287" s="0" t="n">
        <v>7.078038233517381e-06</v>
      </c>
      <c r="G2287" s="0" t="n">
        <v>1.293694736448814e-07</v>
      </c>
      <c r="H2287" s="0" t="b">
        <v>0</v>
      </c>
    </row>
    <row r="2288">
      <c r="A2288" s="0" t="n">
        <v>204</v>
      </c>
      <c r="B2288" s="0" t="n">
        <v>15</v>
      </c>
      <c r="C2288" s="0" t="n">
        <v>3430295.99609375</v>
      </c>
      <c r="D2288" s="0" t="n">
        <v>3417593.281315019</v>
      </c>
      <c r="E2288" s="0" t="n">
        <v>7.210969179026872e-06</v>
      </c>
      <c r="F2288" s="0" t="n">
        <v>7.078038233517381e-06</v>
      </c>
      <c r="G2288" s="0" t="n">
        <v>1.329309455094911e-07</v>
      </c>
      <c r="H2288" s="0" t="b">
        <v>0</v>
      </c>
    </row>
    <row r="2289">
      <c r="A2289" s="0" t="n">
        <v>205</v>
      </c>
      <c r="B2289" s="0" t="n">
        <v>1</v>
      </c>
      <c r="C2289" s="0" t="n">
        <v>6050000</v>
      </c>
      <c r="D2289" s="0" t="n">
        <v>17687459436.15387</v>
      </c>
      <c r="E2289" s="0" t="n">
        <v>6.575139343203496e-05</v>
      </c>
      <c r="F2289" s="0" t="n">
        <v>7.004435432059281e-06</v>
      </c>
      <c r="G2289" s="0" t="n">
        <v>5.874695799997568e-05</v>
      </c>
      <c r="H2289" s="0" t="b">
        <v>0</v>
      </c>
    </row>
    <row r="2290">
      <c r="A2290" s="0" t="n">
        <v>205</v>
      </c>
      <c r="B2290" s="0" t="n">
        <v>2</v>
      </c>
      <c r="C2290" s="0" t="n">
        <v>3075000</v>
      </c>
      <c r="D2290" s="0" t="n">
        <v>-13244489.83037037</v>
      </c>
      <c r="E2290" s="0" t="n">
        <v>5.680606901986924e-06</v>
      </c>
      <c r="F2290" s="0" t="n">
        <v>7.00443543205928e-06</v>
      </c>
      <c r="G2290" s="0" t="n">
        <v>-1.323828530072355e-06</v>
      </c>
      <c r="H2290" s="0" t="b">
        <v>1</v>
      </c>
    </row>
    <row r="2291">
      <c r="A2291" s="0" t="n">
        <v>205</v>
      </c>
      <c r="B2291" s="0" t="n">
        <v>3</v>
      </c>
      <c r="C2291" s="0" t="n">
        <v>4562500</v>
      </c>
      <c r="D2291" s="0" t="n">
        <v>1807932351.689113</v>
      </c>
      <c r="E2291" s="0" t="n">
        <v>1.840152759325363e-05</v>
      </c>
      <c r="F2291" s="0" t="n">
        <v>7.00443543205928e-06</v>
      </c>
      <c r="G2291" s="0" t="n">
        <v>1.139709216119435e-05</v>
      </c>
      <c r="H2291" s="0" t="b">
        <v>0</v>
      </c>
    </row>
    <row r="2292">
      <c r="A2292" s="0" t="n">
        <v>205</v>
      </c>
      <c r="B2292" s="0" t="n">
        <v>4</v>
      </c>
      <c r="C2292" s="0" t="n">
        <v>3818750</v>
      </c>
      <c r="D2292" s="0" t="n">
        <v>225653808.4754723</v>
      </c>
      <c r="E2292" s="0" t="n">
        <v>1.040336604710528e-05</v>
      </c>
      <c r="F2292" s="0" t="n">
        <v>7.00443543205928e-06</v>
      </c>
      <c r="G2292" s="0" t="n">
        <v>3.398930615046001e-06</v>
      </c>
      <c r="H2292" s="0" t="b">
        <v>0</v>
      </c>
    </row>
    <row r="2293">
      <c r="A2293" s="0" t="n">
        <v>205</v>
      </c>
      <c r="B2293" s="0" t="n">
        <v>5</v>
      </c>
      <c r="C2293" s="0" t="n">
        <v>3446875</v>
      </c>
      <c r="D2293" s="0" t="n">
        <v>29830979.86020767</v>
      </c>
      <c r="E2293" s="0" t="n">
        <v>7.864177572610216e-06</v>
      </c>
      <c r="F2293" s="0" t="n">
        <v>7.00443543205928e-06</v>
      </c>
      <c r="G2293" s="0" t="n">
        <v>8.59742140550936e-07</v>
      </c>
      <c r="H2293" s="0" t="b">
        <v>0</v>
      </c>
    </row>
    <row r="2294">
      <c r="A2294" s="0" t="n">
        <v>205</v>
      </c>
      <c r="B2294" s="0" t="n">
        <v>6</v>
      </c>
      <c r="C2294" s="0" t="n">
        <v>3260937.5</v>
      </c>
      <c r="D2294" s="0" t="n">
        <v>-5902060.228637345</v>
      </c>
      <c r="E2294" s="0" t="n">
        <v>6.723364148502218e-06</v>
      </c>
      <c r="F2294" s="0" t="n">
        <v>7.00443543205928e-06</v>
      </c>
      <c r="G2294" s="0" t="n">
        <v>-2.810712835570621e-07</v>
      </c>
      <c r="H2294" s="0" t="b">
        <v>1</v>
      </c>
    </row>
    <row r="2295">
      <c r="A2295" s="0" t="n">
        <v>205</v>
      </c>
      <c r="B2295" s="0" t="n">
        <v>7</v>
      </c>
      <c r="C2295" s="0" t="n">
        <v>3353906.25</v>
      </c>
      <c r="D2295" s="0" t="n">
        <v>7664694.137654176</v>
      </c>
      <c r="E2295" s="0" t="n">
        <v>7.282181963104749e-06</v>
      </c>
      <c r="F2295" s="0" t="n">
        <v>7.00443543205928e-06</v>
      </c>
      <c r="G2295" s="0" t="n">
        <v>2.77746531045469e-07</v>
      </c>
      <c r="H2295" s="0" t="b">
        <v>0</v>
      </c>
    </row>
    <row r="2296">
      <c r="A2296" s="0" t="n">
        <v>205</v>
      </c>
      <c r="B2296" s="0" t="n">
        <v>8</v>
      </c>
      <c r="C2296" s="0" t="n">
        <v>3307421.875</v>
      </c>
      <c r="D2296" s="0" t="n">
        <v>-113134.3687031288</v>
      </c>
      <c r="E2296" s="0" t="n">
        <v>6.999765564984934e-06</v>
      </c>
      <c r="F2296" s="0" t="n">
        <v>7.00443543205928e-06</v>
      </c>
      <c r="G2296" s="0" t="n">
        <v>-4.669867074345983e-09</v>
      </c>
      <c r="H2296" s="0" t="b">
        <v>1</v>
      </c>
    </row>
    <row r="2297">
      <c r="A2297" s="0" t="n">
        <v>205</v>
      </c>
      <c r="B2297" s="0" t="n">
        <v>9</v>
      </c>
      <c r="C2297" s="0" t="n">
        <v>3330664.0625</v>
      </c>
      <c r="D2297" s="0" t="n">
        <v>3516574.763554684</v>
      </c>
      <c r="E2297" s="0" t="n">
        <v>7.140238781471006e-06</v>
      </c>
      <c r="F2297" s="0" t="n">
        <v>7.00443543205928e-06</v>
      </c>
      <c r="G2297" s="0" t="n">
        <v>1.358033494117264e-07</v>
      </c>
      <c r="H2297" s="0" t="b">
        <v>0</v>
      </c>
    </row>
    <row r="2298">
      <c r="A2298" s="0" t="n">
        <v>205</v>
      </c>
      <c r="B2298" s="0" t="n">
        <v>10</v>
      </c>
      <c r="C2298" s="0" t="n">
        <v>3319042.96875</v>
      </c>
      <c r="D2298" s="0" t="n">
        <v>1638154.624091495</v>
      </c>
      <c r="E2298" s="0" t="n">
        <v>7.069814563905969e-06</v>
      </c>
      <c r="F2298" s="0" t="n">
        <v>7.00443543205928e-06</v>
      </c>
      <c r="G2298" s="0" t="n">
        <v>6.53791318466891e-08</v>
      </c>
      <c r="H2298" s="0" t="b">
        <v>0</v>
      </c>
    </row>
    <row r="2299">
      <c r="A2299" s="0" t="n">
        <v>205</v>
      </c>
      <c r="B2299" s="0" t="n">
        <v>11</v>
      </c>
      <c r="C2299" s="0" t="n">
        <v>3324853.515625</v>
      </c>
      <c r="D2299" s="0" t="n">
        <v>2561298.178920051</v>
      </c>
      <c r="E2299" s="0" t="n">
        <v>7.104979612945328e-06</v>
      </c>
      <c r="F2299" s="0" t="n">
        <v>7.00443543205928e-06</v>
      </c>
      <c r="G2299" s="0" t="n">
        <v>1.00544180886048e-07</v>
      </c>
      <c r="H2299" s="0" t="b">
        <v>0</v>
      </c>
    </row>
    <row r="2300">
      <c r="A2300" s="0" t="n">
        <v>205</v>
      </c>
      <c r="B2300" s="0" t="n">
        <v>12</v>
      </c>
      <c r="C2300" s="0" t="n">
        <v>3327758.7890625</v>
      </c>
      <c r="D2300" s="0" t="n">
        <v>3034905.031748399</v>
      </c>
      <c r="E2300" s="0" t="n">
        <v>7.122597671060685e-06</v>
      </c>
      <c r="F2300" s="0" t="n">
        <v>7.00443543205928e-06</v>
      </c>
      <c r="G2300" s="0" t="n">
        <v>1.181622390014051e-07</v>
      </c>
      <c r="H2300" s="0" t="b">
        <v>0</v>
      </c>
    </row>
    <row r="2301">
      <c r="A2301" s="0" t="n">
        <v>205</v>
      </c>
      <c r="B2301" s="0" t="n">
        <v>13</v>
      </c>
      <c r="C2301" s="0" t="n">
        <v>3329211.42578125</v>
      </c>
      <c r="D2301" s="0" t="n">
        <v>3274720.355309869</v>
      </c>
      <c r="E2301" s="0" t="n">
        <v>7.131415012593482e-06</v>
      </c>
      <c r="F2301" s="0" t="n">
        <v>7.00443543205928e-06</v>
      </c>
      <c r="G2301" s="0" t="n">
        <v>1.269795805342023e-07</v>
      </c>
      <c r="H2301" s="0" t="b">
        <v>0</v>
      </c>
    </row>
    <row r="2302">
      <c r="A2302" s="0" t="n">
        <v>205</v>
      </c>
      <c r="B2302" s="0" t="n">
        <v>14</v>
      </c>
      <c r="C2302" s="0" t="n">
        <v>3330411.42578125</v>
      </c>
      <c r="D2302" s="0" t="n">
        <v>3474368.296406058</v>
      </c>
      <c r="E2302" s="0" t="n">
        <v>7.138703820072983e-06</v>
      </c>
      <c r="F2302" s="0" t="n">
        <v>7.00443543205928e-06</v>
      </c>
      <c r="G2302" s="0" t="n">
        <v>1.342683880137031e-07</v>
      </c>
      <c r="H2302" s="0" t="b">
        <v>0</v>
      </c>
    </row>
    <row r="2303">
      <c r="A2303" s="0" t="n">
        <v>205</v>
      </c>
      <c r="B2303" s="0" t="n">
        <v>15</v>
      </c>
      <c r="C2303" s="0" t="n">
        <v>3329811.42578125</v>
      </c>
      <c r="D2303" s="0" t="n">
        <v>3374375.650059761</v>
      </c>
      <c r="E2303" s="0" t="n">
        <v>7.135059067579535e-06</v>
      </c>
      <c r="F2303" s="0" t="n">
        <v>7.00443543205928e-06</v>
      </c>
      <c r="G2303" s="0" t="n">
        <v>1.306236355202556e-07</v>
      </c>
      <c r="H2303" s="0" t="b">
        <v>0</v>
      </c>
    </row>
    <row r="2304">
      <c r="A2304" s="0" t="n">
        <v>205</v>
      </c>
      <c r="B2304" s="0" t="n">
        <v>16</v>
      </c>
      <c r="C2304" s="0" t="n">
        <v>3329091.42578125</v>
      </c>
      <c r="D2304" s="0" t="n">
        <v>3254840.461113895</v>
      </c>
      <c r="E2304" s="0" t="n">
        <v>7.130686677741383e-06</v>
      </c>
      <c r="F2304" s="0" t="n">
        <v>7.00443543205928e-06</v>
      </c>
      <c r="G2304" s="0" t="n">
        <v>1.262512456821038e-07</v>
      </c>
      <c r="H2304" s="0" t="b">
        <v>0</v>
      </c>
    </row>
    <row r="2305">
      <c r="A2305" s="0" t="n">
        <v>205</v>
      </c>
      <c r="B2305" s="0" t="n">
        <v>17</v>
      </c>
      <c r="C2305" s="0" t="n">
        <v>3329451.42578125</v>
      </c>
      <c r="D2305" s="0" t="n">
        <v>3314537.780689245</v>
      </c>
      <c r="E2305" s="0" t="n">
        <v>7.132872396194881e-06</v>
      </c>
      <c r="F2305" s="0" t="n">
        <v>7.00443543205928e-06</v>
      </c>
      <c r="G2305" s="0" t="n">
        <v>1.284369641356017e-07</v>
      </c>
      <c r="H2305" s="0" t="b">
        <v>0</v>
      </c>
    </row>
    <row r="2306">
      <c r="A2306" s="0" t="n">
        <v>206</v>
      </c>
      <c r="B2306" s="0" t="n">
        <v>1</v>
      </c>
      <c r="C2306" s="0" t="n">
        <v>6050000</v>
      </c>
      <c r="D2306" s="0" t="n">
        <v>38980233713.9493</v>
      </c>
      <c r="E2306" s="0" t="n">
        <v>6.807156907299978e-05</v>
      </c>
      <c r="F2306" s="0" t="n">
        <v>4.629502153310333e-06</v>
      </c>
      <c r="G2306" s="0" t="n">
        <v>6.344206691968944e-05</v>
      </c>
      <c r="H2306" s="0" t="b">
        <v>0</v>
      </c>
    </row>
    <row r="2307">
      <c r="A2307" s="0" t="n">
        <v>206</v>
      </c>
      <c r="B2307" s="0" t="n">
        <v>2</v>
      </c>
      <c r="C2307" s="0" t="n">
        <v>3075000</v>
      </c>
      <c r="D2307" s="0" t="n">
        <v>17705795.91389766</v>
      </c>
      <c r="E2307" s="0" t="n">
        <v>5.072509149929992e-06</v>
      </c>
      <c r="F2307" s="0" t="n">
        <v>4.629502153310335e-06</v>
      </c>
      <c r="G2307" s="0" t="n">
        <v>4.430069966196573e-07</v>
      </c>
      <c r="H2307" s="0" t="b">
        <v>0</v>
      </c>
    </row>
    <row r="2308">
      <c r="A2308" s="0" t="n">
        <v>206</v>
      </c>
      <c r="B2308" s="0" t="n">
        <v>3</v>
      </c>
      <c r="C2308" s="0" t="n">
        <v>1587500</v>
      </c>
      <c r="D2308" s="0" t="n">
        <v>-409421.6051092516</v>
      </c>
      <c r="E2308" s="0" t="n">
        <v>1.521921275108942e-07</v>
      </c>
      <c r="F2308" s="0" t="n">
        <v>4.629502153310335e-06</v>
      </c>
      <c r="G2308" s="0" t="n">
        <v>-4.47731002579944e-06</v>
      </c>
      <c r="H2308" s="0" t="b">
        <v>1</v>
      </c>
    </row>
    <row r="2309">
      <c r="A2309" s="0" t="n">
        <v>206</v>
      </c>
      <c r="B2309" s="0" t="n">
        <v>4</v>
      </c>
      <c r="C2309" s="0" t="n">
        <v>2331250</v>
      </c>
      <c r="D2309" s="0" t="n">
        <v>-3420823.713402282</v>
      </c>
      <c r="E2309" s="0" t="n">
        <v>2.287130639258921e-06</v>
      </c>
      <c r="F2309" s="0" t="n">
        <v>4.629502153310335e-06</v>
      </c>
      <c r="G2309" s="0" t="n">
        <v>-2.342371514051414e-06</v>
      </c>
      <c r="H2309" s="0" t="b">
        <v>1</v>
      </c>
    </row>
    <row r="2310">
      <c r="A2310" s="0" t="n">
        <v>206</v>
      </c>
      <c r="B2310" s="0" t="n">
        <v>5</v>
      </c>
      <c r="C2310" s="0" t="n">
        <v>2703125</v>
      </c>
      <c r="D2310" s="0" t="n">
        <v>-9140855.481963014</v>
      </c>
      <c r="E2310" s="0" t="n">
        <v>3.462345734387158e-06</v>
      </c>
      <c r="F2310" s="0" t="n">
        <v>4.629502153310335e-06</v>
      </c>
      <c r="G2310" s="0" t="n">
        <v>-1.167156418923178e-06</v>
      </c>
      <c r="H2310" s="0" t="b">
        <v>1</v>
      </c>
    </row>
    <row r="2311">
      <c r="A2311" s="0" t="n">
        <v>206</v>
      </c>
      <c r="B2311" s="0" t="n">
        <v>6</v>
      </c>
      <c r="C2311" s="0" t="n">
        <v>2889062.5</v>
      </c>
      <c r="D2311" s="0" t="n">
        <v>-7964466.717550296</v>
      </c>
      <c r="E2311" s="0" t="n">
        <v>4.215440347460681e-06</v>
      </c>
      <c r="F2311" s="0" t="n">
        <v>4.629502153310335e-06</v>
      </c>
      <c r="G2311" s="0" t="n">
        <v>-4.140618058496539e-07</v>
      </c>
      <c r="H2311" s="0" t="b">
        <v>1</v>
      </c>
    </row>
    <row r="2312">
      <c r="A2312" s="0" t="n">
        <v>206</v>
      </c>
      <c r="B2312" s="0" t="n">
        <v>7</v>
      </c>
      <c r="C2312" s="0" t="n">
        <v>2982031.25</v>
      </c>
      <c r="D2312" s="0" t="n">
        <v>51032.66414554833</v>
      </c>
      <c r="E2312" s="0" t="n">
        <v>4.631273658617791e-06</v>
      </c>
      <c r="F2312" s="0" t="n">
        <v>4.629502153310335e-06</v>
      </c>
      <c r="G2312" s="0" t="n">
        <v>1.771505307456021e-09</v>
      </c>
      <c r="H2312" s="0" t="b">
        <v>0</v>
      </c>
    </row>
    <row r="2313">
      <c r="A2313" s="0" t="n">
        <v>206</v>
      </c>
      <c r="B2313" s="0" t="n">
        <v>8</v>
      </c>
      <c r="C2313" s="0" t="n">
        <v>3028515.625</v>
      </c>
      <c r="D2313" s="0" t="n">
        <v>7501869.763404026</v>
      </c>
      <c r="E2313" s="0" t="n">
        <v>4.848768051927882e-06</v>
      </c>
      <c r="F2313" s="0" t="n">
        <v>4.629502153310335e-06</v>
      </c>
      <c r="G2313" s="0" t="n">
        <v>2.192658986175467e-07</v>
      </c>
      <c r="H2313" s="0" t="b">
        <v>0</v>
      </c>
    </row>
    <row r="2314">
      <c r="A2314" s="0" t="n">
        <v>206</v>
      </c>
      <c r="B2314" s="0" t="n">
        <v>9</v>
      </c>
      <c r="C2314" s="0" t="n">
        <v>3005273.4375</v>
      </c>
      <c r="D2314" s="0" t="n">
        <v>3452699.802006211</v>
      </c>
      <c r="E2314" s="0" t="n">
        <v>4.7392333253083e-06</v>
      </c>
      <c r="F2314" s="0" t="n">
        <v>4.629502153310335e-06</v>
      </c>
      <c r="G2314" s="0" t="n">
        <v>1.097311719979646e-07</v>
      </c>
      <c r="H2314" s="0" t="b">
        <v>0</v>
      </c>
    </row>
    <row r="2315">
      <c r="A2315" s="0" t="n">
        <v>206</v>
      </c>
      <c r="B2315" s="0" t="n">
        <v>10</v>
      </c>
      <c r="C2315" s="0" t="n">
        <v>2993652.34375</v>
      </c>
      <c r="D2315" s="0" t="n">
        <v>1673541.606728467</v>
      </c>
      <c r="E2315" s="0" t="n">
        <v>4.685055999827005e-06</v>
      </c>
      <c r="F2315" s="0" t="n">
        <v>4.629502153310335e-06</v>
      </c>
      <c r="G2315" s="0" t="n">
        <v>5.555384651667021e-08</v>
      </c>
      <c r="H2315" s="0" t="b">
        <v>0</v>
      </c>
    </row>
    <row r="2316">
      <c r="A2316" s="0" t="n">
        <v>206</v>
      </c>
      <c r="B2316" s="0" t="n">
        <v>11</v>
      </c>
      <c r="C2316" s="0" t="n">
        <v>2999462.890625</v>
      </c>
      <c r="D2316" s="0" t="n">
        <v>2543205.773710336</v>
      </c>
      <c r="E2316" s="0" t="n">
        <v>4.712095222342938e-06</v>
      </c>
      <c r="F2316" s="0" t="n">
        <v>4.629502153310335e-06</v>
      </c>
      <c r="G2316" s="0" t="n">
        <v>8.259306903260316e-08</v>
      </c>
      <c r="H2316" s="0" t="b">
        <v>0</v>
      </c>
    </row>
    <row r="2317">
      <c r="A2317" s="0" t="n">
        <v>206</v>
      </c>
      <c r="B2317" s="0" t="n">
        <v>12</v>
      </c>
      <c r="C2317" s="0" t="n">
        <v>3002368.1640625</v>
      </c>
      <c r="D2317" s="0" t="n">
        <v>2992934.173984431</v>
      </c>
      <c r="E2317" s="0" t="n">
        <v>4.72565195657413e-06</v>
      </c>
      <c r="F2317" s="0" t="n">
        <v>4.629502153310335e-06</v>
      </c>
      <c r="G2317" s="0" t="n">
        <v>9.614980326379502e-08</v>
      </c>
      <c r="H2317" s="0" t="b">
        <v>0</v>
      </c>
    </row>
    <row r="2318">
      <c r="A2318" s="0" t="n">
        <v>207</v>
      </c>
      <c r="B2318" s="0" t="n">
        <v>1</v>
      </c>
      <c r="C2318" s="0" t="n">
        <v>6050000</v>
      </c>
      <c r="D2318" s="0" t="n">
        <v>2708594265.098765</v>
      </c>
      <c r="E2318" s="0" t="n">
        <v>1.407747309687919e-05</v>
      </c>
      <c r="F2318" s="0" t="n">
        <v>4.591924207245509e-06</v>
      </c>
      <c r="G2318" s="0" t="n">
        <v>9.485548889633677e-06</v>
      </c>
      <c r="H2318" s="0" t="b">
        <v>0</v>
      </c>
    </row>
    <row r="2319">
      <c r="A2319" s="0" t="n">
        <v>207</v>
      </c>
      <c r="B2319" s="0" t="n">
        <v>2</v>
      </c>
      <c r="C2319" s="0" t="n">
        <v>3075000</v>
      </c>
      <c r="D2319" s="0" t="n">
        <v>-2634823.841542562</v>
      </c>
      <c r="E2319" s="0" t="n">
        <v>2.031674316288987e-06</v>
      </c>
      <c r="F2319" s="0" t="n">
        <v>4.591924207245509e-06</v>
      </c>
      <c r="G2319" s="0" t="n">
        <v>-2.560249890956521e-06</v>
      </c>
      <c r="H2319" s="0" t="b">
        <v>1</v>
      </c>
    </row>
    <row r="2320">
      <c r="A2320" s="0" t="n">
        <v>207</v>
      </c>
      <c r="B2320" s="0" t="n">
        <v>3</v>
      </c>
      <c r="C2320" s="0" t="n">
        <v>4562500</v>
      </c>
      <c r="D2320" s="0" t="n">
        <v>105859755.3066107</v>
      </c>
      <c r="E2320" s="0" t="n">
        <v>6.107457733055706e-06</v>
      </c>
      <c r="F2320" s="0" t="n">
        <v>4.591924207245509e-06</v>
      </c>
      <c r="G2320" s="0" t="n">
        <v>1.515533525810198e-06</v>
      </c>
      <c r="H2320" s="0" t="b">
        <v>0</v>
      </c>
    </row>
    <row r="2321">
      <c r="A2321" s="0" t="n">
        <v>207</v>
      </c>
      <c r="B2321" s="0" t="n">
        <v>4</v>
      </c>
      <c r="C2321" s="0" t="n">
        <v>3818750</v>
      </c>
      <c r="D2321" s="0" t="n">
        <v>-9753628.687515372</v>
      </c>
      <c r="E2321" s="0" t="n">
        <v>3.652284980391607e-06</v>
      </c>
      <c r="F2321" s="0" t="n">
        <v>4.591924207245509e-06</v>
      </c>
      <c r="G2321" s="0" t="n">
        <v>-9.396392268539012e-07</v>
      </c>
      <c r="H2321" s="0" t="b">
        <v>1</v>
      </c>
    </row>
    <row r="2322">
      <c r="A2322" s="0" t="n">
        <v>207</v>
      </c>
      <c r="B2322" s="0" t="n">
        <v>5</v>
      </c>
      <c r="C2322" s="0" t="n">
        <v>4190625</v>
      </c>
      <c r="D2322" s="0" t="n">
        <v>6477135.912952151</v>
      </c>
      <c r="E2322" s="0" t="n">
        <v>4.7842454450409e-06</v>
      </c>
      <c r="F2322" s="0" t="n">
        <v>4.591924207245509e-06</v>
      </c>
      <c r="G2322" s="0" t="n">
        <v>1.923212377953916e-07</v>
      </c>
      <c r="H2322" s="0" t="b">
        <v>0</v>
      </c>
    </row>
    <row r="2323">
      <c r="A2323" s="0" t="n">
        <v>207</v>
      </c>
      <c r="B2323" s="0" t="n">
        <v>6</v>
      </c>
      <c r="C2323" s="0" t="n">
        <v>4004687.5</v>
      </c>
      <c r="D2323" s="0" t="n">
        <v>-7787945.729598325</v>
      </c>
      <c r="E2323" s="0" t="n">
        <v>4.192963214058353e-06</v>
      </c>
      <c r="F2323" s="0" t="n">
        <v>4.591924207245509e-06</v>
      </c>
      <c r="G2323" s="0" t="n">
        <v>-3.989609931871555e-07</v>
      </c>
      <c r="H2323" s="0" t="b">
        <v>1</v>
      </c>
    </row>
    <row r="2324">
      <c r="A2324" s="0" t="n">
        <v>207</v>
      </c>
      <c r="B2324" s="0" t="n">
        <v>7</v>
      </c>
      <c r="C2324" s="0" t="n">
        <v>4097656.25</v>
      </c>
      <c r="D2324" s="0" t="n">
        <v>-2865364.056458131</v>
      </c>
      <c r="E2324" s="0" t="n">
        <v>4.482438455131491e-06</v>
      </c>
      <c r="F2324" s="0" t="n">
        <v>4.591924207245509e-06</v>
      </c>
      <c r="G2324" s="0" t="n">
        <v>-1.094857521140178e-07</v>
      </c>
      <c r="H2324" s="0" t="b">
        <v>1</v>
      </c>
    </row>
    <row r="2325">
      <c r="A2325" s="0" t="n">
        <v>207</v>
      </c>
      <c r="B2325" s="0" t="n">
        <v>8</v>
      </c>
      <c r="C2325" s="0" t="n">
        <v>4144140.625</v>
      </c>
      <c r="D2325" s="0" t="n">
        <v>1190711.413293581</v>
      </c>
      <c r="E2325" s="0" t="n">
        <v>4.631838050050839e-06</v>
      </c>
      <c r="F2325" s="0" t="n">
        <v>4.591924207245509e-06</v>
      </c>
      <c r="G2325" s="0" t="n">
        <v>3.99138428053304e-08</v>
      </c>
      <c r="H2325" s="0" t="b">
        <v>0</v>
      </c>
    </row>
    <row r="2326">
      <c r="A2326" s="0" t="n">
        <v>207</v>
      </c>
      <c r="B2326" s="0" t="n">
        <v>9</v>
      </c>
      <c r="C2326" s="0" t="n">
        <v>4167382.8125</v>
      </c>
      <c r="D2326" s="0" t="n">
        <v>3673296.134148702</v>
      </c>
      <c r="E2326" s="0" t="n">
        <v>4.707679746006796e-06</v>
      </c>
      <c r="F2326" s="0" t="n">
        <v>4.591924207245509e-06</v>
      </c>
      <c r="G2326" s="0" t="n">
        <v>1.15755538761287e-07</v>
      </c>
      <c r="H2326" s="0" t="b">
        <v>0</v>
      </c>
    </row>
    <row r="2327">
      <c r="A2327" s="0" t="n">
        <v>207</v>
      </c>
      <c r="B2327" s="0" t="n">
        <v>10</v>
      </c>
      <c r="C2327" s="0" t="n">
        <v>4179003.90625</v>
      </c>
      <c r="D2327" s="0" t="n">
        <v>5034031.23670388</v>
      </c>
      <c r="E2327" s="0" t="n">
        <v>4.74586812817015e-06</v>
      </c>
      <c r="F2327" s="0" t="n">
        <v>4.591924207245509e-06</v>
      </c>
      <c r="G2327" s="0" t="n">
        <v>1.539439209246419e-07</v>
      </c>
      <c r="H2327" s="0" t="b">
        <v>0</v>
      </c>
    </row>
    <row r="2328">
      <c r="A2328" s="0" t="n">
        <v>207</v>
      </c>
      <c r="B2328" s="0" t="n">
        <v>11</v>
      </c>
      <c r="C2328" s="0" t="n">
        <v>4173193.359375</v>
      </c>
      <c r="D2328" s="0" t="n">
        <v>4343483.430815401</v>
      </c>
      <c r="E2328" s="0" t="n">
        <v>4.726750411139233e-06</v>
      </c>
      <c r="F2328" s="0" t="n">
        <v>4.591924207245509e-06</v>
      </c>
      <c r="G2328" s="0" t="n">
        <v>1.348262038937242e-07</v>
      </c>
      <c r="H2328" s="0" t="b">
        <v>0</v>
      </c>
    </row>
    <row r="2329">
      <c r="A2329" s="0" t="n">
        <v>207</v>
      </c>
      <c r="B2329" s="0" t="n">
        <v>12</v>
      </c>
      <c r="C2329" s="0" t="n">
        <v>4170288.0859375</v>
      </c>
      <c r="D2329" s="0" t="n">
        <v>4005851.70714436</v>
      </c>
      <c r="E2329" s="0" t="n">
        <v>4.717208994772849e-06</v>
      </c>
      <c r="F2329" s="0" t="n">
        <v>4.591924207245509e-06</v>
      </c>
      <c r="G2329" s="0" t="n">
        <v>1.252847875273401e-07</v>
      </c>
      <c r="H2329" s="0" t="b">
        <v>0</v>
      </c>
    </row>
    <row r="2330">
      <c r="A2330" s="0" t="n">
        <v>207</v>
      </c>
      <c r="B2330" s="0" t="n">
        <v>13</v>
      </c>
      <c r="C2330" s="0" t="n">
        <v>4171740.72265625</v>
      </c>
      <c r="D2330" s="0" t="n">
        <v>4174029.714021339</v>
      </c>
      <c r="E2330" s="0" t="n">
        <v>4.72197813862989e-06</v>
      </c>
      <c r="F2330" s="0" t="n">
        <v>4.591924207245509e-06</v>
      </c>
      <c r="G2330" s="0" t="n">
        <v>1.300539313843815e-07</v>
      </c>
      <c r="H2330" s="0" t="b">
        <v>0</v>
      </c>
    </row>
    <row r="2331">
      <c r="A2331" s="0" t="n">
        <v>208</v>
      </c>
      <c r="B2331" s="0" t="n">
        <v>1</v>
      </c>
      <c r="C2331" s="0" t="n">
        <v>6050000</v>
      </c>
      <c r="D2331" s="0" t="n">
        <v>86511789.64604943</v>
      </c>
      <c r="E2331" s="0" t="n">
        <v>5.838059399758403e-06</v>
      </c>
      <c r="F2331" s="0" t="n">
        <v>4.518202920192045e-06</v>
      </c>
      <c r="G2331" s="0" t="n">
        <v>1.319856479566358e-06</v>
      </c>
      <c r="H2331" s="0" t="b">
        <v>0</v>
      </c>
    </row>
    <row r="2332">
      <c r="A2332" s="0" t="n">
        <v>208</v>
      </c>
      <c r="B2332" s="0" t="n">
        <v>2</v>
      </c>
      <c r="C2332" s="0" t="n">
        <v>3075000</v>
      </c>
      <c r="D2332" s="0" t="n">
        <v>-551706.2883385372</v>
      </c>
      <c r="E2332" s="0" t="n">
        <v>4.913506549709618e-07</v>
      </c>
      <c r="F2332" s="0" t="n">
        <v>4.518202920192045e-06</v>
      </c>
      <c r="G2332" s="0" t="n">
        <v>-4.026852265221084e-06</v>
      </c>
      <c r="H2332" s="0" t="b">
        <v>1</v>
      </c>
    </row>
    <row r="2333">
      <c r="A2333" s="0" t="n">
        <v>208</v>
      </c>
      <c r="B2333" s="0" t="n">
        <v>3</v>
      </c>
      <c r="C2333" s="0" t="n">
        <v>4562500</v>
      </c>
      <c r="D2333" s="0" t="n">
        <v>-5121577.414745663</v>
      </c>
      <c r="E2333" s="0" t="n">
        <v>2.62630544166742e-06</v>
      </c>
      <c r="F2333" s="0" t="n">
        <v>4.518202920192045e-06</v>
      </c>
      <c r="G2333" s="0" t="n">
        <v>-1.891897478524625e-06</v>
      </c>
      <c r="H2333" s="0" t="b">
        <v>1</v>
      </c>
    </row>
    <row r="2334">
      <c r="A2334" s="0" t="n">
        <v>208</v>
      </c>
      <c r="B2334" s="0" t="n">
        <v>4</v>
      </c>
      <c r="C2334" s="0" t="n">
        <v>5306250</v>
      </c>
      <c r="D2334" s="0" t="n">
        <v>-8698891.587809499</v>
      </c>
      <c r="E2334" s="0" t="n">
        <v>4.016238558172525e-06</v>
      </c>
      <c r="F2334" s="0" t="n">
        <v>4.518202920192045e-06</v>
      </c>
      <c r="G2334" s="0" t="n">
        <v>-5.019643620195196e-07</v>
      </c>
      <c r="H2334" s="0" t="b">
        <v>1</v>
      </c>
    </row>
    <row r="2335">
      <c r="A2335" s="0" t="n">
        <v>208</v>
      </c>
      <c r="B2335" s="0" t="n">
        <v>5</v>
      </c>
      <c r="C2335" s="0" t="n">
        <v>5678125</v>
      </c>
      <c r="D2335" s="0" t="n">
        <v>13800560.86676033</v>
      </c>
      <c r="E2335" s="0" t="n">
        <v>4.877422532161765e-06</v>
      </c>
      <c r="F2335" s="0" t="n">
        <v>4.518202920192045e-06</v>
      </c>
      <c r="G2335" s="0" t="n">
        <v>3.592196119697197e-07</v>
      </c>
      <c r="H2335" s="0" t="b">
        <v>0</v>
      </c>
    </row>
    <row r="2336">
      <c r="A2336" s="0" t="n">
        <v>208</v>
      </c>
      <c r="B2336" s="0" t="n">
        <v>6</v>
      </c>
      <c r="C2336" s="0" t="n">
        <v>5492187.5</v>
      </c>
      <c r="D2336" s="0" t="n">
        <v>-2268131.940967133</v>
      </c>
      <c r="E2336" s="0" t="n">
        <v>4.43380702478245e-06</v>
      </c>
      <c r="F2336" s="0" t="n">
        <v>4.518202920192045e-06</v>
      </c>
      <c r="G2336" s="0" t="n">
        <v>-8.439589540959509e-08</v>
      </c>
      <c r="H2336" s="0" t="b">
        <v>1</v>
      </c>
    </row>
    <row r="2337">
      <c r="A2337" s="0" t="n">
        <v>208</v>
      </c>
      <c r="B2337" s="0" t="n">
        <v>7</v>
      </c>
      <c r="C2337" s="0" t="n">
        <v>5585156.25</v>
      </c>
      <c r="D2337" s="0" t="n">
        <v>4355767.461998319</v>
      </c>
      <c r="E2337" s="0" t="n">
        <v>4.652438879000607e-06</v>
      </c>
      <c r="F2337" s="0" t="n">
        <v>4.518202920192045e-06</v>
      </c>
      <c r="G2337" s="0" t="n">
        <v>1.342359588085621e-07</v>
      </c>
      <c r="H2337" s="0" t="b">
        <v>0</v>
      </c>
    </row>
    <row r="2338">
      <c r="A2338" s="0" t="n">
        <v>208</v>
      </c>
      <c r="B2338" s="0" t="n">
        <v>8</v>
      </c>
      <c r="C2338" s="0" t="n">
        <v>5631640.625</v>
      </c>
      <c r="D2338" s="0" t="n">
        <v>8702813.682109986</v>
      </c>
      <c r="E2338" s="0" t="n">
        <v>4.764140964325655e-06</v>
      </c>
      <c r="F2338" s="0" t="n">
        <v>4.518202920192045e-06</v>
      </c>
      <c r="G2338" s="0" t="n">
        <v>2.459380441336101e-07</v>
      </c>
      <c r="H2338" s="0" t="b">
        <v>0</v>
      </c>
    </row>
    <row r="2339">
      <c r="A2339" s="0" t="n">
        <v>208</v>
      </c>
      <c r="B2339" s="0" t="n">
        <v>9</v>
      </c>
      <c r="C2339" s="0" t="n">
        <v>5608398.4375</v>
      </c>
      <c r="D2339" s="0" t="n">
        <v>6438221.545323871</v>
      </c>
      <c r="E2339" s="0" t="n">
        <v>4.708091256465796e-06</v>
      </c>
      <c r="F2339" s="0" t="n">
        <v>4.518202920192045e-06</v>
      </c>
      <c r="G2339" s="0" t="n">
        <v>1.898883362737506e-07</v>
      </c>
      <c r="H2339" s="0" t="b">
        <v>0</v>
      </c>
    </row>
    <row r="2340">
      <c r="A2340" s="0" t="n">
        <v>208</v>
      </c>
      <c r="B2340" s="0" t="n">
        <v>10</v>
      </c>
      <c r="C2340" s="0" t="n">
        <v>5596777.34375</v>
      </c>
      <c r="D2340" s="0" t="n">
        <v>5374583.260220422</v>
      </c>
      <c r="E2340" s="0" t="n">
        <v>4.680215380322754e-06</v>
      </c>
      <c r="F2340" s="0" t="n">
        <v>4.518202920192045e-06</v>
      </c>
      <c r="G2340" s="0" t="n">
        <v>1.620124601307092e-07</v>
      </c>
      <c r="H2340" s="0" t="b">
        <v>0</v>
      </c>
    </row>
    <row r="2341">
      <c r="A2341" s="0" t="n">
        <v>208</v>
      </c>
      <c r="B2341" s="0" t="n">
        <v>11</v>
      </c>
      <c r="C2341" s="0" t="n">
        <v>5602587.890625</v>
      </c>
      <c r="D2341" s="0" t="n">
        <v>5900758.290666204</v>
      </c>
      <c r="E2341" s="0" t="n">
        <v>4.69414098598951e-06</v>
      </c>
      <c r="F2341" s="0" t="n">
        <v>4.518202920192045e-06</v>
      </c>
      <c r="G2341" s="0" t="n">
        <v>1.759380657974652e-07</v>
      </c>
      <c r="H2341" s="0" t="b">
        <v>0</v>
      </c>
    </row>
    <row r="2342">
      <c r="A2342" s="0" t="n">
        <v>208</v>
      </c>
      <c r="B2342" s="0" t="n">
        <v>12</v>
      </c>
      <c r="C2342" s="0" t="n">
        <v>5599682.6171875</v>
      </c>
      <c r="D2342" s="0" t="n">
        <v>5636258.233483855</v>
      </c>
      <c r="E2342" s="0" t="n">
        <v>4.687174913191499e-06</v>
      </c>
      <c r="F2342" s="0" t="n">
        <v>4.518202920192045e-06</v>
      </c>
      <c r="G2342" s="0" t="n">
        <v>1.689719929994536e-07</v>
      </c>
      <c r="H2342" s="0" t="b">
        <v>0</v>
      </c>
    </row>
    <row r="2343">
      <c r="A2343" s="0" t="n">
        <v>209</v>
      </c>
      <c r="B2343" s="0" t="n">
        <v>1</v>
      </c>
      <c r="C2343" s="0" t="n">
        <v>6050000</v>
      </c>
      <c r="D2343" s="0" t="n">
        <v>92174631.24862112</v>
      </c>
      <c r="E2343" s="0" t="n">
        <v>5.891705970756379e-06</v>
      </c>
      <c r="F2343" s="0" t="n">
        <v>4.518202920192045e-06</v>
      </c>
      <c r="G2343" s="0" t="n">
        <v>1.373503050564334e-06</v>
      </c>
      <c r="H2343" s="0" t="b">
        <v>0</v>
      </c>
    </row>
    <row r="2344">
      <c r="A2344" s="0" t="n">
        <v>209</v>
      </c>
      <c r="B2344" s="0" t="n">
        <v>2</v>
      </c>
      <c r="C2344" s="0" t="n">
        <v>3075000</v>
      </c>
      <c r="D2344" s="0" t="n">
        <v>-561229.4988367326</v>
      </c>
      <c r="E2344" s="0" t="n">
        <v>5.106023210923714e-07</v>
      </c>
      <c r="F2344" s="0" t="n">
        <v>4.518202920192045e-06</v>
      </c>
      <c r="G2344" s="0" t="n">
        <v>-4.007600599099673e-06</v>
      </c>
      <c r="H2344" s="0" t="b">
        <v>1</v>
      </c>
    </row>
    <row r="2345">
      <c r="A2345" s="0" t="n">
        <v>209</v>
      </c>
      <c r="B2345" s="0" t="n">
        <v>3</v>
      </c>
      <c r="C2345" s="0" t="n">
        <v>4562500</v>
      </c>
      <c r="D2345" s="0" t="n">
        <v>-5236978.262363382</v>
      </c>
      <c r="E2345" s="0" t="n">
        <v>2.649334620473309e-06</v>
      </c>
      <c r="F2345" s="0" t="n">
        <v>4.518202920192045e-06</v>
      </c>
      <c r="G2345" s="0" t="n">
        <v>-1.868868299718736e-06</v>
      </c>
      <c r="H2345" s="0" t="b">
        <v>1</v>
      </c>
    </row>
    <row r="2346">
      <c r="A2346" s="0" t="n">
        <v>209</v>
      </c>
      <c r="B2346" s="0" t="n">
        <v>4</v>
      </c>
      <c r="C2346" s="0" t="n">
        <v>5306250</v>
      </c>
      <c r="D2346" s="0" t="n">
        <v>-8397470.491227904</v>
      </c>
      <c r="E2346" s="0" t="n">
        <v>4.053836591746102e-06</v>
      </c>
      <c r="F2346" s="0" t="n">
        <v>4.518202920192045e-06</v>
      </c>
      <c r="G2346" s="0" t="n">
        <v>-4.643663284459434e-07</v>
      </c>
      <c r="H2346" s="0" t="b">
        <v>1</v>
      </c>
    </row>
    <row r="2347">
      <c r="A2347" s="0" t="n">
        <v>209</v>
      </c>
      <c r="B2347" s="0" t="n">
        <v>5</v>
      </c>
      <c r="C2347" s="0" t="n">
        <v>5678125</v>
      </c>
      <c r="D2347" s="0" t="n">
        <v>16049481.21422187</v>
      </c>
      <c r="E2347" s="0" t="n">
        <v>4.922972683674911e-06</v>
      </c>
      <c r="F2347" s="0" t="n">
        <v>4.518202920192045e-06</v>
      </c>
      <c r="G2347" s="0" t="n">
        <v>4.04769763482866e-07</v>
      </c>
      <c r="H2347" s="0" t="b">
        <v>0</v>
      </c>
    </row>
    <row r="2348">
      <c r="A2348" s="0" t="n">
        <v>209</v>
      </c>
      <c r="B2348" s="0" t="n">
        <v>6</v>
      </c>
      <c r="C2348" s="0" t="n">
        <v>5492187.5</v>
      </c>
      <c r="D2348" s="0" t="n">
        <v>-1196656.025338342</v>
      </c>
      <c r="E2348" s="0" t="n">
        <v>4.475333052785794e-06</v>
      </c>
      <c r="F2348" s="0" t="n">
        <v>4.518202920192045e-06</v>
      </c>
      <c r="G2348" s="0" t="n">
        <v>-4.286986740625151e-08</v>
      </c>
      <c r="H2348" s="0" t="b">
        <v>1</v>
      </c>
    </row>
    <row r="2349">
      <c r="A2349" s="0" t="n">
        <v>209</v>
      </c>
      <c r="B2349" s="0" t="n">
        <v>7</v>
      </c>
      <c r="C2349" s="0" t="n">
        <v>5585156.25</v>
      </c>
      <c r="D2349" s="0" t="n">
        <v>5970042.651721901</v>
      </c>
      <c r="E2349" s="0" t="n">
        <v>4.695954547813507e-06</v>
      </c>
      <c r="F2349" s="0" t="n">
        <v>4.518202920192045e-06</v>
      </c>
      <c r="G2349" s="0" t="n">
        <v>1.777516276214615e-07</v>
      </c>
      <c r="H2349" s="0" t="b">
        <v>0</v>
      </c>
    </row>
    <row r="2350">
      <c r="A2350" s="0" t="n">
        <v>209</v>
      </c>
      <c r="B2350" s="0" t="n">
        <v>8</v>
      </c>
      <c r="C2350" s="0" t="n">
        <v>5538671.875</v>
      </c>
      <c r="D2350" s="0" t="n">
        <v>2045466.48370897</v>
      </c>
      <c r="E2350" s="0" t="n">
        <v>4.584833562620734e-06</v>
      </c>
      <c r="F2350" s="0" t="n">
        <v>4.518202920192045e-06</v>
      </c>
      <c r="G2350" s="0" t="n">
        <v>6.663064242868878e-08</v>
      </c>
      <c r="H2350" s="0" t="b">
        <v>0</v>
      </c>
    </row>
    <row r="2351">
      <c r="A2351" s="0" t="n">
        <v>209</v>
      </c>
      <c r="B2351" s="0" t="n">
        <v>9</v>
      </c>
      <c r="C2351" s="0" t="n">
        <v>5561914.0625</v>
      </c>
      <c r="D2351" s="0" t="n">
        <v>3919523.924007467</v>
      </c>
      <c r="E2351" s="0" t="n">
        <v>4.64019262990536e-06</v>
      </c>
      <c r="F2351" s="0" t="n">
        <v>4.518202920192045e-06</v>
      </c>
      <c r="G2351" s="0" t="n">
        <v>1.219897097133149e-07</v>
      </c>
      <c r="H2351" s="0" t="b">
        <v>0</v>
      </c>
    </row>
    <row r="2352">
      <c r="A2352" s="0" t="n">
        <v>209</v>
      </c>
      <c r="B2352" s="0" t="n">
        <v>10</v>
      </c>
      <c r="C2352" s="0" t="n">
        <v>5573535.15625</v>
      </c>
      <c r="D2352" s="0" t="n">
        <v>4922359.181635944</v>
      </c>
      <c r="E2352" s="0" t="n">
        <v>4.668023215422782e-06</v>
      </c>
      <c r="F2352" s="0" t="n">
        <v>4.518202920192045e-06</v>
      </c>
      <c r="G2352" s="0" t="n">
        <v>1.498202952307371e-07</v>
      </c>
      <c r="H2352" s="0" t="b">
        <v>0</v>
      </c>
    </row>
    <row r="2353">
      <c r="A2353" s="0" t="n">
        <v>209</v>
      </c>
      <c r="B2353" s="0" t="n">
        <v>11</v>
      </c>
      <c r="C2353" s="0" t="n">
        <v>5579345.703125</v>
      </c>
      <c r="D2353" s="0" t="n">
        <v>5440554.53657373</v>
      </c>
      <c r="E2353" s="0" t="n">
        <v>4.681976426090216e-06</v>
      </c>
      <c r="F2353" s="0" t="n">
        <v>4.518202920192045e-06</v>
      </c>
      <c r="G2353" s="0" t="n">
        <v>1.637735058981708e-07</v>
      </c>
      <c r="H2353" s="0" t="b">
        <v>0</v>
      </c>
    </row>
    <row r="2354">
      <c r="A2354" s="0" t="n">
        <v>209</v>
      </c>
      <c r="B2354" s="0" t="n">
        <v>12</v>
      </c>
      <c r="C2354" s="0" t="n">
        <v>5582250.9765625</v>
      </c>
      <c r="D2354" s="0" t="n">
        <v>5703874.590969064</v>
      </c>
      <c r="E2354" s="0" t="n">
        <v>4.688962194363642e-06</v>
      </c>
      <c r="F2354" s="0" t="n">
        <v>4.518202920192045e-06</v>
      </c>
      <c r="G2354" s="0" t="n">
        <v>1.707592741715974e-07</v>
      </c>
      <c r="H2354" s="0" t="b">
        <v>0</v>
      </c>
    </row>
    <row r="2355">
      <c r="A2355" s="0" t="n">
        <v>209</v>
      </c>
      <c r="B2355" s="0" t="n">
        <v>13</v>
      </c>
      <c r="C2355" s="0" t="n">
        <v>5580798.33984375</v>
      </c>
      <c r="D2355" s="0" t="n">
        <v>5571857.771557517</v>
      </c>
      <c r="E2355" s="0" t="n">
        <v>4.685468446739608e-06</v>
      </c>
      <c r="F2355" s="0" t="n">
        <v>4.518202920192045e-06</v>
      </c>
      <c r="G2355" s="0" t="n">
        <v>1.672655265475633e-07</v>
      </c>
      <c r="H2355" s="0" t="b">
        <v>0</v>
      </c>
    </row>
    <row r="2356">
      <c r="A2356" s="0" t="n">
        <v>210</v>
      </c>
      <c r="B2356" s="0" t="n">
        <v>1</v>
      </c>
      <c r="C2356" s="0" t="n">
        <v>6050000</v>
      </c>
      <c r="D2356" s="0" t="n">
        <v>33257903309.81234</v>
      </c>
      <c r="E2356" s="0" t="n">
        <v>5.946058352191605e-05</v>
      </c>
      <c r="F2356" s="0" t="n">
        <v>4.518202920192042e-06</v>
      </c>
      <c r="G2356" s="0" t="n">
        <v>5.4942380601724e-05</v>
      </c>
      <c r="H2356" s="0" t="b">
        <v>0</v>
      </c>
    </row>
    <row r="2357">
      <c r="A2357" s="0" t="n">
        <v>210</v>
      </c>
      <c r="B2357" s="0" t="n">
        <v>2</v>
      </c>
      <c r="C2357" s="0" t="n">
        <v>3075000</v>
      </c>
      <c r="D2357" s="0" t="n">
        <v>2240874.90016681</v>
      </c>
      <c r="E2357" s="0" t="n">
        <v>4.590833629434168e-06</v>
      </c>
      <c r="F2357" s="0" t="n">
        <v>4.518202920192045e-06</v>
      </c>
      <c r="G2357" s="0" t="n">
        <v>7.263070924212295e-08</v>
      </c>
      <c r="H2357" s="0" t="b">
        <v>0</v>
      </c>
    </row>
    <row r="2358">
      <c r="A2358" s="0" t="n">
        <v>210</v>
      </c>
      <c r="B2358" s="0" t="n">
        <v>3</v>
      </c>
      <c r="C2358" s="0" t="n">
        <v>4562500</v>
      </c>
      <c r="D2358" s="0" t="n">
        <v>3712004786.004229</v>
      </c>
      <c r="E2358" s="0" t="n">
        <v>1.605431710778406e-05</v>
      </c>
      <c r="F2358" s="0" t="n">
        <v>4.518202920192046e-06</v>
      </c>
      <c r="G2358" s="0" t="n">
        <v>1.153611418759201e-05</v>
      </c>
      <c r="H2358" s="0" t="b">
        <v>0</v>
      </c>
    </row>
    <row r="2359">
      <c r="A2359" s="0" t="n">
        <v>210</v>
      </c>
      <c r="B2359" s="0" t="n">
        <v>4</v>
      </c>
      <c r="C2359" s="0" t="n">
        <v>3818750</v>
      </c>
      <c r="D2359" s="0" t="n">
        <v>589033708.1918361</v>
      </c>
      <c r="E2359" s="0" t="n">
        <v>8.560867540881146e-06</v>
      </c>
      <c r="F2359" s="0" t="n">
        <v>4.518202920192045e-06</v>
      </c>
      <c r="G2359" s="0" t="n">
        <v>4.042664620689101e-06</v>
      </c>
      <c r="H2359" s="0" t="b">
        <v>0</v>
      </c>
    </row>
    <row r="2360">
      <c r="A2360" s="0" t="n">
        <v>210</v>
      </c>
      <c r="B2360" s="0" t="n">
        <v>5</v>
      </c>
      <c r="C2360" s="0" t="n">
        <v>3446875</v>
      </c>
      <c r="D2360" s="0" t="n">
        <v>156675516.0537888</v>
      </c>
      <c r="E2360" s="0" t="n">
        <v>6.416644206450711e-06</v>
      </c>
      <c r="F2360" s="0" t="n">
        <v>4.518202920192045e-06</v>
      </c>
      <c r="G2360" s="0" t="n">
        <v>1.898441286258666e-06</v>
      </c>
      <c r="H2360" s="0" t="b">
        <v>0</v>
      </c>
    </row>
    <row r="2361">
      <c r="A2361" s="0" t="n">
        <v>210</v>
      </c>
      <c r="B2361" s="0" t="n">
        <v>6</v>
      </c>
      <c r="C2361" s="0" t="n">
        <v>3260937.5</v>
      </c>
      <c r="D2361" s="0" t="n">
        <v>51475208.67629974</v>
      </c>
      <c r="E2361" s="0" t="n">
        <v>5.460171980022098e-06</v>
      </c>
      <c r="F2361" s="0" t="n">
        <v>4.518202920192045e-06</v>
      </c>
      <c r="G2361" s="0" t="n">
        <v>9.419690598300526e-07</v>
      </c>
      <c r="H2361" s="0" t="b">
        <v>0</v>
      </c>
    </row>
    <row r="2362">
      <c r="A2362" s="0" t="n">
        <v>210</v>
      </c>
      <c r="B2362" s="0" t="n">
        <v>7</v>
      </c>
      <c r="C2362" s="0" t="n">
        <v>3167968.75</v>
      </c>
      <c r="D2362" s="0" t="n">
        <v>20902884.7487284</v>
      </c>
      <c r="E2362" s="0" t="n">
        <v>5.014218303565066e-06</v>
      </c>
      <c r="F2362" s="0" t="n">
        <v>4.518202920192045e-06</v>
      </c>
      <c r="G2362" s="0" t="n">
        <v>4.96015383373021e-07</v>
      </c>
      <c r="H2362" s="0" t="b">
        <v>0</v>
      </c>
    </row>
    <row r="2363">
      <c r="A2363" s="0" t="n">
        <v>210</v>
      </c>
      <c r="B2363" s="0" t="n">
        <v>8</v>
      </c>
      <c r="C2363" s="0" t="n">
        <v>3121484.375</v>
      </c>
      <c r="D2363" s="0" t="n">
        <v>10228525.04970458</v>
      </c>
      <c r="E2363" s="0" t="n">
        <v>4.799723454107185e-06</v>
      </c>
      <c r="F2363" s="0" t="n">
        <v>4.518202920192045e-06</v>
      </c>
      <c r="G2363" s="0" t="n">
        <v>2.815205339151399e-07</v>
      </c>
      <c r="H2363" s="0" t="b">
        <v>0</v>
      </c>
    </row>
    <row r="2364">
      <c r="A2364" s="0" t="n">
        <v>210</v>
      </c>
      <c r="B2364" s="0" t="n">
        <v>9</v>
      </c>
      <c r="C2364" s="0" t="n">
        <v>3098242.1875</v>
      </c>
      <c r="D2364" s="0" t="n">
        <v>5916551.831666055</v>
      </c>
      <c r="E2364" s="0" t="n">
        <v>4.694554795733652e-06</v>
      </c>
      <c r="F2364" s="0" t="n">
        <v>4.518202920192045e-06</v>
      </c>
      <c r="G2364" s="0" t="n">
        <v>1.76351875541607e-07</v>
      </c>
      <c r="H2364" s="0" t="b">
        <v>0</v>
      </c>
    </row>
    <row r="2365">
      <c r="A2365" s="0" t="n">
        <v>210</v>
      </c>
      <c r="B2365" s="0" t="n">
        <v>10</v>
      </c>
      <c r="C2365" s="0" t="n">
        <v>3086621.09375</v>
      </c>
      <c r="D2365" s="0" t="n">
        <v>4001483.516912655</v>
      </c>
      <c r="E2365" s="0" t="n">
        <v>4.642510400781548e-06</v>
      </c>
      <c r="F2365" s="0" t="n">
        <v>4.518202920192045e-06</v>
      </c>
      <c r="G2365" s="0" t="n">
        <v>1.243074805895026e-07</v>
      </c>
      <c r="H2365" s="0" t="b">
        <v>0</v>
      </c>
    </row>
    <row r="2366">
      <c r="A2366" s="0" t="n">
        <v>210</v>
      </c>
      <c r="B2366" s="0" t="n">
        <v>11</v>
      </c>
      <c r="C2366" s="0" t="n">
        <v>3080810.546875</v>
      </c>
      <c r="D2366" s="0" t="n">
        <v>3102173.433762408</v>
      </c>
      <c r="E2366" s="0" t="n">
        <v>4.616625922874725e-06</v>
      </c>
      <c r="F2366" s="0" t="n">
        <v>4.518202920192045e-06</v>
      </c>
      <c r="G2366" s="0" t="n">
        <v>9.842300268267974e-08</v>
      </c>
      <c r="H2366" s="0" t="b">
        <v>0</v>
      </c>
    </row>
    <row r="2367">
      <c r="A2367" s="0" t="n">
        <v>211</v>
      </c>
      <c r="B2367" s="0" t="n">
        <v>1</v>
      </c>
      <c r="C2367" s="0" t="n">
        <v>6050000</v>
      </c>
      <c r="D2367" s="0" t="n">
        <v>1178726342.557137</v>
      </c>
      <c r="E2367" s="0" t="n">
        <v>1.035747257707847e-05</v>
      </c>
      <c r="F2367" s="0" t="n">
        <v>4.482042916919645e-06</v>
      </c>
      <c r="G2367" s="0" t="n">
        <v>5.875429660158829e-06</v>
      </c>
      <c r="H2367" s="0" t="b">
        <v>0</v>
      </c>
    </row>
    <row r="2368">
      <c r="A2368" s="0" t="n">
        <v>211</v>
      </c>
      <c r="B2368" s="0" t="n">
        <v>2</v>
      </c>
      <c r="C2368" s="0" t="n">
        <v>3075000</v>
      </c>
      <c r="D2368" s="0" t="n">
        <v>-1762558.272877803</v>
      </c>
      <c r="E2368" s="0" t="n">
        <v>1.628482846750939e-06</v>
      </c>
      <c r="F2368" s="0" t="n">
        <v>4.482042916919645e-06</v>
      </c>
      <c r="G2368" s="0" t="n">
        <v>-2.853560070168706e-06</v>
      </c>
      <c r="H2368" s="0" t="b">
        <v>1</v>
      </c>
    </row>
    <row r="2369">
      <c r="A2369" s="0" t="n">
        <v>211</v>
      </c>
      <c r="B2369" s="0" t="n">
        <v>3</v>
      </c>
      <c r="C2369" s="0" t="n">
        <v>4562500</v>
      </c>
      <c r="D2369" s="0" t="n">
        <v>11221201.44029596</v>
      </c>
      <c r="E2369" s="0" t="n">
        <v>4.784638278917942e-06</v>
      </c>
      <c r="F2369" s="0" t="n">
        <v>4.482042916919645e-06</v>
      </c>
      <c r="G2369" s="0" t="n">
        <v>3.025953619982968e-07</v>
      </c>
      <c r="H2369" s="0" t="b">
        <v>0</v>
      </c>
    </row>
    <row r="2370">
      <c r="A2370" s="0" t="n">
        <v>211</v>
      </c>
      <c r="B2370" s="0" t="n">
        <v>4</v>
      </c>
      <c r="C2370" s="0" t="n">
        <v>3818750</v>
      </c>
      <c r="D2370" s="0" t="n">
        <v>-6498100.407064653</v>
      </c>
      <c r="E2370" s="0" t="n">
        <v>2.869196796006171e-06</v>
      </c>
      <c r="F2370" s="0" t="n">
        <v>4.482042916919645e-06</v>
      </c>
      <c r="G2370" s="0" t="n">
        <v>-1.612846120913473e-06</v>
      </c>
      <c r="H2370" s="0" t="b">
        <v>1</v>
      </c>
    </row>
    <row r="2371">
      <c r="A2371" s="0" t="n">
        <v>211</v>
      </c>
      <c r="B2371" s="0" t="n">
        <v>5</v>
      </c>
      <c r="C2371" s="0" t="n">
        <v>4190625</v>
      </c>
      <c r="D2371" s="0" t="n">
        <v>-9655692.527661718</v>
      </c>
      <c r="E2371" s="0" t="n">
        <v>3.739850536203948e-06</v>
      </c>
      <c r="F2371" s="0" t="n">
        <v>4.482042916919645e-06</v>
      </c>
      <c r="G2371" s="0" t="n">
        <v>-7.421923807156964e-07</v>
      </c>
      <c r="H2371" s="0" t="b">
        <v>1</v>
      </c>
    </row>
    <row r="2372">
      <c r="A2372" s="0" t="n">
        <v>211</v>
      </c>
      <c r="B2372" s="0" t="n">
        <v>6</v>
      </c>
      <c r="C2372" s="0" t="n">
        <v>4376562.5</v>
      </c>
      <c r="D2372" s="0" t="n">
        <v>-5549279.969772141</v>
      </c>
      <c r="E2372" s="0" t="n">
        <v>4.241393280636911e-06</v>
      </c>
      <c r="F2372" s="0" t="n">
        <v>4.482042916919645e-06</v>
      </c>
      <c r="G2372" s="0" t="n">
        <v>-2.406496362827336e-07</v>
      </c>
      <c r="H2372" s="0" t="b">
        <v>1</v>
      </c>
    </row>
    <row r="2373">
      <c r="A2373" s="0" t="n">
        <v>211</v>
      </c>
      <c r="B2373" s="0" t="n">
        <v>7</v>
      </c>
      <c r="C2373" s="0" t="n">
        <v>4469531.25</v>
      </c>
      <c r="D2373" s="0" t="n">
        <v>769126.6096469685</v>
      </c>
      <c r="E2373" s="0" t="n">
        <v>4.507905668280132e-06</v>
      </c>
      <c r="F2373" s="0" t="n">
        <v>4.482042916919645e-06</v>
      </c>
      <c r="G2373" s="0" t="n">
        <v>2.586275136048719e-08</v>
      </c>
      <c r="H2373" s="0" t="b">
        <v>0</v>
      </c>
    </row>
    <row r="2374">
      <c r="A2374" s="0" t="n">
        <v>211</v>
      </c>
      <c r="B2374" s="0" t="n">
        <v>8</v>
      </c>
      <c r="C2374" s="0" t="n">
        <v>4516015.625</v>
      </c>
      <c r="D2374" s="0" t="n">
        <v>5432165.638901686</v>
      </c>
      <c r="E2374" s="0" t="n">
        <v>4.645010826677496e-06</v>
      </c>
      <c r="F2374" s="0" t="n">
        <v>4.482042916919645e-06</v>
      </c>
      <c r="G2374" s="0" t="n">
        <v>1.629679097578517e-07</v>
      </c>
      <c r="H2374" s="0" t="b">
        <v>0</v>
      </c>
    </row>
    <row r="2375">
      <c r="A2375" s="0" t="n">
        <v>211</v>
      </c>
      <c r="B2375" s="0" t="n">
        <v>9</v>
      </c>
      <c r="C2375" s="0" t="n">
        <v>4492773.4375</v>
      </c>
      <c r="D2375" s="0" t="n">
        <v>2965554.157784172</v>
      </c>
      <c r="E2375" s="0" t="n">
        <v>4.576140906391931e-06</v>
      </c>
      <c r="F2375" s="0" t="n">
        <v>4.482042916919645e-06</v>
      </c>
      <c r="G2375" s="0" t="n">
        <v>9.409798947228597e-08</v>
      </c>
      <c r="H2375" s="0" t="b">
        <v>0</v>
      </c>
    </row>
    <row r="2376">
      <c r="A2376" s="0" t="n">
        <v>211</v>
      </c>
      <c r="B2376" s="0" t="n">
        <v>10</v>
      </c>
      <c r="C2376" s="0" t="n">
        <v>4504394.53125</v>
      </c>
      <c r="D2376" s="0" t="n">
        <v>4164377.413078716</v>
      </c>
      <c r="E2376" s="0" t="n">
        <v>4.610496948746263e-06</v>
      </c>
      <c r="F2376" s="0" t="n">
        <v>4.482042916919645e-06</v>
      </c>
      <c r="G2376" s="0" t="n">
        <v>1.284540318266181e-07</v>
      </c>
      <c r="H2376" s="0" t="b">
        <v>0</v>
      </c>
    </row>
    <row r="2377">
      <c r="A2377" s="0" t="n">
        <v>211</v>
      </c>
      <c r="B2377" s="0" t="n">
        <v>11</v>
      </c>
      <c r="C2377" s="0" t="n">
        <v>4510205.078125</v>
      </c>
      <c r="D2377" s="0" t="n">
        <v>4789557.731867239</v>
      </c>
      <c r="E2377" s="0" t="n">
        <v>4.627734065615684e-06</v>
      </c>
      <c r="F2377" s="0" t="n">
        <v>4.482042916919645e-06</v>
      </c>
      <c r="G2377" s="0" t="n">
        <v>1.45691148696039e-07</v>
      </c>
      <c r="H2377" s="0" t="b">
        <v>0</v>
      </c>
    </row>
    <row r="2378">
      <c r="A2378" s="0" t="n">
        <v>211</v>
      </c>
      <c r="B2378" s="0" t="n">
        <v>12</v>
      </c>
      <c r="C2378" s="0" t="n">
        <v>4507299.8046875</v>
      </c>
      <c r="D2378" s="0" t="n">
        <v>4474804.000333364</v>
      </c>
      <c r="E2378" s="0" t="n">
        <v>4.619110652165609e-06</v>
      </c>
      <c r="F2378" s="0" t="n">
        <v>4.482042916919645e-06</v>
      </c>
      <c r="G2378" s="0" t="n">
        <v>1.370677352459643e-07</v>
      </c>
      <c r="H2378" s="0" t="b">
        <v>0</v>
      </c>
    </row>
    <row r="2379">
      <c r="A2379" s="0" t="n">
        <v>212</v>
      </c>
      <c r="B2379" s="0" t="n">
        <v>1</v>
      </c>
      <c r="C2379" s="0" t="n">
        <v>6050000</v>
      </c>
      <c r="D2379" s="0" t="n">
        <v>1137856624.744467</v>
      </c>
      <c r="E2379" s="0" t="n">
        <v>1.008954658157329e-05</v>
      </c>
      <c r="F2379" s="0" t="n">
        <v>4.411083909332042e-06</v>
      </c>
      <c r="G2379" s="0" t="n">
        <v>5.678462672241243e-06</v>
      </c>
      <c r="H2379" s="0" t="b">
        <v>0</v>
      </c>
    </row>
    <row r="2380">
      <c r="A2380" s="0" t="n">
        <v>212</v>
      </c>
      <c r="B2380" s="0" t="n">
        <v>2</v>
      </c>
      <c r="C2380" s="0" t="n">
        <v>3075000</v>
      </c>
      <c r="D2380" s="0" t="n">
        <v>-1714606.389574348</v>
      </c>
      <c r="E2380" s="0" t="n">
        <v>1.57858863056653e-06</v>
      </c>
      <c r="F2380" s="0" t="n">
        <v>4.411083909332042e-06</v>
      </c>
      <c r="G2380" s="0" t="n">
        <v>-2.832495278765512e-06</v>
      </c>
      <c r="H2380" s="0" t="b">
        <v>1</v>
      </c>
    </row>
    <row r="2381">
      <c r="A2381" s="0" t="n">
        <v>212</v>
      </c>
      <c r="B2381" s="0" t="n">
        <v>3</v>
      </c>
      <c r="C2381" s="0" t="n">
        <v>4562500</v>
      </c>
      <c r="D2381" s="0" t="n">
        <v>8374365.257835744</v>
      </c>
      <c r="E2381" s="0" t="n">
        <v>4.646405085662686e-06</v>
      </c>
      <c r="F2381" s="0" t="n">
        <v>4.411083909332042e-06</v>
      </c>
      <c r="G2381" s="0" t="n">
        <v>2.353211763306442e-07</v>
      </c>
      <c r="H2381" s="0" t="b">
        <v>0</v>
      </c>
    </row>
    <row r="2382">
      <c r="A2382" s="0" t="n">
        <v>212</v>
      </c>
      <c r="B2382" s="0" t="n">
        <v>4</v>
      </c>
      <c r="C2382" s="0" t="n">
        <v>3818750</v>
      </c>
      <c r="D2382" s="0" t="n">
        <v>-6251797.027170756</v>
      </c>
      <c r="E2382" s="0" t="n">
        <v>2.787799596797314e-06</v>
      </c>
      <c r="F2382" s="0" t="n">
        <v>4.411083909332042e-06</v>
      </c>
      <c r="G2382" s="0" t="n">
        <v>-1.623284312534728e-06</v>
      </c>
      <c r="H2382" s="0" t="b">
        <v>1</v>
      </c>
    </row>
    <row r="2383">
      <c r="A2383" s="0" t="n">
        <v>212</v>
      </c>
      <c r="B2383" s="0" t="n">
        <v>5</v>
      </c>
      <c r="C2383" s="0" t="n">
        <v>4190625</v>
      </c>
      <c r="D2383" s="0" t="n">
        <v>-9586200.155687749</v>
      </c>
      <c r="E2383" s="0" t="n">
        <v>3.631339059640595e-06</v>
      </c>
      <c r="F2383" s="0" t="n">
        <v>4.411083909332042e-06</v>
      </c>
      <c r="G2383" s="0" t="n">
        <v>-7.797448496914473e-07</v>
      </c>
      <c r="H2383" s="0" t="b">
        <v>1</v>
      </c>
    </row>
    <row r="2384">
      <c r="A2384" s="0" t="n">
        <v>212</v>
      </c>
      <c r="B2384" s="0" t="n">
        <v>6</v>
      </c>
      <c r="C2384" s="0" t="n">
        <v>4376562.5</v>
      </c>
      <c r="D2384" s="0" t="n">
        <v>-6382872.435976757</v>
      </c>
      <c r="E2384" s="0" t="n">
        <v>4.118294307896594e-06</v>
      </c>
      <c r="F2384" s="0" t="n">
        <v>4.411083909332042e-06</v>
      </c>
      <c r="G2384" s="0" t="n">
        <v>-2.927896014354485e-07</v>
      </c>
      <c r="H2384" s="0" t="b">
        <v>1</v>
      </c>
    </row>
    <row r="2385">
      <c r="A2385" s="0" t="n">
        <v>212</v>
      </c>
      <c r="B2385" s="0" t="n">
        <v>7</v>
      </c>
      <c r="C2385" s="0" t="n">
        <v>4469531.25</v>
      </c>
      <c r="D2385" s="0" t="n">
        <v>-956798.591386172</v>
      </c>
      <c r="E2385" s="0" t="n">
        <v>4.377312349717655e-06</v>
      </c>
      <c r="F2385" s="0" t="n">
        <v>4.411083909332042e-06</v>
      </c>
      <c r="G2385" s="0" t="n">
        <v>-3.377155961438715e-08</v>
      </c>
      <c r="H2385" s="0" t="b">
        <v>1</v>
      </c>
    </row>
    <row r="2386">
      <c r="A2386" s="0" t="n">
        <v>212</v>
      </c>
      <c r="B2386" s="0" t="n">
        <v>8</v>
      </c>
      <c r="C2386" s="0" t="n">
        <v>4516015.625</v>
      </c>
      <c r="D2386" s="0" t="n">
        <v>3172714.035142977</v>
      </c>
      <c r="E2386" s="0" t="n">
        <v>4.510612494133521e-06</v>
      </c>
      <c r="F2386" s="0" t="n">
        <v>4.411083909332042e-06</v>
      </c>
      <c r="G2386" s="0" t="n">
        <v>9.952858480147951e-08</v>
      </c>
      <c r="H2386" s="0" t="b">
        <v>0</v>
      </c>
    </row>
    <row r="2387">
      <c r="A2387" s="0" t="n">
        <v>212</v>
      </c>
      <c r="B2387" s="0" t="n">
        <v>9</v>
      </c>
      <c r="C2387" s="0" t="n">
        <v>4539257.8125</v>
      </c>
      <c r="D2387" s="0" t="n">
        <v>5633849.833890524</v>
      </c>
      <c r="E2387" s="0" t="n">
        <v>4.578199276494555e-06</v>
      </c>
      <c r="F2387" s="0" t="n">
        <v>4.411083909332042e-06</v>
      </c>
      <c r="G2387" s="0" t="n">
        <v>1.671153671625134e-07</v>
      </c>
      <c r="H2387" s="0" t="b">
        <v>0</v>
      </c>
    </row>
    <row r="2388">
      <c r="A2388" s="0" t="n">
        <v>212</v>
      </c>
      <c r="B2388" s="0" t="n">
        <v>10</v>
      </c>
      <c r="C2388" s="0" t="n">
        <v>4527636.71875</v>
      </c>
      <c r="D2388" s="0" t="n">
        <v>4369054.22640567</v>
      </c>
      <c r="E2388" s="0" t="n">
        <v>4.544328074018905e-06</v>
      </c>
      <c r="F2388" s="0" t="n">
        <v>4.411083909332042e-06</v>
      </c>
      <c r="G2388" s="0" t="n">
        <v>1.332441646868628e-07</v>
      </c>
      <c r="H2388" s="0" t="b">
        <v>0</v>
      </c>
    </row>
    <row r="2389">
      <c r="A2389" s="0" t="n">
        <v>212</v>
      </c>
      <c r="B2389" s="0" t="n">
        <v>11</v>
      </c>
      <c r="C2389" s="0" t="n">
        <v>4533447.265625</v>
      </c>
      <c r="D2389" s="0" t="n">
        <v>4992811.374135976</v>
      </c>
      <c r="E2389" s="0" t="n">
        <v>4.561244375930446e-06</v>
      </c>
      <c r="F2389" s="0" t="n">
        <v>4.411083909332042e-06</v>
      </c>
      <c r="G2389" s="0" t="n">
        <v>1.501604665984036e-07</v>
      </c>
      <c r="H2389" s="0" t="b">
        <v>0</v>
      </c>
    </row>
    <row r="2390">
      <c r="A2390" s="0" t="n">
        <v>212</v>
      </c>
      <c r="B2390" s="0" t="n">
        <v>12</v>
      </c>
      <c r="C2390" s="0" t="n">
        <v>4530541.9921875</v>
      </c>
      <c r="D2390" s="0" t="n">
        <v>4678779.813445058</v>
      </c>
      <c r="E2390" s="0" t="n">
        <v>4.552781293547458e-06</v>
      </c>
      <c r="F2390" s="0" t="n">
        <v>4.411083909332042e-06</v>
      </c>
      <c r="G2390" s="0" t="n">
        <v>1.416973842154162e-07</v>
      </c>
      <c r="H2390" s="0" t="b">
        <v>0</v>
      </c>
    </row>
    <row r="2391">
      <c r="A2391" s="0" t="n">
        <v>212</v>
      </c>
      <c r="B2391" s="0" t="n">
        <v>13</v>
      </c>
      <c r="C2391" s="0" t="n">
        <v>4529089.35546875</v>
      </c>
      <c r="D2391" s="0" t="n">
        <v>4523380.918183074</v>
      </c>
      <c r="E2391" s="0" t="n">
        <v>4.548553471013985e-06</v>
      </c>
      <c r="F2391" s="0" t="n">
        <v>4.411083909332042e-06</v>
      </c>
      <c r="G2391" s="0" t="n">
        <v>1.374695616819428e-07</v>
      </c>
      <c r="H2391" s="0" t="b">
        <v>0</v>
      </c>
    </row>
    <row r="2392">
      <c r="A2392" s="0" t="n">
        <v>213</v>
      </c>
      <c r="B2392" s="0" t="n">
        <v>1</v>
      </c>
      <c r="C2392" s="0" t="n">
        <v>6050000</v>
      </c>
      <c r="D2392" s="0" t="n">
        <v>15062411299.74534</v>
      </c>
      <c r="E2392" s="0" t="n">
        <v>2.384968857735104e-05</v>
      </c>
      <c r="F2392" s="0" t="n">
        <v>3.188142521260751e-06</v>
      </c>
      <c r="G2392" s="0" t="n">
        <v>2.066154605609029e-05</v>
      </c>
      <c r="H2392" s="0" t="b">
        <v>0</v>
      </c>
    </row>
    <row r="2393">
      <c r="A2393" s="0" t="n">
        <v>213</v>
      </c>
      <c r="B2393" s="0" t="n">
        <v>2</v>
      </c>
      <c r="C2393" s="0" t="n">
        <v>3075000</v>
      </c>
      <c r="D2393" s="0" t="n">
        <v>-6945150.412098614</v>
      </c>
      <c r="E2393" s="0" t="n">
        <v>2.304588596305963e-06</v>
      </c>
      <c r="F2393" s="0" t="n">
        <v>3.188142521260751e-06</v>
      </c>
      <c r="G2393" s="0" t="n">
        <v>-8.835539249547874e-07</v>
      </c>
      <c r="H2393" s="0" t="b">
        <v>1</v>
      </c>
    </row>
    <row r="2394">
      <c r="A2394" s="0" t="n">
        <v>213</v>
      </c>
      <c r="B2394" s="0" t="n">
        <v>3</v>
      </c>
      <c r="C2394" s="0" t="n">
        <v>4562500</v>
      </c>
      <c r="D2394" s="0" t="n">
        <v>1092385517.373347</v>
      </c>
      <c r="E2394" s="0" t="n">
        <v>7.312545548888389e-06</v>
      </c>
      <c r="F2394" s="0" t="n">
        <v>3.18814252126075e-06</v>
      </c>
      <c r="G2394" s="0" t="n">
        <v>4.124403027627639e-06</v>
      </c>
      <c r="H2394" s="0" t="b">
        <v>0</v>
      </c>
    </row>
    <row r="2395">
      <c r="A2395" s="0" t="n">
        <v>213</v>
      </c>
      <c r="B2395" s="0" t="n">
        <v>4</v>
      </c>
      <c r="C2395" s="0" t="n">
        <v>3818750</v>
      </c>
      <c r="D2395" s="0" t="n">
        <v>111369131.6730405</v>
      </c>
      <c r="E2395" s="0" t="n">
        <v>4.376430031387509e-06</v>
      </c>
      <c r="F2395" s="0" t="n">
        <v>3.188142521260751e-06</v>
      </c>
      <c r="G2395" s="0" t="n">
        <v>1.188287510126759e-06</v>
      </c>
      <c r="H2395" s="0" t="b">
        <v>0</v>
      </c>
    </row>
    <row r="2396">
      <c r="A2396" s="0" t="n">
        <v>213</v>
      </c>
      <c r="B2396" s="0" t="n">
        <v>5</v>
      </c>
      <c r="C2396" s="0" t="n">
        <v>3446875</v>
      </c>
      <c r="D2396" s="0" t="n">
        <v>1060770.160484524</v>
      </c>
      <c r="E2396" s="0" t="n">
        <v>3.220166135502188e-06</v>
      </c>
      <c r="F2396" s="0" t="n">
        <v>3.188142521260751e-06</v>
      </c>
      <c r="G2396" s="0" t="n">
        <v>3.202361424143718e-08</v>
      </c>
      <c r="H2396" s="0" t="b">
        <v>0</v>
      </c>
    </row>
    <row r="2397">
      <c r="A2397" s="0" t="n">
        <v>213</v>
      </c>
      <c r="B2397" s="0" t="n">
        <v>6</v>
      </c>
      <c r="C2397" s="0" t="n">
        <v>3632812.5</v>
      </c>
      <c r="D2397" s="0" t="n">
        <v>35040122.40386755</v>
      </c>
      <c r="E2397" s="0" t="n">
        <v>3.76948282532036e-06</v>
      </c>
      <c r="F2397" s="0" t="n">
        <v>3.188142521260751e-06</v>
      </c>
      <c r="G2397" s="0" t="n">
        <v>5.813403040596094e-07</v>
      </c>
      <c r="H2397" s="0" t="b">
        <v>0</v>
      </c>
    </row>
    <row r="2398">
      <c r="A2398" s="0" t="n">
        <v>213</v>
      </c>
      <c r="B2398" s="0" t="n">
        <v>7</v>
      </c>
      <c r="C2398" s="0" t="n">
        <v>3539843.75</v>
      </c>
      <c r="D2398" s="0" t="n">
        <v>13708487.94117462</v>
      </c>
      <c r="E2398" s="0" t="n">
        <v>3.487475226793837e-06</v>
      </c>
      <c r="F2398" s="0" t="n">
        <v>3.188142521260751e-06</v>
      </c>
      <c r="G2398" s="0" t="n">
        <v>2.993327055330867e-07</v>
      </c>
      <c r="H2398" s="0" t="b">
        <v>0</v>
      </c>
    </row>
    <row r="2399">
      <c r="A2399" s="0" t="n">
        <v>213</v>
      </c>
      <c r="B2399" s="0" t="n">
        <v>8</v>
      </c>
      <c r="C2399" s="0" t="n">
        <v>3493359.375</v>
      </c>
      <c r="D2399" s="0" t="n">
        <v>6421463.959144346</v>
      </c>
      <c r="E2399" s="0" t="n">
        <v>3.35194279064437e-06</v>
      </c>
      <c r="F2399" s="0" t="n">
        <v>3.188142521260751e-06</v>
      </c>
      <c r="G2399" s="0" t="n">
        <v>1.638002693836192e-07</v>
      </c>
      <c r="H2399" s="0" t="b">
        <v>0</v>
      </c>
    </row>
    <row r="2400">
      <c r="A2400" s="0" t="n">
        <v>213</v>
      </c>
      <c r="B2400" s="0" t="n">
        <v>9</v>
      </c>
      <c r="C2400" s="0" t="n">
        <v>3470117.1875</v>
      </c>
      <c r="D2400" s="0" t="n">
        <v>3515615.964237408</v>
      </c>
      <c r="E2400" s="0" t="n">
        <v>3.285582662514032e-06</v>
      </c>
      <c r="F2400" s="0" t="n">
        <v>3.188142521260751e-06</v>
      </c>
      <c r="G2400" s="0" t="n">
        <v>9.744014125328142e-08</v>
      </c>
      <c r="H2400" s="0" t="b">
        <v>0</v>
      </c>
    </row>
    <row r="2401">
      <c r="A2401" s="0" t="n">
        <v>213</v>
      </c>
      <c r="B2401" s="0" t="n">
        <v>10</v>
      </c>
      <c r="C2401" s="0" t="n">
        <v>3458496.09375</v>
      </c>
      <c r="D2401" s="0" t="n">
        <v>2233238.436080686</v>
      </c>
      <c r="E2401" s="0" t="n">
        <v>3.252756178912487e-06</v>
      </c>
      <c r="F2401" s="0" t="n">
        <v>3.188142521260751e-06</v>
      </c>
      <c r="G2401" s="0" t="n">
        <v>6.461365765173603e-08</v>
      </c>
      <c r="H2401" s="0" t="b">
        <v>0</v>
      </c>
    </row>
    <row r="2402">
      <c r="A2402" s="0" t="n">
        <v>213</v>
      </c>
      <c r="B2402" s="0" t="n">
        <v>11</v>
      </c>
      <c r="C2402" s="0" t="n">
        <v>3464306.640625</v>
      </c>
      <c r="D2402" s="0" t="n">
        <v>2860625.634928794</v>
      </c>
      <c r="E2402" s="0" t="n">
        <v>3.269139770522936e-06</v>
      </c>
      <c r="F2402" s="0" t="n">
        <v>3.188142521260751e-06</v>
      </c>
      <c r="G2402" s="0" t="n">
        <v>8.099724926218531e-08</v>
      </c>
      <c r="H2402" s="0" t="b">
        <v>0</v>
      </c>
    </row>
    <row r="2403">
      <c r="A2403" s="0" t="n">
        <v>213</v>
      </c>
      <c r="B2403" s="0" t="n">
        <v>12</v>
      </c>
      <c r="C2403" s="0" t="n">
        <v>3467211.9140625</v>
      </c>
      <c r="D2403" s="0" t="n">
        <v>3184637.84204217</v>
      </c>
      <c r="E2403" s="0" t="n">
        <v>3.277353776694033e-06</v>
      </c>
      <c r="F2403" s="0" t="n">
        <v>3.188142521260751e-06</v>
      </c>
      <c r="G2403" s="0" t="n">
        <v>8.921125543328212e-08</v>
      </c>
      <c r="H2403" s="0" t="b">
        <v>0</v>
      </c>
    </row>
    <row r="2404">
      <c r="A2404" s="0" t="n">
        <v>213</v>
      </c>
      <c r="B2404" s="0" t="n">
        <v>13</v>
      </c>
      <c r="C2404" s="0" t="n">
        <v>3468664.55078125</v>
      </c>
      <c r="D2404" s="0" t="n">
        <v>3349255.400713798</v>
      </c>
      <c r="E2404" s="0" t="n">
        <v>3.281466438674219e-06</v>
      </c>
      <c r="F2404" s="0" t="n">
        <v>3.188142521260751e-06</v>
      </c>
      <c r="G2404" s="0" t="n">
        <v>9.33239174134684e-08</v>
      </c>
      <c r="H2404" s="0" t="b">
        <v>0</v>
      </c>
    </row>
    <row r="2405">
      <c r="A2405" s="0" t="n">
        <v>213</v>
      </c>
      <c r="B2405" s="0" t="n">
        <v>14</v>
      </c>
      <c r="C2405" s="0" t="n">
        <v>3469864.55078125</v>
      </c>
      <c r="D2405" s="0" t="n">
        <v>3486557.298055551</v>
      </c>
      <c r="E2405" s="0" t="n">
        <v>3.284866520639209e-06</v>
      </c>
      <c r="F2405" s="0" t="n">
        <v>3.188142521260751e-06</v>
      </c>
      <c r="G2405" s="0" t="n">
        <v>9.672399937845833e-08</v>
      </c>
      <c r="H2405" s="0" t="b">
        <v>0</v>
      </c>
    </row>
    <row r="2406">
      <c r="A2406" s="0" t="n">
        <v>214</v>
      </c>
      <c r="B2406" s="0" t="n">
        <v>1</v>
      </c>
      <c r="C2406" s="0" t="n">
        <v>6050000</v>
      </c>
      <c r="D2406" s="0" t="n">
        <v>8701115093.188225</v>
      </c>
      <c r="E2406" s="0" t="n">
        <v>1.649004022884703e-05</v>
      </c>
      <c r="F2406" s="0" t="n">
        <v>3.066163864476319e-06</v>
      </c>
      <c r="G2406" s="0" t="n">
        <v>1.342387636437072e-05</v>
      </c>
      <c r="H2406" s="0" t="b">
        <v>0</v>
      </c>
    </row>
    <row r="2407">
      <c r="A2407" s="0" t="n">
        <v>214</v>
      </c>
      <c r="B2407" s="0" t="n">
        <v>2</v>
      </c>
      <c r="C2407" s="0" t="n">
        <v>3075000</v>
      </c>
      <c r="D2407" s="0" t="n">
        <v>-4923188.849867291</v>
      </c>
      <c r="E2407" s="0" t="n">
        <v>1.873041726464273e-06</v>
      </c>
      <c r="F2407" s="0" t="n">
        <v>3.066163864476318e-06</v>
      </c>
      <c r="G2407" s="0" t="n">
        <v>-1.193122138012045e-06</v>
      </c>
      <c r="H2407" s="0" t="b">
        <v>1</v>
      </c>
    </row>
    <row r="2408">
      <c r="A2408" s="0" t="n">
        <v>214</v>
      </c>
      <c r="B2408" s="0" t="n">
        <v>3</v>
      </c>
      <c r="C2408" s="0" t="n">
        <v>4562500</v>
      </c>
      <c r="D2408" s="0" t="n">
        <v>573042164.3622957</v>
      </c>
      <c r="E2408" s="0" t="n">
        <v>5.899329780100969e-06</v>
      </c>
      <c r="F2408" s="0" t="n">
        <v>3.066163864476318e-06</v>
      </c>
      <c r="G2408" s="0" t="n">
        <v>2.833165915624651e-06</v>
      </c>
      <c r="H2408" s="0" t="b">
        <v>0</v>
      </c>
    </row>
    <row r="2409">
      <c r="A2409" s="0" t="n">
        <v>214</v>
      </c>
      <c r="B2409" s="0" t="n">
        <v>4</v>
      </c>
      <c r="C2409" s="0" t="n">
        <v>3818750</v>
      </c>
      <c r="D2409" s="0" t="n">
        <v>22910066.93558928</v>
      </c>
      <c r="E2409" s="0" t="n">
        <v>3.492091497929019e-06</v>
      </c>
      <c r="F2409" s="0" t="n">
        <v>3.066163864476318e-06</v>
      </c>
      <c r="G2409" s="0" t="n">
        <v>4.259276334527012e-07</v>
      </c>
      <c r="H2409" s="0" t="b">
        <v>0</v>
      </c>
    </row>
    <row r="2410">
      <c r="A2410" s="0" t="n">
        <v>214</v>
      </c>
      <c r="B2410" s="0" t="n">
        <v>5</v>
      </c>
      <c r="C2410" s="0" t="n">
        <v>3446875</v>
      </c>
      <c r="D2410" s="0" t="n">
        <v>-7376955.769993208</v>
      </c>
      <c r="E2410" s="0" t="n">
        <v>2.576594403751409e-06</v>
      </c>
      <c r="F2410" s="0" t="n">
        <v>3.066163864476318e-06</v>
      </c>
      <c r="G2410" s="0" t="n">
        <v>-4.895694607249095e-07</v>
      </c>
      <c r="H2410" s="0" t="b">
        <v>1</v>
      </c>
    </row>
    <row r="2411">
      <c r="A2411" s="0" t="n">
        <v>214</v>
      </c>
      <c r="B2411" s="0" t="n">
        <v>6</v>
      </c>
      <c r="C2411" s="0" t="n">
        <v>3632812.5</v>
      </c>
      <c r="D2411" s="0" t="n">
        <v>-1698253.605246055</v>
      </c>
      <c r="E2411" s="0" t="n">
        <v>3.008491644535598e-06</v>
      </c>
      <c r="F2411" s="0" t="n">
        <v>3.066163864476318e-06</v>
      </c>
      <c r="G2411" s="0" t="n">
        <v>-5.767221994071989e-08</v>
      </c>
      <c r="H2411" s="0" t="b">
        <v>1</v>
      </c>
    </row>
    <row r="2412">
      <c r="A2412" s="0" t="n">
        <v>214</v>
      </c>
      <c r="B2412" s="0" t="n">
        <v>7</v>
      </c>
      <c r="C2412" s="0" t="n">
        <v>3725781.25</v>
      </c>
      <c r="D2412" s="0" t="n">
        <v>7217428.499114363</v>
      </c>
      <c r="E2412" s="0" t="n">
        <v>3.243918346118387e-06</v>
      </c>
      <c r="F2412" s="0" t="n">
        <v>3.066163864476318e-06</v>
      </c>
      <c r="G2412" s="0" t="n">
        <v>1.777544816420689e-07</v>
      </c>
      <c r="H2412" s="0" t="b">
        <v>0</v>
      </c>
    </row>
    <row r="2413">
      <c r="A2413" s="0" t="n">
        <v>214</v>
      </c>
      <c r="B2413" s="0" t="n">
        <v>8</v>
      </c>
      <c r="C2413" s="0" t="n">
        <v>3679296.875</v>
      </c>
      <c r="D2413" s="0" t="n">
        <v>2027798.248115854</v>
      </c>
      <c r="E2413" s="0" t="n">
        <v>3.124607992503332e-06</v>
      </c>
      <c r="F2413" s="0" t="n">
        <v>3.066163864476318e-06</v>
      </c>
      <c r="G2413" s="0" t="n">
        <v>5.844412802701414e-08</v>
      </c>
      <c r="H2413" s="0" t="b">
        <v>0</v>
      </c>
    </row>
    <row r="2414">
      <c r="A2414" s="0" t="n">
        <v>214</v>
      </c>
      <c r="B2414" s="0" t="n">
        <v>9</v>
      </c>
      <c r="C2414" s="0" t="n">
        <v>3702539.0625</v>
      </c>
      <c r="D2414" s="0" t="n">
        <v>4421737.241989132</v>
      </c>
      <c r="E2414" s="0" t="n">
        <v>3.183861977455327e-06</v>
      </c>
      <c r="F2414" s="0" t="n">
        <v>3.066163864476318e-06</v>
      </c>
      <c r="G2414" s="0" t="n">
        <v>1.176981129790084e-07</v>
      </c>
      <c r="H2414" s="0" t="b">
        <v>0</v>
      </c>
    </row>
    <row r="2415">
      <c r="A2415" s="0" t="n">
        <v>214</v>
      </c>
      <c r="B2415" s="0" t="n">
        <v>10</v>
      </c>
      <c r="C2415" s="0" t="n">
        <v>3690917.96875</v>
      </c>
      <c r="D2415" s="0" t="n">
        <v>3175046.514137177</v>
      </c>
      <c r="E2415" s="0" t="n">
        <v>3.154134565874961e-06</v>
      </c>
      <c r="F2415" s="0" t="n">
        <v>3.066163864476318e-06</v>
      </c>
      <c r="G2415" s="0" t="n">
        <v>8.79707013986431e-08</v>
      </c>
      <c r="H2415" s="0" t="b">
        <v>0</v>
      </c>
    </row>
    <row r="2416">
      <c r="A2416" s="0" t="n">
        <v>214</v>
      </c>
      <c r="B2416" s="0" t="n">
        <v>11</v>
      </c>
      <c r="C2416" s="0" t="n">
        <v>3696728.515625</v>
      </c>
      <c r="D2416" s="0" t="n">
        <v>3786142.284064797</v>
      </c>
      <c r="E2416" s="0" t="n">
        <v>3.168973230036519e-06</v>
      </c>
      <c r="F2416" s="0" t="n">
        <v>3.066163864476318e-06</v>
      </c>
      <c r="G2416" s="0" t="n">
        <v>1.028093655602006e-07</v>
      </c>
      <c r="H2416" s="0" t="b">
        <v>0</v>
      </c>
    </row>
    <row r="2417">
      <c r="A2417" s="0" t="n">
        <v>214</v>
      </c>
      <c r="B2417" s="0" t="n">
        <v>12</v>
      </c>
      <c r="C2417" s="0" t="n">
        <v>3693823.2421875</v>
      </c>
      <c r="D2417" s="0" t="n">
        <v>3477557.183577</v>
      </c>
      <c r="E2417" s="0" t="n">
        <v>3.161547619260125e-06</v>
      </c>
      <c r="F2417" s="0" t="n">
        <v>3.066163864476318e-06</v>
      </c>
      <c r="G2417" s="0" t="n">
        <v>9.538375478380671e-08</v>
      </c>
      <c r="H2417" s="0" t="b">
        <v>0</v>
      </c>
    </row>
    <row r="2418">
      <c r="A2418" s="0" t="n">
        <v>214</v>
      </c>
      <c r="B2418" s="0" t="n">
        <v>13</v>
      </c>
      <c r="C2418" s="0" t="n">
        <v>3695275.87890625</v>
      </c>
      <c r="D2418" s="0" t="n">
        <v>3631087.200261813</v>
      </c>
      <c r="E2418" s="0" t="n">
        <v>3.165258855409486e-06</v>
      </c>
      <c r="F2418" s="0" t="n">
        <v>3.066163864476318e-06</v>
      </c>
      <c r="G2418" s="0" t="n">
        <v>9.909499093316801e-08</v>
      </c>
      <c r="H2418" s="0" t="b">
        <v>0</v>
      </c>
    </row>
    <row r="2419">
      <c r="A2419" s="0" t="n">
        <v>214</v>
      </c>
      <c r="B2419" s="0" t="n">
        <v>14</v>
      </c>
      <c r="C2419" s="0" t="n">
        <v>3696475.87890625</v>
      </c>
      <c r="D2419" s="0" t="n">
        <v>3759065.894389999</v>
      </c>
      <c r="E2419" s="0" t="n">
        <v>3.168327015570554e-06</v>
      </c>
      <c r="F2419" s="0" t="n">
        <v>3.066163864476318e-06</v>
      </c>
      <c r="G2419" s="0" t="n">
        <v>1.021631510942357e-07</v>
      </c>
      <c r="H2419" s="0" t="b">
        <v>0</v>
      </c>
    </row>
    <row r="2420">
      <c r="A2420" s="0" t="n">
        <v>214</v>
      </c>
      <c r="B2420" s="0" t="n">
        <v>15</v>
      </c>
      <c r="C2420" s="0" t="n">
        <v>3695875.87890625</v>
      </c>
      <c r="D2420" s="0" t="n">
        <v>3694946.228750229</v>
      </c>
      <c r="E2420" s="0" t="n">
        <v>3.166792667802716e-06</v>
      </c>
      <c r="F2420" s="0" t="n">
        <v>3.066163864476318e-06</v>
      </c>
      <c r="G2420" s="0" t="n">
        <v>1.006288033263981e-07</v>
      </c>
      <c r="H2420" s="0" t="b">
        <v>0</v>
      </c>
    </row>
    <row r="2421">
      <c r="A2421" s="0" t="n">
        <v>215</v>
      </c>
      <c r="B2421" s="0" t="n">
        <v>1</v>
      </c>
      <c r="C2421" s="0" t="n">
        <v>6050000</v>
      </c>
      <c r="D2421" s="0" t="n">
        <v>7514135386.206185</v>
      </c>
      <c r="E2421" s="0" t="n">
        <v>1.496227301625304e-05</v>
      </c>
      <c r="F2421" s="0" t="n">
        <v>3.027135379741642e-06</v>
      </c>
      <c r="G2421" s="0" t="n">
        <v>1.19351376365114e-05</v>
      </c>
      <c r="H2421" s="0" t="b">
        <v>0</v>
      </c>
    </row>
    <row r="2422">
      <c r="A2422" s="0" t="n">
        <v>215</v>
      </c>
      <c r="B2422" s="0" t="n">
        <v>2</v>
      </c>
      <c r="C2422" s="0" t="n">
        <v>3075000</v>
      </c>
      <c r="D2422" s="0" t="n">
        <v>-4503424.198423521</v>
      </c>
      <c r="E2422" s="0" t="n">
        <v>1.779087250524329e-06</v>
      </c>
      <c r="F2422" s="0" t="n">
        <v>3.027135379741643e-06</v>
      </c>
      <c r="G2422" s="0" t="n">
        <v>-1.248048129217313e-06</v>
      </c>
      <c r="H2422" s="0" t="b">
        <v>1</v>
      </c>
    </row>
    <row r="2423">
      <c r="A2423" s="0" t="n">
        <v>215</v>
      </c>
      <c r="B2423" s="0" t="n">
        <v>3</v>
      </c>
      <c r="C2423" s="0" t="n">
        <v>4562500</v>
      </c>
      <c r="D2423" s="0" t="n">
        <v>479041368.1919362</v>
      </c>
      <c r="E2423" s="0" t="n">
        <v>5.575348806234731e-06</v>
      </c>
      <c r="F2423" s="0" t="n">
        <v>3.027135379741643e-06</v>
      </c>
      <c r="G2423" s="0" t="n">
        <v>2.548213426493088e-06</v>
      </c>
      <c r="H2423" s="0" t="b">
        <v>0</v>
      </c>
    </row>
    <row r="2424">
      <c r="A2424" s="0" t="n">
        <v>215</v>
      </c>
      <c r="B2424" s="0" t="n">
        <v>4</v>
      </c>
      <c r="C2424" s="0" t="n">
        <v>3818750</v>
      </c>
      <c r="D2424" s="0" t="n">
        <v>12157049.53684346</v>
      </c>
      <c r="E2424" s="0" t="n">
        <v>3.293929694460559e-06</v>
      </c>
      <c r="F2424" s="0" t="n">
        <v>3.027135379741643e-06</v>
      </c>
      <c r="G2424" s="0" t="n">
        <v>2.667943147189159e-07</v>
      </c>
      <c r="H2424" s="0" t="b">
        <v>0</v>
      </c>
    </row>
    <row r="2425">
      <c r="A2425" s="0" t="n">
        <v>215</v>
      </c>
      <c r="B2425" s="0" t="n">
        <v>5</v>
      </c>
      <c r="C2425" s="0" t="n">
        <v>3446875</v>
      </c>
      <c r="D2425" s="0" t="n">
        <v>-7435572.20047081</v>
      </c>
      <c r="E2425" s="0" t="n">
        <v>2.434377614500019e-06</v>
      </c>
      <c r="F2425" s="0" t="n">
        <v>3.027135379741643e-06</v>
      </c>
      <c r="G2425" s="0" t="n">
        <v>-5.927577652416234e-07</v>
      </c>
      <c r="H2425" s="0" t="b">
        <v>1</v>
      </c>
    </row>
    <row r="2426">
      <c r="A2426" s="0" t="n">
        <v>215</v>
      </c>
      <c r="B2426" s="0" t="n">
        <v>6</v>
      </c>
      <c r="C2426" s="0" t="n">
        <v>3632812.5</v>
      </c>
      <c r="D2426" s="0" t="n">
        <v>-4568078.778983396</v>
      </c>
      <c r="E2426" s="0" t="n">
        <v>2.839038995805191e-06</v>
      </c>
      <c r="F2426" s="0" t="n">
        <v>3.027135379741643e-06</v>
      </c>
      <c r="G2426" s="0" t="n">
        <v>-1.880963839364517e-07</v>
      </c>
      <c r="H2426" s="0" t="b">
        <v>1</v>
      </c>
    </row>
    <row r="2427">
      <c r="A2427" s="0" t="n">
        <v>215</v>
      </c>
      <c r="B2427" s="0" t="n">
        <v>7</v>
      </c>
      <c r="C2427" s="0" t="n">
        <v>3725781.25</v>
      </c>
      <c r="D2427" s="0" t="n">
        <v>1116351.128824826</v>
      </c>
      <c r="E2427" s="0" t="n">
        <v>3.060352868551276e-06</v>
      </c>
      <c r="F2427" s="0" t="n">
        <v>3.027135379741643e-06</v>
      </c>
      <c r="G2427" s="0" t="n">
        <v>3.321748880963334e-08</v>
      </c>
      <c r="H2427" s="0" t="b">
        <v>0</v>
      </c>
    </row>
    <row r="2428">
      <c r="A2428" s="0" t="n">
        <v>215</v>
      </c>
      <c r="B2428" s="0" t="n">
        <v>8</v>
      </c>
      <c r="C2428" s="0" t="n">
        <v>3772265.625</v>
      </c>
      <c r="D2428" s="0" t="n">
        <v>5838954.719442097</v>
      </c>
      <c r="E2428" s="0" t="n">
        <v>3.175612088115445e-06</v>
      </c>
      <c r="F2428" s="0" t="n">
        <v>3.027135379741643e-06</v>
      </c>
      <c r="G2428" s="0" t="n">
        <v>1.484767083738017e-07</v>
      </c>
      <c r="H2428" s="0" t="b">
        <v>0</v>
      </c>
    </row>
    <row r="2429">
      <c r="A2429" s="0" t="n">
        <v>215</v>
      </c>
      <c r="B2429" s="0" t="n">
        <v>9</v>
      </c>
      <c r="C2429" s="0" t="n">
        <v>3749023.4375</v>
      </c>
      <c r="D2429" s="0" t="n">
        <v>3293950.071948091</v>
      </c>
      <c r="E2429" s="0" t="n">
        <v>3.11760416402837e-06</v>
      </c>
      <c r="F2429" s="0" t="n">
        <v>3.027135379741643e-06</v>
      </c>
      <c r="G2429" s="0" t="n">
        <v>9.046878428672751e-08</v>
      </c>
      <c r="H2429" s="0" t="b">
        <v>0</v>
      </c>
    </row>
    <row r="2430">
      <c r="A2430" s="0" t="n">
        <v>215</v>
      </c>
      <c r="B2430" s="0" t="n">
        <v>10</v>
      </c>
      <c r="C2430" s="0" t="n">
        <v>3760644.53125</v>
      </c>
      <c r="D2430" s="0" t="n">
        <v>4516189.215596152</v>
      </c>
      <c r="E2430" s="0" t="n">
        <v>3.146511960770205e-06</v>
      </c>
      <c r="F2430" s="0" t="n">
        <v>3.027135379741643e-06</v>
      </c>
      <c r="G2430" s="0" t="n">
        <v>1.193765810285617e-07</v>
      </c>
      <c r="H2430" s="0" t="b">
        <v>0</v>
      </c>
    </row>
    <row r="2431">
      <c r="A2431" s="0" t="n">
        <v>215</v>
      </c>
      <c r="B2431" s="0" t="n">
        <v>11</v>
      </c>
      <c r="C2431" s="0" t="n">
        <v>3754833.984375</v>
      </c>
      <c r="D2431" s="0" t="n">
        <v>3891152.322626268</v>
      </c>
      <c r="E2431" s="0" t="n">
        <v>3.132033926691583e-06</v>
      </c>
      <c r="F2431" s="0" t="n">
        <v>3.027135379741643e-06</v>
      </c>
      <c r="G2431" s="0" t="n">
        <v>1.048985469499403e-07</v>
      </c>
      <c r="H2431" s="0" t="b">
        <v>0</v>
      </c>
    </row>
    <row r="2432">
      <c r="A2432" s="0" t="n">
        <v>215</v>
      </c>
      <c r="B2432" s="0" t="n">
        <v>12</v>
      </c>
      <c r="C2432" s="0" t="n">
        <v>3751928.7109375</v>
      </c>
      <c r="D2432" s="0" t="n">
        <v>3587555.959937201</v>
      </c>
      <c r="E2432" s="0" t="n">
        <v>3.124813133986609e-06</v>
      </c>
      <c r="F2432" s="0" t="n">
        <v>3.027135379741643e-06</v>
      </c>
      <c r="G2432" s="0" t="n">
        <v>9.767775424496565e-08</v>
      </c>
      <c r="H2432" s="0" t="b">
        <v>0</v>
      </c>
    </row>
    <row r="2433">
      <c r="A2433" s="0" t="n">
        <v>215</v>
      </c>
      <c r="B2433" s="0" t="n">
        <v>13</v>
      </c>
      <c r="C2433" s="0" t="n">
        <v>3753381.34765625</v>
      </c>
      <c r="D2433" s="0" t="n">
        <v>3738613.945628809</v>
      </c>
      <c r="E2433" s="0" t="n">
        <v>3.128421966787275e-06</v>
      </c>
      <c r="F2433" s="0" t="n">
        <v>3.027135379741643e-06</v>
      </c>
      <c r="G2433" s="0" t="n">
        <v>1.012865870456317e-07</v>
      </c>
      <c r="H2433" s="0" t="b">
        <v>0</v>
      </c>
    </row>
    <row r="2434">
      <c r="A2434" s="0" t="n">
        <v>216</v>
      </c>
      <c r="B2434" s="0" t="n">
        <v>1</v>
      </c>
      <c r="C2434" s="0" t="n">
        <v>6050000</v>
      </c>
      <c r="D2434" s="0" t="n">
        <v>6329055954.422534</v>
      </c>
      <c r="E2434" s="0" t="n">
        <v>1.351527721558901e-05</v>
      </c>
      <c r="F2434" s="0" t="n">
        <v>3.007914367342506e-06</v>
      </c>
      <c r="G2434" s="0" t="n">
        <v>1.05073628482465e-05</v>
      </c>
      <c r="H2434" s="0" t="b">
        <v>0</v>
      </c>
    </row>
    <row r="2435">
      <c r="A2435" s="0" t="n">
        <v>216</v>
      </c>
      <c r="B2435" s="0" t="n">
        <v>2</v>
      </c>
      <c r="C2435" s="0" t="n">
        <v>3075000</v>
      </c>
      <c r="D2435" s="0" t="n">
        <v>-4090442.543770358</v>
      </c>
      <c r="E2435" s="0" t="n">
        <v>1.693606122805313e-06</v>
      </c>
      <c r="F2435" s="0" t="n">
        <v>3.007914367342505e-06</v>
      </c>
      <c r="G2435" s="0" t="n">
        <v>-1.314308244537192e-06</v>
      </c>
      <c r="H2435" s="0" t="b">
        <v>1</v>
      </c>
    </row>
    <row r="2436">
      <c r="A2436" s="0" t="n">
        <v>216</v>
      </c>
      <c r="B2436" s="0" t="n">
        <v>3</v>
      </c>
      <c r="C2436" s="0" t="n">
        <v>4562500</v>
      </c>
      <c r="D2436" s="0" t="n">
        <v>386446880.9640346</v>
      </c>
      <c r="E2436" s="0" t="n">
        <v>5.268606605591518e-06</v>
      </c>
      <c r="F2436" s="0" t="n">
        <v>3.007914367342505e-06</v>
      </c>
      <c r="G2436" s="0" t="n">
        <v>2.260692238249013e-06</v>
      </c>
      <c r="H2436" s="0" t="b">
        <v>0</v>
      </c>
    </row>
    <row r="2437">
      <c r="A2437" s="0" t="n">
        <v>216</v>
      </c>
      <c r="B2437" s="0" t="n">
        <v>4</v>
      </c>
      <c r="C2437" s="0" t="n">
        <v>3818750</v>
      </c>
      <c r="D2437" s="0" t="n">
        <v>3722255.115479109</v>
      </c>
      <c r="E2437" s="0" t="n">
        <v>3.108622368150707e-06</v>
      </c>
      <c r="F2437" s="0" t="n">
        <v>3.007914367342505e-06</v>
      </c>
      <c r="G2437" s="0" t="n">
        <v>1.007080008082019e-07</v>
      </c>
      <c r="H2437" s="0" t="b">
        <v>0</v>
      </c>
    </row>
    <row r="2438">
      <c r="A2438" s="0" t="n">
        <v>216</v>
      </c>
      <c r="B2438" s="0" t="n">
        <v>5</v>
      </c>
      <c r="C2438" s="0" t="n">
        <v>4190625</v>
      </c>
      <c r="D2438" s="0" t="n">
        <v>104062394.9551144</v>
      </c>
      <c r="E2438" s="0" t="n">
        <v>4.102687339527542e-06</v>
      </c>
      <c r="F2438" s="0" t="n">
        <v>3.007914367342505e-06</v>
      </c>
      <c r="G2438" s="0" t="n">
        <v>1.094772972185037e-06</v>
      </c>
      <c r="H2438" s="0" t="b">
        <v>0</v>
      </c>
    </row>
    <row r="2439">
      <c r="A2439" s="0" t="n">
        <v>216</v>
      </c>
      <c r="B2439" s="0" t="n">
        <v>6</v>
      </c>
      <c r="C2439" s="0" t="n">
        <v>4004687.5</v>
      </c>
      <c r="D2439" s="0" t="n">
        <v>36370737.57496998</v>
      </c>
      <c r="E2439" s="0" t="n">
        <v>3.583049563738368e-06</v>
      </c>
      <c r="F2439" s="0" t="n">
        <v>3.007914367342505e-06</v>
      </c>
      <c r="G2439" s="0" t="n">
        <v>5.751351963958625e-07</v>
      </c>
      <c r="H2439" s="0" t="b">
        <v>0</v>
      </c>
    </row>
    <row r="2440">
      <c r="A2440" s="0" t="n">
        <v>216</v>
      </c>
      <c r="B2440" s="0" t="n">
        <v>7</v>
      </c>
      <c r="C2440" s="0" t="n">
        <v>3911718.75</v>
      </c>
      <c r="D2440" s="0" t="n">
        <v>16385736.45040748</v>
      </c>
      <c r="E2440" s="0" t="n">
        <v>3.340069336522455e-06</v>
      </c>
      <c r="F2440" s="0" t="n">
        <v>3.007914367342505e-06</v>
      </c>
      <c r="G2440" s="0" t="n">
        <v>3.3215496917995e-07</v>
      </c>
      <c r="H2440" s="0" t="b">
        <v>0</v>
      </c>
    </row>
    <row r="2441">
      <c r="A2441" s="0" t="n">
        <v>216</v>
      </c>
      <c r="B2441" s="0" t="n">
        <v>8</v>
      </c>
      <c r="C2441" s="0" t="n">
        <v>3865234.375</v>
      </c>
      <c r="D2441" s="0" t="n">
        <v>9231326.519715436</v>
      </c>
      <c r="E2441" s="0" t="n">
        <v>3.222877909350914e-06</v>
      </c>
      <c r="F2441" s="0" t="n">
        <v>3.007914367342505e-06</v>
      </c>
      <c r="G2441" s="0" t="n">
        <v>2.149635420084091e-07</v>
      </c>
      <c r="H2441" s="0" t="b">
        <v>0</v>
      </c>
    </row>
    <row r="2442">
      <c r="A2442" s="0" t="n">
        <v>216</v>
      </c>
      <c r="B2442" s="0" t="n">
        <v>9</v>
      </c>
      <c r="C2442" s="0" t="n">
        <v>3841992.1875</v>
      </c>
      <c r="D2442" s="0" t="n">
        <v>6283003.592849765</v>
      </c>
      <c r="E2442" s="0" t="n">
        <v>3.165381496734896e-06</v>
      </c>
      <c r="F2442" s="0" t="n">
        <v>3.007914367342505e-06</v>
      </c>
      <c r="G2442" s="0" t="n">
        <v>1.574671293923908e-07</v>
      </c>
      <c r="H2442" s="0" t="b">
        <v>0</v>
      </c>
    </row>
    <row r="2443">
      <c r="A2443" s="0" t="n">
        <v>216</v>
      </c>
      <c r="B2443" s="0" t="n">
        <v>10</v>
      </c>
      <c r="C2443" s="0" t="n">
        <v>3830371.09375</v>
      </c>
      <c r="D2443" s="0" t="n">
        <v>4955671.829876011</v>
      </c>
      <c r="E2443" s="0" t="n">
        <v>3.136909475598904e-06</v>
      </c>
      <c r="F2443" s="0" t="n">
        <v>3.007914367342505e-06</v>
      </c>
      <c r="G2443" s="0" t="n">
        <v>1.289951082563986e-07</v>
      </c>
      <c r="H2443" s="0" t="b">
        <v>0</v>
      </c>
    </row>
    <row r="2444">
      <c r="A2444" s="0" t="n">
        <v>216</v>
      </c>
      <c r="B2444" s="0" t="n">
        <v>11</v>
      </c>
      <c r="C2444" s="0" t="n">
        <v>3824560.546875</v>
      </c>
      <c r="D2444" s="0" t="n">
        <v>4327412.99086733</v>
      </c>
      <c r="E2444" s="0" t="n">
        <v>3.122742819768379e-06</v>
      </c>
      <c r="F2444" s="0" t="n">
        <v>3.007914367342505e-06</v>
      </c>
      <c r="G2444" s="0" t="n">
        <v>1.148284524258738e-07</v>
      </c>
      <c r="H2444" s="0" t="b">
        <v>0</v>
      </c>
    </row>
    <row r="2445">
      <c r="A2445" s="0" t="n">
        <v>216</v>
      </c>
      <c r="B2445" s="0" t="n">
        <v>12</v>
      </c>
      <c r="C2445" s="0" t="n">
        <v>3821655.2734375</v>
      </c>
      <c r="D2445" s="0" t="n">
        <v>4021974.541878619</v>
      </c>
      <c r="E2445" s="0" t="n">
        <v>3.115676924854409e-06</v>
      </c>
      <c r="F2445" s="0" t="n">
        <v>3.007914367342505e-06</v>
      </c>
      <c r="G2445" s="0" t="n">
        <v>1.077625575119036e-07</v>
      </c>
      <c r="H2445" s="0" t="b">
        <v>0</v>
      </c>
    </row>
    <row r="2446">
      <c r="A2446" s="0" t="n">
        <v>216</v>
      </c>
      <c r="B2446" s="0" t="n">
        <v>13</v>
      </c>
      <c r="C2446" s="0" t="n">
        <v>3820202.63671875</v>
      </c>
      <c r="D2446" s="0" t="n">
        <v>3871404.04815557</v>
      </c>
      <c r="E2446" s="0" t="n">
        <v>3.112148257064027e-06</v>
      </c>
      <c r="F2446" s="0" t="n">
        <v>3.007914367342505e-06</v>
      </c>
      <c r="G2446" s="0" t="n">
        <v>1.042338897215215e-07</v>
      </c>
      <c r="H2446" s="0" t="b">
        <v>0</v>
      </c>
    </row>
    <row r="2447">
      <c r="A2447" s="0" t="n">
        <v>216</v>
      </c>
      <c r="B2447" s="0" t="n">
        <v>14</v>
      </c>
      <c r="C2447" s="0" t="n">
        <v>3819002.63671875</v>
      </c>
      <c r="D2447" s="0" t="n">
        <v>3748091.453862652</v>
      </c>
      <c r="E2447" s="0" t="n">
        <v>3.109235348997226e-06</v>
      </c>
      <c r="F2447" s="0" t="n">
        <v>3.007914367342505e-06</v>
      </c>
      <c r="G2447" s="0" t="n">
        <v>1.013209816547209e-07</v>
      </c>
      <c r="H2447" s="0" t="b">
        <v>0</v>
      </c>
    </row>
    <row r="2448">
      <c r="A2448" s="0" t="n">
        <v>216</v>
      </c>
      <c r="B2448" s="0" t="n">
        <v>15</v>
      </c>
      <c r="C2448" s="0" t="n">
        <v>3819602.63671875</v>
      </c>
      <c r="D2448" s="0" t="n">
        <v>3809628.678919585</v>
      </c>
      <c r="E2448" s="0" t="n">
        <v>3.110691612962195e-06</v>
      </c>
      <c r="F2448" s="0" t="n">
        <v>3.007914367342505e-06</v>
      </c>
      <c r="G2448" s="0" t="n">
        <v>1.027772456196898e-07</v>
      </c>
      <c r="H2448" s="0" t="b">
        <v>0</v>
      </c>
    </row>
    <row r="2449">
      <c r="A2449" s="0" t="n">
        <v>217</v>
      </c>
      <c r="B2449" s="0" t="n">
        <v>1</v>
      </c>
      <c r="C2449" s="0" t="n">
        <v>6050000</v>
      </c>
      <c r="D2449" s="0" t="n">
        <v>13490268696.24805</v>
      </c>
      <c r="E2449" s="0" t="n">
        <v>6.267894006631689e-05</v>
      </c>
      <c r="F2449" s="0" t="n">
        <v>7.799848836613823e-06</v>
      </c>
      <c r="G2449" s="0" t="n">
        <v>5.487909122970307e-05</v>
      </c>
      <c r="H2449" s="0" t="b">
        <v>0</v>
      </c>
    </row>
    <row r="2450">
      <c r="A2450" s="0" t="n">
        <v>217</v>
      </c>
      <c r="B2450" s="0" t="n">
        <v>2</v>
      </c>
      <c r="C2450" s="0" t="n">
        <v>3075000</v>
      </c>
      <c r="D2450" s="0" t="n">
        <v>-347325.7390058226</v>
      </c>
      <c r="E2450" s="0" t="n">
        <v>2.577481570899121e-07</v>
      </c>
      <c r="F2450" s="0" t="n">
        <v>7.799848836613821e-06</v>
      </c>
      <c r="G2450" s="0" t="n">
        <v>-7.542100679523909e-06</v>
      </c>
      <c r="H2450" s="0" t="b">
        <v>1</v>
      </c>
    </row>
    <row r="2451">
      <c r="A2451" s="0" t="n">
        <v>217</v>
      </c>
      <c r="B2451" s="0" t="n">
        <v>3</v>
      </c>
      <c r="C2451" s="0" t="n">
        <v>4562500</v>
      </c>
      <c r="D2451" s="0" t="n">
        <v>-14323451.10451845</v>
      </c>
      <c r="E2451" s="0" t="n">
        <v>6.332369230136699e-06</v>
      </c>
      <c r="F2451" s="0" t="n">
        <v>7.799848836613821e-06</v>
      </c>
      <c r="G2451" s="0" t="n">
        <v>-1.467479606477122e-06</v>
      </c>
      <c r="H2451" s="0" t="b">
        <v>1</v>
      </c>
    </row>
    <row r="2452">
      <c r="A2452" s="0" t="n">
        <v>217</v>
      </c>
      <c r="B2452" s="0" t="n">
        <v>4</v>
      </c>
      <c r="C2452" s="0" t="n">
        <v>5306250</v>
      </c>
      <c r="D2452" s="0" t="n">
        <v>631130239.8808087</v>
      </c>
      <c r="E2452" s="0" t="n">
        <v>1.470161003852932e-05</v>
      </c>
      <c r="F2452" s="0" t="n">
        <v>7.799848836613821e-06</v>
      </c>
      <c r="G2452" s="0" t="n">
        <v>6.901761201915501e-06</v>
      </c>
      <c r="H2452" s="0" t="b">
        <v>0</v>
      </c>
    </row>
    <row r="2453">
      <c r="A2453" s="0" t="n">
        <v>217</v>
      </c>
      <c r="B2453" s="0" t="n">
        <v>5</v>
      </c>
      <c r="C2453" s="0" t="n">
        <v>4934375</v>
      </c>
      <c r="D2453" s="0" t="n">
        <v>86243695.73149695</v>
      </c>
      <c r="E2453" s="0" t="n">
        <v>9.800901790727864e-06</v>
      </c>
      <c r="F2453" s="0" t="n">
        <v>7.799848836613821e-06</v>
      </c>
      <c r="G2453" s="0" t="n">
        <v>2.001052954114043e-06</v>
      </c>
      <c r="H2453" s="0" t="b">
        <v>0</v>
      </c>
    </row>
    <row r="2454">
      <c r="A2454" s="0" t="n">
        <v>217</v>
      </c>
      <c r="B2454" s="0" t="n">
        <v>6</v>
      </c>
      <c r="C2454" s="0" t="n">
        <v>4748437.5</v>
      </c>
      <c r="D2454" s="0" t="n">
        <v>2485193.220755195</v>
      </c>
      <c r="E2454" s="0" t="n">
        <v>7.903241159149059e-06</v>
      </c>
      <c r="F2454" s="0" t="n">
        <v>7.799848836613821e-06</v>
      </c>
      <c r="G2454" s="0" t="n">
        <v>1.03392322535238e-07</v>
      </c>
      <c r="H2454" s="0" t="b">
        <v>0</v>
      </c>
    </row>
    <row r="2455">
      <c r="A2455" s="0" t="n">
        <v>217</v>
      </c>
      <c r="B2455" s="0" t="n">
        <v>7</v>
      </c>
      <c r="C2455" s="0" t="n">
        <v>4841406.25</v>
      </c>
      <c r="D2455" s="0" t="n">
        <v>33363697.28270481</v>
      </c>
      <c r="E2455" s="0" t="n">
        <v>8.809215576608822e-06</v>
      </c>
      <c r="F2455" s="0" t="n">
        <v>7.799848836613821e-06</v>
      </c>
      <c r="G2455" s="0" t="n">
        <v>1.009366739995001e-06</v>
      </c>
      <c r="H2455" s="0" t="b">
        <v>0</v>
      </c>
    </row>
    <row r="2456">
      <c r="A2456" s="0" t="n">
        <v>217</v>
      </c>
      <c r="B2456" s="0" t="n">
        <v>8</v>
      </c>
      <c r="C2456" s="0" t="n">
        <v>4794921.875</v>
      </c>
      <c r="D2456" s="0" t="n">
        <v>15508508.27814435</v>
      </c>
      <c r="E2456" s="0" t="n">
        <v>8.345762673336119e-06</v>
      </c>
      <c r="F2456" s="0" t="n">
        <v>7.799848836613821e-06</v>
      </c>
      <c r="G2456" s="0" t="n">
        <v>5.45913836722298e-07</v>
      </c>
      <c r="H2456" s="0" t="b">
        <v>0</v>
      </c>
    </row>
    <row r="2457">
      <c r="A2457" s="0" t="n">
        <v>217</v>
      </c>
      <c r="B2457" s="0" t="n">
        <v>9</v>
      </c>
      <c r="C2457" s="0" t="n">
        <v>4771679.6875</v>
      </c>
      <c r="D2457" s="0" t="n">
        <v>8434277.758187974</v>
      </c>
      <c r="E2457" s="0" t="n">
        <v>8.121926183561881e-06</v>
      </c>
      <c r="F2457" s="0" t="n">
        <v>7.799848836613821e-06</v>
      </c>
      <c r="G2457" s="0" t="n">
        <v>3.220773469480599e-07</v>
      </c>
      <c r="H2457" s="0" t="b">
        <v>0</v>
      </c>
    </row>
    <row r="2458">
      <c r="A2458" s="0" t="n">
        <v>217</v>
      </c>
      <c r="B2458" s="0" t="n">
        <v>10</v>
      </c>
      <c r="C2458" s="0" t="n">
        <v>4760058.59375</v>
      </c>
      <c r="D2458" s="0" t="n">
        <v>5324012.172472385</v>
      </c>
      <c r="E2458" s="0" t="n">
        <v>8.011937379531271e-06</v>
      </c>
      <c r="F2458" s="0" t="n">
        <v>7.799848836613821e-06</v>
      </c>
      <c r="G2458" s="0" t="n">
        <v>2.120885429174495e-07</v>
      </c>
      <c r="H2458" s="0" t="b">
        <v>0</v>
      </c>
    </row>
    <row r="2459">
      <c r="A2459" s="0" t="n">
        <v>217</v>
      </c>
      <c r="B2459" s="0" t="n">
        <v>11</v>
      </c>
      <c r="C2459" s="0" t="n">
        <v>4754248.046875</v>
      </c>
      <c r="D2459" s="0" t="n">
        <v>3871312.646411095</v>
      </c>
      <c r="E2459" s="0" t="n">
        <v>7.957428240339838e-06</v>
      </c>
      <c r="F2459" s="0" t="n">
        <v>7.799848836613821e-06</v>
      </c>
      <c r="G2459" s="0" t="n">
        <v>1.575794037260173e-07</v>
      </c>
      <c r="H2459" s="0" t="b">
        <v>0</v>
      </c>
    </row>
    <row r="2460">
      <c r="A2460" s="0" t="n">
        <v>217</v>
      </c>
      <c r="B2460" s="0" t="n">
        <v>12</v>
      </c>
      <c r="C2460" s="0" t="n">
        <v>4757153.3203125</v>
      </c>
      <c r="D2460" s="0" t="n">
        <v>4589260.048430488</v>
      </c>
      <c r="E2460" s="0" t="n">
        <v>7.984642489749329e-06</v>
      </c>
      <c r="F2460" s="0" t="n">
        <v>7.799848836613821e-06</v>
      </c>
      <c r="G2460" s="0" t="n">
        <v>1.847936531355076e-07</v>
      </c>
      <c r="H2460" s="0" t="b">
        <v>0</v>
      </c>
    </row>
    <row r="2461">
      <c r="A2461" s="0" t="n">
        <v>217</v>
      </c>
      <c r="B2461" s="0" t="n">
        <v>13</v>
      </c>
      <c r="C2461" s="0" t="n">
        <v>4758605.95703125</v>
      </c>
      <c r="D2461" s="0" t="n">
        <v>4954533.460034057</v>
      </c>
      <c r="E2461" s="0" t="n">
        <v>7.998280141309093e-06</v>
      </c>
      <c r="F2461" s="0" t="n">
        <v>7.799848836613821e-06</v>
      </c>
      <c r="G2461" s="0" t="n">
        <v>1.984313046952723e-07</v>
      </c>
      <c r="H2461" s="0" t="b">
        <v>0</v>
      </c>
    </row>
    <row r="2462">
      <c r="A2462" s="0" t="n">
        <v>217</v>
      </c>
      <c r="B2462" s="0" t="n">
        <v>14</v>
      </c>
      <c r="C2462" s="0" t="n">
        <v>4758105.95703125</v>
      </c>
      <c r="D2462" s="0" t="n">
        <v>4828333.205386638</v>
      </c>
      <c r="E2462" s="0" t="n">
        <v>7.993583870113522e-06</v>
      </c>
      <c r="F2462" s="0" t="n">
        <v>7.799848836613821e-06</v>
      </c>
      <c r="G2462" s="0" t="n">
        <v>1.93735033499701e-07</v>
      </c>
      <c r="H2462" s="0" t="b">
        <v>0</v>
      </c>
    </row>
    <row r="2463">
      <c r="A2463" s="0" t="n">
        <v>217</v>
      </c>
      <c r="B2463" s="0" t="n">
        <v>15</v>
      </c>
      <c r="C2463" s="0" t="n">
        <v>4757505.95703125</v>
      </c>
      <c r="D2463" s="0" t="n">
        <v>4677551.719890891</v>
      </c>
      <c r="E2463" s="0" t="n">
        <v>7.987951492858024e-06</v>
      </c>
      <c r="F2463" s="0" t="n">
        <v>7.799848836613821e-06</v>
      </c>
      <c r="G2463" s="0" t="n">
        <v>1.881026562442032e-07</v>
      </c>
      <c r="H2463" s="0" t="b">
        <v>0</v>
      </c>
    </row>
    <row r="2464">
      <c r="A2464" s="0" t="n">
        <v>217</v>
      </c>
      <c r="B2464" s="0" t="n">
        <v>16</v>
      </c>
      <c r="C2464" s="0" t="n">
        <v>4757805.95703125</v>
      </c>
      <c r="D2464" s="0" t="n">
        <v>4752852.674009822</v>
      </c>
      <c r="E2464" s="0" t="n">
        <v>7.990767251217986e-06</v>
      </c>
      <c r="F2464" s="0" t="n">
        <v>7.799848836613821e-06</v>
      </c>
      <c r="G2464" s="0" t="n">
        <v>1.909184146041651e-07</v>
      </c>
      <c r="H2464" s="0" t="b">
        <v>0</v>
      </c>
    </row>
    <row r="2465">
      <c r="A2465" s="0" t="n">
        <v>218</v>
      </c>
      <c r="B2465" s="0" t="n">
        <v>1</v>
      </c>
      <c r="C2465" s="0" t="n">
        <v>6050000</v>
      </c>
      <c r="D2465" s="0" t="n">
        <v>8722414501.334923</v>
      </c>
      <c r="E2465" s="0" t="n">
        <v>4.608893402351253e-05</v>
      </c>
      <c r="F2465" s="0" t="n">
        <v>7.546703700965126e-06</v>
      </c>
      <c r="G2465" s="0" t="n">
        <v>3.854223032254741e-05</v>
      </c>
      <c r="H2465" s="0" t="b">
        <v>0</v>
      </c>
    </row>
    <row r="2466">
      <c r="A2466" s="0" t="n">
        <v>218</v>
      </c>
      <c r="B2466" s="0" t="n">
        <v>2</v>
      </c>
      <c r="C2466" s="0" t="n">
        <v>3075000</v>
      </c>
      <c r="D2466" s="0" t="n">
        <v>-300611.9981990486</v>
      </c>
      <c r="E2466" s="0" t="n">
        <v>-5.669402979599614e-08</v>
      </c>
      <c r="F2466" s="0" t="n">
        <v>7.546703700965127e-06</v>
      </c>
      <c r="G2466" s="0" t="n">
        <v>-7.603397730761123e-06</v>
      </c>
      <c r="H2466" s="0" t="b">
        <v>1</v>
      </c>
    </row>
    <row r="2467">
      <c r="A2467" s="0" t="n">
        <v>218</v>
      </c>
      <c r="B2467" s="0" t="n">
        <v>3</v>
      </c>
      <c r="C2467" s="0" t="n">
        <v>4562500</v>
      </c>
      <c r="D2467" s="0" t="n">
        <v>-11404926.54459994</v>
      </c>
      <c r="E2467" s="0" t="n">
        <v>5.410469965245181e-06</v>
      </c>
      <c r="F2467" s="0" t="n">
        <v>7.546703700965127e-06</v>
      </c>
      <c r="G2467" s="0" t="n">
        <v>-2.136233735719946e-06</v>
      </c>
      <c r="H2467" s="0" t="b">
        <v>1</v>
      </c>
    </row>
    <row r="2468">
      <c r="A2468" s="0" t="n">
        <v>218</v>
      </c>
      <c r="B2468" s="0" t="n">
        <v>4</v>
      </c>
      <c r="C2468" s="0" t="n">
        <v>5306250</v>
      </c>
      <c r="D2468" s="0" t="n">
        <v>379111410.774873</v>
      </c>
      <c r="E2468" s="0" t="n">
        <v>1.250702573742005e-05</v>
      </c>
      <c r="F2468" s="0" t="n">
        <v>7.546703700965127e-06</v>
      </c>
      <c r="G2468" s="0" t="n">
        <v>4.960322036454921e-06</v>
      </c>
      <c r="H2468" s="0" t="b">
        <v>0</v>
      </c>
    </row>
    <row r="2469">
      <c r="A2469" s="0" t="n">
        <v>218</v>
      </c>
      <c r="B2469" s="0" t="n">
        <v>5</v>
      </c>
      <c r="C2469" s="0" t="n">
        <v>4934375</v>
      </c>
      <c r="D2469" s="0" t="n">
        <v>24923955.24489633</v>
      </c>
      <c r="E2469" s="0" t="n">
        <v>8.33311384638813e-06</v>
      </c>
      <c r="F2469" s="0" t="n">
        <v>7.546703700965127e-06</v>
      </c>
      <c r="G2469" s="0" t="n">
        <v>7.864101454230037e-07</v>
      </c>
      <c r="H2469" s="0" t="b">
        <v>0</v>
      </c>
    </row>
    <row r="2470">
      <c r="A2470" s="0" t="n">
        <v>218</v>
      </c>
      <c r="B2470" s="0" t="n">
        <v>6</v>
      </c>
      <c r="C2470" s="0" t="n">
        <v>4748437.5</v>
      </c>
      <c r="D2470" s="0" t="n">
        <v>-12461151.94410993</v>
      </c>
      <c r="E2470" s="0" t="n">
        <v>6.729808994109945e-06</v>
      </c>
      <c r="F2470" s="0" t="n">
        <v>7.546703700965127e-06</v>
      </c>
      <c r="G2470" s="0" t="n">
        <v>-8.168947068551821e-07</v>
      </c>
      <c r="H2470" s="0" t="b">
        <v>1</v>
      </c>
    </row>
    <row r="2471">
      <c r="A2471" s="0" t="n">
        <v>218</v>
      </c>
      <c r="B2471" s="0" t="n">
        <v>7</v>
      </c>
      <c r="C2471" s="0" t="n">
        <v>4841406.25</v>
      </c>
      <c r="D2471" s="0" t="n">
        <v>-1202673.561235394</v>
      </c>
      <c r="E2471" s="0" t="n">
        <v>7.494119558130992e-06</v>
      </c>
      <c r="F2471" s="0" t="n">
        <v>7.546703700965127e-06</v>
      </c>
      <c r="G2471" s="0" t="n">
        <v>-5.258414283413475e-08</v>
      </c>
      <c r="H2471" s="0" t="b">
        <v>1</v>
      </c>
    </row>
    <row r="2472">
      <c r="A2472" s="0" t="n">
        <v>218</v>
      </c>
      <c r="B2472" s="0" t="n">
        <v>8</v>
      </c>
      <c r="C2472" s="0" t="n">
        <v>4887890.625</v>
      </c>
      <c r="D2472" s="0" t="n">
        <v>9699139.186205419</v>
      </c>
      <c r="E2472" s="0" t="n">
        <v>7.904053982818682e-06</v>
      </c>
      <c r="F2472" s="0" t="n">
        <v>7.546703700965127e-06</v>
      </c>
      <c r="G2472" s="0" t="n">
        <v>3.573502818535557e-07</v>
      </c>
      <c r="H2472" s="0" t="b">
        <v>0</v>
      </c>
    </row>
    <row r="2473">
      <c r="A2473" s="0" t="n">
        <v>218</v>
      </c>
      <c r="B2473" s="0" t="n">
        <v>9</v>
      </c>
      <c r="C2473" s="0" t="n">
        <v>4864648.4375</v>
      </c>
      <c r="D2473" s="0" t="n">
        <v>3746368.44165516</v>
      </c>
      <c r="E2473" s="0" t="n">
        <v>7.696735899876922e-06</v>
      </c>
      <c r="F2473" s="0" t="n">
        <v>7.546703700965127e-06</v>
      </c>
      <c r="G2473" s="0" t="n">
        <v>1.500321989117949e-07</v>
      </c>
      <c r="H2473" s="0" t="b">
        <v>0</v>
      </c>
    </row>
    <row r="2474">
      <c r="A2474" s="0" t="n">
        <v>218</v>
      </c>
      <c r="B2474" s="0" t="n">
        <v>10</v>
      </c>
      <c r="C2474" s="0" t="n">
        <v>4876269.53125</v>
      </c>
      <c r="D2474" s="0" t="n">
        <v>6592365.909388697</v>
      </c>
      <c r="E2474" s="0" t="n">
        <v>7.799797124035628e-06</v>
      </c>
      <c r="F2474" s="0" t="n">
        <v>7.546703700965127e-06</v>
      </c>
      <c r="G2474" s="0" t="n">
        <v>2.530934230705017e-07</v>
      </c>
      <c r="H2474" s="0" t="b">
        <v>0</v>
      </c>
    </row>
    <row r="2475">
      <c r="A2475" s="0" t="n">
        <v>218</v>
      </c>
      <c r="B2475" s="0" t="n">
        <v>11</v>
      </c>
      <c r="C2475" s="0" t="n">
        <v>4870458.984375</v>
      </c>
      <c r="D2475" s="0" t="n">
        <v>5137367.169425898</v>
      </c>
      <c r="E2475" s="0" t="n">
        <v>7.748117449509919e-06</v>
      </c>
      <c r="F2475" s="0" t="n">
        <v>7.546703700965127e-06</v>
      </c>
      <c r="G2475" s="0" t="n">
        <v>2.014137485447919e-07</v>
      </c>
      <c r="H2475" s="0" t="b">
        <v>0</v>
      </c>
    </row>
    <row r="2476">
      <c r="A2476" s="0" t="n">
        <v>218</v>
      </c>
      <c r="B2476" s="0" t="n">
        <v>12</v>
      </c>
      <c r="C2476" s="0" t="n">
        <v>4867553.7109375</v>
      </c>
      <c r="D2476" s="0" t="n">
        <v>4433947.743031758</v>
      </c>
      <c r="E2476" s="0" t="n">
        <v>7.722389658373366e-06</v>
      </c>
      <c r="F2476" s="0" t="n">
        <v>7.546703700965127e-06</v>
      </c>
      <c r="G2476" s="0" t="n">
        <v>1.75685957408239e-07</v>
      </c>
      <c r="H2476" s="0" t="b">
        <v>0</v>
      </c>
    </row>
    <row r="2477">
      <c r="A2477" s="0" t="n">
        <v>218</v>
      </c>
      <c r="B2477" s="0" t="n">
        <v>13</v>
      </c>
      <c r="C2477" s="0" t="n">
        <v>4869006.34765625</v>
      </c>
      <c r="D2477" s="0" t="n">
        <v>4783663.071888658</v>
      </c>
      <c r="E2477" s="0" t="n">
        <v>7.735244107226736e-06</v>
      </c>
      <c r="F2477" s="0" t="n">
        <v>7.546703700965127e-06</v>
      </c>
      <c r="G2477" s="0" t="n">
        <v>1.885404062616097e-07</v>
      </c>
      <c r="H2477" s="0" t="b">
        <v>0</v>
      </c>
    </row>
    <row r="2478">
      <c r="A2478" s="0" t="n">
        <v>218</v>
      </c>
      <c r="B2478" s="0" t="n">
        <v>14</v>
      </c>
      <c r="C2478" s="0" t="n">
        <v>4870206.34765625</v>
      </c>
      <c r="D2478" s="0" t="n">
        <v>5075565.598208954</v>
      </c>
      <c r="E2478" s="0" t="n">
        <v>7.745877232849725e-06</v>
      </c>
      <c r="F2478" s="0" t="n">
        <v>7.546703700965127e-06</v>
      </c>
      <c r="G2478" s="0" t="n">
        <v>1.991735318845984e-07</v>
      </c>
      <c r="H2478" s="0" t="b">
        <v>0</v>
      </c>
    </row>
    <row r="2479">
      <c r="A2479" s="0" t="n">
        <v>218</v>
      </c>
      <c r="B2479" s="0" t="n">
        <v>15</v>
      </c>
      <c r="C2479" s="0" t="n">
        <v>4869606.34765625</v>
      </c>
      <c r="D2479" s="0" t="n">
        <v>4929274.100802999</v>
      </c>
      <c r="E2479" s="0" t="n">
        <v>7.740559082743548e-06</v>
      </c>
      <c r="F2479" s="0" t="n">
        <v>7.546703700965127e-06</v>
      </c>
      <c r="G2479" s="0" t="n">
        <v>1.938553817784214e-07</v>
      </c>
      <c r="H2479" s="0" t="b">
        <v>0</v>
      </c>
    </row>
    <row r="2480">
      <c r="A2480" s="0" t="n">
        <v>218</v>
      </c>
      <c r="B2480" s="0" t="n">
        <v>16</v>
      </c>
      <c r="C2480" s="0" t="n">
        <v>4868886.34765625</v>
      </c>
      <c r="D2480" s="0" t="n">
        <v>4754622.406564095</v>
      </c>
      <c r="E2480" s="0" t="n">
        <v>7.73418149298576e-06</v>
      </c>
      <c r="F2480" s="0" t="n">
        <v>7.546703700965127e-06</v>
      </c>
      <c r="G2480" s="0" t="n">
        <v>1.874777920206331e-07</v>
      </c>
      <c r="H2480" s="0" t="b">
        <v>0</v>
      </c>
    </row>
    <row r="2481">
      <c r="A2481" s="0" t="n">
        <v>218</v>
      </c>
      <c r="B2481" s="0" t="n">
        <v>17</v>
      </c>
      <c r="C2481" s="0" t="n">
        <v>4869246.34765625</v>
      </c>
      <c r="D2481" s="0" t="n">
        <v>4841825.911425649</v>
      </c>
      <c r="E2481" s="0" t="n">
        <v>7.73736971654691e-06</v>
      </c>
      <c r="F2481" s="0" t="n">
        <v>7.546703700965127e-06</v>
      </c>
      <c r="G2481" s="0" t="n">
        <v>1.906660155817835e-07</v>
      </c>
      <c r="H2481" s="0" t="b">
        <v>0</v>
      </c>
    </row>
    <row r="2482">
      <c r="A2482" s="0" t="n">
        <v>219</v>
      </c>
      <c r="B2482" s="0" t="n">
        <v>1</v>
      </c>
      <c r="C2482" s="0" t="n">
        <v>6050000</v>
      </c>
      <c r="D2482" s="0" t="n">
        <v>1724487438.909051</v>
      </c>
      <c r="E2482" s="0" t="n">
        <v>1.671869168373797e-05</v>
      </c>
      <c r="F2482" s="0" t="n">
        <v>6.456990046276868e-06</v>
      </c>
      <c r="G2482" s="0" t="n">
        <v>1.02617016374611e-05</v>
      </c>
      <c r="H2482" s="0" t="b">
        <v>0</v>
      </c>
    </row>
    <row r="2483">
      <c r="A2483" s="0" t="n">
        <v>219</v>
      </c>
      <c r="B2483" s="0" t="n">
        <v>2</v>
      </c>
      <c r="C2483" s="0" t="n">
        <v>3075000</v>
      </c>
      <c r="D2483" s="0" t="n">
        <v>-196391.1672306156</v>
      </c>
      <c r="E2483" s="0" t="n">
        <v>-9.726200522053552e-07</v>
      </c>
      <c r="F2483" s="0" t="n">
        <v>6.456990046276868e-06</v>
      </c>
      <c r="G2483" s="0" t="n">
        <v>-7.429610098482223e-06</v>
      </c>
      <c r="H2483" s="0" t="b">
        <v>1</v>
      </c>
    </row>
    <row r="2484">
      <c r="A2484" s="0" t="n">
        <v>219</v>
      </c>
      <c r="B2484" s="0" t="n">
        <v>3</v>
      </c>
      <c r="C2484" s="0" t="n">
        <v>4562500</v>
      </c>
      <c r="D2484" s="0" t="n">
        <v>-4174575.461418055</v>
      </c>
      <c r="E2484" s="0" t="n">
        <v>3.329758214526218e-06</v>
      </c>
      <c r="F2484" s="0" t="n">
        <v>6.456990046276868e-06</v>
      </c>
      <c r="G2484" s="0" t="n">
        <v>-3.12723183175065e-06</v>
      </c>
      <c r="H2484" s="0" t="b">
        <v>1</v>
      </c>
    </row>
    <row r="2485">
      <c r="A2485" s="0" t="n">
        <v>219</v>
      </c>
      <c r="B2485" s="0" t="n">
        <v>4</v>
      </c>
      <c r="C2485" s="0" t="n">
        <v>5306250</v>
      </c>
      <c r="D2485" s="0" t="n">
        <v>35488987.78011626</v>
      </c>
      <c r="E2485" s="0" t="n">
        <v>7.383662754143337e-06</v>
      </c>
      <c r="F2485" s="0" t="n">
        <v>6.456990046276868e-06</v>
      </c>
      <c r="G2485" s="0" t="n">
        <v>9.266727078664691e-07</v>
      </c>
      <c r="H2485" s="0" t="b">
        <v>0</v>
      </c>
    </row>
    <row r="2486">
      <c r="A2486" s="0" t="n">
        <v>219</v>
      </c>
      <c r="B2486" s="0" t="n">
        <v>5</v>
      </c>
      <c r="C2486" s="0" t="n">
        <v>4934375</v>
      </c>
      <c r="D2486" s="0" t="n">
        <v>-11820835.41991171</v>
      </c>
      <c r="E2486" s="0" t="n">
        <v>4.964712143480613e-06</v>
      </c>
      <c r="F2486" s="0" t="n">
        <v>6.456990046276868e-06</v>
      </c>
      <c r="G2486" s="0" t="n">
        <v>-1.492277902796255e-06</v>
      </c>
      <c r="H2486" s="0" t="b">
        <v>1</v>
      </c>
    </row>
    <row r="2487">
      <c r="A2487" s="0" t="n">
        <v>219</v>
      </c>
      <c r="B2487" s="0" t="n">
        <v>6</v>
      </c>
      <c r="C2487" s="0" t="n">
        <v>5120312.5</v>
      </c>
      <c r="D2487" s="0" t="n">
        <v>-7819374.018637162</v>
      </c>
      <c r="E2487" s="0" t="n">
        <v>6.065591571877343e-06</v>
      </c>
      <c r="F2487" s="0" t="n">
        <v>6.456990046276868e-06</v>
      </c>
      <c r="G2487" s="0" t="n">
        <v>-3.913984743995246e-07</v>
      </c>
      <c r="H2487" s="0" t="b">
        <v>1</v>
      </c>
    </row>
    <row r="2488">
      <c r="A2488" s="0" t="n">
        <v>219</v>
      </c>
      <c r="B2488" s="0" t="n">
        <v>7</v>
      </c>
      <c r="C2488" s="0" t="n">
        <v>5213281.25</v>
      </c>
      <c r="D2488" s="0" t="n">
        <v>6822027.415527492</v>
      </c>
      <c r="E2488" s="0" t="n">
        <v>6.696182814384199e-06</v>
      </c>
      <c r="F2488" s="0" t="n">
        <v>6.456990046276868e-06</v>
      </c>
      <c r="G2488" s="0" t="n">
        <v>2.391927681073311e-07</v>
      </c>
      <c r="H2488" s="0" t="b">
        <v>0</v>
      </c>
    </row>
    <row r="2489">
      <c r="A2489" s="0" t="n">
        <v>219</v>
      </c>
      <c r="B2489" s="0" t="n">
        <v>8</v>
      </c>
      <c r="C2489" s="0" t="n">
        <v>5166796.875</v>
      </c>
      <c r="D2489" s="0" t="n">
        <v>-2000484.560175013</v>
      </c>
      <c r="E2489" s="0" t="n">
        <v>6.373936268900322e-06</v>
      </c>
      <c r="F2489" s="0" t="n">
        <v>6.456990046276868e-06</v>
      </c>
      <c r="G2489" s="0" t="n">
        <v>-8.305377737654557e-08</v>
      </c>
      <c r="H2489" s="0" t="b">
        <v>1</v>
      </c>
    </row>
    <row r="2490">
      <c r="A2490" s="0" t="n">
        <v>219</v>
      </c>
      <c r="B2490" s="0" t="n">
        <v>9</v>
      </c>
      <c r="C2490" s="0" t="n">
        <v>5190039.0625</v>
      </c>
      <c r="D2490" s="0" t="n">
        <v>2004535.653771466</v>
      </c>
      <c r="E2490" s="0" t="n">
        <v>6.533311482056798e-06</v>
      </c>
      <c r="F2490" s="0" t="n">
        <v>6.456990046276868e-06</v>
      </c>
      <c r="G2490" s="0" t="n">
        <v>7.632143577992968e-08</v>
      </c>
      <c r="H2490" s="0" t="b">
        <v>0</v>
      </c>
    </row>
    <row r="2491">
      <c r="A2491" s="0" t="n">
        <v>219</v>
      </c>
      <c r="B2491" s="0" t="n">
        <v>10</v>
      </c>
      <c r="C2491" s="0" t="n">
        <v>5201660.15625</v>
      </c>
      <c r="D2491" s="0" t="n">
        <v>4307678.991015867</v>
      </c>
      <c r="E2491" s="0" t="n">
        <v>6.614302643636609e-06</v>
      </c>
      <c r="F2491" s="0" t="n">
        <v>6.456990046276868e-06</v>
      </c>
      <c r="G2491" s="0" t="n">
        <v>1.573125973597408e-07</v>
      </c>
      <c r="H2491" s="0" t="b">
        <v>0</v>
      </c>
    </row>
    <row r="2492">
      <c r="A2492" s="0" t="n">
        <v>219</v>
      </c>
      <c r="B2492" s="0" t="n">
        <v>11</v>
      </c>
      <c r="C2492" s="0" t="n">
        <v>5207470.703125</v>
      </c>
      <c r="D2492" s="0" t="n">
        <v>5537956.238372189</v>
      </c>
      <c r="E2492" s="0" t="n">
        <v>6.655131189800811e-06</v>
      </c>
      <c r="F2492" s="0" t="n">
        <v>6.456990046276868e-06</v>
      </c>
      <c r="G2492" s="0" t="n">
        <v>1.981411435239429e-07</v>
      </c>
      <c r="H2492" s="0" t="b">
        <v>0</v>
      </c>
    </row>
    <row r="2493">
      <c r="A2493" s="0" t="n">
        <v>219</v>
      </c>
      <c r="B2493" s="0" t="n">
        <v>12</v>
      </c>
      <c r="C2493" s="0" t="n">
        <v>5204565.4296875</v>
      </c>
      <c r="D2493" s="0" t="n">
        <v>4916163.405586172</v>
      </c>
      <c r="E2493" s="0" t="n">
        <v>6.634689344388368e-06</v>
      </c>
      <c r="F2493" s="0" t="n">
        <v>6.456990046276868e-06</v>
      </c>
      <c r="G2493" s="0" t="n">
        <v>1.776992981114998e-07</v>
      </c>
      <c r="H2493" s="0" t="b">
        <v>0</v>
      </c>
    </row>
    <row r="2494">
      <c r="A2494" s="0" t="n">
        <v>219</v>
      </c>
      <c r="B2494" s="0" t="n">
        <v>13</v>
      </c>
      <c r="C2494" s="0" t="n">
        <v>5206018.06640625</v>
      </c>
      <c r="D2494" s="0" t="n">
        <v>5225390.460439998</v>
      </c>
      <c r="E2494" s="0" t="n">
        <v>6.644903429961525e-06</v>
      </c>
      <c r="F2494" s="0" t="n">
        <v>6.456990046276868e-06</v>
      </c>
      <c r="G2494" s="0" t="n">
        <v>1.87913383684657e-07</v>
      </c>
      <c r="H2494" s="0" t="b">
        <v>0</v>
      </c>
    </row>
    <row r="2495">
      <c r="A2495" s="0" t="n">
        <v>220</v>
      </c>
      <c r="B2495" s="0" t="n">
        <v>1</v>
      </c>
      <c r="C2495" s="0" t="n">
        <v>6050000</v>
      </c>
      <c r="D2495" s="0" t="n">
        <v>924295358.0585139</v>
      </c>
      <c r="E2495" s="0" t="n">
        <v>1.315995812154679e-05</v>
      </c>
      <c r="F2495" s="0" t="n">
        <v>6.208336214343036e-06</v>
      </c>
      <c r="G2495" s="0" t="n">
        <v>6.951621907203755e-06</v>
      </c>
      <c r="H2495" s="0" t="b">
        <v>0</v>
      </c>
    </row>
    <row r="2496">
      <c r="A2496" s="0" t="n">
        <v>220</v>
      </c>
      <c r="B2496" s="0" t="n">
        <v>2</v>
      </c>
      <c r="C2496" s="0" t="n">
        <v>3075000</v>
      </c>
      <c r="D2496" s="0" t="n">
        <v>-173603.137458044</v>
      </c>
      <c r="E2496" s="0" t="n">
        <v>-1.224662110575385e-06</v>
      </c>
      <c r="F2496" s="0" t="n">
        <v>6.208336214343036e-06</v>
      </c>
      <c r="G2496" s="0" t="n">
        <v>-7.432998324918422e-06</v>
      </c>
      <c r="H2496" s="0" t="b">
        <v>1</v>
      </c>
    </row>
    <row r="2497">
      <c r="A2497" s="0" t="n">
        <v>220</v>
      </c>
      <c r="B2497" s="0" t="n">
        <v>3</v>
      </c>
      <c r="C2497" s="0" t="n">
        <v>4562500</v>
      </c>
      <c r="D2497" s="0" t="n">
        <v>-3267479.726038013</v>
      </c>
      <c r="E2497" s="0" t="n">
        <v>2.936726841457125e-06</v>
      </c>
      <c r="F2497" s="0" t="n">
        <v>6.208336214343036e-06</v>
      </c>
      <c r="G2497" s="0" t="n">
        <v>-3.271609372885912e-06</v>
      </c>
      <c r="H2497" s="0" t="b">
        <v>1</v>
      </c>
    </row>
    <row r="2498">
      <c r="A2498" s="0" t="n">
        <v>220</v>
      </c>
      <c r="B2498" s="0" t="n">
        <v>4</v>
      </c>
      <c r="C2498" s="0" t="n">
        <v>5306250</v>
      </c>
      <c r="D2498" s="0" t="n">
        <v>4833285.5708308</v>
      </c>
      <c r="E2498" s="0" t="n">
        <v>6.379753367800224e-06</v>
      </c>
      <c r="F2498" s="0" t="n">
        <v>6.208336214343036e-06</v>
      </c>
      <c r="G2498" s="0" t="n">
        <v>1.714171534571873e-07</v>
      </c>
      <c r="H2498" s="0" t="b">
        <v>0</v>
      </c>
    </row>
    <row r="2499">
      <c r="A2499" s="0" t="n">
        <v>220</v>
      </c>
      <c r="B2499" s="0" t="n">
        <v>5</v>
      </c>
      <c r="C2499" s="0" t="n">
        <v>5678125</v>
      </c>
      <c r="D2499" s="0" t="n">
        <v>226175373.1991158</v>
      </c>
      <c r="E2499" s="0" t="n">
        <v>9.280010693274905e-06</v>
      </c>
      <c r="F2499" s="0" t="n">
        <v>6.208336214343036e-06</v>
      </c>
      <c r="G2499" s="0" t="n">
        <v>3.071674478931869e-06</v>
      </c>
      <c r="H2499" s="0" t="b">
        <v>0</v>
      </c>
    </row>
    <row r="2500">
      <c r="A2500" s="0" t="n">
        <v>220</v>
      </c>
      <c r="B2500" s="0" t="n">
        <v>6</v>
      </c>
      <c r="C2500" s="0" t="n">
        <v>5492187.5</v>
      </c>
      <c r="D2500" s="0" t="n">
        <v>73649862.83442256</v>
      </c>
      <c r="E2500" s="0" t="n">
        <v>7.716072181082744e-06</v>
      </c>
      <c r="F2500" s="0" t="n">
        <v>6.208336214343036e-06</v>
      </c>
      <c r="G2500" s="0" t="n">
        <v>1.507735966739708e-06</v>
      </c>
      <c r="H2500" s="0" t="b">
        <v>0</v>
      </c>
    </row>
    <row r="2501">
      <c r="A2501" s="0" t="n">
        <v>220</v>
      </c>
      <c r="B2501" s="0" t="n">
        <v>7</v>
      </c>
      <c r="C2501" s="0" t="n">
        <v>5399218.75</v>
      </c>
      <c r="D2501" s="0" t="n">
        <v>30827695.98085716</v>
      </c>
      <c r="E2501" s="0" t="n">
        <v>7.020584751465479e-06</v>
      </c>
      <c r="F2501" s="0" t="n">
        <v>6.208336214343036e-06</v>
      </c>
      <c r="G2501" s="0" t="n">
        <v>8.122485371224427e-07</v>
      </c>
      <c r="H2501" s="0" t="b">
        <v>0</v>
      </c>
    </row>
    <row r="2502">
      <c r="A2502" s="0" t="n">
        <v>220</v>
      </c>
      <c r="B2502" s="0" t="n">
        <v>8</v>
      </c>
      <c r="C2502" s="0" t="n">
        <v>5352734.375</v>
      </c>
      <c r="D2502" s="0" t="n">
        <v>15973493.78533552</v>
      </c>
      <c r="E2502" s="0" t="n">
        <v>6.69347991846206e-06</v>
      </c>
      <c r="F2502" s="0" t="n">
        <v>6.208336214343036e-06</v>
      </c>
      <c r="G2502" s="0" t="n">
        <v>4.851437041190242e-07</v>
      </c>
      <c r="H2502" s="0" t="b">
        <v>0</v>
      </c>
    </row>
    <row r="2503">
      <c r="A2503" s="0" t="n">
        <v>220</v>
      </c>
      <c r="B2503" s="0" t="n">
        <v>9</v>
      </c>
      <c r="C2503" s="0" t="n">
        <v>5329492.1875</v>
      </c>
      <c r="D2503" s="0" t="n">
        <v>9969262.65369552</v>
      </c>
      <c r="E2503" s="0" t="n">
        <v>6.53495898938685e-06</v>
      </c>
      <c r="F2503" s="0" t="n">
        <v>6.208336214343036e-06</v>
      </c>
      <c r="G2503" s="0" t="n">
        <v>3.266227750438142e-07</v>
      </c>
      <c r="H2503" s="0" t="b">
        <v>0</v>
      </c>
    </row>
    <row r="2504">
      <c r="A2504" s="0" t="n">
        <v>220</v>
      </c>
      <c r="B2504" s="0" t="n">
        <v>10</v>
      </c>
      <c r="C2504" s="0" t="n">
        <v>5317871.09375</v>
      </c>
      <c r="D2504" s="0" t="n">
        <v>7296443.864145155</v>
      </c>
      <c r="E2504" s="0" t="n">
        <v>6.456942492779665e-06</v>
      </c>
      <c r="F2504" s="0" t="n">
        <v>6.208336214343036e-06</v>
      </c>
      <c r="G2504" s="0" t="n">
        <v>2.486062784366283e-07</v>
      </c>
      <c r="H2504" s="0" t="b">
        <v>0</v>
      </c>
    </row>
    <row r="2505">
      <c r="A2505" s="0" t="n">
        <v>220</v>
      </c>
      <c r="B2505" s="0" t="n">
        <v>11</v>
      </c>
      <c r="C2505" s="0" t="n">
        <v>5312060.546875</v>
      </c>
      <c r="D2505" s="0" t="n">
        <v>6039134.645911186</v>
      </c>
      <c r="E2505" s="0" t="n">
        <v>6.41824508099692e-06</v>
      </c>
      <c r="F2505" s="0" t="n">
        <v>6.208336214343036e-06</v>
      </c>
      <c r="G2505" s="0" t="n">
        <v>2.099088666538833e-07</v>
      </c>
      <c r="H2505" s="0" t="b">
        <v>0</v>
      </c>
    </row>
    <row r="2506">
      <c r="A2506" s="0" t="n">
        <v>220</v>
      </c>
      <c r="B2506" s="0" t="n">
        <v>12</v>
      </c>
      <c r="C2506" s="0" t="n">
        <v>5309155.2734375</v>
      </c>
      <c r="D2506" s="0" t="n">
        <v>5429837.581615337</v>
      </c>
      <c r="E2506" s="0" t="n">
        <v>6.39897360229236e-06</v>
      </c>
      <c r="F2506" s="0" t="n">
        <v>6.208336214343036e-06</v>
      </c>
      <c r="G2506" s="0" t="n">
        <v>1.906373879493237e-07</v>
      </c>
      <c r="H2506" s="0" t="b">
        <v>0</v>
      </c>
    </row>
    <row r="2507">
      <c r="A2507" s="0" t="n">
        <v>220</v>
      </c>
      <c r="B2507" s="0" t="n">
        <v>13</v>
      </c>
      <c r="C2507" s="0" t="n">
        <v>5307702.63671875</v>
      </c>
      <c r="D2507" s="0" t="n">
        <v>5129971.234362622</v>
      </c>
      <c r="E2507" s="0" t="n">
        <v>6.389356939785925e-06</v>
      </c>
      <c r="F2507" s="0" t="n">
        <v>6.208336214343036e-06</v>
      </c>
      <c r="G2507" s="0" t="n">
        <v>1.810207254428891e-07</v>
      </c>
      <c r="H2507" s="0" t="b">
        <v>0</v>
      </c>
    </row>
    <row r="2508">
      <c r="A2508" s="0" t="n">
        <v>220</v>
      </c>
      <c r="B2508" s="0" t="n">
        <v>14</v>
      </c>
      <c r="C2508" s="0" t="n">
        <v>5308202.63671875</v>
      </c>
      <c r="D2508" s="0" t="n">
        <v>5232824.340184084</v>
      </c>
      <c r="E2508" s="0" t="n">
        <v>6.392665479822586e-06</v>
      </c>
      <c r="F2508" s="0" t="n">
        <v>6.208336214343036e-06</v>
      </c>
      <c r="G2508" s="0" t="n">
        <v>1.843292654795501e-07</v>
      </c>
      <c r="H2508" s="0" t="b">
        <v>0</v>
      </c>
    </row>
    <row r="2509">
      <c r="A2509" s="0" t="n">
        <v>220</v>
      </c>
      <c r="B2509" s="0" t="n">
        <v>15</v>
      </c>
      <c r="C2509" s="0" t="n">
        <v>5308802.63671875</v>
      </c>
      <c r="D2509" s="0" t="n">
        <v>5356745.188921148</v>
      </c>
      <c r="E2509" s="0" t="n">
        <v>6.396637739436387e-06</v>
      </c>
      <c r="F2509" s="0" t="n">
        <v>6.208336214343036e-06</v>
      </c>
      <c r="G2509" s="0" t="n">
        <v>1.883015250933505e-07</v>
      </c>
      <c r="H2509" s="0" t="b">
        <v>0</v>
      </c>
    </row>
    <row r="2510">
      <c r="A2510" s="0" t="n">
        <v>221</v>
      </c>
      <c r="B2510" s="0" t="n">
        <v>1</v>
      </c>
      <c r="C2510" s="0" t="n">
        <v>6050000</v>
      </c>
      <c r="D2510" s="0" t="n">
        <v>-7953121.655948468</v>
      </c>
      <c r="E2510" s="0" t="n">
        <v>3.917118480540425e-06</v>
      </c>
      <c r="F2510" s="0" t="n">
        <v>4.341887905221134e-06</v>
      </c>
      <c r="G2510" s="0" t="n">
        <v>-4.247694246807085e-07</v>
      </c>
      <c r="H2510" s="0" t="b">
        <v>1</v>
      </c>
    </row>
    <row r="2511">
      <c r="A2511" s="0" t="n">
        <v>221</v>
      </c>
      <c r="B2511" s="0" t="n">
        <v>2</v>
      </c>
      <c r="C2511" s="0" t="n">
        <v>9025000</v>
      </c>
      <c r="D2511" s="0" t="n">
        <v>74981726381.82527</v>
      </c>
      <c r="E2511" s="0" t="n">
        <v>9.884985338317675e-05</v>
      </c>
      <c r="F2511" s="0" t="n">
        <v>4.34188790522114e-06</v>
      </c>
      <c r="G2511" s="0" t="n">
        <v>9.450796547795561e-05</v>
      </c>
      <c r="H2511" s="0" t="b">
        <v>0</v>
      </c>
    </row>
    <row r="2512">
      <c r="A2512" s="0" t="n">
        <v>221</v>
      </c>
      <c r="B2512" s="0" t="n">
        <v>3</v>
      </c>
      <c r="C2512" s="0" t="n">
        <v>7537500</v>
      </c>
      <c r="D2512" s="0" t="n">
        <v>3326940736.492483</v>
      </c>
      <c r="E2512" s="0" t="n">
        <v>1.453957619576674e-05</v>
      </c>
      <c r="F2512" s="0" t="n">
        <v>4.341887905221134e-06</v>
      </c>
      <c r="G2512" s="0" t="n">
        <v>1.01976882905456e-05</v>
      </c>
      <c r="H2512" s="0" t="b">
        <v>0</v>
      </c>
    </row>
    <row r="2513">
      <c r="A2513" s="0" t="n">
        <v>221</v>
      </c>
      <c r="B2513" s="0" t="n">
        <v>4</v>
      </c>
      <c r="C2513" s="0" t="n">
        <v>6793750</v>
      </c>
      <c r="D2513" s="0" t="n">
        <v>362230389.5425252</v>
      </c>
      <c r="E2513" s="0" t="n">
        <v>7.320122804746826e-06</v>
      </c>
      <c r="F2513" s="0" t="n">
        <v>4.341887905221134e-06</v>
      </c>
      <c r="G2513" s="0" t="n">
        <v>2.978234899525693e-06</v>
      </c>
      <c r="H2513" s="0" t="b">
        <v>0</v>
      </c>
    </row>
    <row r="2514">
      <c r="A2514" s="0" t="n">
        <v>221</v>
      </c>
      <c r="B2514" s="0" t="n">
        <v>5</v>
      </c>
      <c r="C2514" s="0" t="n">
        <v>6421875</v>
      </c>
      <c r="D2514" s="0" t="n">
        <v>62770539.15801636</v>
      </c>
      <c r="E2514" s="0" t="n">
        <v>5.386210685605465e-06</v>
      </c>
      <c r="F2514" s="0" t="n">
        <v>4.341887905221134e-06</v>
      </c>
      <c r="G2514" s="0" t="n">
        <v>1.044322780384331e-06</v>
      </c>
      <c r="H2514" s="0" t="b">
        <v>0</v>
      </c>
    </row>
    <row r="2515">
      <c r="A2515" s="0" t="n">
        <v>221</v>
      </c>
      <c r="B2515" s="0" t="n">
        <v>6</v>
      </c>
      <c r="C2515" s="0" t="n">
        <v>6235937.5</v>
      </c>
      <c r="D2515" s="0" t="n">
        <v>9332545.014032185</v>
      </c>
      <c r="E2515" s="0" t="n">
        <v>4.59764749773872e-06</v>
      </c>
      <c r="F2515" s="0" t="n">
        <v>4.341887905221134e-06</v>
      </c>
      <c r="G2515" s="0" t="n">
        <v>2.557595925175864e-07</v>
      </c>
      <c r="H2515" s="0" t="b">
        <v>0</v>
      </c>
    </row>
    <row r="2516">
      <c r="A2516" s="0" t="n">
        <v>221</v>
      </c>
      <c r="B2516" s="0" t="n">
        <v>7</v>
      </c>
      <c r="C2516" s="0" t="n">
        <v>6142968.75</v>
      </c>
      <c r="D2516" s="0" t="n">
        <v>-2608016.3317787</v>
      </c>
      <c r="E2516" s="0" t="n">
        <v>4.244398399185577e-06</v>
      </c>
      <c r="F2516" s="0" t="n">
        <v>4.341887905221134e-06</v>
      </c>
      <c r="G2516" s="0" t="n">
        <v>-9.748950603555608e-08</v>
      </c>
      <c r="H2516" s="0" t="b">
        <v>1</v>
      </c>
    </row>
    <row r="2517">
      <c r="A2517" s="0" t="n">
        <v>221</v>
      </c>
      <c r="B2517" s="0" t="n">
        <v>8</v>
      </c>
      <c r="C2517" s="0" t="n">
        <v>6189453.125</v>
      </c>
      <c r="D2517" s="0" t="n">
        <v>2383780.669936959</v>
      </c>
      <c r="E2517" s="0" t="n">
        <v>4.417710689062338e-06</v>
      </c>
      <c r="F2517" s="0" t="n">
        <v>4.341887905221134e-06</v>
      </c>
      <c r="G2517" s="0" t="n">
        <v>7.582278384120487e-08</v>
      </c>
      <c r="H2517" s="0" t="b">
        <v>0</v>
      </c>
    </row>
    <row r="2518">
      <c r="A2518" s="0" t="n">
        <v>221</v>
      </c>
      <c r="B2518" s="0" t="n">
        <v>9</v>
      </c>
      <c r="C2518" s="0" t="n">
        <v>6212695.3125</v>
      </c>
      <c r="D2518" s="0" t="n">
        <v>5595022.813334636</v>
      </c>
      <c r="E2518" s="0" t="n">
        <v>4.506838838583059e-06</v>
      </c>
      <c r="F2518" s="0" t="n">
        <v>4.341887905221134e-06</v>
      </c>
      <c r="G2518" s="0" t="n">
        <v>1.649509333619252e-07</v>
      </c>
      <c r="H2518" s="0" t="b">
        <v>0</v>
      </c>
    </row>
    <row r="2519">
      <c r="A2519" s="0" t="n">
        <v>221</v>
      </c>
      <c r="B2519" s="0" t="n">
        <v>10</v>
      </c>
      <c r="C2519" s="0" t="n">
        <v>6224316.40625</v>
      </c>
      <c r="D2519" s="0" t="n">
        <v>7395671.333399987</v>
      </c>
      <c r="E2519" s="0" t="n">
        <v>4.55203224629849e-06</v>
      </c>
      <c r="F2519" s="0" t="n">
        <v>4.341887905221134e-06</v>
      </c>
      <c r="G2519" s="0" t="n">
        <v>2.101443410773567e-07</v>
      </c>
      <c r="H2519" s="0" t="b">
        <v>0</v>
      </c>
    </row>
    <row r="2520">
      <c r="A2520" s="0" t="n">
        <v>221</v>
      </c>
      <c r="B2520" s="0" t="n">
        <v>11</v>
      </c>
      <c r="C2520" s="0" t="n">
        <v>6218505.859375</v>
      </c>
      <c r="D2520" s="0" t="n">
        <v>6478614.083404636</v>
      </c>
      <c r="E2520" s="0" t="n">
        <v>4.529382993224231e-06</v>
      </c>
      <c r="F2520" s="0" t="n">
        <v>4.341887905221134e-06</v>
      </c>
      <c r="G2520" s="0" t="n">
        <v>1.874950880030979e-07</v>
      </c>
      <c r="H2520" s="0" t="b">
        <v>0</v>
      </c>
    </row>
    <row r="2521">
      <c r="A2521" s="0" t="n">
        <v>221</v>
      </c>
      <c r="B2521" s="0" t="n">
        <v>12</v>
      </c>
      <c r="C2521" s="0" t="n">
        <v>6215600.5859375</v>
      </c>
      <c r="D2521" s="0" t="n">
        <v>6032674.357049804</v>
      </c>
      <c r="E2521" s="0" t="n">
        <v>4.518097862831762e-06</v>
      </c>
      <c r="F2521" s="0" t="n">
        <v>4.341887905221134e-06</v>
      </c>
      <c r="G2521" s="0" t="n">
        <v>1.762099576106283e-07</v>
      </c>
      <c r="H2521" s="0" t="b">
        <v>0</v>
      </c>
    </row>
    <row r="2522">
      <c r="A2522" s="0" t="n">
        <v>221</v>
      </c>
      <c r="B2522" s="0" t="n">
        <v>13</v>
      </c>
      <c r="C2522" s="0" t="n">
        <v>6217053.22265625</v>
      </c>
      <c r="D2522" s="0" t="n">
        <v>6254596.8717348</v>
      </c>
      <c r="E2522" s="0" t="n">
        <v>4.523736990995669e-06</v>
      </c>
      <c r="F2522" s="0" t="n">
        <v>4.341887905221134e-06</v>
      </c>
      <c r="G2522" s="0" t="n">
        <v>1.818490857745352e-07</v>
      </c>
      <c r="H2522" s="0" t="b">
        <v>0</v>
      </c>
    </row>
    <row r="2523">
      <c r="A2523" s="0" t="n">
        <v>222</v>
      </c>
      <c r="B2523" s="0" t="n">
        <v>1</v>
      </c>
      <c r="C2523" s="0" t="n">
        <v>6050000</v>
      </c>
      <c r="D2523" s="0" t="n">
        <v>-9233121.303598586</v>
      </c>
      <c r="E2523" s="0" t="n">
        <v>3.423926286629164e-06</v>
      </c>
      <c r="F2523" s="0" t="n">
        <v>4.176225797917729e-06</v>
      </c>
      <c r="G2523" s="0" t="n">
        <v>-7.522995112885646e-07</v>
      </c>
      <c r="H2523" s="0" t="b">
        <v>1</v>
      </c>
    </row>
    <row r="2524">
      <c r="A2524" s="0" t="n">
        <v>222</v>
      </c>
      <c r="B2524" s="0" t="n">
        <v>2</v>
      </c>
      <c r="C2524" s="0" t="n">
        <v>9025000</v>
      </c>
      <c r="D2524" s="0" t="n">
        <v>56134672264.40157</v>
      </c>
      <c r="E2524" s="0" t="n">
        <v>7.719430898406843e-05</v>
      </c>
      <c r="F2524" s="0" t="n">
        <v>4.176225797917726e-06</v>
      </c>
      <c r="G2524" s="0" t="n">
        <v>7.30180831861507e-05</v>
      </c>
      <c r="H2524" s="0" t="b">
        <v>0</v>
      </c>
    </row>
    <row r="2525">
      <c r="A2525" s="0" t="n">
        <v>222</v>
      </c>
      <c r="B2525" s="0" t="n">
        <v>3</v>
      </c>
      <c r="C2525" s="0" t="n">
        <v>7537500</v>
      </c>
      <c r="D2525" s="0" t="n">
        <v>1824186241.136217</v>
      </c>
      <c r="E2525" s="0" t="n">
        <v>1.115177780102074e-05</v>
      </c>
      <c r="F2525" s="0" t="n">
        <v>4.176225797917729e-06</v>
      </c>
      <c r="G2525" s="0" t="n">
        <v>6.975552003103007e-06</v>
      </c>
      <c r="H2525" s="0" t="b">
        <v>0</v>
      </c>
    </row>
    <row r="2526">
      <c r="A2526" s="0" t="n">
        <v>222</v>
      </c>
      <c r="B2526" s="0" t="n">
        <v>4</v>
      </c>
      <c r="C2526" s="0" t="n">
        <v>6793750</v>
      </c>
      <c r="D2526" s="0" t="n">
        <v>220488087.1879971</v>
      </c>
      <c r="E2526" s="0" t="n">
        <v>6.351600583373914e-06</v>
      </c>
      <c r="F2526" s="0" t="n">
        <v>4.176225797917729e-06</v>
      </c>
      <c r="G2526" s="0" t="n">
        <v>2.175374785456185e-06</v>
      </c>
      <c r="H2526" s="0" t="b">
        <v>0</v>
      </c>
    </row>
    <row r="2527">
      <c r="A2527" s="0" t="n">
        <v>222</v>
      </c>
      <c r="B2527" s="0" t="n">
        <v>5</v>
      </c>
      <c r="C2527" s="0" t="n">
        <v>6421875</v>
      </c>
      <c r="D2527" s="0" t="n">
        <v>22838643.75882097</v>
      </c>
      <c r="E2527" s="0" t="n">
        <v>4.682246629565783e-06</v>
      </c>
      <c r="F2527" s="0" t="n">
        <v>4.176225797917729e-06</v>
      </c>
      <c r="G2527" s="0" t="n">
        <v>5.060208316480537e-07</v>
      </c>
      <c r="H2527" s="0" t="b">
        <v>0</v>
      </c>
    </row>
    <row r="2528">
      <c r="A2528" s="0" t="n">
        <v>222</v>
      </c>
      <c r="B2528" s="0" t="n">
        <v>6</v>
      </c>
      <c r="C2528" s="0" t="n">
        <v>6235937.5</v>
      </c>
      <c r="D2528" s="0" t="n">
        <v>-4248115.515446111</v>
      </c>
      <c r="E2528" s="0" t="n">
        <v>4.005516163907515e-06</v>
      </c>
      <c r="F2528" s="0" t="n">
        <v>4.176225797917729e-06</v>
      </c>
      <c r="G2528" s="0" t="n">
        <v>-1.707096340102143e-07</v>
      </c>
      <c r="H2528" s="0" t="b">
        <v>1</v>
      </c>
    </row>
    <row r="2529">
      <c r="A2529" s="0" t="n">
        <v>222</v>
      </c>
      <c r="B2529" s="0" t="n">
        <v>7</v>
      </c>
      <c r="C2529" s="0" t="n">
        <v>6328906.25</v>
      </c>
      <c r="D2529" s="0" t="n">
        <v>5323755.259046893</v>
      </c>
      <c r="E2529" s="0" t="n">
        <v>4.331497571698931e-06</v>
      </c>
      <c r="F2529" s="0" t="n">
        <v>4.176225797917729e-06</v>
      </c>
      <c r="G2529" s="0" t="n">
        <v>1.552717737812016e-07</v>
      </c>
      <c r="H2529" s="0" t="b">
        <v>0</v>
      </c>
    </row>
    <row r="2530">
      <c r="A2530" s="0" t="n">
        <v>222</v>
      </c>
      <c r="B2530" s="0" t="n">
        <v>8</v>
      </c>
      <c r="C2530" s="0" t="n">
        <v>6375390.625</v>
      </c>
      <c r="D2530" s="0" t="n">
        <v>12947275.3488817</v>
      </c>
      <c r="E2530" s="0" t="n">
        <v>4.503716665920497e-06</v>
      </c>
      <c r="F2530" s="0" t="n">
        <v>4.176225797917729e-06</v>
      </c>
      <c r="G2530" s="0" t="n">
        <v>3.274908680027683e-07</v>
      </c>
      <c r="H2530" s="0" t="b">
        <v>0</v>
      </c>
    </row>
    <row r="2531">
      <c r="A2531" s="0" t="n">
        <v>222</v>
      </c>
      <c r="B2531" s="0" t="n">
        <v>9</v>
      </c>
      <c r="C2531" s="0" t="n">
        <v>6352148.4375</v>
      </c>
      <c r="D2531" s="0" t="n">
        <v>8870139.49913414</v>
      </c>
      <c r="E2531" s="0" t="n">
        <v>4.416828725473146e-06</v>
      </c>
      <c r="F2531" s="0" t="n">
        <v>4.176225797917729e-06</v>
      </c>
      <c r="G2531" s="0" t="n">
        <v>2.406029275554173e-07</v>
      </c>
      <c r="H2531" s="0" t="b">
        <v>0</v>
      </c>
    </row>
    <row r="2532">
      <c r="A2532" s="0" t="n">
        <v>222</v>
      </c>
      <c r="B2532" s="0" t="n">
        <v>10</v>
      </c>
      <c r="C2532" s="0" t="n">
        <v>6340527.34375</v>
      </c>
      <c r="D2532" s="0" t="n">
        <v>7032749.362340983</v>
      </c>
      <c r="E2532" s="0" t="n">
        <v>4.373967914352024e-06</v>
      </c>
      <c r="F2532" s="0" t="n">
        <v>4.176225797917729e-06</v>
      </c>
      <c r="G2532" s="0" t="n">
        <v>1.977421164342947e-07</v>
      </c>
      <c r="H2532" s="0" t="b">
        <v>0</v>
      </c>
    </row>
    <row r="2533">
      <c r="A2533" s="0" t="n">
        <v>222</v>
      </c>
      <c r="B2533" s="0" t="n">
        <v>11</v>
      </c>
      <c r="C2533" s="0" t="n">
        <v>6334716.796875</v>
      </c>
      <c r="D2533" s="0" t="n">
        <v>6162475.316641401</v>
      </c>
      <c r="E2533" s="0" t="n">
        <v>4.352683962030494e-06</v>
      </c>
      <c r="F2533" s="0" t="n">
        <v>4.176225797917729e-06</v>
      </c>
      <c r="G2533" s="0" t="n">
        <v>1.764581641127649e-07</v>
      </c>
      <c r="H2533" s="0" t="b">
        <v>0</v>
      </c>
    </row>
    <row r="2534">
      <c r="A2534" s="0" t="n">
        <v>222</v>
      </c>
      <c r="B2534" s="0" t="n">
        <v>12</v>
      </c>
      <c r="C2534" s="0" t="n">
        <v>6337622.0703125</v>
      </c>
      <c r="D2534" s="0" t="n">
        <v>6593631.410769883</v>
      </c>
      <c r="E2534" s="0" t="n">
        <v>4.363313674326326e-06</v>
      </c>
      <c r="F2534" s="0" t="n">
        <v>4.176225797917729e-06</v>
      </c>
      <c r="G2534" s="0" t="n">
        <v>1.870878764085968e-07</v>
      </c>
      <c r="H2534" s="0" t="b">
        <v>0</v>
      </c>
    </row>
    <row r="2535">
      <c r="A2535" s="0" t="n">
        <v>222</v>
      </c>
      <c r="B2535" s="0" t="n">
        <v>13</v>
      </c>
      <c r="C2535" s="0" t="n">
        <v>6336169.43359375</v>
      </c>
      <c r="D2535" s="0" t="n">
        <v>6377063.185923531</v>
      </c>
      <c r="E2535" s="0" t="n">
        <v>4.357995771957881e-06</v>
      </c>
      <c r="F2535" s="0" t="n">
        <v>4.176225797917729e-06</v>
      </c>
      <c r="G2535" s="0" t="n">
        <v>1.817699740401521e-07</v>
      </c>
      <c r="H2535" s="0" t="b">
        <v>0</v>
      </c>
    </row>
    <row r="2536">
      <c r="A2536" s="0" t="n">
        <v>223</v>
      </c>
      <c r="B2536" s="0" t="n">
        <v>1</v>
      </c>
      <c r="C2536" s="0" t="n">
        <v>6050000</v>
      </c>
      <c r="D2536" s="0" t="n">
        <v>-2758695.228810637</v>
      </c>
      <c r="E2536" s="0" t="n">
        <v>1.424257599965713e-06</v>
      </c>
      <c r="F2536" s="0" t="n">
        <v>3.046550974409937e-06</v>
      </c>
      <c r="G2536" s="0" t="n">
        <v>-1.622293374444225e-06</v>
      </c>
      <c r="H2536" s="0" t="b">
        <v>1</v>
      </c>
    </row>
    <row r="2537">
      <c r="A2537" s="0" t="n">
        <v>223</v>
      </c>
      <c r="B2537" s="0" t="n">
        <v>2</v>
      </c>
      <c r="C2537" s="0" t="n">
        <v>9025000</v>
      </c>
      <c r="D2537" s="0" t="n">
        <v>4138202551.74937</v>
      </c>
      <c r="E2537" s="0" t="n">
        <v>1.106051751388459e-05</v>
      </c>
      <c r="F2537" s="0" t="n">
        <v>3.046550974409937e-06</v>
      </c>
      <c r="G2537" s="0" t="n">
        <v>8.013966539474651e-06</v>
      </c>
      <c r="H2537" s="0" t="b">
        <v>0</v>
      </c>
    </row>
    <row r="2538">
      <c r="A2538" s="0" t="n">
        <v>223</v>
      </c>
      <c r="B2538" s="0" t="n">
        <v>3</v>
      </c>
      <c r="C2538" s="0" t="n">
        <v>7537500</v>
      </c>
      <c r="D2538" s="0" t="n">
        <v>70227769.11967577</v>
      </c>
      <c r="E2538" s="0" t="n">
        <v>3.922228528116465e-06</v>
      </c>
      <c r="F2538" s="0" t="n">
        <v>3.046550974409937e-06</v>
      </c>
      <c r="G2538" s="0" t="n">
        <v>8.756775537065277e-07</v>
      </c>
      <c r="H2538" s="0" t="b">
        <v>0</v>
      </c>
    </row>
    <row r="2539">
      <c r="A2539" s="0" t="n">
        <v>223</v>
      </c>
      <c r="B2539" s="0" t="n">
        <v>4</v>
      </c>
      <c r="C2539" s="0" t="n">
        <v>6793750</v>
      </c>
      <c r="D2539" s="0" t="n">
        <v>-7227124.558740172</v>
      </c>
      <c r="E2539" s="0" t="n">
        <v>2.32015317350499e-06</v>
      </c>
      <c r="F2539" s="0" t="n">
        <v>3.046550974409937e-06</v>
      </c>
      <c r="G2539" s="0" t="n">
        <v>-7.263978009049476e-07</v>
      </c>
      <c r="H2539" s="0" t="b">
        <v>1</v>
      </c>
    </row>
    <row r="2540">
      <c r="A2540" s="0" t="n">
        <v>223</v>
      </c>
      <c r="B2540" s="0" t="n">
        <v>5</v>
      </c>
      <c r="C2540" s="0" t="n">
        <v>7165625</v>
      </c>
      <c r="D2540" s="0" t="n">
        <v>-988164.5756762233</v>
      </c>
      <c r="E2540" s="0" t="n">
        <v>3.014226517362657e-06</v>
      </c>
      <c r="F2540" s="0" t="n">
        <v>3.046550974409937e-06</v>
      </c>
      <c r="G2540" s="0" t="n">
        <v>-3.232445704727988e-08</v>
      </c>
      <c r="H2540" s="0" t="b">
        <v>1</v>
      </c>
    </row>
    <row r="2541">
      <c r="A2541" s="0" t="n">
        <v>223</v>
      </c>
      <c r="B2541" s="0" t="n">
        <v>6</v>
      </c>
      <c r="C2541" s="0" t="n">
        <v>7351562.5</v>
      </c>
      <c r="D2541" s="0" t="n">
        <v>20526862.39290687</v>
      </c>
      <c r="E2541" s="0" t="n">
        <v>3.439527077301342e-06</v>
      </c>
      <c r="F2541" s="0" t="n">
        <v>3.046550974409937e-06</v>
      </c>
      <c r="G2541" s="0" t="n">
        <v>3.929761028914046e-07</v>
      </c>
      <c r="H2541" s="0" t="b">
        <v>0</v>
      </c>
    </row>
    <row r="2542">
      <c r="A2542" s="0" t="n">
        <v>223</v>
      </c>
      <c r="B2542" s="0" t="n">
        <v>7</v>
      </c>
      <c r="C2542" s="0" t="n">
        <v>7258593.75</v>
      </c>
      <c r="D2542" s="0" t="n">
        <v>7022412.399036055</v>
      </c>
      <c r="E2542" s="0" t="n">
        <v>3.219944879301637e-06</v>
      </c>
      <c r="F2542" s="0" t="n">
        <v>3.046550974409937e-06</v>
      </c>
      <c r="G2542" s="0" t="n">
        <v>1.733939048917002e-07</v>
      </c>
      <c r="H2542" s="0" t="b">
        <v>0</v>
      </c>
    </row>
    <row r="2543">
      <c r="A2543" s="0" t="n">
        <v>223</v>
      </c>
      <c r="B2543" s="0" t="n">
        <v>8</v>
      </c>
      <c r="C2543" s="0" t="n">
        <v>7305078.125</v>
      </c>
      <c r="D2543" s="0" t="n">
        <v>12994516.43872279</v>
      </c>
      <c r="E2543" s="0" t="n">
        <v>3.327971617300471e-06</v>
      </c>
      <c r="F2543" s="0" t="n">
        <v>3.046550974409937e-06</v>
      </c>
      <c r="G2543" s="0" t="n">
        <v>2.814206428905333e-07</v>
      </c>
      <c r="H2543" s="0" t="b">
        <v>0</v>
      </c>
    </row>
    <row r="2544">
      <c r="A2544" s="0" t="n">
        <v>223</v>
      </c>
      <c r="B2544" s="0" t="n">
        <v>9</v>
      </c>
      <c r="C2544" s="0" t="n">
        <v>7281835.9375</v>
      </c>
      <c r="D2544" s="0" t="n">
        <v>9825159.588732393</v>
      </c>
      <c r="E2544" s="0" t="n">
        <v>3.273519158954263e-06</v>
      </c>
      <c r="F2544" s="0" t="n">
        <v>3.046550974409937e-06</v>
      </c>
      <c r="G2544" s="0" t="n">
        <v>2.269681845443253e-07</v>
      </c>
      <c r="H2544" s="0" t="b">
        <v>0</v>
      </c>
    </row>
    <row r="2545">
      <c r="A2545" s="0" t="n">
        <v>223</v>
      </c>
      <c r="B2545" s="0" t="n">
        <v>10</v>
      </c>
      <c r="C2545" s="0" t="n">
        <v>7270214.84375</v>
      </c>
      <c r="D2545" s="0" t="n">
        <v>8379419.575078564</v>
      </c>
      <c r="E2545" s="0" t="n">
        <v>3.246622757754252e-06</v>
      </c>
      <c r="F2545" s="0" t="n">
        <v>3.046550974409937e-06</v>
      </c>
      <c r="G2545" s="0" t="n">
        <v>2.000717833443145e-07</v>
      </c>
      <c r="H2545" s="0" t="b">
        <v>0</v>
      </c>
    </row>
    <row r="2546">
      <c r="A2546" s="0" t="n">
        <v>223</v>
      </c>
      <c r="B2546" s="0" t="n">
        <v>11</v>
      </c>
      <c r="C2546" s="0" t="n">
        <v>7264404.296875</v>
      </c>
      <c r="D2546" s="0" t="n">
        <v>7690010.786189326</v>
      </c>
      <c r="E2546" s="0" t="n">
        <v>3.233256675895106e-06</v>
      </c>
      <c r="F2546" s="0" t="n">
        <v>3.046550974409937e-06</v>
      </c>
      <c r="G2546" s="0" t="n">
        <v>1.867057014851683e-07</v>
      </c>
      <c r="H2546" s="0" t="b">
        <v>0</v>
      </c>
    </row>
    <row r="2547">
      <c r="A2547" s="0" t="n">
        <v>223</v>
      </c>
      <c r="B2547" s="0" t="n">
        <v>12</v>
      </c>
      <c r="C2547" s="0" t="n">
        <v>7261499.0234375</v>
      </c>
      <c r="D2547" s="0" t="n">
        <v>7353507.89626089</v>
      </c>
      <c r="E2547" s="0" t="n">
        <v>3.226594003510632e-06</v>
      </c>
      <c r="F2547" s="0" t="n">
        <v>3.046550974409937e-06</v>
      </c>
      <c r="G2547" s="0" t="n">
        <v>1.800430291006945e-07</v>
      </c>
      <c r="H2547" s="0" t="b">
        <v>0</v>
      </c>
    </row>
    <row r="2548">
      <c r="A2548" s="0" t="n">
        <v>223</v>
      </c>
      <c r="B2548" s="0" t="n">
        <v>13</v>
      </c>
      <c r="C2548" s="0" t="n">
        <v>7260046.38671875</v>
      </c>
      <c r="D2548" s="0" t="n">
        <v>7187288.965315884</v>
      </c>
      <c r="E2548" s="0" t="n">
        <v>3.223267788500464e-06</v>
      </c>
      <c r="F2548" s="0" t="n">
        <v>3.046550974409937e-06</v>
      </c>
      <c r="G2548" s="0" t="n">
        <v>1.767168140905272e-07</v>
      </c>
      <c r="H2548" s="0" t="b">
        <v>0</v>
      </c>
    </row>
    <row r="2549">
      <c r="A2549" s="0" t="n">
        <v>223</v>
      </c>
      <c r="B2549" s="0" t="n">
        <v>14</v>
      </c>
      <c r="C2549" s="0" t="n">
        <v>7260546.38671875</v>
      </c>
      <c r="D2549" s="0" t="n">
        <v>7244344.69579426</v>
      </c>
      <c r="E2549" s="0" t="n">
        <v>3.224412197281791e-06</v>
      </c>
      <c r="F2549" s="0" t="n">
        <v>3.046550974409937e-06</v>
      </c>
      <c r="G2549" s="0" t="n">
        <v>1.778612228718537e-07</v>
      </c>
      <c r="H2549" s="0" t="b">
        <v>0</v>
      </c>
    </row>
    <row r="2550">
      <c r="A2550" s="0" t="n">
        <v>224</v>
      </c>
      <c r="B2550" s="0" t="n">
        <v>1</v>
      </c>
      <c r="C2550" s="0" t="n">
        <v>6050000</v>
      </c>
      <c r="D2550" s="0" t="n">
        <v>-1839174.789821589</v>
      </c>
      <c r="E2550" s="0" t="n">
        <v>1.059286727599906e-06</v>
      </c>
      <c r="F2550" s="0" t="n">
        <v>2.808595165233921e-06</v>
      </c>
      <c r="G2550" s="0" t="n">
        <v>-1.749308437634016e-06</v>
      </c>
      <c r="H2550" s="0" t="b">
        <v>1</v>
      </c>
    </row>
    <row r="2551">
      <c r="A2551" s="0" t="n">
        <v>224</v>
      </c>
      <c r="B2551" s="0" t="n">
        <v>2</v>
      </c>
      <c r="C2551" s="0" t="n">
        <v>9025000</v>
      </c>
      <c r="D2551" s="0" t="n">
        <v>1764376760.955259</v>
      </c>
      <c r="E2551" s="0" t="n">
        <v>7.531860133271372e-06</v>
      </c>
      <c r="F2551" s="0" t="n">
        <v>2.808595165233921e-06</v>
      </c>
      <c r="G2551" s="0" t="n">
        <v>4.723264968037451e-06</v>
      </c>
      <c r="H2551" s="0" t="b">
        <v>0</v>
      </c>
    </row>
    <row r="2552">
      <c r="A2552" s="0" t="n">
        <v>224</v>
      </c>
      <c r="B2552" s="0" t="n">
        <v>3</v>
      </c>
      <c r="C2552" s="0" t="n">
        <v>7537500</v>
      </c>
      <c r="D2552" s="0" t="n">
        <v>3185673.701052671</v>
      </c>
      <c r="E2552" s="0" t="n">
        <v>2.894551879593321e-06</v>
      </c>
      <c r="F2552" s="0" t="n">
        <v>2.808595165233921e-06</v>
      </c>
      <c r="G2552" s="0" t="n">
        <v>8.595671435939989e-08</v>
      </c>
      <c r="H2552" s="0" t="b">
        <v>0</v>
      </c>
    </row>
    <row r="2553">
      <c r="A2553" s="0" t="n">
        <v>224</v>
      </c>
      <c r="B2553" s="0" t="n">
        <v>4</v>
      </c>
      <c r="C2553" s="0" t="n">
        <v>8281250</v>
      </c>
      <c r="D2553" s="0" t="n">
        <v>322329074.938153</v>
      </c>
      <c r="E2553" s="0" t="n">
        <v>4.747414446501117e-06</v>
      </c>
      <c r="F2553" s="0" t="n">
        <v>2.808595165233921e-06</v>
      </c>
      <c r="G2553" s="0" t="n">
        <v>1.938819281267196e-06</v>
      </c>
      <c r="H2553" s="0" t="b">
        <v>0</v>
      </c>
    </row>
    <row r="2554">
      <c r="A2554" s="0" t="n">
        <v>224</v>
      </c>
      <c r="B2554" s="0" t="n">
        <v>5</v>
      </c>
      <c r="C2554" s="0" t="n">
        <v>7909375</v>
      </c>
      <c r="D2554" s="0" t="n">
        <v>81974931.3754283</v>
      </c>
      <c r="E2554" s="0" t="n">
        <v>3.71612405487628e-06</v>
      </c>
      <c r="F2554" s="0" t="n">
        <v>2.808595165233921e-06</v>
      </c>
      <c r="G2554" s="0" t="n">
        <v>9.075288896423587e-07</v>
      </c>
      <c r="H2554" s="0" t="b">
        <v>0</v>
      </c>
    </row>
    <row r="2555">
      <c r="A2555" s="0" t="n">
        <v>224</v>
      </c>
      <c r="B2555" s="0" t="n">
        <v>6</v>
      </c>
      <c r="C2555" s="0" t="n">
        <v>7723437.5</v>
      </c>
      <c r="D2555" s="0" t="n">
        <v>28625768.86571666</v>
      </c>
      <c r="E2555" s="0" t="n">
        <v>3.280657554970176e-06</v>
      </c>
      <c r="F2555" s="0" t="n">
        <v>2.808595165233921e-06</v>
      </c>
      <c r="G2555" s="0" t="n">
        <v>4.720623897362545e-07</v>
      </c>
      <c r="H2555" s="0" t="b">
        <v>0</v>
      </c>
    </row>
    <row r="2556">
      <c r="A2556" s="0" t="n">
        <v>224</v>
      </c>
      <c r="B2556" s="0" t="n">
        <v>7</v>
      </c>
      <c r="C2556" s="0" t="n">
        <v>7630468.75</v>
      </c>
      <c r="D2556" s="0" t="n">
        <v>13113313.56340165</v>
      </c>
      <c r="E2556" s="0" t="n">
        <v>3.081631477912031e-06</v>
      </c>
      <c r="F2556" s="0" t="n">
        <v>2.808595165233921e-06</v>
      </c>
      <c r="G2556" s="0" t="n">
        <v>2.730363126781098e-07</v>
      </c>
      <c r="H2556" s="0" t="b">
        <v>0</v>
      </c>
    </row>
    <row r="2557">
      <c r="A2557" s="0" t="n">
        <v>224</v>
      </c>
      <c r="B2557" s="0" t="n">
        <v>8</v>
      </c>
      <c r="C2557" s="0" t="n">
        <v>7583984.375</v>
      </c>
      <c r="D2557" s="0" t="n">
        <v>7530144.06358497</v>
      </c>
      <c r="E2557" s="0" t="n">
        <v>2.986624485968438e-06</v>
      </c>
      <c r="F2557" s="0" t="n">
        <v>2.808595165233921e-06</v>
      </c>
      <c r="G2557" s="0" t="n">
        <v>1.780293207345168e-07</v>
      </c>
      <c r="H2557" s="0" t="b">
        <v>0</v>
      </c>
    </row>
    <row r="2558">
      <c r="A2558" s="0" t="n">
        <v>225</v>
      </c>
      <c r="B2558" s="0" t="n">
        <v>1</v>
      </c>
      <c r="C2558" s="0" t="n">
        <v>6050000</v>
      </c>
      <c r="D2558" s="0" t="n">
        <v>-1552740.870368571</v>
      </c>
      <c r="E2558" s="0" t="n">
        <v>8.94593336288036e-07</v>
      </c>
      <c r="F2558" s="0" t="n">
        <v>2.644880281158888e-06</v>
      </c>
      <c r="G2558" s="0" t="n">
        <v>-1.750286944870852e-06</v>
      </c>
      <c r="H2558" s="0" t="b">
        <v>1</v>
      </c>
    </row>
    <row r="2559">
      <c r="A2559" s="0" t="n">
        <v>225</v>
      </c>
      <c r="B2559" s="0" t="n">
        <v>2</v>
      </c>
      <c r="C2559" s="0" t="n">
        <v>9025000</v>
      </c>
      <c r="D2559" s="0" t="n">
        <v>1322598148.935913</v>
      </c>
      <c r="E2559" s="0" t="n">
        <v>6.491969911789101e-06</v>
      </c>
      <c r="F2559" s="0" t="n">
        <v>2.644880281158888e-06</v>
      </c>
      <c r="G2559" s="0" t="n">
        <v>3.847089630630214e-06</v>
      </c>
      <c r="H2559" s="0" t="b">
        <v>0</v>
      </c>
    </row>
    <row r="2560">
      <c r="A2560" s="0" t="n">
        <v>225</v>
      </c>
      <c r="B2560" s="0" t="n">
        <v>3</v>
      </c>
      <c r="C2560" s="0" t="n">
        <v>7537500</v>
      </c>
      <c r="D2560" s="0" t="n">
        <v>-3419742.631156733</v>
      </c>
      <c r="E2560" s="0" t="n">
        <v>2.516896318957733e-06</v>
      </c>
      <c r="F2560" s="0" t="n">
        <v>2.644880281158888e-06</v>
      </c>
      <c r="G2560" s="0" t="n">
        <v>-1.27983962201155e-07</v>
      </c>
      <c r="H2560" s="0" t="b">
        <v>1</v>
      </c>
    </row>
    <row r="2561">
      <c r="A2561" s="0" t="n">
        <v>225</v>
      </c>
      <c r="B2561" s="0" t="n">
        <v>4</v>
      </c>
      <c r="C2561" s="0" t="n">
        <v>8281250</v>
      </c>
      <c r="D2561" s="0" t="n">
        <v>204778774.9141231</v>
      </c>
      <c r="E2561" s="0" t="n">
        <v>4.094183273045555e-06</v>
      </c>
      <c r="F2561" s="0" t="n">
        <v>2.644880281158888e-06</v>
      </c>
      <c r="G2561" s="0" t="n">
        <v>1.449302991886668e-06</v>
      </c>
      <c r="H2561" s="0" t="b">
        <v>0</v>
      </c>
    </row>
    <row r="2562">
      <c r="A2562" s="0" t="n">
        <v>225</v>
      </c>
      <c r="B2562" s="0" t="n">
        <v>5</v>
      </c>
      <c r="C2562" s="0" t="n">
        <v>7909375</v>
      </c>
      <c r="D2562" s="0" t="n">
        <v>40380781.28929859</v>
      </c>
      <c r="E2562" s="0" t="n">
        <v>3.213773695376327e-06</v>
      </c>
      <c r="F2562" s="0" t="n">
        <v>2.644880281158888e-06</v>
      </c>
      <c r="G2562" s="0" t="n">
        <v>5.688934142174387e-07</v>
      </c>
      <c r="H2562" s="0" t="b">
        <v>0</v>
      </c>
    </row>
    <row r="2563">
      <c r="A2563" s="0" t="n">
        <v>225</v>
      </c>
      <c r="B2563" s="0" t="n">
        <v>6</v>
      </c>
      <c r="C2563" s="0" t="n">
        <v>7723437.5</v>
      </c>
      <c r="D2563" s="0" t="n">
        <v>8920883.907259516</v>
      </c>
      <c r="E2563" s="0" t="n">
        <v>2.843813537540224e-06</v>
      </c>
      <c r="F2563" s="0" t="n">
        <v>2.644880281158888e-06</v>
      </c>
      <c r="G2563" s="0" t="n">
        <v>1.989332563813358e-07</v>
      </c>
      <c r="H2563" s="0" t="b">
        <v>0</v>
      </c>
    </row>
    <row r="2564">
      <c r="A2564" s="0" t="n">
        <v>225</v>
      </c>
      <c r="B2564" s="0" t="n">
        <v>7</v>
      </c>
      <c r="C2564" s="0" t="n">
        <v>7630468.75</v>
      </c>
      <c r="D2564" s="0" t="n">
        <v>1048540.979311825</v>
      </c>
      <c r="E2564" s="0" t="n">
        <v>2.67515562922352e-06</v>
      </c>
      <c r="F2564" s="0" t="n">
        <v>2.644880281158888e-06</v>
      </c>
      <c r="G2564" s="0" t="n">
        <v>3.027534806463231e-08</v>
      </c>
      <c r="H2564" s="0" t="b">
        <v>0</v>
      </c>
    </row>
    <row r="2565">
      <c r="A2565" s="0" t="n">
        <v>225</v>
      </c>
      <c r="B2565" s="0" t="n">
        <v>8</v>
      </c>
      <c r="C2565" s="0" t="n">
        <v>7676953.125</v>
      </c>
      <c r="D2565" s="0" t="n">
        <v>4467866.590450354</v>
      </c>
      <c r="E2565" s="0" t="n">
        <v>2.75816396717026e-06</v>
      </c>
      <c r="F2565" s="0" t="n">
        <v>2.644880281158888e-06</v>
      </c>
      <c r="G2565" s="0" t="n">
        <v>1.13283686011372e-07</v>
      </c>
      <c r="H2565" s="0" t="b">
        <v>0</v>
      </c>
    </row>
    <row r="2566">
      <c r="A2566" s="0" t="n">
        <v>225</v>
      </c>
      <c r="B2566" s="0" t="n">
        <v>9</v>
      </c>
      <c r="C2566" s="0" t="n">
        <v>7700195.3125</v>
      </c>
      <c r="D2566" s="0" t="n">
        <v>6556066.938684346</v>
      </c>
      <c r="E2566" s="0" t="n">
        <v>2.80065622865334e-06</v>
      </c>
      <c r="F2566" s="0" t="n">
        <v>2.644880281158888e-06</v>
      </c>
      <c r="G2566" s="0" t="n">
        <v>1.55775947494452e-07</v>
      </c>
      <c r="H2566" s="0" t="b">
        <v>0</v>
      </c>
    </row>
    <row r="2567">
      <c r="A2567" s="0" t="n">
        <v>225</v>
      </c>
      <c r="B2567" s="0" t="n">
        <v>10</v>
      </c>
      <c r="C2567" s="0" t="n">
        <v>7711816.40625</v>
      </c>
      <c r="D2567" s="0" t="n">
        <v>7706866.650425845</v>
      </c>
      <c r="E2567" s="0" t="n">
        <v>2.822150777234694e-06</v>
      </c>
      <c r="F2567" s="0" t="n">
        <v>2.644880281158888e-06</v>
      </c>
      <c r="G2567" s="0" t="n">
        <v>1.772704960758062e-07</v>
      </c>
      <c r="H2567" s="0" t="b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20"/>
  <sheetViews>
    <sheetView workbookViewId="0">
      <selection activeCell="A1" sqref="A1"/>
    </sheetView>
  </sheetViews>
  <sheetFormatPr baseColWidth="8" defaultRowHeight="13.5"/>
  <cols>
    <col width="26.625" customWidth="1" style="10" min="1" max="1"/>
    <col width="70" customWidth="1" style="10" min="2" max="2"/>
  </cols>
  <sheetData>
    <row r="1">
      <c r="A1" s="34" t="inlineStr">
        <is>
          <t>項目</t>
        </is>
      </c>
      <c r="B1" s="34" t="inlineStr">
        <is>
          <t>内容</t>
        </is>
      </c>
    </row>
    <row r="2">
      <c r="A2" s="0" t="inlineStr">
        <is>
          <t>作業日時</t>
        </is>
      </c>
      <c r="B2" s="33" t="n">
        <v>46185.76793981482</v>
      </c>
    </row>
    <row r="3">
      <c r="A3" s="0" t="inlineStr">
        <is>
          <t>入力元ブック名</t>
        </is>
      </c>
      <c r="B3" s="0" t="inlineStr">
        <is>
          <t>ThompsonMacbeth_TM8_9_11_14_G1000_macrohandoff_TinFilled.xlsx</t>
        </is>
      </c>
    </row>
    <row r="4">
      <c r="A4" s="0" t="inlineStr">
        <is>
          <t>入力元シート名</t>
        </is>
      </c>
      <c r="B4" s="0" t="inlineStr">
        <is>
          <t>120_MACRO_INPUT_FINAL</t>
        </is>
      </c>
    </row>
    <row r="5">
      <c r="A5" s="0" t="inlineStr">
        <is>
          <t>入力先シート名</t>
        </is>
      </c>
      <c r="B5" s="0" t="inlineStr">
        <is>
          <t>tm</t>
        </is>
      </c>
    </row>
    <row r="6">
      <c r="A6" s="0" t="inlineStr">
        <is>
          <t>追記開始行</t>
        </is>
      </c>
      <c r="B6" s="0" t="n">
        <v>88</v>
      </c>
    </row>
    <row r="7">
      <c r="A7" s="0" t="inlineStr">
        <is>
          <t>追記終了行</t>
        </is>
      </c>
      <c r="B7" s="0" t="n">
        <v>225</v>
      </c>
    </row>
    <row r="8">
      <c r="A8" s="0" t="inlineStr">
        <is>
          <t>追記行数</t>
        </is>
      </c>
      <c r="B8" s="0" t="n">
        <v>138</v>
      </c>
    </row>
    <row r="9">
      <c r="A9" s="0" t="inlineStr">
        <is>
          <t>Table 8 行数</t>
        </is>
      </c>
      <c r="B9" s="0" t="n">
        <v>16</v>
      </c>
    </row>
    <row r="10">
      <c r="A10" s="0" t="inlineStr">
        <is>
          <t>Table 9 行数</t>
        </is>
      </c>
      <c r="B10" s="0" t="n">
        <v>30</v>
      </c>
    </row>
    <row r="11">
      <c r="A11" s="0" t="inlineStr">
        <is>
          <t>Table 11 行数</t>
        </is>
      </c>
      <c r="B11" s="0" t="n">
        <v>30</v>
      </c>
    </row>
    <row r="12">
      <c r="A12" s="0" t="inlineStr">
        <is>
          <t>Table 12 行数</t>
        </is>
      </c>
      <c r="B12" s="0" t="n">
        <v>30</v>
      </c>
    </row>
    <row r="13">
      <c r="A13" s="0" t="inlineStr">
        <is>
          <t>Table 13 行数</t>
        </is>
      </c>
      <c r="B13" s="0" t="n">
        <v>2</v>
      </c>
    </row>
    <row r="14">
      <c r="A14" s="0" t="inlineStr">
        <is>
          <t>Table 14 行数</t>
        </is>
      </c>
      <c r="B14" s="0" t="n">
        <v>30</v>
      </c>
    </row>
    <row r="15">
      <c r="A15" s="0" t="inlineStr">
        <is>
          <t>Tin_K_IF97 欠損行数</t>
        </is>
      </c>
      <c r="B15" s="0" t="n">
        <v>0</v>
      </c>
    </row>
    <row r="16">
      <c r="A16" s="0" t="inlineStr">
        <is>
          <t>G &lt;= 1000 の行</t>
        </is>
      </c>
      <c r="B16" s="0" t="inlineStr">
        <is>
          <t>含まれていない (最小G = 1017.17 kg/m2s)</t>
        </is>
      </c>
    </row>
    <row r="17">
      <c r="A17" s="0" t="inlineStr">
        <is>
          <t>L/D outside の行</t>
        </is>
      </c>
      <c r="B17" s="0" t="inlineStr">
        <is>
          <t>含まれていない (L/D範囲 50.08〜365.33)</t>
        </is>
      </c>
    </row>
    <row r="18">
      <c r="A18" s="0" t="inlineStr">
        <is>
          <t>既存行の上書き</t>
        </is>
      </c>
      <c r="B18" s="0" t="inlineStr">
        <is>
          <t>なし (2〜87行目は変更していない)</t>
        </is>
      </c>
    </row>
    <row r="19">
      <c r="A19" s="0" t="inlineStr">
        <is>
          <t>マクロ実行</t>
        </is>
      </c>
      <c r="B19" s="0" t="inlineStr">
        <is>
          <t>実行していない (データ追記のみ。自動計算による更新のみ)</t>
        </is>
      </c>
    </row>
    <row r="20">
      <c r="A20" s="0" t="inlineStr">
        <is>
          <t>初期値の注記</t>
        </is>
      </c>
      <c r="B20" s="0" t="inlineStr">
        <is>
          <t>q_in/f/Tw/y_star/UB は初期値であり、マクロ未実行 (q_in=q_M と同値、f/Tw/y_star/UB は直上行(87行目)の値をコピー)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NEL</dc:creator>
  <dcterms:created xsi:type="dcterms:W3CDTF">2025-01-15T00:20:19Z</dcterms:created>
  <dcterms:modified xsi:type="dcterms:W3CDTF">2026-06-25T23:58:28Z</dcterms:modified>
  <cp:lastModifiedBy>櫻井　征太郎（sakurai seitaro）</cp:lastModifiedBy>
  <cp:lastPrinted>2025-10-30T02:56:27Z</cp:lastPrinted>
</cp:coreProperties>
</file>