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0B975824-3A77-4A88-B4EE-3E8DD3CC505C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tm!$AP$237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tm!$AY$237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37" i="5" l="1"/>
  <c r="C237" i="5"/>
  <c r="D237" i="5"/>
  <c r="E237" i="5"/>
  <c r="F237" i="5"/>
  <c r="G237" i="5"/>
  <c r="H237" i="5"/>
  <c r="I237" i="5"/>
  <c r="J237" i="5"/>
  <c r="K237" i="5"/>
  <c r="L237" i="5"/>
  <c r="O237" i="5"/>
  <c r="P237" i="5"/>
  <c r="U237" i="5"/>
  <c r="W237" i="5"/>
  <c r="Y237" i="5"/>
  <c r="Z237" i="5"/>
  <c r="AA237" i="5"/>
  <c r="AB237" i="5"/>
  <c r="AH237" i="5"/>
  <c r="AI237" i="5"/>
  <c r="AD237" i="5"/>
  <c r="AL237" i="5"/>
  <c r="AK237" i="5"/>
  <c r="AE237" i="5"/>
  <c r="AF237" i="5"/>
  <c r="AJ237" i="5"/>
  <c r="AM237" i="5"/>
  <c r="AN237" i="5"/>
  <c r="AR237" i="5"/>
  <c r="AS237" i="5" s="1"/>
  <c r="AQ237" i="5"/>
  <c r="AT237" i="5"/>
  <c r="AU237" i="5"/>
  <c r="AV237" i="5" s="1"/>
  <c r="AW237" i="5"/>
  <c r="AX237" i="5"/>
  <c r="AZ237" i="5"/>
  <c r="BA237" i="5"/>
  <c r="BB237" i="5" s="1"/>
  <c r="BL237" i="5"/>
  <c r="BN237" i="5" s="1"/>
  <c r="BO237" i="5"/>
  <c r="AO236" i="5"/>
  <c r="C236" i="5"/>
  <c r="D236" i="5"/>
  <c r="E236" i="5"/>
  <c r="F236" i="5"/>
  <c r="G236" i="5"/>
  <c r="H236" i="5"/>
  <c r="I236" i="5"/>
  <c r="J236" i="5"/>
  <c r="K236" i="5"/>
  <c r="L236" i="5"/>
  <c r="AY237" i="5" l="1"/>
  <c r="BM237" i="5"/>
  <c r="BF237" i="5"/>
  <c r="BD237" i="5"/>
  <c r="BP237" i="5"/>
  <c r="BC237" i="5"/>
  <c r="O236" i="5"/>
  <c r="U236" i="5" s="1"/>
  <c r="P236" i="5"/>
  <c r="W236" i="5"/>
  <c r="Y236" i="5"/>
  <c r="Z236" i="5"/>
  <c r="AA236" i="5" s="1"/>
  <c r="AB236" i="5"/>
  <c r="AH236" i="5"/>
  <c r="AI236" i="5"/>
  <c r="AD236" i="5"/>
  <c r="AL236" i="5"/>
  <c r="AK236" i="5"/>
  <c r="AE236" i="5"/>
  <c r="AF236" i="5"/>
  <c r="AJ236" i="5"/>
  <c r="AM236" i="5"/>
  <c r="AN236" i="5"/>
  <c r="AQ236" i="5"/>
  <c r="AR236" i="5"/>
  <c r="AS236" i="5" s="1"/>
  <c r="AT236" i="5"/>
  <c r="AU236" i="5"/>
  <c r="AV236" i="5" s="1"/>
  <c r="AW236" i="5"/>
  <c r="AX236" i="5"/>
  <c r="AZ236" i="5"/>
  <c r="BA236" i="5"/>
  <c r="BL236" i="5"/>
  <c r="BN236" i="5" s="1"/>
  <c r="BO236" i="5"/>
  <c r="AO235" i="5"/>
  <c r="C235" i="5"/>
  <c r="D235" i="5"/>
  <c r="E235" i="5"/>
  <c r="F235" i="5"/>
  <c r="G235" i="5"/>
  <c r="H235" i="5"/>
  <c r="I235" i="5"/>
  <c r="J235" i="5"/>
  <c r="K235" i="5"/>
  <c r="L235" i="5"/>
  <c r="BB236" i="5" l="1"/>
  <c r="BM236" i="5" s="1"/>
  <c r="AY236" i="5"/>
  <c r="BF236" i="5"/>
  <c r="BD236" i="5"/>
  <c r="BC236" i="5"/>
  <c r="BP236" i="5"/>
  <c r="O235" i="5"/>
  <c r="P235" i="5"/>
  <c r="U235" i="5"/>
  <c r="W235" i="5"/>
  <c r="Y235" i="5"/>
  <c r="Z235" i="5"/>
  <c r="AA235" i="5"/>
  <c r="AB235" i="5"/>
  <c r="AH235" i="5"/>
  <c r="AI235" i="5"/>
  <c r="AD235" i="5"/>
  <c r="AL235" i="5"/>
  <c r="AK235" i="5"/>
  <c r="AE235" i="5"/>
  <c r="AF235" i="5"/>
  <c r="AJ235" i="5"/>
  <c r="AM235" i="5"/>
  <c r="AN235" i="5"/>
  <c r="AR235" i="5"/>
  <c r="AS235" i="5" s="1"/>
  <c r="AQ235" i="5"/>
  <c r="AT235" i="5"/>
  <c r="AU235" i="5"/>
  <c r="AV235" i="5" s="1"/>
  <c r="AW235" i="5"/>
  <c r="AX235" i="5" s="1"/>
  <c r="AZ235" i="5"/>
  <c r="BA235" i="5"/>
  <c r="BB235" i="5" s="1"/>
  <c r="BL235" i="5"/>
  <c r="BN235" i="5" s="1"/>
  <c r="BO235" i="5"/>
  <c r="AO234" i="5"/>
  <c r="C234" i="5"/>
  <c r="D234" i="5"/>
  <c r="E234" i="5"/>
  <c r="F234" i="5"/>
  <c r="G234" i="5"/>
  <c r="H234" i="5"/>
  <c r="I234" i="5"/>
  <c r="J234" i="5"/>
  <c r="K234" i="5"/>
  <c r="L234" i="5"/>
  <c r="BM235" i="5" l="1"/>
  <c r="BF235" i="5"/>
  <c r="BD235" i="5"/>
  <c r="AY235" i="5"/>
  <c r="BP235" i="5"/>
  <c r="BC235" i="5"/>
  <c r="O234" i="5"/>
  <c r="U234" i="5" s="1"/>
  <c r="P234" i="5"/>
  <c r="W234" i="5"/>
  <c r="Y234" i="5"/>
  <c r="Z234" i="5"/>
  <c r="AA234" i="5"/>
  <c r="AB234" i="5"/>
  <c r="AH234" i="5"/>
  <c r="AI234" i="5"/>
  <c r="AD234" i="5"/>
  <c r="AL234" i="5"/>
  <c r="AK234" i="5"/>
  <c r="AE234" i="5"/>
  <c r="AF234" i="5"/>
  <c r="AJ234" i="5"/>
  <c r="AM234" i="5"/>
  <c r="AN234" i="5"/>
  <c r="AR234" i="5"/>
  <c r="AS234" i="5" s="1"/>
  <c r="AQ234" i="5"/>
  <c r="AT234" i="5"/>
  <c r="AU234" i="5"/>
  <c r="AV234" i="5" s="1"/>
  <c r="AW234" i="5"/>
  <c r="AX234" i="5"/>
  <c r="AZ234" i="5"/>
  <c r="BA234" i="5"/>
  <c r="BB234" i="5" s="1"/>
  <c r="BL234" i="5"/>
  <c r="BN234" i="5" s="1"/>
  <c r="BO234" i="5"/>
  <c r="AO233" i="5"/>
  <c r="C233" i="5"/>
  <c r="D233" i="5"/>
  <c r="E233" i="5"/>
  <c r="F233" i="5"/>
  <c r="G233" i="5"/>
  <c r="H233" i="5"/>
  <c r="I233" i="5"/>
  <c r="J233" i="5"/>
  <c r="K233" i="5"/>
  <c r="L233" i="5"/>
  <c r="BM234" i="5" l="1"/>
  <c r="BF234" i="5"/>
  <c r="AY234" i="5"/>
  <c r="BD234" i="5"/>
  <c r="BC234" i="5"/>
  <c r="BP234" i="5"/>
  <c r="O233" i="5"/>
  <c r="P233" i="5"/>
  <c r="U233" i="5"/>
  <c r="W233" i="5"/>
  <c r="Z233" i="5" s="1"/>
  <c r="AA233" i="5" s="1"/>
  <c r="Y233" i="5"/>
  <c r="AB233" i="5"/>
  <c r="AH233" i="5"/>
  <c r="AI233" i="5"/>
  <c r="AD233" i="5"/>
  <c r="AL233" i="5"/>
  <c r="AK233" i="5"/>
  <c r="AE233" i="5"/>
  <c r="AF233" i="5" l="1"/>
  <c r="AJ233" i="5"/>
  <c r="AM233" i="5"/>
  <c r="AN233" i="5"/>
  <c r="AR233" i="5"/>
  <c r="AS233" i="5" s="1"/>
  <c r="AQ233" i="5"/>
  <c r="AT233" i="5"/>
  <c r="AU233" i="5"/>
  <c r="AV233" i="5" s="1"/>
  <c r="AW233" i="5"/>
  <c r="AX233" i="5" s="1"/>
  <c r="AZ233" i="5"/>
  <c r="BA233" i="5"/>
  <c r="BL233" i="5"/>
  <c r="BN233" i="5"/>
  <c r="BO233" i="5"/>
  <c r="BP233" i="5"/>
  <c r="AO232" i="5"/>
  <c r="C232" i="5"/>
  <c r="D232" i="5"/>
  <c r="E232" i="5"/>
  <c r="F232" i="5"/>
  <c r="G232" i="5"/>
  <c r="H232" i="5"/>
  <c r="I232" i="5"/>
  <c r="J232" i="5"/>
  <c r="K232" i="5"/>
  <c r="L232" i="5"/>
  <c r="BC233" i="5" l="1"/>
  <c r="BB233" i="5"/>
  <c r="BM233" i="5"/>
  <c r="BF233" i="5"/>
  <c r="AY233" i="5"/>
  <c r="BD233" i="5"/>
  <c r="O232" i="5"/>
  <c r="U232" i="5" s="1"/>
  <c r="P232" i="5"/>
  <c r="W232" i="5"/>
  <c r="Y232" i="5"/>
  <c r="Z232" i="5"/>
  <c r="AA232" i="5"/>
  <c r="AB232" i="5"/>
  <c r="AH232" i="5"/>
  <c r="AI232" i="5"/>
  <c r="AD232" i="5"/>
  <c r="AL232" i="5"/>
  <c r="AK232" i="5"/>
  <c r="AE232" i="5"/>
  <c r="AF232" i="5" l="1"/>
  <c r="AJ232" i="5"/>
  <c r="AM232" i="5"/>
  <c r="AN232" i="5"/>
  <c r="AR232" i="5"/>
  <c r="AS232" i="5" s="1"/>
  <c r="AQ232" i="5"/>
  <c r="AT232" i="5"/>
  <c r="AU232" i="5"/>
  <c r="AV232" i="5" s="1"/>
  <c r="AW232" i="5"/>
  <c r="AX232" i="5"/>
  <c r="AZ232" i="5"/>
  <c r="BA232" i="5"/>
  <c r="BL232" i="5"/>
  <c r="BN232" i="5" s="1"/>
  <c r="BO232" i="5"/>
  <c r="AO231" i="5"/>
  <c r="C231" i="5"/>
  <c r="D231" i="5"/>
  <c r="E231" i="5"/>
  <c r="F231" i="5"/>
  <c r="G231" i="5"/>
  <c r="H231" i="5"/>
  <c r="I231" i="5"/>
  <c r="J231" i="5"/>
  <c r="K231" i="5"/>
  <c r="L231" i="5"/>
  <c r="BM232" i="5" l="1"/>
  <c r="BB232" i="5"/>
  <c r="BF232" i="5"/>
  <c r="BD232" i="5"/>
  <c r="BC232" i="5"/>
  <c r="AY232" i="5"/>
  <c r="BP232" i="5"/>
  <c r="O231" i="5"/>
  <c r="U231" i="5" s="1"/>
  <c r="P231" i="5"/>
  <c r="W231" i="5"/>
  <c r="Z231" i="5" s="1"/>
  <c r="AA231" i="5" s="1"/>
  <c r="Y231" i="5"/>
  <c r="AB231" i="5"/>
  <c r="AH231" i="5"/>
  <c r="AI231" i="5"/>
  <c r="AD231" i="5"/>
  <c r="AL231" i="5"/>
  <c r="AK231" i="5"/>
  <c r="AE231" i="5"/>
  <c r="AF231" i="5"/>
  <c r="AJ231" i="5"/>
  <c r="AM231" i="5"/>
  <c r="AN231" i="5"/>
  <c r="AR231" i="5"/>
  <c r="AS231" i="5" s="1"/>
  <c r="AQ231" i="5"/>
  <c r="AT231" i="5"/>
  <c r="AU231" i="5"/>
  <c r="AV231" i="5"/>
  <c r="AW231" i="5"/>
  <c r="AX231" i="5"/>
  <c r="AZ231" i="5"/>
  <c r="BA231" i="5"/>
  <c r="BB231" i="5" s="1"/>
  <c r="BL231" i="5"/>
  <c r="BP231" i="5" s="1"/>
  <c r="BN231" i="5"/>
  <c r="BO231" i="5"/>
  <c r="AO230" i="5"/>
  <c r="C230" i="5"/>
  <c r="D230" i="5"/>
  <c r="E230" i="5"/>
  <c r="F230" i="5"/>
  <c r="G230" i="5"/>
  <c r="H230" i="5"/>
  <c r="I230" i="5"/>
  <c r="J230" i="5"/>
  <c r="K230" i="5"/>
  <c r="L230" i="5"/>
  <c r="AY231" i="5" l="1"/>
  <c r="BD231" i="5"/>
  <c r="BF231" i="5"/>
  <c r="BM231" i="5"/>
  <c r="BC231" i="5"/>
  <c r="O230" i="5"/>
  <c r="U230" i="5" s="1"/>
  <c r="P230" i="5"/>
  <c r="W230" i="5"/>
  <c r="Y230" i="5"/>
  <c r="Z230" i="5"/>
  <c r="AA230" i="5" s="1"/>
  <c r="AB230" i="5"/>
  <c r="AH230" i="5"/>
  <c r="AI230" i="5"/>
  <c r="AD230" i="5"/>
  <c r="AL230" i="5"/>
  <c r="AK230" i="5"/>
  <c r="AE230" i="5"/>
  <c r="AF230" i="5"/>
  <c r="AJ230" i="5"/>
  <c r="AM230" i="5"/>
  <c r="AN230" i="5"/>
  <c r="AR230" i="5"/>
  <c r="AS230" i="5" s="1"/>
  <c r="AQ230" i="5"/>
  <c r="AT230" i="5"/>
  <c r="AU230" i="5"/>
  <c r="AV230" i="5"/>
  <c r="AW230" i="5"/>
  <c r="AX230" i="5"/>
  <c r="AZ230" i="5"/>
  <c r="BA230" i="5"/>
  <c r="BB230" i="5" s="1"/>
  <c r="BL230" i="5"/>
  <c r="BP230" i="5" s="1"/>
  <c r="BN230" i="5"/>
  <c r="BO230" i="5"/>
  <c r="AO229" i="5"/>
  <c r="C229" i="5"/>
  <c r="D229" i="5"/>
  <c r="E229" i="5"/>
  <c r="F229" i="5"/>
  <c r="G229" i="5"/>
  <c r="H229" i="5"/>
  <c r="I229" i="5"/>
  <c r="J229" i="5"/>
  <c r="K229" i="5"/>
  <c r="L229" i="5"/>
  <c r="AY230" i="5" l="1"/>
  <c r="BC230" i="5"/>
  <c r="BD230" i="5"/>
  <c r="BF230" i="5"/>
  <c r="BM230" i="5"/>
  <c r="O229" i="5"/>
  <c r="U229" i="5" s="1"/>
  <c r="P229" i="5"/>
  <c r="W229" i="5"/>
  <c r="Y229" i="5"/>
  <c r="Z229" i="5"/>
  <c r="AA229" i="5" s="1"/>
  <c r="AB229" i="5"/>
  <c r="AH229" i="5"/>
  <c r="AI229" i="5"/>
  <c r="AD229" i="5"/>
  <c r="AL229" i="5"/>
  <c r="AK229" i="5"/>
  <c r="AE229" i="5"/>
  <c r="AF229" i="5"/>
  <c r="AJ229" i="5"/>
  <c r="AM229" i="5"/>
  <c r="AN229" i="5"/>
  <c r="AR229" i="5"/>
  <c r="AS229" i="5" s="1"/>
  <c r="AQ229" i="5"/>
  <c r="AT229" i="5"/>
  <c r="AU229" i="5"/>
  <c r="AV229" i="5" s="1"/>
  <c r="AW229" i="5"/>
  <c r="AX229" i="5" s="1"/>
  <c r="AZ229" i="5"/>
  <c r="BA229" i="5"/>
  <c r="BL229" i="5"/>
  <c r="BN229" i="5" s="1"/>
  <c r="BO229" i="5"/>
  <c r="AO228" i="5"/>
  <c r="C228" i="5"/>
  <c r="D228" i="5"/>
  <c r="E228" i="5"/>
  <c r="F228" i="5"/>
  <c r="G228" i="5"/>
  <c r="H228" i="5"/>
  <c r="I228" i="5"/>
  <c r="J228" i="5"/>
  <c r="K228" i="5"/>
  <c r="L228" i="5"/>
  <c r="BB229" i="5" l="1"/>
  <c r="BM229" i="5" s="1"/>
  <c r="BF229" i="5"/>
  <c r="BD229" i="5"/>
  <c r="BC229" i="5"/>
  <c r="AY229" i="5"/>
  <c r="BP229" i="5"/>
  <c r="O228" i="5"/>
  <c r="U228" i="5" s="1"/>
  <c r="P228" i="5"/>
  <c r="W228" i="5"/>
  <c r="Z228" i="5" s="1"/>
  <c r="Y228" i="5"/>
  <c r="AA228" i="5" s="1"/>
  <c r="AB228" i="5"/>
  <c r="AH228" i="5"/>
  <c r="AI228" i="5" s="1"/>
  <c r="AD228" i="5" s="1"/>
  <c r="AL228" i="5"/>
  <c r="AK228" i="5"/>
  <c r="AE228" i="5"/>
  <c r="AF228" i="5" l="1"/>
  <c r="AJ228" i="5"/>
  <c r="AM228" i="5"/>
  <c r="AN228" i="5"/>
  <c r="AR228" i="5"/>
  <c r="AS228" i="5" s="1"/>
  <c r="AQ228" i="5"/>
  <c r="AT228" i="5"/>
  <c r="AU228" i="5"/>
  <c r="AV228" i="5" s="1"/>
  <c r="AW228" i="5"/>
  <c r="AX228" i="5"/>
  <c r="AZ228" i="5"/>
  <c r="BA228" i="5"/>
  <c r="BB228" i="5" s="1"/>
  <c r="BL228" i="5"/>
  <c r="BN228" i="5"/>
  <c r="BO228" i="5"/>
  <c r="BP228" i="5"/>
  <c r="AO227" i="5"/>
  <c r="C227" i="5"/>
  <c r="D227" i="5"/>
  <c r="E227" i="5"/>
  <c r="F227" i="5"/>
  <c r="G227" i="5"/>
  <c r="H227" i="5"/>
  <c r="I227" i="5"/>
  <c r="J227" i="5"/>
  <c r="K227" i="5"/>
  <c r="L227" i="5"/>
  <c r="BD228" i="5" l="1"/>
  <c r="AY228" i="5"/>
  <c r="BC228" i="5"/>
  <c r="BF228" i="5"/>
  <c r="BM228" i="5"/>
  <c r="O227" i="5"/>
  <c r="U227" i="5" s="1"/>
  <c r="P227" i="5"/>
  <c r="W227" i="5"/>
  <c r="Y227" i="5"/>
  <c r="Z227" i="5"/>
  <c r="AA227" i="5" s="1"/>
  <c r="AB227" i="5"/>
  <c r="AH227" i="5"/>
  <c r="AI227" i="5"/>
  <c r="AD227" i="5"/>
  <c r="AL227" i="5"/>
  <c r="AK227" i="5"/>
  <c r="AE227" i="5"/>
  <c r="AF227" i="5"/>
  <c r="AJ227" i="5"/>
  <c r="AM227" i="5"/>
  <c r="AN227" i="5"/>
  <c r="AQ227" i="5"/>
  <c r="AR227" i="5"/>
  <c r="AS227" i="5"/>
  <c r="AT227" i="5"/>
  <c r="AU227" i="5"/>
  <c r="AV227" i="5"/>
  <c r="AW227" i="5"/>
  <c r="AX227" i="5"/>
  <c r="AZ227" i="5"/>
  <c r="BA227" i="5"/>
  <c r="BL227" i="5"/>
  <c r="BN227" i="5" s="1"/>
  <c r="BO227" i="5"/>
  <c r="AO226" i="5"/>
  <c r="C226" i="5"/>
  <c r="D226" i="5"/>
  <c r="E226" i="5"/>
  <c r="F226" i="5"/>
  <c r="G226" i="5"/>
  <c r="H226" i="5"/>
  <c r="I226" i="5"/>
  <c r="J226" i="5"/>
  <c r="K226" i="5"/>
  <c r="L226" i="5"/>
  <c r="BB227" i="5" l="1"/>
  <c r="BM227" i="5" s="1"/>
  <c r="AY227" i="5"/>
  <c r="BF227" i="5"/>
  <c r="BD227" i="5"/>
  <c r="BP227" i="5"/>
  <c r="BC227" i="5"/>
  <c r="O226" i="5"/>
  <c r="P226" i="5"/>
  <c r="U226" i="5"/>
  <c r="W226" i="5"/>
  <c r="Y226" i="5"/>
  <c r="Z226" i="5"/>
  <c r="AA226" i="5" s="1"/>
  <c r="AB226" i="5"/>
  <c r="AH226" i="5"/>
  <c r="AI226" i="5"/>
  <c r="AD226" i="5"/>
  <c r="AL226" i="5"/>
  <c r="AK226" i="5"/>
  <c r="AE226" i="5"/>
  <c r="AF226" i="5"/>
  <c r="AJ226" i="5"/>
  <c r="AM226" i="5"/>
  <c r="AN226" i="5"/>
  <c r="AR226" i="5"/>
  <c r="AS226" i="5" s="1"/>
  <c r="AQ226" i="5"/>
  <c r="AT226" i="5"/>
  <c r="AU226" i="5"/>
  <c r="AV226" i="5"/>
  <c r="AW226" i="5"/>
  <c r="AX226" i="5"/>
  <c r="AZ226" i="5"/>
  <c r="BA226" i="5"/>
  <c r="BB226" i="5" s="1"/>
  <c r="BL226" i="5"/>
  <c r="BN226" i="5" s="1"/>
  <c r="BO226" i="5"/>
  <c r="BO225" i="5"/>
  <c r="Y225" i="5"/>
  <c r="P225" i="5"/>
  <c r="O225" i="5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K225" i="5" a="1"/>
  <c r="G224" i="5" a="1"/>
  <c r="L223" i="5" a="1"/>
  <c r="L221" i="5" a="1"/>
  <c r="H220" i="5" a="1"/>
  <c r="H218" i="5" a="1"/>
  <c r="D216" i="5" a="1"/>
  <c r="C215" i="5" a="1"/>
  <c r="F213" i="5" a="1"/>
  <c r="H211" i="5" a="1"/>
  <c r="H209" i="5" a="1"/>
  <c r="H207" i="5" a="1"/>
  <c r="C206" i="5" a="1"/>
  <c r="F204" i="5" a="1"/>
  <c r="L203" i="5" a="1"/>
  <c r="G202" i="5" a="1"/>
  <c r="L201" i="5" a="1"/>
  <c r="G200" i="5" a="1"/>
  <c r="H198" i="5" a="1"/>
  <c r="G196" i="5" a="1"/>
  <c r="L195" i="5" a="1"/>
  <c r="I194" i="5" a="1"/>
  <c r="D193" i="5" a="1"/>
  <c r="L192" i="5" a="1"/>
  <c r="G191" i="5" a="1"/>
  <c r="C190" i="5" a="1"/>
  <c r="H189" i="5" a="1"/>
  <c r="C188" i="5" a="1"/>
  <c r="I187" i="5" a="1"/>
  <c r="E186" i="5" a="1"/>
  <c r="J185" i="5" a="1"/>
  <c r="K183" i="5" a="1"/>
  <c r="D182" i="5" a="1"/>
  <c r="G180" i="5" a="1"/>
  <c r="C179" i="5" a="1"/>
  <c r="H178" i="5" a="1"/>
  <c r="G176" i="5" a="1"/>
  <c r="L175" i="5" a="1"/>
  <c r="F174" i="5" a="1"/>
  <c r="L173" i="5" a="1"/>
  <c r="F172" i="5" a="1"/>
  <c r="L171" i="5" a="1"/>
  <c r="C171" i="5" a="1"/>
  <c r="I170" i="5" a="1"/>
  <c r="C169" i="5" a="1"/>
  <c r="I168" i="5" a="1"/>
  <c r="L166" i="5" a="1"/>
  <c r="H165" i="5" a="1"/>
  <c r="H163" i="5" a="1"/>
  <c r="G162" i="5" a="1"/>
  <c r="L161" i="5" a="1"/>
  <c r="H160" i="5" a="1"/>
  <c r="D159" i="5" a="1"/>
  <c r="I158" i="5" a="1"/>
  <c r="G156" i="5" a="1"/>
  <c r="C154" i="5" a="1"/>
  <c r="I153" i="5" a="1"/>
  <c r="G152" i="5" a="1"/>
  <c r="D151" i="5" a="1"/>
  <c r="J150" i="5" a="1"/>
  <c r="F149" i="5" a="1"/>
  <c r="J225" i="5" a="1"/>
  <c r="F224" i="5" a="1"/>
  <c r="K223" i="5" a="1"/>
  <c r="E222" i="5" a="1"/>
  <c r="K221" i="5" a="1"/>
  <c r="G220" i="5" a="1"/>
  <c r="L219" i="5" a="1"/>
  <c r="G218" i="5" a="1"/>
  <c r="E217" i="5" a="1"/>
  <c r="C216" i="5" a="1"/>
  <c r="K215" i="5" a="1"/>
  <c r="H214" i="5" a="1"/>
  <c r="E213" i="5" a="1"/>
  <c r="K212" i="5" a="1"/>
  <c r="G211" i="5" a="1"/>
  <c r="L210" i="5" a="1"/>
  <c r="G209" i="5" a="1"/>
  <c r="L208" i="5" a="1"/>
  <c r="G207" i="5" a="1"/>
  <c r="H205" i="5" a="1"/>
  <c r="E204" i="5" a="1"/>
  <c r="K203" i="5" a="1"/>
  <c r="F202" i="5" a="1"/>
  <c r="K201" i="5" a="1"/>
  <c r="F200" i="5" a="1"/>
  <c r="L199" i="5" a="1"/>
  <c r="G198" i="5" a="1"/>
  <c r="F196" i="5" a="1"/>
  <c r="K195" i="5" a="1"/>
  <c r="K192" i="5" a="1"/>
  <c r="F191" i="5" a="1"/>
  <c r="L190" i="5" a="1"/>
  <c r="G189" i="5" a="1"/>
  <c r="H187" i="5" a="1"/>
  <c r="D186" i="5" a="1"/>
  <c r="I185" i="5" a="1"/>
  <c r="D184" i="5" a="1"/>
  <c r="J183" i="5" a="1"/>
  <c r="C182" i="5" a="1"/>
  <c r="J181" i="5" a="1"/>
  <c r="F180" i="5" a="1"/>
  <c r="L179" i="5" a="1"/>
  <c r="G178" i="5" a="1"/>
  <c r="F176" i="5" a="1"/>
  <c r="E174" i="5" a="1"/>
  <c r="K173" i="5" a="1"/>
  <c r="E172" i="5" a="1"/>
  <c r="K171" i="5" a="1"/>
  <c r="H170" i="5" a="1"/>
  <c r="H168" i="5" a="1"/>
  <c r="D167" i="5" a="1"/>
  <c r="K166" i="5" a="1"/>
  <c r="G165" i="5" a="1"/>
  <c r="L164" i="5" a="1"/>
  <c r="G163" i="5" a="1"/>
  <c r="F162" i="5" a="1"/>
  <c r="K161" i="5" a="1"/>
  <c r="G160" i="5" a="1"/>
  <c r="C159" i="5" a="1"/>
  <c r="H158" i="5" a="1"/>
  <c r="F156" i="5" a="1"/>
  <c r="E155" i="5" a="1"/>
  <c r="K154" i="5" a="1"/>
  <c r="I150" i="5" a="1"/>
  <c r="E149" i="5" a="1"/>
  <c r="I225" i="5" a="1"/>
  <c r="E224" i="5" a="1"/>
  <c r="J223" i="5" a="1"/>
  <c r="J221" i="5" a="1"/>
  <c r="F220" i="5" a="1"/>
  <c r="K219" i="5" a="1"/>
  <c r="F218" i="5" a="1"/>
  <c r="G214" i="5" a="1"/>
  <c r="D213" i="5" a="1"/>
  <c r="J212" i="5" a="1"/>
  <c r="F211" i="5" a="1"/>
  <c r="K210" i="5" a="1"/>
  <c r="F209" i="5" a="1"/>
  <c r="K208" i="5" a="1"/>
  <c r="G205" i="5" a="1"/>
  <c r="D204" i="5" a="1"/>
  <c r="J203" i="5" a="1"/>
  <c r="E202" i="5" a="1"/>
  <c r="J201" i="5" a="1"/>
  <c r="E200" i="5" a="1"/>
  <c r="K199" i="5" a="1"/>
  <c r="F198" i="5" a="1"/>
  <c r="L197" i="5" a="1"/>
  <c r="E196" i="5" a="1"/>
  <c r="H194" i="5" a="1"/>
  <c r="C193" i="5" a="1"/>
  <c r="J192" i="5" a="1"/>
  <c r="E191" i="5" a="1"/>
  <c r="F189" i="5" a="1"/>
  <c r="C186" i="5" a="1"/>
  <c r="H185" i="5" a="1"/>
  <c r="C184" i="5" a="1"/>
  <c r="I183" i="5" a="1"/>
  <c r="K179" i="5" a="1"/>
  <c r="F178" i="5" a="1"/>
  <c r="L177" i="5" a="1"/>
  <c r="E176" i="5" a="1"/>
  <c r="K175" i="5" a="1"/>
  <c r="D174" i="5" a="1"/>
  <c r="J173" i="5" a="1"/>
  <c r="D172" i="5" a="1"/>
  <c r="G170" i="5" a="1"/>
  <c r="L169" i="5" a="1"/>
  <c r="G168" i="5" a="1"/>
  <c r="J166" i="5" a="1"/>
  <c r="F165" i="5" a="1"/>
  <c r="K164" i="5" a="1"/>
  <c r="F163" i="5" a="1"/>
  <c r="E162" i="5" a="1"/>
  <c r="J161" i="5" a="1"/>
  <c r="F160" i="5" a="1"/>
  <c r="G158" i="5" a="1"/>
  <c r="L157" i="5" a="1"/>
  <c r="E156" i="5" a="1"/>
  <c r="L155" i="5" a="1"/>
  <c r="D155" i="5" a="1"/>
  <c r="J154" i="5" a="1"/>
  <c r="H153" i="5" a="1"/>
  <c r="F152" i="5" a="1"/>
  <c r="L151" i="5" a="1"/>
  <c r="C151" i="5" a="1"/>
  <c r="H150" i="5" a="1"/>
  <c r="D149" i="5" a="1"/>
  <c r="G225" i="5" a="1"/>
  <c r="L224" i="5" a="1"/>
  <c r="G223" i="5" a="1"/>
  <c r="L222" i="5" a="1"/>
  <c r="H221" i="5" a="1"/>
  <c r="C220" i="5" a="1"/>
  <c r="H219" i="5" a="1"/>
  <c r="D218" i="5" a="1"/>
  <c r="J217" i="5" a="1"/>
  <c r="C217" i="5" a="1"/>
  <c r="J216" i="5" a="1"/>
  <c r="H215" i="5" a="1"/>
  <c r="E214" i="5" a="1"/>
  <c r="L213" i="5" a="1"/>
  <c r="G212" i="5" a="1"/>
  <c r="C211" i="5" a="1"/>
  <c r="H210" i="5" a="1"/>
  <c r="C209" i="5" a="1"/>
  <c r="H208" i="5" a="1"/>
  <c r="E207" i="5" a="1"/>
  <c r="J206" i="5" a="1"/>
  <c r="E205" i="5" a="1"/>
  <c r="G203" i="5" a="1"/>
  <c r="L202" i="5" a="1"/>
  <c r="G201" i="5" a="1"/>
  <c r="H199" i="5" a="1"/>
  <c r="C198" i="5" a="1"/>
  <c r="I197" i="5" a="1"/>
  <c r="I195" i="5" a="1"/>
  <c r="E194" i="5" a="1"/>
  <c r="K193" i="5" a="1"/>
  <c r="G192" i="5" a="1"/>
  <c r="C191" i="5" a="1"/>
  <c r="J190" i="5" a="1"/>
  <c r="C189" i="5" a="1"/>
  <c r="J188" i="5" a="1"/>
  <c r="F187" i="5" a="1"/>
  <c r="E185" i="5" a="1"/>
  <c r="J184" i="5" a="1"/>
  <c r="F183" i="5" a="1"/>
  <c r="K182" i="5" a="1"/>
  <c r="G181" i="5" a="1"/>
  <c r="C180" i="5" a="1"/>
  <c r="H179" i="5" a="1"/>
  <c r="I177" i="5" a="1"/>
  <c r="H175" i="5" a="1"/>
  <c r="H173" i="5" a="1"/>
  <c r="I171" i="5" a="1"/>
  <c r="D170" i="5" a="1"/>
  <c r="I169" i="5" a="1"/>
  <c r="D168" i="5" a="1"/>
  <c r="J167" i="5" a="1"/>
  <c r="H166" i="5" a="1"/>
  <c r="C165" i="5" a="1"/>
  <c r="H164" i="5" a="1"/>
  <c r="G161" i="5" a="1"/>
  <c r="K159" i="5" a="1"/>
  <c r="D158" i="5" a="1"/>
  <c r="I157" i="5" a="1"/>
  <c r="C156" i="5" a="1"/>
  <c r="J155" i="5" a="1"/>
  <c r="H154" i="5" a="1"/>
  <c r="F153" i="5" a="1"/>
  <c r="L152" i="5" a="1"/>
  <c r="E150" i="5" a="1"/>
  <c r="K149" i="5" a="1"/>
  <c r="F225" i="5" a="1"/>
  <c r="F223" i="5" a="1"/>
  <c r="K222" i="5" a="1"/>
  <c r="G221" i="5" a="1"/>
  <c r="C218" i="5" a="1"/>
  <c r="I216" i="5" a="1"/>
  <c r="G215" i="5" a="1"/>
  <c r="D214" i="5" a="1"/>
  <c r="K213" i="5" a="1"/>
  <c r="F212" i="5" a="1"/>
  <c r="G210" i="5" a="1"/>
  <c r="G208" i="5" a="1"/>
  <c r="D207" i="5" a="1"/>
  <c r="I206" i="5" a="1"/>
  <c r="D205" i="5" a="1"/>
  <c r="L204" i="5" a="1"/>
  <c r="F203" i="5" a="1"/>
  <c r="K202" i="5" a="1"/>
  <c r="L200" i="5" a="1"/>
  <c r="G199" i="5" a="1"/>
  <c r="H197" i="5" a="1"/>
  <c r="H195" i="5" a="1"/>
  <c r="D194" i="5" a="1"/>
  <c r="J193" i="5" a="1"/>
  <c r="F192" i="5" a="1"/>
  <c r="L191" i="5" a="1"/>
  <c r="I190" i="5" a="1"/>
  <c r="I188" i="5" a="1"/>
  <c r="E187" i="5" a="1"/>
  <c r="K186" i="5" a="1"/>
  <c r="D185" i="5" a="1"/>
  <c r="I184" i="5" a="1"/>
  <c r="E183" i="5" a="1"/>
  <c r="J182" i="5" a="1"/>
  <c r="F181" i="5" a="1"/>
  <c r="G179" i="5" a="1"/>
  <c r="C178" i="5" a="1"/>
  <c r="H177" i="5" a="1"/>
  <c r="G175" i="5" a="1"/>
  <c r="L174" i="5" a="1"/>
  <c r="G173" i="5" a="1"/>
  <c r="L172" i="5" a="1"/>
  <c r="H171" i="5" a="1"/>
  <c r="C170" i="5" a="1"/>
  <c r="H169" i="5" a="1"/>
  <c r="C168" i="5" a="1"/>
  <c r="I167" i="5" a="1"/>
  <c r="G166" i="5" a="1"/>
  <c r="C163" i="5" a="1"/>
  <c r="L162" i="5" a="1"/>
  <c r="F161" i="5" a="1"/>
  <c r="C160" i="5" a="1"/>
  <c r="J159" i="5" a="1"/>
  <c r="C158" i="5" a="1"/>
  <c r="H157" i="5" a="1"/>
  <c r="I155" i="5" a="1"/>
  <c r="G154" i="5" a="1"/>
  <c r="C152" i="5" a="1"/>
  <c r="I151" i="5" a="1"/>
  <c r="D150" i="5" a="1"/>
  <c r="J149" i="5" a="1"/>
  <c r="E225" i="5" a="1"/>
  <c r="K224" i="5" a="1"/>
  <c r="E223" i="5" a="1"/>
  <c r="J222" i="5" a="1"/>
  <c r="F221" i="5" a="1"/>
  <c r="L220" i="5" a="1"/>
  <c r="G219" i="5" a="1"/>
  <c r="L218" i="5" a="1"/>
  <c r="I217" i="5" a="1"/>
  <c r="F215" i="5" a="1"/>
  <c r="L211" i="5" a="1"/>
  <c r="F210" i="5" a="1"/>
  <c r="F208" i="5" a="1"/>
  <c r="L207" i="5" a="1"/>
  <c r="C207" i="5" a="1"/>
  <c r="H206" i="5" a="1"/>
  <c r="C205" i="5" a="1"/>
  <c r="K204" i="5" a="1"/>
  <c r="E203" i="5" a="1"/>
  <c r="J202" i="5" a="1"/>
  <c r="F201" i="5" a="1"/>
  <c r="K200" i="5" a="1"/>
  <c r="G197" i="5" a="1"/>
  <c r="L196" i="5" a="1"/>
  <c r="G195" i="5" a="1"/>
  <c r="I193" i="5" a="1"/>
  <c r="E192" i="5" a="1"/>
  <c r="K191" i="5" a="1"/>
  <c r="H190" i="5" a="1"/>
  <c r="H188" i="5" a="1"/>
  <c r="D187" i="5" a="1"/>
  <c r="J186" i="5" a="1"/>
  <c r="C185" i="5" a="1"/>
  <c r="H184" i="5" a="1"/>
  <c r="D183" i="5" a="1"/>
  <c r="I182" i="5" a="1"/>
  <c r="L180" i="5" a="1"/>
  <c r="F179" i="5" a="1"/>
  <c r="G177" i="5" a="1"/>
  <c r="L176" i="5" a="1"/>
  <c r="F175" i="5" a="1"/>
  <c r="K174" i="5" a="1"/>
  <c r="F173" i="5" a="1"/>
  <c r="K172" i="5" a="1"/>
  <c r="G171" i="5" a="1"/>
  <c r="G169" i="5" a="1"/>
  <c r="H167" i="5" a="1"/>
  <c r="F166" i="5" a="1"/>
  <c r="L165" i="5" a="1"/>
  <c r="G164" i="5" a="1"/>
  <c r="K162" i="5" a="1"/>
  <c r="E161" i="5" a="1"/>
  <c r="L160" i="5" a="1"/>
  <c r="I159" i="5" a="1"/>
  <c r="G157" i="5" a="1"/>
  <c r="L156" i="5" a="1"/>
  <c r="E153" i="5" a="1"/>
  <c r="K152" i="5" a="1"/>
  <c r="H151" i="5" a="1"/>
  <c r="C225" i="5" a="1"/>
  <c r="J224" i="5" a="1"/>
  <c r="C223" i="5" a="1"/>
  <c r="H222" i="5" a="1"/>
  <c r="E221" i="5" a="1"/>
  <c r="J220" i="5" a="1"/>
  <c r="E219" i="5" a="1"/>
  <c r="K218" i="5" a="1"/>
  <c r="H217" i="5" a="1"/>
  <c r="G216" i="5" a="1"/>
  <c r="E215" i="5" a="1"/>
  <c r="K214" i="5" a="1"/>
  <c r="I213" i="5" a="1"/>
  <c r="D212" i="5" a="1"/>
  <c r="K211" i="5" a="1"/>
  <c r="E210" i="5" a="1"/>
  <c r="K209" i="5" a="1"/>
  <c r="D208" i="5" a="1"/>
  <c r="K207" i="5" a="1"/>
  <c r="F206" i="5" a="1"/>
  <c r="K205" i="5" a="1"/>
  <c r="I204" i="5" a="1"/>
  <c r="C203" i="5" a="1"/>
  <c r="D201" i="5" a="1"/>
  <c r="I200" i="5" a="1"/>
  <c r="E199" i="5" a="1"/>
  <c r="K198" i="5" a="1"/>
  <c r="E197" i="5" a="1"/>
  <c r="J196" i="5" a="1"/>
  <c r="E195" i="5" a="1"/>
  <c r="L194" i="5" a="1"/>
  <c r="G193" i="5" a="1"/>
  <c r="C192" i="5" a="1"/>
  <c r="I191" i="5" a="1"/>
  <c r="F190" i="5" a="1"/>
  <c r="K189" i="5" a="1"/>
  <c r="F188" i="5" a="1"/>
  <c r="L187" i="5" a="1"/>
  <c r="H186" i="5" a="1"/>
  <c r="F184" i="5" a="1"/>
  <c r="G182" i="5" a="1"/>
  <c r="L181" i="5" a="1"/>
  <c r="J180" i="5" a="1"/>
  <c r="E179" i="5" a="1"/>
  <c r="K178" i="5" a="1"/>
  <c r="E177" i="5" a="1"/>
  <c r="J176" i="5" a="1"/>
  <c r="D175" i="5" a="1"/>
  <c r="I174" i="5" a="1"/>
  <c r="H225" i="5" a="1"/>
  <c r="C224" i="5" a="1"/>
  <c r="I221" i="5" a="1"/>
  <c r="C219" i="5" a="1"/>
  <c r="E209" i="5" a="1"/>
  <c r="I203" i="5" a="1"/>
  <c r="C202" i="5" a="1"/>
  <c r="J199" i="5" a="1"/>
  <c r="J198" i="5" a="1"/>
  <c r="F197" i="5" a="1"/>
  <c r="C196" i="5" a="1"/>
  <c r="H191" i="5" a="1"/>
  <c r="D190" i="5" a="1"/>
  <c r="K184" i="5" a="1"/>
  <c r="C183" i="5" a="1"/>
  <c r="I176" i="5" a="1"/>
  <c r="C175" i="5" a="1"/>
  <c r="I172" i="5" a="1"/>
  <c r="F171" i="5" a="1"/>
  <c r="J170" i="5" a="1"/>
  <c r="F169" i="5" a="1"/>
  <c r="L167" i="5" a="1"/>
  <c r="F164" i="5" a="1"/>
  <c r="I163" i="5" a="1"/>
  <c r="I162" i="5" a="1"/>
  <c r="D161" i="5" a="1"/>
  <c r="E160" i="5" a="1"/>
  <c r="F159" i="5" a="1"/>
  <c r="E158" i="5" a="1"/>
  <c r="D157" i="5" a="1"/>
  <c r="E154" i="5" a="1"/>
  <c r="G153" i="5" a="1"/>
  <c r="H152" i="5" a="1"/>
  <c r="G151" i="5" a="1"/>
  <c r="F150" i="5" a="1"/>
  <c r="G149" i="5" a="1"/>
  <c r="I148" i="5" a="1"/>
  <c r="F147" i="5" a="1"/>
  <c r="K146" i="5" a="1"/>
  <c r="J145" i="5" a="1"/>
  <c r="G144" i="5" a="1"/>
  <c r="L143" i="5" a="1"/>
  <c r="F142" i="5" a="1"/>
  <c r="G140" i="5" a="1"/>
  <c r="G138" i="5" a="1"/>
  <c r="D137" i="5" a="1"/>
  <c r="I136" i="5" a="1"/>
  <c r="C135" i="5" a="1"/>
  <c r="I134" i="5" a="1"/>
  <c r="F133" i="5" a="1"/>
  <c r="L132" i="5" a="1"/>
  <c r="F131" i="5" a="1"/>
  <c r="C128" i="5" a="1"/>
  <c r="H127" i="5" a="1"/>
  <c r="G126" i="5" a="1"/>
  <c r="L124" i="5" a="1"/>
  <c r="J123" i="5" a="1"/>
  <c r="H122" i="5" a="1"/>
  <c r="F121" i="5" a="1"/>
  <c r="L120" i="5" a="1"/>
  <c r="G118" i="5" a="1"/>
  <c r="D117" i="5" a="1"/>
  <c r="I116" i="5" a="1"/>
  <c r="E114" i="5" a="1"/>
  <c r="K113" i="5" a="1"/>
  <c r="E111" i="5" a="1"/>
  <c r="K110" i="5" a="1"/>
  <c r="G109" i="5" a="1"/>
  <c r="L108" i="5" a="1"/>
  <c r="I107" i="5" a="1"/>
  <c r="D106" i="5" a="1"/>
  <c r="I105" i="5" a="1"/>
  <c r="D104" i="5" a="1"/>
  <c r="I103" i="5" a="1"/>
  <c r="E220" i="5" a="1"/>
  <c r="L212" i="5" a="1"/>
  <c r="J211" i="5" a="1"/>
  <c r="D210" i="5" a="1"/>
  <c r="D209" i="5" a="1"/>
  <c r="H203" i="5" a="1"/>
  <c r="I199" i="5" a="1"/>
  <c r="I198" i="5" a="1"/>
  <c r="D197" i="5" a="1"/>
  <c r="L185" i="5" a="1"/>
  <c r="G184" i="5" a="1"/>
  <c r="K177" i="5" a="1"/>
  <c r="H176" i="5" a="1"/>
  <c r="H172" i="5" a="1"/>
  <c r="F170" i="5" a="1"/>
  <c r="J168" i="5" a="1"/>
  <c r="K167" i="5" a="1"/>
  <c r="I166" i="5" a="1"/>
  <c r="I165" i="5" a="1"/>
  <c r="E164" i="5" a="1"/>
  <c r="E163" i="5" a="1"/>
  <c r="H162" i="5" a="1"/>
  <c r="D160" i="5" a="1"/>
  <c r="E159" i="5" a="1"/>
  <c r="C157" i="5" a="1"/>
  <c r="F155" i="5" a="1"/>
  <c r="D154" i="5" a="1"/>
  <c r="E152" i="5" a="1"/>
  <c r="C150" i="5" a="1"/>
  <c r="H148" i="5" a="1"/>
  <c r="E147" i="5" a="1"/>
  <c r="C146" i="5" a="1"/>
  <c r="F144" i="5" a="1"/>
  <c r="K143" i="5" a="1"/>
  <c r="E142" i="5" a="1"/>
  <c r="L141" i="5" a="1"/>
  <c r="F140" i="5" a="1"/>
  <c r="L139" i="5" a="1"/>
  <c r="F138" i="5" a="1"/>
  <c r="C137" i="5" a="1"/>
  <c r="H136" i="5" a="1"/>
  <c r="E133" i="5" a="1"/>
  <c r="K132" i="5" a="1"/>
  <c r="L130" i="5" a="1"/>
  <c r="G129" i="5" a="1"/>
  <c r="L128" i="5" a="1"/>
  <c r="F126" i="5" a="1"/>
  <c r="D125" i="5" a="1"/>
  <c r="K124" i="5" a="1"/>
  <c r="C124" i="5" a="1"/>
  <c r="I123" i="5" a="1"/>
  <c r="E121" i="5" a="1"/>
  <c r="K120" i="5" a="1"/>
  <c r="H119" i="5" a="1"/>
  <c r="F118" i="5" a="1"/>
  <c r="C117" i="5" a="1"/>
  <c r="H116" i="5" a="1"/>
  <c r="G115" i="5" a="1"/>
  <c r="D114" i="5" a="1"/>
  <c r="J113" i="5" a="1"/>
  <c r="G112" i="5" a="1"/>
  <c r="D111" i="5" a="1"/>
  <c r="F109" i="5" a="1"/>
  <c r="H107" i="5" a="1"/>
  <c r="C106" i="5" a="1"/>
  <c r="H105" i="5" a="1"/>
  <c r="C104" i="5" a="1"/>
  <c r="H103" i="5" a="1"/>
  <c r="D225" i="5" a="1"/>
  <c r="I222" i="5" a="1"/>
  <c r="D220" i="5" a="1"/>
  <c r="I212" i="5" a="1"/>
  <c r="I211" i="5" a="1"/>
  <c r="C210" i="5" a="1"/>
  <c r="G222" i="5" a="1"/>
  <c r="D221" i="5" a="1"/>
  <c r="H212" i="5" a="1"/>
  <c r="E211" i="5" a="1"/>
  <c r="L206" i="5" a="1"/>
  <c r="J205" i="5" a="1"/>
  <c r="J204" i="5" a="1"/>
  <c r="H200" i="5" a="1"/>
  <c r="D199" i="5" a="1"/>
  <c r="D198" i="5" a="1"/>
  <c r="H192" i="5" a="1"/>
  <c r="G185" i="5" a="1"/>
  <c r="E184" i="5" a="1"/>
  <c r="J179" i="5" a="1"/>
  <c r="J178" i="5" a="1"/>
  <c r="F177" i="5" a="1"/>
  <c r="C176" i="5" a="1"/>
  <c r="I173" i="5" a="1"/>
  <c r="D171" i="5" a="1"/>
  <c r="D169" i="5" a="1"/>
  <c r="E168" i="5" a="1"/>
  <c r="G167" i="5" a="1"/>
  <c r="D166" i="5" a="1"/>
  <c r="D165" i="5" a="1"/>
  <c r="C164" i="5" a="1"/>
  <c r="D162" i="5" a="1"/>
  <c r="C153" i="5" a="1"/>
  <c r="E151" i="5" a="1"/>
  <c r="C147" i="5" a="1"/>
  <c r="D144" i="5" a="1"/>
  <c r="I143" i="5" a="1"/>
  <c r="D142" i="5" a="1"/>
  <c r="J141" i="5" a="1"/>
  <c r="D140" i="5" a="1"/>
  <c r="J139" i="5" a="1"/>
  <c r="L137" i="5" a="1"/>
  <c r="F136" i="5" a="1"/>
  <c r="K135" i="5" a="1"/>
  <c r="G134" i="5" a="1"/>
  <c r="C133" i="5" a="1"/>
  <c r="I132" i="5" a="1"/>
  <c r="D131" i="5" a="1"/>
  <c r="J130" i="5" a="1"/>
  <c r="E129" i="5" a="1"/>
  <c r="K128" i="5" a="1"/>
  <c r="F127" i="5" a="1"/>
  <c r="L126" i="5" a="1"/>
  <c r="D126" i="5" a="1"/>
  <c r="K125" i="5" a="1"/>
  <c r="C125" i="5" a="1"/>
  <c r="F122" i="5" a="1"/>
  <c r="L121" i="5" a="1"/>
  <c r="C121" i="5" a="1"/>
  <c r="K117" i="5" a="1"/>
  <c r="G116" i="5" a="1"/>
  <c r="E115" i="5" a="1"/>
  <c r="L114" i="5" a="1"/>
  <c r="E112" i="5" a="1"/>
  <c r="K111" i="5" a="1"/>
  <c r="I110" i="5" a="1"/>
  <c r="D109" i="5" a="1"/>
  <c r="J108" i="5" a="1"/>
  <c r="F107" i="5" a="1"/>
  <c r="K106" i="5" a="1"/>
  <c r="F105" i="5" a="1"/>
  <c r="L104" i="5" a="1"/>
  <c r="F103" i="5" a="1"/>
  <c r="C102" i="5" a="1"/>
  <c r="F222" i="5" a="1"/>
  <c r="C221" i="5" a="1"/>
  <c r="E212" i="5" a="1"/>
  <c r="D211" i="5" a="1"/>
  <c r="K206" i="5" a="1"/>
  <c r="I205" i="5" a="1"/>
  <c r="H204" i="5" a="1"/>
  <c r="C199" i="5" a="1"/>
  <c r="L193" i="5" a="1"/>
  <c r="D192" i="5" a="1"/>
  <c r="L186" i="5" a="1"/>
  <c r="F185" i="5" a="1"/>
  <c r="I179" i="5" a="1"/>
  <c r="I178" i="5" a="1"/>
  <c r="D177" i="5" a="1"/>
  <c r="E173" i="5" a="1"/>
  <c r="C172" i="5" a="1"/>
  <c r="F167" i="5" a="1"/>
  <c r="C166" i="5" a="1"/>
  <c r="C162" i="5" a="1"/>
  <c r="F148" i="5" a="1"/>
  <c r="L147" i="5" a="1"/>
  <c r="I146" i="5" a="1"/>
  <c r="H145" i="5" a="1"/>
  <c r="C144" i="5" a="1"/>
  <c r="H143" i="5" a="1"/>
  <c r="I141" i="5" a="1"/>
  <c r="C140" i="5" a="1"/>
  <c r="I139" i="5" a="1"/>
  <c r="D138" i="5" a="1"/>
  <c r="K137" i="5" a="1"/>
  <c r="E136" i="5" a="1"/>
  <c r="J135" i="5" a="1"/>
  <c r="F134" i="5" a="1"/>
  <c r="H132" i="5" a="1"/>
  <c r="I130" i="5" a="1"/>
  <c r="D129" i="5" a="1"/>
  <c r="J128" i="5" a="1"/>
  <c r="E127" i="5" a="1"/>
  <c r="J125" i="5" a="1"/>
  <c r="I124" i="5" a="1"/>
  <c r="G123" i="5" a="1"/>
  <c r="I120" i="5" a="1"/>
  <c r="F119" i="5" a="1"/>
  <c r="D118" i="5" a="1"/>
  <c r="J117" i="5" a="1"/>
  <c r="D115" i="5" a="1"/>
  <c r="K114" i="5" a="1"/>
  <c r="H113" i="5" a="1"/>
  <c r="C109" i="5" a="1"/>
  <c r="I108" i="5" a="1"/>
  <c r="E107" i="5" a="1"/>
  <c r="J106" i="5" a="1"/>
  <c r="E105" i="5" a="1"/>
  <c r="K104" i="5" a="1"/>
  <c r="E103" i="5" a="1"/>
  <c r="L102" i="5" a="1"/>
  <c r="H223" i="5" a="1"/>
  <c r="J218" i="5" a="1"/>
  <c r="L216" i="5" a="1"/>
  <c r="I215" i="5" a="1"/>
  <c r="I214" i="5" a="1"/>
  <c r="G213" i="5" a="1"/>
  <c r="J208" i="5" a="1"/>
  <c r="F207" i="5" a="1"/>
  <c r="D206" i="5" a="1"/>
  <c r="H201" i="5" a="1"/>
  <c r="G194" i="5" a="1"/>
  <c r="E193" i="5" a="1"/>
  <c r="L189" i="5" a="1"/>
  <c r="K188" i="5" a="1"/>
  <c r="G187" i="5" a="1"/>
  <c r="F186" i="5" a="1"/>
  <c r="L182" i="5" a="1"/>
  <c r="I181" i="5" a="1"/>
  <c r="H180" i="5" a="1"/>
  <c r="D179" i="5" a="1"/>
  <c r="G174" i="5" a="1"/>
  <c r="K156" i="5" a="1"/>
  <c r="L154" i="5" a="1"/>
  <c r="G146" i="5" a="1"/>
  <c r="E145" i="5" a="1"/>
  <c r="J144" i="5" a="1"/>
  <c r="F143" i="5" a="1"/>
  <c r="K142" i="5" a="1"/>
  <c r="L140" i="5" a="1"/>
  <c r="F139" i="5" a="1"/>
  <c r="L138" i="5" a="1"/>
  <c r="H137" i="5" a="1"/>
  <c r="G135" i="5" a="1"/>
  <c r="C134" i="5" a="1"/>
  <c r="J133" i="5" a="1"/>
  <c r="E132" i="5" a="1"/>
  <c r="K131" i="5" a="1"/>
  <c r="F130" i="5" a="1"/>
  <c r="K129" i="5" a="1"/>
  <c r="G128" i="5" a="1"/>
  <c r="H125" i="5" a="1"/>
  <c r="G124" i="5" a="1"/>
  <c r="C122" i="5" a="1"/>
  <c r="I121" i="5" a="1"/>
  <c r="G120" i="5" a="1"/>
  <c r="D119" i="5" a="1"/>
  <c r="J118" i="5" a="1"/>
  <c r="H117" i="5" a="1"/>
  <c r="D116" i="5" a="1"/>
  <c r="I114" i="5" a="1"/>
  <c r="K112" i="5" a="1"/>
  <c r="H111" i="5" a="1"/>
  <c r="F110" i="5" a="1"/>
  <c r="L109" i="5" a="1"/>
  <c r="F108" i="5" a="1"/>
  <c r="H106" i="5" a="1"/>
  <c r="C105" i="5" a="1"/>
  <c r="H104" i="5" a="1"/>
  <c r="C103" i="5" a="1"/>
  <c r="I102" i="5" a="1"/>
  <c r="D223" i="5" a="1"/>
  <c r="J219" i="5" a="1"/>
  <c r="I218" i="5" a="1"/>
  <c r="G217" i="5" a="1"/>
  <c r="K216" i="5" a="1"/>
  <c r="F214" i="5" a="1"/>
  <c r="C213" i="5" a="1"/>
  <c r="I208" i="5" a="1"/>
  <c r="I202" i="5" a="1"/>
  <c r="E201" i="5" a="1"/>
  <c r="K196" i="5" a="1"/>
  <c r="F195" i="5" a="1"/>
  <c r="F194" i="5" a="1"/>
  <c r="K190" i="5" a="1"/>
  <c r="J189" i="5" a="1"/>
  <c r="G188" i="5" a="1"/>
  <c r="H182" i="5" a="1"/>
  <c r="H181" i="5" a="1"/>
  <c r="E180" i="5" a="1"/>
  <c r="C174" i="5" a="1"/>
  <c r="K160" i="5" a="1"/>
  <c r="L158" i="5" a="1"/>
  <c r="K157" i="5" a="1"/>
  <c r="J156" i="5" a="1"/>
  <c r="I154" i="5" a="1"/>
  <c r="L153" i="5" a="1"/>
  <c r="L149" i="5" a="1"/>
  <c r="L148" i="5" a="1"/>
  <c r="C148" i="5" a="1"/>
  <c r="I147" i="5" a="1"/>
  <c r="F146" i="5" a="1"/>
  <c r="D145" i="5" a="1"/>
  <c r="E143" i="5" a="1"/>
  <c r="J142" i="5" a="1"/>
  <c r="F141" i="5" a="1"/>
  <c r="K140" i="5" a="1"/>
  <c r="E139" i="5" a="1"/>
  <c r="K138" i="5" a="1"/>
  <c r="G137" i="5" a="1"/>
  <c r="L134" i="5" a="1"/>
  <c r="I133" i="5" a="1"/>
  <c r="D132" i="5" a="1"/>
  <c r="J131" i="5" a="1"/>
  <c r="E130" i="5" a="1"/>
  <c r="J129" i="5" a="1"/>
  <c r="F128" i="5" a="1"/>
  <c r="L127" i="5" a="1"/>
  <c r="I126" i="5" a="1"/>
  <c r="G125" i="5" a="1"/>
  <c r="F124" i="5" a="1"/>
  <c r="D123" i="5" a="1"/>
  <c r="K122" i="5" a="1"/>
  <c r="F120" i="5" a="1"/>
  <c r="L119" i="5" a="1"/>
  <c r="C119" i="5" a="1"/>
  <c r="I118" i="5" a="1"/>
  <c r="C116" i="5" a="1"/>
  <c r="K115" i="5" a="1"/>
  <c r="H114" i="5" a="1"/>
  <c r="E113" i="5" a="1"/>
  <c r="J112" i="5" a="1"/>
  <c r="E110" i="5" a="1"/>
  <c r="K109" i="5" a="1"/>
  <c r="I224" i="5" a="1"/>
  <c r="I219" i="5" a="1"/>
  <c r="F217" i="5" a="1"/>
  <c r="H216" i="5" a="1"/>
  <c r="D215" i="5" a="1"/>
  <c r="L209" i="5" a="1"/>
  <c r="E208" i="5" a="1"/>
  <c r="H202" i="5" a="1"/>
  <c r="C201" i="5" a="1"/>
  <c r="I196" i="5" a="1"/>
  <c r="D195" i="5" a="1"/>
  <c r="C194" i="5" a="1"/>
  <c r="I189" i="5" a="1"/>
  <c r="E188" i="5" a="1"/>
  <c r="C187" i="5" a="1"/>
  <c r="L183" i="5" a="1"/>
  <c r="F182" i="5" a="1"/>
  <c r="E181" i="5" a="1"/>
  <c r="D180" i="5" a="1"/>
  <c r="J175" i="5" a="1"/>
  <c r="L163" i="5" a="1"/>
  <c r="J160" i="5" a="1"/>
  <c r="L159" i="5" a="1"/>
  <c r="K158" i="5" a="1"/>
  <c r="J157" i="5" a="1"/>
  <c r="I156" i="5" a="1"/>
  <c r="K155" i="5" a="1"/>
  <c r="J152" i="5" a="1"/>
  <c r="L150" i="5" a="1"/>
  <c r="I149" i="5" a="1"/>
  <c r="K148" i="5" a="1"/>
  <c r="E146" i="5" a="1"/>
  <c r="L145" i="5" a="1"/>
  <c r="C145" i="5" a="1"/>
  <c r="I144" i="5" a="1"/>
  <c r="D143" i="5" a="1"/>
  <c r="I142" i="5" a="1"/>
  <c r="E141" i="5" a="1"/>
  <c r="J140" i="5" a="1"/>
  <c r="D139" i="5" a="1"/>
  <c r="J138" i="5" a="1"/>
  <c r="L136" i="5" a="1"/>
  <c r="F135" i="5" a="1"/>
  <c r="K134" i="5" a="1"/>
  <c r="H133" i="5" a="1"/>
  <c r="I131" i="5" a="1"/>
  <c r="D130" i="5" a="1"/>
  <c r="I129" i="5" a="1"/>
  <c r="K127" i="5" a="1"/>
  <c r="F125" i="5" a="1"/>
  <c r="J122" i="5" a="1"/>
  <c r="H121" i="5" a="1"/>
  <c r="E120" i="5" a="1"/>
  <c r="K119" i="5" a="1"/>
  <c r="G117" i="5" a="1"/>
  <c r="L116" i="5" a="1"/>
  <c r="J115" i="5" a="1"/>
  <c r="G114" i="5" a="1"/>
  <c r="D113" i="5" a="1"/>
  <c r="I112" i="5" a="1"/>
  <c r="G111" i="5" a="1"/>
  <c r="D110" i="5" a="1"/>
  <c r="J109" i="5" a="1"/>
  <c r="F106" i="5" a="1"/>
  <c r="L105" i="5" a="1"/>
  <c r="F104" i="5" a="1"/>
  <c r="L103" i="5" a="1"/>
  <c r="H102" i="5" a="1"/>
  <c r="H224" i="5" a="1"/>
  <c r="K220" i="5" a="1"/>
  <c r="F219" i="5" a="1"/>
  <c r="E218" i="5" a="1"/>
  <c r="D217" i="5" a="1"/>
  <c r="F216" i="5" a="1"/>
  <c r="C214" i="5" a="1"/>
  <c r="J210" i="5" a="1"/>
  <c r="J209" i="5" a="1"/>
  <c r="C208" i="5" a="1"/>
  <c r="L225" i="5" a="1"/>
  <c r="D224" i="5" a="1"/>
  <c r="I220" i="5" a="1"/>
  <c r="D219" i="5" a="1"/>
  <c r="E216" i="5" a="1"/>
  <c r="I210" i="5" a="1"/>
  <c r="I209" i="5" a="1"/>
  <c r="D202" i="5" a="1"/>
  <c r="L198" i="5" a="1"/>
  <c r="J197" i="5" a="1"/>
  <c r="D196" i="5" a="1"/>
  <c r="E190" i="5" a="1"/>
  <c r="D189" i="5" a="1"/>
  <c r="L184" i="5" a="1"/>
  <c r="G183" i="5" a="1"/>
  <c r="C181" i="5" a="1"/>
  <c r="K176" i="5" a="1"/>
  <c r="E175" i="5" a="1"/>
  <c r="J172" i="5" a="1"/>
  <c r="K170" i="5" a="1"/>
  <c r="J169" i="5" a="1"/>
  <c r="K168" i="5" a="1"/>
  <c r="J165" i="5" a="1"/>
  <c r="I164" i="5" a="1"/>
  <c r="J163" i="5" a="1"/>
  <c r="J162" i="5" a="1"/>
  <c r="H161" i="5" a="1"/>
  <c r="G159" i="5" a="1"/>
  <c r="F158" i="5" a="1"/>
  <c r="E157" i="5" a="1"/>
  <c r="D156" i="5" a="1"/>
  <c r="G155" i="5" a="1"/>
  <c r="J153" i="5" a="1"/>
  <c r="J151" i="5" a="1"/>
  <c r="G150" i="5" a="1"/>
  <c r="H149" i="5" a="1"/>
  <c r="J148" i="5" a="1"/>
  <c r="G147" i="5" a="1"/>
  <c r="L146" i="5" a="1"/>
  <c r="D146" i="5" a="1"/>
  <c r="H144" i="5" a="1"/>
  <c r="G142" i="5" a="1"/>
  <c r="C141" i="5" a="1"/>
  <c r="H140" i="5" a="1"/>
  <c r="H138" i="5" a="1"/>
  <c r="E137" i="5" a="1"/>
  <c r="J136" i="5" a="1"/>
  <c r="D135" i="5" a="1"/>
  <c r="G131" i="5" a="1"/>
  <c r="H129" i="5" a="1"/>
  <c r="D128" i="5" a="1"/>
  <c r="I127" i="5" a="1"/>
  <c r="E125" i="5" a="1"/>
  <c r="D124" i="5" a="1"/>
  <c r="K123" i="5" a="1"/>
  <c r="G121" i="5" a="1"/>
  <c r="C120" i="5" a="1"/>
  <c r="I119" i="5" a="1"/>
  <c r="E117" i="5" a="1"/>
  <c r="J116" i="5" a="1"/>
  <c r="H115" i="5" a="1"/>
  <c r="F114" i="5" a="1"/>
  <c r="L113" i="5" a="1"/>
  <c r="H112" i="5" a="1"/>
  <c r="F111" i="5" a="1"/>
  <c r="H109" i="5" a="1"/>
  <c r="C108" i="5" a="1"/>
  <c r="J107" i="5" a="1"/>
  <c r="E106" i="5" a="1"/>
  <c r="J105" i="5" a="1"/>
  <c r="E104" i="5" a="1"/>
  <c r="J103" i="5" a="1"/>
  <c r="L214" i="5" a="1"/>
  <c r="J207" i="5" a="1"/>
  <c r="L205" i="5" a="1"/>
  <c r="K197" i="5" a="1"/>
  <c r="J195" i="5" a="1"/>
  <c r="H193" i="5" a="1"/>
  <c r="L170" i="5" a="1"/>
  <c r="K165" i="5" a="1"/>
  <c r="K150" i="5" a="1"/>
  <c r="G148" i="5" a="1"/>
  <c r="K144" i="5" a="1"/>
  <c r="F137" i="5" a="1"/>
  <c r="J134" i="5" a="1"/>
  <c r="D133" i="5" a="1"/>
  <c r="K130" i="5" a="1"/>
  <c r="C129" i="5" a="1"/>
  <c r="J126" i="5" a="1"/>
  <c r="J120" i="5" a="1"/>
  <c r="E119" i="5" a="1"/>
  <c r="K116" i="5" a="1"/>
  <c r="J111" i="5" a="1"/>
  <c r="H110" i="5" a="1"/>
  <c r="L106" i="5" a="1"/>
  <c r="E101" i="5" a="1"/>
  <c r="L100" i="5" a="1"/>
  <c r="J99" i="5" a="1"/>
  <c r="F98" i="5" a="1"/>
  <c r="L97" i="5" a="1"/>
  <c r="G96" i="5" a="1"/>
  <c r="L95" i="5" a="1"/>
  <c r="H94" i="5" a="1"/>
  <c r="D93" i="5" a="1"/>
  <c r="C92" i="5" a="1"/>
  <c r="K91" i="5" a="1"/>
  <c r="G90" i="5" a="1"/>
  <c r="I88" i="5" a="1"/>
  <c r="F86" i="5" a="1"/>
  <c r="I85" i="5" a="1"/>
  <c r="L84" i="5" a="1"/>
  <c r="E83" i="5" a="1"/>
  <c r="I82" i="5" a="1"/>
  <c r="D81" i="5" a="1"/>
  <c r="G80" i="5" a="1"/>
  <c r="K79" i="5" a="1"/>
  <c r="D78" i="5" a="1"/>
  <c r="E75" i="5" a="1"/>
  <c r="D73" i="5" a="1"/>
  <c r="L71" i="5" a="1"/>
  <c r="E70" i="5" a="1"/>
  <c r="I69" i="5" a="1"/>
  <c r="C68" i="5" a="1"/>
  <c r="F67" i="5" a="1"/>
  <c r="J66" i="5" a="1"/>
  <c r="F64" i="5" a="1"/>
  <c r="I63" i="5" a="1"/>
  <c r="L62" i="5" a="1"/>
  <c r="E61" i="5" a="1"/>
  <c r="I60" i="5" a="1"/>
  <c r="F58" i="5" a="1"/>
  <c r="I57" i="5" a="1"/>
  <c r="E55" i="5" a="1"/>
  <c r="H54" i="5" a="1"/>
  <c r="L53" i="5" a="1"/>
  <c r="E52" i="5" a="1"/>
  <c r="L48" i="5" a="1"/>
  <c r="D47" i="5" a="1"/>
  <c r="H46" i="5" a="1"/>
  <c r="L45" i="5" a="1"/>
  <c r="F44" i="5" a="1"/>
  <c r="J43" i="5" a="1"/>
  <c r="D42" i="5" a="1"/>
  <c r="J214" i="5" a="1"/>
  <c r="C212" i="5" a="1"/>
  <c r="I207" i="5" a="1"/>
  <c r="F205" i="5" a="1"/>
  <c r="D203" i="5" a="1"/>
  <c r="C197" i="5" a="1"/>
  <c r="C195" i="5" a="1"/>
  <c r="F193" i="5" a="1"/>
  <c r="J191" i="5" a="1"/>
  <c r="E189" i="5" a="1"/>
  <c r="K187" i="5" a="1"/>
  <c r="K185" i="5" a="1"/>
  <c r="H183" i="5" a="1"/>
  <c r="K181" i="5" a="1"/>
  <c r="E170" i="5" a="1"/>
  <c r="E167" i="5" a="1"/>
  <c r="E165" i="5" a="1"/>
  <c r="E148" i="5" a="1"/>
  <c r="K141" i="5" a="1"/>
  <c r="H134" i="5" a="1"/>
  <c r="H130" i="5" a="1"/>
  <c r="H126" i="5" a="1"/>
  <c r="L112" i="5" a="1"/>
  <c r="I111" i="5" a="1"/>
  <c r="G110" i="5" a="1"/>
  <c r="L107" i="5" a="1"/>
  <c r="I106" i="5" a="1"/>
  <c r="D105" i="5" a="1"/>
  <c r="K102" i="5" a="1"/>
  <c r="D101" i="5" a="1"/>
  <c r="K100" i="5" a="1"/>
  <c r="C100" i="5" a="1"/>
  <c r="E98" i="5" a="1"/>
  <c r="K97" i="5" a="1"/>
  <c r="F96" i="5" a="1"/>
  <c r="K95" i="5" a="1"/>
  <c r="G94" i="5" a="1"/>
  <c r="K92" i="5" a="1"/>
  <c r="J91" i="5" a="1"/>
  <c r="F90" i="5" a="1"/>
  <c r="C89" i="5" a="1"/>
  <c r="H88" i="5" a="1"/>
  <c r="L87" i="5" a="1"/>
  <c r="E86" i="5" a="1"/>
  <c r="H85" i="5" a="1"/>
  <c r="K84" i="5" a="1"/>
  <c r="D83" i="5" a="1"/>
  <c r="H82" i="5" a="1"/>
  <c r="C81" i="5" a="1"/>
  <c r="F80" i="5" a="1"/>
  <c r="J79" i="5" a="1"/>
  <c r="C78" i="5" a="1"/>
  <c r="H77" i="5" a="1"/>
  <c r="L76" i="5" a="1"/>
  <c r="D75" i="5" a="1"/>
  <c r="I74" i="5" a="1"/>
  <c r="H72" i="5" a="1"/>
  <c r="K71" i="5" a="1"/>
  <c r="D70" i="5" a="1"/>
  <c r="H69" i="5" a="1"/>
  <c r="E67" i="5" a="1"/>
  <c r="I66" i="5" a="1"/>
  <c r="E64" i="5" a="1"/>
  <c r="H63" i="5" a="1"/>
  <c r="K62" i="5" a="1"/>
  <c r="D61" i="5" a="1"/>
  <c r="E58" i="5" a="1"/>
  <c r="H57" i="5" a="1"/>
  <c r="L56" i="5" a="1"/>
  <c r="D55" i="5" a="1"/>
  <c r="G54" i="5" a="1"/>
  <c r="K53" i="5" a="1"/>
  <c r="D52" i="5" a="1"/>
  <c r="H51" i="5" a="1"/>
  <c r="L50" i="5" a="1"/>
  <c r="F49" i="5" a="1"/>
  <c r="K48" i="5" a="1"/>
  <c r="C47" i="5" a="1"/>
  <c r="G46" i="5" a="1"/>
  <c r="K45" i="5" a="1"/>
  <c r="E44" i="5" a="1"/>
  <c r="I43" i="5" a="1"/>
  <c r="D191" i="5" a="1"/>
  <c r="J187" i="5" a="1"/>
  <c r="D181" i="5" a="1"/>
  <c r="C167" i="5" a="1"/>
  <c r="K153" i="5" a="1"/>
  <c r="D148" i="5" a="1"/>
  <c r="E144" i="5" a="1"/>
  <c r="H141" i="5" a="1"/>
  <c r="I138" i="5" a="1"/>
  <c r="E134" i="5" a="1"/>
  <c r="G130" i="5" a="1"/>
  <c r="J127" i="5" a="1"/>
  <c r="E126" i="5" a="1"/>
  <c r="H120" i="5" a="1"/>
  <c r="F116" i="5" a="1"/>
  <c r="C110" i="5" a="1"/>
  <c r="K107" i="5" a="1"/>
  <c r="J102" i="5" a="1"/>
  <c r="L101" i="5" a="1"/>
  <c r="I99" i="5" a="1"/>
  <c r="D98" i="5" a="1"/>
  <c r="J97" i="5" a="1"/>
  <c r="E96" i="5" a="1"/>
  <c r="J95" i="5" a="1"/>
  <c r="F94" i="5" a="1"/>
  <c r="L93" i="5" a="1"/>
  <c r="C93" i="5" a="1"/>
  <c r="J92" i="5" a="1"/>
  <c r="I91" i="5" a="1"/>
  <c r="L89" i="5" a="1"/>
  <c r="G88" i="5" a="1"/>
  <c r="K87" i="5" a="1"/>
  <c r="D86" i="5" a="1"/>
  <c r="G85" i="5" a="1"/>
  <c r="G82" i="5" a="1"/>
  <c r="E80" i="5" a="1"/>
  <c r="I79" i="5" a="1"/>
  <c r="L78" i="5" a="1"/>
  <c r="G77" i="5" a="1"/>
  <c r="K76" i="5" a="1"/>
  <c r="C75" i="5" a="1"/>
  <c r="H74" i="5" a="1"/>
  <c r="C73" i="5" a="1"/>
  <c r="G72" i="5" a="1"/>
  <c r="J71" i="5" a="1"/>
  <c r="C70" i="5" a="1"/>
  <c r="G69" i="5" a="1"/>
  <c r="L68" i="5" a="1"/>
  <c r="D67" i="5" a="1"/>
  <c r="H66" i="5" a="1"/>
  <c r="L65" i="5" a="1"/>
  <c r="D64" i="5" a="1"/>
  <c r="G63" i="5" a="1"/>
  <c r="J62" i="5" a="1"/>
  <c r="C61" i="5" a="1"/>
  <c r="H60" i="5" a="1"/>
  <c r="L59" i="5" a="1"/>
  <c r="D58" i="5" a="1"/>
  <c r="G57" i="5" a="1"/>
  <c r="K56" i="5" a="1"/>
  <c r="C55" i="5" a="1"/>
  <c r="F54" i="5" a="1"/>
  <c r="C52" i="5" a="1"/>
  <c r="G51" i="5" a="1"/>
  <c r="K50" i="5" a="1"/>
  <c r="E49" i="5" a="1"/>
  <c r="J48" i="5" a="1"/>
  <c r="F46" i="5" a="1"/>
  <c r="J45" i="5" a="1"/>
  <c r="D44" i="5" a="1"/>
  <c r="H43" i="5" a="1"/>
  <c r="I223" i="5" a="1"/>
  <c r="J177" i="5" a="1"/>
  <c r="I175" i="5" a="1"/>
  <c r="K163" i="5" a="1"/>
  <c r="H155" i="5" a="1"/>
  <c r="D153" i="5" a="1"/>
  <c r="K145" i="5" a="1"/>
  <c r="G141" i="5" a="1"/>
  <c r="E138" i="5" a="1"/>
  <c r="L135" i="5" a="1"/>
  <c r="D134" i="5" a="1"/>
  <c r="C130" i="5" a="1"/>
  <c r="G127" i="5" a="1"/>
  <c r="C126" i="5" a="1"/>
  <c r="K121" i="5" a="1"/>
  <c r="D120" i="5" a="1"/>
  <c r="L117" i="5" a="1"/>
  <c r="E116" i="5" a="1"/>
  <c r="F112" i="5" a="1"/>
  <c r="C111" i="5" a="1"/>
  <c r="K108" i="5" a="1"/>
  <c r="G107" i="5" a="1"/>
  <c r="G106" i="5" a="1"/>
  <c r="K101" i="5" a="1"/>
  <c r="C101" i="5" a="1"/>
  <c r="J100" i="5" a="1"/>
  <c r="H99" i="5" a="1"/>
  <c r="C98" i="5" a="1"/>
  <c r="D96" i="5" a="1"/>
  <c r="I95" i="5" a="1"/>
  <c r="E94" i="5" a="1"/>
  <c r="K93" i="5" a="1"/>
  <c r="H91" i="5" a="1"/>
  <c r="E90" i="5" a="1"/>
  <c r="F88" i="5" a="1"/>
  <c r="C86" i="5" a="1"/>
  <c r="F85" i="5" a="1"/>
  <c r="J84" i="5" a="1"/>
  <c r="C83" i="5" a="1"/>
  <c r="F82" i="5" a="1"/>
  <c r="L81" i="5" a="1"/>
  <c r="D80" i="5" a="1"/>
  <c r="H79" i="5" a="1"/>
  <c r="K78" i="5" a="1"/>
  <c r="F77" i="5" a="1"/>
  <c r="J76" i="5" a="1"/>
  <c r="G74" i="5" a="1"/>
  <c r="L73" i="5" a="1"/>
  <c r="F72" i="5" a="1"/>
  <c r="I71" i="5" a="1"/>
  <c r="F69" i="5" a="1"/>
  <c r="K68" i="5" a="1"/>
  <c r="G66" i="5" a="1"/>
  <c r="K65" i="5" a="1"/>
  <c r="C64" i="5" a="1"/>
  <c r="F63" i="5" a="1"/>
  <c r="I62" i="5" a="1"/>
  <c r="G60" i="5" a="1"/>
  <c r="K59" i="5" a="1"/>
  <c r="C58" i="5" a="1"/>
  <c r="F57" i="5" a="1"/>
  <c r="J56" i="5" a="1"/>
  <c r="J53" i="5" a="1"/>
  <c r="F51" i="5" a="1"/>
  <c r="J50" i="5" a="1"/>
  <c r="I48" i="5" a="1"/>
  <c r="L47" i="5" a="1"/>
  <c r="E46" i="5" a="1"/>
  <c r="I45" i="5" a="1"/>
  <c r="C44" i="5" a="1"/>
  <c r="G43" i="5" a="1"/>
  <c r="L42" i="5" a="1"/>
  <c r="J200" i="5" a="1"/>
  <c r="C177" i="5" a="1"/>
  <c r="D173" i="5" a="1"/>
  <c r="J171" i="5" a="1"/>
  <c r="L168" i="5" a="1"/>
  <c r="D163" i="5" a="1"/>
  <c r="F157" i="5" a="1"/>
  <c r="C155" i="5" a="1"/>
  <c r="I145" i="5" a="1"/>
  <c r="D141" i="5" a="1"/>
  <c r="C138" i="5" a="1"/>
  <c r="I135" i="5" a="1"/>
  <c r="L131" i="5" a="1"/>
  <c r="D127" i="5" a="1"/>
  <c r="J121" i="5" a="1"/>
  <c r="I117" i="5" a="1"/>
  <c r="I113" i="5" a="1"/>
  <c r="D112" i="5" a="1"/>
  <c r="H108" i="5" a="1"/>
  <c r="D107" i="5" a="1"/>
  <c r="K103" i="5" a="1"/>
  <c r="G102" i="5" a="1"/>
  <c r="I100" i="5" a="1"/>
  <c r="G99" i="5" a="1"/>
  <c r="I97" i="5" a="1"/>
  <c r="C96" i="5" a="1"/>
  <c r="H95" i="5" a="1"/>
  <c r="D94" i="5" a="1"/>
  <c r="J93" i="5" a="1"/>
  <c r="I92" i="5" a="1"/>
  <c r="G91" i="5" a="1"/>
  <c r="D90" i="5" a="1"/>
  <c r="K89" i="5" a="1"/>
  <c r="E88" i="5" a="1"/>
  <c r="J87" i="5" a="1"/>
  <c r="E85" i="5" a="1"/>
  <c r="K81" i="5" a="1"/>
  <c r="C80" i="5" a="1"/>
  <c r="G79" i="5" a="1"/>
  <c r="E77" i="5" a="1"/>
  <c r="I76" i="5" a="1"/>
  <c r="L75" i="5" a="1"/>
  <c r="F74" i="5" a="1"/>
  <c r="K73" i="5" a="1"/>
  <c r="E72" i="5" a="1"/>
  <c r="H71" i="5" a="1"/>
  <c r="L70" i="5" a="1"/>
  <c r="E69" i="5" a="1"/>
  <c r="J68" i="5" a="1"/>
  <c r="C67" i="5" a="1"/>
  <c r="F66" i="5" a="1"/>
  <c r="J65" i="5" a="1"/>
  <c r="E63" i="5" a="1"/>
  <c r="H62" i="5" a="1"/>
  <c r="L61" i="5" a="1"/>
  <c r="F60" i="5" a="1"/>
  <c r="J59" i="5" a="1"/>
  <c r="E57" i="5" a="1"/>
  <c r="I56" i="5" a="1"/>
  <c r="E54" i="5" a="1"/>
  <c r="I53" i="5" a="1"/>
  <c r="E51" i="5" a="1"/>
  <c r="I50" i="5" a="1"/>
  <c r="D49" i="5" a="1"/>
  <c r="H48" i="5" a="1"/>
  <c r="K47" i="5" a="1"/>
  <c r="D46" i="5" a="1"/>
  <c r="D200" i="5" a="1"/>
  <c r="E198" i="5" a="1"/>
  <c r="C173" i="5" a="1"/>
  <c r="E171" i="5" a="1"/>
  <c r="F168" i="5" a="1"/>
  <c r="I161" i="5" a="1"/>
  <c r="H159" i="5" a="1"/>
  <c r="K151" i="5" a="1"/>
  <c r="G145" i="5" a="1"/>
  <c r="L142" i="5" a="1"/>
  <c r="K139" i="5" a="1"/>
  <c r="H135" i="5" a="1"/>
  <c r="H131" i="5" a="1"/>
  <c r="C127" i="5" a="1"/>
  <c r="L122" i="5" a="1"/>
  <c r="L118" i="5" a="1"/>
  <c r="G113" i="5" a="1"/>
  <c r="C112" i="5" a="1"/>
  <c r="G108" i="5" a="1"/>
  <c r="C107" i="5" a="1"/>
  <c r="G103" i="5" a="1"/>
  <c r="F102" i="5" a="1"/>
  <c r="J101" i="5" a="1"/>
  <c r="F99" i="5" a="1"/>
  <c r="L98" i="5" a="1"/>
  <c r="H97" i="5" a="1"/>
  <c r="G95" i="5" a="1"/>
  <c r="I93" i="5" a="1"/>
  <c r="H92" i="5" a="1"/>
  <c r="F91" i="5" a="1"/>
  <c r="L90" i="5" a="1"/>
  <c r="J89" i="5" a="1"/>
  <c r="D88" i="5" a="1"/>
  <c r="I87" i="5" a="1"/>
  <c r="D85" i="5" a="1"/>
  <c r="I84" i="5" a="1"/>
  <c r="L83" i="5" a="1"/>
  <c r="E82" i="5" a="1"/>
  <c r="J81" i="5" a="1"/>
  <c r="F79" i="5" a="1"/>
  <c r="J78" i="5" a="1"/>
  <c r="D77" i="5" a="1"/>
  <c r="H76" i="5" a="1"/>
  <c r="K75" i="5" a="1"/>
  <c r="E74" i="5" a="1"/>
  <c r="J73" i="5" a="1"/>
  <c r="D72" i="5" a="1"/>
  <c r="G71" i="5" a="1"/>
  <c r="K70" i="5" a="1"/>
  <c r="I68" i="5" a="1"/>
  <c r="E66" i="5" a="1"/>
  <c r="I65" i="5" a="1"/>
  <c r="D63" i="5" a="1"/>
  <c r="G62" i="5" a="1"/>
  <c r="K61" i="5" a="1"/>
  <c r="E60" i="5" a="1"/>
  <c r="I59" i="5" a="1"/>
  <c r="L58" i="5" a="1"/>
  <c r="D57" i="5" a="1"/>
  <c r="H56" i="5" a="1"/>
  <c r="L55" i="5" a="1"/>
  <c r="D54" i="5" a="1"/>
  <c r="H53" i="5" a="1"/>
  <c r="L52" i="5" a="1"/>
  <c r="D51" i="5" a="1"/>
  <c r="H50" i="5" a="1"/>
  <c r="L49" i="5" a="1"/>
  <c r="C49" i="5" a="1"/>
  <c r="G48" i="5" a="1"/>
  <c r="H45" i="5" a="1"/>
  <c r="L44" i="5" a="1"/>
  <c r="L215" i="5" a="1"/>
  <c r="J213" i="5" a="1"/>
  <c r="G206" i="5" a="1"/>
  <c r="C200" i="5" a="1"/>
  <c r="H196" i="5" a="1"/>
  <c r="K194" i="5" a="1"/>
  <c r="C161" i="5" a="1"/>
  <c r="F151" i="5" a="1"/>
  <c r="C149" i="5" a="1"/>
  <c r="J146" i="5" a="1"/>
  <c r="F145" i="5" a="1"/>
  <c r="H142" i="5" a="1"/>
  <c r="H139" i="5" a="1"/>
  <c r="K136" i="5" a="1"/>
  <c r="E135" i="5" a="1"/>
  <c r="E131" i="5" a="1"/>
  <c r="I128" i="5" a="1"/>
  <c r="I122" i="5" a="1"/>
  <c r="D121" i="5" a="1"/>
  <c r="K118" i="5" a="1"/>
  <c r="F117" i="5" a="1"/>
  <c r="F113" i="5" a="1"/>
  <c r="E108" i="5" a="1"/>
  <c r="E102" i="5" a="1"/>
  <c r="H100" i="5" a="1"/>
  <c r="E99" i="5" a="1"/>
  <c r="K98" i="5" a="1"/>
  <c r="G97" i="5" a="1"/>
  <c r="L96" i="5" a="1"/>
  <c r="F95" i="5" a="1"/>
  <c r="L94" i="5" a="1"/>
  <c r="C94" i="5" a="1"/>
  <c r="G92" i="5" a="1"/>
  <c r="E91" i="5" a="1"/>
  <c r="K90" i="5" a="1"/>
  <c r="C90" i="5" a="1"/>
  <c r="I89" i="5" a="1"/>
  <c r="C88" i="5" a="1"/>
  <c r="H87" i="5" a="1"/>
  <c r="L86" i="5" a="1"/>
  <c r="C85" i="5" a="1"/>
  <c r="H84" i="5" a="1"/>
  <c r="K83" i="5" a="1"/>
  <c r="D82" i="5" a="1"/>
  <c r="I81" i="5" a="1"/>
  <c r="E79" i="5" a="1"/>
  <c r="I78" i="5" a="1"/>
  <c r="C77" i="5" a="1"/>
  <c r="G76" i="5" a="1"/>
  <c r="J75" i="5" a="1"/>
  <c r="I73" i="5" a="1"/>
  <c r="C72" i="5" a="1"/>
  <c r="J70" i="5" a="1"/>
  <c r="D69" i="5" a="1"/>
  <c r="H68" i="5" a="1"/>
  <c r="L67" i="5" a="1"/>
  <c r="D66" i="5" a="1"/>
  <c r="H65" i="5" a="1"/>
  <c r="L64" i="5" a="1"/>
  <c r="C63" i="5" a="1"/>
  <c r="F62" i="5" a="1"/>
  <c r="J61" i="5" a="1"/>
  <c r="D60" i="5" a="1"/>
  <c r="H59" i="5" a="1"/>
  <c r="K58" i="5" a="1"/>
  <c r="C57" i="5" a="1"/>
  <c r="G56" i="5" a="1"/>
  <c r="K55" i="5" a="1"/>
  <c r="C54" i="5" a="1"/>
  <c r="G53" i="5" a="1"/>
  <c r="K52" i="5" a="1"/>
  <c r="C51" i="5" a="1"/>
  <c r="K49" i="5" a="1"/>
  <c r="F48" i="5" a="1"/>
  <c r="J47" i="5" a="1"/>
  <c r="C46" i="5" a="1"/>
  <c r="G45" i="5" a="1"/>
  <c r="K44" i="5" a="1"/>
  <c r="E43" i="5" a="1"/>
  <c r="J42" i="5" a="1"/>
  <c r="J215" i="5" a="1"/>
  <c r="H213" i="5" a="1"/>
  <c r="E206" i="5" a="1"/>
  <c r="G204" i="5" a="1"/>
  <c r="J194" i="5" a="1"/>
  <c r="I192" i="5" a="1"/>
  <c r="G190" i="5" a="1"/>
  <c r="L188" i="5" a="1"/>
  <c r="I186" i="5" a="1"/>
  <c r="E182" i="5" a="1"/>
  <c r="K180" i="5" a="1"/>
  <c r="E166" i="5" a="1"/>
  <c r="G139" i="5" a="1"/>
  <c r="G136" i="5" a="1"/>
  <c r="J132" i="5" a="1"/>
  <c r="C131" i="5" a="1"/>
  <c r="H128" i="5" a="1"/>
  <c r="L123" i="5" a="1"/>
  <c r="G122" i="5" a="1"/>
  <c r="H118" i="5" a="1"/>
  <c r="J114" i="5" a="1"/>
  <c r="C113" i="5" a="1"/>
  <c r="D108" i="5" a="1"/>
  <c r="J104" i="5" a="1"/>
  <c r="D103" i="5" a="1"/>
  <c r="D102" i="5" a="1"/>
  <c r="I101" i="5" a="1"/>
  <c r="D99" i="5" a="1"/>
  <c r="J98" i="5" a="1"/>
  <c r="F97" i="5" a="1"/>
  <c r="K96" i="5" a="1"/>
  <c r="E95" i="5" a="1"/>
  <c r="H93" i="5" a="1"/>
  <c r="F92" i="5" a="1"/>
  <c r="D91" i="5" a="1"/>
  <c r="J90" i="5" a="1"/>
  <c r="H89" i="5" a="1"/>
  <c r="G87" i="5" a="1"/>
  <c r="K86" i="5" a="1"/>
  <c r="G84" i="5" a="1"/>
  <c r="J83" i="5" a="1"/>
  <c r="C82" i="5" a="1"/>
  <c r="H81" i="5" a="1"/>
  <c r="L80" i="5" a="1"/>
  <c r="D79" i="5" a="1"/>
  <c r="H78" i="5" a="1"/>
  <c r="F76" i="5" a="1"/>
  <c r="I75" i="5" a="1"/>
  <c r="D74" i="5" a="1"/>
  <c r="F71" i="5" a="1"/>
  <c r="I70" i="5" a="1"/>
  <c r="C69" i="5" a="1"/>
  <c r="G68" i="5" a="1"/>
  <c r="K67" i="5" a="1"/>
  <c r="C66" i="5" a="1"/>
  <c r="G65" i="5" a="1"/>
  <c r="K64" i="5" a="1"/>
  <c r="E62" i="5" a="1"/>
  <c r="C60" i="5" a="1"/>
  <c r="G59" i="5" a="1"/>
  <c r="J58" i="5" a="1"/>
  <c r="F56" i="5" a="1"/>
  <c r="J55" i="5" a="1"/>
  <c r="F53" i="5" a="1"/>
  <c r="J52" i="5" a="1"/>
  <c r="G50" i="5" a="1"/>
  <c r="E48" i="5" a="1"/>
  <c r="I47" i="5" a="1"/>
  <c r="F45" i="5" a="1"/>
  <c r="J44" i="5" a="1"/>
  <c r="D43" i="5" a="1"/>
  <c r="I42" i="5" a="1"/>
  <c r="D222" i="5" a="1"/>
  <c r="L217" i="5" a="1"/>
  <c r="C204" i="5" a="1"/>
  <c r="D188" i="5" a="1"/>
  <c r="G186" i="5" a="1"/>
  <c r="I180" i="5" a="1"/>
  <c r="L178" i="5" a="1"/>
  <c r="J174" i="5" a="1"/>
  <c r="K169" i="5" a="1"/>
  <c r="J164" i="5" a="1"/>
  <c r="K147" i="5" a="1"/>
  <c r="H146" i="5" a="1"/>
  <c r="J143" i="5" a="1"/>
  <c r="C142" i="5" a="1"/>
  <c r="C139" i="5" a="1"/>
  <c r="D136" i="5" a="1"/>
  <c r="G132" i="5" a="1"/>
  <c r="E128" i="5" a="1"/>
  <c r="J124" i="5" a="1"/>
  <c r="H123" i="5" a="1"/>
  <c r="E122" i="5" a="1"/>
  <c r="E118" i="5" a="1"/>
  <c r="L115" i="5" a="1"/>
  <c r="I109" i="5" a="1"/>
  <c r="I104" i="5" a="1"/>
  <c r="H101" i="5" a="1"/>
  <c r="G100" i="5" a="1"/>
  <c r="E97" i="5" a="1"/>
  <c r="J96" i="5" a="1"/>
  <c r="D95" i="5" a="1"/>
  <c r="K94" i="5" a="1"/>
  <c r="C91" i="5" a="1"/>
  <c r="I90" i="5" a="1"/>
  <c r="G89" i="5" a="1"/>
  <c r="F87" i="5" a="1"/>
  <c r="J86" i="5" a="1"/>
  <c r="F84" i="5" a="1"/>
  <c r="I83" i="5" a="1"/>
  <c r="G81" i="5" a="1"/>
  <c r="K80" i="5" a="1"/>
  <c r="C79" i="5" a="1"/>
  <c r="L77" i="5" a="1"/>
  <c r="E76" i="5" a="1"/>
  <c r="H75" i="5" a="1"/>
  <c r="C74" i="5" a="1"/>
  <c r="H73" i="5" a="1"/>
  <c r="L72" i="5" a="1"/>
  <c r="E71" i="5" a="1"/>
  <c r="H70" i="5" a="1"/>
  <c r="F68" i="5" a="1"/>
  <c r="J67" i="5" a="1"/>
  <c r="F65" i="5" a="1"/>
  <c r="J64" i="5" a="1"/>
  <c r="I61" i="5" a="1"/>
  <c r="F59" i="5" a="1"/>
  <c r="I58" i="5" a="1"/>
  <c r="E56" i="5" a="1"/>
  <c r="I55" i="5" a="1"/>
  <c r="L54" i="5" a="1"/>
  <c r="E53" i="5" a="1"/>
  <c r="I52" i="5" a="1"/>
  <c r="L51" i="5" a="1"/>
  <c r="F50" i="5" a="1"/>
  <c r="J49" i="5" a="1"/>
  <c r="D48" i="5" a="1"/>
  <c r="H47" i="5" a="1"/>
  <c r="L46" i="5" a="1"/>
  <c r="E45" i="5" a="1"/>
  <c r="C43" i="5" a="1"/>
  <c r="H42" i="5" a="1"/>
  <c r="C222" i="5" a="1"/>
  <c r="K217" i="5" a="1"/>
  <c r="E178" i="5" a="1"/>
  <c r="D176" i="5" a="1"/>
  <c r="H174" i="5" a="1"/>
  <c r="E169" i="5" a="1"/>
  <c r="D164" i="5" a="1"/>
  <c r="H156" i="5" a="1"/>
  <c r="F154" i="5" a="1"/>
  <c r="I152" i="5" a="1"/>
  <c r="J147" i="5" a="1"/>
  <c r="G143" i="5" a="1"/>
  <c r="C136" i="5" a="1"/>
  <c r="L133" i="5" a="1"/>
  <c r="F132" i="5" a="1"/>
  <c r="L129" i="5" a="1"/>
  <c r="H124" i="5" a="1"/>
  <c r="F123" i="5" a="1"/>
  <c r="D122" i="5" a="1"/>
  <c r="J119" i="5" a="1"/>
  <c r="C118" i="5" a="1"/>
  <c r="I115" i="5" a="1"/>
  <c r="C114" i="5" a="1"/>
  <c r="E109" i="5" a="1"/>
  <c r="G104" i="5" a="1"/>
  <c r="G101" i="5" a="1"/>
  <c r="F100" i="5" a="1"/>
  <c r="L99" i="5" a="1"/>
  <c r="C99" i="5" a="1"/>
  <c r="I98" i="5" a="1"/>
  <c r="D97" i="5" a="1"/>
  <c r="J94" i="5" a="1"/>
  <c r="G93" i="5" a="1"/>
  <c r="E92" i="5" a="1"/>
  <c r="F89" i="5" a="1"/>
  <c r="L88" i="5" a="1"/>
  <c r="E87" i="5" a="1"/>
  <c r="I86" i="5" a="1"/>
  <c r="L85" i="5" a="1"/>
  <c r="E84" i="5" a="1"/>
  <c r="H83" i="5" a="1"/>
  <c r="L82" i="5" a="1"/>
  <c r="J80" i="5" a="1"/>
  <c r="G78" i="5" a="1"/>
  <c r="K77" i="5" a="1"/>
  <c r="D76" i="5" a="1"/>
  <c r="G75" i="5" a="1"/>
  <c r="L74" i="5" a="1"/>
  <c r="G73" i="5" a="1"/>
  <c r="K72" i="5" a="1"/>
  <c r="D71" i="5" a="1"/>
  <c r="G70" i="5" a="1"/>
  <c r="L69" i="5" a="1"/>
  <c r="E68" i="5" a="1"/>
  <c r="I67" i="5" a="1"/>
  <c r="E65" i="5" a="1"/>
  <c r="I64" i="5" a="1"/>
  <c r="L63" i="5" a="1"/>
  <c r="D62" i="5" a="1"/>
  <c r="H61" i="5" a="1"/>
  <c r="L60" i="5" a="1"/>
  <c r="E59" i="5" a="1"/>
  <c r="H58" i="5" a="1"/>
  <c r="L57" i="5" a="1"/>
  <c r="H55" i="5" a="1"/>
  <c r="K54" i="5" a="1"/>
  <c r="D53" i="5" a="1"/>
  <c r="H52" i="5" a="1"/>
  <c r="K51" i="5" a="1"/>
  <c r="E50" i="5" a="1"/>
  <c r="I49" i="5" a="1"/>
  <c r="C48" i="5" a="1"/>
  <c r="G47" i="5" a="1"/>
  <c r="K46" i="5" a="1"/>
  <c r="D45" i="5" a="1"/>
  <c r="I44" i="5" a="1"/>
  <c r="G42" i="5" a="1"/>
  <c r="D178" i="5" a="1"/>
  <c r="G172" i="5" a="1"/>
  <c r="J158" i="5" a="1"/>
  <c r="D152" i="5" a="1"/>
  <c r="H147" i="5" a="1"/>
  <c r="I140" i="5" a="1"/>
  <c r="J137" i="5" a="1"/>
  <c r="K133" i="5" a="1"/>
  <c r="C132" i="5" a="1"/>
  <c r="L125" i="5" a="1"/>
  <c r="E123" i="5" a="1"/>
  <c r="G119" i="5" a="1"/>
  <c r="F115" i="5" a="1"/>
  <c r="L110" i="5" a="1"/>
  <c r="K105" i="5" a="1"/>
  <c r="F101" i="5" a="1"/>
  <c r="E100" i="5" a="1"/>
  <c r="H98" i="5" a="1"/>
  <c r="C97" i="5" a="1"/>
  <c r="I96" i="5" a="1"/>
  <c r="C95" i="5" a="1"/>
  <c r="F93" i="5" a="1"/>
  <c r="D92" i="5" a="1"/>
  <c r="L91" i="5" a="1"/>
  <c r="H90" i="5" a="1"/>
  <c r="E89" i="5" a="1"/>
  <c r="K88" i="5" a="1"/>
  <c r="D87" i="5" a="1"/>
  <c r="H86" i="5" a="1"/>
  <c r="K85" i="5" a="1"/>
  <c r="D84" i="5" a="1"/>
  <c r="G83" i="5" a="1"/>
  <c r="K82" i="5" a="1"/>
  <c r="F81" i="5" a="1"/>
  <c r="I80" i="5" a="1"/>
  <c r="L79" i="5" a="1"/>
  <c r="F78" i="5" a="1"/>
  <c r="J77" i="5" a="1"/>
  <c r="C76" i="5" a="1"/>
  <c r="K74" i="5" a="1"/>
  <c r="F73" i="5" a="1"/>
  <c r="J72" i="5" a="1"/>
  <c r="C71" i="5" a="1"/>
  <c r="F70" i="5" a="1"/>
  <c r="K69" i="5" a="1"/>
  <c r="H67" i="5" a="1"/>
  <c r="L66" i="5" a="1"/>
  <c r="D65" i="5" a="1"/>
  <c r="H64" i="5" a="1"/>
  <c r="K63" i="5" a="1"/>
  <c r="C62" i="5" a="1"/>
  <c r="G61" i="5" a="1"/>
  <c r="K60" i="5" a="1"/>
  <c r="D59" i="5" a="1"/>
  <c r="G58" i="5" a="1"/>
  <c r="K57" i="5" a="1"/>
  <c r="D56" i="5" a="1"/>
  <c r="G55" i="5" a="1"/>
  <c r="J54" i="5" a="1"/>
  <c r="C53" i="5" a="1"/>
  <c r="G52" i="5" a="1"/>
  <c r="J51" i="5" a="1"/>
  <c r="D50" i="5" a="1"/>
  <c r="H49" i="5" a="1"/>
  <c r="F47" i="5" a="1"/>
  <c r="J46" i="5" a="1"/>
  <c r="C45" i="5" a="1"/>
  <c r="H44" i="5" a="1"/>
  <c r="L43" i="5" a="1"/>
  <c r="F42" i="5" a="1"/>
  <c r="I137" i="5" a="1"/>
  <c r="K126" i="5" a="1"/>
  <c r="G105" i="5" a="1"/>
  <c r="H80" i="5" a="1"/>
  <c r="C65" i="5" a="1"/>
  <c r="J57" i="5" a="1"/>
  <c r="J41" i="5" a="1"/>
  <c r="K38" i="5" a="1"/>
  <c r="F37" i="5" a="1"/>
  <c r="K36" i="5" a="1"/>
  <c r="D35" i="5" a="1"/>
  <c r="G34" i="5" a="1"/>
  <c r="J33" i="5" a="1"/>
  <c r="D32" i="5" a="1"/>
  <c r="G31" i="5" a="1"/>
  <c r="J30" i="5" a="1"/>
  <c r="E28" i="5" a="1"/>
  <c r="H27" i="5" a="1"/>
  <c r="L26" i="5" a="1"/>
  <c r="D25" i="5" a="1"/>
  <c r="I24" i="5" a="1"/>
  <c r="L23" i="5" a="1"/>
  <c r="E22" i="5" a="1"/>
  <c r="I21" i="5" a="1"/>
  <c r="L20" i="5" a="1"/>
  <c r="D19" i="5" a="1"/>
  <c r="H18" i="5" a="1"/>
  <c r="K17" i="5" a="1"/>
  <c r="G15" i="5" a="1"/>
  <c r="L14" i="5" a="1"/>
  <c r="E13" i="5" a="1"/>
  <c r="I12" i="5" a="1"/>
  <c r="F10" i="5" a="1"/>
  <c r="J9" i="5" a="1"/>
  <c r="E8" i="5" a="1"/>
  <c r="J7" i="5" a="1"/>
  <c r="H5" i="5" a="1"/>
  <c r="E4" i="5" a="1"/>
  <c r="L144" i="5" a="1"/>
  <c r="G33" i="5" a="1"/>
  <c r="I29" i="5" a="1"/>
  <c r="J25" i="5" a="1"/>
  <c r="C15" i="5" a="1"/>
  <c r="E12" i="5" a="1"/>
  <c r="J4" i="5" a="1"/>
  <c r="L9" i="5" a="1"/>
  <c r="C84" i="5" a="1"/>
  <c r="L36" i="5" a="1"/>
  <c r="K30" i="5" a="1"/>
  <c r="E25" i="5" a="1"/>
  <c r="K9" i="5" a="1"/>
  <c r="J3" i="5" a="1"/>
  <c r="L92" i="5" a="1"/>
  <c r="G49" i="5" a="1"/>
  <c r="K42" i="5" a="1"/>
  <c r="I41" i="5" a="1"/>
  <c r="F39" i="5" a="1"/>
  <c r="J38" i="5" a="1"/>
  <c r="E37" i="5" a="1"/>
  <c r="J36" i="5" a="1"/>
  <c r="C35" i="5" a="1"/>
  <c r="F34" i="5" a="1"/>
  <c r="C32" i="5" a="1"/>
  <c r="F31" i="5" a="1"/>
  <c r="I30" i="5" a="1"/>
  <c r="L29" i="5" a="1"/>
  <c r="D28" i="5" a="1"/>
  <c r="G27" i="5" a="1"/>
  <c r="K26" i="5" a="1"/>
  <c r="C25" i="5" a="1"/>
  <c r="H24" i="5" a="1"/>
  <c r="K23" i="5" a="1"/>
  <c r="D22" i="5" a="1"/>
  <c r="H21" i="5" a="1"/>
  <c r="K20" i="5" a="1"/>
  <c r="C19" i="5" a="1"/>
  <c r="G18" i="5" a="1"/>
  <c r="J17" i="5" a="1"/>
  <c r="C16" i="5" a="1"/>
  <c r="F15" i="5" a="1"/>
  <c r="K14" i="5" a="1"/>
  <c r="D13" i="5" a="1"/>
  <c r="H12" i="5" a="1"/>
  <c r="L11" i="5" a="1"/>
  <c r="E10" i="5" a="1"/>
  <c r="I7" i="5" a="1"/>
  <c r="C6" i="5" a="1"/>
  <c r="L4" i="5" a="1"/>
  <c r="D4" i="5" a="1"/>
  <c r="I3" i="5" a="1"/>
  <c r="E2" i="5" a="1"/>
  <c r="I125" i="5" a="1"/>
  <c r="G86" i="5" a="1"/>
  <c r="E41" i="5" a="1"/>
  <c r="K35" i="5" a="1"/>
  <c r="C27" i="5" a="1"/>
  <c r="G23" i="5" a="1"/>
  <c r="K19" i="5" a="1"/>
  <c r="J6" i="5" a="1"/>
  <c r="E3" i="5" a="1"/>
  <c r="K21" i="5" a="1"/>
  <c r="E6" i="5" a="1"/>
  <c r="F61" i="5" a="1"/>
  <c r="E35" i="5" a="1"/>
  <c r="E19" i="5" a="1"/>
  <c r="F4" i="5" a="1"/>
  <c r="F199" i="5" a="1"/>
  <c r="J110" i="5" a="1"/>
  <c r="C87" i="5" a="1"/>
  <c r="F83" i="5" a="1"/>
  <c r="I72" i="5" a="1"/>
  <c r="D68" i="5" a="1"/>
  <c r="J60" i="5" a="1"/>
  <c r="E42" i="5" a="1"/>
  <c r="H41" i="5" a="1"/>
  <c r="L40" i="5" a="1"/>
  <c r="E39" i="5" a="1"/>
  <c r="I38" i="5" a="1"/>
  <c r="I36" i="5" a="1"/>
  <c r="E34" i="5" a="1"/>
  <c r="I33" i="5" a="1"/>
  <c r="E31" i="5" a="1"/>
  <c r="H30" i="5" a="1"/>
  <c r="K29" i="5" a="1"/>
  <c r="C28" i="5" a="1"/>
  <c r="F27" i="5" a="1"/>
  <c r="J26" i="5" a="1"/>
  <c r="G24" i="5" a="1"/>
  <c r="J23" i="5" a="1"/>
  <c r="C22" i="5" a="1"/>
  <c r="G21" i="5" a="1"/>
  <c r="J20" i="5" a="1"/>
  <c r="F18" i="5" a="1"/>
  <c r="I17" i="5" a="1"/>
  <c r="E15" i="5" a="1"/>
  <c r="J14" i="5" a="1"/>
  <c r="C13" i="5" a="1"/>
  <c r="G12" i="5" a="1"/>
  <c r="K11" i="5" a="1"/>
  <c r="D10" i="5" a="1"/>
  <c r="I9" i="5" a="1"/>
  <c r="D8" i="5" a="1"/>
  <c r="H7" i="5" a="1"/>
  <c r="L6" i="5" a="1"/>
  <c r="G5" i="5" a="1"/>
  <c r="C4" i="5" a="1"/>
  <c r="H3" i="5" a="1"/>
  <c r="L2" i="5" a="1"/>
  <c r="D2" i="5" a="1"/>
  <c r="L39" i="5" a="1"/>
  <c r="K37" i="5" a="1"/>
  <c r="D24" i="5" a="1"/>
  <c r="D21" i="5" a="1"/>
  <c r="C18" i="5" a="1"/>
  <c r="H11" i="5" a="1"/>
  <c r="F7" i="5" a="1"/>
  <c r="F129" i="5" a="1"/>
  <c r="G37" i="5" a="1"/>
  <c r="H31" i="5" a="1"/>
  <c r="J21" i="5" a="1"/>
  <c r="D16" i="5" a="1"/>
  <c r="G10" i="5" a="1"/>
  <c r="F2" i="5" a="1"/>
  <c r="D147" i="5" a="1"/>
  <c r="C123" i="5" a="1"/>
  <c r="C115" i="5" a="1"/>
  <c r="K99" i="5" a="1"/>
  <c r="I94" i="5" a="1"/>
  <c r="G64" i="5" a="1"/>
  <c r="C56" i="5" a="1"/>
  <c r="F52" i="5" a="1"/>
  <c r="C42" i="5" a="1"/>
  <c r="G41" i="5" a="1"/>
  <c r="K40" i="5" a="1"/>
  <c r="D39" i="5" a="1"/>
  <c r="H38" i="5" a="1"/>
  <c r="D37" i="5" a="1"/>
  <c r="H36" i="5" a="1"/>
  <c r="L35" i="5" a="1"/>
  <c r="D34" i="5" a="1"/>
  <c r="D31" i="5" a="1"/>
  <c r="G30" i="5" a="1"/>
  <c r="E27" i="5" a="1"/>
  <c r="I26" i="5" a="1"/>
  <c r="L25" i="5" a="1"/>
  <c r="F24" i="5" a="1"/>
  <c r="I23" i="5" a="1"/>
  <c r="F21" i="5" a="1"/>
  <c r="I20" i="5" a="1"/>
  <c r="E18" i="5" a="1"/>
  <c r="H17" i="5" a="1"/>
  <c r="L16" i="5" a="1"/>
  <c r="D15" i="5" a="1"/>
  <c r="I14" i="5" a="1"/>
  <c r="F12" i="5" a="1"/>
  <c r="J11" i="5" a="1"/>
  <c r="C10" i="5" a="1"/>
  <c r="H9" i="5" a="1"/>
  <c r="L8" i="5" a="1"/>
  <c r="C8" i="5" a="1"/>
  <c r="G7" i="5" a="1"/>
  <c r="F5" i="5" a="1"/>
  <c r="K4" i="5" a="1"/>
  <c r="G3" i="5" a="1"/>
  <c r="K2" i="5" a="1"/>
  <c r="J82" i="5" a="1"/>
  <c r="G67" i="5" a="1"/>
  <c r="I40" i="5" a="1"/>
  <c r="G38" i="5" a="1"/>
  <c r="E30" i="5" a="1"/>
  <c r="G26" i="5" a="1"/>
  <c r="K22" i="5" a="1"/>
  <c r="G20" i="5" a="1"/>
  <c r="J16" i="5" a="1"/>
  <c r="F9" i="5" a="1"/>
  <c r="E5" i="5" a="1"/>
  <c r="F25" i="5" a="1"/>
  <c r="C40" i="5" a="1"/>
  <c r="E32" i="5" a="1"/>
  <c r="F28" i="5" a="1"/>
  <c r="I18" i="5" a="1"/>
  <c r="F13" i="5" a="1"/>
  <c r="F8" i="5" a="1"/>
  <c r="F75" i="5" a="1"/>
  <c r="G44" i="5" a="1"/>
  <c r="F41" i="5" a="1"/>
  <c r="J40" i="5" a="1"/>
  <c r="L37" i="5" a="1"/>
  <c r="C37" i="5" a="1"/>
  <c r="G36" i="5" a="1"/>
  <c r="C34" i="5" a="1"/>
  <c r="H33" i="5" a="1"/>
  <c r="L32" i="5" a="1"/>
  <c r="C31" i="5" a="1"/>
  <c r="F30" i="5" a="1"/>
  <c r="J29" i="5" a="1"/>
  <c r="D27" i="5" a="1"/>
  <c r="H26" i="5" a="1"/>
  <c r="K25" i="5" a="1"/>
  <c r="E24" i="5" a="1"/>
  <c r="H23" i="5" a="1"/>
  <c r="L22" i="5" a="1"/>
  <c r="E21" i="5" a="1"/>
  <c r="H20" i="5" a="1"/>
  <c r="L19" i="5" a="1"/>
  <c r="D18" i="5" a="1"/>
  <c r="G17" i="5" a="1"/>
  <c r="K16" i="5" a="1"/>
  <c r="H14" i="5" a="1"/>
  <c r="I11" i="5" a="1"/>
  <c r="G9" i="5" a="1"/>
  <c r="K8" i="5" a="1"/>
  <c r="K6" i="5" a="1"/>
  <c r="F3" i="5" a="1"/>
  <c r="C2" i="5" a="1"/>
  <c r="I201" i="5" a="1"/>
  <c r="C39" i="5" a="1"/>
  <c r="F36" i="5" a="1"/>
  <c r="K32" i="5" a="1"/>
  <c r="L28" i="5" a="1"/>
  <c r="F17" i="5" a="1"/>
  <c r="L13" i="5" a="1"/>
  <c r="J2" i="5" a="1"/>
  <c r="L7" i="5" a="1"/>
  <c r="E140" i="5" a="1"/>
  <c r="J88" i="5" a="1"/>
  <c r="G39" i="5" a="1"/>
  <c r="H34" i="5" a="1"/>
  <c r="C29" i="5" a="1"/>
  <c r="F22" i="5" a="1"/>
  <c r="H15" i="5" a="1"/>
  <c r="K7" i="5" a="1"/>
  <c r="G133" i="5" a="1"/>
  <c r="H96" i="5" a="1"/>
  <c r="D89" i="5" a="1"/>
  <c r="J63" i="5" a="1"/>
  <c r="C59" i="5" a="1"/>
  <c r="F55" i="5" a="1"/>
  <c r="I51" i="5" a="1"/>
  <c r="H40" i="5" a="1"/>
  <c r="K39" i="5" a="1"/>
  <c r="F38" i="5" a="1"/>
  <c r="E36" i="5" a="1"/>
  <c r="J35" i="5" a="1"/>
  <c r="F33" i="5" a="1"/>
  <c r="J32" i="5" a="1"/>
  <c r="D30" i="5" a="1"/>
  <c r="H29" i="5" a="1"/>
  <c r="K28" i="5" a="1"/>
  <c r="F26" i="5" a="1"/>
  <c r="I25" i="5" a="1"/>
  <c r="C24" i="5" a="1"/>
  <c r="F23" i="5" a="1"/>
  <c r="J22" i="5" a="1"/>
  <c r="C21" i="5" a="1"/>
  <c r="F20" i="5" a="1"/>
  <c r="J19" i="5" a="1"/>
  <c r="I16" i="5" a="1"/>
  <c r="G14" i="5" a="1"/>
  <c r="K13" i="5" a="1"/>
  <c r="D12" i="5" a="1"/>
  <c r="G11" i="5" a="1"/>
  <c r="L10" i="5" a="1"/>
  <c r="E9" i="5" a="1"/>
  <c r="J8" i="5" a="1"/>
  <c r="E7" i="5" a="1"/>
  <c r="I6" i="5" a="1"/>
  <c r="D5" i="5" a="1"/>
  <c r="I4" i="5" a="1"/>
  <c r="D3" i="5" a="1"/>
  <c r="I32" i="5" a="1"/>
  <c r="E23" i="5" a="1"/>
  <c r="E20" i="5" a="1"/>
  <c r="I19" i="5" a="1"/>
  <c r="E17" i="5" a="1"/>
  <c r="H16" i="5" a="1"/>
  <c r="F14" i="5" a="1"/>
  <c r="F11" i="5" a="1"/>
  <c r="D9" i="5" a="1"/>
  <c r="I8" i="5" a="1"/>
  <c r="H6" i="5" a="1"/>
  <c r="C5" i="5" a="1"/>
  <c r="I2" i="5" a="1"/>
  <c r="C143" i="5" a="1"/>
  <c r="E124" i="5" a="1"/>
  <c r="D100" i="5" a="1"/>
  <c r="J69" i="5" a="1"/>
  <c r="C50" i="5" a="1"/>
  <c r="H39" i="5" a="1"/>
  <c r="C38" i="5" a="1"/>
  <c r="F35" i="5" a="1"/>
  <c r="F32" i="5" a="1"/>
  <c r="L30" i="5" a="1"/>
  <c r="D29" i="5" a="1"/>
  <c r="J27" i="5" a="1"/>
  <c r="G22" i="5" a="1"/>
  <c r="F19" i="5" a="1"/>
  <c r="I15" i="5" a="1"/>
  <c r="C14" i="5" a="1"/>
  <c r="G13" i="5" a="1"/>
  <c r="K12" i="5" a="1"/>
  <c r="H10" i="5" a="1"/>
  <c r="E73" i="5" a="1"/>
  <c r="I27" i="5" a="1"/>
  <c r="J12" i="5" a="1"/>
  <c r="I5" i="5" a="1"/>
  <c r="E78" i="5" a="1"/>
  <c r="J74" i="5" a="1"/>
  <c r="E47" i="5" a="1"/>
  <c r="D41" i="5" a="1"/>
  <c r="G40" i="5" a="1"/>
  <c r="J39" i="5" a="1"/>
  <c r="J37" i="5" a="1"/>
  <c r="D36" i="5" a="1"/>
  <c r="I35" i="5" a="1"/>
  <c r="L34" i="5" a="1"/>
  <c r="E33" i="5" a="1"/>
  <c r="L31" i="5" a="1"/>
  <c r="C30" i="5" a="1"/>
  <c r="G29" i="5" a="1"/>
  <c r="J28" i="5" a="1"/>
  <c r="E26" i="5" a="1"/>
  <c r="H25" i="5" a="1"/>
  <c r="L15" i="5" a="1"/>
  <c r="J13" i="5" a="1"/>
  <c r="C12" i="5" a="1"/>
  <c r="K10" i="5" a="1"/>
  <c r="D7" i="5" a="1"/>
  <c r="L5" i="5" a="1"/>
  <c r="C33" i="5" a="1"/>
  <c r="G4" i="5" a="1"/>
  <c r="L38" i="5" a="1"/>
  <c r="D6" i="5" a="1"/>
  <c r="I160" i="5" a="1"/>
  <c r="E93" i="5" a="1"/>
  <c r="J85" i="5" a="1"/>
  <c r="K66" i="5" a="1"/>
  <c r="K43" i="5" a="1"/>
  <c r="C41" i="5" a="1"/>
  <c r="F40" i="5" a="1"/>
  <c r="E38" i="5" a="1"/>
  <c r="I37" i="5" a="1"/>
  <c r="H35" i="5" a="1"/>
  <c r="K34" i="5" a="1"/>
  <c r="D33" i="5" a="1"/>
  <c r="H32" i="5" a="1"/>
  <c r="K31" i="5" a="1"/>
  <c r="F29" i="5" a="1"/>
  <c r="I28" i="5" a="1"/>
  <c r="L27" i="5" a="1"/>
  <c r="D26" i="5" a="1"/>
  <c r="G25" i="5" a="1"/>
  <c r="L24" i="5" a="1"/>
  <c r="D23" i="5" a="1"/>
  <c r="I22" i="5" a="1"/>
  <c r="D20" i="5" a="1"/>
  <c r="H19" i="5" a="1"/>
  <c r="L18" i="5" a="1"/>
  <c r="D17" i="5" a="1"/>
  <c r="G16" i="5" a="1"/>
  <c r="K15" i="5" a="1"/>
  <c r="E14" i="5" a="1"/>
  <c r="I13" i="5" a="1"/>
  <c r="J10" i="5" a="1"/>
  <c r="H8" i="5" a="1"/>
  <c r="C7" i="5" a="1"/>
  <c r="G6" i="5" a="1"/>
  <c r="K5" i="5" a="1"/>
  <c r="H4" i="5" a="1"/>
  <c r="L3" i="5" a="1"/>
  <c r="C3" i="5" a="1"/>
  <c r="H2" i="5" a="1"/>
  <c r="H22" i="5" a="1"/>
  <c r="G19" i="5" a="1"/>
  <c r="F16" i="5" a="1"/>
  <c r="H13" i="5" a="1"/>
  <c r="I10" i="5" a="1"/>
  <c r="C9" i="5" a="1"/>
  <c r="F6" i="5" a="1"/>
  <c r="G2" i="5" a="1"/>
  <c r="I77" i="5" a="1"/>
  <c r="I46" i="5" a="1"/>
  <c r="K41" i="5" a="1"/>
  <c r="D40" i="5" a="1"/>
  <c r="I34" i="5" a="1"/>
  <c r="I31" i="5" a="1"/>
  <c r="G28" i="5" a="1"/>
  <c r="K24" i="5" a="1"/>
  <c r="E16" i="5" a="1"/>
  <c r="D11" i="5" a="1"/>
  <c r="K3" i="5" a="1"/>
  <c r="K33" i="5" a="1"/>
  <c r="J24" i="5" a="1"/>
  <c r="L17" i="5" a="1"/>
  <c r="L111" i="5" a="1"/>
  <c r="G98" i="5" a="1"/>
  <c r="E81" i="5" a="1"/>
  <c r="I54" i="5" a="1"/>
  <c r="F43" i="5" a="1"/>
  <c r="L41" i="5" a="1"/>
  <c r="E40" i="5" a="1"/>
  <c r="I39" i="5" a="1"/>
  <c r="D38" i="5" a="1"/>
  <c r="H37" i="5" a="1"/>
  <c r="C36" i="5" a="1"/>
  <c r="G35" i="5" a="1"/>
  <c r="J34" i="5" a="1"/>
  <c r="G32" i="5" a="1"/>
  <c r="J31" i="5" a="1"/>
  <c r="E29" i="5" a="1"/>
  <c r="H28" i="5" a="1"/>
  <c r="K27" i="5" a="1"/>
  <c r="C26" i="5" a="1"/>
  <c r="C23" i="5" a="1"/>
  <c r="L21" i="5" a="1"/>
  <c r="C20" i="5" a="1"/>
  <c r="K18" i="5" a="1"/>
  <c r="C17" i="5" a="1"/>
  <c r="J15" i="5" a="1"/>
  <c r="D14" i="5" a="1"/>
  <c r="L12" i="5" a="1"/>
  <c r="E11" i="5" a="1"/>
  <c r="J5" i="5" a="1"/>
  <c r="L33" i="5" a="1"/>
  <c r="J18" i="5" a="1"/>
  <c r="G8" i="5" a="1"/>
  <c r="C11" i="5" a="1"/>
  <c r="BM226" i="5" l="1"/>
  <c r="AY226" i="5"/>
  <c r="BP226" i="5"/>
  <c r="C11" i="5"/>
  <c r="BL11" i="5" s="1"/>
  <c r="G8" i="5"/>
  <c r="J18" i="5"/>
  <c r="L33" i="5"/>
  <c r="J5" i="5"/>
  <c r="E11" i="5"/>
  <c r="L12" i="5"/>
  <c r="D14" i="5"/>
  <c r="J15" i="5"/>
  <c r="C17" i="5"/>
  <c r="BL17" i="5" s="1"/>
  <c r="K18" i="5"/>
  <c r="C20" i="5"/>
  <c r="BL20" i="5" s="1"/>
  <c r="BP20" i="5" s="1"/>
  <c r="L21" i="5"/>
  <c r="C23" i="5"/>
  <c r="BL23" i="5" s="1"/>
  <c r="C26" i="5"/>
  <c r="BL26" i="5" s="1"/>
  <c r="K27" i="5"/>
  <c r="U27" i="5" s="1"/>
  <c r="H28" i="5"/>
  <c r="E29" i="5"/>
  <c r="AH29" i="5" s="1"/>
  <c r="AI29" i="5" s="1"/>
  <c r="J31" i="5"/>
  <c r="G32" i="5"/>
  <c r="J34" i="5"/>
  <c r="G35" i="5"/>
  <c r="C36" i="5"/>
  <c r="BL36" i="5" s="1"/>
  <c r="H37" i="5"/>
  <c r="D38" i="5"/>
  <c r="I39" i="5"/>
  <c r="W39" i="5" s="1"/>
  <c r="E40" i="5"/>
  <c r="AH40" i="5" s="1"/>
  <c r="AI40" i="5" s="1"/>
  <c r="L41" i="5"/>
  <c r="F43" i="5"/>
  <c r="I54" i="5"/>
  <c r="W54" i="5" s="1"/>
  <c r="E81" i="5"/>
  <c r="G98" i="5"/>
  <c r="L111" i="5"/>
  <c r="L17" i="5"/>
  <c r="J24" i="5"/>
  <c r="K33" i="5"/>
  <c r="U33" i="5" s="1"/>
  <c r="K3" i="5"/>
  <c r="U3" i="5" s="1"/>
  <c r="D11" i="5"/>
  <c r="E16" i="5"/>
  <c r="AH16" i="5" s="1"/>
  <c r="AI16" i="5" s="1"/>
  <c r="K24" i="5"/>
  <c r="U24" i="5" s="1"/>
  <c r="G28" i="5"/>
  <c r="I31" i="5"/>
  <c r="W31" i="5" s="1"/>
  <c r="I34" i="5"/>
  <c r="W34" i="5" s="1"/>
  <c r="D40" i="5"/>
  <c r="K41" i="5"/>
  <c r="U41" i="5" s="1"/>
  <c r="I46" i="5"/>
  <c r="I77" i="5"/>
  <c r="W77" i="5" s="1"/>
  <c r="G2" i="5"/>
  <c r="F6" i="5"/>
  <c r="C9" i="5"/>
  <c r="BL9" i="5" s="1"/>
  <c r="BP9" i="5" s="1"/>
  <c r="I10" i="5"/>
  <c r="W10" i="5" s="1"/>
  <c r="H13" i="5"/>
  <c r="F16" i="5"/>
  <c r="G19" i="5"/>
  <c r="H22" i="5"/>
  <c r="H2" i="5"/>
  <c r="C3" i="5"/>
  <c r="BL3" i="5" s="1"/>
  <c r="L3" i="5"/>
  <c r="H4" i="5"/>
  <c r="K5" i="5"/>
  <c r="U5" i="5" s="1"/>
  <c r="G6" i="5"/>
  <c r="C7" i="5"/>
  <c r="BL7" i="5" s="1"/>
  <c r="H8" i="5"/>
  <c r="J10" i="5"/>
  <c r="I13" i="5"/>
  <c r="W13" i="5" s="1"/>
  <c r="E14" i="5"/>
  <c r="AH14" i="5" s="1"/>
  <c r="AI14" i="5" s="1"/>
  <c r="K15" i="5"/>
  <c r="G16" i="5"/>
  <c r="D17" i="5"/>
  <c r="L18" i="5"/>
  <c r="H19" i="5"/>
  <c r="D20" i="5"/>
  <c r="I22" i="5"/>
  <c r="W22" i="5" s="1"/>
  <c r="D23" i="5"/>
  <c r="L24" i="5"/>
  <c r="G25" i="5"/>
  <c r="D26" i="5"/>
  <c r="L27" i="5"/>
  <c r="I28" i="5"/>
  <c r="W28" i="5" s="1"/>
  <c r="F29" i="5"/>
  <c r="K31" i="5"/>
  <c r="U31" i="5" s="1"/>
  <c r="H32" i="5"/>
  <c r="D33" i="5"/>
  <c r="K34" i="5"/>
  <c r="U34" i="5" s="1"/>
  <c r="H35" i="5"/>
  <c r="I37" i="5"/>
  <c r="W37" i="5" s="1"/>
  <c r="E38" i="5"/>
  <c r="AH38" i="5" s="1"/>
  <c r="AI38" i="5" s="1"/>
  <c r="F40" i="5"/>
  <c r="C41" i="5"/>
  <c r="BL41" i="5" s="1"/>
  <c r="BP41" i="5" s="1"/>
  <c r="K43" i="5"/>
  <c r="U43" i="5" s="1"/>
  <c r="K66" i="5"/>
  <c r="J85" i="5"/>
  <c r="E93" i="5"/>
  <c r="I160" i="5"/>
  <c r="W160" i="5" s="1"/>
  <c r="D6" i="5"/>
  <c r="L38" i="5"/>
  <c r="G4" i="5"/>
  <c r="C33" i="5"/>
  <c r="BL33" i="5" s="1"/>
  <c r="L5" i="5"/>
  <c r="D7" i="5"/>
  <c r="K10" i="5"/>
  <c r="C12" i="5"/>
  <c r="J13" i="5"/>
  <c r="L15" i="5"/>
  <c r="H25" i="5"/>
  <c r="E26" i="5"/>
  <c r="AH26" i="5" s="1"/>
  <c r="AI26" i="5" s="1"/>
  <c r="J28" i="5"/>
  <c r="G29" i="5"/>
  <c r="C30" i="5"/>
  <c r="BL30" i="5" s="1"/>
  <c r="L31" i="5"/>
  <c r="E33" i="5"/>
  <c r="AH33" i="5" s="1"/>
  <c r="AI33" i="5" s="1"/>
  <c r="L34" i="5"/>
  <c r="I35" i="5"/>
  <c r="W35" i="5" s="1"/>
  <c r="D36" i="5"/>
  <c r="J37" i="5"/>
  <c r="J39" i="5"/>
  <c r="G40" i="5"/>
  <c r="D41" i="5"/>
  <c r="E47" i="5"/>
  <c r="AH47" i="5" s="1"/>
  <c r="AI47" i="5" s="1"/>
  <c r="J74" i="5"/>
  <c r="E78" i="5"/>
  <c r="AH78" i="5" s="1"/>
  <c r="AI78" i="5" s="1"/>
  <c r="I5" i="5"/>
  <c r="W5" i="5" s="1"/>
  <c r="J12" i="5"/>
  <c r="I27" i="5"/>
  <c r="W27" i="5" s="1"/>
  <c r="E73" i="5"/>
  <c r="AH73" i="5" s="1"/>
  <c r="AI73" i="5" s="1"/>
  <c r="H10" i="5"/>
  <c r="K12" i="5"/>
  <c r="G13" i="5"/>
  <c r="C14" i="5"/>
  <c r="BL14" i="5" s="1"/>
  <c r="I15" i="5"/>
  <c r="W15" i="5" s="1"/>
  <c r="F19" i="5"/>
  <c r="G22" i="5"/>
  <c r="J27" i="5"/>
  <c r="D29" i="5"/>
  <c r="L30" i="5"/>
  <c r="F32" i="5"/>
  <c r="F35" i="5"/>
  <c r="C38" i="5"/>
  <c r="BL38" i="5" s="1"/>
  <c r="H39" i="5"/>
  <c r="C50" i="5"/>
  <c r="BL50" i="5" s="1"/>
  <c r="J69" i="5"/>
  <c r="D100" i="5"/>
  <c r="E124" i="5"/>
  <c r="C143" i="5"/>
  <c r="BL143" i="5" s="1"/>
  <c r="I2" i="5"/>
  <c r="W2" i="5" s="1"/>
  <c r="C5" i="5"/>
  <c r="BL5" i="5" s="1"/>
  <c r="BP5" i="5" s="1"/>
  <c r="H6" i="5"/>
  <c r="I8" i="5"/>
  <c r="W8" i="5" s="1"/>
  <c r="D9" i="5"/>
  <c r="F11" i="5"/>
  <c r="F14" i="5"/>
  <c r="H16" i="5"/>
  <c r="E17" i="5"/>
  <c r="AH17" i="5" s="1"/>
  <c r="AI17" i="5" s="1"/>
  <c r="I19" i="5"/>
  <c r="W19" i="5" s="1"/>
  <c r="E20" i="5"/>
  <c r="AH20" i="5" s="1"/>
  <c r="AI20" i="5" s="1"/>
  <c r="E23" i="5"/>
  <c r="AH23" i="5" s="1"/>
  <c r="AI23" i="5" s="1"/>
  <c r="I32" i="5"/>
  <c r="W32" i="5" s="1"/>
  <c r="D3" i="5"/>
  <c r="I4" i="5"/>
  <c r="W4" i="5" s="1"/>
  <c r="D5" i="5"/>
  <c r="I6" i="5"/>
  <c r="W6" i="5" s="1"/>
  <c r="E7" i="5"/>
  <c r="J8" i="5"/>
  <c r="E9" i="5"/>
  <c r="AH9" i="5" s="1"/>
  <c r="AI9" i="5" s="1"/>
  <c r="L10" i="5"/>
  <c r="G11" i="5"/>
  <c r="D12" i="5"/>
  <c r="K13" i="5"/>
  <c r="U13" i="5" s="1"/>
  <c r="G14" i="5"/>
  <c r="I16" i="5"/>
  <c r="W16" i="5" s="1"/>
  <c r="J19" i="5"/>
  <c r="F20" i="5"/>
  <c r="C21" i="5"/>
  <c r="BL21" i="5" s="1"/>
  <c r="J22" i="5"/>
  <c r="F23" i="5"/>
  <c r="C24" i="5"/>
  <c r="BL24" i="5" s="1"/>
  <c r="I25" i="5"/>
  <c r="F26" i="5"/>
  <c r="K28" i="5"/>
  <c r="U28" i="5" s="1"/>
  <c r="H29" i="5"/>
  <c r="D30" i="5"/>
  <c r="J32" i="5"/>
  <c r="F33" i="5"/>
  <c r="J35" i="5"/>
  <c r="E36" i="5"/>
  <c r="AH36" i="5" s="1"/>
  <c r="AI36" i="5" s="1"/>
  <c r="F38" i="5"/>
  <c r="K39" i="5"/>
  <c r="H40" i="5"/>
  <c r="I51" i="5"/>
  <c r="W51" i="5" s="1"/>
  <c r="F55" i="5"/>
  <c r="C59" i="5"/>
  <c r="BL59" i="5" s="1"/>
  <c r="J63" i="5"/>
  <c r="D89" i="5"/>
  <c r="H96" i="5"/>
  <c r="G133" i="5"/>
  <c r="K7" i="5"/>
  <c r="U7" i="5" s="1"/>
  <c r="H15" i="5"/>
  <c r="F22" i="5"/>
  <c r="C29" i="5"/>
  <c r="BL29" i="5" s="1"/>
  <c r="H34" i="5"/>
  <c r="G39" i="5"/>
  <c r="J88" i="5"/>
  <c r="E140" i="5"/>
  <c r="AH140" i="5" s="1"/>
  <c r="AI140" i="5" s="1"/>
  <c r="L7" i="5"/>
  <c r="J2" i="5"/>
  <c r="L13" i="5"/>
  <c r="F17" i="5"/>
  <c r="L28" i="5"/>
  <c r="K32" i="5"/>
  <c r="F36" i="5"/>
  <c r="C39" i="5"/>
  <c r="BL39" i="5" s="1"/>
  <c r="BN39" i="5" s="1"/>
  <c r="I201" i="5"/>
  <c r="W201" i="5" s="1"/>
  <c r="C2" i="5"/>
  <c r="BL2" i="5" s="1"/>
  <c r="BN2" i="5" s="1"/>
  <c r="F3" i="5"/>
  <c r="K6" i="5"/>
  <c r="K8" i="5"/>
  <c r="U8" i="5" s="1"/>
  <c r="G9" i="5"/>
  <c r="I11" i="5"/>
  <c r="W11" i="5" s="1"/>
  <c r="H14" i="5"/>
  <c r="K16" i="5"/>
  <c r="G17" i="5"/>
  <c r="D18" i="5"/>
  <c r="L19" i="5"/>
  <c r="H20" i="5"/>
  <c r="E21" i="5"/>
  <c r="L22" i="5"/>
  <c r="H23" i="5"/>
  <c r="E24" i="5"/>
  <c r="AH24" i="5" s="1"/>
  <c r="AI24" i="5" s="1"/>
  <c r="K25" i="5"/>
  <c r="U25" i="5" s="1"/>
  <c r="H26" i="5"/>
  <c r="D27" i="5"/>
  <c r="J29" i="5"/>
  <c r="F30" i="5"/>
  <c r="C31" i="5"/>
  <c r="BL31" i="5" s="1"/>
  <c r="L32" i="5"/>
  <c r="H33" i="5"/>
  <c r="C34" i="5"/>
  <c r="BL34" i="5" s="1"/>
  <c r="G36" i="5"/>
  <c r="C37" i="5"/>
  <c r="BL37" i="5" s="1"/>
  <c r="L37" i="5"/>
  <c r="J40" i="5"/>
  <c r="F41" i="5"/>
  <c r="G44" i="5"/>
  <c r="F75" i="5"/>
  <c r="F8" i="5"/>
  <c r="F13" i="5"/>
  <c r="I18" i="5"/>
  <c r="W18" i="5" s="1"/>
  <c r="F28" i="5"/>
  <c r="E32" i="5"/>
  <c r="AH32" i="5" s="1"/>
  <c r="AI32" i="5" s="1"/>
  <c r="C40" i="5"/>
  <c r="BL40" i="5" s="1"/>
  <c r="F25" i="5"/>
  <c r="E5" i="5"/>
  <c r="AH5" i="5" s="1"/>
  <c r="AI5" i="5" s="1"/>
  <c r="F9" i="5"/>
  <c r="J16" i="5"/>
  <c r="G20" i="5"/>
  <c r="K22" i="5"/>
  <c r="U22" i="5" s="1"/>
  <c r="G26" i="5"/>
  <c r="E30" i="5"/>
  <c r="G38" i="5"/>
  <c r="I40" i="5"/>
  <c r="G67" i="5"/>
  <c r="J82" i="5"/>
  <c r="K2" i="5"/>
  <c r="U2" i="5" s="1"/>
  <c r="G3" i="5"/>
  <c r="K4" i="5"/>
  <c r="F5" i="5"/>
  <c r="G7" i="5"/>
  <c r="C8" i="5"/>
  <c r="BL8" i="5" s="1"/>
  <c r="BP8" i="5" s="1"/>
  <c r="L8" i="5"/>
  <c r="H9" i="5"/>
  <c r="C10" i="5"/>
  <c r="BL10" i="5" s="1"/>
  <c r="BP10" i="5" s="1"/>
  <c r="J11" i="5"/>
  <c r="F12" i="5"/>
  <c r="I14" i="5"/>
  <c r="D15" i="5"/>
  <c r="L16" i="5"/>
  <c r="H17" i="5"/>
  <c r="E18" i="5"/>
  <c r="AH18" i="5" s="1"/>
  <c r="AI18" i="5" s="1"/>
  <c r="I20" i="5"/>
  <c r="W20" i="5" s="1"/>
  <c r="F21" i="5"/>
  <c r="I23" i="5"/>
  <c r="W23" i="5" s="1"/>
  <c r="F24" i="5"/>
  <c r="L25" i="5"/>
  <c r="I26" i="5"/>
  <c r="E27" i="5"/>
  <c r="AH27" i="5" s="1"/>
  <c r="AI27" i="5" s="1"/>
  <c r="G30" i="5"/>
  <c r="D31" i="5"/>
  <c r="D34" i="5"/>
  <c r="L35" i="5"/>
  <c r="H36" i="5"/>
  <c r="D37" i="5"/>
  <c r="H38" i="5"/>
  <c r="D39" i="5"/>
  <c r="K40" i="5"/>
  <c r="G41" i="5"/>
  <c r="C42" i="5"/>
  <c r="BL42" i="5" s="1"/>
  <c r="F52" i="5"/>
  <c r="C56" i="5"/>
  <c r="BL56" i="5" s="1"/>
  <c r="BP56" i="5" s="1"/>
  <c r="G64" i="5"/>
  <c r="I94" i="5"/>
  <c r="W94" i="5" s="1"/>
  <c r="K99" i="5"/>
  <c r="U99" i="5" s="1"/>
  <c r="C115" i="5"/>
  <c r="BL115" i="5" s="1"/>
  <c r="C123" i="5"/>
  <c r="BL123" i="5" s="1"/>
  <c r="D147" i="5"/>
  <c r="F2" i="5"/>
  <c r="G10" i="5"/>
  <c r="D16" i="5"/>
  <c r="J21" i="5"/>
  <c r="H31" i="5"/>
  <c r="G37" i="5"/>
  <c r="F129" i="5"/>
  <c r="F7" i="5"/>
  <c r="H11" i="5"/>
  <c r="C18" i="5"/>
  <c r="D21" i="5"/>
  <c r="D24" i="5"/>
  <c r="K37" i="5"/>
  <c r="U37" i="5" s="1"/>
  <c r="L39" i="5"/>
  <c r="D2" i="5"/>
  <c r="L2" i="5"/>
  <c r="H3" i="5"/>
  <c r="C4" i="5"/>
  <c r="BL4" i="5" s="1"/>
  <c r="G5" i="5"/>
  <c r="L6" i="5"/>
  <c r="H7" i="5"/>
  <c r="D8" i="5"/>
  <c r="I9" i="5"/>
  <c r="W9" i="5" s="1"/>
  <c r="D10" i="5"/>
  <c r="K11" i="5"/>
  <c r="U11" i="5" s="1"/>
  <c r="G12" i="5"/>
  <c r="C13" i="5"/>
  <c r="BL13" i="5" s="1"/>
  <c r="BN13" i="5" s="1"/>
  <c r="J14" i="5"/>
  <c r="E15" i="5"/>
  <c r="AH15" i="5" s="1"/>
  <c r="AI15" i="5" s="1"/>
  <c r="I17" i="5"/>
  <c r="W17" i="5" s="1"/>
  <c r="F18" i="5"/>
  <c r="J20" i="5"/>
  <c r="G21" i="5"/>
  <c r="C22" i="5"/>
  <c r="BL22" i="5" s="1"/>
  <c r="J23" i="5"/>
  <c r="G24" i="5"/>
  <c r="J26" i="5"/>
  <c r="F27" i="5"/>
  <c r="C28" i="5"/>
  <c r="BL28" i="5" s="1"/>
  <c r="K29" i="5"/>
  <c r="H30" i="5"/>
  <c r="E31" i="5"/>
  <c r="AH31" i="5" s="1"/>
  <c r="AI31" i="5" s="1"/>
  <c r="I33" i="5"/>
  <c r="E34" i="5"/>
  <c r="AH34" i="5" s="1"/>
  <c r="AI34" i="5" s="1"/>
  <c r="I36" i="5"/>
  <c r="W36" i="5" s="1"/>
  <c r="I38" i="5"/>
  <c r="W38" i="5" s="1"/>
  <c r="E39" i="5"/>
  <c r="AH39" i="5" s="1"/>
  <c r="AI39" i="5" s="1"/>
  <c r="L40" i="5"/>
  <c r="H41" i="5"/>
  <c r="E42" i="5"/>
  <c r="J60" i="5"/>
  <c r="D68" i="5"/>
  <c r="I72" i="5"/>
  <c r="F83" i="5"/>
  <c r="C87" i="5"/>
  <c r="BL87" i="5" s="1"/>
  <c r="J110" i="5"/>
  <c r="F199" i="5"/>
  <c r="F4" i="5"/>
  <c r="E19" i="5"/>
  <c r="AH19" i="5" s="1"/>
  <c r="AI19" i="5" s="1"/>
  <c r="E35" i="5"/>
  <c r="AH35" i="5" s="1"/>
  <c r="AI35" i="5" s="1"/>
  <c r="F61" i="5"/>
  <c r="E6" i="5"/>
  <c r="K21" i="5"/>
  <c r="U21" i="5" s="1"/>
  <c r="E3" i="5"/>
  <c r="AH3" i="5" s="1"/>
  <c r="AI3" i="5" s="1"/>
  <c r="J6" i="5"/>
  <c r="K19" i="5"/>
  <c r="U19" i="5" s="1"/>
  <c r="G23" i="5"/>
  <c r="C27" i="5"/>
  <c r="BL27" i="5" s="1"/>
  <c r="K35" i="5"/>
  <c r="U35" i="5" s="1"/>
  <c r="E41" i="5"/>
  <c r="AH41" i="5" s="1"/>
  <c r="AI41" i="5" s="1"/>
  <c r="G86" i="5"/>
  <c r="I125" i="5"/>
  <c r="W125" i="5" s="1"/>
  <c r="E2" i="5"/>
  <c r="AH2" i="5" s="1"/>
  <c r="AI2" i="5" s="1"/>
  <c r="I3" i="5"/>
  <c r="D4" i="5"/>
  <c r="L4" i="5"/>
  <c r="C6" i="5"/>
  <c r="BL6" i="5" s="1"/>
  <c r="BP6" i="5" s="1"/>
  <c r="I7" i="5"/>
  <c r="W7" i="5" s="1"/>
  <c r="E10" i="5"/>
  <c r="AH10" i="5" s="1"/>
  <c r="AI10" i="5" s="1"/>
  <c r="L11" i="5"/>
  <c r="H12" i="5"/>
  <c r="D13" i="5"/>
  <c r="K14" i="5"/>
  <c r="U14" i="5" s="1"/>
  <c r="F15" i="5"/>
  <c r="C16" i="5"/>
  <c r="BL16" i="5" s="1"/>
  <c r="BP16" i="5" s="1"/>
  <c r="J17" i="5"/>
  <c r="G18" i="5"/>
  <c r="C19" i="5"/>
  <c r="BL19" i="5" s="1"/>
  <c r="K20" i="5"/>
  <c r="U20" i="5" s="1"/>
  <c r="H21" i="5"/>
  <c r="D22" i="5"/>
  <c r="K23" i="5"/>
  <c r="U23" i="5" s="1"/>
  <c r="H24" i="5"/>
  <c r="C25" i="5"/>
  <c r="BL25" i="5" s="1"/>
  <c r="K26" i="5"/>
  <c r="U26" i="5" s="1"/>
  <c r="G27" i="5"/>
  <c r="D28" i="5"/>
  <c r="L29" i="5"/>
  <c r="I30" i="5"/>
  <c r="W30" i="5" s="1"/>
  <c r="F31" i="5"/>
  <c r="C32" i="5"/>
  <c r="BL32" i="5" s="1"/>
  <c r="F34" i="5"/>
  <c r="C35" i="5"/>
  <c r="BL35" i="5" s="1"/>
  <c r="BN35" i="5" s="1"/>
  <c r="J36" i="5"/>
  <c r="E37" i="5"/>
  <c r="AH37" i="5" s="1"/>
  <c r="AI37" i="5" s="1"/>
  <c r="J38" i="5"/>
  <c r="F39" i="5"/>
  <c r="I41" i="5"/>
  <c r="W41" i="5" s="1"/>
  <c r="K42" i="5"/>
  <c r="U42" i="5" s="1"/>
  <c r="G49" i="5"/>
  <c r="L92" i="5"/>
  <c r="J3" i="5"/>
  <c r="K9" i="5"/>
  <c r="E25" i="5"/>
  <c r="AH25" i="5" s="1"/>
  <c r="AI25" i="5" s="1"/>
  <c r="K30" i="5"/>
  <c r="L36" i="5"/>
  <c r="C84" i="5"/>
  <c r="BL84" i="5" s="1"/>
  <c r="L9" i="5"/>
  <c r="J4" i="5"/>
  <c r="E12" i="5"/>
  <c r="AH12" i="5" s="1"/>
  <c r="AI12" i="5" s="1"/>
  <c r="C15" i="5"/>
  <c r="BL15" i="5" s="1"/>
  <c r="J25" i="5"/>
  <c r="I29" i="5"/>
  <c r="W29" i="5" s="1"/>
  <c r="G33" i="5"/>
  <c r="L144" i="5"/>
  <c r="E4" i="5"/>
  <c r="H5" i="5"/>
  <c r="J7" i="5"/>
  <c r="E8" i="5"/>
  <c r="AH8" i="5" s="1"/>
  <c r="AI8" i="5" s="1"/>
  <c r="J9" i="5"/>
  <c r="F10" i="5"/>
  <c r="I12" i="5"/>
  <c r="W12" i="5" s="1"/>
  <c r="E13" i="5"/>
  <c r="AH13" i="5" s="1"/>
  <c r="AI13" i="5" s="1"/>
  <c r="L14" i="5"/>
  <c r="G15" i="5"/>
  <c r="K17" i="5"/>
  <c r="H18" i="5"/>
  <c r="D19" i="5"/>
  <c r="L20" i="5"/>
  <c r="I21" i="5"/>
  <c r="W21" i="5" s="1"/>
  <c r="E22" i="5"/>
  <c r="AH22" i="5" s="1"/>
  <c r="AI22" i="5" s="1"/>
  <c r="AJ22" i="5" s="1"/>
  <c r="L23" i="5"/>
  <c r="I24" i="5"/>
  <c r="W24" i="5" s="1"/>
  <c r="D25" i="5"/>
  <c r="L26" i="5"/>
  <c r="H27" i="5"/>
  <c r="E28" i="5"/>
  <c r="J30" i="5"/>
  <c r="G31" i="5"/>
  <c r="D32" i="5"/>
  <c r="J33" i="5"/>
  <c r="G34" i="5"/>
  <c r="D35" i="5"/>
  <c r="K36" i="5"/>
  <c r="F37" i="5"/>
  <c r="K38" i="5"/>
  <c r="U38" i="5" s="1"/>
  <c r="J41" i="5"/>
  <c r="J57" i="5"/>
  <c r="C65" i="5"/>
  <c r="H80" i="5"/>
  <c r="G105" i="5"/>
  <c r="K126" i="5"/>
  <c r="I137" i="5"/>
  <c r="F42" i="5"/>
  <c r="L43" i="5"/>
  <c r="H44" i="5"/>
  <c r="C45" i="5"/>
  <c r="BL45" i="5" s="1"/>
  <c r="J46" i="5"/>
  <c r="F47" i="5"/>
  <c r="H49" i="5"/>
  <c r="D50" i="5"/>
  <c r="J51" i="5"/>
  <c r="G52" i="5"/>
  <c r="C53" i="5"/>
  <c r="BL53" i="5" s="1"/>
  <c r="J54" i="5"/>
  <c r="G55" i="5"/>
  <c r="D56" i="5"/>
  <c r="K57" i="5"/>
  <c r="U57" i="5" s="1"/>
  <c r="G58" i="5"/>
  <c r="D59" i="5"/>
  <c r="K60" i="5"/>
  <c r="G61" i="5"/>
  <c r="C62" i="5"/>
  <c r="BL62" i="5" s="1"/>
  <c r="BP62" i="5" s="1"/>
  <c r="K63" i="5"/>
  <c r="H64" i="5"/>
  <c r="D65" i="5"/>
  <c r="L66" i="5"/>
  <c r="H67" i="5"/>
  <c r="K69" i="5"/>
  <c r="U69" i="5" s="1"/>
  <c r="F70" i="5"/>
  <c r="C71" i="5"/>
  <c r="BL71" i="5" s="1"/>
  <c r="J72" i="5"/>
  <c r="F73" i="5"/>
  <c r="K74" i="5"/>
  <c r="C76" i="5"/>
  <c r="BL76" i="5" s="1"/>
  <c r="J77" i="5"/>
  <c r="F78" i="5"/>
  <c r="L79" i="5"/>
  <c r="I80" i="5"/>
  <c r="W80" i="5" s="1"/>
  <c r="F81" i="5"/>
  <c r="K82" i="5"/>
  <c r="U82" i="5" s="1"/>
  <c r="G83" i="5"/>
  <c r="D84" i="5"/>
  <c r="K85" i="5"/>
  <c r="U85" i="5" s="1"/>
  <c r="H86" i="5"/>
  <c r="D87" i="5"/>
  <c r="K88" i="5"/>
  <c r="E89" i="5"/>
  <c r="AH89" i="5" s="1"/>
  <c r="AI89" i="5" s="1"/>
  <c r="H90" i="5"/>
  <c r="L91" i="5"/>
  <c r="D92" i="5"/>
  <c r="F93" i="5"/>
  <c r="C95" i="5"/>
  <c r="BL95" i="5" s="1"/>
  <c r="I96" i="5"/>
  <c r="W96" i="5" s="1"/>
  <c r="C97" i="5"/>
  <c r="BL97" i="5" s="1"/>
  <c r="H98" i="5"/>
  <c r="E100" i="5"/>
  <c r="AH100" i="5" s="1"/>
  <c r="AI100" i="5" s="1"/>
  <c r="F101" i="5"/>
  <c r="K105" i="5"/>
  <c r="L110" i="5"/>
  <c r="F115" i="5"/>
  <c r="G119" i="5"/>
  <c r="E123" i="5"/>
  <c r="AH123" i="5" s="1"/>
  <c r="AI123" i="5" s="1"/>
  <c r="L125" i="5"/>
  <c r="C132" i="5"/>
  <c r="BL132" i="5" s="1"/>
  <c r="BP132" i="5" s="1"/>
  <c r="K133" i="5"/>
  <c r="U133" i="5" s="1"/>
  <c r="J137" i="5"/>
  <c r="I140" i="5"/>
  <c r="W140" i="5" s="1"/>
  <c r="H147" i="5"/>
  <c r="D152" i="5"/>
  <c r="J158" i="5"/>
  <c r="G172" i="5"/>
  <c r="D178" i="5"/>
  <c r="G42" i="5"/>
  <c r="I44" i="5"/>
  <c r="D45" i="5"/>
  <c r="K46" i="5"/>
  <c r="U46" i="5" s="1"/>
  <c r="G47" i="5"/>
  <c r="C48" i="5"/>
  <c r="BL48" i="5" s="1"/>
  <c r="BN48" i="5" s="1"/>
  <c r="I49" i="5"/>
  <c r="W49" i="5" s="1"/>
  <c r="E50" i="5"/>
  <c r="AH50" i="5" s="1"/>
  <c r="AI50" i="5" s="1"/>
  <c r="K51" i="5"/>
  <c r="H52" i="5"/>
  <c r="D53" i="5"/>
  <c r="K54" i="5"/>
  <c r="U54" i="5" s="1"/>
  <c r="H55" i="5"/>
  <c r="L57" i="5"/>
  <c r="H58" i="5"/>
  <c r="E59" i="5"/>
  <c r="AH59" i="5" s="1"/>
  <c r="AI59" i="5" s="1"/>
  <c r="L60" i="5"/>
  <c r="H61" i="5"/>
  <c r="D62" i="5"/>
  <c r="L63" i="5"/>
  <c r="I64" i="5"/>
  <c r="W64" i="5" s="1"/>
  <c r="E65" i="5"/>
  <c r="I67" i="5"/>
  <c r="W67" i="5" s="1"/>
  <c r="E68" i="5"/>
  <c r="L69" i="5"/>
  <c r="G70" i="5"/>
  <c r="D71" i="5"/>
  <c r="K72" i="5"/>
  <c r="U72" i="5" s="1"/>
  <c r="G73" i="5"/>
  <c r="L74" i="5"/>
  <c r="G75" i="5"/>
  <c r="D76" i="5"/>
  <c r="K77" i="5"/>
  <c r="G78" i="5"/>
  <c r="J80" i="5"/>
  <c r="L82" i="5"/>
  <c r="H83" i="5"/>
  <c r="E84" i="5"/>
  <c r="AH84" i="5" s="1"/>
  <c r="AI84" i="5" s="1"/>
  <c r="L85" i="5"/>
  <c r="I86" i="5"/>
  <c r="W86" i="5" s="1"/>
  <c r="E87" i="5"/>
  <c r="AH87" i="5" s="1"/>
  <c r="AI87" i="5" s="1"/>
  <c r="L88" i="5"/>
  <c r="F89" i="5"/>
  <c r="E92" i="5"/>
  <c r="AH92" i="5" s="1"/>
  <c r="AI92" i="5" s="1"/>
  <c r="G93" i="5"/>
  <c r="J94" i="5"/>
  <c r="D97" i="5"/>
  <c r="I98" i="5"/>
  <c r="W98" i="5" s="1"/>
  <c r="C99" i="5"/>
  <c r="BL99" i="5" s="1"/>
  <c r="L99" i="5"/>
  <c r="F100" i="5"/>
  <c r="G101" i="5"/>
  <c r="G104" i="5"/>
  <c r="E109" i="5"/>
  <c r="AH109" i="5" s="1"/>
  <c r="AI109" i="5" s="1"/>
  <c r="C114" i="5"/>
  <c r="I115" i="5"/>
  <c r="W115" i="5" s="1"/>
  <c r="C118" i="5"/>
  <c r="BL118" i="5" s="1"/>
  <c r="J119" i="5"/>
  <c r="D122" i="5"/>
  <c r="F123" i="5"/>
  <c r="H124" i="5"/>
  <c r="L129" i="5"/>
  <c r="F132" i="5"/>
  <c r="L133" i="5"/>
  <c r="C136" i="5"/>
  <c r="BL136" i="5" s="1"/>
  <c r="BN136" i="5" s="1"/>
  <c r="G143" i="5"/>
  <c r="J147" i="5"/>
  <c r="I152" i="5"/>
  <c r="W152" i="5" s="1"/>
  <c r="F154" i="5"/>
  <c r="H156" i="5"/>
  <c r="D164" i="5"/>
  <c r="E169" i="5"/>
  <c r="AH169" i="5" s="1"/>
  <c r="AI169" i="5" s="1"/>
  <c r="H174" i="5"/>
  <c r="D176" i="5"/>
  <c r="E178" i="5"/>
  <c r="AH178" i="5" s="1"/>
  <c r="AI178" i="5" s="1"/>
  <c r="K217" i="5"/>
  <c r="U217" i="5" s="1"/>
  <c r="C222" i="5"/>
  <c r="BL222" i="5" s="1"/>
  <c r="BN222" i="5" s="1"/>
  <c r="H42" i="5"/>
  <c r="C43" i="5"/>
  <c r="BL43" i="5" s="1"/>
  <c r="E45" i="5"/>
  <c r="AH45" i="5" s="1"/>
  <c r="AI45" i="5" s="1"/>
  <c r="L46" i="5"/>
  <c r="H47" i="5"/>
  <c r="D48" i="5"/>
  <c r="J49" i="5"/>
  <c r="F50" i="5"/>
  <c r="L51" i="5"/>
  <c r="I52" i="5"/>
  <c r="E53" i="5"/>
  <c r="AH53" i="5" s="1"/>
  <c r="AI53" i="5" s="1"/>
  <c r="L54" i="5"/>
  <c r="I55" i="5"/>
  <c r="W55" i="5" s="1"/>
  <c r="E56" i="5"/>
  <c r="AH56" i="5" s="1"/>
  <c r="AI56" i="5" s="1"/>
  <c r="I58" i="5"/>
  <c r="W58" i="5" s="1"/>
  <c r="F59" i="5"/>
  <c r="I61" i="5"/>
  <c r="W61" i="5" s="1"/>
  <c r="J64" i="5"/>
  <c r="F65" i="5"/>
  <c r="J67" i="5"/>
  <c r="F68" i="5"/>
  <c r="H70" i="5"/>
  <c r="E71" i="5"/>
  <c r="AH71" i="5" s="1"/>
  <c r="AI71" i="5" s="1"/>
  <c r="L72" i="5"/>
  <c r="H73" i="5"/>
  <c r="C74" i="5"/>
  <c r="BL74" i="5" s="1"/>
  <c r="H75" i="5"/>
  <c r="E76" i="5"/>
  <c r="AH76" i="5" s="1"/>
  <c r="AI76" i="5" s="1"/>
  <c r="L77" i="5"/>
  <c r="C79" i="5"/>
  <c r="BL79" i="5" s="1"/>
  <c r="K80" i="5"/>
  <c r="U80" i="5" s="1"/>
  <c r="G81" i="5"/>
  <c r="I83" i="5"/>
  <c r="F84" i="5"/>
  <c r="J86" i="5"/>
  <c r="F87" i="5"/>
  <c r="G89" i="5"/>
  <c r="I90" i="5"/>
  <c r="W90" i="5" s="1"/>
  <c r="C91" i="5"/>
  <c r="BL91" i="5" s="1"/>
  <c r="K94" i="5"/>
  <c r="U94" i="5" s="1"/>
  <c r="D95" i="5"/>
  <c r="J96" i="5"/>
  <c r="E97" i="5"/>
  <c r="AH97" i="5" s="1"/>
  <c r="AI97" i="5" s="1"/>
  <c r="G100" i="5"/>
  <c r="H101" i="5"/>
  <c r="I104" i="5"/>
  <c r="W104" i="5" s="1"/>
  <c r="I109" i="5"/>
  <c r="W109" i="5" s="1"/>
  <c r="L115" i="5"/>
  <c r="E118" i="5"/>
  <c r="AH118" i="5" s="1"/>
  <c r="AI118" i="5" s="1"/>
  <c r="E122" i="5"/>
  <c r="AH122" i="5" s="1"/>
  <c r="AI122" i="5" s="1"/>
  <c r="H123" i="5"/>
  <c r="J124" i="5"/>
  <c r="E128" i="5"/>
  <c r="AH128" i="5" s="1"/>
  <c r="AI128" i="5" s="1"/>
  <c r="G132" i="5"/>
  <c r="D136" i="5"/>
  <c r="C139" i="5"/>
  <c r="BL139" i="5" s="1"/>
  <c r="C142" i="5"/>
  <c r="BL142" i="5" s="1"/>
  <c r="BP142" i="5" s="1"/>
  <c r="J143" i="5"/>
  <c r="H146" i="5"/>
  <c r="K147" i="5"/>
  <c r="U147" i="5" s="1"/>
  <c r="J164" i="5"/>
  <c r="K169" i="5"/>
  <c r="U169" i="5" s="1"/>
  <c r="J174" i="5"/>
  <c r="L178" i="5"/>
  <c r="I180" i="5"/>
  <c r="W180" i="5" s="1"/>
  <c r="G186" i="5"/>
  <c r="D188" i="5"/>
  <c r="C204" i="5"/>
  <c r="BL204" i="5" s="1"/>
  <c r="L217" i="5"/>
  <c r="D222" i="5"/>
  <c r="I42" i="5"/>
  <c r="W42" i="5" s="1"/>
  <c r="D43" i="5"/>
  <c r="J44" i="5"/>
  <c r="F45" i="5"/>
  <c r="I47" i="5"/>
  <c r="W47" i="5" s="1"/>
  <c r="E48" i="5"/>
  <c r="AH48" i="5" s="1"/>
  <c r="AI48" i="5" s="1"/>
  <c r="G50" i="5"/>
  <c r="J52" i="5"/>
  <c r="F53" i="5"/>
  <c r="J55" i="5"/>
  <c r="F56" i="5"/>
  <c r="J58" i="5"/>
  <c r="G59" i="5"/>
  <c r="C60" i="5"/>
  <c r="BL60" i="5" s="1"/>
  <c r="E62" i="5"/>
  <c r="AH62" i="5" s="1"/>
  <c r="AI62" i="5" s="1"/>
  <c r="K64" i="5"/>
  <c r="G65" i="5"/>
  <c r="C66" i="5"/>
  <c r="BL66" i="5" s="1"/>
  <c r="K67" i="5"/>
  <c r="G68" i="5"/>
  <c r="C69" i="5"/>
  <c r="BL69" i="5" s="1"/>
  <c r="I70" i="5"/>
  <c r="F71" i="5"/>
  <c r="D74" i="5"/>
  <c r="I75" i="5"/>
  <c r="W75" i="5" s="1"/>
  <c r="F76" i="5"/>
  <c r="H78" i="5"/>
  <c r="D79" i="5"/>
  <c r="L80" i="5"/>
  <c r="H81" i="5"/>
  <c r="C82" i="5"/>
  <c r="BL82" i="5" s="1"/>
  <c r="BN82" i="5" s="1"/>
  <c r="J83" i="5"/>
  <c r="G84" i="5"/>
  <c r="K86" i="5"/>
  <c r="U86" i="5" s="1"/>
  <c r="G87" i="5"/>
  <c r="H89" i="5"/>
  <c r="J90" i="5"/>
  <c r="D91" i="5"/>
  <c r="F92" i="5"/>
  <c r="H93" i="5"/>
  <c r="E95" i="5"/>
  <c r="AH95" i="5" s="1"/>
  <c r="AI95" i="5" s="1"/>
  <c r="K96" i="5"/>
  <c r="F97" i="5"/>
  <c r="J98" i="5"/>
  <c r="D99" i="5"/>
  <c r="I101" i="5"/>
  <c r="D102" i="5"/>
  <c r="D103" i="5"/>
  <c r="J104" i="5"/>
  <c r="D108" i="5"/>
  <c r="C113" i="5"/>
  <c r="BL113" i="5" s="1"/>
  <c r="J114" i="5"/>
  <c r="H118" i="5"/>
  <c r="G122" i="5"/>
  <c r="L123" i="5"/>
  <c r="H128" i="5"/>
  <c r="C131" i="5"/>
  <c r="BL131" i="5" s="1"/>
  <c r="J132" i="5"/>
  <c r="G136" i="5"/>
  <c r="G139" i="5"/>
  <c r="E166" i="5"/>
  <c r="AH166" i="5" s="1"/>
  <c r="AI166" i="5" s="1"/>
  <c r="K180" i="5"/>
  <c r="U180" i="5" s="1"/>
  <c r="E182" i="5"/>
  <c r="AH182" i="5" s="1"/>
  <c r="AI182" i="5" s="1"/>
  <c r="I186" i="5"/>
  <c r="W186" i="5" s="1"/>
  <c r="L188" i="5"/>
  <c r="G190" i="5"/>
  <c r="I192" i="5"/>
  <c r="W192" i="5" s="1"/>
  <c r="J194" i="5"/>
  <c r="G204" i="5"/>
  <c r="E206" i="5"/>
  <c r="AH206" i="5" s="1"/>
  <c r="AI206" i="5" s="1"/>
  <c r="H213" i="5"/>
  <c r="J215" i="5"/>
  <c r="J42" i="5"/>
  <c r="E43" i="5"/>
  <c r="AH43" i="5" s="1"/>
  <c r="AI43" i="5" s="1"/>
  <c r="K44" i="5"/>
  <c r="U44" i="5" s="1"/>
  <c r="G45" i="5"/>
  <c r="C46" i="5"/>
  <c r="BL46" i="5" s="1"/>
  <c r="BP46" i="5" s="1"/>
  <c r="J47" i="5"/>
  <c r="F48" i="5"/>
  <c r="K49" i="5"/>
  <c r="U49" i="5" s="1"/>
  <c r="C51" i="5"/>
  <c r="BL51" i="5" s="1"/>
  <c r="BN51" i="5" s="1"/>
  <c r="K52" i="5"/>
  <c r="U52" i="5" s="1"/>
  <c r="G53" i="5"/>
  <c r="C54" i="5"/>
  <c r="BL54" i="5" s="1"/>
  <c r="K55" i="5"/>
  <c r="U55" i="5" s="1"/>
  <c r="G56" i="5"/>
  <c r="C57" i="5"/>
  <c r="BL57" i="5" s="1"/>
  <c r="K58" i="5"/>
  <c r="U58" i="5" s="1"/>
  <c r="H59" i="5"/>
  <c r="D60" i="5"/>
  <c r="J61" i="5"/>
  <c r="F62" i="5"/>
  <c r="C63" i="5"/>
  <c r="BL63" i="5" s="1"/>
  <c r="L64" i="5"/>
  <c r="H65" i="5"/>
  <c r="D66" i="5"/>
  <c r="L67" i="5"/>
  <c r="H68" i="5"/>
  <c r="D69" i="5"/>
  <c r="J70" i="5"/>
  <c r="C72" i="5"/>
  <c r="BL72" i="5" s="1"/>
  <c r="I73" i="5"/>
  <c r="W73" i="5" s="1"/>
  <c r="J75" i="5"/>
  <c r="G76" i="5"/>
  <c r="C77" i="5"/>
  <c r="BL77" i="5" s="1"/>
  <c r="I78" i="5"/>
  <c r="E79" i="5"/>
  <c r="AH79" i="5" s="1"/>
  <c r="AI79" i="5" s="1"/>
  <c r="I81" i="5"/>
  <c r="W81" i="5" s="1"/>
  <c r="D82" i="5"/>
  <c r="K83" i="5"/>
  <c r="U83" i="5" s="1"/>
  <c r="H84" i="5"/>
  <c r="C85" i="5"/>
  <c r="BL85" i="5" s="1"/>
  <c r="L86" i="5"/>
  <c r="H87" i="5"/>
  <c r="C88" i="5"/>
  <c r="BL88" i="5" s="1"/>
  <c r="I89" i="5"/>
  <c r="W89" i="5" s="1"/>
  <c r="C90" i="5"/>
  <c r="BL90" i="5" s="1"/>
  <c r="K90" i="5"/>
  <c r="E91" i="5"/>
  <c r="G92" i="5"/>
  <c r="C94" i="5"/>
  <c r="BL94" i="5" s="1"/>
  <c r="BP94" i="5" s="1"/>
  <c r="L94" i="5"/>
  <c r="F95" i="5"/>
  <c r="L96" i="5"/>
  <c r="G97" i="5"/>
  <c r="K98" i="5"/>
  <c r="E99" i="5"/>
  <c r="AH99" i="5" s="1"/>
  <c r="AI99" i="5" s="1"/>
  <c r="H100" i="5"/>
  <c r="E102" i="5"/>
  <c r="AH102" i="5" s="1"/>
  <c r="AI102" i="5" s="1"/>
  <c r="E108" i="5"/>
  <c r="AH108" i="5" s="1"/>
  <c r="AI108" i="5" s="1"/>
  <c r="F113" i="5"/>
  <c r="F117" i="5"/>
  <c r="K118" i="5"/>
  <c r="U118" i="5" s="1"/>
  <c r="D121" i="5"/>
  <c r="I122" i="5"/>
  <c r="W122" i="5" s="1"/>
  <c r="I128" i="5"/>
  <c r="W128" i="5" s="1"/>
  <c r="E131" i="5"/>
  <c r="AH131" i="5" s="1"/>
  <c r="AI131" i="5" s="1"/>
  <c r="E135" i="5"/>
  <c r="AH135" i="5" s="1"/>
  <c r="AI135" i="5" s="1"/>
  <c r="K136" i="5"/>
  <c r="H139" i="5"/>
  <c r="H142" i="5"/>
  <c r="F145" i="5"/>
  <c r="J146" i="5"/>
  <c r="C149" i="5"/>
  <c r="BL149" i="5" s="1"/>
  <c r="F151" i="5"/>
  <c r="C161" i="5"/>
  <c r="BL161" i="5" s="1"/>
  <c r="K194" i="5"/>
  <c r="U194" i="5" s="1"/>
  <c r="H196" i="5"/>
  <c r="C200" i="5"/>
  <c r="BL200" i="5" s="1"/>
  <c r="G206" i="5"/>
  <c r="J213" i="5"/>
  <c r="L215" i="5"/>
  <c r="L44" i="5"/>
  <c r="H45" i="5"/>
  <c r="G48" i="5"/>
  <c r="C49" i="5"/>
  <c r="BL49" i="5" s="1"/>
  <c r="L49" i="5"/>
  <c r="H50" i="5"/>
  <c r="D51" i="5"/>
  <c r="L52" i="5"/>
  <c r="H53" i="5"/>
  <c r="D54" i="5"/>
  <c r="L55" i="5"/>
  <c r="H56" i="5"/>
  <c r="D57" i="5"/>
  <c r="L58" i="5"/>
  <c r="I59" i="5"/>
  <c r="W59" i="5" s="1"/>
  <c r="E60" i="5"/>
  <c r="AH60" i="5" s="1"/>
  <c r="AI60" i="5" s="1"/>
  <c r="K61" i="5"/>
  <c r="U61" i="5" s="1"/>
  <c r="G62" i="5"/>
  <c r="D63" i="5"/>
  <c r="I65" i="5"/>
  <c r="W65" i="5" s="1"/>
  <c r="E66" i="5"/>
  <c r="AH66" i="5" s="1"/>
  <c r="AI66" i="5" s="1"/>
  <c r="I68" i="5"/>
  <c r="K70" i="5"/>
  <c r="G71" i="5"/>
  <c r="D72" i="5"/>
  <c r="J73" i="5"/>
  <c r="E74" i="5"/>
  <c r="AH74" i="5" s="1"/>
  <c r="AI74" i="5" s="1"/>
  <c r="K75" i="5"/>
  <c r="U75" i="5" s="1"/>
  <c r="H76" i="5"/>
  <c r="D77" i="5"/>
  <c r="J78" i="5"/>
  <c r="F79" i="5"/>
  <c r="J81" i="5"/>
  <c r="E82" i="5"/>
  <c r="AH82" i="5" s="1"/>
  <c r="AI82" i="5" s="1"/>
  <c r="L83" i="5"/>
  <c r="I84" i="5"/>
  <c r="W84" i="5" s="1"/>
  <c r="D85" i="5"/>
  <c r="I87" i="5"/>
  <c r="W87" i="5" s="1"/>
  <c r="D88" i="5"/>
  <c r="J89" i="5"/>
  <c r="L90" i="5"/>
  <c r="F91" i="5"/>
  <c r="H92" i="5"/>
  <c r="I93" i="5"/>
  <c r="W93" i="5" s="1"/>
  <c r="G95" i="5"/>
  <c r="H97" i="5"/>
  <c r="L98" i="5"/>
  <c r="F99" i="5"/>
  <c r="J101" i="5"/>
  <c r="F102" i="5"/>
  <c r="G103" i="5"/>
  <c r="C107" i="5"/>
  <c r="BL107" i="5" s="1"/>
  <c r="G108" i="5"/>
  <c r="C112" i="5"/>
  <c r="BL112" i="5" s="1"/>
  <c r="BP112" i="5" s="1"/>
  <c r="G113" i="5"/>
  <c r="L118" i="5"/>
  <c r="L122" i="5"/>
  <c r="C127" i="5"/>
  <c r="BL127" i="5" s="1"/>
  <c r="H131" i="5"/>
  <c r="H135" i="5"/>
  <c r="K139" i="5"/>
  <c r="U139" i="5" s="1"/>
  <c r="L142" i="5"/>
  <c r="G145" i="5"/>
  <c r="K151" i="5"/>
  <c r="U151" i="5" s="1"/>
  <c r="H159" i="5"/>
  <c r="I161" i="5"/>
  <c r="W161" i="5" s="1"/>
  <c r="F168" i="5"/>
  <c r="E171" i="5"/>
  <c r="AH171" i="5" s="1"/>
  <c r="AI171" i="5" s="1"/>
  <c r="C173" i="5"/>
  <c r="BL173" i="5" s="1"/>
  <c r="E198" i="5"/>
  <c r="AH198" i="5" s="1"/>
  <c r="AI198" i="5" s="1"/>
  <c r="D200" i="5"/>
  <c r="D46" i="5"/>
  <c r="K47" i="5"/>
  <c r="H48" i="5"/>
  <c r="D49" i="5"/>
  <c r="I50" i="5"/>
  <c r="W50" i="5" s="1"/>
  <c r="E51" i="5"/>
  <c r="AH51" i="5" s="1"/>
  <c r="AI51" i="5" s="1"/>
  <c r="I53" i="5"/>
  <c r="W53" i="5" s="1"/>
  <c r="E54" i="5"/>
  <c r="AH54" i="5" s="1"/>
  <c r="AI54" i="5" s="1"/>
  <c r="I56" i="5"/>
  <c r="E57" i="5"/>
  <c r="AH57" i="5" s="1"/>
  <c r="AI57" i="5" s="1"/>
  <c r="J59" i="5"/>
  <c r="F60" i="5"/>
  <c r="L61" i="5"/>
  <c r="H62" i="5"/>
  <c r="E63" i="5"/>
  <c r="AH63" i="5" s="1"/>
  <c r="AI63" i="5" s="1"/>
  <c r="J65" i="5"/>
  <c r="F66" i="5"/>
  <c r="C67" i="5"/>
  <c r="BL67" i="5" s="1"/>
  <c r="J68" i="5"/>
  <c r="E69" i="5"/>
  <c r="AH69" i="5" s="1"/>
  <c r="AI69" i="5" s="1"/>
  <c r="L70" i="5"/>
  <c r="H71" i="5"/>
  <c r="E72" i="5"/>
  <c r="K73" i="5"/>
  <c r="F74" i="5"/>
  <c r="L75" i="5"/>
  <c r="I76" i="5"/>
  <c r="W76" i="5" s="1"/>
  <c r="E77" i="5"/>
  <c r="AH77" i="5" s="1"/>
  <c r="AI77" i="5" s="1"/>
  <c r="G79" i="5"/>
  <c r="C80" i="5"/>
  <c r="BL80" i="5" s="1"/>
  <c r="K81" i="5"/>
  <c r="U81" i="5" s="1"/>
  <c r="E85" i="5"/>
  <c r="AH85" i="5" s="1"/>
  <c r="AI85" i="5" s="1"/>
  <c r="J87" i="5"/>
  <c r="E88" i="5"/>
  <c r="K89" i="5"/>
  <c r="D90" i="5"/>
  <c r="G91" i="5"/>
  <c r="I92" i="5"/>
  <c r="J93" i="5"/>
  <c r="D94" i="5"/>
  <c r="H95" i="5"/>
  <c r="C96" i="5"/>
  <c r="BL96" i="5" s="1"/>
  <c r="I97" i="5"/>
  <c r="W97" i="5" s="1"/>
  <c r="G99" i="5"/>
  <c r="I100" i="5"/>
  <c r="G102" i="5"/>
  <c r="K103" i="5"/>
  <c r="U103" i="5" s="1"/>
  <c r="D107" i="5"/>
  <c r="H108" i="5"/>
  <c r="D112" i="5"/>
  <c r="I113" i="5"/>
  <c r="W113" i="5" s="1"/>
  <c r="I117" i="5"/>
  <c r="W117" i="5" s="1"/>
  <c r="J121" i="5"/>
  <c r="D127" i="5"/>
  <c r="L131" i="5"/>
  <c r="I135" i="5"/>
  <c r="W135" i="5" s="1"/>
  <c r="C138" i="5"/>
  <c r="BL138" i="5" s="1"/>
  <c r="BN138" i="5" s="1"/>
  <c r="D141" i="5"/>
  <c r="I145" i="5"/>
  <c r="W145" i="5" s="1"/>
  <c r="C155" i="5"/>
  <c r="BL155" i="5" s="1"/>
  <c r="BN155" i="5" s="1"/>
  <c r="F157" i="5"/>
  <c r="D163" i="5"/>
  <c r="L168" i="5"/>
  <c r="J171" i="5"/>
  <c r="D173" i="5"/>
  <c r="C177" i="5"/>
  <c r="BL177" i="5" s="1"/>
  <c r="J200" i="5"/>
  <c r="L42" i="5"/>
  <c r="G43" i="5"/>
  <c r="C44" i="5"/>
  <c r="BL44" i="5" s="1"/>
  <c r="BN44" i="5" s="1"/>
  <c r="I45" i="5"/>
  <c r="W45" i="5" s="1"/>
  <c r="E46" i="5"/>
  <c r="AH46" i="5" s="1"/>
  <c r="AI46" i="5" s="1"/>
  <c r="L47" i="5"/>
  <c r="I48" i="5"/>
  <c r="W48" i="5" s="1"/>
  <c r="J50" i="5"/>
  <c r="F51" i="5"/>
  <c r="J53" i="5"/>
  <c r="J56" i="5"/>
  <c r="F57" i="5"/>
  <c r="C58" i="5"/>
  <c r="BL58" i="5" s="1"/>
  <c r="K59" i="5"/>
  <c r="G60" i="5"/>
  <c r="I62" i="5"/>
  <c r="W62" i="5" s="1"/>
  <c r="F63" i="5"/>
  <c r="C64" i="5"/>
  <c r="BL64" i="5" s="1"/>
  <c r="K65" i="5"/>
  <c r="U65" i="5" s="1"/>
  <c r="G66" i="5"/>
  <c r="K68" i="5"/>
  <c r="U68" i="5" s="1"/>
  <c r="F69" i="5"/>
  <c r="I71" i="5"/>
  <c r="W71" i="5" s="1"/>
  <c r="F72" i="5"/>
  <c r="L73" i="5"/>
  <c r="G74" i="5"/>
  <c r="J76" i="5"/>
  <c r="F77" i="5"/>
  <c r="K78" i="5"/>
  <c r="U78" i="5" s="1"/>
  <c r="H79" i="5"/>
  <c r="D80" i="5"/>
  <c r="L81" i="5"/>
  <c r="F82" i="5"/>
  <c r="C83" i="5"/>
  <c r="BL83" i="5" s="1"/>
  <c r="J84" i="5"/>
  <c r="F85" i="5"/>
  <c r="C86" i="5"/>
  <c r="BL86" i="5" s="1"/>
  <c r="F88" i="5"/>
  <c r="E90" i="5"/>
  <c r="H91" i="5"/>
  <c r="K93" i="5"/>
  <c r="U93" i="5" s="1"/>
  <c r="E94" i="5"/>
  <c r="I95" i="5"/>
  <c r="D96" i="5"/>
  <c r="C98" i="5"/>
  <c r="BL98" i="5" s="1"/>
  <c r="H99" i="5"/>
  <c r="J100" i="5"/>
  <c r="C101" i="5"/>
  <c r="BL101" i="5" s="1"/>
  <c r="K101" i="5"/>
  <c r="U101" i="5" s="1"/>
  <c r="G106" i="5"/>
  <c r="G107" i="5"/>
  <c r="K108" i="5"/>
  <c r="U108" i="5" s="1"/>
  <c r="C111" i="5"/>
  <c r="BL111" i="5" s="1"/>
  <c r="F112" i="5"/>
  <c r="E116" i="5"/>
  <c r="L117" i="5"/>
  <c r="D120" i="5"/>
  <c r="K121" i="5"/>
  <c r="U121" i="5" s="1"/>
  <c r="C126" i="5"/>
  <c r="BL126" i="5" s="1"/>
  <c r="G127" i="5"/>
  <c r="C130" i="5"/>
  <c r="BL130" i="5" s="1"/>
  <c r="D134" i="5"/>
  <c r="L135" i="5"/>
  <c r="E138" i="5"/>
  <c r="AH138" i="5" s="1"/>
  <c r="AI138" i="5" s="1"/>
  <c r="G141" i="5"/>
  <c r="K145" i="5"/>
  <c r="U145" i="5" s="1"/>
  <c r="D153" i="5"/>
  <c r="H155" i="5"/>
  <c r="K163" i="5"/>
  <c r="I175" i="5"/>
  <c r="W175" i="5" s="1"/>
  <c r="J177" i="5"/>
  <c r="I223" i="5"/>
  <c r="W223" i="5" s="1"/>
  <c r="H43" i="5"/>
  <c r="D44" i="5"/>
  <c r="J45" i="5"/>
  <c r="F46" i="5"/>
  <c r="J48" i="5"/>
  <c r="E49" i="5"/>
  <c r="K50" i="5"/>
  <c r="G51" i="5"/>
  <c r="C52" i="5"/>
  <c r="BL52" i="5" s="1"/>
  <c r="F54" i="5"/>
  <c r="C55" i="5"/>
  <c r="BL55" i="5" s="1"/>
  <c r="BP55" i="5" s="1"/>
  <c r="K56" i="5"/>
  <c r="U56" i="5" s="1"/>
  <c r="G57" i="5"/>
  <c r="D58" i="5"/>
  <c r="L59" i="5"/>
  <c r="H60" i="5"/>
  <c r="C61" i="5"/>
  <c r="BL61" i="5" s="1"/>
  <c r="J62" i="5"/>
  <c r="G63" i="5"/>
  <c r="D64" i="5"/>
  <c r="L65" i="5"/>
  <c r="H66" i="5"/>
  <c r="D67" i="5"/>
  <c r="L68" i="5"/>
  <c r="G69" i="5"/>
  <c r="C70" i="5"/>
  <c r="BL70" i="5" s="1"/>
  <c r="J71" i="5"/>
  <c r="G72" i="5"/>
  <c r="C73" i="5"/>
  <c r="BL73" i="5" s="1"/>
  <c r="H74" i="5"/>
  <c r="C75" i="5"/>
  <c r="BL75" i="5" s="1"/>
  <c r="K76" i="5"/>
  <c r="U76" i="5" s="1"/>
  <c r="G77" i="5"/>
  <c r="L78" i="5"/>
  <c r="I79" i="5"/>
  <c r="W79" i="5" s="1"/>
  <c r="E80" i="5"/>
  <c r="AH80" i="5" s="1"/>
  <c r="AI80" i="5" s="1"/>
  <c r="G82" i="5"/>
  <c r="G85" i="5"/>
  <c r="D86" i="5"/>
  <c r="K87" i="5"/>
  <c r="U87" i="5" s="1"/>
  <c r="G88" i="5"/>
  <c r="L89" i="5"/>
  <c r="I91" i="5"/>
  <c r="W91" i="5" s="1"/>
  <c r="J92" i="5"/>
  <c r="C93" i="5"/>
  <c r="BL93" i="5" s="1"/>
  <c r="L93" i="5"/>
  <c r="F94" i="5"/>
  <c r="J95" i="5"/>
  <c r="E96" i="5"/>
  <c r="AH96" i="5" s="1"/>
  <c r="AI96" i="5" s="1"/>
  <c r="J97" i="5"/>
  <c r="D98" i="5"/>
  <c r="I99" i="5"/>
  <c r="W99" i="5" s="1"/>
  <c r="L101" i="5"/>
  <c r="J102" i="5"/>
  <c r="K107" i="5"/>
  <c r="U107" i="5" s="1"/>
  <c r="C110" i="5"/>
  <c r="BL110" i="5" s="1"/>
  <c r="BP110" i="5" s="1"/>
  <c r="F116" i="5"/>
  <c r="H120" i="5"/>
  <c r="E126" i="5"/>
  <c r="AH126" i="5" s="1"/>
  <c r="AI126" i="5" s="1"/>
  <c r="J127" i="5"/>
  <c r="G130" i="5"/>
  <c r="E134" i="5"/>
  <c r="AH134" i="5" s="1"/>
  <c r="AI134" i="5" s="1"/>
  <c r="I138" i="5"/>
  <c r="W138" i="5" s="1"/>
  <c r="H141" i="5"/>
  <c r="E144" i="5"/>
  <c r="AH144" i="5" s="1"/>
  <c r="AI144" i="5" s="1"/>
  <c r="D148" i="5"/>
  <c r="K153" i="5"/>
  <c r="C167" i="5"/>
  <c r="BL167" i="5" s="1"/>
  <c r="BP167" i="5" s="1"/>
  <c r="D181" i="5"/>
  <c r="J187" i="5"/>
  <c r="D191" i="5"/>
  <c r="I43" i="5"/>
  <c r="W43" i="5" s="1"/>
  <c r="E44" i="5"/>
  <c r="K45" i="5"/>
  <c r="G46" i="5"/>
  <c r="C47" i="5"/>
  <c r="BL47" i="5" s="1"/>
  <c r="K48" i="5"/>
  <c r="F49" i="5"/>
  <c r="L50" i="5"/>
  <c r="H51" i="5"/>
  <c r="D52" i="5"/>
  <c r="K53" i="5"/>
  <c r="U53" i="5" s="1"/>
  <c r="G54" i="5"/>
  <c r="D55" i="5"/>
  <c r="L56" i="5"/>
  <c r="H57" i="5"/>
  <c r="E58" i="5"/>
  <c r="AH58" i="5" s="1"/>
  <c r="AI58" i="5" s="1"/>
  <c r="D61" i="5"/>
  <c r="K62" i="5"/>
  <c r="H63" i="5"/>
  <c r="E64" i="5"/>
  <c r="AH64" i="5" s="1"/>
  <c r="AI64" i="5" s="1"/>
  <c r="I66" i="5"/>
  <c r="W66" i="5" s="1"/>
  <c r="E67" i="5"/>
  <c r="AH67" i="5" s="1"/>
  <c r="AI67" i="5" s="1"/>
  <c r="H69" i="5"/>
  <c r="D70" i="5"/>
  <c r="K71" i="5"/>
  <c r="U71" i="5" s="1"/>
  <c r="H72" i="5"/>
  <c r="I74" i="5"/>
  <c r="W74" i="5" s="1"/>
  <c r="D75" i="5"/>
  <c r="L76" i="5"/>
  <c r="H77" i="5"/>
  <c r="C78" i="5"/>
  <c r="BL78" i="5" s="1"/>
  <c r="J79" i="5"/>
  <c r="F80" i="5"/>
  <c r="C81" i="5"/>
  <c r="BL81" i="5" s="1"/>
  <c r="BN81" i="5" s="1"/>
  <c r="H82" i="5"/>
  <c r="D83" i="5"/>
  <c r="K84" i="5"/>
  <c r="H85" i="5"/>
  <c r="E86" i="5"/>
  <c r="AH86" i="5" s="1"/>
  <c r="AI86" i="5" s="1"/>
  <c r="L87" i="5"/>
  <c r="H88" i="5"/>
  <c r="C89" i="5"/>
  <c r="BL89" i="5" s="1"/>
  <c r="F90" i="5"/>
  <c r="J91" i="5"/>
  <c r="K92" i="5"/>
  <c r="U92" i="5" s="1"/>
  <c r="G94" i="5"/>
  <c r="K95" i="5"/>
  <c r="U95" i="5" s="1"/>
  <c r="F96" i="5"/>
  <c r="K97" i="5"/>
  <c r="U97" i="5" s="1"/>
  <c r="E98" i="5"/>
  <c r="C100" i="5"/>
  <c r="BL100" i="5" s="1"/>
  <c r="K100" i="5"/>
  <c r="D101" i="5"/>
  <c r="K102" i="5"/>
  <c r="D105" i="5"/>
  <c r="I106" i="5"/>
  <c r="W106" i="5" s="1"/>
  <c r="L107" i="5"/>
  <c r="G110" i="5"/>
  <c r="I111" i="5"/>
  <c r="W111" i="5" s="1"/>
  <c r="L112" i="5"/>
  <c r="H126" i="5"/>
  <c r="H130" i="5"/>
  <c r="H134" i="5"/>
  <c r="K141" i="5"/>
  <c r="E148" i="5"/>
  <c r="AH148" i="5" s="1"/>
  <c r="AI148" i="5" s="1"/>
  <c r="E165" i="5"/>
  <c r="E167" i="5"/>
  <c r="AH167" i="5" s="1"/>
  <c r="AI167" i="5" s="1"/>
  <c r="E170" i="5"/>
  <c r="AH170" i="5" s="1"/>
  <c r="AI170" i="5" s="1"/>
  <c r="K181" i="5"/>
  <c r="U181" i="5" s="1"/>
  <c r="H183" i="5"/>
  <c r="K185" i="5"/>
  <c r="U185" i="5" s="1"/>
  <c r="K187" i="5"/>
  <c r="U187" i="5" s="1"/>
  <c r="E189" i="5"/>
  <c r="AH189" i="5" s="1"/>
  <c r="AI189" i="5" s="1"/>
  <c r="J191" i="5"/>
  <c r="F193" i="5"/>
  <c r="C195" i="5"/>
  <c r="BL195" i="5" s="1"/>
  <c r="C197" i="5"/>
  <c r="BL197" i="5" s="1"/>
  <c r="BN197" i="5" s="1"/>
  <c r="D203" i="5"/>
  <c r="F205" i="5"/>
  <c r="I207" i="5"/>
  <c r="W207" i="5" s="1"/>
  <c r="C212" i="5"/>
  <c r="BL212" i="5" s="1"/>
  <c r="J214" i="5"/>
  <c r="D42" i="5"/>
  <c r="J43" i="5"/>
  <c r="F44" i="5"/>
  <c r="L45" i="5"/>
  <c r="H46" i="5"/>
  <c r="D47" i="5"/>
  <c r="L48" i="5"/>
  <c r="E52" i="5"/>
  <c r="L53" i="5"/>
  <c r="H54" i="5"/>
  <c r="E55" i="5"/>
  <c r="AH55" i="5" s="1"/>
  <c r="AI55" i="5" s="1"/>
  <c r="I57" i="5"/>
  <c r="W57" i="5" s="1"/>
  <c r="F58" i="5"/>
  <c r="I60" i="5"/>
  <c r="W60" i="5" s="1"/>
  <c r="E61" i="5"/>
  <c r="AH61" i="5" s="1"/>
  <c r="AI61" i="5" s="1"/>
  <c r="L62" i="5"/>
  <c r="I63" i="5"/>
  <c r="F64" i="5"/>
  <c r="J66" i="5"/>
  <c r="F67" i="5"/>
  <c r="C68" i="5"/>
  <c r="BL68" i="5" s="1"/>
  <c r="I69" i="5"/>
  <c r="E70" i="5"/>
  <c r="AH70" i="5" s="1"/>
  <c r="AI70" i="5" s="1"/>
  <c r="L71" i="5"/>
  <c r="D73" i="5"/>
  <c r="E75" i="5"/>
  <c r="AH75" i="5" s="1"/>
  <c r="AI75" i="5" s="1"/>
  <c r="D78" i="5"/>
  <c r="K79" i="5"/>
  <c r="U79" i="5" s="1"/>
  <c r="G80" i="5"/>
  <c r="D81" i="5"/>
  <c r="I82" i="5"/>
  <c r="E83" i="5"/>
  <c r="AH83" i="5" s="1"/>
  <c r="AI83" i="5" s="1"/>
  <c r="L84" i="5"/>
  <c r="I85" i="5"/>
  <c r="F86" i="5"/>
  <c r="I88" i="5"/>
  <c r="W88" i="5" s="1"/>
  <c r="G90" i="5"/>
  <c r="K91" i="5"/>
  <c r="U91" i="5" s="1"/>
  <c r="C92" i="5"/>
  <c r="BL92" i="5" s="1"/>
  <c r="D93" i="5"/>
  <c r="H94" i="5"/>
  <c r="L95" i="5"/>
  <c r="G96" i="5"/>
  <c r="L97" i="5"/>
  <c r="F98" i="5"/>
  <c r="J99" i="5"/>
  <c r="L100" i="5"/>
  <c r="E101" i="5"/>
  <c r="AH101" i="5" s="1"/>
  <c r="AI101" i="5" s="1"/>
  <c r="L106" i="5"/>
  <c r="H110" i="5"/>
  <c r="J111" i="5"/>
  <c r="K116" i="5"/>
  <c r="U116" i="5" s="1"/>
  <c r="E119" i="5"/>
  <c r="AH119" i="5" s="1"/>
  <c r="AI119" i="5" s="1"/>
  <c r="J120" i="5"/>
  <c r="J126" i="5"/>
  <c r="C129" i="5"/>
  <c r="BL129" i="5" s="1"/>
  <c r="K130" i="5"/>
  <c r="D133" i="5"/>
  <c r="J134" i="5"/>
  <c r="F137" i="5"/>
  <c r="K144" i="5"/>
  <c r="U144" i="5" s="1"/>
  <c r="G148" i="5"/>
  <c r="K150" i="5"/>
  <c r="U150" i="5" s="1"/>
  <c r="K165" i="5"/>
  <c r="U165" i="5" s="1"/>
  <c r="L170" i="5"/>
  <c r="H193" i="5"/>
  <c r="J195" i="5"/>
  <c r="K197" i="5"/>
  <c r="U197" i="5" s="1"/>
  <c r="L205" i="5"/>
  <c r="J207" i="5"/>
  <c r="L214" i="5"/>
  <c r="J103" i="5"/>
  <c r="E104" i="5"/>
  <c r="AH104" i="5" s="1"/>
  <c r="AI104" i="5" s="1"/>
  <c r="J105" i="5"/>
  <c r="E106" i="5"/>
  <c r="AH106" i="5" s="1"/>
  <c r="AI106" i="5" s="1"/>
  <c r="J107" i="5"/>
  <c r="C108" i="5"/>
  <c r="BL108" i="5" s="1"/>
  <c r="BP108" i="5" s="1"/>
  <c r="H109" i="5"/>
  <c r="F111" i="5"/>
  <c r="H112" i="5"/>
  <c r="L113" i="5"/>
  <c r="F114" i="5"/>
  <c r="H115" i="5"/>
  <c r="J116" i="5"/>
  <c r="E117" i="5"/>
  <c r="AH117" i="5" s="1"/>
  <c r="AI117" i="5" s="1"/>
  <c r="I119" i="5"/>
  <c r="W119" i="5" s="1"/>
  <c r="C120" i="5"/>
  <c r="BL120" i="5" s="1"/>
  <c r="G121" i="5"/>
  <c r="K123" i="5"/>
  <c r="D124" i="5"/>
  <c r="E125" i="5"/>
  <c r="AH125" i="5" s="1"/>
  <c r="AI125" i="5" s="1"/>
  <c r="I127" i="5"/>
  <c r="W127" i="5" s="1"/>
  <c r="D128" i="5"/>
  <c r="H129" i="5"/>
  <c r="G131" i="5"/>
  <c r="D135" i="5"/>
  <c r="J136" i="5"/>
  <c r="E137" i="5"/>
  <c r="AH137" i="5" s="1"/>
  <c r="AI137" i="5" s="1"/>
  <c r="H138" i="5"/>
  <c r="H140" i="5"/>
  <c r="C141" i="5"/>
  <c r="BL141" i="5" s="1"/>
  <c r="BN141" i="5" s="1"/>
  <c r="G142" i="5"/>
  <c r="H144" i="5"/>
  <c r="D146" i="5"/>
  <c r="L146" i="5"/>
  <c r="G147" i="5"/>
  <c r="J148" i="5"/>
  <c r="H149" i="5"/>
  <c r="G150" i="5"/>
  <c r="J151" i="5"/>
  <c r="J153" i="5"/>
  <c r="G155" i="5"/>
  <c r="D156" i="5"/>
  <c r="E157" i="5"/>
  <c r="F158" i="5"/>
  <c r="G159" i="5"/>
  <c r="H161" i="5"/>
  <c r="J162" i="5"/>
  <c r="J163" i="5"/>
  <c r="I164" i="5"/>
  <c r="W164" i="5" s="1"/>
  <c r="J165" i="5"/>
  <c r="K168" i="5"/>
  <c r="J169" i="5"/>
  <c r="K170" i="5"/>
  <c r="U170" i="5" s="1"/>
  <c r="J172" i="5"/>
  <c r="E175" i="5"/>
  <c r="K176" i="5"/>
  <c r="U176" i="5" s="1"/>
  <c r="C181" i="5"/>
  <c r="G183" i="5"/>
  <c r="L184" i="5"/>
  <c r="D189" i="5"/>
  <c r="E190" i="5"/>
  <c r="AH190" i="5" s="1"/>
  <c r="AI190" i="5" s="1"/>
  <c r="D196" i="5"/>
  <c r="J197" i="5"/>
  <c r="L198" i="5"/>
  <c r="D202" i="5"/>
  <c r="I209" i="5"/>
  <c r="W209" i="5" s="1"/>
  <c r="I210" i="5"/>
  <c r="W210" i="5" s="1"/>
  <c r="E216" i="5"/>
  <c r="AH216" i="5" s="1"/>
  <c r="AI216" i="5" s="1"/>
  <c r="D219" i="5"/>
  <c r="I220" i="5"/>
  <c r="W220" i="5" s="1"/>
  <c r="D224" i="5"/>
  <c r="L225" i="5"/>
  <c r="C208" i="5"/>
  <c r="BL208" i="5" s="1"/>
  <c r="J209" i="5"/>
  <c r="J210" i="5"/>
  <c r="C214" i="5"/>
  <c r="BL214" i="5" s="1"/>
  <c r="F216" i="5"/>
  <c r="D217" i="5"/>
  <c r="E218" i="5"/>
  <c r="F219" i="5"/>
  <c r="K220" i="5"/>
  <c r="U220" i="5" s="1"/>
  <c r="H224" i="5"/>
  <c r="H102" i="5"/>
  <c r="L103" i="5"/>
  <c r="F104" i="5"/>
  <c r="L105" i="5"/>
  <c r="F106" i="5"/>
  <c r="J109" i="5"/>
  <c r="D110" i="5"/>
  <c r="G111" i="5"/>
  <c r="I112" i="5"/>
  <c r="W112" i="5" s="1"/>
  <c r="D113" i="5"/>
  <c r="G114" i="5"/>
  <c r="J115" i="5"/>
  <c r="L116" i="5"/>
  <c r="G117" i="5"/>
  <c r="K119" i="5"/>
  <c r="U119" i="5" s="1"/>
  <c r="E120" i="5"/>
  <c r="AH120" i="5" s="1"/>
  <c r="AI120" i="5" s="1"/>
  <c r="H121" i="5"/>
  <c r="J122" i="5"/>
  <c r="F125" i="5"/>
  <c r="K127" i="5"/>
  <c r="U127" i="5" s="1"/>
  <c r="I129" i="5"/>
  <c r="D130" i="5"/>
  <c r="I131" i="5"/>
  <c r="W131" i="5" s="1"/>
  <c r="H133" i="5"/>
  <c r="K134" i="5"/>
  <c r="U134" i="5" s="1"/>
  <c r="F135" i="5"/>
  <c r="L136" i="5"/>
  <c r="J138" i="5"/>
  <c r="D139" i="5"/>
  <c r="J140" i="5"/>
  <c r="E141" i="5"/>
  <c r="AH141" i="5" s="1"/>
  <c r="AI141" i="5" s="1"/>
  <c r="I142" i="5"/>
  <c r="W142" i="5" s="1"/>
  <c r="D143" i="5"/>
  <c r="I144" i="5"/>
  <c r="W144" i="5" s="1"/>
  <c r="C145" i="5"/>
  <c r="BL145" i="5" s="1"/>
  <c r="L145" i="5"/>
  <c r="E146" i="5"/>
  <c r="AH146" i="5" s="1"/>
  <c r="AI146" i="5" s="1"/>
  <c r="K148" i="5"/>
  <c r="U148" i="5" s="1"/>
  <c r="I149" i="5"/>
  <c r="W149" i="5" s="1"/>
  <c r="L150" i="5"/>
  <c r="J152" i="5"/>
  <c r="K155" i="5"/>
  <c r="U155" i="5" s="1"/>
  <c r="I156" i="5"/>
  <c r="W156" i="5" s="1"/>
  <c r="J157" i="5"/>
  <c r="K158" i="5"/>
  <c r="U158" i="5" s="1"/>
  <c r="L159" i="5"/>
  <c r="J160" i="5"/>
  <c r="L163" i="5"/>
  <c r="J175" i="5"/>
  <c r="D180" i="5"/>
  <c r="E181" i="5"/>
  <c r="AH181" i="5" s="1"/>
  <c r="AI181" i="5" s="1"/>
  <c r="F182" i="5"/>
  <c r="L183" i="5"/>
  <c r="C187" i="5"/>
  <c r="BL187" i="5" s="1"/>
  <c r="BP187" i="5" s="1"/>
  <c r="E188" i="5"/>
  <c r="AH188" i="5" s="1"/>
  <c r="AI188" i="5" s="1"/>
  <c r="I189" i="5"/>
  <c r="W189" i="5" s="1"/>
  <c r="C194" i="5"/>
  <c r="BL194" i="5" s="1"/>
  <c r="D195" i="5"/>
  <c r="I196" i="5"/>
  <c r="W196" i="5" s="1"/>
  <c r="C201" i="5"/>
  <c r="BL201" i="5" s="1"/>
  <c r="H202" i="5"/>
  <c r="E208" i="5"/>
  <c r="AH208" i="5" s="1"/>
  <c r="AI208" i="5" s="1"/>
  <c r="L209" i="5"/>
  <c r="D215" i="5"/>
  <c r="H216" i="5"/>
  <c r="F217" i="5"/>
  <c r="I219" i="5"/>
  <c r="W219" i="5" s="1"/>
  <c r="I224" i="5"/>
  <c r="W224" i="5" s="1"/>
  <c r="K109" i="5"/>
  <c r="U109" i="5" s="1"/>
  <c r="E110" i="5"/>
  <c r="J112" i="5"/>
  <c r="E113" i="5"/>
  <c r="AH113" i="5" s="1"/>
  <c r="AI113" i="5" s="1"/>
  <c r="H114" i="5"/>
  <c r="K115" i="5"/>
  <c r="U115" i="5" s="1"/>
  <c r="C116" i="5"/>
  <c r="BL116" i="5" s="1"/>
  <c r="BP116" i="5" s="1"/>
  <c r="I118" i="5"/>
  <c r="W118" i="5" s="1"/>
  <c r="C119" i="5"/>
  <c r="BL119" i="5" s="1"/>
  <c r="L119" i="5"/>
  <c r="F120" i="5"/>
  <c r="K122" i="5"/>
  <c r="U122" i="5" s="1"/>
  <c r="D123" i="5"/>
  <c r="F124" i="5"/>
  <c r="G125" i="5"/>
  <c r="I126" i="5"/>
  <c r="W126" i="5" s="1"/>
  <c r="L127" i="5"/>
  <c r="F128" i="5"/>
  <c r="J129" i="5"/>
  <c r="E130" i="5"/>
  <c r="AH130" i="5" s="1"/>
  <c r="AI130" i="5" s="1"/>
  <c r="J131" i="5"/>
  <c r="D132" i="5"/>
  <c r="I133" i="5"/>
  <c r="W133" i="5" s="1"/>
  <c r="L134" i="5"/>
  <c r="G137" i="5"/>
  <c r="K138" i="5"/>
  <c r="U138" i="5" s="1"/>
  <c r="E139" i="5"/>
  <c r="AH139" i="5" s="1"/>
  <c r="AI139" i="5" s="1"/>
  <c r="K140" i="5"/>
  <c r="U140" i="5" s="1"/>
  <c r="F141" i="5"/>
  <c r="J142" i="5"/>
  <c r="E143" i="5"/>
  <c r="AH143" i="5" s="1"/>
  <c r="AI143" i="5" s="1"/>
  <c r="D145" i="5"/>
  <c r="F146" i="5"/>
  <c r="I147" i="5"/>
  <c r="W147" i="5" s="1"/>
  <c r="C148" i="5"/>
  <c r="BL148" i="5" s="1"/>
  <c r="BP148" i="5" s="1"/>
  <c r="L148" i="5"/>
  <c r="L149" i="5"/>
  <c r="L153" i="5"/>
  <c r="I154" i="5"/>
  <c r="W154" i="5" s="1"/>
  <c r="J156" i="5"/>
  <c r="K157" i="5"/>
  <c r="U157" i="5" s="1"/>
  <c r="L158" i="5"/>
  <c r="K160" i="5"/>
  <c r="C174" i="5"/>
  <c r="BL174" i="5" s="1"/>
  <c r="BN174" i="5" s="1"/>
  <c r="E180" i="5"/>
  <c r="H181" i="5"/>
  <c r="H182" i="5"/>
  <c r="G188" i="5"/>
  <c r="J189" i="5"/>
  <c r="K190" i="5"/>
  <c r="F194" i="5"/>
  <c r="F195" i="5"/>
  <c r="K196" i="5"/>
  <c r="U196" i="5" s="1"/>
  <c r="E201" i="5"/>
  <c r="AH201" i="5" s="1"/>
  <c r="AI201" i="5" s="1"/>
  <c r="I202" i="5"/>
  <c r="W202" i="5" s="1"/>
  <c r="I208" i="5"/>
  <c r="W208" i="5" s="1"/>
  <c r="C213" i="5"/>
  <c r="BL213" i="5" s="1"/>
  <c r="F214" i="5"/>
  <c r="K216" i="5"/>
  <c r="G217" i="5"/>
  <c r="I218" i="5"/>
  <c r="W218" i="5" s="1"/>
  <c r="J219" i="5"/>
  <c r="D223" i="5"/>
  <c r="I102" i="5"/>
  <c r="W102" i="5" s="1"/>
  <c r="C103" i="5"/>
  <c r="BL103" i="5" s="1"/>
  <c r="H104" i="5"/>
  <c r="C105" i="5"/>
  <c r="BL105" i="5" s="1"/>
  <c r="H106" i="5"/>
  <c r="F108" i="5"/>
  <c r="L109" i="5"/>
  <c r="F110" i="5"/>
  <c r="H111" i="5"/>
  <c r="K112" i="5"/>
  <c r="U112" i="5" s="1"/>
  <c r="I114" i="5"/>
  <c r="W114" i="5" s="1"/>
  <c r="D116" i="5"/>
  <c r="H117" i="5"/>
  <c r="J118" i="5"/>
  <c r="D119" i="5"/>
  <c r="G120" i="5"/>
  <c r="I121" i="5"/>
  <c r="W121" i="5" s="1"/>
  <c r="C122" i="5"/>
  <c r="BL122" i="5" s="1"/>
  <c r="G124" i="5"/>
  <c r="H125" i="5"/>
  <c r="G128" i="5"/>
  <c r="K129" i="5"/>
  <c r="U129" i="5" s="1"/>
  <c r="F130" i="5"/>
  <c r="K131" i="5"/>
  <c r="U131" i="5" s="1"/>
  <c r="E132" i="5"/>
  <c r="AH132" i="5" s="1"/>
  <c r="AI132" i="5" s="1"/>
  <c r="J133" i="5"/>
  <c r="C134" i="5"/>
  <c r="BL134" i="5" s="1"/>
  <c r="G135" i="5"/>
  <c r="H137" i="5"/>
  <c r="L138" i="5"/>
  <c r="F139" i="5"/>
  <c r="L140" i="5"/>
  <c r="K142" i="5"/>
  <c r="U142" i="5" s="1"/>
  <c r="F143" i="5"/>
  <c r="J144" i="5"/>
  <c r="E145" i="5"/>
  <c r="AH145" i="5" s="1"/>
  <c r="AI145" i="5" s="1"/>
  <c r="G146" i="5"/>
  <c r="L154" i="5"/>
  <c r="K156" i="5"/>
  <c r="G174" i="5"/>
  <c r="D179" i="5"/>
  <c r="H180" i="5"/>
  <c r="I181" i="5"/>
  <c r="L182" i="5"/>
  <c r="F186" i="5"/>
  <c r="G187" i="5"/>
  <c r="K188" i="5"/>
  <c r="U188" i="5" s="1"/>
  <c r="L189" i="5"/>
  <c r="E193" i="5"/>
  <c r="AH193" i="5" s="1"/>
  <c r="AI193" i="5" s="1"/>
  <c r="G194" i="5"/>
  <c r="H201" i="5"/>
  <c r="D206" i="5"/>
  <c r="F207" i="5"/>
  <c r="J208" i="5"/>
  <c r="G213" i="5"/>
  <c r="I214" i="5"/>
  <c r="W214" i="5" s="1"/>
  <c r="I215" i="5"/>
  <c r="W215" i="5" s="1"/>
  <c r="L216" i="5"/>
  <c r="J218" i="5"/>
  <c r="H223" i="5"/>
  <c r="L102" i="5"/>
  <c r="E103" i="5"/>
  <c r="K104" i="5"/>
  <c r="E105" i="5"/>
  <c r="J106" i="5"/>
  <c r="E107" i="5"/>
  <c r="I108" i="5"/>
  <c r="W108" i="5" s="1"/>
  <c r="C109" i="5"/>
  <c r="BL109" i="5" s="1"/>
  <c r="BN109" i="5" s="1"/>
  <c r="H113" i="5"/>
  <c r="K114" i="5"/>
  <c r="U114" i="5" s="1"/>
  <c r="D115" i="5"/>
  <c r="J117" i="5"/>
  <c r="D118" i="5"/>
  <c r="F119" i="5"/>
  <c r="I120" i="5"/>
  <c r="G123" i="5"/>
  <c r="I124" i="5"/>
  <c r="J125" i="5"/>
  <c r="E127" i="5"/>
  <c r="AH127" i="5" s="1"/>
  <c r="AI127" i="5" s="1"/>
  <c r="J128" i="5"/>
  <c r="D129" i="5"/>
  <c r="I130" i="5"/>
  <c r="W130" i="5" s="1"/>
  <c r="H132" i="5"/>
  <c r="F134" i="5"/>
  <c r="J135" i="5"/>
  <c r="E136" i="5"/>
  <c r="K137" i="5"/>
  <c r="U137" i="5" s="1"/>
  <c r="D138" i="5"/>
  <c r="I139" i="5"/>
  <c r="W139" i="5" s="1"/>
  <c r="C140" i="5"/>
  <c r="BL140" i="5" s="1"/>
  <c r="I141" i="5"/>
  <c r="W141" i="5" s="1"/>
  <c r="H143" i="5"/>
  <c r="C144" i="5"/>
  <c r="BL144" i="5" s="1"/>
  <c r="H145" i="5"/>
  <c r="I146" i="5"/>
  <c r="W146" i="5" s="1"/>
  <c r="L147" i="5"/>
  <c r="F148" i="5"/>
  <c r="C162" i="5"/>
  <c r="BL162" i="5" s="1"/>
  <c r="C166" i="5"/>
  <c r="BL166" i="5" s="1"/>
  <c r="F167" i="5"/>
  <c r="C172" i="5"/>
  <c r="BL172" i="5" s="1"/>
  <c r="E173" i="5"/>
  <c r="AH173" i="5" s="1"/>
  <c r="AI173" i="5" s="1"/>
  <c r="D177" i="5"/>
  <c r="I178" i="5"/>
  <c r="W178" i="5" s="1"/>
  <c r="I179" i="5"/>
  <c r="W179" i="5" s="1"/>
  <c r="F185" i="5"/>
  <c r="L186" i="5"/>
  <c r="D192" i="5"/>
  <c r="L193" i="5"/>
  <c r="C199" i="5"/>
  <c r="BL199" i="5" s="1"/>
  <c r="H204" i="5"/>
  <c r="I205" i="5"/>
  <c r="K206" i="5"/>
  <c r="D211" i="5"/>
  <c r="E212" i="5"/>
  <c r="AH212" i="5" s="1"/>
  <c r="AI212" i="5" s="1"/>
  <c r="C221" i="5"/>
  <c r="BL221" i="5" s="1"/>
  <c r="F222" i="5"/>
  <c r="C102" i="5"/>
  <c r="BL102" i="5" s="1"/>
  <c r="F103" i="5"/>
  <c r="L104" i="5"/>
  <c r="F105" i="5"/>
  <c r="K106" i="5"/>
  <c r="F107" i="5"/>
  <c r="J108" i="5"/>
  <c r="D109" i="5"/>
  <c r="I110" i="5"/>
  <c r="W110" i="5" s="1"/>
  <c r="K111" i="5"/>
  <c r="E112" i="5"/>
  <c r="AH112" i="5" s="1"/>
  <c r="AI112" i="5" s="1"/>
  <c r="L114" i="5"/>
  <c r="E115" i="5"/>
  <c r="AH115" i="5" s="1"/>
  <c r="AI115" i="5" s="1"/>
  <c r="G116" i="5"/>
  <c r="K117" i="5"/>
  <c r="C121" i="5"/>
  <c r="BL121" i="5" s="1"/>
  <c r="L121" i="5"/>
  <c r="F122" i="5"/>
  <c r="C125" i="5"/>
  <c r="BL125" i="5" s="1"/>
  <c r="K125" i="5"/>
  <c r="D126" i="5"/>
  <c r="L126" i="5"/>
  <c r="F127" i="5"/>
  <c r="K128" i="5"/>
  <c r="U128" i="5" s="1"/>
  <c r="E129" i="5"/>
  <c r="AH129" i="5" s="1"/>
  <c r="AI129" i="5" s="1"/>
  <c r="J130" i="5"/>
  <c r="D131" i="5"/>
  <c r="I132" i="5"/>
  <c r="C133" i="5"/>
  <c r="BL133" i="5" s="1"/>
  <c r="G134" i="5"/>
  <c r="K135" i="5"/>
  <c r="F136" i="5"/>
  <c r="L137" i="5"/>
  <c r="J139" i="5"/>
  <c r="D140" i="5"/>
  <c r="J141" i="5"/>
  <c r="D142" i="5"/>
  <c r="I143" i="5"/>
  <c r="W143" i="5" s="1"/>
  <c r="D144" i="5"/>
  <c r="C147" i="5"/>
  <c r="BL147" i="5" s="1"/>
  <c r="E151" i="5"/>
  <c r="C153" i="5"/>
  <c r="BL153" i="5" s="1"/>
  <c r="BN153" i="5" s="1"/>
  <c r="D162" i="5"/>
  <c r="C164" i="5"/>
  <c r="BL164" i="5" s="1"/>
  <c r="D165" i="5"/>
  <c r="D166" i="5"/>
  <c r="G167" i="5"/>
  <c r="E168" i="5"/>
  <c r="AH168" i="5" s="1"/>
  <c r="AI168" i="5" s="1"/>
  <c r="D169" i="5"/>
  <c r="D171" i="5"/>
  <c r="I173" i="5"/>
  <c r="W173" i="5" s="1"/>
  <c r="C176" i="5"/>
  <c r="BL176" i="5" s="1"/>
  <c r="BP176" i="5" s="1"/>
  <c r="F177" i="5"/>
  <c r="J178" i="5"/>
  <c r="J179" i="5"/>
  <c r="E184" i="5"/>
  <c r="AH184" i="5" s="1"/>
  <c r="AI184" i="5" s="1"/>
  <c r="G185" i="5"/>
  <c r="H192" i="5"/>
  <c r="D198" i="5"/>
  <c r="D199" i="5"/>
  <c r="H200" i="5"/>
  <c r="J204" i="5"/>
  <c r="J205" i="5"/>
  <c r="L206" i="5"/>
  <c r="E211" i="5"/>
  <c r="H212" i="5"/>
  <c r="D221" i="5"/>
  <c r="G222" i="5"/>
  <c r="C210" i="5"/>
  <c r="BL210" i="5" s="1"/>
  <c r="I211" i="5"/>
  <c r="W211" i="5" s="1"/>
  <c r="I212" i="5"/>
  <c r="W212" i="5" s="1"/>
  <c r="D220" i="5"/>
  <c r="I222" i="5"/>
  <c r="W222" i="5" s="1"/>
  <c r="D225" i="5"/>
  <c r="H103" i="5"/>
  <c r="C104" i="5"/>
  <c r="BL104" i="5" s="1"/>
  <c r="H105" i="5"/>
  <c r="C106" i="5"/>
  <c r="BL106" i="5" s="1"/>
  <c r="H107" i="5"/>
  <c r="F109" i="5"/>
  <c r="D111" i="5"/>
  <c r="G112" i="5"/>
  <c r="J113" i="5"/>
  <c r="D114" i="5"/>
  <c r="G115" i="5"/>
  <c r="H116" i="5"/>
  <c r="C117" i="5"/>
  <c r="BL117" i="5" s="1"/>
  <c r="F118" i="5"/>
  <c r="H119" i="5"/>
  <c r="K120" i="5"/>
  <c r="U120" i="5" s="1"/>
  <c r="E121" i="5"/>
  <c r="AH121" i="5" s="1"/>
  <c r="AI121" i="5" s="1"/>
  <c r="I123" i="5"/>
  <c r="W123" i="5" s="1"/>
  <c r="C124" i="5"/>
  <c r="BL124" i="5" s="1"/>
  <c r="K124" i="5"/>
  <c r="U124" i="5" s="1"/>
  <c r="D125" i="5"/>
  <c r="F126" i="5"/>
  <c r="L128" i="5"/>
  <c r="G129" i="5"/>
  <c r="L130" i="5"/>
  <c r="K132" i="5"/>
  <c r="E133" i="5"/>
  <c r="H136" i="5"/>
  <c r="C137" i="5"/>
  <c r="BL137" i="5" s="1"/>
  <c r="F138" i="5"/>
  <c r="L139" i="5"/>
  <c r="F140" i="5"/>
  <c r="L141" i="5"/>
  <c r="E142" i="5"/>
  <c r="AH142" i="5" s="1"/>
  <c r="AI142" i="5" s="1"/>
  <c r="K143" i="5"/>
  <c r="F144" i="5"/>
  <c r="C146" i="5"/>
  <c r="BL146" i="5" s="1"/>
  <c r="E147" i="5"/>
  <c r="H148" i="5"/>
  <c r="C150" i="5"/>
  <c r="BL150" i="5" s="1"/>
  <c r="E152" i="5"/>
  <c r="AH152" i="5" s="1"/>
  <c r="AI152" i="5" s="1"/>
  <c r="D154" i="5"/>
  <c r="F155" i="5"/>
  <c r="C157" i="5"/>
  <c r="BL157" i="5" s="1"/>
  <c r="E159" i="5"/>
  <c r="AH159" i="5" s="1"/>
  <c r="AI159" i="5" s="1"/>
  <c r="D160" i="5"/>
  <c r="H162" i="5"/>
  <c r="E163" i="5"/>
  <c r="E164" i="5"/>
  <c r="AH164" i="5" s="1"/>
  <c r="AI164" i="5" s="1"/>
  <c r="I165" i="5"/>
  <c r="I166" i="5"/>
  <c r="K167" i="5"/>
  <c r="U167" i="5" s="1"/>
  <c r="J168" i="5"/>
  <c r="F170" i="5"/>
  <c r="H172" i="5"/>
  <c r="H176" i="5"/>
  <c r="K177" i="5"/>
  <c r="U177" i="5" s="1"/>
  <c r="G184" i="5"/>
  <c r="L185" i="5"/>
  <c r="D197" i="5"/>
  <c r="I198" i="5"/>
  <c r="W198" i="5" s="1"/>
  <c r="I199" i="5"/>
  <c r="W199" i="5" s="1"/>
  <c r="H203" i="5"/>
  <c r="D209" i="5"/>
  <c r="D210" i="5"/>
  <c r="J211" i="5"/>
  <c r="L212" i="5"/>
  <c r="E220" i="5"/>
  <c r="AH220" i="5" s="1"/>
  <c r="AI220" i="5" s="1"/>
  <c r="I103" i="5"/>
  <c r="W103" i="5" s="1"/>
  <c r="D104" i="5"/>
  <c r="I105" i="5"/>
  <c r="W105" i="5" s="1"/>
  <c r="D106" i="5"/>
  <c r="I107" i="5"/>
  <c r="W107" i="5" s="1"/>
  <c r="L108" i="5"/>
  <c r="G109" i="5"/>
  <c r="K110" i="5"/>
  <c r="U110" i="5" s="1"/>
  <c r="E111" i="5"/>
  <c r="K113" i="5"/>
  <c r="U113" i="5" s="1"/>
  <c r="E114" i="5"/>
  <c r="AH114" i="5" s="1"/>
  <c r="AI114" i="5" s="1"/>
  <c r="I116" i="5"/>
  <c r="W116" i="5" s="1"/>
  <c r="D117" i="5"/>
  <c r="G118" i="5"/>
  <c r="L120" i="5"/>
  <c r="F121" i="5"/>
  <c r="H122" i="5"/>
  <c r="J123" i="5"/>
  <c r="L124" i="5"/>
  <c r="G126" i="5"/>
  <c r="H127" i="5"/>
  <c r="C128" i="5"/>
  <c r="BL128" i="5" s="1"/>
  <c r="F131" i="5"/>
  <c r="L132" i="5"/>
  <c r="F133" i="5"/>
  <c r="I134" i="5"/>
  <c r="W134" i="5" s="1"/>
  <c r="C135" i="5"/>
  <c r="BL135" i="5" s="1"/>
  <c r="I136" i="5"/>
  <c r="W136" i="5" s="1"/>
  <c r="D137" i="5"/>
  <c r="G138" i="5"/>
  <c r="G140" i="5"/>
  <c r="F142" i="5"/>
  <c r="L143" i="5"/>
  <c r="G144" i="5"/>
  <c r="J145" i="5"/>
  <c r="K146" i="5"/>
  <c r="U146" i="5" s="1"/>
  <c r="F147" i="5"/>
  <c r="I148" i="5"/>
  <c r="G149" i="5"/>
  <c r="F150" i="5"/>
  <c r="G151" i="5"/>
  <c r="H152" i="5"/>
  <c r="G153" i="5"/>
  <c r="E154" i="5"/>
  <c r="AH154" i="5" s="1"/>
  <c r="AI154" i="5" s="1"/>
  <c r="D157" i="5"/>
  <c r="E158" i="5"/>
  <c r="AH158" i="5" s="1"/>
  <c r="AI158" i="5" s="1"/>
  <c r="F159" i="5"/>
  <c r="E160" i="5"/>
  <c r="AH160" i="5" s="1"/>
  <c r="AI160" i="5" s="1"/>
  <c r="D161" i="5"/>
  <c r="I162" i="5"/>
  <c r="W162" i="5" s="1"/>
  <c r="I163" i="5"/>
  <c r="W163" i="5" s="1"/>
  <c r="F164" i="5"/>
  <c r="L167" i="5"/>
  <c r="F169" i="5"/>
  <c r="J170" i="5"/>
  <c r="F171" i="5"/>
  <c r="I172" i="5"/>
  <c r="W172" i="5" s="1"/>
  <c r="C175" i="5"/>
  <c r="BL175" i="5" s="1"/>
  <c r="BP175" i="5" s="1"/>
  <c r="I176" i="5"/>
  <c r="W176" i="5" s="1"/>
  <c r="C183" i="5"/>
  <c r="K184" i="5"/>
  <c r="U184" i="5" s="1"/>
  <c r="D190" i="5"/>
  <c r="H191" i="5"/>
  <c r="C196" i="5"/>
  <c r="BL196" i="5" s="1"/>
  <c r="F197" i="5"/>
  <c r="J198" i="5"/>
  <c r="J199" i="5"/>
  <c r="C202" i="5"/>
  <c r="BL202" i="5" s="1"/>
  <c r="I203" i="5"/>
  <c r="W203" i="5" s="1"/>
  <c r="E209" i="5"/>
  <c r="AH209" i="5" s="1"/>
  <c r="AI209" i="5" s="1"/>
  <c r="C219" i="5"/>
  <c r="BL219" i="5" s="1"/>
  <c r="I221" i="5"/>
  <c r="W221" i="5" s="1"/>
  <c r="C224" i="5"/>
  <c r="BL224" i="5" s="1"/>
  <c r="H225" i="5"/>
  <c r="I174" i="5"/>
  <c r="W174" i="5" s="1"/>
  <c r="D175" i="5"/>
  <c r="J176" i="5"/>
  <c r="E177" i="5"/>
  <c r="AH177" i="5" s="1"/>
  <c r="AI177" i="5" s="1"/>
  <c r="K178" i="5"/>
  <c r="U178" i="5" s="1"/>
  <c r="E179" i="5"/>
  <c r="AH179" i="5" s="1"/>
  <c r="AI179" i="5" s="1"/>
  <c r="J180" i="5"/>
  <c r="L181" i="5"/>
  <c r="G182" i="5"/>
  <c r="F184" i="5"/>
  <c r="H186" i="5"/>
  <c r="L187" i="5"/>
  <c r="F188" i="5"/>
  <c r="K189" i="5"/>
  <c r="F190" i="5"/>
  <c r="I191" i="5"/>
  <c r="W191" i="5" s="1"/>
  <c r="C192" i="5"/>
  <c r="G193" i="5"/>
  <c r="L194" i="5"/>
  <c r="E195" i="5"/>
  <c r="AH195" i="5" s="1"/>
  <c r="AI195" i="5" s="1"/>
  <c r="J196" i="5"/>
  <c r="E197" i="5"/>
  <c r="AH197" i="5" s="1"/>
  <c r="AI197" i="5" s="1"/>
  <c r="K198" i="5"/>
  <c r="U198" i="5" s="1"/>
  <c r="E199" i="5"/>
  <c r="I200" i="5"/>
  <c r="W200" i="5" s="1"/>
  <c r="D201" i="5"/>
  <c r="C203" i="5"/>
  <c r="BL203" i="5" s="1"/>
  <c r="I204" i="5"/>
  <c r="W204" i="5" s="1"/>
  <c r="K205" i="5"/>
  <c r="U205" i="5" s="1"/>
  <c r="F206" i="5"/>
  <c r="K207" i="5"/>
  <c r="U207" i="5" s="1"/>
  <c r="D208" i="5"/>
  <c r="K209" i="5"/>
  <c r="U209" i="5" s="1"/>
  <c r="E210" i="5"/>
  <c r="K211" i="5"/>
  <c r="U211" i="5" s="1"/>
  <c r="D212" i="5"/>
  <c r="I213" i="5"/>
  <c r="W213" i="5" s="1"/>
  <c r="K214" i="5"/>
  <c r="U214" i="5" s="1"/>
  <c r="E215" i="5"/>
  <c r="AH215" i="5" s="1"/>
  <c r="AI215" i="5" s="1"/>
  <c r="G216" i="5"/>
  <c r="H217" i="5"/>
  <c r="K218" i="5"/>
  <c r="U218" i="5" s="1"/>
  <c r="E219" i="5"/>
  <c r="AH219" i="5" s="1"/>
  <c r="AI219" i="5" s="1"/>
  <c r="J220" i="5"/>
  <c r="E221" i="5"/>
  <c r="AH221" i="5" s="1"/>
  <c r="AI221" i="5" s="1"/>
  <c r="H222" i="5"/>
  <c r="C223" i="5"/>
  <c r="BL223" i="5" s="1"/>
  <c r="J224" i="5"/>
  <c r="C225" i="5"/>
  <c r="BL225" i="5" s="1"/>
  <c r="BP225" i="5" s="1"/>
  <c r="H151" i="5"/>
  <c r="K152" i="5"/>
  <c r="U152" i="5" s="1"/>
  <c r="E153" i="5"/>
  <c r="AH153" i="5" s="1"/>
  <c r="AI153" i="5" s="1"/>
  <c r="L156" i="5"/>
  <c r="G157" i="5"/>
  <c r="I159" i="5"/>
  <c r="L160" i="5"/>
  <c r="E161" i="5"/>
  <c r="K162" i="5"/>
  <c r="U162" i="5" s="1"/>
  <c r="G164" i="5"/>
  <c r="L165" i="5"/>
  <c r="F166" i="5"/>
  <c r="H167" i="5"/>
  <c r="G169" i="5"/>
  <c r="G171" i="5"/>
  <c r="K172" i="5"/>
  <c r="U172" i="5" s="1"/>
  <c r="F173" i="5"/>
  <c r="K174" i="5"/>
  <c r="F175" i="5"/>
  <c r="L176" i="5"/>
  <c r="G177" i="5"/>
  <c r="F179" i="5"/>
  <c r="L180" i="5"/>
  <c r="I182" i="5"/>
  <c r="W182" i="5" s="1"/>
  <c r="D183" i="5"/>
  <c r="H184" i="5"/>
  <c r="C185" i="5"/>
  <c r="BL185" i="5" s="1"/>
  <c r="J186" i="5"/>
  <c r="D187" i="5"/>
  <c r="H188" i="5"/>
  <c r="H190" i="5"/>
  <c r="K191" i="5"/>
  <c r="E192" i="5"/>
  <c r="AH192" i="5" s="1"/>
  <c r="AI192" i="5" s="1"/>
  <c r="I193" i="5"/>
  <c r="W193" i="5" s="1"/>
  <c r="G195" i="5"/>
  <c r="L196" i="5"/>
  <c r="G197" i="5"/>
  <c r="K200" i="5"/>
  <c r="U200" i="5" s="1"/>
  <c r="F201" i="5"/>
  <c r="J202" i="5"/>
  <c r="E203" i="5"/>
  <c r="K204" i="5"/>
  <c r="C205" i="5"/>
  <c r="BL205" i="5" s="1"/>
  <c r="H206" i="5"/>
  <c r="C207" i="5"/>
  <c r="BL207" i="5" s="1"/>
  <c r="L207" i="5"/>
  <c r="F208" i="5"/>
  <c r="F210" i="5"/>
  <c r="L211" i="5"/>
  <c r="F215" i="5"/>
  <c r="I217" i="5"/>
  <c r="L218" i="5"/>
  <c r="G219" i="5"/>
  <c r="L220" i="5"/>
  <c r="F221" i="5"/>
  <c r="J222" i="5"/>
  <c r="E223" i="5"/>
  <c r="K224" i="5"/>
  <c r="E225" i="5"/>
  <c r="AH225" i="5" s="1"/>
  <c r="AI225" i="5" s="1"/>
  <c r="J149" i="5"/>
  <c r="D150" i="5"/>
  <c r="I151" i="5"/>
  <c r="W151" i="5" s="1"/>
  <c r="C152" i="5"/>
  <c r="BL152" i="5" s="1"/>
  <c r="G154" i="5"/>
  <c r="I155" i="5"/>
  <c r="W155" i="5" s="1"/>
  <c r="H157" i="5"/>
  <c r="C158" i="5"/>
  <c r="BL158" i="5" s="1"/>
  <c r="J159" i="5"/>
  <c r="C160" i="5"/>
  <c r="F161" i="5"/>
  <c r="L162" i="5"/>
  <c r="C163" i="5"/>
  <c r="BL163" i="5" s="1"/>
  <c r="G166" i="5"/>
  <c r="I167" i="5"/>
  <c r="W167" i="5" s="1"/>
  <c r="C168" i="5"/>
  <c r="BL168" i="5" s="1"/>
  <c r="H169" i="5"/>
  <c r="C170" i="5"/>
  <c r="BL170" i="5" s="1"/>
  <c r="BP170" i="5" s="1"/>
  <c r="H171" i="5"/>
  <c r="L172" i="5"/>
  <c r="G173" i="5"/>
  <c r="L174" i="5"/>
  <c r="G175" i="5"/>
  <c r="H177" i="5"/>
  <c r="C178" i="5"/>
  <c r="BL178" i="5" s="1"/>
  <c r="BP178" i="5" s="1"/>
  <c r="G179" i="5"/>
  <c r="F181" i="5"/>
  <c r="J182" i="5"/>
  <c r="E183" i="5"/>
  <c r="I184" i="5"/>
  <c r="W184" i="5" s="1"/>
  <c r="D185" i="5"/>
  <c r="K186" i="5"/>
  <c r="U186" i="5" s="1"/>
  <c r="E187" i="5"/>
  <c r="AH187" i="5" s="1"/>
  <c r="AI187" i="5" s="1"/>
  <c r="I188" i="5"/>
  <c r="I190" i="5"/>
  <c r="W190" i="5" s="1"/>
  <c r="L191" i="5"/>
  <c r="F192" i="5"/>
  <c r="J193" i="5"/>
  <c r="D194" i="5"/>
  <c r="H195" i="5"/>
  <c r="H197" i="5"/>
  <c r="G199" i="5"/>
  <c r="L200" i="5"/>
  <c r="K202" i="5"/>
  <c r="F203" i="5"/>
  <c r="L204" i="5"/>
  <c r="D205" i="5"/>
  <c r="I206" i="5"/>
  <c r="W206" i="5" s="1"/>
  <c r="D207" i="5"/>
  <c r="G208" i="5"/>
  <c r="G210" i="5"/>
  <c r="F212" i="5"/>
  <c r="K213" i="5"/>
  <c r="D214" i="5"/>
  <c r="G215" i="5"/>
  <c r="I216" i="5"/>
  <c r="W216" i="5" s="1"/>
  <c r="C218" i="5"/>
  <c r="BL218" i="5" s="1"/>
  <c r="G221" i="5"/>
  <c r="K222" i="5"/>
  <c r="U222" i="5" s="1"/>
  <c r="F223" i="5"/>
  <c r="F225" i="5"/>
  <c r="K149" i="5"/>
  <c r="E150" i="5"/>
  <c r="L152" i="5"/>
  <c r="F153" i="5"/>
  <c r="H154" i="5"/>
  <c r="J155" i="5"/>
  <c r="C156" i="5"/>
  <c r="I157" i="5"/>
  <c r="W157" i="5" s="1"/>
  <c r="D158" i="5"/>
  <c r="K159" i="5"/>
  <c r="U159" i="5" s="1"/>
  <c r="G161" i="5"/>
  <c r="H164" i="5"/>
  <c r="C165" i="5"/>
  <c r="BL165" i="5" s="1"/>
  <c r="BP165" i="5" s="1"/>
  <c r="H166" i="5"/>
  <c r="J167" i="5"/>
  <c r="D168" i="5"/>
  <c r="I169" i="5"/>
  <c r="D170" i="5"/>
  <c r="I171" i="5"/>
  <c r="W171" i="5" s="1"/>
  <c r="H173" i="5"/>
  <c r="H175" i="5"/>
  <c r="I177" i="5"/>
  <c r="W177" i="5" s="1"/>
  <c r="H179" i="5"/>
  <c r="C180" i="5"/>
  <c r="BL180" i="5" s="1"/>
  <c r="G181" i="5"/>
  <c r="K182" i="5"/>
  <c r="U182" i="5" s="1"/>
  <c r="F183" i="5"/>
  <c r="J184" i="5"/>
  <c r="E185" i="5"/>
  <c r="AH185" i="5" s="1"/>
  <c r="AI185" i="5" s="1"/>
  <c r="F187" i="5"/>
  <c r="J188" i="5"/>
  <c r="C189" i="5"/>
  <c r="BL189" i="5" s="1"/>
  <c r="BP189" i="5" s="1"/>
  <c r="J190" i="5"/>
  <c r="C191" i="5"/>
  <c r="BL191" i="5" s="1"/>
  <c r="BP191" i="5" s="1"/>
  <c r="G192" i="5"/>
  <c r="K193" i="5"/>
  <c r="E194" i="5"/>
  <c r="I195" i="5"/>
  <c r="I197" i="5"/>
  <c r="W197" i="5" s="1"/>
  <c r="C198" i="5"/>
  <c r="H199" i="5"/>
  <c r="G201" i="5"/>
  <c r="L202" i="5"/>
  <c r="G203" i="5"/>
  <c r="E205" i="5"/>
  <c r="AH205" i="5" s="1"/>
  <c r="AI205" i="5" s="1"/>
  <c r="J206" i="5"/>
  <c r="E207" i="5"/>
  <c r="AH207" i="5" s="1"/>
  <c r="AI207" i="5" s="1"/>
  <c r="H208" i="5"/>
  <c r="C209" i="5"/>
  <c r="BL209" i="5" s="1"/>
  <c r="H210" i="5"/>
  <c r="C211" i="5"/>
  <c r="BL211" i="5" s="1"/>
  <c r="G212" i="5"/>
  <c r="L213" i="5"/>
  <c r="E214" i="5"/>
  <c r="H215" i="5"/>
  <c r="J216" i="5"/>
  <c r="C217" i="5"/>
  <c r="BL217" i="5" s="1"/>
  <c r="J217" i="5"/>
  <c r="D218" i="5"/>
  <c r="H219" i="5"/>
  <c r="C220" i="5"/>
  <c r="BL220" i="5" s="1"/>
  <c r="H221" i="5"/>
  <c r="L222" i="5"/>
  <c r="G223" i="5"/>
  <c r="L224" i="5"/>
  <c r="G225" i="5"/>
  <c r="D149" i="5"/>
  <c r="H150" i="5"/>
  <c r="C151" i="5"/>
  <c r="BL151" i="5" s="1"/>
  <c r="L151" i="5"/>
  <c r="F152" i="5"/>
  <c r="H153" i="5"/>
  <c r="J154" i="5"/>
  <c r="D155" i="5"/>
  <c r="L155" i="5"/>
  <c r="E156" i="5"/>
  <c r="AH156" i="5" s="1"/>
  <c r="AI156" i="5" s="1"/>
  <c r="L157" i="5"/>
  <c r="G158" i="5"/>
  <c r="F160" i="5"/>
  <c r="J161" i="5"/>
  <c r="E162" i="5"/>
  <c r="F163" i="5"/>
  <c r="K164" i="5"/>
  <c r="U164" i="5" s="1"/>
  <c r="F165" i="5"/>
  <c r="J166" i="5"/>
  <c r="G168" i="5"/>
  <c r="L169" i="5"/>
  <c r="G170" i="5"/>
  <c r="D172" i="5"/>
  <c r="J173" i="5"/>
  <c r="D174" i="5"/>
  <c r="K175" i="5"/>
  <c r="U175" i="5" s="1"/>
  <c r="E176" i="5"/>
  <c r="AH176" i="5" s="1"/>
  <c r="AI176" i="5" s="1"/>
  <c r="L177" i="5"/>
  <c r="F178" i="5"/>
  <c r="K179" i="5"/>
  <c r="U179" i="5" s="1"/>
  <c r="I183" i="5"/>
  <c r="C184" i="5"/>
  <c r="H185" i="5"/>
  <c r="C186" i="5"/>
  <c r="BL186" i="5" s="1"/>
  <c r="BP186" i="5" s="1"/>
  <c r="F189" i="5"/>
  <c r="E191" i="5"/>
  <c r="AH191" i="5" s="1"/>
  <c r="AI191" i="5" s="1"/>
  <c r="J192" i="5"/>
  <c r="C193" i="5"/>
  <c r="BL193" i="5" s="1"/>
  <c r="H194" i="5"/>
  <c r="E196" i="5"/>
  <c r="AH196" i="5" s="1"/>
  <c r="AI196" i="5" s="1"/>
  <c r="L197" i="5"/>
  <c r="F198" i="5"/>
  <c r="K199" i="5"/>
  <c r="E200" i="5"/>
  <c r="AH200" i="5" s="1"/>
  <c r="AI200" i="5" s="1"/>
  <c r="J201" i="5"/>
  <c r="E202" i="5"/>
  <c r="AH202" i="5" s="1"/>
  <c r="AI202" i="5" s="1"/>
  <c r="J203" i="5"/>
  <c r="D204" i="5"/>
  <c r="G205" i="5"/>
  <c r="K208" i="5"/>
  <c r="F209" i="5"/>
  <c r="K210" i="5"/>
  <c r="U210" i="5" s="1"/>
  <c r="F211" i="5"/>
  <c r="J212" i="5"/>
  <c r="D213" i="5"/>
  <c r="G214" i="5"/>
  <c r="F218" i="5"/>
  <c r="K219" i="5"/>
  <c r="U219" i="5" s="1"/>
  <c r="F220" i="5"/>
  <c r="J221" i="5"/>
  <c r="J223" i="5"/>
  <c r="E224" i="5"/>
  <c r="AH224" i="5" s="1"/>
  <c r="AI224" i="5" s="1"/>
  <c r="I225" i="5"/>
  <c r="W225" i="5" s="1"/>
  <c r="E149" i="5"/>
  <c r="AH149" i="5" s="1"/>
  <c r="AI149" i="5" s="1"/>
  <c r="I150" i="5"/>
  <c r="W150" i="5" s="1"/>
  <c r="K154" i="5"/>
  <c r="U154" i="5" s="1"/>
  <c r="E155" i="5"/>
  <c r="AH155" i="5" s="1"/>
  <c r="AI155" i="5" s="1"/>
  <c r="F156" i="5"/>
  <c r="H158" i="5"/>
  <c r="C159" i="5"/>
  <c r="BL159" i="5" s="1"/>
  <c r="G160" i="5"/>
  <c r="K161" i="5"/>
  <c r="U161" i="5" s="1"/>
  <c r="F162" i="5"/>
  <c r="G163" i="5"/>
  <c r="L164" i="5"/>
  <c r="G165" i="5"/>
  <c r="K166" i="5"/>
  <c r="U166" i="5" s="1"/>
  <c r="D167" i="5"/>
  <c r="H168" i="5"/>
  <c r="H170" i="5"/>
  <c r="K171" i="5"/>
  <c r="E172" i="5"/>
  <c r="K173" i="5"/>
  <c r="E174" i="5"/>
  <c r="F176" i="5"/>
  <c r="G178" i="5"/>
  <c r="L179" i="5"/>
  <c r="F180" i="5"/>
  <c r="J181" i="5"/>
  <c r="C182" i="5"/>
  <c r="BL182" i="5" s="1"/>
  <c r="J183" i="5"/>
  <c r="D184" i="5"/>
  <c r="I185" i="5"/>
  <c r="W185" i="5" s="1"/>
  <c r="D186" i="5"/>
  <c r="H187" i="5"/>
  <c r="G189" i="5"/>
  <c r="L190" i="5"/>
  <c r="F191" i="5"/>
  <c r="K192" i="5"/>
  <c r="U192" i="5" s="1"/>
  <c r="K195" i="5"/>
  <c r="U195" i="5" s="1"/>
  <c r="F196" i="5"/>
  <c r="G198" i="5"/>
  <c r="L199" i="5"/>
  <c r="F200" i="5"/>
  <c r="K201" i="5"/>
  <c r="F202" i="5"/>
  <c r="K203" i="5"/>
  <c r="U203" i="5" s="1"/>
  <c r="E204" i="5"/>
  <c r="H205" i="5"/>
  <c r="G207" i="5"/>
  <c r="L208" i="5"/>
  <c r="G209" i="5"/>
  <c r="L210" i="5"/>
  <c r="G211" i="5"/>
  <c r="K212" i="5"/>
  <c r="U212" i="5" s="1"/>
  <c r="E213" i="5"/>
  <c r="AH213" i="5" s="1"/>
  <c r="AI213" i="5" s="1"/>
  <c r="H214" i="5"/>
  <c r="K215" i="5"/>
  <c r="U215" i="5" s="1"/>
  <c r="C216" i="5"/>
  <c r="E217" i="5"/>
  <c r="AH217" i="5" s="1"/>
  <c r="AI217" i="5" s="1"/>
  <c r="G218" i="5"/>
  <c r="L219" i="5"/>
  <c r="G220" i="5"/>
  <c r="K221" i="5"/>
  <c r="E222" i="5"/>
  <c r="AH222" i="5" s="1"/>
  <c r="AI222" i="5" s="1"/>
  <c r="K223" i="5"/>
  <c r="F224" i="5"/>
  <c r="J225" i="5"/>
  <c r="F149" i="5"/>
  <c r="J150" i="5"/>
  <c r="D151" i="5"/>
  <c r="G152" i="5"/>
  <c r="I153" i="5"/>
  <c r="W153" i="5" s="1"/>
  <c r="C154" i="5"/>
  <c r="BL154" i="5" s="1"/>
  <c r="G156" i="5"/>
  <c r="I158" i="5"/>
  <c r="D159" i="5"/>
  <c r="H160" i="5"/>
  <c r="L161" i="5"/>
  <c r="G162" i="5"/>
  <c r="H163" i="5"/>
  <c r="H165" i="5"/>
  <c r="L166" i="5"/>
  <c r="I168" i="5"/>
  <c r="W168" i="5" s="1"/>
  <c r="C169" i="5"/>
  <c r="BL169" i="5" s="1"/>
  <c r="I170" i="5"/>
  <c r="W170" i="5" s="1"/>
  <c r="C171" i="5"/>
  <c r="BL171" i="5" s="1"/>
  <c r="BP171" i="5" s="1"/>
  <c r="L171" i="5"/>
  <c r="F172" i="5"/>
  <c r="L173" i="5"/>
  <c r="F174" i="5"/>
  <c r="L175" i="5"/>
  <c r="G176" i="5"/>
  <c r="H178" i="5"/>
  <c r="C179" i="5"/>
  <c r="G180" i="5"/>
  <c r="D182" i="5"/>
  <c r="K183" i="5"/>
  <c r="U183" i="5" s="1"/>
  <c r="J185" i="5"/>
  <c r="E186" i="5"/>
  <c r="AH186" i="5" s="1"/>
  <c r="AI186" i="5" s="1"/>
  <c r="I187" i="5"/>
  <c r="C188" i="5"/>
  <c r="BL188" i="5" s="1"/>
  <c r="H189" i="5"/>
  <c r="C190" i="5"/>
  <c r="BL190" i="5" s="1"/>
  <c r="BP190" i="5" s="1"/>
  <c r="G191" i="5"/>
  <c r="L192" i="5"/>
  <c r="D193" i="5"/>
  <c r="I194" i="5"/>
  <c r="W194" i="5" s="1"/>
  <c r="L195" i="5"/>
  <c r="G196" i="5"/>
  <c r="H198" i="5"/>
  <c r="G200" i="5"/>
  <c r="L201" i="5"/>
  <c r="G202" i="5"/>
  <c r="L203" i="5"/>
  <c r="F204" i="5"/>
  <c r="C206" i="5"/>
  <c r="BL206" i="5" s="1"/>
  <c r="H207" i="5"/>
  <c r="H209" i="5"/>
  <c r="H211" i="5"/>
  <c r="F213" i="5"/>
  <c r="C215" i="5"/>
  <c r="BL215" i="5" s="1"/>
  <c r="D216" i="5"/>
  <c r="H218" i="5"/>
  <c r="H220" i="5"/>
  <c r="L221" i="5"/>
  <c r="L223" i="5"/>
  <c r="G224" i="5"/>
  <c r="K225" i="5"/>
  <c r="U225" i="5" s="1"/>
  <c r="AK24" i="5" a="1"/>
  <c r="AK19" i="5" a="1"/>
  <c r="AK78" i="5" a="1"/>
  <c r="AK115" i="5" a="1"/>
  <c r="AK127" i="5" a="1"/>
  <c r="AK23" i="5" a="1"/>
  <c r="AK55" i="5" a="1"/>
  <c r="AK83" i="5" a="1"/>
  <c r="AK95" i="5" a="1"/>
  <c r="AK35" i="5" a="1"/>
  <c r="AK56" i="5" a="1"/>
  <c r="AK61" i="5" a="1"/>
  <c r="AK22" i="5" a="1"/>
  <c r="AK14" i="5" a="1"/>
  <c r="AK138" i="5" a="1"/>
  <c r="AK20" i="5" a="1"/>
  <c r="AK26" i="5" a="1"/>
  <c r="AK164" i="5" a="1"/>
  <c r="AK5" i="5" a="1"/>
  <c r="AK8" i="5" a="1"/>
  <c r="AK27" i="5" a="1"/>
  <c r="AK114" i="5" a="1"/>
  <c r="AK148" i="5" a="1"/>
  <c r="AK177" i="5" a="1"/>
  <c r="AK86" i="5" a="1"/>
  <c r="AK186" i="5" a="1"/>
  <c r="AK41" i="5" a="1"/>
  <c r="AK38" i="5" a="1"/>
  <c r="AK57" i="5" a="1"/>
  <c r="AK159" i="5" a="1"/>
  <c r="AK75" i="5" a="1"/>
  <c r="AK69" i="5" a="1"/>
  <c r="AK92" i="5" a="1"/>
  <c r="AK184" i="5" a="1"/>
  <c r="AK176" i="5" a="1"/>
  <c r="AK87" i="5" a="1"/>
  <c r="AK129" i="5" a="1"/>
  <c r="AK119" i="5" a="1"/>
  <c r="AK134" i="5" a="1"/>
  <c r="AK31" i="5" a="1"/>
  <c r="AK43" i="5" a="1"/>
  <c r="AK53" i="5" a="1"/>
  <c r="AK13" i="5" a="1"/>
  <c r="AK158" i="5" a="1"/>
  <c r="AK46" i="5" a="1"/>
  <c r="AK139" i="5" a="1"/>
  <c r="AK196" i="5" a="1"/>
  <c r="AK220" i="5" a="1"/>
  <c r="AK166" i="5" a="1"/>
  <c r="AK137" i="5" a="1"/>
  <c r="AK187" i="5" a="1"/>
  <c r="AK155" i="5" a="1"/>
  <c r="AK215" i="5" a="1"/>
  <c r="AK205" i="5" a="1"/>
  <c r="AK101" i="5" a="1"/>
  <c r="AK219" i="5" a="1"/>
  <c r="AK200" i="5" a="1"/>
  <c r="AK217" i="5" a="1"/>
  <c r="AK97" i="5" a="1"/>
  <c r="AK142" i="5" a="1"/>
  <c r="AB71" i="5" l="1"/>
  <c r="AB73" i="5"/>
  <c r="AW73" i="5" s="1"/>
  <c r="AZ9" i="5"/>
  <c r="AZ67" i="5"/>
  <c r="AZ184" i="5"/>
  <c r="AZ45" i="5"/>
  <c r="AZ204" i="5"/>
  <c r="AB171" i="5"/>
  <c r="AO171" i="5" s="1"/>
  <c r="AQ43" i="5"/>
  <c r="BA43" i="5" s="1"/>
  <c r="BN9" i="5"/>
  <c r="AB14" i="5"/>
  <c r="AW14" i="5" s="1"/>
  <c r="BF226" i="5"/>
  <c r="BD226" i="5"/>
  <c r="BC226" i="5"/>
  <c r="AZ188" i="5"/>
  <c r="AZ126" i="5"/>
  <c r="AZ135" i="5"/>
  <c r="BP136" i="5"/>
  <c r="BP48" i="5"/>
  <c r="AB87" i="5"/>
  <c r="AW87" i="5" s="1"/>
  <c r="AZ10" i="5"/>
  <c r="AB30" i="5"/>
  <c r="AO30" i="5" s="1"/>
  <c r="AB62" i="5"/>
  <c r="AW62" i="5" s="1"/>
  <c r="AB208" i="5"/>
  <c r="AO208" i="5" s="1"/>
  <c r="AQ158" i="5"/>
  <c r="BA158" i="5" s="1"/>
  <c r="AB202" i="5"/>
  <c r="AW202" i="5" s="1"/>
  <c r="AZ75" i="5"/>
  <c r="AD37" i="5"/>
  <c r="AB16" i="5"/>
  <c r="AW16" i="5" s="1"/>
  <c r="Z37" i="5"/>
  <c r="AA37" i="5" s="1"/>
  <c r="Z38" i="5"/>
  <c r="AA38" i="5" s="1"/>
  <c r="AD217" i="5"/>
  <c r="AL116" i="5"/>
  <c r="Z225" i="5"/>
  <c r="AA225" i="5" s="1"/>
  <c r="AZ41" i="5"/>
  <c r="AZ80" i="5"/>
  <c r="AB127" i="5"/>
  <c r="AW127" i="5" s="1"/>
  <c r="AQ117" i="5"/>
  <c r="BA117" i="5" s="1"/>
  <c r="BP141" i="5"/>
  <c r="BN8" i="5"/>
  <c r="AZ180" i="5"/>
  <c r="AZ127" i="5"/>
  <c r="AL27" i="5"/>
  <c r="AZ6" i="5"/>
  <c r="AB154" i="5"/>
  <c r="AW154" i="5" s="1"/>
  <c r="AQ56" i="5"/>
  <c r="BA56" i="5" s="1"/>
  <c r="AD2" i="5"/>
  <c r="AD36" i="5"/>
  <c r="AL180" i="5"/>
  <c r="BN167" i="5"/>
  <c r="BN112" i="5"/>
  <c r="AQ24" i="5"/>
  <c r="BA24" i="5" s="1"/>
  <c r="AB212" i="5"/>
  <c r="AW212" i="5" s="1"/>
  <c r="AJ75" i="5"/>
  <c r="AB112" i="5"/>
  <c r="AO112" i="5" s="1"/>
  <c r="AB126" i="5"/>
  <c r="AW126" i="5" s="1"/>
  <c r="Z71" i="5"/>
  <c r="AA71" i="5" s="1"/>
  <c r="AB37" i="5"/>
  <c r="AO37" i="5" s="1"/>
  <c r="AQ103" i="5"/>
  <c r="BA103" i="5" s="1"/>
  <c r="AB60" i="5"/>
  <c r="AO60" i="5" s="1"/>
  <c r="AL36" i="5"/>
  <c r="AZ4" i="5"/>
  <c r="Z13" i="5"/>
  <c r="AA13" i="5" s="1"/>
  <c r="AJ109" i="5"/>
  <c r="BN186" i="5"/>
  <c r="BP39" i="5"/>
  <c r="AZ211" i="5"/>
  <c r="AB200" i="5"/>
  <c r="AO200" i="5" s="1"/>
  <c r="AQ185" i="5"/>
  <c r="BA185" i="5" s="1"/>
  <c r="Z127" i="5"/>
  <c r="AA127" i="5" s="1"/>
  <c r="AJ97" i="5"/>
  <c r="AZ123" i="5"/>
  <c r="AL34" i="5"/>
  <c r="AD22" i="5"/>
  <c r="AB225" i="5"/>
  <c r="AO225" i="5" s="1"/>
  <c r="AR225" i="5" s="1"/>
  <c r="AS225" i="5" s="1"/>
  <c r="BP174" i="5"/>
  <c r="BP81" i="5"/>
  <c r="AQ212" i="5"/>
  <c r="BA212" i="5" s="1"/>
  <c r="AQ225" i="5"/>
  <c r="BA225" i="5" s="1"/>
  <c r="AL114" i="5"/>
  <c r="AJ213" i="5"/>
  <c r="AQ218" i="5"/>
  <c r="BA218" i="5" s="1"/>
  <c r="AB156" i="5"/>
  <c r="AO156" i="5" s="1"/>
  <c r="AB132" i="5"/>
  <c r="AO132" i="5" s="1"/>
  <c r="AB141" i="5"/>
  <c r="AO141" i="5" s="1"/>
  <c r="Z208" i="5"/>
  <c r="AA208" i="5" s="1"/>
  <c r="AJ130" i="5"/>
  <c r="AZ216" i="5"/>
  <c r="AQ202" i="5"/>
  <c r="BA202" i="5" s="1"/>
  <c r="AQ62" i="5"/>
  <c r="BA62" i="5" s="1"/>
  <c r="AB98" i="5"/>
  <c r="AO98" i="5" s="1"/>
  <c r="AD96" i="5"/>
  <c r="AZ69" i="5"/>
  <c r="AQ73" i="5"/>
  <c r="BA73" i="5" s="1"/>
  <c r="AB118" i="5"/>
  <c r="AO118" i="5" s="1"/>
  <c r="AB188" i="5"/>
  <c r="AO188" i="5" s="1"/>
  <c r="AB80" i="5"/>
  <c r="AO80" i="5" s="1"/>
  <c r="AQ63" i="5"/>
  <c r="BA63" i="5" s="1"/>
  <c r="AZ47" i="5"/>
  <c r="AZ8" i="5"/>
  <c r="AZ17" i="5"/>
  <c r="AL32" i="5"/>
  <c r="Z35" i="5"/>
  <c r="AA35" i="5" s="1"/>
  <c r="AL10" i="5"/>
  <c r="Z180" i="5"/>
  <c r="AA180" i="5" s="1"/>
  <c r="AZ206" i="5"/>
  <c r="AZ38" i="5"/>
  <c r="BN175" i="5"/>
  <c r="AB125" i="5"/>
  <c r="AW125" i="5" s="1"/>
  <c r="AB117" i="5"/>
  <c r="AW117" i="5" s="1"/>
  <c r="AZ208" i="5"/>
  <c r="AQ181" i="5"/>
  <c r="BA181" i="5" s="1"/>
  <c r="Z143" i="5"/>
  <c r="AA143" i="5" s="1"/>
  <c r="Z202" i="5"/>
  <c r="AA202" i="5" s="1"/>
  <c r="AQ78" i="5"/>
  <c r="BA78" i="5" s="1"/>
  <c r="AB189" i="5"/>
  <c r="AW189" i="5" s="1"/>
  <c r="AL16" i="5"/>
  <c r="AD181" i="5"/>
  <c r="AZ104" i="5"/>
  <c r="AQ127" i="5"/>
  <c r="BA127" i="5" s="1"/>
  <c r="BP44" i="5"/>
  <c r="BN191" i="5"/>
  <c r="U36" i="5"/>
  <c r="Z168" i="5"/>
  <c r="AA168" i="5" s="1"/>
  <c r="Z126" i="5"/>
  <c r="AA126" i="5" s="1"/>
  <c r="AJ37" i="5"/>
  <c r="Z41" i="5"/>
  <c r="AA41" i="5" s="1"/>
  <c r="AL164" i="5"/>
  <c r="AB145" i="5"/>
  <c r="AO145" i="5" s="1"/>
  <c r="AD24" i="5"/>
  <c r="AB113" i="5"/>
  <c r="AW113" i="5" s="1"/>
  <c r="AB17" i="5"/>
  <c r="AW17" i="5" s="1"/>
  <c r="AQ175" i="5"/>
  <c r="BA175" i="5" s="1"/>
  <c r="AZ52" i="5"/>
  <c r="AL160" i="5"/>
  <c r="AB131" i="5"/>
  <c r="AW131" i="5" s="1"/>
  <c r="AB96" i="5"/>
  <c r="AO96" i="5" s="1"/>
  <c r="AZ89" i="5"/>
  <c r="AZ21" i="5"/>
  <c r="AB33" i="5"/>
  <c r="AO33" i="5" s="1"/>
  <c r="AB86" i="5"/>
  <c r="AW86" i="5" s="1"/>
  <c r="AB119" i="5"/>
  <c r="AO119" i="5" s="1"/>
  <c r="AB209" i="5"/>
  <c r="AW209" i="5" s="1"/>
  <c r="AQ54" i="5"/>
  <c r="BA54" i="5" s="1"/>
  <c r="AL218" i="5"/>
  <c r="AQ194" i="5"/>
  <c r="BA194" i="5" s="1"/>
  <c r="AL221" i="5"/>
  <c r="AD13" i="5"/>
  <c r="U221" i="5"/>
  <c r="AL186" i="5"/>
  <c r="AZ191" i="5"/>
  <c r="AB207" i="5"/>
  <c r="AO207" i="5" s="1"/>
  <c r="AZ124" i="5"/>
  <c r="AZ71" i="5"/>
  <c r="AJ215" i="5"/>
  <c r="AL42" i="5"/>
  <c r="AD46" i="5"/>
  <c r="BN171" i="5"/>
  <c r="AB143" i="5"/>
  <c r="AO143" i="5" s="1"/>
  <c r="Z118" i="5"/>
  <c r="AA118" i="5" s="1"/>
  <c r="AD130" i="5"/>
  <c r="BP109" i="5"/>
  <c r="AJ96" i="5"/>
  <c r="AH98" i="5"/>
  <c r="AI98" i="5" s="1"/>
  <c r="AD98" i="5" s="1"/>
  <c r="BN55" i="5"/>
  <c r="AB161" i="5"/>
  <c r="AW161" i="5" s="1"/>
  <c r="AL173" i="5"/>
  <c r="AZ160" i="5"/>
  <c r="AJ196" i="5"/>
  <c r="AB222" i="5"/>
  <c r="AO222" i="5" s="1"/>
  <c r="AR222" i="5" s="1"/>
  <c r="AS222" i="5" s="1"/>
  <c r="AZ183" i="5"/>
  <c r="Z152" i="5"/>
  <c r="AA152" i="5" s="1"/>
  <c r="AZ175" i="5"/>
  <c r="AB160" i="5"/>
  <c r="AW160" i="5" s="1"/>
  <c r="AZ144" i="5"/>
  <c r="AL178" i="5"/>
  <c r="AZ107" i="5"/>
  <c r="AZ108" i="5"/>
  <c r="AL216" i="5"/>
  <c r="Z189" i="5"/>
  <c r="AA189" i="5" s="1"/>
  <c r="AL157" i="5"/>
  <c r="AQ48" i="5"/>
  <c r="BA48" i="5" s="1"/>
  <c r="AZ77" i="5"/>
  <c r="Z62" i="5"/>
  <c r="AA62" i="5" s="1"/>
  <c r="AB72" i="5"/>
  <c r="AW72" i="5" s="1"/>
  <c r="AQ200" i="5"/>
  <c r="BA200" i="5" s="1"/>
  <c r="Z98" i="5"/>
  <c r="AA98" i="5" s="1"/>
  <c r="AQ83" i="5"/>
  <c r="BA83" i="5" s="1"/>
  <c r="AZ76" i="5"/>
  <c r="AZ62" i="5"/>
  <c r="Z67" i="5"/>
  <c r="AA67" i="5" s="1"/>
  <c r="AQ53" i="5"/>
  <c r="BA53" i="5" s="1"/>
  <c r="AD3" i="5"/>
  <c r="AL11" i="5"/>
  <c r="AZ28" i="5"/>
  <c r="AZ29" i="5"/>
  <c r="AQ40" i="5"/>
  <c r="BA40" i="5" s="1"/>
  <c r="AL78" i="5"/>
  <c r="AZ209" i="5"/>
  <c r="AL213" i="5"/>
  <c r="AL174" i="5"/>
  <c r="Z185" i="5"/>
  <c r="AA185" i="5" s="1"/>
  <c r="AQ136" i="5"/>
  <c r="BA136" i="5" s="1"/>
  <c r="AZ119" i="5"/>
  <c r="AB175" i="5"/>
  <c r="AO175" i="5" s="1"/>
  <c r="AQ157" i="5"/>
  <c r="BA157" i="5" s="1"/>
  <c r="AZ142" i="5"/>
  <c r="AL71" i="5"/>
  <c r="Z90" i="5"/>
  <c r="AA90" i="5" s="1"/>
  <c r="AL75" i="5"/>
  <c r="AL119" i="5"/>
  <c r="AZ15" i="5"/>
  <c r="AZ14" i="5"/>
  <c r="BN6" i="5"/>
  <c r="U160" i="5"/>
  <c r="AQ201" i="5"/>
  <c r="BA201" i="5" s="1"/>
  <c r="AZ181" i="5"/>
  <c r="AZ105" i="5"/>
  <c r="Z193" i="5"/>
  <c r="AA193" i="5" s="1"/>
  <c r="AQ118" i="5"/>
  <c r="BA118" i="5" s="1"/>
  <c r="AB102" i="5"/>
  <c r="AO102" i="5" s="1"/>
  <c r="AL140" i="5"/>
  <c r="Z209" i="5"/>
  <c r="AA209" i="5" s="1"/>
  <c r="AL172" i="5"/>
  <c r="AQ156" i="5"/>
  <c r="BA156" i="5" s="1"/>
  <c r="Z170" i="5"/>
  <c r="AA170" i="5" s="1"/>
  <c r="AL97" i="5"/>
  <c r="AZ85" i="5"/>
  <c r="AZ43" i="5"/>
  <c r="AL81" i="5"/>
  <c r="Z73" i="5"/>
  <c r="AA73" i="5" s="1"/>
  <c r="AQ60" i="5"/>
  <c r="BA60" i="5" s="1"/>
  <c r="AZ59" i="5"/>
  <c r="AZ154" i="5"/>
  <c r="AZ101" i="5"/>
  <c r="AL57" i="5"/>
  <c r="AZ27" i="5"/>
  <c r="AZ24" i="5"/>
  <c r="AL22" i="5"/>
  <c r="AQ36" i="5"/>
  <c r="BA36" i="5" s="1"/>
  <c r="AQ27" i="5"/>
  <c r="BA27" i="5" s="1"/>
  <c r="Z31" i="5"/>
  <c r="AA31" i="5" s="1"/>
  <c r="Z54" i="5"/>
  <c r="AA54" i="5" s="1"/>
  <c r="AB50" i="5"/>
  <c r="AW50" i="5" s="1"/>
  <c r="AL53" i="5"/>
  <c r="BP51" i="5"/>
  <c r="BP155" i="5"/>
  <c r="AZ192" i="5"/>
  <c r="AD158" i="5"/>
  <c r="AD109" i="5"/>
  <c r="AL193" i="5"/>
  <c r="AJ69" i="5"/>
  <c r="U32" i="5"/>
  <c r="AL115" i="5"/>
  <c r="AZ112" i="5"/>
  <c r="AD143" i="5"/>
  <c r="AJ46" i="5"/>
  <c r="AZ189" i="5"/>
  <c r="AB181" i="5"/>
  <c r="AW181" i="5" s="1"/>
  <c r="AQ171" i="5"/>
  <c r="BA171" i="5" s="1"/>
  <c r="AD75" i="5"/>
  <c r="AL23" i="5"/>
  <c r="Z200" i="5"/>
  <c r="AA200" i="5" s="1"/>
  <c r="AL38" i="5"/>
  <c r="U16" i="5"/>
  <c r="AB155" i="5"/>
  <c r="AW155" i="5" s="1"/>
  <c r="Z157" i="5"/>
  <c r="AA157" i="5" s="1"/>
  <c r="AZ161" i="5"/>
  <c r="AZ166" i="5"/>
  <c r="Z65" i="5"/>
  <c r="AA65" i="5" s="1"/>
  <c r="AB133" i="5"/>
  <c r="AW133" i="5" s="1"/>
  <c r="AD220" i="5"/>
  <c r="BP2" i="5"/>
  <c r="AB169" i="5"/>
  <c r="AW169" i="5" s="1"/>
  <c r="AB92" i="5"/>
  <c r="AO92" i="5" s="1"/>
  <c r="AB166" i="5"/>
  <c r="AW166" i="5" s="1"/>
  <c r="AQ208" i="5"/>
  <c r="BA208" i="5" s="1"/>
  <c r="AQ164" i="5"/>
  <c r="BA164" i="5" s="1"/>
  <c r="AZ168" i="5"/>
  <c r="AZ195" i="5"/>
  <c r="AZ194" i="5"/>
  <c r="AQ189" i="5"/>
  <c r="BA189" i="5" s="1"/>
  <c r="AB100" i="5"/>
  <c r="AW100" i="5" s="1"/>
  <c r="AZ86" i="5"/>
  <c r="Z117" i="5"/>
  <c r="AA117" i="5" s="1"/>
  <c r="AQ96" i="5"/>
  <c r="BA96" i="5" s="1"/>
  <c r="AQ81" i="5"/>
  <c r="BA81" i="5" s="1"/>
  <c r="AZ103" i="5"/>
  <c r="AQ71" i="5"/>
  <c r="BA71" i="5" s="1"/>
  <c r="Z125" i="5"/>
  <c r="AA125" i="5" s="1"/>
  <c r="AZ42" i="5"/>
  <c r="AL7" i="5"/>
  <c r="AB36" i="5"/>
  <c r="AO36" i="5" s="1"/>
  <c r="Z16" i="5"/>
  <c r="AA16" i="5" s="1"/>
  <c r="AQ37" i="5"/>
  <c r="BA37" i="5" s="1"/>
  <c r="AJ24" i="5"/>
  <c r="AQ38" i="5"/>
  <c r="BA38" i="5" s="1"/>
  <c r="BP180" i="5"/>
  <c r="BN180" i="5"/>
  <c r="BP219" i="5"/>
  <c r="BN219" i="5"/>
  <c r="AB177" i="5"/>
  <c r="Z177" i="5"/>
  <c r="AA177" i="5" s="1"/>
  <c r="Z163" i="5"/>
  <c r="AA163" i="5" s="1"/>
  <c r="AH163" i="5"/>
  <c r="AI163" i="5" s="1"/>
  <c r="AD163" i="5" s="1"/>
  <c r="AL104" i="5"/>
  <c r="U104" i="5"/>
  <c r="AB138" i="5"/>
  <c r="AW138" i="5" s="1"/>
  <c r="AQ138" i="5"/>
  <c r="BA138" i="5" s="1"/>
  <c r="BP79" i="5"/>
  <c r="BN79" i="5"/>
  <c r="Z2" i="5"/>
  <c r="AA2" i="5" s="1"/>
  <c r="AB2" i="5"/>
  <c r="AW2" i="5" s="1"/>
  <c r="AD9" i="5"/>
  <c r="AJ9" i="5"/>
  <c r="AB196" i="5"/>
  <c r="AW196" i="5" s="1"/>
  <c r="BN176" i="5"/>
  <c r="Z160" i="5"/>
  <c r="AA160" i="5" s="1"/>
  <c r="AB152" i="5"/>
  <c r="AW152" i="5" s="1"/>
  <c r="Z119" i="5"/>
  <c r="AA119" i="5" s="1"/>
  <c r="AH72" i="5"/>
  <c r="AI72" i="5" s="1"/>
  <c r="AD72" i="5" s="1"/>
  <c r="AL127" i="5"/>
  <c r="AQ186" i="5"/>
  <c r="BA186" i="5" s="1"/>
  <c r="AQ183" i="5"/>
  <c r="BA183" i="5" s="1"/>
  <c r="AQ104" i="5"/>
  <c r="BA104" i="5" s="1"/>
  <c r="Z222" i="5"/>
  <c r="AA222" i="5" s="1"/>
  <c r="AQ151" i="5"/>
  <c r="BA151" i="5" s="1"/>
  <c r="AQ132" i="5"/>
  <c r="BA132" i="5" s="1"/>
  <c r="AZ125" i="5"/>
  <c r="AB218" i="5"/>
  <c r="AW218" i="5" s="1"/>
  <c r="AQ95" i="5"/>
  <c r="BA95" i="5" s="1"/>
  <c r="AL141" i="5"/>
  <c r="AQ98" i="5"/>
  <c r="BA98" i="5" s="1"/>
  <c r="Z59" i="5"/>
  <c r="AA59" i="5" s="1"/>
  <c r="AL76" i="5"/>
  <c r="AL67" i="5"/>
  <c r="AL105" i="5"/>
  <c r="AQ28" i="5"/>
  <c r="BA28" i="5" s="1"/>
  <c r="AL21" i="5"/>
  <c r="AQ16" i="5"/>
  <c r="BA16" i="5" s="1"/>
  <c r="AQ32" i="5"/>
  <c r="BA32" i="5" s="1"/>
  <c r="AB32" i="5"/>
  <c r="AW32" i="5" s="1"/>
  <c r="AL39" i="5"/>
  <c r="AL8" i="5"/>
  <c r="AL37" i="5"/>
  <c r="AL13" i="5"/>
  <c r="AL66" i="5"/>
  <c r="Z34" i="5"/>
  <c r="AA34" i="5" s="1"/>
  <c r="AZ13" i="5"/>
  <c r="W158" i="5"/>
  <c r="Z158" i="5" s="1"/>
  <c r="AA158" i="5" s="1"/>
  <c r="AL158" i="5"/>
  <c r="BN134" i="5"/>
  <c r="BP134" i="5"/>
  <c r="AB45" i="5"/>
  <c r="AW45" i="5" s="1"/>
  <c r="AQ45" i="5"/>
  <c r="BA45" i="5" s="1"/>
  <c r="Z45" i="5"/>
  <c r="AA45" i="5" s="1"/>
  <c r="AD45" i="5"/>
  <c r="AJ45" i="5"/>
  <c r="AL60" i="5"/>
  <c r="U60" i="5"/>
  <c r="AQ8" i="5"/>
  <c r="BA8" i="5" s="1"/>
  <c r="Z8" i="5"/>
  <c r="AA8" i="5" s="1"/>
  <c r="AQ188" i="5"/>
  <c r="BA188" i="5" s="1"/>
  <c r="BP153" i="5"/>
  <c r="BN170" i="5"/>
  <c r="BP13" i="5"/>
  <c r="AD191" i="5"/>
  <c r="BN185" i="5"/>
  <c r="BP185" i="5"/>
  <c r="AB186" i="5"/>
  <c r="AW186" i="5" s="1"/>
  <c r="Z186" i="5"/>
  <c r="AA186" i="5" s="1"/>
  <c r="AZ182" i="5"/>
  <c r="Z150" i="5"/>
  <c r="AA150" i="5" s="1"/>
  <c r="U84" i="5"/>
  <c r="AL84" i="5"/>
  <c r="AQ131" i="5"/>
  <c r="BA131" i="5" s="1"/>
  <c r="Z96" i="5"/>
  <c r="AA96" i="5" s="1"/>
  <c r="AL58" i="5"/>
  <c r="BN43" i="5"/>
  <c r="BP43" i="5"/>
  <c r="AJ35" i="5"/>
  <c r="AB40" i="5"/>
  <c r="AW40" i="5" s="1"/>
  <c r="Z28" i="5"/>
  <c r="AA28" i="5" s="1"/>
  <c r="AQ34" i="5"/>
  <c r="BA34" i="5" s="1"/>
  <c r="Z151" i="5"/>
  <c r="AA151" i="5" s="1"/>
  <c r="Z104" i="5"/>
  <c r="AA104" i="5" s="1"/>
  <c r="AB104" i="5"/>
  <c r="AO104" i="5" s="1"/>
  <c r="U156" i="5"/>
  <c r="AL156" i="5"/>
  <c r="AB44" i="5"/>
  <c r="AW44" i="5" s="1"/>
  <c r="AH44" i="5"/>
  <c r="AI44" i="5" s="1"/>
  <c r="AJ44" i="5" s="1"/>
  <c r="U216" i="5"/>
  <c r="AJ191" i="5"/>
  <c r="AL177" i="5"/>
  <c r="AJ158" i="5"/>
  <c r="AB157" i="5"/>
  <c r="AO157" i="5" s="1"/>
  <c r="AH183" i="5"/>
  <c r="AI183" i="5" s="1"/>
  <c r="AD183" i="5" s="1"/>
  <c r="BN116" i="5"/>
  <c r="AB56" i="5"/>
  <c r="AW56" i="5" s="1"/>
  <c r="Z24" i="5"/>
  <c r="AA24" i="5" s="1"/>
  <c r="AJ13" i="5"/>
  <c r="AJ36" i="5"/>
  <c r="BN215" i="5"/>
  <c r="BP215" i="5"/>
  <c r="U223" i="5"/>
  <c r="AL223" i="5"/>
  <c r="Z194" i="5"/>
  <c r="AA194" i="5" s="1"/>
  <c r="AB139" i="5"/>
  <c r="AW139" i="5" s="1"/>
  <c r="AQ209" i="5"/>
  <c r="BA209" i="5" s="1"/>
  <c r="U168" i="5"/>
  <c r="AL168" i="5"/>
  <c r="AB74" i="5"/>
  <c r="AO74" i="5" s="1"/>
  <c r="AQ74" i="5"/>
  <c r="BA74" i="5" s="1"/>
  <c r="Z30" i="5"/>
  <c r="AA30" i="5" s="1"/>
  <c r="AD38" i="5"/>
  <c r="AJ38" i="5"/>
  <c r="AB24" i="5"/>
  <c r="AW24" i="5" s="1"/>
  <c r="AJ40" i="5"/>
  <c r="U193" i="5"/>
  <c r="AQ166" i="5"/>
  <c r="BA166" i="5" s="1"/>
  <c r="AH175" i="5"/>
  <c r="AI175" i="5" s="1"/>
  <c r="AJ175" i="5" s="1"/>
  <c r="Z138" i="5"/>
  <c r="AA138" i="5" s="1"/>
  <c r="AH157" i="5"/>
  <c r="AI157" i="5" s="1"/>
  <c r="AD157" i="5" s="1"/>
  <c r="AJ143" i="5"/>
  <c r="BN110" i="5"/>
  <c r="U67" i="5"/>
  <c r="AB53" i="5"/>
  <c r="AO53" i="5" s="1"/>
  <c r="Z23" i="5"/>
  <c r="AA23" i="5" s="1"/>
  <c r="AB195" i="5"/>
  <c r="AO195" i="5" s="1"/>
  <c r="AR195" i="5" s="1"/>
  <c r="AS195" i="5" s="1"/>
  <c r="AJ156" i="5"/>
  <c r="AB191" i="5"/>
  <c r="AO191" i="5" s="1"/>
  <c r="AQ191" i="5"/>
  <c r="BA191" i="5" s="1"/>
  <c r="AL128" i="5"/>
  <c r="AB114" i="5"/>
  <c r="AO114" i="5" s="1"/>
  <c r="Z114" i="5"/>
  <c r="AA114" i="5" s="1"/>
  <c r="AB106" i="5"/>
  <c r="AO106" i="5" s="1"/>
  <c r="AB78" i="5"/>
  <c r="AO78" i="5" s="1"/>
  <c r="BN83" i="5"/>
  <c r="BP83" i="5"/>
  <c r="AZ66" i="5"/>
  <c r="Z115" i="5"/>
  <c r="AA115" i="5" s="1"/>
  <c r="AQ115" i="5"/>
  <c r="BA115" i="5" s="1"/>
  <c r="AB115" i="5"/>
  <c r="AW115" i="5" s="1"/>
  <c r="AB54" i="5"/>
  <c r="AW54" i="5" s="1"/>
  <c r="Z60" i="5"/>
  <c r="AA60" i="5" s="1"/>
  <c r="AB23" i="5"/>
  <c r="AW23" i="5" s="1"/>
  <c r="Z9" i="5"/>
  <c r="AA9" i="5" s="1"/>
  <c r="AQ9" i="5"/>
  <c r="BA9" i="5" s="1"/>
  <c r="BP22" i="5"/>
  <c r="BN22" i="5"/>
  <c r="AQ13" i="5"/>
  <c r="BA13" i="5" s="1"/>
  <c r="AB13" i="5"/>
  <c r="AO13" i="5" s="1"/>
  <c r="AQ3" i="5"/>
  <c r="BA3" i="5" s="1"/>
  <c r="BP23" i="5"/>
  <c r="BN23" i="5"/>
  <c r="AL51" i="5"/>
  <c r="Z86" i="5"/>
  <c r="AA86" i="5" s="1"/>
  <c r="AQ222" i="5"/>
  <c r="BA222" i="5" s="1"/>
  <c r="AB224" i="5"/>
  <c r="AO224" i="5" s="1"/>
  <c r="BP222" i="5"/>
  <c r="BP197" i="5"/>
  <c r="Z171" i="5"/>
  <c r="AA171" i="5" s="1"/>
  <c r="AQ141" i="5"/>
  <c r="BA141" i="5" s="1"/>
  <c r="AL152" i="5"/>
  <c r="BN16" i="5"/>
  <c r="U10" i="5"/>
  <c r="AZ210" i="5"/>
  <c r="AQ196" i="5"/>
  <c r="BA196" i="5" s="1"/>
  <c r="Z154" i="5"/>
  <c r="AA154" i="5" s="1"/>
  <c r="AB146" i="5"/>
  <c r="AW146" i="5" s="1"/>
  <c r="AQ146" i="5"/>
  <c r="BA146" i="5" s="1"/>
  <c r="U163" i="5"/>
  <c r="AL163" i="5"/>
  <c r="AL151" i="5"/>
  <c r="AB67" i="5"/>
  <c r="AW67" i="5" s="1"/>
  <c r="AL55" i="5"/>
  <c r="AB43" i="5"/>
  <c r="AW43" i="5" s="1"/>
  <c r="Z43" i="5"/>
  <c r="AA43" i="5" s="1"/>
  <c r="AQ35" i="5"/>
  <c r="BA35" i="5" s="1"/>
  <c r="AB35" i="5"/>
  <c r="AO35" i="5" s="1"/>
  <c r="U4" i="5"/>
  <c r="AL4" i="5"/>
  <c r="AQ161" i="5"/>
  <c r="BA161" i="5" s="1"/>
  <c r="Z178" i="5"/>
  <c r="AA178" i="5" s="1"/>
  <c r="AB178" i="5"/>
  <c r="AO178" i="5" s="1"/>
  <c r="U51" i="5"/>
  <c r="AJ177" i="5"/>
  <c r="AD177" i="5"/>
  <c r="U111" i="5"/>
  <c r="AL111" i="5"/>
  <c r="AB85" i="5"/>
  <c r="AO85" i="5" s="1"/>
  <c r="AR85" i="5" s="1"/>
  <c r="AS85" i="5" s="1"/>
  <c r="Z36" i="5"/>
  <c r="AA36" i="5" s="1"/>
  <c r="BN189" i="5"/>
  <c r="BN148" i="5"/>
  <c r="BN178" i="5"/>
  <c r="AL138" i="5"/>
  <c r="Z175" i="5"/>
  <c r="AA175" i="5" s="1"/>
  <c r="AQ139" i="5"/>
  <c r="BA139" i="5" s="1"/>
  <c r="AB95" i="5"/>
  <c r="AO95" i="5" s="1"/>
  <c r="Z102" i="5"/>
  <c r="AA102" i="5" s="1"/>
  <c r="AB63" i="5"/>
  <c r="AW63" i="5" s="1"/>
  <c r="BN46" i="5"/>
  <c r="AJ2" i="5"/>
  <c r="Z5" i="5"/>
  <c r="AA5" i="5" s="1"/>
  <c r="U141" i="5"/>
  <c r="BN41" i="5"/>
  <c r="AL208" i="5"/>
  <c r="AQ177" i="5"/>
  <c r="BA177" i="5" s="1"/>
  <c r="BP138" i="5"/>
  <c r="AB179" i="5"/>
  <c r="AO179" i="5" s="1"/>
  <c r="Z179" i="5"/>
  <c r="AA179" i="5" s="1"/>
  <c r="AB163" i="5"/>
  <c r="AW163" i="5" s="1"/>
  <c r="W52" i="5"/>
  <c r="Z52" i="5" s="1"/>
  <c r="AA52" i="5" s="1"/>
  <c r="AL52" i="5"/>
  <c r="BP143" i="5"/>
  <c r="BN143" i="5"/>
  <c r="AL211" i="5"/>
  <c r="Z212" i="5"/>
  <c r="AA212" i="5" s="1"/>
  <c r="AL185" i="5"/>
  <c r="U173" i="5"/>
  <c r="AL167" i="5"/>
  <c r="AD156" i="5"/>
  <c r="AD35" i="5"/>
  <c r="AQ160" i="5"/>
  <c r="BA160" i="5" s="1"/>
  <c r="Z145" i="5"/>
  <c r="AA145" i="5" s="1"/>
  <c r="AD23" i="5"/>
  <c r="U208" i="5"/>
  <c r="AL182" i="5"/>
  <c r="AL197" i="5"/>
  <c r="AQ155" i="5"/>
  <c r="BA155" i="5" s="1"/>
  <c r="AQ72" i="5"/>
  <c r="BA72" i="5" s="1"/>
  <c r="AL35" i="5"/>
  <c r="AB8" i="5"/>
  <c r="AW8" i="5" s="1"/>
  <c r="AB9" i="5"/>
  <c r="AW9" i="5" s="1"/>
  <c r="AL150" i="5"/>
  <c r="AL154" i="5"/>
  <c r="AZ201" i="5"/>
  <c r="AZ187" i="5"/>
  <c r="AZ203" i="5"/>
  <c r="AJ187" i="5"/>
  <c r="AQ207" i="5"/>
  <c r="BA207" i="5" s="1"/>
  <c r="AZ179" i="5"/>
  <c r="AZ190" i="5"/>
  <c r="AL176" i="5"/>
  <c r="Z133" i="5"/>
  <c r="AA133" i="5" s="1"/>
  <c r="AQ165" i="5"/>
  <c r="BA165" i="5" s="1"/>
  <c r="AB137" i="5"/>
  <c r="AW137" i="5" s="1"/>
  <c r="AQ126" i="5"/>
  <c r="BA126" i="5" s="1"/>
  <c r="AQ211" i="5"/>
  <c r="BA211" i="5" s="1"/>
  <c r="AD173" i="5"/>
  <c r="AZ186" i="5"/>
  <c r="AZ128" i="5"/>
  <c r="AL219" i="5"/>
  <c r="Z153" i="5"/>
  <c r="AA153" i="5" s="1"/>
  <c r="Z196" i="5"/>
  <c r="AA196" i="5" s="1"/>
  <c r="Z131" i="5"/>
  <c r="AA131" i="5" s="1"/>
  <c r="AQ184" i="5"/>
  <c r="BA184" i="5" s="1"/>
  <c r="AL162" i="5"/>
  <c r="AL99" i="5"/>
  <c r="AL79" i="5"/>
  <c r="AL153" i="5"/>
  <c r="AQ163" i="5"/>
  <c r="BA163" i="5" s="1"/>
  <c r="AQ112" i="5"/>
  <c r="BA112" i="5" s="1"/>
  <c r="Z142" i="5"/>
  <c r="AA142" i="5" s="1"/>
  <c r="AZ102" i="5"/>
  <c r="AZ113" i="5"/>
  <c r="AZ87" i="5"/>
  <c r="AZ56" i="5"/>
  <c r="AZ68" i="5"/>
  <c r="AQ176" i="5"/>
  <c r="BA176" i="5" s="1"/>
  <c r="AB99" i="5"/>
  <c r="AO99" i="5" s="1"/>
  <c r="AZ70" i="5"/>
  <c r="AQ92" i="5"/>
  <c r="BA92" i="5" s="1"/>
  <c r="Z80" i="5"/>
  <c r="AA80" i="5" s="1"/>
  <c r="AZ18" i="5"/>
  <c r="AZ5" i="5"/>
  <c r="AZ129" i="5"/>
  <c r="AZ64" i="5"/>
  <c r="AQ31" i="5"/>
  <c r="BA31" i="5" s="1"/>
  <c r="AQ15" i="5"/>
  <c r="BA15" i="5" s="1"/>
  <c r="AZ25" i="5"/>
  <c r="AZ19" i="5"/>
  <c r="AQ6" i="5"/>
  <c r="BA6" i="5" s="1"/>
  <c r="AQ33" i="5"/>
  <c r="BA33" i="5" s="1"/>
  <c r="AL24" i="5"/>
  <c r="AL225" i="5"/>
  <c r="AZ149" i="5"/>
  <c r="Z190" i="5"/>
  <c r="AA190" i="5" s="1"/>
  <c r="AZ162" i="5"/>
  <c r="AL212" i="5"/>
  <c r="Z224" i="5"/>
  <c r="AA224" i="5" s="1"/>
  <c r="Z216" i="5"/>
  <c r="AA216" i="5" s="1"/>
  <c r="AQ172" i="5"/>
  <c r="BA172" i="5" s="1"/>
  <c r="AZ197" i="5"/>
  <c r="Z139" i="5"/>
  <c r="AA139" i="5" s="1"/>
  <c r="AZ110" i="5"/>
  <c r="AZ137" i="5"/>
  <c r="AQ123" i="5"/>
  <c r="BA123" i="5" s="1"/>
  <c r="AQ195" i="5"/>
  <c r="BA195" i="5" s="1"/>
  <c r="Z113" i="5"/>
  <c r="AA113" i="5" s="1"/>
  <c r="AQ205" i="5"/>
  <c r="BA205" i="5" s="1"/>
  <c r="AL130" i="5"/>
  <c r="AZ98" i="5"/>
  <c r="Z53" i="5"/>
  <c r="AA53" i="5" s="1"/>
  <c r="AJ167" i="5"/>
  <c r="AL145" i="5"/>
  <c r="AB94" i="5"/>
  <c r="AW94" i="5" s="1"/>
  <c r="AZ91" i="5"/>
  <c r="AZ145" i="5"/>
  <c r="AZ100" i="5"/>
  <c r="AB4" i="5"/>
  <c r="AW4" i="5" s="1"/>
  <c r="AZ37" i="5"/>
  <c r="AZ55" i="5"/>
  <c r="AZ26" i="5"/>
  <c r="AQ100" i="5"/>
  <c r="BA100" i="5" s="1"/>
  <c r="AQ41" i="5"/>
  <c r="BA41" i="5" s="1"/>
  <c r="AB3" i="5"/>
  <c r="AW3" i="5" s="1"/>
  <c r="AQ17" i="5"/>
  <c r="BA17" i="5" s="1"/>
  <c r="AJ217" i="5"/>
  <c r="AL161" i="5"/>
  <c r="AB197" i="5"/>
  <c r="AW197" i="5" s="1"/>
  <c r="AZ152" i="5"/>
  <c r="AQ168" i="5"/>
  <c r="BA168" i="5" s="1"/>
  <c r="AZ153" i="5"/>
  <c r="AL191" i="5"/>
  <c r="AZ121" i="5"/>
  <c r="AQ106" i="5"/>
  <c r="BA106" i="5" s="1"/>
  <c r="AL108" i="5"/>
  <c r="AZ167" i="5"/>
  <c r="AZ139" i="5"/>
  <c r="AQ143" i="5"/>
  <c r="BA143" i="5" s="1"/>
  <c r="Z112" i="5"/>
  <c r="AA112" i="5" s="1"/>
  <c r="AZ141" i="5"/>
  <c r="AQ90" i="5"/>
  <c r="BA90" i="5" s="1"/>
  <c r="AZ60" i="5"/>
  <c r="AZ99" i="5"/>
  <c r="AZ84" i="5"/>
  <c r="AD97" i="5"/>
  <c r="AQ169" i="5"/>
  <c r="BA169" i="5" s="1"/>
  <c r="AQ82" i="5"/>
  <c r="BA82" i="5" s="1"/>
  <c r="AZ78" i="5"/>
  <c r="AZ31" i="5"/>
  <c r="Z111" i="5"/>
  <c r="AA111" i="5" s="1"/>
  <c r="Z219" i="5"/>
  <c r="AA219" i="5" s="1"/>
  <c r="AB219" i="5"/>
  <c r="AW219" i="5" s="1"/>
  <c r="AQ219" i="5"/>
  <c r="BA219" i="5" s="1"/>
  <c r="U199" i="5"/>
  <c r="AL199" i="5"/>
  <c r="AH214" i="5"/>
  <c r="AI214" i="5" s="1"/>
  <c r="AD214" i="5" s="1"/>
  <c r="Z214" i="5"/>
  <c r="AA214" i="5" s="1"/>
  <c r="AB214" i="5"/>
  <c r="AW214" i="5" s="1"/>
  <c r="AQ214" i="5"/>
  <c r="BA214" i="5" s="1"/>
  <c r="AB108" i="5"/>
  <c r="AO108" i="5" s="1"/>
  <c r="Z108" i="5"/>
  <c r="AA108" i="5" s="1"/>
  <c r="AQ108" i="5"/>
  <c r="BA108" i="5" s="1"/>
  <c r="W166" i="5"/>
  <c r="Z166" i="5" s="1"/>
  <c r="AA166" i="5" s="1"/>
  <c r="AL166" i="5"/>
  <c r="AB107" i="5"/>
  <c r="AO107" i="5" s="1"/>
  <c r="Z107" i="5"/>
  <c r="AA107" i="5" s="1"/>
  <c r="AZ114" i="5"/>
  <c r="W85" i="5"/>
  <c r="Z85" i="5" s="1"/>
  <c r="AA85" i="5" s="1"/>
  <c r="AL85" i="5"/>
  <c r="AJ170" i="5"/>
  <c r="AD170" i="5"/>
  <c r="AQ50" i="5"/>
  <c r="BA50" i="5" s="1"/>
  <c r="Z50" i="5"/>
  <c r="AA50" i="5" s="1"/>
  <c r="U50" i="5"/>
  <c r="AL50" i="5"/>
  <c r="Z116" i="5"/>
  <c r="AA116" i="5" s="1"/>
  <c r="AQ116" i="5"/>
  <c r="BA116" i="5" s="1"/>
  <c r="AH116" i="5"/>
  <c r="AI116" i="5" s="1"/>
  <c r="AD116" i="5" s="1"/>
  <c r="AB116" i="5"/>
  <c r="AO116" i="5" s="1"/>
  <c r="W95" i="5"/>
  <c r="Z95" i="5" s="1"/>
  <c r="AA95" i="5" s="1"/>
  <c r="AD95" i="5"/>
  <c r="AJ95" i="5"/>
  <c r="AL95" i="5"/>
  <c r="W92" i="5"/>
  <c r="Z92" i="5" s="1"/>
  <c r="AA92" i="5" s="1"/>
  <c r="AJ92" i="5"/>
  <c r="AD92" i="5"/>
  <c r="AL47" i="5"/>
  <c r="U47" i="5"/>
  <c r="AB58" i="5"/>
  <c r="AO58" i="5" s="1"/>
  <c r="Z58" i="5"/>
  <c r="AA58" i="5" s="1"/>
  <c r="AQ58" i="5"/>
  <c r="BA58" i="5" s="1"/>
  <c r="AQ217" i="5"/>
  <c r="BA217" i="5" s="1"/>
  <c r="AB217" i="5"/>
  <c r="AW217" i="5" s="1"/>
  <c r="W83" i="5"/>
  <c r="Z83" i="5" s="1"/>
  <c r="AA83" i="5" s="1"/>
  <c r="AL83" i="5"/>
  <c r="Z57" i="5"/>
  <c r="AA57" i="5" s="1"/>
  <c r="AQ57" i="5"/>
  <c r="BA57" i="5" s="1"/>
  <c r="W44" i="5"/>
  <c r="Z44" i="5" s="1"/>
  <c r="AA44" i="5" s="1"/>
  <c r="AL44" i="5"/>
  <c r="BP87" i="5"/>
  <c r="BN87" i="5"/>
  <c r="U6" i="5"/>
  <c r="AL6" i="5"/>
  <c r="AQ213" i="5"/>
  <c r="BA213" i="5" s="1"/>
  <c r="W169" i="5"/>
  <c r="Z169" i="5" s="1"/>
  <c r="AA169" i="5" s="1"/>
  <c r="AL169" i="5"/>
  <c r="BP158" i="5"/>
  <c r="BN158" i="5"/>
  <c r="AH223" i="5"/>
  <c r="AI223" i="5" s="1"/>
  <c r="AQ223" i="5"/>
  <c r="BA223" i="5" s="1"/>
  <c r="AB167" i="5"/>
  <c r="AO167" i="5" s="1"/>
  <c r="AQ167" i="5"/>
  <c r="BA167" i="5" s="1"/>
  <c r="W165" i="5"/>
  <c r="Z165" i="5" s="1"/>
  <c r="AA165" i="5" s="1"/>
  <c r="AL165" i="5"/>
  <c r="AB147" i="5"/>
  <c r="AO147" i="5" s="1"/>
  <c r="AQ147" i="5"/>
  <c r="BA147" i="5" s="1"/>
  <c r="Z147" i="5"/>
  <c r="AA147" i="5" s="1"/>
  <c r="AL132" i="5"/>
  <c r="U132" i="5"/>
  <c r="AZ118" i="5"/>
  <c r="BP164" i="5"/>
  <c r="BN164" i="5"/>
  <c r="AZ136" i="5"/>
  <c r="AL125" i="5"/>
  <c r="U125" i="5"/>
  <c r="AL206" i="5"/>
  <c r="U206" i="5"/>
  <c r="W124" i="5"/>
  <c r="Z124" i="5" s="1"/>
  <c r="AA124" i="5" s="1"/>
  <c r="AL124" i="5"/>
  <c r="Z182" i="5"/>
  <c r="AA182" i="5" s="1"/>
  <c r="AB182" i="5"/>
  <c r="AO182" i="5" s="1"/>
  <c r="AQ140" i="5"/>
  <c r="BA140" i="5" s="1"/>
  <c r="Z140" i="5"/>
  <c r="AA140" i="5" s="1"/>
  <c r="Z149" i="5"/>
  <c r="AA149" i="5" s="1"/>
  <c r="AQ149" i="5"/>
  <c r="BA149" i="5" s="1"/>
  <c r="AB149" i="5"/>
  <c r="AW149" i="5" s="1"/>
  <c r="Z84" i="5"/>
  <c r="AA84" i="5" s="1"/>
  <c r="Z79" i="5"/>
  <c r="AA79" i="5" s="1"/>
  <c r="Z215" i="5"/>
  <c r="AA215" i="5" s="1"/>
  <c r="U190" i="5"/>
  <c r="AL190" i="5"/>
  <c r="AH110" i="5"/>
  <c r="AI110" i="5" s="1"/>
  <c r="AD110" i="5" s="1"/>
  <c r="AB110" i="5"/>
  <c r="AW110" i="5" s="1"/>
  <c r="AQ133" i="5"/>
  <c r="BA133" i="5" s="1"/>
  <c r="W69" i="5"/>
  <c r="Z69" i="5" s="1"/>
  <c r="AA69" i="5" s="1"/>
  <c r="AL69" i="5"/>
  <c r="AQ153" i="5"/>
  <c r="BA153" i="5" s="1"/>
  <c r="Z75" i="5"/>
  <c r="AA75" i="5" s="1"/>
  <c r="AB75" i="5"/>
  <c r="AW75" i="5" s="1"/>
  <c r="AQ75" i="5"/>
  <c r="BA75" i="5" s="1"/>
  <c r="AH91" i="5"/>
  <c r="AI91" i="5" s="1"/>
  <c r="AD91" i="5" s="1"/>
  <c r="Z91" i="5"/>
  <c r="AA91" i="5" s="1"/>
  <c r="Z66" i="5"/>
  <c r="AA66" i="5" s="1"/>
  <c r="AQ66" i="5"/>
  <c r="BA66" i="5" s="1"/>
  <c r="AB66" i="5"/>
  <c r="AW66" i="5" s="1"/>
  <c r="W137" i="5"/>
  <c r="Z137" i="5" s="1"/>
  <c r="AA137" i="5" s="1"/>
  <c r="AJ137" i="5"/>
  <c r="AL137" i="5"/>
  <c r="AQ20" i="5"/>
  <c r="BA20" i="5" s="1"/>
  <c r="AB20" i="5"/>
  <c r="AW20" i="5" s="1"/>
  <c r="Z20" i="5"/>
  <c r="AA20" i="5" s="1"/>
  <c r="U30" i="5"/>
  <c r="AL30" i="5"/>
  <c r="W33" i="5"/>
  <c r="Z33" i="5" s="1"/>
  <c r="AA33" i="5" s="1"/>
  <c r="AL33" i="5"/>
  <c r="AJ140" i="5"/>
  <c r="AD140" i="5"/>
  <c r="AJ20" i="5"/>
  <c r="AD20" i="5"/>
  <c r="AB124" i="5"/>
  <c r="AO124" i="5" s="1"/>
  <c r="AH124" i="5"/>
  <c r="AI124" i="5" s="1"/>
  <c r="AJ124" i="5" s="1"/>
  <c r="AL18" i="5"/>
  <c r="U18" i="5"/>
  <c r="BP71" i="5"/>
  <c r="BN71" i="5"/>
  <c r="AL202" i="5"/>
  <c r="U202" i="5"/>
  <c r="U189" i="5"/>
  <c r="AL189" i="5"/>
  <c r="Z213" i="5"/>
  <c r="AA213" i="5" s="1"/>
  <c r="AJ193" i="5"/>
  <c r="AD137" i="5"/>
  <c r="AB183" i="5"/>
  <c r="AO183" i="5" s="1"/>
  <c r="BP33" i="5"/>
  <c r="BN33" i="5"/>
  <c r="AH204" i="5"/>
  <c r="AI204" i="5" s="1"/>
  <c r="AQ204" i="5"/>
  <c r="BA204" i="5" s="1"/>
  <c r="AB204" i="5"/>
  <c r="AO204" i="5" s="1"/>
  <c r="Z204" i="5"/>
  <c r="AA204" i="5" s="1"/>
  <c r="AH174" i="5"/>
  <c r="AI174" i="5" s="1"/>
  <c r="AB174" i="5"/>
  <c r="AW174" i="5" s="1"/>
  <c r="Z174" i="5"/>
  <c r="AA174" i="5" s="1"/>
  <c r="AQ174" i="5"/>
  <c r="BA174" i="5" s="1"/>
  <c r="AZ178" i="5"/>
  <c r="Z176" i="5"/>
  <c r="AA176" i="5" s="1"/>
  <c r="AH161" i="5"/>
  <c r="AI161" i="5" s="1"/>
  <c r="Z161" i="5"/>
  <c r="AA161" i="5" s="1"/>
  <c r="AZ164" i="5"/>
  <c r="AJ164" i="5"/>
  <c r="AD164" i="5"/>
  <c r="AQ130" i="5"/>
  <c r="BA130" i="5" s="1"/>
  <c r="AB130" i="5"/>
  <c r="AW130" i="5" s="1"/>
  <c r="Z130" i="5"/>
  <c r="AA130" i="5" s="1"/>
  <c r="AQ162" i="5"/>
  <c r="BA162" i="5" s="1"/>
  <c r="U135" i="5"/>
  <c r="AL135" i="5"/>
  <c r="W205" i="5"/>
  <c r="Z205" i="5" s="1"/>
  <c r="AA205" i="5" s="1"/>
  <c r="AL205" i="5"/>
  <c r="AH105" i="5"/>
  <c r="AI105" i="5" s="1"/>
  <c r="AB105" i="5"/>
  <c r="AO105" i="5" s="1"/>
  <c r="Z105" i="5"/>
  <c r="AA105" i="5" s="1"/>
  <c r="W181" i="5"/>
  <c r="Z181" i="5" s="1"/>
  <c r="AA181" i="5" s="1"/>
  <c r="AL181" i="5"/>
  <c r="AJ181" i="5"/>
  <c r="AB109" i="5"/>
  <c r="AO109" i="5" s="1"/>
  <c r="Z109" i="5"/>
  <c r="AA109" i="5" s="1"/>
  <c r="AQ109" i="5"/>
  <c r="BA109" i="5" s="1"/>
  <c r="AQ148" i="5"/>
  <c r="BA148" i="5" s="1"/>
  <c r="AB148" i="5"/>
  <c r="AO148" i="5" s="1"/>
  <c r="AB134" i="5"/>
  <c r="AO134" i="5" s="1"/>
  <c r="AQ134" i="5"/>
  <c r="BA134" i="5" s="1"/>
  <c r="Z134" i="5"/>
  <c r="AA134" i="5" s="1"/>
  <c r="W129" i="5"/>
  <c r="Z129" i="5" s="1"/>
  <c r="AA129" i="5" s="1"/>
  <c r="AL129" i="5"/>
  <c r="AQ97" i="5"/>
  <c r="BA97" i="5" s="1"/>
  <c r="AB97" i="5"/>
  <c r="AO97" i="5" s="1"/>
  <c r="Z97" i="5"/>
  <c r="AA97" i="5" s="1"/>
  <c r="AB52" i="5"/>
  <c r="AH52" i="5"/>
  <c r="AI52" i="5" s="1"/>
  <c r="AD52" i="5" s="1"/>
  <c r="AH165" i="5"/>
  <c r="AI165" i="5" s="1"/>
  <c r="AD165" i="5" s="1"/>
  <c r="U102" i="5"/>
  <c r="AL102" i="5"/>
  <c r="BP89" i="5"/>
  <c r="BN89" i="5"/>
  <c r="AL62" i="5"/>
  <c r="U62" i="5"/>
  <c r="AL48" i="5"/>
  <c r="U48" i="5"/>
  <c r="AQ101" i="5"/>
  <c r="BA101" i="5" s="1"/>
  <c r="AB101" i="5"/>
  <c r="AW101" i="5" s="1"/>
  <c r="AQ107" i="5"/>
  <c r="BA107" i="5" s="1"/>
  <c r="AL73" i="5"/>
  <c r="AJ102" i="5"/>
  <c r="AD102" i="5"/>
  <c r="Z144" i="5"/>
  <c r="AA144" i="5" s="1"/>
  <c r="AZ12" i="5"/>
  <c r="AL31" i="5"/>
  <c r="U224" i="5"/>
  <c r="AL224" i="5"/>
  <c r="AJ64" i="5"/>
  <c r="AD64" i="5"/>
  <c r="AB129" i="5"/>
  <c r="AW129" i="5" s="1"/>
  <c r="AQ64" i="5"/>
  <c r="BA64" i="5" s="1"/>
  <c r="AL215" i="5"/>
  <c r="AB142" i="5"/>
  <c r="AW142" i="5" s="1"/>
  <c r="AH107" i="5"/>
  <c r="AI107" i="5" s="1"/>
  <c r="AJ107" i="5" s="1"/>
  <c r="AQ47" i="5"/>
  <c r="BA47" i="5" s="1"/>
  <c r="AL142" i="5"/>
  <c r="Z221" i="5"/>
  <c r="AA221" i="5" s="1"/>
  <c r="AB221" i="5"/>
  <c r="AO221" i="5" s="1"/>
  <c r="AR221" i="5" s="1"/>
  <c r="AS221" i="5" s="1"/>
  <c r="BP188" i="5"/>
  <c r="BN188" i="5"/>
  <c r="AB173" i="5"/>
  <c r="AQ173" i="5"/>
  <c r="BA173" i="5" s="1"/>
  <c r="AZ202" i="5"/>
  <c r="AB172" i="5"/>
  <c r="AW172" i="5" s="1"/>
  <c r="AH172" i="5"/>
  <c r="AI172" i="5" s="1"/>
  <c r="AD172" i="5" s="1"/>
  <c r="AH162" i="5"/>
  <c r="AI162" i="5" s="1"/>
  <c r="AJ162" i="5" s="1"/>
  <c r="AB162" i="5"/>
  <c r="AW162" i="5" s="1"/>
  <c r="Z162" i="5"/>
  <c r="AA162" i="5" s="1"/>
  <c r="W195" i="5"/>
  <c r="Z195" i="5" s="1"/>
  <c r="AA195" i="5" s="1"/>
  <c r="AL195" i="5"/>
  <c r="AH150" i="5"/>
  <c r="AI150" i="5" s="1"/>
  <c r="AJ150" i="5" s="1"/>
  <c r="AB150" i="5"/>
  <c r="AO150" i="5" s="1"/>
  <c r="AQ150" i="5"/>
  <c r="BA150" i="5" s="1"/>
  <c r="AQ220" i="5"/>
  <c r="BA220" i="5" s="1"/>
  <c r="AB220" i="5"/>
  <c r="AW220" i="5" s="1"/>
  <c r="Z220" i="5"/>
  <c r="AA220" i="5" s="1"/>
  <c r="U204" i="5"/>
  <c r="AL204" i="5"/>
  <c r="W159" i="5"/>
  <c r="Z159" i="5" s="1"/>
  <c r="AA159" i="5" s="1"/>
  <c r="AD159" i="5"/>
  <c r="AL198" i="5"/>
  <c r="W148" i="5"/>
  <c r="Z148" i="5" s="1"/>
  <c r="AA148" i="5" s="1"/>
  <c r="AL148" i="5"/>
  <c r="AB185" i="5"/>
  <c r="AO185" i="5" s="1"/>
  <c r="AL143" i="5"/>
  <c r="U143" i="5"/>
  <c r="Z128" i="5"/>
  <c r="AA128" i="5" s="1"/>
  <c r="AQ128" i="5"/>
  <c r="BA128" i="5" s="1"/>
  <c r="AH211" i="5"/>
  <c r="AI211" i="5" s="1"/>
  <c r="AB211" i="5"/>
  <c r="Z211" i="5"/>
  <c r="AA211" i="5" s="1"/>
  <c r="AQ121" i="5"/>
  <c r="BA121" i="5" s="1"/>
  <c r="Z121" i="5"/>
  <c r="AA121" i="5" s="1"/>
  <c r="AB121" i="5"/>
  <c r="AO121" i="5" s="1"/>
  <c r="AL106" i="5"/>
  <c r="U106" i="5"/>
  <c r="AH136" i="5"/>
  <c r="AI136" i="5" s="1"/>
  <c r="AJ136" i="5" s="1"/>
  <c r="Z136" i="5"/>
  <c r="AA136" i="5" s="1"/>
  <c r="AH103" i="5"/>
  <c r="AI103" i="5" s="1"/>
  <c r="Z103" i="5"/>
  <c r="AA103" i="5" s="1"/>
  <c r="AB103" i="5"/>
  <c r="AW103" i="5" s="1"/>
  <c r="AQ119" i="5"/>
  <c r="BA119" i="5" s="1"/>
  <c r="AQ86" i="5"/>
  <c r="BA86" i="5" s="1"/>
  <c r="W183" i="5"/>
  <c r="Z183" i="5" s="1"/>
  <c r="AA183" i="5" s="1"/>
  <c r="AL183" i="5"/>
  <c r="AQ51" i="5"/>
  <c r="BA51" i="5" s="1"/>
  <c r="AB51" i="5"/>
  <c r="AW51" i="5" s="1"/>
  <c r="AB170" i="5"/>
  <c r="AW170" i="5" s="1"/>
  <c r="Z206" i="5"/>
  <c r="AA206" i="5" s="1"/>
  <c r="AQ206" i="5"/>
  <c r="BA206" i="5" s="1"/>
  <c r="AB206" i="5"/>
  <c r="AO206" i="5" s="1"/>
  <c r="W132" i="5"/>
  <c r="Z132" i="5" s="1"/>
  <c r="AA132" i="5" s="1"/>
  <c r="AJ132" i="5"/>
  <c r="AQ170" i="5"/>
  <c r="BA170" i="5" s="1"/>
  <c r="U59" i="5"/>
  <c r="AL59" i="5"/>
  <c r="W56" i="5"/>
  <c r="Z56" i="5" s="1"/>
  <c r="AA56" i="5" s="1"/>
  <c r="AL56" i="5"/>
  <c r="BP66" i="5"/>
  <c r="BN66" i="5"/>
  <c r="AQ46" i="5"/>
  <c r="BA46" i="5" s="1"/>
  <c r="AB46" i="5"/>
  <c r="AO46" i="5" s="1"/>
  <c r="U77" i="5"/>
  <c r="AL77" i="5"/>
  <c r="AQ29" i="5"/>
  <c r="BA29" i="5" s="1"/>
  <c r="AB29" i="5"/>
  <c r="AW29" i="5" s="1"/>
  <c r="Z29" i="5"/>
  <c r="AA29" i="5" s="1"/>
  <c r="AH42" i="5"/>
  <c r="AI42" i="5" s="1"/>
  <c r="AQ42" i="5"/>
  <c r="BA42" i="5" s="1"/>
  <c r="Z42" i="5"/>
  <c r="AA42" i="5" s="1"/>
  <c r="AH7" i="5"/>
  <c r="AI7" i="5" s="1"/>
  <c r="AJ7" i="5" s="1"/>
  <c r="AQ7" i="5"/>
  <c r="BA7" i="5" s="1"/>
  <c r="Z7" i="5"/>
  <c r="AA7" i="5" s="1"/>
  <c r="AD14" i="5"/>
  <c r="AJ14" i="5"/>
  <c r="AH11" i="5"/>
  <c r="AI11" i="5" s="1"/>
  <c r="AD11" i="5" s="1"/>
  <c r="AQ11" i="5"/>
  <c r="BA11" i="5" s="1"/>
  <c r="Z99" i="5"/>
  <c r="AA99" i="5" s="1"/>
  <c r="AL220" i="5"/>
  <c r="Z207" i="5"/>
  <c r="AA207" i="5" s="1"/>
  <c r="Z201" i="5"/>
  <c r="AA201" i="5" s="1"/>
  <c r="BN187" i="5"/>
  <c r="U174" i="5"/>
  <c r="AH151" i="5"/>
  <c r="AI151" i="5" s="1"/>
  <c r="AD151" i="5" s="1"/>
  <c r="AB176" i="5"/>
  <c r="AW176" i="5" s="1"/>
  <c r="AB84" i="5"/>
  <c r="AW84" i="5" s="1"/>
  <c r="U73" i="5"/>
  <c r="BP35" i="5"/>
  <c r="AQ14" i="5"/>
  <c r="BA14" i="5" s="1"/>
  <c r="AD31" i="5"/>
  <c r="AQ210" i="5"/>
  <c r="BA210" i="5" s="1"/>
  <c r="AB210" i="5"/>
  <c r="AW210" i="5" s="1"/>
  <c r="AH210" i="5"/>
  <c r="AI210" i="5" s="1"/>
  <c r="AJ210" i="5" s="1"/>
  <c r="Z210" i="5"/>
  <c r="AA210" i="5" s="1"/>
  <c r="AZ147" i="5"/>
  <c r="AL45" i="5"/>
  <c r="U45" i="5"/>
  <c r="W100" i="5"/>
  <c r="Z100" i="5" s="1"/>
  <c r="AA100" i="5" s="1"/>
  <c r="AD100" i="5"/>
  <c r="U98" i="5"/>
  <c r="AL98" i="5"/>
  <c r="AL222" i="5"/>
  <c r="AQ193" i="5"/>
  <c r="BA193" i="5" s="1"/>
  <c r="AJ173" i="5"/>
  <c r="Z172" i="5"/>
  <c r="AA172" i="5" s="1"/>
  <c r="AL175" i="5"/>
  <c r="AB57" i="5"/>
  <c r="AW57" i="5" s="1"/>
  <c r="Z10" i="5"/>
  <c r="AA10" i="5" s="1"/>
  <c r="AL28" i="5"/>
  <c r="AJ31" i="5"/>
  <c r="AQ190" i="5"/>
  <c r="BA190" i="5" s="1"/>
  <c r="AL2" i="5"/>
  <c r="U171" i="5"/>
  <c r="AL171" i="5"/>
  <c r="AH203" i="5"/>
  <c r="AI203" i="5" s="1"/>
  <c r="AB203" i="5"/>
  <c r="AO203" i="5" s="1"/>
  <c r="BP224" i="5"/>
  <c r="BN224" i="5"/>
  <c r="AQ102" i="5"/>
  <c r="BA102" i="5" s="1"/>
  <c r="W63" i="5"/>
  <c r="Z63" i="5" s="1"/>
  <c r="AA63" i="5" s="1"/>
  <c r="AJ63" i="5"/>
  <c r="AD63" i="5"/>
  <c r="AB122" i="5"/>
  <c r="AW122" i="5" s="1"/>
  <c r="Z122" i="5"/>
  <c r="AA122" i="5" s="1"/>
  <c r="AQ122" i="5"/>
  <c r="BA122" i="5" s="1"/>
  <c r="U96" i="5"/>
  <c r="AL96" i="5"/>
  <c r="AB6" i="5"/>
  <c r="AO6" i="5" s="1"/>
  <c r="Z6" i="5"/>
  <c r="AA6" i="5" s="1"/>
  <c r="AH6" i="5"/>
  <c r="AI6" i="5" s="1"/>
  <c r="AD6" i="5" s="1"/>
  <c r="AH30" i="5"/>
  <c r="AI30" i="5" s="1"/>
  <c r="AJ30" i="5" s="1"/>
  <c r="AQ30" i="5"/>
  <c r="BA30" i="5" s="1"/>
  <c r="AB136" i="5"/>
  <c r="AW136" i="5" s="1"/>
  <c r="AB151" i="5"/>
  <c r="AO151" i="5" s="1"/>
  <c r="AH133" i="5"/>
  <c r="AI133" i="5" s="1"/>
  <c r="AD133" i="5" s="1"/>
  <c r="AQ129" i="5"/>
  <c r="BA129" i="5" s="1"/>
  <c r="AB91" i="5"/>
  <c r="AW91" i="5" s="1"/>
  <c r="AQ203" i="5"/>
  <c r="BA203" i="5" s="1"/>
  <c r="AQ197" i="5"/>
  <c r="BA197" i="5" s="1"/>
  <c r="Z184" i="5"/>
  <c r="AA184" i="5" s="1"/>
  <c r="AQ91" i="5"/>
  <c r="BA91" i="5" s="1"/>
  <c r="AL93" i="5"/>
  <c r="AB190" i="5"/>
  <c r="AB213" i="5"/>
  <c r="AO213" i="5" s="1"/>
  <c r="AD215" i="5"/>
  <c r="U153" i="5"/>
  <c r="U201" i="5"/>
  <c r="AL201" i="5"/>
  <c r="AZ173" i="5"/>
  <c r="AL155" i="5"/>
  <c r="U123" i="5"/>
  <c r="AL123" i="5"/>
  <c r="AB70" i="5"/>
  <c r="AW70" i="5" s="1"/>
  <c r="AQ70" i="5"/>
  <c r="BA70" i="5" s="1"/>
  <c r="AQ39" i="5"/>
  <c r="BA39" i="5" s="1"/>
  <c r="AB39" i="5"/>
  <c r="AO39" i="5" s="1"/>
  <c r="Z39" i="5"/>
  <c r="AA39" i="5" s="1"/>
  <c r="AD187" i="5"/>
  <c r="Z173" i="5"/>
  <c r="AA173" i="5" s="1"/>
  <c r="AL107" i="5"/>
  <c r="AL54" i="5"/>
  <c r="AQ215" i="5"/>
  <c r="BA215" i="5" s="1"/>
  <c r="AB215" i="5"/>
  <c r="AO215" i="5" s="1"/>
  <c r="AQ99" i="5"/>
  <c r="BA99" i="5" s="1"/>
  <c r="W187" i="5"/>
  <c r="Z187" i="5" s="1"/>
  <c r="AA187" i="5" s="1"/>
  <c r="AL187" i="5"/>
  <c r="AH194" i="5"/>
  <c r="AI194" i="5" s="1"/>
  <c r="AB194" i="5"/>
  <c r="AW194" i="5" s="1"/>
  <c r="AL149" i="5"/>
  <c r="U149" i="5"/>
  <c r="AH180" i="5"/>
  <c r="AI180" i="5" s="1"/>
  <c r="AJ180" i="5" s="1"/>
  <c r="AQ180" i="5"/>
  <c r="BA180" i="5" s="1"/>
  <c r="AB180" i="5"/>
  <c r="AW180" i="5" s="1"/>
  <c r="AL74" i="5"/>
  <c r="U74" i="5"/>
  <c r="AL3" i="5"/>
  <c r="W3" i="5"/>
  <c r="Z3" i="5" s="1"/>
  <c r="AA3" i="5" s="1"/>
  <c r="AJ3" i="5"/>
  <c r="U40" i="5"/>
  <c r="AL40" i="5"/>
  <c r="AB27" i="5"/>
  <c r="AO27" i="5" s="1"/>
  <c r="Z27" i="5"/>
  <c r="AA27" i="5" s="1"/>
  <c r="Z197" i="5"/>
  <c r="AA197" i="5" s="1"/>
  <c r="Z223" i="5"/>
  <c r="AA223" i="5" s="1"/>
  <c r="AL196" i="5"/>
  <c r="Z167" i="5"/>
  <c r="AA167" i="5" s="1"/>
  <c r="AQ178" i="5"/>
  <c r="BA178" i="5" s="1"/>
  <c r="AB184" i="5"/>
  <c r="AO184" i="5" s="1"/>
  <c r="AB140" i="5"/>
  <c r="AW140" i="5" s="1"/>
  <c r="AH147" i="5"/>
  <c r="AI147" i="5" s="1"/>
  <c r="AJ147" i="5" s="1"/>
  <c r="BN142" i="5"/>
  <c r="BN225" i="5"/>
  <c r="U191" i="5"/>
  <c r="AB223" i="5"/>
  <c r="AO223" i="5" s="1"/>
  <c r="AQ182" i="5"/>
  <c r="BA182" i="5" s="1"/>
  <c r="AB153" i="5"/>
  <c r="AO153" i="5" s="1"/>
  <c r="AB128" i="5"/>
  <c r="AO128" i="5" s="1"/>
  <c r="AD193" i="5"/>
  <c r="AQ105" i="5"/>
  <c r="BA105" i="5" s="1"/>
  <c r="AZ49" i="5"/>
  <c r="AQ89" i="5"/>
  <c r="BA89" i="5" s="1"/>
  <c r="AB89" i="5"/>
  <c r="AO89" i="5" s="1"/>
  <c r="Z89" i="5"/>
  <c r="AA89" i="5" s="1"/>
  <c r="AH49" i="5"/>
  <c r="AI49" i="5" s="1"/>
  <c r="AQ49" i="5"/>
  <c r="BA49" i="5" s="1"/>
  <c r="Z49" i="5"/>
  <c r="AA49" i="5" s="1"/>
  <c r="AB47" i="5"/>
  <c r="AO47" i="5" s="1"/>
  <c r="Z47" i="5"/>
  <c r="AA47" i="5" s="1"/>
  <c r="AZ157" i="5"/>
  <c r="AZ74" i="5"/>
  <c r="AQ61" i="5"/>
  <c r="BA61" i="5" s="1"/>
  <c r="AB61" i="5"/>
  <c r="AW61" i="5" s="1"/>
  <c r="Z61" i="5"/>
  <c r="AA61" i="5" s="1"/>
  <c r="AL90" i="5"/>
  <c r="U90" i="5"/>
  <c r="W78" i="5"/>
  <c r="Z78" i="5" s="1"/>
  <c r="AA78" i="5" s="1"/>
  <c r="AJ78" i="5"/>
  <c r="AD78" i="5"/>
  <c r="AB64" i="5"/>
  <c r="AW64" i="5" s="1"/>
  <c r="W101" i="5"/>
  <c r="Z101" i="5" s="1"/>
  <c r="AA101" i="5" s="1"/>
  <c r="AD101" i="5"/>
  <c r="AJ101" i="5"/>
  <c r="W70" i="5"/>
  <c r="Z70" i="5" s="1"/>
  <c r="AA70" i="5" s="1"/>
  <c r="AJ70" i="5"/>
  <c r="AD70" i="5"/>
  <c r="BP139" i="5"/>
  <c r="BN139" i="5"/>
  <c r="AZ50" i="5"/>
  <c r="AQ69" i="5"/>
  <c r="BA69" i="5" s="1"/>
  <c r="AB69" i="5"/>
  <c r="AO69" i="5" s="1"/>
  <c r="AQ65" i="5"/>
  <c r="BA65" i="5" s="1"/>
  <c r="U126" i="5"/>
  <c r="AL126" i="5"/>
  <c r="AJ25" i="5"/>
  <c r="AD25" i="5"/>
  <c r="BP4" i="5"/>
  <c r="BN4" i="5"/>
  <c r="W14" i="5"/>
  <c r="Z14" i="5" s="1"/>
  <c r="AA14" i="5" s="1"/>
  <c r="AL14" i="5"/>
  <c r="AB22" i="5"/>
  <c r="Z22" i="5"/>
  <c r="AA22" i="5" s="1"/>
  <c r="AB26" i="5"/>
  <c r="AQ26" i="5"/>
  <c r="BA26" i="5" s="1"/>
  <c r="AQ18" i="5"/>
  <c r="BA18" i="5" s="1"/>
  <c r="Z18" i="5"/>
  <c r="AA18" i="5" s="1"/>
  <c r="AB18" i="5"/>
  <c r="AW18" i="5" s="1"/>
  <c r="W46" i="5"/>
  <c r="Z46" i="5" s="1"/>
  <c r="AA46" i="5" s="1"/>
  <c r="AL46" i="5"/>
  <c r="AZ53" i="5"/>
  <c r="AL80" i="5"/>
  <c r="AB68" i="5"/>
  <c r="AW68" i="5" s="1"/>
  <c r="AH68" i="5"/>
  <c r="AI68" i="5" s="1"/>
  <c r="AD68" i="5" s="1"/>
  <c r="AZ115" i="5"/>
  <c r="AL9" i="5"/>
  <c r="U9" i="5"/>
  <c r="BP32" i="5"/>
  <c r="BN32" i="5"/>
  <c r="W72" i="5"/>
  <c r="Z72" i="5" s="1"/>
  <c r="AA72" i="5" s="1"/>
  <c r="AL72" i="5"/>
  <c r="BP34" i="5"/>
  <c r="BN34" i="5"/>
  <c r="AH21" i="5"/>
  <c r="AI21" i="5" s="1"/>
  <c r="Z21" i="5"/>
  <c r="AA21" i="5" s="1"/>
  <c r="AB21" i="5"/>
  <c r="AO21" i="5" s="1"/>
  <c r="W25" i="5"/>
  <c r="Z25" i="5" s="1"/>
  <c r="AA25" i="5" s="1"/>
  <c r="AL25" i="5"/>
  <c r="AB10" i="5"/>
  <c r="AO10" i="5" s="1"/>
  <c r="AR10" i="5" s="1"/>
  <c r="AS10" i="5" s="1"/>
  <c r="AH93" i="5"/>
  <c r="AI93" i="5" s="1"/>
  <c r="AQ93" i="5"/>
  <c r="BA93" i="5" s="1"/>
  <c r="AB93" i="5"/>
  <c r="AW93" i="5" s="1"/>
  <c r="AJ220" i="5"/>
  <c r="AB198" i="5"/>
  <c r="AW198" i="5" s="1"/>
  <c r="Z141" i="5"/>
  <c r="AA141" i="5" s="1"/>
  <c r="AH94" i="5"/>
  <c r="AI94" i="5" s="1"/>
  <c r="AD94" i="5" s="1"/>
  <c r="AL61" i="5"/>
  <c r="U39" i="5"/>
  <c r="AH28" i="5"/>
  <c r="AI28" i="5" s="1"/>
  <c r="AJ28" i="5" s="1"/>
  <c r="AB28" i="5"/>
  <c r="AO28" i="5" s="1"/>
  <c r="AZ174" i="5"/>
  <c r="AL210" i="5"/>
  <c r="AD196" i="5"/>
  <c r="AZ163" i="5"/>
  <c r="AH199" i="5"/>
  <c r="AI199" i="5" s="1"/>
  <c r="AJ199" i="5" s="1"/>
  <c r="Z199" i="5"/>
  <c r="AA199" i="5" s="1"/>
  <c r="AB187" i="5"/>
  <c r="AB120" i="5"/>
  <c r="AO120" i="5" s="1"/>
  <c r="AQ120" i="5"/>
  <c r="BA120" i="5" s="1"/>
  <c r="AZ122" i="5"/>
  <c r="BN166" i="5"/>
  <c r="BP166" i="5"/>
  <c r="W120" i="5"/>
  <c r="Z120" i="5" s="1"/>
  <c r="AA120" i="5" s="1"/>
  <c r="AL120" i="5"/>
  <c r="AZ120" i="5"/>
  <c r="AZ219" i="5"/>
  <c r="AZ111" i="5"/>
  <c r="W82" i="5"/>
  <c r="Z82" i="5" s="1"/>
  <c r="AA82" i="5" s="1"/>
  <c r="AL82" i="5"/>
  <c r="Z48" i="5"/>
  <c r="AA48" i="5" s="1"/>
  <c r="AB48" i="5"/>
  <c r="AW48" i="5" s="1"/>
  <c r="AB76" i="5"/>
  <c r="AW76" i="5" s="1"/>
  <c r="AL103" i="5"/>
  <c r="AL89" i="5"/>
  <c r="U89" i="5"/>
  <c r="U70" i="5"/>
  <c r="AL70" i="5"/>
  <c r="Z55" i="5"/>
  <c r="AA55" i="5" s="1"/>
  <c r="AB55" i="5"/>
  <c r="AW55" i="5" s="1"/>
  <c r="AQ55" i="5"/>
  <c r="BA55" i="5" s="1"/>
  <c r="AQ110" i="5"/>
  <c r="BA110" i="5" s="1"/>
  <c r="AL63" i="5"/>
  <c r="U63" i="5"/>
  <c r="AL17" i="5"/>
  <c r="U17" i="5"/>
  <c r="AQ4" i="5"/>
  <c r="BA4" i="5" s="1"/>
  <c r="AL29" i="5"/>
  <c r="U29" i="5"/>
  <c r="W26" i="5"/>
  <c r="Z26" i="5" s="1"/>
  <c r="AA26" i="5" s="1"/>
  <c r="AL26" i="5"/>
  <c r="W40" i="5"/>
  <c r="Z40" i="5" s="1"/>
  <c r="AA40" i="5" s="1"/>
  <c r="AD40" i="5"/>
  <c r="Z15" i="5"/>
  <c r="AA15" i="5" s="1"/>
  <c r="AJ141" i="5"/>
  <c r="AD141" i="5"/>
  <c r="AQ124" i="5"/>
  <c r="BA124" i="5" s="1"/>
  <c r="AL100" i="5"/>
  <c r="U100" i="5"/>
  <c r="Z87" i="5"/>
  <c r="AA87" i="5" s="1"/>
  <c r="AQ87" i="5"/>
  <c r="AB135" i="5"/>
  <c r="AW135" i="5" s="1"/>
  <c r="Z135" i="5"/>
  <c r="AA135" i="5" s="1"/>
  <c r="AQ135" i="5"/>
  <c r="BA135" i="5" s="1"/>
  <c r="AH90" i="5"/>
  <c r="AI90" i="5" s="1"/>
  <c r="AB90" i="5"/>
  <c r="AW90" i="5" s="1"/>
  <c r="AH88" i="5"/>
  <c r="AI88" i="5" s="1"/>
  <c r="AD88" i="5" s="1"/>
  <c r="AB88" i="5"/>
  <c r="AW88" i="5" s="1"/>
  <c r="Z88" i="5"/>
  <c r="AA88" i="5" s="1"/>
  <c r="W68" i="5"/>
  <c r="Z68" i="5" s="1"/>
  <c r="AA68" i="5" s="1"/>
  <c r="AL68" i="5"/>
  <c r="AL136" i="5"/>
  <c r="U136" i="5"/>
  <c r="Z123" i="5"/>
  <c r="AA123" i="5" s="1"/>
  <c r="AB77" i="5"/>
  <c r="AW77" i="5" s="1"/>
  <c r="Z77" i="5"/>
  <c r="AA77" i="5" s="1"/>
  <c r="AQ77" i="5"/>
  <c r="BA77" i="5" s="1"/>
  <c r="AH65" i="5"/>
  <c r="AI65" i="5" s="1"/>
  <c r="AB65" i="5"/>
  <c r="AW65" i="5" s="1"/>
  <c r="U88" i="5"/>
  <c r="AL88" i="5"/>
  <c r="AB25" i="5"/>
  <c r="AW25" i="5" s="1"/>
  <c r="AQ25" i="5"/>
  <c r="BA25" i="5" s="1"/>
  <c r="Z32" i="5"/>
  <c r="AA32" i="5" s="1"/>
  <c r="Z19" i="5"/>
  <c r="AA19" i="5" s="1"/>
  <c r="AB19" i="5"/>
  <c r="AW19" i="5" s="1"/>
  <c r="U12" i="5"/>
  <c r="AL12" i="5"/>
  <c r="AL15" i="5"/>
  <c r="U15" i="5"/>
  <c r="AH81" i="5"/>
  <c r="AI81" i="5" s="1"/>
  <c r="AD81" i="5" s="1"/>
  <c r="AB81" i="5"/>
  <c r="AW81" i="5" s="1"/>
  <c r="Z12" i="5"/>
  <c r="AA12" i="5" s="1"/>
  <c r="AB12" i="5"/>
  <c r="AW12" i="5" s="1"/>
  <c r="Z17" i="5"/>
  <c r="AA17" i="5" s="1"/>
  <c r="AL144" i="5"/>
  <c r="Z218" i="5"/>
  <c r="AA218" i="5" s="1"/>
  <c r="AB205" i="5"/>
  <c r="AO205" i="5" s="1"/>
  <c r="AQ152" i="5"/>
  <c r="BA152" i="5" s="1"/>
  <c r="U130" i="5"/>
  <c r="AL86" i="5"/>
  <c r="AL87" i="5"/>
  <c r="AL109" i="5"/>
  <c r="AQ88" i="5"/>
  <c r="BA88" i="5" s="1"/>
  <c r="AQ76" i="5"/>
  <c r="BA76" i="5" s="1"/>
  <c r="AQ94" i="5"/>
  <c r="BA94" i="5" s="1"/>
  <c r="AQ22" i="5"/>
  <c r="BA22" i="5" s="1"/>
  <c r="AQ79" i="5"/>
  <c r="BA79" i="5" s="1"/>
  <c r="AB82" i="5"/>
  <c r="AO82" i="5" s="1"/>
  <c r="U66" i="5"/>
  <c r="BN56" i="5"/>
  <c r="AH4" i="5"/>
  <c r="AI4" i="5" s="1"/>
  <c r="AJ4" i="5" s="1"/>
  <c r="BN10" i="5"/>
  <c r="AQ21" i="5"/>
  <c r="BA21" i="5" s="1"/>
  <c r="AD219" i="5"/>
  <c r="AL207" i="5"/>
  <c r="AZ185" i="5"/>
  <c r="AH218" i="5"/>
  <c r="AI218" i="5" s="1"/>
  <c r="AD218" i="5" s="1"/>
  <c r="Z198" i="5"/>
  <c r="AA198" i="5" s="1"/>
  <c r="Z64" i="5"/>
  <c r="AA64" i="5" s="1"/>
  <c r="Z93" i="5"/>
  <c r="AA93" i="5" s="1"/>
  <c r="AQ68" i="5"/>
  <c r="BA68" i="5" s="1"/>
  <c r="AL41" i="5"/>
  <c r="AB59" i="5"/>
  <c r="AO59" i="5" s="1"/>
  <c r="AQ10" i="5"/>
  <c r="BA10" i="5" s="1"/>
  <c r="BN62" i="5"/>
  <c r="AB144" i="5"/>
  <c r="AO144" i="5" s="1"/>
  <c r="AQ84" i="5"/>
  <c r="BA84" i="5" s="1"/>
  <c r="AQ59" i="5"/>
  <c r="BA59" i="5" s="1"/>
  <c r="AL19" i="5"/>
  <c r="AL20" i="5"/>
  <c r="AL101" i="5"/>
  <c r="AL134" i="5"/>
  <c r="AL147" i="5"/>
  <c r="AL192" i="5"/>
  <c r="AB159" i="5"/>
  <c r="AO159" i="5" s="1"/>
  <c r="AQ159" i="5"/>
  <c r="BA159" i="5" s="1"/>
  <c r="AB123" i="5"/>
  <c r="AO123" i="5" s="1"/>
  <c r="U105" i="5"/>
  <c r="AQ85" i="5"/>
  <c r="BA85" i="5" s="1"/>
  <c r="AB31" i="5"/>
  <c r="AW31" i="5" s="1"/>
  <c r="AJ19" i="5"/>
  <c r="AL121" i="5"/>
  <c r="BP102" i="5"/>
  <c r="BN102" i="5"/>
  <c r="AJ219" i="5"/>
  <c r="AL209" i="5"/>
  <c r="AL146" i="5"/>
  <c r="AQ144" i="5"/>
  <c r="BA144" i="5" s="1"/>
  <c r="AZ134" i="5"/>
  <c r="AQ145" i="5"/>
  <c r="BA145" i="5" s="1"/>
  <c r="AZ106" i="5"/>
  <c r="AZ79" i="5"/>
  <c r="AZ73" i="5"/>
  <c r="AL194" i="5"/>
  <c r="AZ158" i="5"/>
  <c r="AZ140" i="5"/>
  <c r="AZ44" i="5"/>
  <c r="AZ20" i="5"/>
  <c r="AZ225" i="5"/>
  <c r="AZ94" i="5"/>
  <c r="Z94" i="5"/>
  <c r="AA94" i="5" s="1"/>
  <c r="AD168" i="5"/>
  <c r="Z203" i="5"/>
  <c r="AA203" i="5" s="1"/>
  <c r="AZ170" i="5"/>
  <c r="AQ154" i="5"/>
  <c r="BA154" i="5" s="1"/>
  <c r="AZ138" i="5"/>
  <c r="AZ109" i="5"/>
  <c r="AB164" i="5"/>
  <c r="AW164" i="5" s="1"/>
  <c r="AZ214" i="5"/>
  <c r="AZ51" i="5"/>
  <c r="Z81" i="5"/>
  <c r="AA81" i="5" s="1"/>
  <c r="AB168" i="5"/>
  <c r="AO168" i="5" s="1"/>
  <c r="AR168" i="5" s="1"/>
  <c r="AS168" i="5" s="1"/>
  <c r="AZ117" i="5"/>
  <c r="AZ132" i="5"/>
  <c r="AQ125" i="5"/>
  <c r="BA125" i="5" s="1"/>
  <c r="AZ93" i="5"/>
  <c r="AZ81" i="5"/>
  <c r="AB11" i="5"/>
  <c r="AO11" i="5" s="1"/>
  <c r="AZ7" i="5"/>
  <c r="AL94" i="5"/>
  <c r="AZ3" i="5"/>
  <c r="AQ5" i="5"/>
  <c r="BA5" i="5" s="1"/>
  <c r="AB7" i="5"/>
  <c r="AB38" i="5"/>
  <c r="AL5" i="5"/>
  <c r="AK142" i="5"/>
  <c r="AK97" i="5"/>
  <c r="AK217" i="5"/>
  <c r="AK200" i="5"/>
  <c r="AK219" i="5"/>
  <c r="AK101" i="5"/>
  <c r="AK205" i="5"/>
  <c r="AK215" i="5"/>
  <c r="AK155" i="5"/>
  <c r="AK187" i="5"/>
  <c r="AK137" i="5"/>
  <c r="AK166" i="5"/>
  <c r="AK220" i="5"/>
  <c r="AK196" i="5"/>
  <c r="AK139" i="5"/>
  <c r="AK46" i="5"/>
  <c r="AK158" i="5"/>
  <c r="AK13" i="5"/>
  <c r="AK53" i="5"/>
  <c r="AK43" i="5"/>
  <c r="AK31" i="5"/>
  <c r="AK134" i="5"/>
  <c r="AK119" i="5"/>
  <c r="AK129" i="5"/>
  <c r="AK87" i="5"/>
  <c r="AK176" i="5"/>
  <c r="AK184" i="5"/>
  <c r="AK92" i="5"/>
  <c r="AK69" i="5"/>
  <c r="AK75" i="5"/>
  <c r="AK159" i="5"/>
  <c r="AK57" i="5"/>
  <c r="AK38" i="5"/>
  <c r="AK41" i="5"/>
  <c r="AK186" i="5"/>
  <c r="AK86" i="5"/>
  <c r="AK177" i="5"/>
  <c r="AK148" i="5"/>
  <c r="AK114" i="5"/>
  <c r="AK27" i="5"/>
  <c r="AK8" i="5"/>
  <c r="AK5" i="5"/>
  <c r="AK164" i="5"/>
  <c r="AK26" i="5"/>
  <c r="AK20" i="5"/>
  <c r="AK138" i="5"/>
  <c r="AK14" i="5"/>
  <c r="AK22" i="5"/>
  <c r="AK61" i="5"/>
  <c r="AK56" i="5"/>
  <c r="AK35" i="5"/>
  <c r="AK95" i="5"/>
  <c r="AK83" i="5"/>
  <c r="AK55" i="5"/>
  <c r="AK23" i="5"/>
  <c r="AK127" i="5"/>
  <c r="AK115" i="5"/>
  <c r="AK78" i="5"/>
  <c r="AK19" i="5"/>
  <c r="AK24" i="5"/>
  <c r="BP27" i="5"/>
  <c r="BN27" i="5"/>
  <c r="BP74" i="5"/>
  <c r="BN74" i="5"/>
  <c r="BP99" i="5"/>
  <c r="BN99" i="5"/>
  <c r="AJ168" i="5"/>
  <c r="BN132" i="5"/>
  <c r="AB111" i="5"/>
  <c r="AO111" i="5" s="1"/>
  <c r="AH111" i="5"/>
  <c r="AI111" i="5" s="1"/>
  <c r="AJ111" i="5" s="1"/>
  <c r="AQ111" i="5"/>
  <c r="BA111" i="5" s="1"/>
  <c r="BL179" i="5"/>
  <c r="AQ179" i="5"/>
  <c r="BA179" i="5" s="1"/>
  <c r="BL184" i="5"/>
  <c r="BL156" i="5"/>
  <c r="W188" i="5"/>
  <c r="Z188" i="5" s="1"/>
  <c r="AA188" i="5" s="1"/>
  <c r="AL188" i="5"/>
  <c r="BL160" i="5"/>
  <c r="BL198" i="5"/>
  <c r="AQ137" i="5"/>
  <c r="BA137" i="5" s="1"/>
  <c r="Z110" i="5"/>
  <c r="AA110" i="5" s="1"/>
  <c r="BL216" i="5"/>
  <c r="AQ113" i="5"/>
  <c r="BA113" i="5" s="1"/>
  <c r="AZ221" i="5"/>
  <c r="AB79" i="5"/>
  <c r="AZ34" i="5"/>
  <c r="AZ212" i="5"/>
  <c r="Z76" i="5"/>
  <c r="AA76" i="5" s="1"/>
  <c r="AZ63" i="5"/>
  <c r="BP77" i="5"/>
  <c r="BN77" i="5"/>
  <c r="AB5" i="5"/>
  <c r="AW5" i="5" s="1"/>
  <c r="BP82" i="5"/>
  <c r="AQ221" i="5"/>
  <c r="BA221" i="5" s="1"/>
  <c r="Z4" i="5"/>
  <c r="AA4" i="5" s="1"/>
  <c r="AL91" i="5"/>
  <c r="AZ200" i="5"/>
  <c r="AZ156" i="5"/>
  <c r="AZ205" i="5"/>
  <c r="AZ177" i="5"/>
  <c r="BP162" i="5"/>
  <c r="BN162" i="5"/>
  <c r="AZ207" i="5"/>
  <c r="Z156" i="5"/>
  <c r="AA156" i="5" s="1"/>
  <c r="AZ46" i="5"/>
  <c r="AB83" i="5"/>
  <c r="AL49" i="5"/>
  <c r="AZ172" i="5"/>
  <c r="AQ2" i="5"/>
  <c r="BA2" i="5" s="1"/>
  <c r="AB15" i="5"/>
  <c r="AZ224" i="5"/>
  <c r="AB199" i="5"/>
  <c r="AL184" i="5"/>
  <c r="AQ142" i="5"/>
  <c r="BA142" i="5" s="1"/>
  <c r="AZ217" i="5"/>
  <c r="AL122" i="5"/>
  <c r="AZ193" i="5"/>
  <c r="AZ48" i="5"/>
  <c r="Z192" i="5"/>
  <c r="AA192" i="5" s="1"/>
  <c r="BL65" i="5"/>
  <c r="AQ19" i="5"/>
  <c r="BA19" i="5" s="1"/>
  <c r="AZ23" i="5"/>
  <c r="AQ12" i="5"/>
  <c r="BA12" i="5" s="1"/>
  <c r="AL139" i="5"/>
  <c r="AZ220" i="5"/>
  <c r="AL217" i="5"/>
  <c r="W217" i="5"/>
  <c r="Z217" i="5" s="1"/>
  <c r="AA217" i="5" s="1"/>
  <c r="BL183" i="5"/>
  <c r="AJ159" i="5"/>
  <c r="U117" i="5"/>
  <c r="AL117" i="5"/>
  <c r="AQ192" i="5"/>
  <c r="BA192" i="5" s="1"/>
  <c r="AL170" i="5"/>
  <c r="AQ44" i="5"/>
  <c r="BA44" i="5" s="1"/>
  <c r="AZ88" i="5"/>
  <c r="AZ36" i="5"/>
  <c r="AZ22" i="5"/>
  <c r="AZ11" i="5"/>
  <c r="BL12" i="5"/>
  <c r="BN20" i="5"/>
  <c r="AB34" i="5"/>
  <c r="AW34" i="5" s="1"/>
  <c r="Z11" i="5"/>
  <c r="AA11" i="5" s="1"/>
  <c r="AJ23" i="5"/>
  <c r="AD213" i="5"/>
  <c r="BN165" i="5"/>
  <c r="AL159" i="5"/>
  <c r="AL203" i="5"/>
  <c r="AL118" i="5"/>
  <c r="BL181" i="5"/>
  <c r="BN181" i="5" s="1"/>
  <c r="AZ213" i="5"/>
  <c r="AZ196" i="5"/>
  <c r="AZ223" i="5"/>
  <c r="AZ215" i="5"/>
  <c r="AL200" i="5"/>
  <c r="AZ169" i="5"/>
  <c r="AZ159" i="5"/>
  <c r="Z146" i="5"/>
  <c r="AA146" i="5" s="1"/>
  <c r="AB42" i="5"/>
  <c r="AD69" i="5"/>
  <c r="AQ52" i="5"/>
  <c r="BA52" i="5" s="1"/>
  <c r="AZ97" i="5"/>
  <c r="AQ80" i="5"/>
  <c r="BA80" i="5" s="1"/>
  <c r="AZ65" i="5"/>
  <c r="AJ100" i="5"/>
  <c r="AZ61" i="5"/>
  <c r="AZ2" i="5"/>
  <c r="AZ30" i="5"/>
  <c r="AZ35" i="5"/>
  <c r="AZ16" i="5"/>
  <c r="AQ23" i="5"/>
  <c r="BA23" i="5" s="1"/>
  <c r="AQ187" i="5"/>
  <c r="AL65" i="5"/>
  <c r="AL92" i="5"/>
  <c r="AL43" i="5"/>
  <c r="AL113" i="5"/>
  <c r="AZ218" i="5"/>
  <c r="Z155" i="5"/>
  <c r="AA155" i="5" s="1"/>
  <c r="AZ155" i="5"/>
  <c r="AB193" i="5"/>
  <c r="AZ146" i="5"/>
  <c r="AD132" i="5"/>
  <c r="AB201" i="5"/>
  <c r="AB158" i="5"/>
  <c r="AZ148" i="5"/>
  <c r="AZ96" i="5"/>
  <c r="AZ72" i="5"/>
  <c r="AZ57" i="5"/>
  <c r="AL64" i="5"/>
  <c r="U64" i="5"/>
  <c r="BL114" i="5"/>
  <c r="AZ32" i="5"/>
  <c r="AZ40" i="5"/>
  <c r="AB41" i="5"/>
  <c r="AQ199" i="5"/>
  <c r="AQ114" i="5"/>
  <c r="BA114" i="5" s="1"/>
  <c r="AZ222" i="5"/>
  <c r="AL131" i="5"/>
  <c r="AZ150" i="5"/>
  <c r="Z106" i="5"/>
  <c r="AA106" i="5" s="1"/>
  <c r="AZ90" i="5"/>
  <c r="AQ67" i="5"/>
  <c r="BA67" i="5" s="1"/>
  <c r="Z51" i="5"/>
  <c r="AA51" i="5" s="1"/>
  <c r="AZ95" i="5"/>
  <c r="AZ92" i="5"/>
  <c r="AZ143" i="5"/>
  <c r="Z74" i="5"/>
  <c r="AA74" i="5" s="1"/>
  <c r="AZ58" i="5"/>
  <c r="AZ39" i="5"/>
  <c r="AD19" i="5"/>
  <c r="AZ133" i="5"/>
  <c r="AZ33" i="5"/>
  <c r="AL214" i="5"/>
  <c r="AB192" i="5"/>
  <c r="AB165" i="5"/>
  <c r="BL192" i="5"/>
  <c r="AZ171" i="5"/>
  <c r="AL110" i="5"/>
  <c r="AQ198" i="5"/>
  <c r="BA198" i="5" s="1"/>
  <c r="AZ130" i="5"/>
  <c r="Z164" i="5"/>
  <c r="AA164" i="5" s="1"/>
  <c r="AZ54" i="5"/>
  <c r="AB49" i="5"/>
  <c r="AL133" i="5"/>
  <c r="AZ83" i="5"/>
  <c r="BL18" i="5"/>
  <c r="BN108" i="5"/>
  <c r="AD167" i="5"/>
  <c r="U213" i="5"/>
  <c r="AZ176" i="5"/>
  <c r="AZ198" i="5"/>
  <c r="AL179" i="5"/>
  <c r="AZ165" i="5"/>
  <c r="AQ224" i="5"/>
  <c r="BA224" i="5" s="1"/>
  <c r="Z191" i="5"/>
  <c r="AA191" i="5" s="1"/>
  <c r="AB216" i="5"/>
  <c r="AQ216" i="5"/>
  <c r="AL112" i="5"/>
  <c r="AZ131" i="5"/>
  <c r="AZ116" i="5"/>
  <c r="AZ82" i="5"/>
  <c r="AZ151" i="5"/>
  <c r="AZ199" i="5"/>
  <c r="AJ222" i="5"/>
  <c r="AD222" i="5"/>
  <c r="BP73" i="5"/>
  <c r="BN73" i="5"/>
  <c r="BN213" i="5"/>
  <c r="BP213" i="5"/>
  <c r="BP210" i="5"/>
  <c r="BN210" i="5"/>
  <c r="BN67" i="5"/>
  <c r="BP67" i="5"/>
  <c r="BN195" i="5"/>
  <c r="BP195" i="5"/>
  <c r="BN94" i="5"/>
  <c r="BN5" i="5"/>
  <c r="BN59" i="5"/>
  <c r="BP59" i="5"/>
  <c r="BN19" i="5"/>
  <c r="BP19" i="5"/>
  <c r="BN29" i="5"/>
  <c r="BP29" i="5"/>
  <c r="BN190" i="5"/>
  <c r="AJ145" i="5"/>
  <c r="AD145" i="5"/>
  <c r="BP57" i="5"/>
  <c r="BN57" i="5"/>
  <c r="BP52" i="5"/>
  <c r="BN52" i="5"/>
  <c r="AJ192" i="5"/>
  <c r="AD192" i="5"/>
  <c r="AD182" i="5"/>
  <c r="AJ182" i="5"/>
  <c r="BN17" i="5"/>
  <c r="BP17" i="5"/>
  <c r="AJ33" i="5"/>
  <c r="AD33" i="5"/>
  <c r="AD202" i="5"/>
  <c r="AJ202" i="5"/>
  <c r="BP144" i="5"/>
  <c r="BN144" i="5"/>
  <c r="BN92" i="5"/>
  <c r="BP92" i="5"/>
  <c r="AJ39" i="5"/>
  <c r="AD39" i="5"/>
  <c r="BP37" i="5"/>
  <c r="BN37" i="5"/>
  <c r="BN15" i="5"/>
  <c r="BP15" i="5"/>
  <c r="AD16" i="5"/>
  <c r="AJ16" i="5"/>
  <c r="BP126" i="5"/>
  <c r="BN126" i="5"/>
  <c r="AD82" i="5"/>
  <c r="AJ82" i="5"/>
  <c r="AD29" i="5"/>
  <c r="AJ29" i="5"/>
  <c r="AD212" i="5"/>
  <c r="AJ212" i="5"/>
  <c r="AJ155" i="5"/>
  <c r="AD155" i="5"/>
  <c r="AD207" i="5"/>
  <c r="AJ207" i="5"/>
  <c r="BP169" i="5"/>
  <c r="BN169" i="5"/>
  <c r="BP131" i="5"/>
  <c r="BN131" i="5"/>
  <c r="AJ120" i="5"/>
  <c r="AD120" i="5"/>
  <c r="BN96" i="5"/>
  <c r="BP96" i="5"/>
  <c r="BP152" i="5"/>
  <c r="BN152" i="5"/>
  <c r="AJ51" i="5"/>
  <c r="AD51" i="5"/>
  <c r="BP72" i="5"/>
  <c r="BN72" i="5"/>
  <c r="AD99" i="5"/>
  <c r="AJ99" i="5"/>
  <c r="BN205" i="5"/>
  <c r="BP205" i="5"/>
  <c r="AJ67" i="5"/>
  <c r="AD67" i="5"/>
  <c r="BN196" i="5"/>
  <c r="BP196" i="5"/>
  <c r="AD160" i="5"/>
  <c r="AJ160" i="5"/>
  <c r="BP40" i="5"/>
  <c r="BN40" i="5"/>
  <c r="BP151" i="5"/>
  <c r="BN151" i="5"/>
  <c r="AJ216" i="5"/>
  <c r="AD216" i="5"/>
  <c r="AJ225" i="5"/>
  <c r="AD225" i="5"/>
  <c r="BP206" i="5"/>
  <c r="BN206" i="5"/>
  <c r="BN182" i="5"/>
  <c r="BP182" i="5"/>
  <c r="BP122" i="5"/>
  <c r="BN122" i="5"/>
  <c r="AD134" i="5"/>
  <c r="AJ134" i="5"/>
  <c r="BP119" i="5"/>
  <c r="BN119" i="5"/>
  <c r="BP123" i="5"/>
  <c r="BN123" i="5"/>
  <c r="AJ138" i="5"/>
  <c r="AD138" i="5"/>
  <c r="BP145" i="5"/>
  <c r="BN145" i="5"/>
  <c r="BP98" i="5"/>
  <c r="BN98" i="5"/>
  <c r="AJ108" i="5"/>
  <c r="AD108" i="5"/>
  <c r="BP88" i="5"/>
  <c r="BN88" i="5"/>
  <c r="BP90" i="5"/>
  <c r="BN90" i="5"/>
  <c r="AD48" i="5"/>
  <c r="AJ48" i="5"/>
  <c r="BN68" i="5"/>
  <c r="BP68" i="5"/>
  <c r="AJ73" i="5"/>
  <c r="AD73" i="5"/>
  <c r="BP7" i="5"/>
  <c r="BN7" i="5"/>
  <c r="AJ55" i="5"/>
  <c r="AD55" i="5"/>
  <c r="BN31" i="5"/>
  <c r="BP31" i="5"/>
  <c r="BP45" i="5"/>
  <c r="BN45" i="5"/>
  <c r="BP204" i="5"/>
  <c r="BN204" i="5"/>
  <c r="AJ198" i="5"/>
  <c r="AD198" i="5"/>
  <c r="AJ144" i="5"/>
  <c r="AD144" i="5"/>
  <c r="BP78" i="5"/>
  <c r="BN78" i="5"/>
  <c r="AJ190" i="5"/>
  <c r="AD190" i="5"/>
  <c r="BP147" i="5"/>
  <c r="BN147" i="5"/>
  <c r="AD117" i="5"/>
  <c r="AJ117" i="5"/>
  <c r="AD87" i="5"/>
  <c r="AJ87" i="5"/>
  <c r="AD209" i="5"/>
  <c r="AJ209" i="5"/>
  <c r="AJ224" i="5"/>
  <c r="AD224" i="5"/>
  <c r="BP212" i="5"/>
  <c r="BN212" i="5"/>
  <c r="AJ195" i="5"/>
  <c r="AD195" i="5"/>
  <c r="BP203" i="5"/>
  <c r="BN203" i="5"/>
  <c r="BP218" i="5"/>
  <c r="BN218" i="5"/>
  <c r="BN202" i="5"/>
  <c r="BP202" i="5"/>
  <c r="BP177" i="5"/>
  <c r="BN177" i="5"/>
  <c r="AJ179" i="5"/>
  <c r="AD179" i="5"/>
  <c r="AJ154" i="5"/>
  <c r="AD154" i="5"/>
  <c r="AJ171" i="5"/>
  <c r="AD171" i="5"/>
  <c r="BP173" i="5"/>
  <c r="BN173" i="5"/>
  <c r="AD188" i="5"/>
  <c r="AJ188" i="5"/>
  <c r="BP130" i="5"/>
  <c r="BN130" i="5"/>
  <c r="BP120" i="5"/>
  <c r="BN120" i="5"/>
  <c r="AJ118" i="5"/>
  <c r="AD118" i="5"/>
  <c r="AD127" i="5"/>
  <c r="AJ127" i="5"/>
  <c r="BP106" i="5"/>
  <c r="BN106" i="5"/>
  <c r="BP54" i="5"/>
  <c r="BN54" i="5"/>
  <c r="AW71" i="5"/>
  <c r="AO71" i="5"/>
  <c r="AJ50" i="5"/>
  <c r="AD50" i="5"/>
  <c r="BN24" i="5"/>
  <c r="BP24" i="5"/>
  <c r="AD8" i="5"/>
  <c r="AJ8" i="5"/>
  <c r="BN25" i="5"/>
  <c r="BP25" i="5"/>
  <c r="AD57" i="5"/>
  <c r="AJ57" i="5"/>
  <c r="AD18" i="5"/>
  <c r="AJ18" i="5"/>
  <c r="BP21" i="5"/>
  <c r="BN21" i="5"/>
  <c r="BP121" i="5"/>
  <c r="BN121" i="5"/>
  <c r="BP80" i="5"/>
  <c r="BN80" i="5"/>
  <c r="BP26" i="5"/>
  <c r="BN26" i="5"/>
  <c r="BP101" i="5"/>
  <c r="BN101" i="5"/>
  <c r="AD206" i="5"/>
  <c r="AJ206" i="5"/>
  <c r="BN217" i="5"/>
  <c r="BP217" i="5"/>
  <c r="BN220" i="5"/>
  <c r="BP220" i="5"/>
  <c r="BN168" i="5"/>
  <c r="BP168" i="5"/>
  <c r="BP161" i="5"/>
  <c r="BN161" i="5"/>
  <c r="AJ169" i="5"/>
  <c r="AD169" i="5"/>
  <c r="BP113" i="5"/>
  <c r="BN113" i="5"/>
  <c r="AD89" i="5"/>
  <c r="AJ89" i="5"/>
  <c r="AJ139" i="5"/>
  <c r="AD139" i="5"/>
  <c r="BP140" i="5"/>
  <c r="BN140" i="5"/>
  <c r="BN64" i="5"/>
  <c r="BP64" i="5"/>
  <c r="BP103" i="5"/>
  <c r="BN103" i="5"/>
  <c r="AD47" i="5"/>
  <c r="AJ47" i="5"/>
  <c r="BP47" i="5"/>
  <c r="BN47" i="5"/>
  <c r="BP36" i="5"/>
  <c r="BN36" i="5"/>
  <c r="BN199" i="5"/>
  <c r="BP199" i="5"/>
  <c r="AD189" i="5"/>
  <c r="AJ189" i="5"/>
  <c r="BP146" i="5"/>
  <c r="BN146" i="5"/>
  <c r="AD166" i="5"/>
  <c r="AJ166" i="5"/>
  <c r="AJ131" i="5"/>
  <c r="AD131" i="5"/>
  <c r="BP129" i="5"/>
  <c r="BN129" i="5"/>
  <c r="AJ135" i="5"/>
  <c r="AD135" i="5"/>
  <c r="BP115" i="5"/>
  <c r="BN115" i="5"/>
  <c r="AJ84" i="5"/>
  <c r="AD84" i="5"/>
  <c r="AJ77" i="5"/>
  <c r="AD77" i="5"/>
  <c r="BP61" i="5"/>
  <c r="BN61" i="5"/>
  <c r="AD79" i="5"/>
  <c r="AJ79" i="5"/>
  <c r="BP30" i="5"/>
  <c r="BN30" i="5"/>
  <c r="AD12" i="5"/>
  <c r="AJ12" i="5"/>
  <c r="BN3" i="5"/>
  <c r="BP3" i="5"/>
  <c r="AJ176" i="5"/>
  <c r="AD176" i="5"/>
  <c r="BP159" i="5"/>
  <c r="BN159" i="5"/>
  <c r="BN104" i="5"/>
  <c r="BP104" i="5"/>
  <c r="BP221" i="5"/>
  <c r="BN221" i="5"/>
  <c r="BP211" i="5"/>
  <c r="BN211" i="5"/>
  <c r="AJ178" i="5"/>
  <c r="AD178" i="5"/>
  <c r="AJ153" i="5"/>
  <c r="AD153" i="5"/>
  <c r="BP118" i="5"/>
  <c r="BN118" i="5"/>
  <c r="BP127" i="5"/>
  <c r="BN127" i="5"/>
  <c r="AJ115" i="5"/>
  <c r="AD115" i="5"/>
  <c r="AD128" i="5"/>
  <c r="AJ128" i="5"/>
  <c r="BP117" i="5"/>
  <c r="BN117" i="5"/>
  <c r="BN86" i="5"/>
  <c r="BP86" i="5"/>
  <c r="BP111" i="5"/>
  <c r="BN111" i="5"/>
  <c r="AD66" i="5"/>
  <c r="AJ66" i="5"/>
  <c r="AJ61" i="5"/>
  <c r="AD61" i="5"/>
  <c r="BP135" i="5"/>
  <c r="BN135" i="5"/>
  <c r="BN53" i="5"/>
  <c r="BP53" i="5"/>
  <c r="BP100" i="5"/>
  <c r="BN100" i="5"/>
  <c r="AD56" i="5"/>
  <c r="AJ56" i="5"/>
  <c r="BN11" i="5"/>
  <c r="BP11" i="5"/>
  <c r="AD41" i="5"/>
  <c r="AJ41" i="5"/>
  <c r="AJ197" i="5"/>
  <c r="AD197" i="5"/>
  <c r="AD122" i="5"/>
  <c r="AJ122" i="5"/>
  <c r="AD74" i="5"/>
  <c r="AJ74" i="5"/>
  <c r="BN50" i="5"/>
  <c r="BP50" i="5"/>
  <c r="AJ26" i="5"/>
  <c r="AD26" i="5"/>
  <c r="BP207" i="5"/>
  <c r="BN207" i="5"/>
  <c r="AJ146" i="5"/>
  <c r="AD146" i="5"/>
  <c r="BN208" i="5"/>
  <c r="BP208" i="5"/>
  <c r="BP91" i="5"/>
  <c r="BN91" i="5"/>
  <c r="BN209" i="5"/>
  <c r="BP209" i="5"/>
  <c r="BP163" i="5"/>
  <c r="BN163" i="5"/>
  <c r="AJ148" i="5"/>
  <c r="AD148" i="5"/>
  <c r="BP150" i="5"/>
  <c r="BN150" i="5"/>
  <c r="AJ113" i="5"/>
  <c r="AD113" i="5"/>
  <c r="BN107" i="5"/>
  <c r="BP107" i="5"/>
  <c r="AJ112" i="5"/>
  <c r="AD112" i="5"/>
  <c r="BP95" i="5"/>
  <c r="BN95" i="5"/>
  <c r="AD60" i="5"/>
  <c r="AJ60" i="5"/>
  <c r="AD58" i="5"/>
  <c r="AJ58" i="5"/>
  <c r="BP28" i="5"/>
  <c r="BN28" i="5"/>
  <c r="AJ32" i="5"/>
  <c r="AD32" i="5"/>
  <c r="AD200" i="5"/>
  <c r="AJ200" i="5"/>
  <c r="AD121" i="5"/>
  <c r="AJ121" i="5"/>
  <c r="AJ71" i="5"/>
  <c r="AD71" i="5"/>
  <c r="BP85" i="5"/>
  <c r="BN85" i="5"/>
  <c r="BP200" i="5"/>
  <c r="BN200" i="5"/>
  <c r="AJ152" i="5"/>
  <c r="AD152" i="5"/>
  <c r="BP172" i="5"/>
  <c r="BN172" i="5"/>
  <c r="BN194" i="5"/>
  <c r="BP194" i="5"/>
  <c r="AJ114" i="5"/>
  <c r="AD114" i="5"/>
  <c r="AJ221" i="5"/>
  <c r="AD221" i="5"/>
  <c r="AD184" i="5"/>
  <c r="AJ184" i="5"/>
  <c r="BN157" i="5"/>
  <c r="BP157" i="5"/>
  <c r="AJ149" i="5"/>
  <c r="AD149" i="5"/>
  <c r="BP154" i="5"/>
  <c r="BN154" i="5"/>
  <c r="BP125" i="5"/>
  <c r="BN125" i="5"/>
  <c r="AJ86" i="5"/>
  <c r="AD86" i="5"/>
  <c r="AJ83" i="5"/>
  <c r="AD83" i="5"/>
  <c r="AJ106" i="5"/>
  <c r="AD106" i="5"/>
  <c r="BN97" i="5"/>
  <c r="BP97" i="5"/>
  <c r="AJ123" i="5"/>
  <c r="AD123" i="5"/>
  <c r="BP75" i="5"/>
  <c r="BN75" i="5"/>
  <c r="AD43" i="5"/>
  <c r="AJ43" i="5"/>
  <c r="BP42" i="5"/>
  <c r="BN42" i="5"/>
  <c r="BP93" i="5"/>
  <c r="BN93" i="5"/>
  <c r="AD53" i="5"/>
  <c r="AJ53" i="5"/>
  <c r="AJ15" i="5"/>
  <c r="AD15" i="5"/>
  <c r="AD54" i="5"/>
  <c r="AJ54" i="5"/>
  <c r="BN38" i="5"/>
  <c r="BP38" i="5"/>
  <c r="AJ34" i="5"/>
  <c r="AD34" i="5"/>
  <c r="AJ5" i="5"/>
  <c r="AD5" i="5"/>
  <c r="AD76" i="5"/>
  <c r="AJ76" i="5"/>
  <c r="BN70" i="5"/>
  <c r="BP70" i="5"/>
  <c r="AD85" i="5"/>
  <c r="AJ85" i="5"/>
  <c r="AJ186" i="5"/>
  <c r="AD186" i="5"/>
  <c r="AD208" i="5"/>
  <c r="AJ208" i="5"/>
  <c r="AD201" i="5"/>
  <c r="AJ201" i="5"/>
  <c r="BN223" i="5"/>
  <c r="BP223" i="5"/>
  <c r="BN214" i="5"/>
  <c r="BP214" i="5"/>
  <c r="BP201" i="5"/>
  <c r="BN201" i="5"/>
  <c r="BN193" i="5"/>
  <c r="BP193" i="5"/>
  <c r="AD205" i="5"/>
  <c r="AJ205" i="5"/>
  <c r="AD185" i="5"/>
  <c r="AJ185" i="5"/>
  <c r="BP149" i="5"/>
  <c r="BN149" i="5"/>
  <c r="BP128" i="5"/>
  <c r="BN128" i="5"/>
  <c r="BP124" i="5"/>
  <c r="BN124" i="5"/>
  <c r="AJ142" i="5"/>
  <c r="AD142" i="5"/>
  <c r="AD119" i="5"/>
  <c r="AJ119" i="5"/>
  <c r="BP133" i="5"/>
  <c r="BN133" i="5"/>
  <c r="AD125" i="5"/>
  <c r="AJ125" i="5"/>
  <c r="AJ126" i="5"/>
  <c r="AD126" i="5"/>
  <c r="AJ104" i="5"/>
  <c r="AD104" i="5"/>
  <c r="BP137" i="5"/>
  <c r="BN137" i="5"/>
  <c r="AD80" i="5"/>
  <c r="AJ80" i="5"/>
  <c r="AJ129" i="5"/>
  <c r="AD129" i="5"/>
  <c r="BN105" i="5"/>
  <c r="BP105" i="5"/>
  <c r="BP58" i="5"/>
  <c r="BN58" i="5"/>
  <c r="BP84" i="5"/>
  <c r="BN84" i="5"/>
  <c r="BN63" i="5"/>
  <c r="BP63" i="5"/>
  <c r="AD59" i="5"/>
  <c r="AJ59" i="5"/>
  <c r="AD62" i="5"/>
  <c r="AJ62" i="5"/>
  <c r="BP76" i="5"/>
  <c r="BN76" i="5"/>
  <c r="BP69" i="5"/>
  <c r="BN69" i="5"/>
  <c r="BP49" i="5"/>
  <c r="BN49" i="5"/>
  <c r="BN60" i="5"/>
  <c r="BP60" i="5"/>
  <c r="AJ27" i="5"/>
  <c r="AD27" i="5"/>
  <c r="BP14" i="5"/>
  <c r="BN14" i="5"/>
  <c r="AD10" i="5"/>
  <c r="AJ10" i="5"/>
  <c r="AD17" i="5"/>
  <c r="AJ17" i="5"/>
  <c r="AK36" i="5" a="1"/>
  <c r="AK160" i="5" a="1"/>
  <c r="AK72" i="5" a="1"/>
  <c r="AK60" i="5" a="1"/>
  <c r="AK193" i="5" a="1"/>
  <c r="AK183" i="5" a="1"/>
  <c r="AK104" i="5" a="1"/>
  <c r="AK156" i="5" a="1"/>
  <c r="AK163" i="5" a="1"/>
  <c r="AK65" i="5" a="1"/>
  <c r="AK126" i="5" a="1"/>
  <c r="AK91" i="5" a="1"/>
  <c r="AK161" i="5" a="1"/>
  <c r="AK174" i="5" a="1"/>
  <c r="AK28" i="5" a="1"/>
  <c r="AK63" i="5" a="1"/>
  <c r="AK81" i="5" a="1"/>
  <c r="AK199" i="5" a="1"/>
  <c r="AK214" i="5" a="1"/>
  <c r="AK172" i="5" a="1"/>
  <c r="AK204" i="5" a="1"/>
  <c r="AK147" i="5" a="1"/>
  <c r="AK93" i="5" a="1"/>
  <c r="AK100" i="5" a="1"/>
  <c r="AK133" i="5" a="1"/>
  <c r="AK194" i="5" a="1"/>
  <c r="AK40" i="5" a="1"/>
  <c r="AK90" i="5" a="1"/>
  <c r="AK70" i="5" a="1"/>
  <c r="AK191" i="5" a="1"/>
  <c r="AK49" i="5" a="1"/>
  <c r="AK201" i="5" a="1"/>
  <c r="AK223" i="5" a="1"/>
  <c r="AK48" i="5" a="1"/>
  <c r="AK203" i="5" a="1"/>
  <c r="AK50" i="5" a="1"/>
  <c r="AK21" i="5" a="1"/>
  <c r="AK4" i="5" a="1"/>
  <c r="AM101" i="5"/>
  <c r="AE101" i="5"/>
  <c r="AM13" i="5"/>
  <c r="AE13" i="5"/>
  <c r="AM38" i="5"/>
  <c r="AE38" i="5"/>
  <c r="AE20" i="5"/>
  <c r="AM20" i="5"/>
  <c r="AM95" i="5"/>
  <c r="AE95" i="5"/>
  <c r="AE92" i="5"/>
  <c r="AK64" i="5" a="1"/>
  <c r="AK12" i="5" a="1"/>
  <c r="AK185" i="5" a="1"/>
  <c r="AK85" i="5" a="1"/>
  <c r="AM138" i="5"/>
  <c r="AK77" i="5" a="1"/>
  <c r="AK37" i="5" a="1"/>
  <c r="AK52" i="5" a="1"/>
  <c r="AE166" i="5"/>
  <c r="AM115" i="5"/>
  <c r="AM26" i="5"/>
  <c r="AM148" i="5"/>
  <c r="AE114" i="5"/>
  <c r="AE86" i="5"/>
  <c r="AE53" i="5"/>
  <c r="AK10" i="5" a="1"/>
  <c r="AK192" i="5" a="1"/>
  <c r="AM119" i="5"/>
  <c r="AK80" i="5" a="1"/>
  <c r="AK150" i="5" a="1"/>
  <c r="AK103" i="5" a="1"/>
  <c r="AE43" i="5"/>
  <c r="AK213" i="5" a="1"/>
  <c r="AK168" i="5" a="1"/>
  <c r="AK107" i="5" a="1"/>
  <c r="AK99" i="5" a="1"/>
  <c r="AK128" i="5" a="1"/>
  <c r="AM155" i="5"/>
  <c r="AK180" i="5" a="1"/>
  <c r="AE138" i="5"/>
  <c r="AK171" i="5" a="1"/>
  <c r="AM166" i="5"/>
  <c r="AK202" i="5" a="1"/>
  <c r="AK189" i="5" a="1"/>
  <c r="AK89" i="5" a="1"/>
  <c r="AK98" i="5" a="1"/>
  <c r="AE26" i="5"/>
  <c r="AE148" i="5"/>
  <c r="AK47" i="5" a="1"/>
  <c r="AK82" i="5" a="1"/>
  <c r="AM53" i="5"/>
  <c r="AM5" i="5"/>
  <c r="AK96" i="5" a="1"/>
  <c r="AM97" i="5"/>
  <c r="AE97" i="5"/>
  <c r="AE139" i="5"/>
  <c r="AK9" i="5" a="1"/>
  <c r="AM220" i="5"/>
  <c r="AE220" i="5"/>
  <c r="AT10" i="5"/>
  <c r="AK135" i="5" a="1"/>
  <c r="AK11" i="5" a="1"/>
  <c r="AE19" i="5"/>
  <c r="AK54" i="5" a="1"/>
  <c r="AK111" i="5" a="1"/>
  <c r="AE155" i="5"/>
  <c r="AK143" i="5" a="1"/>
  <c r="AK211" i="5" a="1"/>
  <c r="AK105" i="5" a="1"/>
  <c r="AK175" i="5" a="1"/>
  <c r="AK198" i="5" a="1"/>
  <c r="AK218" i="5" a="1"/>
  <c r="AE115" i="5"/>
  <c r="AE56" i="5"/>
  <c r="AM184" i="5"/>
  <c r="AE5" i="5"/>
  <c r="AE215" i="5"/>
  <c r="AM215" i="5"/>
  <c r="AT222" i="5"/>
  <c r="AK144" i="5" a="1"/>
  <c r="AM92" i="5"/>
  <c r="AE69" i="5"/>
  <c r="AK222" i="5" a="1"/>
  <c r="AK6" i="5" a="1"/>
  <c r="AK121" i="5" a="1"/>
  <c r="AT221" i="5"/>
  <c r="AK188" i="5" a="1"/>
  <c r="AM56" i="5"/>
  <c r="AT85" i="5"/>
  <c r="AM200" i="5"/>
  <c r="AM186" i="5"/>
  <c r="AK58" i="5" a="1"/>
  <c r="AK29" i="5" a="1"/>
  <c r="AM31" i="5"/>
  <c r="AE31" i="5"/>
  <c r="AK141" i="5" a="1"/>
  <c r="AK7" i="5" a="1"/>
  <c r="AK182" i="5" a="1"/>
  <c r="AM217" i="5"/>
  <c r="AE196" i="5"/>
  <c r="AM196" i="5"/>
  <c r="AM69" i="5"/>
  <c r="AE23" i="5"/>
  <c r="AK225" i="5" a="1"/>
  <c r="AM23" i="5"/>
  <c r="AK170" i="5" a="1"/>
  <c r="AK162" i="5" a="1"/>
  <c r="AK76" i="5" a="1"/>
  <c r="AE8" i="5"/>
  <c r="AE57" i="5"/>
  <c r="AK195" i="5" a="1"/>
  <c r="AK179" i="5" a="1"/>
  <c r="AK68" i="5" a="1"/>
  <c r="AM61" i="5"/>
  <c r="AK62" i="5" a="1"/>
  <c r="AK122" i="5" a="1"/>
  <c r="AE186" i="5"/>
  <c r="AK94" i="5" a="1"/>
  <c r="AE187" i="5"/>
  <c r="AM187" i="5"/>
  <c r="AE46" i="5"/>
  <c r="AM46" i="5"/>
  <c r="AE22" i="5"/>
  <c r="AM22" i="5"/>
  <c r="AK2" i="5" a="1"/>
  <c r="AK112" i="5" a="1"/>
  <c r="AK146" i="5" a="1"/>
  <c r="AK208" i="5" a="1"/>
  <c r="AK212" i="5" a="1"/>
  <c r="AK120" i="5" a="1"/>
  <c r="AE55" i="5"/>
  <c r="AE87" i="5"/>
  <c r="AT195" i="5"/>
  <c r="AK130" i="5" a="1"/>
  <c r="AM75" i="5"/>
  <c r="AE75" i="5"/>
  <c r="AE14" i="5"/>
  <c r="AM14" i="5"/>
  <c r="AE217" i="5"/>
  <c r="AK30" i="5" a="1"/>
  <c r="AK71" i="5" a="1"/>
  <c r="AE134" i="5"/>
  <c r="AM55" i="5"/>
  <c r="AK15" i="5" a="1"/>
  <c r="AM8" i="5"/>
  <c r="AM57" i="5"/>
  <c r="AE61" i="5"/>
  <c r="AK117" i="5" a="1"/>
  <c r="AM83" i="5"/>
  <c r="AM43" i="5"/>
  <c r="AK32" i="5" a="1"/>
  <c r="AK140" i="5" a="1"/>
  <c r="AM134" i="5"/>
  <c r="AK132" i="5" a="1"/>
  <c r="AE127" i="5"/>
  <c r="AE78" i="5"/>
  <c r="AM78" i="5"/>
  <c r="AK42" i="5" a="1"/>
  <c r="AK84" i="5" a="1"/>
  <c r="AK145" i="5" a="1"/>
  <c r="AK17" i="5" a="1"/>
  <c r="AM127" i="5"/>
  <c r="AM139" i="5"/>
  <c r="AK67" i="5" a="1"/>
  <c r="AK34" i="5" a="1"/>
  <c r="AE176" i="5"/>
  <c r="AE41" i="5"/>
  <c r="AK181" i="5" a="1"/>
  <c r="AK108" i="5" a="1"/>
  <c r="AK151" i="5" a="1"/>
  <c r="AE27" i="5"/>
  <c r="AM158" i="5"/>
  <c r="AE158" i="5"/>
  <c r="AM19" i="5"/>
  <c r="AK207" i="5" a="1"/>
  <c r="AE184" i="5"/>
  <c r="AK167" i="5" a="1"/>
  <c r="AK25" i="5" a="1"/>
  <c r="AK66" i="5" a="1"/>
  <c r="AK165" i="5" a="1"/>
  <c r="AK125" i="5" a="1"/>
  <c r="AK51" i="5" a="1"/>
  <c r="AK209" i="5" a="1"/>
  <c r="AT168" i="5"/>
  <c r="AK18" i="5" a="1"/>
  <c r="AM41" i="5"/>
  <c r="AK79" i="5" a="1"/>
  <c r="AK44" i="5" a="1"/>
  <c r="AK190" i="5" a="1"/>
  <c r="AE205" i="5"/>
  <c r="AK106" i="5" a="1"/>
  <c r="AK136" i="5" a="1"/>
  <c r="AK33" i="5" a="1"/>
  <c r="AK45" i="5" a="1"/>
  <c r="AK210" i="5" a="1"/>
  <c r="AT225" i="5"/>
  <c r="AK118" i="5" a="1"/>
  <c r="AM27" i="5"/>
  <c r="AE24" i="5"/>
  <c r="AM24" i="5"/>
  <c r="AK153" i="5" a="1"/>
  <c r="AK169" i="5" a="1"/>
  <c r="AK113" i="5" a="1"/>
  <c r="AK178" i="5" a="1"/>
  <c r="AE137" i="5"/>
  <c r="AM137" i="5"/>
  <c r="AE200" i="5"/>
  <c r="AK154" i="5" a="1"/>
  <c r="AK124" i="5" a="1"/>
  <c r="AK149" i="5" a="1"/>
  <c r="AE142" i="5"/>
  <c r="AE119" i="5"/>
  <c r="AK74" i="5" a="1"/>
  <c r="AK224" i="5" a="1"/>
  <c r="AK3" i="5" a="1"/>
  <c r="AK216" i="5" a="1"/>
  <c r="AK109" i="5" a="1"/>
  <c r="AM87" i="5"/>
  <c r="AK173" i="5" a="1"/>
  <c r="AM86" i="5"/>
  <c r="AM142" i="5"/>
  <c r="AK110" i="5" a="1"/>
  <c r="AM176" i="5"/>
  <c r="AE219" i="5"/>
  <c r="AM219" i="5"/>
  <c r="AE159" i="5"/>
  <c r="AK88" i="5" a="1"/>
  <c r="AK152" i="5" a="1"/>
  <c r="AE177" i="5"/>
  <c r="AM177" i="5"/>
  <c r="AE164" i="5"/>
  <c r="AM164" i="5"/>
  <c r="AK102" i="5" a="1"/>
  <c r="AK197" i="5" a="1"/>
  <c r="AK116" i="5" a="1"/>
  <c r="AK16" i="5" a="1"/>
  <c r="AM114" i="5"/>
  <c r="AK221" i="5" a="1"/>
  <c r="AK73" i="5" a="1"/>
  <c r="AK157" i="5" a="1"/>
  <c r="AE129" i="5"/>
  <c r="AM159" i="5"/>
  <c r="AK39" i="5" a="1"/>
  <c r="AK131" i="5" a="1"/>
  <c r="AE83" i="5"/>
  <c r="AM129" i="5"/>
  <c r="AK123" i="5" a="1"/>
  <c r="AE35" i="5"/>
  <c r="AM35" i="5"/>
  <c r="AK206" i="5" a="1"/>
  <c r="AK59" i="5" a="1"/>
  <c r="AM205" i="5"/>
  <c r="AO73" i="5" l="1"/>
  <c r="AR73" i="5" s="1"/>
  <c r="AS73" i="5" s="1"/>
  <c r="AW171" i="5"/>
  <c r="AX171" i="5" s="1"/>
  <c r="AX43" i="5"/>
  <c r="AW213" i="5"/>
  <c r="AX213" i="5" s="1"/>
  <c r="AO87" i="5"/>
  <c r="AR87" i="5" s="1"/>
  <c r="AS87" i="5" s="1"/>
  <c r="AO14" i="5"/>
  <c r="AR14" i="5" s="1"/>
  <c r="AS14" i="5" s="1"/>
  <c r="AW30" i="5"/>
  <c r="AX30" i="5" s="1"/>
  <c r="AO62" i="5"/>
  <c r="AR62" i="5" s="1"/>
  <c r="AS62" i="5" s="1"/>
  <c r="AO5" i="5"/>
  <c r="AR5" i="5" s="1"/>
  <c r="AS5" i="5" s="1"/>
  <c r="AO202" i="5"/>
  <c r="AR202" i="5" s="1"/>
  <c r="AS202" i="5" s="1"/>
  <c r="AW106" i="5"/>
  <c r="AX106" i="5" s="1"/>
  <c r="AX16" i="5"/>
  <c r="AW143" i="5"/>
  <c r="AX143" i="5" s="1"/>
  <c r="AW208" i="5"/>
  <c r="AX208" i="5" s="1"/>
  <c r="AW39" i="5"/>
  <c r="AX39" i="5" s="1"/>
  <c r="AW89" i="5"/>
  <c r="AX89" i="5" s="1"/>
  <c r="AW204" i="5"/>
  <c r="AX204" i="5" s="1"/>
  <c r="AO16" i="5"/>
  <c r="AR16" i="5" s="1"/>
  <c r="AS16" i="5" s="1"/>
  <c r="AW96" i="5"/>
  <c r="AX96" i="5" s="1"/>
  <c r="AO113" i="5"/>
  <c r="AR113" i="5" s="1"/>
  <c r="AS113" i="5" s="1"/>
  <c r="AW156" i="5"/>
  <c r="AX156" i="5" s="1"/>
  <c r="AX32" i="5"/>
  <c r="AO133" i="5"/>
  <c r="BB133" i="5" s="1"/>
  <c r="AW151" i="5"/>
  <c r="AX151" i="5" s="1"/>
  <c r="AW37" i="5"/>
  <c r="AX37" i="5" s="1"/>
  <c r="AW21" i="5"/>
  <c r="AX21" i="5" s="1"/>
  <c r="AO194" i="5"/>
  <c r="BB194" i="5" s="1"/>
  <c r="AD107" i="5"/>
  <c r="AX127" i="5"/>
  <c r="AW191" i="5"/>
  <c r="AX191" i="5" s="1"/>
  <c r="AX126" i="5"/>
  <c r="AX73" i="5"/>
  <c r="AO117" i="5"/>
  <c r="AR117" i="5" s="1"/>
  <c r="AS117" i="5" s="1"/>
  <c r="AX117" i="5"/>
  <c r="AO127" i="5"/>
  <c r="AR127" i="5" s="1"/>
  <c r="AS127" i="5" s="1"/>
  <c r="AX164" i="5"/>
  <c r="AW132" i="5"/>
  <c r="AX132" i="5" s="1"/>
  <c r="AW82" i="5"/>
  <c r="AX82" i="5" s="1"/>
  <c r="AX218" i="5"/>
  <c r="AO161" i="5"/>
  <c r="BB161" i="5" s="1"/>
  <c r="AO91" i="5"/>
  <c r="AR91" i="5" s="1"/>
  <c r="AS91" i="5" s="1"/>
  <c r="AW118" i="5"/>
  <c r="AX118" i="5" s="1"/>
  <c r="AX48" i="5"/>
  <c r="AO209" i="5"/>
  <c r="AR209" i="5" s="1"/>
  <c r="AS209" i="5" s="1"/>
  <c r="AO155" i="5"/>
  <c r="AR155" i="5" s="1"/>
  <c r="AS155" i="5" s="1"/>
  <c r="AW119" i="5"/>
  <c r="AX119" i="5" s="1"/>
  <c r="AW134" i="5"/>
  <c r="AX134" i="5" s="1"/>
  <c r="AD162" i="5"/>
  <c r="AD175" i="5"/>
  <c r="AJ68" i="5"/>
  <c r="AW60" i="5"/>
  <c r="AX60" i="5" s="1"/>
  <c r="AW195" i="5"/>
  <c r="AX195" i="5" s="1"/>
  <c r="AX103" i="5"/>
  <c r="AO219" i="5"/>
  <c r="AR219" i="5" s="1"/>
  <c r="AS219" i="5" s="1"/>
  <c r="AW200" i="5"/>
  <c r="AX200" i="5" s="1"/>
  <c r="AX62" i="5"/>
  <c r="AX51" i="5"/>
  <c r="AX217" i="5"/>
  <c r="AX56" i="5"/>
  <c r="AW145" i="5"/>
  <c r="AX145" i="5" s="1"/>
  <c r="AW33" i="5"/>
  <c r="AX33" i="5" s="1"/>
  <c r="AX61" i="5"/>
  <c r="AO86" i="5"/>
  <c r="AR86" i="5" s="1"/>
  <c r="AS86" i="5" s="1"/>
  <c r="AW74" i="5"/>
  <c r="AX74" i="5" s="1"/>
  <c r="AW148" i="5"/>
  <c r="AX148" i="5" s="1"/>
  <c r="AJ52" i="5"/>
  <c r="AO126" i="5"/>
  <c r="AR126" i="5" s="1"/>
  <c r="AS126" i="5" s="1"/>
  <c r="AO189" i="5"/>
  <c r="BB189" i="5" s="1"/>
  <c r="AW207" i="5"/>
  <c r="AX207" i="5" s="1"/>
  <c r="AO154" i="5"/>
  <c r="AR154" i="5" s="1"/>
  <c r="AS154" i="5" s="1"/>
  <c r="AW112" i="5"/>
  <c r="AX112" i="5" s="1"/>
  <c r="AX212" i="5"/>
  <c r="AW98" i="5"/>
  <c r="AX98" i="5" s="1"/>
  <c r="AW36" i="5"/>
  <c r="AX36" i="5" s="1"/>
  <c r="AO160" i="5"/>
  <c r="AR160" i="5" s="1"/>
  <c r="AS160" i="5" s="1"/>
  <c r="AO76" i="5"/>
  <c r="AR76" i="5" s="1"/>
  <c r="AS76" i="5" s="1"/>
  <c r="AW80" i="5"/>
  <c r="AX80" i="5" s="1"/>
  <c r="AX149" i="5"/>
  <c r="AW224" i="5"/>
  <c r="AX224" i="5" s="1"/>
  <c r="AW141" i="5"/>
  <c r="AX141" i="5" s="1"/>
  <c r="AJ157" i="5"/>
  <c r="AO125" i="5"/>
  <c r="AR125" i="5" s="1"/>
  <c r="AS125" i="5" s="1"/>
  <c r="BB85" i="5"/>
  <c r="BC85" i="5" s="1"/>
  <c r="AW225" i="5"/>
  <c r="AX225" i="5" s="1"/>
  <c r="AO115" i="5"/>
  <c r="BB115" i="5" s="1"/>
  <c r="AO196" i="5"/>
  <c r="BB196" i="5" s="1"/>
  <c r="AW157" i="5"/>
  <c r="AX157" i="5" s="1"/>
  <c r="AW128" i="5"/>
  <c r="AX128" i="5" s="1"/>
  <c r="AO164" i="5"/>
  <c r="AR164" i="5" s="1"/>
  <c r="AS164" i="5" s="1"/>
  <c r="AO50" i="5"/>
  <c r="BB50" i="5" s="1"/>
  <c r="AO212" i="5"/>
  <c r="AR212" i="5" s="1"/>
  <c r="AS212" i="5" s="1"/>
  <c r="AD150" i="5"/>
  <c r="AX202" i="5"/>
  <c r="AO180" i="5"/>
  <c r="BB180" i="5" s="1"/>
  <c r="AX155" i="5"/>
  <c r="AX24" i="5"/>
  <c r="AO217" i="5"/>
  <c r="BB217" i="5" s="1"/>
  <c r="AW153" i="5"/>
  <c r="AX153" i="5" s="1"/>
  <c r="AO166" i="5"/>
  <c r="AR166" i="5" s="1"/>
  <c r="AS166" i="5" s="1"/>
  <c r="AW159" i="5"/>
  <c r="AX159" i="5" s="1"/>
  <c r="AX34" i="5"/>
  <c r="AO4" i="5"/>
  <c r="BB4" i="5" s="1"/>
  <c r="BC4" i="5" s="1"/>
  <c r="AX31" i="5"/>
  <c r="AK36" i="5"/>
  <c r="AX189" i="5"/>
  <c r="AX71" i="5"/>
  <c r="AO17" i="5"/>
  <c r="AR17" i="5" s="1"/>
  <c r="AS17" i="5" s="1"/>
  <c r="AX66" i="5"/>
  <c r="AX72" i="5"/>
  <c r="AO93" i="5"/>
  <c r="AR93" i="5" s="1"/>
  <c r="AS93" i="5" s="1"/>
  <c r="AX86" i="5"/>
  <c r="AX130" i="5"/>
  <c r="AW92" i="5"/>
  <c r="AX92" i="5" s="1"/>
  <c r="AX131" i="5"/>
  <c r="AX8" i="5"/>
  <c r="AX180" i="5"/>
  <c r="AX20" i="5"/>
  <c r="AX219" i="5"/>
  <c r="AX197" i="5"/>
  <c r="AX63" i="5"/>
  <c r="AX186" i="5"/>
  <c r="AX209" i="5"/>
  <c r="AW188" i="5"/>
  <c r="AX188" i="5" s="1"/>
  <c r="AX14" i="5"/>
  <c r="AX161" i="5"/>
  <c r="AX84" i="5"/>
  <c r="AX137" i="5"/>
  <c r="AX194" i="5"/>
  <c r="AX9" i="5"/>
  <c r="AX181" i="5"/>
  <c r="AO186" i="5"/>
  <c r="AR186" i="5" s="1"/>
  <c r="AS186" i="5" s="1"/>
  <c r="AX81" i="5"/>
  <c r="AX136" i="5"/>
  <c r="AW124" i="5"/>
  <c r="AX124" i="5" s="1"/>
  <c r="AW183" i="5"/>
  <c r="AX183" i="5" s="1"/>
  <c r="AX45" i="5"/>
  <c r="AO68" i="5"/>
  <c r="AR68" i="5" s="1"/>
  <c r="AS68" i="5" s="1"/>
  <c r="AW144" i="5"/>
  <c r="AX144" i="5" s="1"/>
  <c r="AX90" i="5"/>
  <c r="AX170" i="5"/>
  <c r="AO88" i="5"/>
  <c r="AR88" i="5" s="1"/>
  <c r="AS88" i="5" s="1"/>
  <c r="AO220" i="5"/>
  <c r="BB220" i="5" s="1"/>
  <c r="AW27" i="5"/>
  <c r="AX27" i="5" s="1"/>
  <c r="AW58" i="5"/>
  <c r="AX58" i="5" s="1"/>
  <c r="AO72" i="5"/>
  <c r="BB72" i="5" s="1"/>
  <c r="AW206" i="5"/>
  <c r="AX206" i="5" s="1"/>
  <c r="AD124" i="5"/>
  <c r="AO43" i="5"/>
  <c r="AR43" i="5" s="1"/>
  <c r="AS43" i="5" s="1"/>
  <c r="AJ133" i="5"/>
  <c r="AO25" i="5"/>
  <c r="AR25" i="5" s="1"/>
  <c r="AS25" i="5" s="1"/>
  <c r="AO131" i="5"/>
  <c r="BB131" i="5" s="1"/>
  <c r="AO12" i="5"/>
  <c r="BB12" i="5" s="1"/>
  <c r="AO197" i="5"/>
  <c r="AR197" i="5" s="1"/>
  <c r="AS197" i="5" s="1"/>
  <c r="AO24" i="5"/>
  <c r="AR24" i="5" s="1"/>
  <c r="AS24" i="5" s="1"/>
  <c r="AX3" i="5"/>
  <c r="AO84" i="5"/>
  <c r="AR84" i="5" s="1"/>
  <c r="AS84" i="5" s="1"/>
  <c r="AO40" i="5"/>
  <c r="AR40" i="5" s="1"/>
  <c r="AS40" i="5" s="1"/>
  <c r="AJ172" i="5"/>
  <c r="AO20" i="5"/>
  <c r="BB20" i="5" s="1"/>
  <c r="AO100" i="5"/>
  <c r="AR100" i="5" s="1"/>
  <c r="AS100" i="5" s="1"/>
  <c r="AW178" i="5"/>
  <c r="AX178" i="5" s="1"/>
  <c r="AX113" i="5"/>
  <c r="AJ163" i="5"/>
  <c r="AW167" i="5"/>
  <c r="AX167" i="5" s="1"/>
  <c r="AW104" i="5"/>
  <c r="AX104" i="5" s="1"/>
  <c r="AO122" i="5"/>
  <c r="AR122" i="5" s="1"/>
  <c r="AS122" i="5" s="1"/>
  <c r="AD28" i="5"/>
  <c r="AW107" i="5"/>
  <c r="AX107" i="5" s="1"/>
  <c r="AJ165" i="5"/>
  <c r="AO169" i="5"/>
  <c r="AR169" i="5" s="1"/>
  <c r="AS169" i="5" s="1"/>
  <c r="AX135" i="5"/>
  <c r="AX54" i="5"/>
  <c r="AX163" i="5"/>
  <c r="AX94" i="5"/>
  <c r="AO63" i="5"/>
  <c r="AR63" i="5" s="1"/>
  <c r="AS63" i="5" s="1"/>
  <c r="AO149" i="5"/>
  <c r="AR149" i="5" s="1"/>
  <c r="AS149" i="5" s="1"/>
  <c r="AO103" i="5"/>
  <c r="BB103" i="5" s="1"/>
  <c r="AX146" i="5"/>
  <c r="AW215" i="5"/>
  <c r="AX215" i="5" s="1"/>
  <c r="AO44" i="5"/>
  <c r="AR44" i="5" s="1"/>
  <c r="AS44" i="5" s="1"/>
  <c r="AJ218" i="5"/>
  <c r="BB195" i="5"/>
  <c r="BF195" i="5" s="1"/>
  <c r="AX115" i="5"/>
  <c r="AX166" i="5"/>
  <c r="AK160" i="5"/>
  <c r="AX138" i="5"/>
  <c r="AX174" i="5"/>
  <c r="AD147" i="5"/>
  <c r="AW108" i="5"/>
  <c r="AX108" i="5" s="1"/>
  <c r="AX77" i="5"/>
  <c r="AO2" i="5"/>
  <c r="AR2" i="5" s="1"/>
  <c r="AS2" i="5" s="1"/>
  <c r="AW175" i="5"/>
  <c r="AX175" i="5" s="1"/>
  <c r="AO181" i="5"/>
  <c r="AR181" i="5" s="1"/>
  <c r="AS181" i="5" s="1"/>
  <c r="AO90" i="5"/>
  <c r="AR90" i="5" s="1"/>
  <c r="AS90" i="5" s="1"/>
  <c r="AO142" i="5"/>
  <c r="AR142" i="5" s="1"/>
  <c r="AS142" i="5" s="1"/>
  <c r="AO210" i="5"/>
  <c r="BB210" i="5" s="1"/>
  <c r="AD210" i="5"/>
  <c r="AJ98" i="5"/>
  <c r="AO139" i="5"/>
  <c r="AR139" i="5" s="1"/>
  <c r="AS139" i="5" s="1"/>
  <c r="AO54" i="5"/>
  <c r="AR54" i="5" s="1"/>
  <c r="AS54" i="5" s="1"/>
  <c r="AJ183" i="5"/>
  <c r="AW69" i="5"/>
  <c r="AX69" i="5" s="1"/>
  <c r="AX87" i="5"/>
  <c r="AX18" i="5"/>
  <c r="AW168" i="5"/>
  <c r="AX168" i="5" s="1"/>
  <c r="AX110" i="5"/>
  <c r="AO3" i="5"/>
  <c r="AR3" i="5" s="1"/>
  <c r="AS3" i="5" s="1"/>
  <c r="AO214" i="5"/>
  <c r="AR214" i="5" s="1"/>
  <c r="AS214" i="5" s="1"/>
  <c r="AX88" i="5"/>
  <c r="AW120" i="5"/>
  <c r="AX120" i="5" s="1"/>
  <c r="AJ94" i="5"/>
  <c r="AX196" i="5"/>
  <c r="AO129" i="5"/>
  <c r="AR129" i="5" s="1"/>
  <c r="AS129" i="5" s="1"/>
  <c r="AX40" i="5"/>
  <c r="AD4" i="5"/>
  <c r="AX57" i="5"/>
  <c r="BB225" i="5"/>
  <c r="BF225" i="5" s="1"/>
  <c r="AW179" i="5"/>
  <c r="AX179" i="5" s="1"/>
  <c r="AO64" i="5"/>
  <c r="AR64" i="5" s="1"/>
  <c r="AS64" i="5" s="1"/>
  <c r="AW35" i="5"/>
  <c r="AX35" i="5" s="1"/>
  <c r="AW47" i="5"/>
  <c r="AX47" i="5" s="1"/>
  <c r="AO75" i="5"/>
  <c r="AR75" i="5" s="1"/>
  <c r="AS75" i="5" s="1"/>
  <c r="AW59" i="5"/>
  <c r="AX59" i="5" s="1"/>
  <c r="AJ11" i="5"/>
  <c r="AO45" i="5"/>
  <c r="BB45" i="5" s="1"/>
  <c r="AW78" i="5"/>
  <c r="AX78" i="5" s="1"/>
  <c r="AW223" i="5"/>
  <c r="AX223" i="5" s="1"/>
  <c r="AD44" i="5"/>
  <c r="AD136" i="5"/>
  <c r="AO81" i="5"/>
  <c r="AR81" i="5" s="1"/>
  <c r="AS81" i="5" s="1"/>
  <c r="AW102" i="5"/>
  <c r="AX102" i="5" s="1"/>
  <c r="AO135" i="5"/>
  <c r="AR135" i="5" s="1"/>
  <c r="AS135" i="5" s="1"/>
  <c r="AO101" i="5"/>
  <c r="AR101" i="5" s="1"/>
  <c r="AS101" i="5" s="1"/>
  <c r="AW205" i="5"/>
  <c r="AX205" i="5" s="1"/>
  <c r="AO70" i="5"/>
  <c r="BB70" i="5" s="1"/>
  <c r="AW85" i="5"/>
  <c r="AX85" i="5" s="1"/>
  <c r="BB168" i="5"/>
  <c r="BD168" i="5" s="1"/>
  <c r="AX12" i="5"/>
  <c r="AW6" i="5"/>
  <c r="AX6" i="5" s="1"/>
  <c r="AD30" i="5"/>
  <c r="AX65" i="5"/>
  <c r="AX220" i="5"/>
  <c r="AW222" i="5"/>
  <c r="AX222" i="5" s="1"/>
  <c r="AK163" i="5"/>
  <c r="AK156" i="5"/>
  <c r="AK104" i="5"/>
  <c r="AK183" i="5"/>
  <c r="AK193" i="5"/>
  <c r="AK60" i="5"/>
  <c r="AK72" i="5"/>
  <c r="AX25" i="5"/>
  <c r="AW11" i="5"/>
  <c r="AX11" i="5" s="1"/>
  <c r="AD7" i="5"/>
  <c r="AO110" i="5"/>
  <c r="AR110" i="5" s="1"/>
  <c r="AS110" i="5" s="1"/>
  <c r="AO67" i="5"/>
  <c r="AR67" i="5" s="1"/>
  <c r="AS67" i="5" s="1"/>
  <c r="AW203" i="5"/>
  <c r="AX203" i="5" s="1"/>
  <c r="AO23" i="5"/>
  <c r="AR23" i="5" s="1"/>
  <c r="AS23" i="5" s="1"/>
  <c r="AW123" i="5"/>
  <c r="AX123" i="5" s="1"/>
  <c r="AO8" i="5"/>
  <c r="AR8" i="5" s="1"/>
  <c r="AS8" i="5" s="1"/>
  <c r="AO56" i="5"/>
  <c r="BB56" i="5" s="1"/>
  <c r="BP181" i="5"/>
  <c r="AX5" i="5"/>
  <c r="AO163" i="5"/>
  <c r="AR163" i="5" s="1"/>
  <c r="AS163" i="5" s="1"/>
  <c r="AO174" i="5"/>
  <c r="AR174" i="5" s="1"/>
  <c r="AS174" i="5" s="1"/>
  <c r="AW53" i="5"/>
  <c r="AX53" i="5" s="1"/>
  <c r="AX29" i="5"/>
  <c r="AX214" i="5"/>
  <c r="AW182" i="5"/>
  <c r="AX182" i="5" s="1"/>
  <c r="AW184" i="5"/>
  <c r="AX184" i="5" s="1"/>
  <c r="AW150" i="5"/>
  <c r="AX150" i="5" s="1"/>
  <c r="AO32" i="5"/>
  <c r="AR32" i="5" s="1"/>
  <c r="AS32" i="5" s="1"/>
  <c r="AX100" i="5"/>
  <c r="AJ6" i="5"/>
  <c r="AW99" i="5"/>
  <c r="AX99" i="5" s="1"/>
  <c r="AO137" i="5"/>
  <c r="BB137" i="5" s="1"/>
  <c r="AW13" i="5"/>
  <c r="AX13" i="5" s="1"/>
  <c r="AO162" i="5"/>
  <c r="BB162" i="5" s="1"/>
  <c r="AO94" i="5"/>
  <c r="BB94" i="5" s="1"/>
  <c r="BA87" i="5"/>
  <c r="AX154" i="5"/>
  <c r="AX75" i="5"/>
  <c r="AO177" i="5"/>
  <c r="AR177" i="5" s="1"/>
  <c r="AS177" i="5" s="1"/>
  <c r="AW177" i="5"/>
  <c r="AX177" i="5" s="1"/>
  <c r="AX4" i="5"/>
  <c r="AW95" i="5"/>
  <c r="AX95" i="5" s="1"/>
  <c r="AX91" i="5"/>
  <c r="AX160" i="5"/>
  <c r="AO57" i="5"/>
  <c r="AR57" i="5" s="1"/>
  <c r="AS57" i="5" s="1"/>
  <c r="AO170" i="5"/>
  <c r="AR170" i="5" s="1"/>
  <c r="AS170" i="5" s="1"/>
  <c r="AO130" i="5"/>
  <c r="AR130" i="5" s="1"/>
  <c r="AS130" i="5" s="1"/>
  <c r="AO51" i="5"/>
  <c r="AR51" i="5" s="1"/>
  <c r="AS51" i="5" s="1"/>
  <c r="AO66" i="5"/>
  <c r="AR66" i="5" s="1"/>
  <c r="AS66" i="5" s="1"/>
  <c r="AW28" i="5"/>
  <c r="AX28" i="5" s="1"/>
  <c r="AO9" i="5"/>
  <c r="AX139" i="5"/>
  <c r="AO146" i="5"/>
  <c r="AR146" i="5" s="1"/>
  <c r="AS146" i="5" s="1"/>
  <c r="AJ110" i="5"/>
  <c r="AW114" i="5"/>
  <c r="AX114" i="5" s="1"/>
  <c r="AW185" i="5"/>
  <c r="AX185" i="5" s="1"/>
  <c r="AO152" i="5"/>
  <c r="AR152" i="5" s="1"/>
  <c r="AS152" i="5" s="1"/>
  <c r="AW97" i="5"/>
  <c r="AX97" i="5" s="1"/>
  <c r="AJ72" i="5"/>
  <c r="AX169" i="5"/>
  <c r="AO138" i="5"/>
  <c r="BB138" i="5" s="1"/>
  <c r="AX55" i="5"/>
  <c r="AX172" i="5"/>
  <c r="AX101" i="5"/>
  <c r="AX93" i="5"/>
  <c r="AO218" i="5"/>
  <c r="AR218" i="5" s="1"/>
  <c r="AS218" i="5" s="1"/>
  <c r="AX122" i="5"/>
  <c r="AO65" i="5"/>
  <c r="BB65" i="5" s="1"/>
  <c r="AJ88" i="5"/>
  <c r="AO48" i="5"/>
  <c r="BB48" i="5" s="1"/>
  <c r="AW109" i="5"/>
  <c r="AX109" i="5" s="1"/>
  <c r="AW221" i="5"/>
  <c r="AX221" i="5" s="1"/>
  <c r="AX19" i="5"/>
  <c r="AX176" i="5"/>
  <c r="AX17" i="5"/>
  <c r="AX129" i="5"/>
  <c r="AX140" i="5"/>
  <c r="AX70" i="5"/>
  <c r="AK4" i="5"/>
  <c r="AK21" i="5"/>
  <c r="AK50" i="5"/>
  <c r="AK203" i="5"/>
  <c r="AK48" i="5"/>
  <c r="AK223" i="5"/>
  <c r="AK201" i="5"/>
  <c r="AK49" i="5"/>
  <c r="AK191" i="5"/>
  <c r="AK70" i="5"/>
  <c r="AK90" i="5"/>
  <c r="AK40" i="5"/>
  <c r="AK194" i="5"/>
  <c r="AK133" i="5"/>
  <c r="AK100" i="5"/>
  <c r="AK93" i="5"/>
  <c r="AK147" i="5"/>
  <c r="AK204" i="5"/>
  <c r="AK172" i="5"/>
  <c r="AK214" i="5"/>
  <c r="AK199" i="5"/>
  <c r="AK81" i="5"/>
  <c r="AK63" i="5"/>
  <c r="AK28" i="5"/>
  <c r="AK174" i="5"/>
  <c r="AK161" i="5"/>
  <c r="AK91" i="5"/>
  <c r="AK126" i="5"/>
  <c r="AK65" i="5"/>
  <c r="AR213" i="5"/>
  <c r="AS213" i="5" s="1"/>
  <c r="BB213" i="5"/>
  <c r="BD213" i="5" s="1"/>
  <c r="AD105" i="5"/>
  <c r="AJ105" i="5"/>
  <c r="AJ151" i="5"/>
  <c r="AX44" i="5"/>
  <c r="AO29" i="5"/>
  <c r="BB29" i="5" s="1"/>
  <c r="AX152" i="5"/>
  <c r="AX133" i="5"/>
  <c r="AO140" i="5"/>
  <c r="AR140" i="5" s="1"/>
  <c r="AS140" i="5" s="1"/>
  <c r="AW147" i="5"/>
  <c r="AX147" i="5" s="1"/>
  <c r="AW46" i="5"/>
  <c r="AX46" i="5" s="1"/>
  <c r="AJ214" i="5"/>
  <c r="AW7" i="5"/>
  <c r="AX7" i="5" s="1"/>
  <c r="AO7" i="5"/>
  <c r="AR7" i="5" s="1"/>
  <c r="AS7" i="5" s="1"/>
  <c r="AD90" i="5"/>
  <c r="AJ90" i="5"/>
  <c r="AJ21" i="5"/>
  <c r="AD21" i="5"/>
  <c r="AD42" i="5"/>
  <c r="AJ42" i="5"/>
  <c r="AW10" i="5"/>
  <c r="AX10" i="5" s="1"/>
  <c r="AW187" i="5"/>
  <c r="AX187" i="5" s="1"/>
  <c r="AO187" i="5"/>
  <c r="AR187" i="5" s="1"/>
  <c r="AS187" i="5" s="1"/>
  <c r="AW22" i="5"/>
  <c r="AX22" i="5" s="1"/>
  <c r="AO22" i="5"/>
  <c r="AR22" i="5" s="1"/>
  <c r="AS22" i="5" s="1"/>
  <c r="AD203" i="5"/>
  <c r="AJ203" i="5"/>
  <c r="AO52" i="5"/>
  <c r="AR52" i="5" s="1"/>
  <c r="AS52" i="5" s="1"/>
  <c r="AW52" i="5"/>
  <c r="AX52" i="5" s="1"/>
  <c r="AD223" i="5"/>
  <c r="AJ223" i="5"/>
  <c r="BB10" i="5"/>
  <c r="BC10" i="5" s="1"/>
  <c r="AO176" i="5"/>
  <c r="AR176" i="5" s="1"/>
  <c r="AS176" i="5" s="1"/>
  <c r="AX64" i="5"/>
  <c r="AW105" i="5"/>
  <c r="AX105" i="5" s="1"/>
  <c r="AO19" i="5"/>
  <c r="BB19" i="5" s="1"/>
  <c r="AX210" i="5"/>
  <c r="AW121" i="5"/>
  <c r="AX121" i="5" s="1"/>
  <c r="AO172" i="5"/>
  <c r="AR172" i="5" s="1"/>
  <c r="AS172" i="5" s="1"/>
  <c r="AD49" i="5"/>
  <c r="AJ49" i="5"/>
  <c r="AJ174" i="5"/>
  <c r="AD174" i="5"/>
  <c r="AO34" i="5"/>
  <c r="BB34" i="5" s="1"/>
  <c r="AO136" i="5"/>
  <c r="BB136" i="5" s="1"/>
  <c r="AX50" i="5"/>
  <c r="AJ194" i="5"/>
  <c r="AD194" i="5"/>
  <c r="AW211" i="5"/>
  <c r="AX211" i="5" s="1"/>
  <c r="AO211" i="5"/>
  <c r="AR211" i="5" s="1"/>
  <c r="AS211" i="5" s="1"/>
  <c r="AX68" i="5"/>
  <c r="AX125" i="5"/>
  <c r="AJ93" i="5"/>
  <c r="AD93" i="5"/>
  <c r="AD211" i="5"/>
  <c r="AJ211" i="5"/>
  <c r="AO190" i="5"/>
  <c r="AW190" i="5"/>
  <c r="AX190" i="5" s="1"/>
  <c r="AJ103" i="5"/>
  <c r="AD103" i="5"/>
  <c r="AO61" i="5"/>
  <c r="AR61" i="5" s="1"/>
  <c r="AS61" i="5" s="1"/>
  <c r="AO31" i="5"/>
  <c r="AR31" i="5" s="1"/>
  <c r="AS31" i="5" s="1"/>
  <c r="AO198" i="5"/>
  <c r="AR198" i="5" s="1"/>
  <c r="AS198" i="5" s="1"/>
  <c r="AX76" i="5"/>
  <c r="AJ116" i="5"/>
  <c r="AW116" i="5"/>
  <c r="AX116" i="5" s="1"/>
  <c r="AO77" i="5"/>
  <c r="AR77" i="5" s="1"/>
  <c r="AS77" i="5" s="1"/>
  <c r="AJ81" i="5"/>
  <c r="AD161" i="5"/>
  <c r="AJ161" i="5"/>
  <c r="AD204" i="5"/>
  <c r="AJ204" i="5"/>
  <c r="AJ91" i="5"/>
  <c r="AO18" i="5"/>
  <c r="AR18" i="5" s="1"/>
  <c r="AS18" i="5" s="1"/>
  <c r="AD180" i="5"/>
  <c r="AO55" i="5"/>
  <c r="AR55" i="5" s="1"/>
  <c r="AS55" i="5" s="1"/>
  <c r="AX162" i="5"/>
  <c r="AW173" i="5"/>
  <c r="AX173" i="5" s="1"/>
  <c r="AO173" i="5"/>
  <c r="BB221" i="5"/>
  <c r="BM221" i="5" s="1"/>
  <c r="AD199" i="5"/>
  <c r="AW38" i="5"/>
  <c r="AX38" i="5" s="1"/>
  <c r="AO38" i="5"/>
  <c r="AJ65" i="5"/>
  <c r="AD65" i="5"/>
  <c r="AW26" i="5"/>
  <c r="AX26" i="5" s="1"/>
  <c r="AO26" i="5"/>
  <c r="AR26" i="5" s="1"/>
  <c r="AS26" i="5" s="1"/>
  <c r="AN205" i="5"/>
  <c r="AK59" i="5"/>
  <c r="AK206" i="5"/>
  <c r="AN35" i="5"/>
  <c r="AF35" i="5"/>
  <c r="AK123" i="5"/>
  <c r="AN129" i="5"/>
  <c r="AF83" i="5"/>
  <c r="AK131" i="5"/>
  <c r="AK39" i="5"/>
  <c r="AN159" i="5"/>
  <c r="AF129" i="5"/>
  <c r="AK157" i="5"/>
  <c r="AK73" i="5"/>
  <c r="AK221" i="5"/>
  <c r="AN114" i="5"/>
  <c r="AK16" i="5"/>
  <c r="AK116" i="5"/>
  <c r="AK197" i="5"/>
  <c r="AK102" i="5"/>
  <c r="AN164" i="5"/>
  <c r="AF164" i="5"/>
  <c r="AN177" i="5"/>
  <c r="AF177" i="5"/>
  <c r="AK152" i="5"/>
  <c r="AK88" i="5"/>
  <c r="AF159" i="5"/>
  <c r="AN219" i="5"/>
  <c r="AF219" i="5"/>
  <c r="AN176" i="5"/>
  <c r="AK110" i="5"/>
  <c r="AN142" i="5"/>
  <c r="AN86" i="5"/>
  <c r="AK173" i="5"/>
  <c r="AN87" i="5"/>
  <c r="AK109" i="5"/>
  <c r="AK216" i="5"/>
  <c r="AK3" i="5"/>
  <c r="AK224" i="5"/>
  <c r="AK74" i="5"/>
  <c r="AF119" i="5"/>
  <c r="AF142" i="5"/>
  <c r="AK149" i="5"/>
  <c r="AK124" i="5"/>
  <c r="AK154" i="5"/>
  <c r="AF200" i="5"/>
  <c r="AN137" i="5"/>
  <c r="AF137" i="5"/>
  <c r="AK178" i="5"/>
  <c r="AK113" i="5"/>
  <c r="AK169" i="5"/>
  <c r="AK153" i="5"/>
  <c r="AN24" i="5"/>
  <c r="AF24" i="5"/>
  <c r="AN27" i="5"/>
  <c r="AK118" i="5"/>
  <c r="AU225" i="5"/>
  <c r="AV225" i="5" s="1"/>
  <c r="AK210" i="5"/>
  <c r="AK45" i="5"/>
  <c r="AK33" i="5"/>
  <c r="AK136" i="5"/>
  <c r="AK106" i="5"/>
  <c r="AF205" i="5"/>
  <c r="AK190" i="5"/>
  <c r="AK44" i="5"/>
  <c r="AK79" i="5"/>
  <c r="AN41" i="5"/>
  <c r="AK18" i="5"/>
  <c r="AU168" i="5"/>
  <c r="AV168" i="5" s="1"/>
  <c r="AK209" i="5"/>
  <c r="AK51" i="5"/>
  <c r="AK125" i="5"/>
  <c r="AK165" i="5"/>
  <c r="AK66" i="5"/>
  <c r="AK25" i="5"/>
  <c r="AK167" i="5"/>
  <c r="AF184" i="5"/>
  <c r="AK207" i="5"/>
  <c r="AN19" i="5"/>
  <c r="AF158" i="5"/>
  <c r="AN158" i="5"/>
  <c r="AF27" i="5"/>
  <c r="AK151" i="5"/>
  <c r="AK108" i="5"/>
  <c r="AK181" i="5"/>
  <c r="AF41" i="5"/>
  <c r="AF176" i="5"/>
  <c r="AK34" i="5"/>
  <c r="AK67" i="5"/>
  <c r="AN139" i="5"/>
  <c r="AN127" i="5"/>
  <c r="AK17" i="5"/>
  <c r="AK145" i="5"/>
  <c r="AK84" i="5"/>
  <c r="AK42" i="5"/>
  <c r="AN78" i="5"/>
  <c r="AF78" i="5"/>
  <c r="AF127" i="5"/>
  <c r="AK132" i="5"/>
  <c r="AN134" i="5"/>
  <c r="AK140" i="5"/>
  <c r="AK32" i="5"/>
  <c r="AN43" i="5"/>
  <c r="AN83" i="5"/>
  <c r="AK117" i="5"/>
  <c r="AF61" i="5"/>
  <c r="AN57" i="5"/>
  <c r="AN8" i="5"/>
  <c r="AK15" i="5"/>
  <c r="AN55" i="5"/>
  <c r="AF134" i="5"/>
  <c r="AK71" i="5"/>
  <c r="AK30" i="5"/>
  <c r="AF217" i="5"/>
  <c r="AN14" i="5"/>
  <c r="AF14" i="5"/>
  <c r="AF75" i="5"/>
  <c r="AN75" i="5"/>
  <c r="AK130" i="5"/>
  <c r="AU195" i="5"/>
  <c r="AV195" i="5" s="1"/>
  <c r="AF87" i="5"/>
  <c r="AF55" i="5"/>
  <c r="AK120" i="5"/>
  <c r="AK212" i="5"/>
  <c r="AK208" i="5"/>
  <c r="AK146" i="5"/>
  <c r="AK112" i="5"/>
  <c r="AK2" i="5"/>
  <c r="AN22" i="5"/>
  <c r="AF22" i="5"/>
  <c r="AN46" i="5"/>
  <c r="AF46" i="5"/>
  <c r="AN187" i="5"/>
  <c r="AF187" i="5"/>
  <c r="AK94" i="5"/>
  <c r="AF186" i="5"/>
  <c r="AK122" i="5"/>
  <c r="AK62" i="5"/>
  <c r="AN61" i="5"/>
  <c r="AK68" i="5"/>
  <c r="AK179" i="5"/>
  <c r="AK195" i="5"/>
  <c r="AF57" i="5"/>
  <c r="AF8" i="5"/>
  <c r="AK76" i="5"/>
  <c r="AK162" i="5"/>
  <c r="AK170" i="5"/>
  <c r="AN23" i="5"/>
  <c r="AK225" i="5"/>
  <c r="AF23" i="5"/>
  <c r="AN69" i="5"/>
  <c r="AN196" i="5"/>
  <c r="AF196" i="5"/>
  <c r="AN217" i="5"/>
  <c r="AK182" i="5"/>
  <c r="AK7" i="5"/>
  <c r="AK141" i="5"/>
  <c r="AF31" i="5"/>
  <c r="AN31" i="5"/>
  <c r="AK29" i="5"/>
  <c r="AK58" i="5"/>
  <c r="AN186" i="5"/>
  <c r="AN200" i="5"/>
  <c r="AU85" i="5"/>
  <c r="AV85" i="5" s="1"/>
  <c r="AN56" i="5"/>
  <c r="AK188" i="5"/>
  <c r="AU221" i="5"/>
  <c r="AV221" i="5" s="1"/>
  <c r="AK121" i="5"/>
  <c r="AK6" i="5"/>
  <c r="AK222" i="5"/>
  <c r="AF69" i="5"/>
  <c r="AN92" i="5"/>
  <c r="AK144" i="5"/>
  <c r="AU222" i="5"/>
  <c r="AV222" i="5" s="1"/>
  <c r="AN215" i="5"/>
  <c r="AF215" i="5"/>
  <c r="AF5" i="5"/>
  <c r="AN184" i="5"/>
  <c r="AF56" i="5"/>
  <c r="AF115" i="5"/>
  <c r="AK218" i="5"/>
  <c r="AK198" i="5"/>
  <c r="AK175" i="5"/>
  <c r="AK105" i="5"/>
  <c r="AK211" i="5"/>
  <c r="AK143" i="5"/>
  <c r="AF155" i="5"/>
  <c r="AK111" i="5"/>
  <c r="AK54" i="5"/>
  <c r="AF19" i="5"/>
  <c r="AK11" i="5"/>
  <c r="AK135" i="5"/>
  <c r="AU10" i="5"/>
  <c r="AV10" i="5" s="1"/>
  <c r="AF220" i="5"/>
  <c r="AN220" i="5"/>
  <c r="AK9" i="5"/>
  <c r="AF139" i="5"/>
  <c r="AF97" i="5"/>
  <c r="AN97" i="5"/>
  <c r="AK96" i="5"/>
  <c r="AN5" i="5"/>
  <c r="AN53" i="5"/>
  <c r="AK82" i="5"/>
  <c r="AK47" i="5"/>
  <c r="AF148" i="5"/>
  <c r="AF26" i="5"/>
  <c r="AK98" i="5"/>
  <c r="AK89" i="5"/>
  <c r="AK189" i="5"/>
  <c r="AK202" i="5"/>
  <c r="AN166" i="5"/>
  <c r="AK171" i="5"/>
  <c r="AF138" i="5"/>
  <c r="AK180" i="5"/>
  <c r="AN155" i="5"/>
  <c r="AK128" i="5"/>
  <c r="AK99" i="5"/>
  <c r="AK107" i="5"/>
  <c r="AK168" i="5"/>
  <c r="AK213" i="5"/>
  <c r="AF43" i="5"/>
  <c r="AK103" i="5"/>
  <c r="AK150" i="5"/>
  <c r="AK80" i="5"/>
  <c r="AN119" i="5"/>
  <c r="AK192" i="5"/>
  <c r="AK10" i="5"/>
  <c r="AF53" i="5"/>
  <c r="AF86" i="5"/>
  <c r="AF114" i="5"/>
  <c r="AN148" i="5"/>
  <c r="AN26" i="5"/>
  <c r="AN115" i="5"/>
  <c r="AF166" i="5"/>
  <c r="AK52" i="5"/>
  <c r="AK37" i="5"/>
  <c r="AK77" i="5"/>
  <c r="AN138" i="5"/>
  <c r="AK85" i="5"/>
  <c r="AK185" i="5"/>
  <c r="AK12" i="5"/>
  <c r="AK64" i="5"/>
  <c r="AF92" i="5"/>
  <c r="AF95" i="5"/>
  <c r="AN95" i="5"/>
  <c r="AN20" i="5"/>
  <c r="AF20" i="5"/>
  <c r="AF38" i="5"/>
  <c r="AN38" i="5"/>
  <c r="AF13" i="5"/>
  <c r="AN13" i="5"/>
  <c r="AF101" i="5"/>
  <c r="AN101" i="5"/>
  <c r="BA199" i="5"/>
  <c r="BP65" i="5"/>
  <c r="BN65" i="5"/>
  <c r="BN179" i="5"/>
  <c r="BP179" i="5"/>
  <c r="AX198" i="5"/>
  <c r="AO216" i="5"/>
  <c r="AW216" i="5"/>
  <c r="AX216" i="5" s="1"/>
  <c r="AD111" i="5"/>
  <c r="AW193" i="5"/>
  <c r="AX193" i="5" s="1"/>
  <c r="AO193" i="5"/>
  <c r="AR193" i="5" s="1"/>
  <c r="AS193" i="5" s="1"/>
  <c r="AX67" i="5"/>
  <c r="BA187" i="5"/>
  <c r="BN183" i="5"/>
  <c r="BP183" i="5"/>
  <c r="AO199" i="5"/>
  <c r="AW199" i="5"/>
  <c r="AX199" i="5" s="1"/>
  <c r="AO41" i="5"/>
  <c r="AR41" i="5" s="1"/>
  <c r="AS41" i="5" s="1"/>
  <c r="AW41" i="5"/>
  <c r="AX41" i="5" s="1"/>
  <c r="BN160" i="5"/>
  <c r="BP160" i="5"/>
  <c r="BP18" i="5"/>
  <c r="BN18" i="5"/>
  <c r="AO15" i="5"/>
  <c r="AR15" i="5" s="1"/>
  <c r="AS15" i="5" s="1"/>
  <c r="AW15" i="5"/>
  <c r="AX15" i="5" s="1"/>
  <c r="AO79" i="5"/>
  <c r="AR79" i="5" s="1"/>
  <c r="AS79" i="5" s="1"/>
  <c r="AW79" i="5"/>
  <c r="AX79" i="5" s="1"/>
  <c r="BP192" i="5"/>
  <c r="BN192" i="5"/>
  <c r="BP198" i="5"/>
  <c r="BN198" i="5"/>
  <c r="BB222" i="5"/>
  <c r="BM222" i="5" s="1"/>
  <c r="AW165" i="5"/>
  <c r="AX165" i="5" s="1"/>
  <c r="AO165" i="5"/>
  <c r="AR165" i="5" s="1"/>
  <c r="AS165" i="5" s="1"/>
  <c r="BN114" i="5"/>
  <c r="BP114" i="5"/>
  <c r="BN156" i="5"/>
  <c r="BP156" i="5"/>
  <c r="AW111" i="5"/>
  <c r="AX111" i="5" s="1"/>
  <c r="AW192" i="5"/>
  <c r="AX192" i="5" s="1"/>
  <c r="AO192" i="5"/>
  <c r="AO158" i="5"/>
  <c r="AR158" i="5" s="1"/>
  <c r="AS158" i="5" s="1"/>
  <c r="AW158" i="5"/>
  <c r="AX158" i="5" s="1"/>
  <c r="AW42" i="5"/>
  <c r="AX42" i="5" s="1"/>
  <c r="AO42" i="5"/>
  <c r="AR42" i="5" s="1"/>
  <c r="AS42" i="5" s="1"/>
  <c r="BP184" i="5"/>
  <c r="BN184" i="5"/>
  <c r="AX2" i="5"/>
  <c r="AX142" i="5"/>
  <c r="AX23" i="5"/>
  <c r="AO201" i="5"/>
  <c r="AR201" i="5" s="1"/>
  <c r="AS201" i="5" s="1"/>
  <c r="AW201" i="5"/>
  <c r="AX201" i="5" s="1"/>
  <c r="BN216" i="5"/>
  <c r="BP216" i="5"/>
  <c r="BA216" i="5"/>
  <c r="AW49" i="5"/>
  <c r="AX49" i="5" s="1"/>
  <c r="AO49" i="5"/>
  <c r="BP12" i="5"/>
  <c r="BN12" i="5"/>
  <c r="AW83" i="5"/>
  <c r="AX83" i="5" s="1"/>
  <c r="AO83" i="5"/>
  <c r="AR69" i="5"/>
  <c r="AS69" i="5" s="1"/>
  <c r="BB69" i="5"/>
  <c r="AR191" i="5"/>
  <c r="AS191" i="5" s="1"/>
  <c r="BB191" i="5"/>
  <c r="AR182" i="5"/>
  <c r="AS182" i="5" s="1"/>
  <c r="BB182" i="5"/>
  <c r="AR104" i="5"/>
  <c r="AS104" i="5" s="1"/>
  <c r="BB104" i="5"/>
  <c r="AR33" i="5"/>
  <c r="AS33" i="5" s="1"/>
  <c r="BB33" i="5"/>
  <c r="AR207" i="5"/>
  <c r="AS207" i="5" s="1"/>
  <c r="BB207" i="5"/>
  <c r="AR148" i="5"/>
  <c r="AS148" i="5" s="1"/>
  <c r="BB148" i="5"/>
  <c r="AR71" i="5"/>
  <c r="AS71" i="5" s="1"/>
  <c r="BB71" i="5"/>
  <c r="AR108" i="5"/>
  <c r="AS108" i="5" s="1"/>
  <c r="BB108" i="5"/>
  <c r="AR47" i="5"/>
  <c r="AS47" i="5" s="1"/>
  <c r="BB47" i="5"/>
  <c r="AR147" i="5"/>
  <c r="AS147" i="5" s="1"/>
  <c r="BB147" i="5"/>
  <c r="AR145" i="5"/>
  <c r="AS145" i="5" s="1"/>
  <c r="BB145" i="5"/>
  <c r="BB78" i="5"/>
  <c r="AR78" i="5"/>
  <c r="AS78" i="5" s="1"/>
  <c r="AR175" i="5"/>
  <c r="AS175" i="5" s="1"/>
  <c r="BB175" i="5"/>
  <c r="AR111" i="5"/>
  <c r="AS111" i="5" s="1"/>
  <c r="BB111" i="5"/>
  <c r="AR120" i="5"/>
  <c r="AS120" i="5" s="1"/>
  <c r="BB120" i="5"/>
  <c r="AR157" i="5"/>
  <c r="AS157" i="5" s="1"/>
  <c r="BB157" i="5"/>
  <c r="AR80" i="5"/>
  <c r="AS80" i="5" s="1"/>
  <c r="BB80" i="5"/>
  <c r="AR37" i="5"/>
  <c r="AS37" i="5" s="1"/>
  <c r="BB37" i="5"/>
  <c r="AR39" i="5"/>
  <c r="AS39" i="5" s="1"/>
  <c r="BB39" i="5"/>
  <c r="BB21" i="5"/>
  <c r="AR21" i="5"/>
  <c r="AS21" i="5" s="1"/>
  <c r="AR109" i="5"/>
  <c r="AS109" i="5" s="1"/>
  <c r="BB109" i="5"/>
  <c r="AR208" i="5"/>
  <c r="AS208" i="5" s="1"/>
  <c r="BB208" i="5"/>
  <c r="AR184" i="5"/>
  <c r="AS184" i="5" s="1"/>
  <c r="BB184" i="5"/>
  <c r="AR28" i="5"/>
  <c r="AS28" i="5" s="1"/>
  <c r="BB28" i="5"/>
  <c r="AR143" i="5"/>
  <c r="AS143" i="5" s="1"/>
  <c r="BB143" i="5"/>
  <c r="AR134" i="5"/>
  <c r="AS134" i="5" s="1"/>
  <c r="BB134" i="5"/>
  <c r="AR98" i="5"/>
  <c r="AS98" i="5" s="1"/>
  <c r="BB98" i="5"/>
  <c r="AR82" i="5"/>
  <c r="AS82" i="5" s="1"/>
  <c r="BB82" i="5"/>
  <c r="AR105" i="5"/>
  <c r="AS105" i="5" s="1"/>
  <c r="BB105" i="5"/>
  <c r="AR35" i="5"/>
  <c r="AS35" i="5" s="1"/>
  <c r="BB35" i="5"/>
  <c r="AR156" i="5"/>
  <c r="AS156" i="5" s="1"/>
  <c r="BB156" i="5"/>
  <c r="AR200" i="5"/>
  <c r="AS200" i="5" s="1"/>
  <c r="BB200" i="5"/>
  <c r="AR144" i="5"/>
  <c r="AS144" i="5" s="1"/>
  <c r="BB144" i="5"/>
  <c r="AR112" i="5"/>
  <c r="AS112" i="5" s="1"/>
  <c r="BB112" i="5"/>
  <c r="AR223" i="5"/>
  <c r="AS223" i="5" s="1"/>
  <c r="BB223" i="5"/>
  <c r="AR6" i="5"/>
  <c r="AS6" i="5" s="1"/>
  <c r="BB6" i="5"/>
  <c r="AR171" i="5"/>
  <c r="AS171" i="5" s="1"/>
  <c r="BB171" i="5"/>
  <c r="AR118" i="5"/>
  <c r="AS118" i="5" s="1"/>
  <c r="BB118" i="5"/>
  <c r="AR178" i="5"/>
  <c r="AS178" i="5" s="1"/>
  <c r="BB178" i="5"/>
  <c r="AR46" i="5"/>
  <c r="AS46" i="5" s="1"/>
  <c r="BB46" i="5"/>
  <c r="AR58" i="5"/>
  <c r="AS58" i="5" s="1"/>
  <c r="BB58" i="5"/>
  <c r="AR96" i="5"/>
  <c r="AS96" i="5" s="1"/>
  <c r="BB96" i="5"/>
  <c r="AR205" i="5"/>
  <c r="AS205" i="5" s="1"/>
  <c r="BB205" i="5"/>
  <c r="AR11" i="5"/>
  <c r="AS11" i="5" s="1"/>
  <c r="BB11" i="5"/>
  <c r="AR99" i="5"/>
  <c r="AS99" i="5" s="1"/>
  <c r="BB99" i="5"/>
  <c r="AR185" i="5"/>
  <c r="AS185" i="5" s="1"/>
  <c r="BB185" i="5"/>
  <c r="AR107" i="5"/>
  <c r="AS107" i="5" s="1"/>
  <c r="BB107" i="5"/>
  <c r="AR53" i="5"/>
  <c r="AS53" i="5" s="1"/>
  <c r="BB53" i="5"/>
  <c r="AR151" i="5"/>
  <c r="AS151" i="5" s="1"/>
  <c r="BB151" i="5"/>
  <c r="AR128" i="5"/>
  <c r="AS128" i="5" s="1"/>
  <c r="BB128" i="5"/>
  <c r="AR60" i="5"/>
  <c r="AS60" i="5" s="1"/>
  <c r="BB60" i="5"/>
  <c r="AR183" i="5"/>
  <c r="AS183" i="5" s="1"/>
  <c r="BB183" i="5"/>
  <c r="AR106" i="5"/>
  <c r="AS106" i="5" s="1"/>
  <c r="BB106" i="5"/>
  <c r="AR167" i="5"/>
  <c r="AS167" i="5" s="1"/>
  <c r="BB167" i="5"/>
  <c r="AR204" i="5"/>
  <c r="AS204" i="5" s="1"/>
  <c r="BB204" i="5"/>
  <c r="AR97" i="5"/>
  <c r="AS97" i="5" s="1"/>
  <c r="BB97" i="5"/>
  <c r="AR102" i="5"/>
  <c r="AS102" i="5" s="1"/>
  <c r="BB102" i="5"/>
  <c r="AR153" i="5"/>
  <c r="AS153" i="5" s="1"/>
  <c r="BB153" i="5"/>
  <c r="AR188" i="5"/>
  <c r="AS188" i="5" s="1"/>
  <c r="BB188" i="5"/>
  <c r="AR179" i="5"/>
  <c r="AS179" i="5" s="1"/>
  <c r="BB179" i="5"/>
  <c r="AR123" i="5"/>
  <c r="AS123" i="5" s="1"/>
  <c r="BB123" i="5"/>
  <c r="AR36" i="5"/>
  <c r="AS36" i="5" s="1"/>
  <c r="BB36" i="5"/>
  <c r="AR224" i="5"/>
  <c r="AS224" i="5" s="1"/>
  <c r="BB224" i="5"/>
  <c r="AR150" i="5"/>
  <c r="AS150" i="5" s="1"/>
  <c r="BB150" i="5"/>
  <c r="AR203" i="5"/>
  <c r="AS203" i="5" s="1"/>
  <c r="BB203" i="5"/>
  <c r="AR124" i="5"/>
  <c r="AS124" i="5" s="1"/>
  <c r="BB124" i="5"/>
  <c r="AR92" i="5"/>
  <c r="AS92" i="5" s="1"/>
  <c r="BB92" i="5"/>
  <c r="AR27" i="5"/>
  <c r="AS27" i="5" s="1"/>
  <c r="BB27" i="5"/>
  <c r="AR59" i="5"/>
  <c r="AS59" i="5" s="1"/>
  <c r="BB59" i="5"/>
  <c r="AR215" i="5"/>
  <c r="AS215" i="5" s="1"/>
  <c r="BB215" i="5"/>
  <c r="AR114" i="5"/>
  <c r="AS114" i="5" s="1"/>
  <c r="BB114" i="5"/>
  <c r="AR13" i="5"/>
  <c r="AS13" i="5" s="1"/>
  <c r="BB13" i="5"/>
  <c r="AR141" i="5"/>
  <c r="AS141" i="5" s="1"/>
  <c r="BB141" i="5"/>
  <c r="AR116" i="5"/>
  <c r="AS116" i="5" s="1"/>
  <c r="BB116" i="5"/>
  <c r="AR159" i="5"/>
  <c r="AS159" i="5" s="1"/>
  <c r="BB159" i="5"/>
  <c r="AR121" i="5"/>
  <c r="AS121" i="5" s="1"/>
  <c r="BB121" i="5"/>
  <c r="AR89" i="5"/>
  <c r="AS89" i="5" s="1"/>
  <c r="BB89" i="5"/>
  <c r="AR95" i="5"/>
  <c r="AS95" i="5" s="1"/>
  <c r="BB95" i="5"/>
  <c r="AR132" i="5"/>
  <c r="AS132" i="5" s="1"/>
  <c r="BB132" i="5"/>
  <c r="AR206" i="5"/>
  <c r="AS206" i="5" s="1"/>
  <c r="BB206" i="5"/>
  <c r="AR30" i="5"/>
  <c r="AS30" i="5" s="1"/>
  <c r="BB30" i="5"/>
  <c r="AR74" i="5"/>
  <c r="AS74" i="5" s="1"/>
  <c r="BB74" i="5"/>
  <c r="AR119" i="5"/>
  <c r="AS119" i="5" s="1"/>
  <c r="BB119" i="5"/>
  <c r="AT14" i="5"/>
  <c r="AT164" i="5"/>
  <c r="AE36" i="5"/>
  <c r="AM36" i="5"/>
  <c r="AM160" i="5"/>
  <c r="AE160" i="5"/>
  <c r="AT3" i="5"/>
  <c r="AM163" i="5"/>
  <c r="AE163" i="5"/>
  <c r="AE72" i="5"/>
  <c r="AE156" i="5"/>
  <c r="AM156" i="5"/>
  <c r="AM104" i="5"/>
  <c r="AE104" i="5"/>
  <c r="AM183" i="5"/>
  <c r="AE183" i="5"/>
  <c r="AM60" i="5"/>
  <c r="AE60" i="5"/>
  <c r="AM72" i="5"/>
  <c r="AM193" i="5"/>
  <c r="AE193" i="5"/>
  <c r="AT177" i="5"/>
  <c r="AE4" i="5"/>
  <c r="AM4" i="5"/>
  <c r="AM63" i="5"/>
  <c r="AE63" i="5"/>
  <c r="AE174" i="5"/>
  <c r="AM93" i="5"/>
  <c r="AE18" i="5"/>
  <c r="AM168" i="5"/>
  <c r="AE80" i="5"/>
  <c r="AE52" i="5"/>
  <c r="AM133" i="5"/>
  <c r="AE133" i="5"/>
  <c r="AE65" i="5"/>
  <c r="AE84" i="5"/>
  <c r="AM49" i="5"/>
  <c r="AE28" i="5"/>
  <c r="AM28" i="5"/>
  <c r="AE93" i="5"/>
  <c r="AE180" i="5"/>
  <c r="AM65" i="5"/>
  <c r="AE50" i="5"/>
  <c r="AM50" i="5"/>
  <c r="AM214" i="5"/>
  <c r="AM208" i="5"/>
  <c r="AE77" i="5"/>
  <c r="AM199" i="5"/>
  <c r="AM100" i="5"/>
  <c r="AE100" i="5"/>
  <c r="AT187" i="5"/>
  <c r="AE146" i="5"/>
  <c r="AE135" i="5"/>
  <c r="AE171" i="5"/>
  <c r="AM76" i="5"/>
  <c r="AM70" i="5"/>
  <c r="AE70" i="5"/>
  <c r="AE48" i="5"/>
  <c r="AM48" i="5"/>
  <c r="AE91" i="5"/>
  <c r="AT7" i="5"/>
  <c r="AM194" i="5"/>
  <c r="AT26" i="5"/>
  <c r="AE10" i="5"/>
  <c r="AE209" i="5"/>
  <c r="AE30" i="5"/>
  <c r="AM150" i="5"/>
  <c r="AM126" i="5"/>
  <c r="AE126" i="5"/>
  <c r="AE90" i="5"/>
  <c r="AT22" i="5"/>
  <c r="AE194" i="5"/>
  <c r="AM81" i="5"/>
  <c r="AM15" i="5"/>
  <c r="AE15" i="5"/>
  <c r="AM201" i="5"/>
  <c r="AE201" i="5"/>
  <c r="AE147" i="5"/>
  <c r="AM147" i="5"/>
  <c r="AM90" i="5"/>
  <c r="AE203" i="5"/>
  <c r="AE161" i="5"/>
  <c r="AE34" i="5"/>
  <c r="AM34" i="5"/>
  <c r="AM122" i="5"/>
  <c r="AM21" i="5"/>
  <c r="AM203" i="5"/>
  <c r="AT211" i="5"/>
  <c r="AM161" i="5"/>
  <c r="AM47" i="5"/>
  <c r="AE85" i="5"/>
  <c r="AM85" i="5"/>
  <c r="AE204" i="5"/>
  <c r="AM225" i="5"/>
  <c r="AM204" i="5"/>
  <c r="AM44" i="5"/>
  <c r="AE199" i="5"/>
  <c r="AE223" i="5"/>
  <c r="AM91" i="5"/>
  <c r="AM191" i="5"/>
  <c r="AE191" i="5"/>
  <c r="AM172" i="5"/>
  <c r="AE172" i="5"/>
  <c r="AE21" i="5"/>
  <c r="AT52" i="5"/>
  <c r="AT172" i="5"/>
  <c r="AM125" i="5"/>
  <c r="AE71" i="5"/>
  <c r="AM71" i="5"/>
  <c r="AE49" i="5"/>
  <c r="AE64" i="5"/>
  <c r="AM40" i="5"/>
  <c r="AE40" i="5"/>
  <c r="AE81" i="5"/>
  <c r="AM223" i="5"/>
  <c r="AM174" i="5"/>
  <c r="AM17" i="5"/>
  <c r="AM111" i="5"/>
  <c r="AE214" i="5"/>
  <c r="AT213" i="5"/>
  <c r="AM39" i="5"/>
  <c r="AE39" i="5"/>
  <c r="AE16" i="5"/>
  <c r="AM16" i="5"/>
  <c r="AE109" i="5"/>
  <c r="AM109" i="5"/>
  <c r="AE124" i="5"/>
  <c r="AM124" i="5"/>
  <c r="AE153" i="5"/>
  <c r="AM153" i="5"/>
  <c r="AM146" i="5"/>
  <c r="AM135" i="5"/>
  <c r="AM171" i="5"/>
  <c r="AT41" i="5"/>
  <c r="AT158" i="5"/>
  <c r="AT160" i="5"/>
  <c r="AT142" i="5"/>
  <c r="AT24" i="5"/>
  <c r="AT86" i="5"/>
  <c r="AT224" i="5"/>
  <c r="AT159" i="5"/>
  <c r="AT132" i="5"/>
  <c r="AT98" i="5"/>
  <c r="AT25" i="5"/>
  <c r="AM216" i="5"/>
  <c r="AE216" i="5"/>
  <c r="AM154" i="5"/>
  <c r="AE154" i="5"/>
  <c r="AM106" i="5"/>
  <c r="AE106" i="5"/>
  <c r="AE76" i="5"/>
  <c r="AM10" i="5"/>
  <c r="AT15" i="5"/>
  <c r="AT55" i="5"/>
  <c r="AT37" i="5"/>
  <c r="AT68" i="5"/>
  <c r="AT166" i="5"/>
  <c r="AT186" i="5"/>
  <c r="AT100" i="5"/>
  <c r="AT76" i="5"/>
  <c r="AT171" i="5"/>
  <c r="AT202" i="5"/>
  <c r="AT128" i="5"/>
  <c r="AT167" i="5"/>
  <c r="AT153" i="5"/>
  <c r="AT149" i="5"/>
  <c r="AT139" i="5"/>
  <c r="AE208" i="5"/>
  <c r="AM77" i="5"/>
  <c r="AT69" i="5"/>
  <c r="AT129" i="5"/>
  <c r="AM123" i="5"/>
  <c r="AE123" i="5"/>
  <c r="AE116" i="5"/>
  <c r="AM116" i="5"/>
  <c r="AE102" i="5"/>
  <c r="AM102" i="5"/>
  <c r="AM3" i="5"/>
  <c r="AE3" i="5"/>
  <c r="AM209" i="5"/>
  <c r="AT81" i="5"/>
  <c r="AT140" i="5"/>
  <c r="AT84" i="5"/>
  <c r="AT120" i="5"/>
  <c r="AT150" i="5"/>
  <c r="AT121" i="5"/>
  <c r="AT206" i="5"/>
  <c r="AT122" i="5"/>
  <c r="AT77" i="5"/>
  <c r="AM224" i="5"/>
  <c r="AE224" i="5"/>
  <c r="AE122" i="5"/>
  <c r="AT79" i="5"/>
  <c r="AT42" i="5"/>
  <c r="AT33" i="5"/>
  <c r="AT175" i="5"/>
  <c r="AT88" i="5"/>
  <c r="AT181" i="5"/>
  <c r="AT154" i="5"/>
  <c r="AT170" i="5"/>
  <c r="AT82" i="5"/>
  <c r="AT144" i="5"/>
  <c r="AT118" i="5"/>
  <c r="AT46" i="5"/>
  <c r="AT205" i="5"/>
  <c r="AT5" i="5"/>
  <c r="AT155" i="5"/>
  <c r="AT113" i="5"/>
  <c r="AT188" i="5"/>
  <c r="AT123" i="5"/>
  <c r="AT92" i="5"/>
  <c r="AT59" i="5"/>
  <c r="AT13" i="5"/>
  <c r="AT119" i="5"/>
  <c r="AT63" i="5"/>
  <c r="AE157" i="5"/>
  <c r="AM157" i="5"/>
  <c r="AM110" i="5"/>
  <c r="AE110" i="5"/>
  <c r="AM190" i="5"/>
  <c r="AE190" i="5"/>
  <c r="AE47" i="5"/>
  <c r="AM180" i="5"/>
  <c r="AE111" i="5"/>
  <c r="AT93" i="5"/>
  <c r="AT146" i="5"/>
  <c r="AT148" i="5"/>
  <c r="AT17" i="5"/>
  <c r="AT157" i="5"/>
  <c r="AT107" i="5"/>
  <c r="AT40" i="5"/>
  <c r="AT8" i="5"/>
  <c r="AT75" i="5"/>
  <c r="AM84" i="5"/>
  <c r="AT109" i="5"/>
  <c r="AE74" i="5"/>
  <c r="AM74" i="5"/>
  <c r="AE210" i="5"/>
  <c r="AM210" i="5"/>
  <c r="AE125" i="5"/>
  <c r="AE225" i="5"/>
  <c r="AT57" i="5"/>
  <c r="AT145" i="5"/>
  <c r="AT111" i="5"/>
  <c r="AT21" i="5"/>
  <c r="AT208" i="5"/>
  <c r="AT110" i="5"/>
  <c r="AT23" i="5"/>
  <c r="AT198" i="5"/>
  <c r="AT35" i="5"/>
  <c r="AT87" i="5"/>
  <c r="AT73" i="5"/>
  <c r="AT178" i="5"/>
  <c r="AT58" i="5"/>
  <c r="AT218" i="5"/>
  <c r="AT18" i="5"/>
  <c r="AT60" i="5"/>
  <c r="AT204" i="5"/>
  <c r="AT179" i="5"/>
  <c r="AT36" i="5"/>
  <c r="AT51" i="5"/>
  <c r="AT212" i="5"/>
  <c r="AT30" i="5"/>
  <c r="AT130" i="5"/>
  <c r="AE169" i="5"/>
  <c r="AM169" i="5"/>
  <c r="AT2" i="5"/>
  <c r="AE73" i="5"/>
  <c r="AM73" i="5"/>
  <c r="AE45" i="5"/>
  <c r="AM45" i="5"/>
  <c r="AE44" i="5"/>
  <c r="AM30" i="5"/>
  <c r="AT191" i="5"/>
  <c r="AT182" i="5"/>
  <c r="AT53" i="5"/>
  <c r="AT203" i="5"/>
  <c r="AT176" i="5"/>
  <c r="AT215" i="5"/>
  <c r="AT89" i="5"/>
  <c r="AT147" i="5"/>
  <c r="AT27" i="5"/>
  <c r="AE59" i="5"/>
  <c r="AM59" i="5"/>
  <c r="AM221" i="5"/>
  <c r="AE221" i="5"/>
  <c r="AM152" i="5"/>
  <c r="AE152" i="5"/>
  <c r="AE178" i="5"/>
  <c r="AM178" i="5"/>
  <c r="AE150" i="5"/>
  <c r="AM64" i="5"/>
  <c r="AT201" i="5"/>
  <c r="AT127" i="5"/>
  <c r="AT47" i="5"/>
  <c r="AT62" i="5"/>
  <c r="AT184" i="5"/>
  <c r="AT143" i="5"/>
  <c r="AT209" i="5"/>
  <c r="AT156" i="5"/>
  <c r="AT169" i="5"/>
  <c r="AT223" i="5"/>
  <c r="AT174" i="5"/>
  <c r="AT54" i="5"/>
  <c r="AT99" i="5"/>
  <c r="AT125" i="5"/>
  <c r="AT106" i="5"/>
  <c r="AT97" i="5"/>
  <c r="AT16" i="5"/>
  <c r="AT126" i="5"/>
  <c r="AT74" i="5"/>
  <c r="AT197" i="5"/>
  <c r="AE206" i="5"/>
  <c r="AM206" i="5"/>
  <c r="AE88" i="5"/>
  <c r="AM88" i="5"/>
  <c r="AM33" i="5"/>
  <c r="AE33" i="5"/>
  <c r="AE17" i="5"/>
  <c r="AT91" i="5"/>
  <c r="AT71" i="5"/>
  <c r="AT11" i="5"/>
  <c r="AT152" i="5"/>
  <c r="AT61" i="5"/>
  <c r="AT124" i="5"/>
  <c r="AT114" i="5"/>
  <c r="AT95" i="5"/>
  <c r="AT214" i="5"/>
  <c r="AE197" i="5"/>
  <c r="AM197" i="5"/>
  <c r="AM149" i="5"/>
  <c r="AE149" i="5"/>
  <c r="AM113" i="5"/>
  <c r="AE113" i="5"/>
  <c r="AM18" i="5"/>
  <c r="AE168" i="5"/>
  <c r="AM80" i="5"/>
  <c r="AM52" i="5"/>
  <c r="AT165" i="5"/>
  <c r="AT163" i="5"/>
  <c r="AT66" i="5"/>
  <c r="AT117" i="5"/>
  <c r="AT39" i="5"/>
  <c r="AT135" i="5"/>
  <c r="AT28" i="5"/>
  <c r="AT134" i="5"/>
  <c r="AT105" i="5"/>
  <c r="AT200" i="5"/>
  <c r="AT112" i="5"/>
  <c r="AT31" i="5"/>
  <c r="AT96" i="5"/>
  <c r="AT151" i="5"/>
  <c r="AT183" i="5"/>
  <c r="AT43" i="5"/>
  <c r="AT101" i="5"/>
  <c r="AT207" i="5"/>
  <c r="AT6" i="5"/>
  <c r="AT102" i="5"/>
  <c r="AE131" i="5"/>
  <c r="AM131" i="5"/>
  <c r="AM173" i="5"/>
  <c r="AE173" i="5"/>
  <c r="AE118" i="5"/>
  <c r="AM118" i="5"/>
  <c r="AM136" i="5"/>
  <c r="AE136" i="5"/>
  <c r="AT104" i="5"/>
  <c r="AT108" i="5"/>
  <c r="AT78" i="5"/>
  <c r="AT80" i="5"/>
  <c r="AT32" i="5"/>
  <c r="AT185" i="5"/>
  <c r="AT90" i="5"/>
  <c r="AT64" i="5"/>
  <c r="AT44" i="5"/>
  <c r="AT141" i="5"/>
  <c r="AT116" i="5"/>
  <c r="AT193" i="5"/>
  <c r="AT67" i="5"/>
  <c r="AT219" i="5"/>
  <c r="AM79" i="5"/>
  <c r="AE79" i="5"/>
  <c r="AM51" i="5"/>
  <c r="AE51" i="5"/>
  <c r="AM165" i="5"/>
  <c r="AE165" i="5"/>
  <c r="AM66" i="5"/>
  <c r="AE66" i="5"/>
  <c r="AM25" i="5"/>
  <c r="AE25" i="5"/>
  <c r="AE167" i="5"/>
  <c r="AM167" i="5"/>
  <c r="AM207" i="5"/>
  <c r="AE207" i="5"/>
  <c r="AE151" i="5"/>
  <c r="AM151" i="5"/>
  <c r="AE108" i="5"/>
  <c r="AM108" i="5"/>
  <c r="AM181" i="5"/>
  <c r="AE181" i="5"/>
  <c r="AM67" i="5"/>
  <c r="AE67" i="5"/>
  <c r="AM145" i="5"/>
  <c r="AE145" i="5"/>
  <c r="AE42" i="5"/>
  <c r="AM42" i="5"/>
  <c r="AE132" i="5"/>
  <c r="AM132" i="5"/>
  <c r="AM140" i="5"/>
  <c r="AE140" i="5"/>
  <c r="AE32" i="5"/>
  <c r="AM32" i="5"/>
  <c r="AM117" i="5"/>
  <c r="AE117" i="5"/>
  <c r="AE130" i="5"/>
  <c r="AM130" i="5"/>
  <c r="AE120" i="5"/>
  <c r="AM120" i="5"/>
  <c r="AE212" i="5"/>
  <c r="AM212" i="5"/>
  <c r="AM112" i="5"/>
  <c r="AE112" i="5"/>
  <c r="AM2" i="5"/>
  <c r="AE2" i="5"/>
  <c r="AM94" i="5"/>
  <c r="AE94" i="5"/>
  <c r="AM62" i="5"/>
  <c r="AE62" i="5"/>
  <c r="AM68" i="5"/>
  <c r="AE68" i="5"/>
  <c r="AM179" i="5"/>
  <c r="AE179" i="5"/>
  <c r="AE195" i="5"/>
  <c r="AM195" i="5"/>
  <c r="AM162" i="5"/>
  <c r="AE162" i="5"/>
  <c r="AE170" i="5"/>
  <c r="AM170" i="5"/>
  <c r="AM182" i="5"/>
  <c r="AE182" i="5"/>
  <c r="AE7" i="5"/>
  <c r="AM7" i="5"/>
  <c r="AM141" i="5"/>
  <c r="AE141" i="5"/>
  <c r="AM29" i="5"/>
  <c r="AE29" i="5"/>
  <c r="AM58" i="5"/>
  <c r="AE58" i="5"/>
  <c r="AM188" i="5"/>
  <c r="AE188" i="5"/>
  <c r="AM121" i="5"/>
  <c r="AE121" i="5"/>
  <c r="AE6" i="5"/>
  <c r="AM6" i="5"/>
  <c r="AE222" i="5"/>
  <c r="AM222" i="5"/>
  <c r="AE144" i="5"/>
  <c r="AM144" i="5"/>
  <c r="AE218" i="5"/>
  <c r="AM218" i="5"/>
  <c r="AE198" i="5"/>
  <c r="AM198" i="5"/>
  <c r="AE175" i="5"/>
  <c r="AM175" i="5"/>
  <c r="AE105" i="5"/>
  <c r="AM105" i="5"/>
  <c r="AM211" i="5"/>
  <c r="AE211" i="5"/>
  <c r="AM143" i="5"/>
  <c r="AE143" i="5"/>
  <c r="AM54" i="5"/>
  <c r="AE54" i="5"/>
  <c r="AM11" i="5"/>
  <c r="AE11" i="5"/>
  <c r="AM9" i="5"/>
  <c r="AE9" i="5"/>
  <c r="AM96" i="5"/>
  <c r="AE96" i="5"/>
  <c r="AM82" i="5"/>
  <c r="AE82" i="5"/>
  <c r="AE98" i="5"/>
  <c r="AM98" i="5"/>
  <c r="AM89" i="5"/>
  <c r="AE89" i="5"/>
  <c r="AM189" i="5"/>
  <c r="AE189" i="5"/>
  <c r="AM202" i="5"/>
  <c r="AE202" i="5"/>
  <c r="AM128" i="5"/>
  <c r="AE128" i="5"/>
  <c r="AM99" i="5"/>
  <c r="AE99" i="5"/>
  <c r="AM107" i="5"/>
  <c r="AE107" i="5"/>
  <c r="AE213" i="5"/>
  <c r="AM213" i="5"/>
  <c r="AE103" i="5"/>
  <c r="AM103" i="5"/>
  <c r="AE192" i="5"/>
  <c r="AM192" i="5"/>
  <c r="AE37" i="5"/>
  <c r="AM37" i="5"/>
  <c r="AM185" i="5"/>
  <c r="AE185" i="5"/>
  <c r="AE12" i="5"/>
  <c r="AM12" i="5"/>
  <c r="BB73" i="5" l="1"/>
  <c r="BM73" i="5" s="1"/>
  <c r="BB87" i="5"/>
  <c r="BC87" i="5" s="1"/>
  <c r="BB62" i="5"/>
  <c r="BC62" i="5" s="1"/>
  <c r="AR189" i="5"/>
  <c r="AS189" i="5" s="1"/>
  <c r="BB14" i="5"/>
  <c r="BC14" i="5" s="1"/>
  <c r="BB5" i="5"/>
  <c r="BM5" i="5" s="1"/>
  <c r="AU14" i="5"/>
  <c r="AV14" i="5" s="1"/>
  <c r="AY14" i="5" s="1"/>
  <c r="AR194" i="5"/>
  <c r="AS194" i="5" s="1"/>
  <c r="BB202" i="5"/>
  <c r="BF202" i="5" s="1"/>
  <c r="BB75" i="5"/>
  <c r="BM75" i="5" s="1"/>
  <c r="BB209" i="5"/>
  <c r="BD209" i="5" s="1"/>
  <c r="BB76" i="5"/>
  <c r="BD76" i="5" s="1"/>
  <c r="BB91" i="5"/>
  <c r="BD91" i="5" s="1"/>
  <c r="BB25" i="5"/>
  <c r="BD25" i="5" s="1"/>
  <c r="BB146" i="5"/>
  <c r="BM146" i="5" s="1"/>
  <c r="BB44" i="5"/>
  <c r="BF44" i="5" s="1"/>
  <c r="BB113" i="5"/>
  <c r="BC113" i="5" s="1"/>
  <c r="BB68" i="5"/>
  <c r="BC68" i="5" s="1"/>
  <c r="BB117" i="5"/>
  <c r="BC117" i="5" s="1"/>
  <c r="BB163" i="5"/>
  <c r="BD163" i="5" s="1"/>
  <c r="AR210" i="5"/>
  <c r="AS210" i="5" s="1"/>
  <c r="BB16" i="5"/>
  <c r="BM16" i="5" s="1"/>
  <c r="BB155" i="5"/>
  <c r="BC155" i="5" s="1"/>
  <c r="AR56" i="5"/>
  <c r="AS56" i="5" s="1"/>
  <c r="AR133" i="5"/>
  <c r="AS133" i="5" s="1"/>
  <c r="BB100" i="5"/>
  <c r="BM100" i="5" s="1"/>
  <c r="AR137" i="5"/>
  <c r="AS137" i="5" s="1"/>
  <c r="BB212" i="5"/>
  <c r="BM212" i="5" s="1"/>
  <c r="BB219" i="5"/>
  <c r="BD219" i="5" s="1"/>
  <c r="AR4" i="5"/>
  <c r="AS4" i="5" s="1"/>
  <c r="AY195" i="5"/>
  <c r="BB66" i="5"/>
  <c r="BF66" i="5" s="1"/>
  <c r="AR161" i="5"/>
  <c r="AS161" i="5" s="1"/>
  <c r="BB86" i="5"/>
  <c r="BC86" i="5" s="1"/>
  <c r="BB55" i="5"/>
  <c r="BC55" i="5" s="1"/>
  <c r="BB17" i="5"/>
  <c r="BM17" i="5" s="1"/>
  <c r="BB101" i="5"/>
  <c r="BM101" i="5" s="1"/>
  <c r="BB125" i="5"/>
  <c r="BM125" i="5" s="1"/>
  <c r="BB127" i="5"/>
  <c r="BM127" i="5" s="1"/>
  <c r="AR72" i="5"/>
  <c r="AS72" i="5" s="1"/>
  <c r="AR196" i="5"/>
  <c r="AS196" i="5" s="1"/>
  <c r="BB126" i="5"/>
  <c r="BM126" i="5" s="1"/>
  <c r="AR115" i="5"/>
  <c r="AS115" i="5" s="1"/>
  <c r="BB154" i="5"/>
  <c r="BF154" i="5" s="1"/>
  <c r="BF168" i="5"/>
  <c r="BB84" i="5"/>
  <c r="BF84" i="5" s="1"/>
  <c r="BB32" i="5"/>
  <c r="BF32" i="5" s="1"/>
  <c r="AR220" i="5"/>
  <c r="AS220" i="5" s="1"/>
  <c r="AR103" i="5"/>
  <c r="AS103" i="5" s="1"/>
  <c r="AR48" i="5"/>
  <c r="AS48" i="5" s="1"/>
  <c r="AR50" i="5"/>
  <c r="AS50" i="5" s="1"/>
  <c r="AR217" i="5"/>
  <c r="AS217" i="5" s="1"/>
  <c r="BM168" i="5"/>
  <c r="BB160" i="5"/>
  <c r="BD160" i="5" s="1"/>
  <c r="AY168" i="5"/>
  <c r="BB164" i="5"/>
  <c r="BD164" i="5" s="1"/>
  <c r="AR138" i="5"/>
  <c r="AS138" i="5" s="1"/>
  <c r="AY225" i="5"/>
  <c r="AU164" i="5"/>
  <c r="AV164" i="5" s="1"/>
  <c r="AY164" i="5" s="1"/>
  <c r="BB63" i="5"/>
  <c r="BF63" i="5" s="1"/>
  <c r="BF221" i="5"/>
  <c r="AR45" i="5"/>
  <c r="AS45" i="5" s="1"/>
  <c r="BB186" i="5"/>
  <c r="BC186" i="5" s="1"/>
  <c r="BB67" i="5"/>
  <c r="BM67" i="5" s="1"/>
  <c r="BM85" i="5"/>
  <c r="BB24" i="5"/>
  <c r="BC24" i="5" s="1"/>
  <c r="BB166" i="5"/>
  <c r="BM166" i="5" s="1"/>
  <c r="BB93" i="5"/>
  <c r="BD93" i="5" s="1"/>
  <c r="AR162" i="5"/>
  <c r="AS162" i="5" s="1"/>
  <c r="BB90" i="5"/>
  <c r="BD90" i="5" s="1"/>
  <c r="AR180" i="5"/>
  <c r="AS180" i="5" s="1"/>
  <c r="BD85" i="5"/>
  <c r="BB129" i="5"/>
  <c r="BM129" i="5" s="1"/>
  <c r="AR12" i="5"/>
  <c r="AS12" i="5" s="1"/>
  <c r="AR70" i="5"/>
  <c r="AS70" i="5" s="1"/>
  <c r="AR20" i="5"/>
  <c r="AS20" i="5" s="1"/>
  <c r="BB54" i="5"/>
  <c r="BM54" i="5" s="1"/>
  <c r="BB122" i="5"/>
  <c r="BM122" i="5" s="1"/>
  <c r="BD195" i="5"/>
  <c r="BB149" i="5"/>
  <c r="BF149" i="5" s="1"/>
  <c r="BF85" i="5"/>
  <c r="BB181" i="5"/>
  <c r="BF181" i="5" s="1"/>
  <c r="AN36" i="5"/>
  <c r="AF36" i="5"/>
  <c r="BM225" i="5"/>
  <c r="BB197" i="5"/>
  <c r="BM197" i="5" s="1"/>
  <c r="BB139" i="5"/>
  <c r="BC139" i="5" s="1"/>
  <c r="BB43" i="5"/>
  <c r="BM43" i="5" s="1"/>
  <c r="AR136" i="5"/>
  <c r="AS136" i="5" s="1"/>
  <c r="BB40" i="5"/>
  <c r="BF40" i="5" s="1"/>
  <c r="BB214" i="5"/>
  <c r="BC214" i="5" s="1"/>
  <c r="AR34" i="5"/>
  <c r="AS34" i="5" s="1"/>
  <c r="BC168" i="5"/>
  <c r="BB88" i="5"/>
  <c r="BF88" i="5" s="1"/>
  <c r="AR131" i="5"/>
  <c r="AS131" i="5" s="1"/>
  <c r="AR65" i="5"/>
  <c r="AS65" i="5" s="1"/>
  <c r="BB187" i="5"/>
  <c r="BB169" i="5"/>
  <c r="BD169" i="5" s="1"/>
  <c r="BB57" i="5"/>
  <c r="BM57" i="5" s="1"/>
  <c r="BB3" i="5"/>
  <c r="BD3" i="5" s="1"/>
  <c r="BC195" i="5"/>
  <c r="BB77" i="5"/>
  <c r="BM77" i="5" s="1"/>
  <c r="BM195" i="5"/>
  <c r="BB152" i="5"/>
  <c r="BF152" i="5" s="1"/>
  <c r="BB174" i="5"/>
  <c r="BC174" i="5" s="1"/>
  <c r="AY10" i="5"/>
  <c r="BB51" i="5"/>
  <c r="BD51" i="5" s="1"/>
  <c r="BB23" i="5"/>
  <c r="BC23" i="5" s="1"/>
  <c r="AU3" i="5"/>
  <c r="AV3" i="5" s="1"/>
  <c r="AY3" i="5" s="1"/>
  <c r="AF160" i="5"/>
  <c r="AN160" i="5"/>
  <c r="BB8" i="5"/>
  <c r="BM8" i="5" s="1"/>
  <c r="BB135" i="5"/>
  <c r="BF135" i="5" s="1"/>
  <c r="BF10" i="5"/>
  <c r="AR19" i="5"/>
  <c r="AS19" i="5" s="1"/>
  <c r="BB81" i="5"/>
  <c r="BF81" i="5" s="1"/>
  <c r="BB41" i="5"/>
  <c r="BB218" i="5"/>
  <c r="BM218" i="5" s="1"/>
  <c r="BC221" i="5"/>
  <c r="BB130" i="5"/>
  <c r="BC130" i="5" s="1"/>
  <c r="BC225" i="5"/>
  <c r="BB110" i="5"/>
  <c r="BM110" i="5" s="1"/>
  <c r="BB22" i="5"/>
  <c r="BM22" i="5" s="1"/>
  <c r="BB64" i="5"/>
  <c r="BD64" i="5" s="1"/>
  <c r="BD225" i="5"/>
  <c r="BB142" i="5"/>
  <c r="BM142" i="5" s="1"/>
  <c r="BD10" i="5"/>
  <c r="BB52" i="5"/>
  <c r="BD52" i="5" s="1"/>
  <c r="BB2" i="5"/>
  <c r="BF2" i="5" s="1"/>
  <c r="AY222" i="5"/>
  <c r="AY85" i="5"/>
  <c r="AU177" i="5"/>
  <c r="AV177" i="5" s="1"/>
  <c r="AY177" i="5" s="1"/>
  <c r="AF193" i="5"/>
  <c r="AN193" i="5"/>
  <c r="AN72" i="5"/>
  <c r="AF60" i="5"/>
  <c r="AN60" i="5"/>
  <c r="AF183" i="5"/>
  <c r="AN183" i="5"/>
  <c r="AF104" i="5"/>
  <c r="AN104" i="5"/>
  <c r="AN156" i="5"/>
  <c r="AF156" i="5"/>
  <c r="AF72" i="5"/>
  <c r="AF163" i="5"/>
  <c r="AN163" i="5"/>
  <c r="BM10" i="5"/>
  <c r="BF4" i="5"/>
  <c r="BB170" i="5"/>
  <c r="BD170" i="5" s="1"/>
  <c r="BM4" i="5"/>
  <c r="BB79" i="5"/>
  <c r="BM79" i="5" s="1"/>
  <c r="BD4" i="5"/>
  <c r="BB211" i="5"/>
  <c r="BC211" i="5" s="1"/>
  <c r="BB176" i="5"/>
  <c r="BC176" i="5" s="1"/>
  <c r="BB158" i="5"/>
  <c r="BM158" i="5" s="1"/>
  <c r="BB18" i="5"/>
  <c r="BF18" i="5" s="1"/>
  <c r="AR29" i="5"/>
  <c r="AS29" i="5" s="1"/>
  <c r="AR94" i="5"/>
  <c r="AS94" i="5" s="1"/>
  <c r="BB198" i="5"/>
  <c r="BM198" i="5" s="1"/>
  <c r="AY221" i="5"/>
  <c r="AR9" i="5"/>
  <c r="AS9" i="5" s="1"/>
  <c r="BB9" i="5"/>
  <c r="BB177" i="5"/>
  <c r="AU213" i="5"/>
  <c r="AV213" i="5" s="1"/>
  <c r="AY213" i="5" s="1"/>
  <c r="AF214" i="5"/>
  <c r="AN111" i="5"/>
  <c r="AN17" i="5"/>
  <c r="AN174" i="5"/>
  <c r="AN223" i="5"/>
  <c r="AF81" i="5"/>
  <c r="AF40" i="5"/>
  <c r="AN40" i="5"/>
  <c r="AF64" i="5"/>
  <c r="AF49" i="5"/>
  <c r="AN71" i="5"/>
  <c r="AF71" i="5"/>
  <c r="AN125" i="5"/>
  <c r="AU172" i="5"/>
  <c r="AV172" i="5" s="1"/>
  <c r="AY172" i="5" s="1"/>
  <c r="AU52" i="5"/>
  <c r="AV52" i="5" s="1"/>
  <c r="AY52" i="5" s="1"/>
  <c r="AF21" i="5"/>
  <c r="AF172" i="5"/>
  <c r="AN172" i="5"/>
  <c r="AF191" i="5"/>
  <c r="AN191" i="5"/>
  <c r="AN91" i="5"/>
  <c r="AF223" i="5"/>
  <c r="AF199" i="5"/>
  <c r="AN44" i="5"/>
  <c r="AN204" i="5"/>
  <c r="AN225" i="5"/>
  <c r="AF204" i="5"/>
  <c r="AN85" i="5"/>
  <c r="AF85" i="5"/>
  <c r="AN47" i="5"/>
  <c r="AN161" i="5"/>
  <c r="AU211" i="5"/>
  <c r="AV211" i="5" s="1"/>
  <c r="AY211" i="5" s="1"/>
  <c r="AN203" i="5"/>
  <c r="AN21" i="5"/>
  <c r="AN122" i="5"/>
  <c r="AN34" i="5"/>
  <c r="AF34" i="5"/>
  <c r="AF161" i="5"/>
  <c r="AF203" i="5"/>
  <c r="AN90" i="5"/>
  <c r="AN147" i="5"/>
  <c r="AF147" i="5"/>
  <c r="AF201" i="5"/>
  <c r="AN201" i="5"/>
  <c r="AF15" i="5"/>
  <c r="AN15" i="5"/>
  <c r="AN81" i="5"/>
  <c r="AF194" i="5"/>
  <c r="AU22" i="5"/>
  <c r="AV22" i="5" s="1"/>
  <c r="AY22" i="5" s="1"/>
  <c r="AF90" i="5"/>
  <c r="AF126" i="5"/>
  <c r="AN126" i="5"/>
  <c r="AN150" i="5"/>
  <c r="AF30" i="5"/>
  <c r="AF209" i="5"/>
  <c r="AF10" i="5"/>
  <c r="AU26" i="5"/>
  <c r="AV26" i="5" s="1"/>
  <c r="AY26" i="5" s="1"/>
  <c r="AN194" i="5"/>
  <c r="AU7" i="5"/>
  <c r="AV7" i="5" s="1"/>
  <c r="AY7" i="5" s="1"/>
  <c r="AF91" i="5"/>
  <c r="AN48" i="5"/>
  <c r="AF48" i="5"/>
  <c r="AF70" i="5"/>
  <c r="AN70" i="5"/>
  <c r="AN76" i="5"/>
  <c r="AF171" i="5"/>
  <c r="AF135" i="5"/>
  <c r="AF146" i="5"/>
  <c r="AU187" i="5"/>
  <c r="AV187" i="5" s="1"/>
  <c r="AY187" i="5" s="1"/>
  <c r="AF100" i="5"/>
  <c r="AN100" i="5"/>
  <c r="AN199" i="5"/>
  <c r="AF77" i="5"/>
  <c r="AN208" i="5"/>
  <c r="AN214" i="5"/>
  <c r="AN50" i="5"/>
  <c r="AF50" i="5"/>
  <c r="AN65" i="5"/>
  <c r="AF180" i="5"/>
  <c r="AF93" i="5"/>
  <c r="AN28" i="5"/>
  <c r="AF28" i="5"/>
  <c r="AN49" i="5"/>
  <c r="AF84" i="5"/>
  <c r="AF65" i="5"/>
  <c r="AF133" i="5"/>
  <c r="AN133" i="5"/>
  <c r="AF52" i="5"/>
  <c r="AF80" i="5"/>
  <c r="AN168" i="5"/>
  <c r="AF18" i="5"/>
  <c r="AN93" i="5"/>
  <c r="AF174" i="5"/>
  <c r="AF63" i="5"/>
  <c r="AN63" i="5"/>
  <c r="AN4" i="5"/>
  <c r="AF4" i="5"/>
  <c r="BD221" i="5"/>
  <c r="BM213" i="5"/>
  <c r="BF213" i="5"/>
  <c r="BB61" i="5"/>
  <c r="BF61" i="5" s="1"/>
  <c r="BD222" i="5"/>
  <c r="BB15" i="5"/>
  <c r="BB173" i="5"/>
  <c r="AR173" i="5"/>
  <c r="AS173" i="5" s="1"/>
  <c r="BF222" i="5"/>
  <c r="BC222" i="5"/>
  <c r="AR190" i="5"/>
  <c r="AS190" i="5" s="1"/>
  <c r="BB190" i="5"/>
  <c r="BB26" i="5"/>
  <c r="BB31" i="5"/>
  <c r="BM31" i="5" s="1"/>
  <c r="BB140" i="5"/>
  <c r="BM140" i="5" s="1"/>
  <c r="BC213" i="5"/>
  <c r="AR38" i="5"/>
  <c r="AS38" i="5" s="1"/>
  <c r="BB38" i="5"/>
  <c r="BB172" i="5"/>
  <c r="BB7" i="5"/>
  <c r="AN12" i="5"/>
  <c r="AF12" i="5"/>
  <c r="AF185" i="5"/>
  <c r="AN185" i="5"/>
  <c r="AN37" i="5"/>
  <c r="AF37" i="5"/>
  <c r="AN192" i="5"/>
  <c r="AF192" i="5"/>
  <c r="AN103" i="5"/>
  <c r="AF103" i="5"/>
  <c r="AN213" i="5"/>
  <c r="AF213" i="5"/>
  <c r="AF107" i="5"/>
  <c r="AN107" i="5"/>
  <c r="AF99" i="5"/>
  <c r="AN99" i="5"/>
  <c r="AF128" i="5"/>
  <c r="AN128" i="5"/>
  <c r="AF202" i="5"/>
  <c r="AN202" i="5"/>
  <c r="AF189" i="5"/>
  <c r="AN189" i="5"/>
  <c r="AF89" i="5"/>
  <c r="AN89" i="5"/>
  <c r="AN98" i="5"/>
  <c r="AF98" i="5"/>
  <c r="AF82" i="5"/>
  <c r="AN82" i="5"/>
  <c r="AF96" i="5"/>
  <c r="AN96" i="5"/>
  <c r="AF9" i="5"/>
  <c r="AN9" i="5"/>
  <c r="AF11" i="5"/>
  <c r="AN11" i="5"/>
  <c r="AF54" i="5"/>
  <c r="AN54" i="5"/>
  <c r="AF143" i="5"/>
  <c r="AN143" i="5"/>
  <c r="AF211" i="5"/>
  <c r="AN211" i="5"/>
  <c r="AN105" i="5"/>
  <c r="AF105" i="5"/>
  <c r="AN175" i="5"/>
  <c r="AF175" i="5"/>
  <c r="AN198" i="5"/>
  <c r="AF198" i="5"/>
  <c r="AN218" i="5"/>
  <c r="AF218" i="5"/>
  <c r="AN144" i="5"/>
  <c r="AF144" i="5"/>
  <c r="AN222" i="5"/>
  <c r="AF222" i="5"/>
  <c r="AN6" i="5"/>
  <c r="AF6" i="5"/>
  <c r="AF121" i="5"/>
  <c r="AN121" i="5"/>
  <c r="AF188" i="5"/>
  <c r="AN188" i="5"/>
  <c r="AF58" i="5"/>
  <c r="AN58" i="5"/>
  <c r="AF29" i="5"/>
  <c r="AN29" i="5"/>
  <c r="AF141" i="5"/>
  <c r="AN141" i="5"/>
  <c r="AN7" i="5"/>
  <c r="AF7" i="5"/>
  <c r="AF182" i="5"/>
  <c r="AN182" i="5"/>
  <c r="AN170" i="5"/>
  <c r="AF170" i="5"/>
  <c r="AF162" i="5"/>
  <c r="AN162" i="5"/>
  <c r="AN195" i="5"/>
  <c r="AF195" i="5"/>
  <c r="AF179" i="5"/>
  <c r="AN179" i="5"/>
  <c r="AF68" i="5"/>
  <c r="AN68" i="5"/>
  <c r="AF62" i="5"/>
  <c r="AN62" i="5"/>
  <c r="AF94" i="5"/>
  <c r="AN94" i="5"/>
  <c r="AF2" i="5"/>
  <c r="AN2" i="5"/>
  <c r="AF112" i="5"/>
  <c r="AN112" i="5"/>
  <c r="AN212" i="5"/>
  <c r="AF212" i="5"/>
  <c r="AN120" i="5"/>
  <c r="AF120" i="5"/>
  <c r="AN130" i="5"/>
  <c r="AF130" i="5"/>
  <c r="AF117" i="5"/>
  <c r="AN117" i="5"/>
  <c r="AN32" i="5"/>
  <c r="AF32" i="5"/>
  <c r="AF140" i="5"/>
  <c r="AN140" i="5"/>
  <c r="AN132" i="5"/>
  <c r="AF132" i="5"/>
  <c r="AN42" i="5"/>
  <c r="AF42" i="5"/>
  <c r="AF145" i="5"/>
  <c r="AN145" i="5"/>
  <c r="AF67" i="5"/>
  <c r="AN67" i="5"/>
  <c r="AF181" i="5"/>
  <c r="AN181" i="5"/>
  <c r="AN108" i="5"/>
  <c r="AF108" i="5"/>
  <c r="AN151" i="5"/>
  <c r="AF151" i="5"/>
  <c r="AF207" i="5"/>
  <c r="AN207" i="5"/>
  <c r="AN167" i="5"/>
  <c r="AF167" i="5"/>
  <c r="AF25" i="5"/>
  <c r="AN25" i="5"/>
  <c r="AF66" i="5"/>
  <c r="AN66" i="5"/>
  <c r="AF165" i="5"/>
  <c r="AN165" i="5"/>
  <c r="AF51" i="5"/>
  <c r="AN51" i="5"/>
  <c r="AF79" i="5"/>
  <c r="AN79" i="5"/>
  <c r="AU219" i="5"/>
  <c r="AV219" i="5" s="1"/>
  <c r="AY219" i="5" s="1"/>
  <c r="AU67" i="5"/>
  <c r="AV67" i="5" s="1"/>
  <c r="AY67" i="5" s="1"/>
  <c r="AU193" i="5"/>
  <c r="AV193" i="5" s="1"/>
  <c r="AY193" i="5" s="1"/>
  <c r="AU116" i="5"/>
  <c r="AV116" i="5" s="1"/>
  <c r="AY116" i="5" s="1"/>
  <c r="AU141" i="5"/>
  <c r="AV141" i="5" s="1"/>
  <c r="AY141" i="5" s="1"/>
  <c r="AU44" i="5"/>
  <c r="AV44" i="5" s="1"/>
  <c r="AY44" i="5" s="1"/>
  <c r="AU64" i="5"/>
  <c r="AV64" i="5" s="1"/>
  <c r="AY64" i="5" s="1"/>
  <c r="AU90" i="5"/>
  <c r="AV90" i="5" s="1"/>
  <c r="AY90" i="5" s="1"/>
  <c r="AU185" i="5"/>
  <c r="AV185" i="5" s="1"/>
  <c r="AY185" i="5" s="1"/>
  <c r="AU32" i="5"/>
  <c r="AV32" i="5" s="1"/>
  <c r="AY32" i="5" s="1"/>
  <c r="AU80" i="5"/>
  <c r="AV80" i="5" s="1"/>
  <c r="AY80" i="5" s="1"/>
  <c r="AU78" i="5"/>
  <c r="AV78" i="5" s="1"/>
  <c r="AY78" i="5" s="1"/>
  <c r="AU108" i="5"/>
  <c r="AV108" i="5" s="1"/>
  <c r="AY108" i="5" s="1"/>
  <c r="AU104" i="5"/>
  <c r="AV104" i="5" s="1"/>
  <c r="AY104" i="5" s="1"/>
  <c r="AF136" i="5"/>
  <c r="AN136" i="5"/>
  <c r="AN118" i="5"/>
  <c r="AF118" i="5"/>
  <c r="AF173" i="5"/>
  <c r="AN173" i="5"/>
  <c r="AN131" i="5"/>
  <c r="AF131" i="5"/>
  <c r="AU102" i="5"/>
  <c r="AV102" i="5" s="1"/>
  <c r="AY102" i="5" s="1"/>
  <c r="AU6" i="5"/>
  <c r="AV6" i="5" s="1"/>
  <c r="AY6" i="5" s="1"/>
  <c r="AU207" i="5"/>
  <c r="AV207" i="5" s="1"/>
  <c r="AY207" i="5" s="1"/>
  <c r="AU101" i="5"/>
  <c r="AV101" i="5" s="1"/>
  <c r="AY101" i="5" s="1"/>
  <c r="AU43" i="5"/>
  <c r="AV43" i="5" s="1"/>
  <c r="AY43" i="5" s="1"/>
  <c r="AU183" i="5"/>
  <c r="AV183" i="5" s="1"/>
  <c r="AY183" i="5" s="1"/>
  <c r="AU151" i="5"/>
  <c r="AV151" i="5" s="1"/>
  <c r="AY151" i="5" s="1"/>
  <c r="AU96" i="5"/>
  <c r="AV96" i="5" s="1"/>
  <c r="AY96" i="5" s="1"/>
  <c r="AU31" i="5"/>
  <c r="AV31" i="5" s="1"/>
  <c r="AY31" i="5" s="1"/>
  <c r="AU112" i="5"/>
  <c r="AV112" i="5" s="1"/>
  <c r="AY112" i="5" s="1"/>
  <c r="AU200" i="5"/>
  <c r="AV200" i="5" s="1"/>
  <c r="AY200" i="5" s="1"/>
  <c r="AU105" i="5"/>
  <c r="AV105" i="5" s="1"/>
  <c r="AY105" i="5" s="1"/>
  <c r="AU134" i="5"/>
  <c r="AV134" i="5" s="1"/>
  <c r="AY134" i="5" s="1"/>
  <c r="AU28" i="5"/>
  <c r="AV28" i="5" s="1"/>
  <c r="AY28" i="5" s="1"/>
  <c r="AU135" i="5"/>
  <c r="AV135" i="5" s="1"/>
  <c r="AY135" i="5" s="1"/>
  <c r="AU39" i="5"/>
  <c r="AV39" i="5" s="1"/>
  <c r="AY39" i="5" s="1"/>
  <c r="AU117" i="5"/>
  <c r="AV117" i="5" s="1"/>
  <c r="AY117" i="5" s="1"/>
  <c r="AU66" i="5"/>
  <c r="AV66" i="5" s="1"/>
  <c r="AY66" i="5" s="1"/>
  <c r="AU163" i="5"/>
  <c r="AV163" i="5" s="1"/>
  <c r="AY163" i="5" s="1"/>
  <c r="AU165" i="5"/>
  <c r="AV165" i="5" s="1"/>
  <c r="AY165" i="5" s="1"/>
  <c r="AN52" i="5"/>
  <c r="AN80" i="5"/>
  <c r="AF168" i="5"/>
  <c r="AN18" i="5"/>
  <c r="AF113" i="5"/>
  <c r="AN113" i="5"/>
  <c r="AF149" i="5"/>
  <c r="AN149" i="5"/>
  <c r="AN197" i="5"/>
  <c r="AF197" i="5"/>
  <c r="AU214" i="5"/>
  <c r="AV214" i="5" s="1"/>
  <c r="AY214" i="5" s="1"/>
  <c r="AU95" i="5"/>
  <c r="AV95" i="5" s="1"/>
  <c r="AY95" i="5" s="1"/>
  <c r="AU114" i="5"/>
  <c r="AV114" i="5" s="1"/>
  <c r="AY114" i="5" s="1"/>
  <c r="AU124" i="5"/>
  <c r="AV124" i="5" s="1"/>
  <c r="AY124" i="5" s="1"/>
  <c r="AU61" i="5"/>
  <c r="AV61" i="5" s="1"/>
  <c r="AY61" i="5" s="1"/>
  <c r="AU152" i="5"/>
  <c r="AV152" i="5" s="1"/>
  <c r="AY152" i="5" s="1"/>
  <c r="AU11" i="5"/>
  <c r="AV11" i="5" s="1"/>
  <c r="AY11" i="5" s="1"/>
  <c r="AU71" i="5"/>
  <c r="AV71" i="5" s="1"/>
  <c r="AY71" i="5" s="1"/>
  <c r="AU91" i="5"/>
  <c r="AV91" i="5" s="1"/>
  <c r="AY91" i="5" s="1"/>
  <c r="AF17" i="5"/>
  <c r="AF33" i="5"/>
  <c r="AN33" i="5"/>
  <c r="AN88" i="5"/>
  <c r="AF88" i="5"/>
  <c r="AN206" i="5"/>
  <c r="AF206" i="5"/>
  <c r="AU197" i="5"/>
  <c r="AV197" i="5" s="1"/>
  <c r="AY197" i="5" s="1"/>
  <c r="AU74" i="5"/>
  <c r="AV74" i="5" s="1"/>
  <c r="AY74" i="5" s="1"/>
  <c r="AU126" i="5"/>
  <c r="AV126" i="5" s="1"/>
  <c r="AY126" i="5" s="1"/>
  <c r="AU16" i="5"/>
  <c r="AV16" i="5" s="1"/>
  <c r="AY16" i="5" s="1"/>
  <c r="AU97" i="5"/>
  <c r="AV97" i="5" s="1"/>
  <c r="AY97" i="5" s="1"/>
  <c r="AU106" i="5"/>
  <c r="AV106" i="5" s="1"/>
  <c r="AY106" i="5" s="1"/>
  <c r="AU125" i="5"/>
  <c r="AV125" i="5" s="1"/>
  <c r="AY125" i="5" s="1"/>
  <c r="AU99" i="5"/>
  <c r="AV99" i="5" s="1"/>
  <c r="AY99" i="5" s="1"/>
  <c r="AU54" i="5"/>
  <c r="AV54" i="5" s="1"/>
  <c r="AY54" i="5" s="1"/>
  <c r="AU174" i="5"/>
  <c r="AV174" i="5" s="1"/>
  <c r="AY174" i="5" s="1"/>
  <c r="AU223" i="5"/>
  <c r="AV223" i="5" s="1"/>
  <c r="AY223" i="5" s="1"/>
  <c r="AU169" i="5"/>
  <c r="AV169" i="5" s="1"/>
  <c r="AY169" i="5" s="1"/>
  <c r="AU156" i="5"/>
  <c r="AV156" i="5" s="1"/>
  <c r="AY156" i="5" s="1"/>
  <c r="AU209" i="5"/>
  <c r="AV209" i="5" s="1"/>
  <c r="AY209" i="5" s="1"/>
  <c r="AU143" i="5"/>
  <c r="AV143" i="5" s="1"/>
  <c r="AY143" i="5" s="1"/>
  <c r="AU184" i="5"/>
  <c r="AV184" i="5" s="1"/>
  <c r="AY184" i="5" s="1"/>
  <c r="AU62" i="5"/>
  <c r="AV62" i="5" s="1"/>
  <c r="AY62" i="5" s="1"/>
  <c r="AU47" i="5"/>
  <c r="AV47" i="5" s="1"/>
  <c r="AY47" i="5" s="1"/>
  <c r="AU127" i="5"/>
  <c r="AV127" i="5" s="1"/>
  <c r="AY127" i="5" s="1"/>
  <c r="AU201" i="5"/>
  <c r="AV201" i="5" s="1"/>
  <c r="AY201" i="5" s="1"/>
  <c r="AN64" i="5"/>
  <c r="AF150" i="5"/>
  <c r="AN178" i="5"/>
  <c r="AF178" i="5"/>
  <c r="AF152" i="5"/>
  <c r="AN152" i="5"/>
  <c r="AF221" i="5"/>
  <c r="AN221" i="5"/>
  <c r="AN59" i="5"/>
  <c r="AF59" i="5"/>
  <c r="AU27" i="5"/>
  <c r="AV27" i="5" s="1"/>
  <c r="AY27" i="5" s="1"/>
  <c r="AU147" i="5"/>
  <c r="AV147" i="5" s="1"/>
  <c r="AY147" i="5" s="1"/>
  <c r="AU89" i="5"/>
  <c r="AV89" i="5" s="1"/>
  <c r="AY89" i="5" s="1"/>
  <c r="AU215" i="5"/>
  <c r="AV215" i="5" s="1"/>
  <c r="AY215" i="5" s="1"/>
  <c r="AU176" i="5"/>
  <c r="AV176" i="5" s="1"/>
  <c r="AY176" i="5" s="1"/>
  <c r="AU203" i="5"/>
  <c r="AV203" i="5" s="1"/>
  <c r="AY203" i="5" s="1"/>
  <c r="AU53" i="5"/>
  <c r="AV53" i="5" s="1"/>
  <c r="AY53" i="5" s="1"/>
  <c r="AU182" i="5"/>
  <c r="AV182" i="5" s="1"/>
  <c r="AY182" i="5" s="1"/>
  <c r="AU191" i="5"/>
  <c r="AV191" i="5" s="1"/>
  <c r="AY191" i="5" s="1"/>
  <c r="AN30" i="5"/>
  <c r="AF44" i="5"/>
  <c r="AN45" i="5"/>
  <c r="AF45" i="5"/>
  <c r="AN73" i="5"/>
  <c r="AF73" i="5"/>
  <c r="AU2" i="5"/>
  <c r="AV2" i="5" s="1"/>
  <c r="AY2" i="5" s="1"/>
  <c r="AN169" i="5"/>
  <c r="AF169" i="5"/>
  <c r="AU130" i="5"/>
  <c r="AV130" i="5" s="1"/>
  <c r="AY130" i="5" s="1"/>
  <c r="AU30" i="5"/>
  <c r="AV30" i="5" s="1"/>
  <c r="AY30" i="5" s="1"/>
  <c r="AU212" i="5"/>
  <c r="AV212" i="5" s="1"/>
  <c r="AY212" i="5" s="1"/>
  <c r="AU51" i="5"/>
  <c r="AV51" i="5" s="1"/>
  <c r="AY51" i="5" s="1"/>
  <c r="AU36" i="5"/>
  <c r="AV36" i="5" s="1"/>
  <c r="AY36" i="5" s="1"/>
  <c r="AU179" i="5"/>
  <c r="AV179" i="5" s="1"/>
  <c r="AY179" i="5" s="1"/>
  <c r="AU204" i="5"/>
  <c r="AV204" i="5" s="1"/>
  <c r="AY204" i="5" s="1"/>
  <c r="AU60" i="5"/>
  <c r="AV60" i="5" s="1"/>
  <c r="AY60" i="5" s="1"/>
  <c r="AU18" i="5"/>
  <c r="AV18" i="5" s="1"/>
  <c r="AY18" i="5" s="1"/>
  <c r="AU218" i="5"/>
  <c r="AV218" i="5" s="1"/>
  <c r="AY218" i="5" s="1"/>
  <c r="AU58" i="5"/>
  <c r="AV58" i="5" s="1"/>
  <c r="AY58" i="5" s="1"/>
  <c r="AU178" i="5"/>
  <c r="AV178" i="5" s="1"/>
  <c r="AY178" i="5" s="1"/>
  <c r="AU73" i="5"/>
  <c r="AV73" i="5" s="1"/>
  <c r="AY73" i="5" s="1"/>
  <c r="AU87" i="5"/>
  <c r="AV87" i="5" s="1"/>
  <c r="AY87" i="5" s="1"/>
  <c r="AU35" i="5"/>
  <c r="AV35" i="5" s="1"/>
  <c r="AY35" i="5" s="1"/>
  <c r="AU198" i="5"/>
  <c r="AV198" i="5" s="1"/>
  <c r="AY198" i="5" s="1"/>
  <c r="AU23" i="5"/>
  <c r="AV23" i="5" s="1"/>
  <c r="AY23" i="5" s="1"/>
  <c r="AU110" i="5"/>
  <c r="AV110" i="5" s="1"/>
  <c r="AY110" i="5" s="1"/>
  <c r="AU208" i="5"/>
  <c r="AV208" i="5" s="1"/>
  <c r="AY208" i="5" s="1"/>
  <c r="AU21" i="5"/>
  <c r="AV21" i="5" s="1"/>
  <c r="AY21" i="5" s="1"/>
  <c r="AU111" i="5"/>
  <c r="AV111" i="5" s="1"/>
  <c r="AY111" i="5" s="1"/>
  <c r="AU145" i="5"/>
  <c r="AV145" i="5" s="1"/>
  <c r="AY145" i="5" s="1"/>
  <c r="AU57" i="5"/>
  <c r="AV57" i="5" s="1"/>
  <c r="AY57" i="5" s="1"/>
  <c r="AF225" i="5"/>
  <c r="AF125" i="5"/>
  <c r="AN210" i="5"/>
  <c r="AF210" i="5"/>
  <c r="AN74" i="5"/>
  <c r="AF74" i="5"/>
  <c r="AU109" i="5"/>
  <c r="AV109" i="5" s="1"/>
  <c r="AY109" i="5" s="1"/>
  <c r="AN84" i="5"/>
  <c r="AU75" i="5"/>
  <c r="AV75" i="5" s="1"/>
  <c r="AY75" i="5" s="1"/>
  <c r="AU8" i="5"/>
  <c r="AV8" i="5" s="1"/>
  <c r="AY8" i="5" s="1"/>
  <c r="AU40" i="5"/>
  <c r="AV40" i="5" s="1"/>
  <c r="AY40" i="5" s="1"/>
  <c r="AU107" i="5"/>
  <c r="AV107" i="5" s="1"/>
  <c r="AY107" i="5" s="1"/>
  <c r="AU157" i="5"/>
  <c r="AV157" i="5" s="1"/>
  <c r="AY157" i="5" s="1"/>
  <c r="AU17" i="5"/>
  <c r="AV17" i="5" s="1"/>
  <c r="AY17" i="5" s="1"/>
  <c r="AU148" i="5"/>
  <c r="AV148" i="5" s="1"/>
  <c r="AY148" i="5" s="1"/>
  <c r="AU146" i="5"/>
  <c r="AV146" i="5" s="1"/>
  <c r="AY146" i="5" s="1"/>
  <c r="AU93" i="5"/>
  <c r="AV93" i="5" s="1"/>
  <c r="AY93" i="5" s="1"/>
  <c r="AF111" i="5"/>
  <c r="AN180" i="5"/>
  <c r="AF47" i="5"/>
  <c r="AF190" i="5"/>
  <c r="AN190" i="5"/>
  <c r="AF110" i="5"/>
  <c r="AN110" i="5"/>
  <c r="AN157" i="5"/>
  <c r="AF157" i="5"/>
  <c r="AU63" i="5"/>
  <c r="AV63" i="5" s="1"/>
  <c r="AY63" i="5" s="1"/>
  <c r="AU119" i="5"/>
  <c r="AV119" i="5" s="1"/>
  <c r="AY119" i="5" s="1"/>
  <c r="AU13" i="5"/>
  <c r="AV13" i="5" s="1"/>
  <c r="AY13" i="5" s="1"/>
  <c r="AU59" i="5"/>
  <c r="AV59" i="5" s="1"/>
  <c r="AY59" i="5" s="1"/>
  <c r="AU92" i="5"/>
  <c r="AV92" i="5" s="1"/>
  <c r="AY92" i="5" s="1"/>
  <c r="AU123" i="5"/>
  <c r="AV123" i="5" s="1"/>
  <c r="AY123" i="5" s="1"/>
  <c r="AU188" i="5"/>
  <c r="AV188" i="5" s="1"/>
  <c r="AY188" i="5" s="1"/>
  <c r="AU113" i="5"/>
  <c r="AV113" i="5" s="1"/>
  <c r="AY113" i="5" s="1"/>
  <c r="AU155" i="5"/>
  <c r="AV155" i="5" s="1"/>
  <c r="AY155" i="5" s="1"/>
  <c r="AU5" i="5"/>
  <c r="AV5" i="5" s="1"/>
  <c r="AY5" i="5" s="1"/>
  <c r="AU205" i="5"/>
  <c r="AV205" i="5" s="1"/>
  <c r="AY205" i="5" s="1"/>
  <c r="AU46" i="5"/>
  <c r="AV46" i="5" s="1"/>
  <c r="AY46" i="5" s="1"/>
  <c r="AU118" i="5"/>
  <c r="AV118" i="5" s="1"/>
  <c r="AY118" i="5" s="1"/>
  <c r="AU144" i="5"/>
  <c r="AV144" i="5" s="1"/>
  <c r="AY144" i="5" s="1"/>
  <c r="AU82" i="5"/>
  <c r="AV82" i="5" s="1"/>
  <c r="AY82" i="5" s="1"/>
  <c r="AU170" i="5"/>
  <c r="AV170" i="5" s="1"/>
  <c r="AY170" i="5" s="1"/>
  <c r="AU154" i="5"/>
  <c r="AV154" i="5" s="1"/>
  <c r="AY154" i="5" s="1"/>
  <c r="AU181" i="5"/>
  <c r="AV181" i="5" s="1"/>
  <c r="AY181" i="5" s="1"/>
  <c r="AU88" i="5"/>
  <c r="AV88" i="5" s="1"/>
  <c r="AY88" i="5" s="1"/>
  <c r="AU175" i="5"/>
  <c r="AV175" i="5" s="1"/>
  <c r="AY175" i="5" s="1"/>
  <c r="AU33" i="5"/>
  <c r="AV33" i="5" s="1"/>
  <c r="AY33" i="5" s="1"/>
  <c r="AU42" i="5"/>
  <c r="AV42" i="5" s="1"/>
  <c r="AY42" i="5" s="1"/>
  <c r="AU79" i="5"/>
  <c r="AV79" i="5" s="1"/>
  <c r="AY79" i="5" s="1"/>
  <c r="AF122" i="5"/>
  <c r="AF224" i="5"/>
  <c r="AN224" i="5"/>
  <c r="AU77" i="5"/>
  <c r="AV77" i="5" s="1"/>
  <c r="AY77" i="5" s="1"/>
  <c r="AU122" i="5"/>
  <c r="AV122" i="5" s="1"/>
  <c r="AY122" i="5" s="1"/>
  <c r="AU206" i="5"/>
  <c r="AV206" i="5" s="1"/>
  <c r="AY206" i="5" s="1"/>
  <c r="AU121" i="5"/>
  <c r="AV121" i="5" s="1"/>
  <c r="AY121" i="5" s="1"/>
  <c r="AU150" i="5"/>
  <c r="AV150" i="5" s="1"/>
  <c r="AY150" i="5" s="1"/>
  <c r="AU120" i="5"/>
  <c r="AV120" i="5" s="1"/>
  <c r="AY120" i="5" s="1"/>
  <c r="AU84" i="5"/>
  <c r="AV84" i="5" s="1"/>
  <c r="AY84" i="5" s="1"/>
  <c r="AU140" i="5"/>
  <c r="AV140" i="5" s="1"/>
  <c r="AY140" i="5" s="1"/>
  <c r="AU81" i="5"/>
  <c r="AV81" i="5" s="1"/>
  <c r="AY81" i="5" s="1"/>
  <c r="AN209" i="5"/>
  <c r="AF3" i="5"/>
  <c r="AN3" i="5"/>
  <c r="AN102" i="5"/>
  <c r="AF102" i="5"/>
  <c r="AN116" i="5"/>
  <c r="AF116" i="5"/>
  <c r="AF123" i="5"/>
  <c r="AN123" i="5"/>
  <c r="AU129" i="5"/>
  <c r="AV129" i="5" s="1"/>
  <c r="AY129" i="5" s="1"/>
  <c r="AU69" i="5"/>
  <c r="AV69" i="5" s="1"/>
  <c r="AY69" i="5" s="1"/>
  <c r="AN77" i="5"/>
  <c r="AF208" i="5"/>
  <c r="AU139" i="5"/>
  <c r="AV139" i="5" s="1"/>
  <c r="AY139" i="5" s="1"/>
  <c r="AU149" i="5"/>
  <c r="AV149" i="5" s="1"/>
  <c r="AY149" i="5" s="1"/>
  <c r="AU153" i="5"/>
  <c r="AV153" i="5" s="1"/>
  <c r="AY153" i="5" s="1"/>
  <c r="AU167" i="5"/>
  <c r="AV167" i="5" s="1"/>
  <c r="AY167" i="5" s="1"/>
  <c r="AU128" i="5"/>
  <c r="AV128" i="5" s="1"/>
  <c r="AY128" i="5" s="1"/>
  <c r="AU202" i="5"/>
  <c r="AV202" i="5" s="1"/>
  <c r="AY202" i="5" s="1"/>
  <c r="AU171" i="5"/>
  <c r="AV171" i="5" s="1"/>
  <c r="AY171" i="5" s="1"/>
  <c r="AU76" i="5"/>
  <c r="AV76" i="5" s="1"/>
  <c r="AY76" i="5" s="1"/>
  <c r="AU100" i="5"/>
  <c r="AV100" i="5" s="1"/>
  <c r="AY100" i="5" s="1"/>
  <c r="AU186" i="5"/>
  <c r="AV186" i="5" s="1"/>
  <c r="AY186" i="5" s="1"/>
  <c r="AU166" i="5"/>
  <c r="AV166" i="5" s="1"/>
  <c r="AY166" i="5" s="1"/>
  <c r="AU68" i="5"/>
  <c r="AV68" i="5" s="1"/>
  <c r="AY68" i="5" s="1"/>
  <c r="AU37" i="5"/>
  <c r="AV37" i="5" s="1"/>
  <c r="AY37" i="5" s="1"/>
  <c r="AU55" i="5"/>
  <c r="AV55" i="5" s="1"/>
  <c r="AY55" i="5" s="1"/>
  <c r="AU15" i="5"/>
  <c r="AV15" i="5" s="1"/>
  <c r="AY15" i="5" s="1"/>
  <c r="AN10" i="5"/>
  <c r="AF76" i="5"/>
  <c r="AF106" i="5"/>
  <c r="AN106" i="5"/>
  <c r="AF154" i="5"/>
  <c r="AN154" i="5"/>
  <c r="AF216" i="5"/>
  <c r="AN216" i="5"/>
  <c r="AU25" i="5"/>
  <c r="AV25" i="5" s="1"/>
  <c r="AY25" i="5" s="1"/>
  <c r="AU98" i="5"/>
  <c r="AV98" i="5" s="1"/>
  <c r="AY98" i="5" s="1"/>
  <c r="AU132" i="5"/>
  <c r="AV132" i="5" s="1"/>
  <c r="AY132" i="5" s="1"/>
  <c r="AU159" i="5"/>
  <c r="AV159" i="5" s="1"/>
  <c r="AY159" i="5" s="1"/>
  <c r="AU224" i="5"/>
  <c r="AV224" i="5" s="1"/>
  <c r="AY224" i="5" s="1"/>
  <c r="AU86" i="5"/>
  <c r="AV86" i="5" s="1"/>
  <c r="AY86" i="5" s="1"/>
  <c r="AU24" i="5"/>
  <c r="AV24" i="5" s="1"/>
  <c r="AY24" i="5" s="1"/>
  <c r="AU142" i="5"/>
  <c r="AV142" i="5" s="1"/>
  <c r="AY142" i="5" s="1"/>
  <c r="AU160" i="5"/>
  <c r="AV160" i="5" s="1"/>
  <c r="AY160" i="5" s="1"/>
  <c r="AU158" i="5"/>
  <c r="AV158" i="5" s="1"/>
  <c r="AY158" i="5" s="1"/>
  <c r="AU41" i="5"/>
  <c r="AV41" i="5" s="1"/>
  <c r="AY41" i="5" s="1"/>
  <c r="AN171" i="5"/>
  <c r="AN135" i="5"/>
  <c r="AN146" i="5"/>
  <c r="AN153" i="5"/>
  <c r="AF153" i="5"/>
  <c r="AN124" i="5"/>
  <c r="AF124" i="5"/>
  <c r="AN109" i="5"/>
  <c r="AF109" i="5"/>
  <c r="AN16" i="5"/>
  <c r="AF16" i="5"/>
  <c r="AF39" i="5"/>
  <c r="AN39" i="5"/>
  <c r="BB193" i="5"/>
  <c r="BB42" i="5"/>
  <c r="BB165" i="5"/>
  <c r="BB201" i="5"/>
  <c r="BB83" i="5"/>
  <c r="AR83" i="5"/>
  <c r="AS83" i="5" s="1"/>
  <c r="BB49" i="5"/>
  <c r="AR49" i="5"/>
  <c r="AS49" i="5" s="1"/>
  <c r="AR192" i="5"/>
  <c r="AS192" i="5" s="1"/>
  <c r="BB192" i="5"/>
  <c r="BB199" i="5"/>
  <c r="AR199" i="5"/>
  <c r="AS199" i="5" s="1"/>
  <c r="AR216" i="5"/>
  <c r="AS216" i="5" s="1"/>
  <c r="BB216" i="5"/>
  <c r="BM69" i="5"/>
  <c r="BF69" i="5"/>
  <c r="BD69" i="5"/>
  <c r="BC69" i="5"/>
  <c r="BD206" i="5"/>
  <c r="BC206" i="5"/>
  <c r="BM206" i="5"/>
  <c r="BF206" i="5"/>
  <c r="BM121" i="5"/>
  <c r="BF121" i="5"/>
  <c r="BD121" i="5"/>
  <c r="BC121" i="5"/>
  <c r="BF150" i="5"/>
  <c r="BC150" i="5"/>
  <c r="BD150" i="5"/>
  <c r="BM150" i="5"/>
  <c r="BM65" i="5"/>
  <c r="BF65" i="5"/>
  <c r="BC65" i="5"/>
  <c r="BD65" i="5"/>
  <c r="BM161" i="5"/>
  <c r="BF161" i="5"/>
  <c r="BD161" i="5"/>
  <c r="BC161" i="5"/>
  <c r="BM120" i="5"/>
  <c r="BD120" i="5"/>
  <c r="BC120" i="5"/>
  <c r="BF120" i="5"/>
  <c r="BD128" i="5"/>
  <c r="BC128" i="5"/>
  <c r="BM128" i="5"/>
  <c r="BF128" i="5"/>
  <c r="BF138" i="5"/>
  <c r="BM138" i="5"/>
  <c r="BC138" i="5"/>
  <c r="BD138" i="5"/>
  <c r="BM220" i="5"/>
  <c r="BF220" i="5"/>
  <c r="BD220" i="5"/>
  <c r="BC220" i="5"/>
  <c r="BM189" i="5"/>
  <c r="BD189" i="5"/>
  <c r="BC189" i="5"/>
  <c r="BF189" i="5"/>
  <c r="BM115" i="5"/>
  <c r="BF115" i="5"/>
  <c r="BC115" i="5"/>
  <c r="BD115" i="5"/>
  <c r="BM27" i="5"/>
  <c r="BF27" i="5"/>
  <c r="BD27" i="5"/>
  <c r="BC27" i="5"/>
  <c r="BF6" i="5"/>
  <c r="BM6" i="5"/>
  <c r="BD6" i="5"/>
  <c r="BC6" i="5"/>
  <c r="BC131" i="5"/>
  <c r="BD131" i="5"/>
  <c r="BM131" i="5"/>
  <c r="BF131" i="5"/>
  <c r="BD94" i="5"/>
  <c r="BC94" i="5"/>
  <c r="BM94" i="5"/>
  <c r="BF94" i="5"/>
  <c r="BD98" i="5"/>
  <c r="BC98" i="5"/>
  <c r="BM98" i="5"/>
  <c r="BF98" i="5"/>
  <c r="BM196" i="5"/>
  <c r="BF196" i="5"/>
  <c r="BD196" i="5"/>
  <c r="BC196" i="5"/>
  <c r="BC56" i="5"/>
  <c r="BM56" i="5"/>
  <c r="BF56" i="5"/>
  <c r="BD56" i="5"/>
  <c r="BD109" i="5"/>
  <c r="BM109" i="5"/>
  <c r="BC109" i="5"/>
  <c r="BF109" i="5"/>
  <c r="BF147" i="5"/>
  <c r="BM147" i="5"/>
  <c r="BD147" i="5"/>
  <c r="BC147" i="5"/>
  <c r="BD207" i="5"/>
  <c r="BC207" i="5"/>
  <c r="BM207" i="5"/>
  <c r="BF207" i="5"/>
  <c r="BF153" i="5"/>
  <c r="BC153" i="5"/>
  <c r="BM153" i="5"/>
  <c r="BD153" i="5"/>
  <c r="BM45" i="5"/>
  <c r="BF45" i="5"/>
  <c r="BC45" i="5"/>
  <c r="BD45" i="5"/>
  <c r="BM19" i="5"/>
  <c r="BF19" i="5"/>
  <c r="BC19" i="5"/>
  <c r="BD19" i="5"/>
  <c r="BM116" i="5"/>
  <c r="BF116" i="5"/>
  <c r="BD116" i="5"/>
  <c r="BC116" i="5"/>
  <c r="BF141" i="5"/>
  <c r="BM141" i="5"/>
  <c r="BC141" i="5"/>
  <c r="BD141" i="5"/>
  <c r="BM72" i="5"/>
  <c r="BF72" i="5"/>
  <c r="BD72" i="5"/>
  <c r="BC72" i="5"/>
  <c r="BM185" i="5"/>
  <c r="BF185" i="5"/>
  <c r="BD185" i="5"/>
  <c r="BC185" i="5"/>
  <c r="BM194" i="5"/>
  <c r="BF194" i="5"/>
  <c r="BC194" i="5"/>
  <c r="BD194" i="5"/>
  <c r="BF180" i="5"/>
  <c r="BD180" i="5"/>
  <c r="BC180" i="5"/>
  <c r="BM180" i="5"/>
  <c r="BF80" i="5"/>
  <c r="BM80" i="5"/>
  <c r="BD80" i="5"/>
  <c r="BC80" i="5"/>
  <c r="BD108" i="5"/>
  <c r="BC108" i="5"/>
  <c r="BF108" i="5"/>
  <c r="BM108" i="5"/>
  <c r="BC104" i="5"/>
  <c r="BM104" i="5"/>
  <c r="BF104" i="5"/>
  <c r="BD104" i="5"/>
  <c r="BM37" i="5"/>
  <c r="BC37" i="5"/>
  <c r="BF37" i="5"/>
  <c r="BD37" i="5"/>
  <c r="BF136" i="5"/>
  <c r="BM136" i="5"/>
  <c r="BC136" i="5"/>
  <c r="BD136" i="5"/>
  <c r="BF183" i="5"/>
  <c r="BD183" i="5"/>
  <c r="BC183" i="5"/>
  <c r="BM183" i="5"/>
  <c r="BF151" i="5"/>
  <c r="BC151" i="5"/>
  <c r="BM151" i="5"/>
  <c r="BD151" i="5"/>
  <c r="BD96" i="5"/>
  <c r="BC96" i="5"/>
  <c r="BM96" i="5"/>
  <c r="BF96" i="5"/>
  <c r="BD112" i="5"/>
  <c r="BF112" i="5"/>
  <c r="BC112" i="5"/>
  <c r="BM112" i="5"/>
  <c r="BC200" i="5"/>
  <c r="BM200" i="5"/>
  <c r="BF200" i="5"/>
  <c r="BD200" i="5"/>
  <c r="BM105" i="5"/>
  <c r="BF105" i="5"/>
  <c r="BD105" i="5"/>
  <c r="BC105" i="5"/>
  <c r="BF134" i="5"/>
  <c r="BM134" i="5"/>
  <c r="BD134" i="5"/>
  <c r="BC134" i="5"/>
  <c r="BM28" i="5"/>
  <c r="BF28" i="5"/>
  <c r="BD28" i="5"/>
  <c r="BC28" i="5"/>
  <c r="BM39" i="5"/>
  <c r="BC39" i="5"/>
  <c r="BF39" i="5"/>
  <c r="BD39" i="5"/>
  <c r="BM162" i="5"/>
  <c r="BF162" i="5"/>
  <c r="BD162" i="5"/>
  <c r="BC162" i="5"/>
  <c r="BF114" i="5"/>
  <c r="BD114" i="5"/>
  <c r="BC114" i="5"/>
  <c r="BM114" i="5"/>
  <c r="BD124" i="5"/>
  <c r="BC124" i="5"/>
  <c r="BM124" i="5"/>
  <c r="BF124" i="5"/>
  <c r="BC11" i="5"/>
  <c r="BM11" i="5"/>
  <c r="BF11" i="5"/>
  <c r="BD11" i="5"/>
  <c r="BM78" i="5"/>
  <c r="BF78" i="5"/>
  <c r="BC78" i="5"/>
  <c r="BD78" i="5"/>
  <c r="BM71" i="5"/>
  <c r="BF71" i="5"/>
  <c r="BC71" i="5"/>
  <c r="BD71" i="5"/>
  <c r="BM167" i="5"/>
  <c r="BF167" i="5"/>
  <c r="BD167" i="5"/>
  <c r="BC167" i="5"/>
  <c r="BF132" i="5"/>
  <c r="BM132" i="5"/>
  <c r="BC132" i="5"/>
  <c r="BD132" i="5"/>
  <c r="BM224" i="5"/>
  <c r="BC224" i="5"/>
  <c r="BF224" i="5"/>
  <c r="BD224" i="5"/>
  <c r="BD97" i="5"/>
  <c r="BC97" i="5"/>
  <c r="BM97" i="5"/>
  <c r="BF97" i="5"/>
  <c r="BF106" i="5"/>
  <c r="BD106" i="5"/>
  <c r="BM106" i="5"/>
  <c r="BC106" i="5"/>
  <c r="BD99" i="5"/>
  <c r="BC99" i="5"/>
  <c r="BM99" i="5"/>
  <c r="BF99" i="5"/>
  <c r="BM223" i="5"/>
  <c r="BF223" i="5"/>
  <c r="BD223" i="5"/>
  <c r="BC223" i="5"/>
  <c r="BM156" i="5"/>
  <c r="BF156" i="5"/>
  <c r="BC156" i="5"/>
  <c r="BD156" i="5"/>
  <c r="BF143" i="5"/>
  <c r="BD143" i="5"/>
  <c r="BM143" i="5"/>
  <c r="BC143" i="5"/>
  <c r="BF184" i="5"/>
  <c r="BD184" i="5"/>
  <c r="BC184" i="5"/>
  <c r="BM184" i="5"/>
  <c r="BC210" i="5"/>
  <c r="BF210" i="5"/>
  <c r="BD210" i="5"/>
  <c r="BM210" i="5"/>
  <c r="BM70" i="5"/>
  <c r="BF70" i="5"/>
  <c r="BC70" i="5"/>
  <c r="BD70" i="5"/>
  <c r="BC47" i="5"/>
  <c r="BM47" i="5"/>
  <c r="BD47" i="5"/>
  <c r="BF47" i="5"/>
  <c r="BM159" i="5"/>
  <c r="BF159" i="5"/>
  <c r="BC159" i="5"/>
  <c r="BD159" i="5"/>
  <c r="BM50" i="5"/>
  <c r="BF50" i="5"/>
  <c r="BC50" i="5"/>
  <c r="BD50" i="5"/>
  <c r="BC203" i="5"/>
  <c r="BD203" i="5"/>
  <c r="BM203" i="5"/>
  <c r="BF203" i="5"/>
  <c r="BC53" i="5"/>
  <c r="BM53" i="5"/>
  <c r="BF53" i="5"/>
  <c r="BD53" i="5"/>
  <c r="BM217" i="5"/>
  <c r="BF217" i="5"/>
  <c r="BD217" i="5"/>
  <c r="BC217" i="5"/>
  <c r="BF137" i="5"/>
  <c r="BM137" i="5"/>
  <c r="BD137" i="5"/>
  <c r="BC137" i="5"/>
  <c r="BM182" i="5"/>
  <c r="BF182" i="5"/>
  <c r="BD182" i="5"/>
  <c r="BC182" i="5"/>
  <c r="BM191" i="5"/>
  <c r="BF191" i="5"/>
  <c r="BC191" i="5"/>
  <c r="BD191" i="5"/>
  <c r="BM171" i="5"/>
  <c r="BF171" i="5"/>
  <c r="BD171" i="5"/>
  <c r="BC171" i="5"/>
  <c r="BF102" i="5"/>
  <c r="BD102" i="5"/>
  <c r="BC102" i="5"/>
  <c r="BM102" i="5"/>
  <c r="BF133" i="5"/>
  <c r="BD133" i="5"/>
  <c r="BC133" i="5"/>
  <c r="BM133" i="5"/>
  <c r="BM215" i="5"/>
  <c r="BC215" i="5"/>
  <c r="BF215" i="5"/>
  <c r="BD215" i="5"/>
  <c r="BF30" i="5"/>
  <c r="BD30" i="5"/>
  <c r="BC30" i="5"/>
  <c r="BM30" i="5"/>
  <c r="BF36" i="5"/>
  <c r="BM36" i="5"/>
  <c r="BD36" i="5"/>
  <c r="BC36" i="5"/>
  <c r="BM179" i="5"/>
  <c r="BF179" i="5"/>
  <c r="BD179" i="5"/>
  <c r="BC179" i="5"/>
  <c r="BC204" i="5"/>
  <c r="BF204" i="5"/>
  <c r="BD204" i="5"/>
  <c r="BM204" i="5"/>
  <c r="BM60" i="5"/>
  <c r="BF60" i="5"/>
  <c r="BC60" i="5"/>
  <c r="BD60" i="5"/>
  <c r="BM20" i="5"/>
  <c r="BF20" i="5"/>
  <c r="BC20" i="5"/>
  <c r="BD20" i="5"/>
  <c r="BM58" i="5"/>
  <c r="BF58" i="5"/>
  <c r="BC58" i="5"/>
  <c r="BD58" i="5"/>
  <c r="BM178" i="5"/>
  <c r="BC178" i="5"/>
  <c r="BF178" i="5"/>
  <c r="BD178" i="5"/>
  <c r="BC73" i="5"/>
  <c r="BC35" i="5"/>
  <c r="BM35" i="5"/>
  <c r="BF35" i="5"/>
  <c r="BD35" i="5"/>
  <c r="BD208" i="5"/>
  <c r="BC208" i="5"/>
  <c r="BM208" i="5"/>
  <c r="BF208" i="5"/>
  <c r="BM111" i="5"/>
  <c r="BF111" i="5"/>
  <c r="BD111" i="5"/>
  <c r="BC111" i="5"/>
  <c r="BF145" i="5"/>
  <c r="BM145" i="5"/>
  <c r="BD145" i="5"/>
  <c r="BC145" i="5"/>
  <c r="BM34" i="5"/>
  <c r="BF34" i="5"/>
  <c r="BD34" i="5"/>
  <c r="BC34" i="5"/>
  <c r="BD95" i="5"/>
  <c r="BC95" i="5"/>
  <c r="BM95" i="5"/>
  <c r="BF95" i="5"/>
  <c r="BD29" i="5"/>
  <c r="BC29" i="5"/>
  <c r="BM29" i="5"/>
  <c r="BF29" i="5"/>
  <c r="BD107" i="5"/>
  <c r="BM107" i="5"/>
  <c r="BC107" i="5"/>
  <c r="BF107" i="5"/>
  <c r="BM157" i="5"/>
  <c r="BF157" i="5"/>
  <c r="BC157" i="5"/>
  <c r="BD157" i="5"/>
  <c r="BM103" i="5"/>
  <c r="BC103" i="5"/>
  <c r="BF103" i="5"/>
  <c r="BD103" i="5"/>
  <c r="BF148" i="5"/>
  <c r="BC148" i="5"/>
  <c r="BM148" i="5"/>
  <c r="BD148" i="5"/>
  <c r="BF74" i="5"/>
  <c r="BM74" i="5"/>
  <c r="BD74" i="5"/>
  <c r="BC74" i="5"/>
  <c r="BD89" i="5"/>
  <c r="BC89" i="5"/>
  <c r="BM89" i="5"/>
  <c r="BF89" i="5"/>
  <c r="BF48" i="5"/>
  <c r="BD48" i="5"/>
  <c r="BC48" i="5"/>
  <c r="BM48" i="5"/>
  <c r="BM119" i="5"/>
  <c r="BF119" i="5"/>
  <c r="BD119" i="5"/>
  <c r="BC119" i="5"/>
  <c r="BM13" i="5"/>
  <c r="BF13" i="5"/>
  <c r="BC13" i="5"/>
  <c r="BD13" i="5"/>
  <c r="BM59" i="5"/>
  <c r="BF59" i="5"/>
  <c r="BC59" i="5"/>
  <c r="BD59" i="5"/>
  <c r="BD92" i="5"/>
  <c r="BC92" i="5"/>
  <c r="BM92" i="5"/>
  <c r="BF92" i="5"/>
  <c r="BM123" i="5"/>
  <c r="BF123" i="5"/>
  <c r="BC123" i="5"/>
  <c r="BD123" i="5"/>
  <c r="BM188" i="5"/>
  <c r="BF188" i="5"/>
  <c r="BC188" i="5"/>
  <c r="BD188" i="5"/>
  <c r="BC205" i="5"/>
  <c r="BM205" i="5"/>
  <c r="BD205" i="5"/>
  <c r="BF205" i="5"/>
  <c r="BM46" i="5"/>
  <c r="BF46" i="5"/>
  <c r="BD46" i="5"/>
  <c r="BC46" i="5"/>
  <c r="BM118" i="5"/>
  <c r="BF118" i="5"/>
  <c r="BC118" i="5"/>
  <c r="BD118" i="5"/>
  <c r="BF12" i="5"/>
  <c r="BC12" i="5"/>
  <c r="BD12" i="5"/>
  <c r="BM12" i="5"/>
  <c r="BF144" i="5"/>
  <c r="BM144" i="5"/>
  <c r="BD144" i="5"/>
  <c r="BC144" i="5"/>
  <c r="BF82" i="5"/>
  <c r="BD82" i="5"/>
  <c r="BC82" i="5"/>
  <c r="BM82" i="5"/>
  <c r="BM21" i="5"/>
  <c r="BF21" i="5"/>
  <c r="BC21" i="5"/>
  <c r="BD21" i="5"/>
  <c r="BM175" i="5"/>
  <c r="BF175" i="5"/>
  <c r="BD175" i="5"/>
  <c r="BC175" i="5"/>
  <c r="BM33" i="5"/>
  <c r="BF33" i="5"/>
  <c r="BD33" i="5"/>
  <c r="BC33" i="5"/>
  <c r="AT189" i="5"/>
  <c r="AT194" i="5"/>
  <c r="AT56" i="5"/>
  <c r="AT210" i="5"/>
  <c r="AT133" i="5"/>
  <c r="AT137" i="5"/>
  <c r="AT4" i="5"/>
  <c r="AT161" i="5"/>
  <c r="AT72" i="5"/>
  <c r="AT196" i="5"/>
  <c r="AT138" i="5"/>
  <c r="AT115" i="5"/>
  <c r="AT220" i="5"/>
  <c r="AT103" i="5"/>
  <c r="AT48" i="5"/>
  <c r="AT50" i="5"/>
  <c r="AT217" i="5"/>
  <c r="AT180" i="5"/>
  <c r="AT12" i="5"/>
  <c r="AT45" i="5"/>
  <c r="AT20" i="5"/>
  <c r="AT162" i="5"/>
  <c r="AT70" i="5"/>
  <c r="AT136" i="5"/>
  <c r="AT34" i="5"/>
  <c r="AT131" i="5"/>
  <c r="AT65" i="5"/>
  <c r="AT19" i="5"/>
  <c r="AT29" i="5"/>
  <c r="AT94" i="5"/>
  <c r="AT9" i="5"/>
  <c r="AT173" i="5"/>
  <c r="AT190" i="5"/>
  <c r="AT38" i="5"/>
  <c r="AT199" i="5"/>
  <c r="AT216" i="5"/>
  <c r="AT83" i="5"/>
  <c r="AT49" i="5"/>
  <c r="AT192" i="5"/>
  <c r="BF73" i="5" l="1"/>
  <c r="BD73" i="5"/>
  <c r="BM87" i="5"/>
  <c r="BF87" i="5"/>
  <c r="BD87" i="5"/>
  <c r="BD62" i="5"/>
  <c r="BF62" i="5"/>
  <c r="BM62" i="5"/>
  <c r="BD14" i="5"/>
  <c r="AU189" i="5"/>
  <c r="AV189" i="5" s="1"/>
  <c r="AY189" i="5" s="1"/>
  <c r="BF14" i="5"/>
  <c r="BC202" i="5"/>
  <c r="BC5" i="5"/>
  <c r="BM14" i="5"/>
  <c r="BD5" i="5"/>
  <c r="BC76" i="5"/>
  <c r="BF76" i="5"/>
  <c r="BF5" i="5"/>
  <c r="BD75" i="5"/>
  <c r="BM202" i="5"/>
  <c r="BF75" i="5"/>
  <c r="BC75" i="5"/>
  <c r="BF155" i="5"/>
  <c r="BD202" i="5"/>
  <c r="BM155" i="5"/>
  <c r="BM76" i="5"/>
  <c r="BM209" i="5"/>
  <c r="BC209" i="5"/>
  <c r="BC91" i="5"/>
  <c r="AU194" i="5"/>
  <c r="AV194" i="5" s="1"/>
  <c r="AY194" i="5" s="1"/>
  <c r="BF209" i="5"/>
  <c r="BF91" i="5"/>
  <c r="BF24" i="5"/>
  <c r="BF25" i="5"/>
  <c r="BC125" i="5"/>
  <c r="BF160" i="5"/>
  <c r="BF163" i="5"/>
  <c r="BD68" i="5"/>
  <c r="BD146" i="5"/>
  <c r="BM163" i="5"/>
  <c r="BD117" i="5"/>
  <c r="BM154" i="5"/>
  <c r="BC146" i="5"/>
  <c r="BM91" i="5"/>
  <c r="BD155" i="5"/>
  <c r="BD212" i="5"/>
  <c r="BF117" i="5"/>
  <c r="BD54" i="5"/>
  <c r="BM219" i="5"/>
  <c r="BD113" i="5"/>
  <c r="BC44" i="5"/>
  <c r="BF113" i="5"/>
  <c r="BM113" i="5"/>
  <c r="BF219" i="5"/>
  <c r="BF23" i="5"/>
  <c r="BF130" i="5"/>
  <c r="BM23" i="5"/>
  <c r="BM44" i="5"/>
  <c r="BM25" i="5"/>
  <c r="BD101" i="5"/>
  <c r="BF212" i="5"/>
  <c r="BC219" i="5"/>
  <c r="BF146" i="5"/>
  <c r="BC100" i="5"/>
  <c r="BC25" i="5"/>
  <c r="BD100" i="5"/>
  <c r="BF100" i="5"/>
  <c r="BC163" i="5"/>
  <c r="BD154" i="5"/>
  <c r="BD24" i="5"/>
  <c r="BF139" i="5"/>
  <c r="BC16" i="5"/>
  <c r="BD129" i="5"/>
  <c r="BF68" i="5"/>
  <c r="BM68" i="5"/>
  <c r="BD139" i="5"/>
  <c r="BM117" i="5"/>
  <c r="BC129" i="5"/>
  <c r="AU210" i="5"/>
  <c r="AV210" i="5" s="1"/>
  <c r="AY210" i="5" s="1"/>
  <c r="AU56" i="5"/>
  <c r="AV56" i="5" s="1"/>
  <c r="AY56" i="5" s="1"/>
  <c r="BD44" i="5"/>
  <c r="BM84" i="5"/>
  <c r="BM139" i="5"/>
  <c r="BD130" i="5"/>
  <c r="BC101" i="5"/>
  <c r="BD86" i="5"/>
  <c r="BF55" i="5"/>
  <c r="BC212" i="5"/>
  <c r="BF16" i="5"/>
  <c r="BD63" i="5"/>
  <c r="BM55" i="5"/>
  <c r="BD16" i="5"/>
  <c r="BM24" i="5"/>
  <c r="BM63" i="5"/>
  <c r="AU137" i="5"/>
  <c r="AV137" i="5" s="1"/>
  <c r="AY137" i="5" s="1"/>
  <c r="AU133" i="5"/>
  <c r="AV133" i="5" s="1"/>
  <c r="AY133" i="5" s="1"/>
  <c r="BC164" i="5"/>
  <c r="BM86" i="5"/>
  <c r="BD8" i="5"/>
  <c r="BM66" i="5"/>
  <c r="BD66" i="5"/>
  <c r="BC66" i="5"/>
  <c r="BC57" i="5"/>
  <c r="BF57" i="5"/>
  <c r="BD55" i="5"/>
  <c r="AU4" i="5"/>
  <c r="AV4" i="5" s="1"/>
  <c r="AY4" i="5" s="1"/>
  <c r="BC127" i="5"/>
  <c r="BD127" i="5"/>
  <c r="BF86" i="5"/>
  <c r="BF186" i="5"/>
  <c r="BF127" i="5"/>
  <c r="BF51" i="5"/>
  <c r="BC17" i="5"/>
  <c r="BC18" i="5"/>
  <c r="BD149" i="5"/>
  <c r="BF90" i="5"/>
  <c r="BD67" i="5"/>
  <c r="BC51" i="5"/>
  <c r="BM51" i="5"/>
  <c r="BM149" i="5"/>
  <c r="BM90" i="5"/>
  <c r="BD158" i="5"/>
  <c r="AU72" i="5"/>
  <c r="AV72" i="5" s="1"/>
  <c r="AY72" i="5" s="1"/>
  <c r="AU161" i="5"/>
  <c r="AV161" i="5" s="1"/>
  <c r="AY161" i="5" s="1"/>
  <c r="BM160" i="5"/>
  <c r="BM130" i="5"/>
  <c r="BF126" i="5"/>
  <c r="BC63" i="5"/>
  <c r="BD23" i="5"/>
  <c r="BD18" i="5"/>
  <c r="BC126" i="5"/>
  <c r="BM18" i="5"/>
  <c r="BD126" i="5"/>
  <c r="BD17" i="5"/>
  <c r="BD197" i="5"/>
  <c r="BF214" i="5"/>
  <c r="BC197" i="5"/>
  <c r="BD181" i="5"/>
  <c r="BD125" i="5"/>
  <c r="BF17" i="5"/>
  <c r="BM169" i="5"/>
  <c r="BF125" i="5"/>
  <c r="BF101" i="5"/>
  <c r="BF197" i="5"/>
  <c r="BM214" i="5"/>
  <c r="BC160" i="5"/>
  <c r="BC67" i="5"/>
  <c r="BF129" i="5"/>
  <c r="AU217" i="5"/>
  <c r="AV217" i="5" s="1"/>
  <c r="AY217" i="5" s="1"/>
  <c r="AU50" i="5"/>
  <c r="AV50" i="5" s="1"/>
  <c r="AY50" i="5" s="1"/>
  <c r="AU48" i="5"/>
  <c r="AV48" i="5" s="1"/>
  <c r="AY48" i="5" s="1"/>
  <c r="AU103" i="5"/>
  <c r="AV103" i="5" s="1"/>
  <c r="AY103" i="5" s="1"/>
  <c r="AU220" i="5"/>
  <c r="AV220" i="5" s="1"/>
  <c r="AY220" i="5" s="1"/>
  <c r="AU115" i="5"/>
  <c r="AV115" i="5" s="1"/>
  <c r="AY115" i="5" s="1"/>
  <c r="AU138" i="5"/>
  <c r="AV138" i="5" s="1"/>
  <c r="AY138" i="5" s="1"/>
  <c r="AU196" i="5"/>
  <c r="AV196" i="5" s="1"/>
  <c r="AY196" i="5" s="1"/>
  <c r="BM181" i="5"/>
  <c r="BM170" i="5"/>
  <c r="BC135" i="5"/>
  <c r="BC181" i="5"/>
  <c r="BM135" i="5"/>
  <c r="BD214" i="5"/>
  <c r="BF164" i="5"/>
  <c r="BC90" i="5"/>
  <c r="BC149" i="5"/>
  <c r="BC8" i="5"/>
  <c r="BM152" i="5"/>
  <c r="BM64" i="5"/>
  <c r="BD32" i="5"/>
  <c r="BM2" i="5"/>
  <c r="BC84" i="5"/>
  <c r="BC154" i="5"/>
  <c r="BM88" i="5"/>
  <c r="BC166" i="5"/>
  <c r="BM32" i="5"/>
  <c r="BD122" i="5"/>
  <c r="BD84" i="5"/>
  <c r="BF8" i="5"/>
  <c r="BC32" i="5"/>
  <c r="BC170" i="5"/>
  <c r="BD166" i="5"/>
  <c r="BM164" i="5"/>
  <c r="AU70" i="5"/>
  <c r="AV70" i="5" s="1"/>
  <c r="AY70" i="5" s="1"/>
  <c r="AU162" i="5"/>
  <c r="AV162" i="5" s="1"/>
  <c r="AY162" i="5" s="1"/>
  <c r="AU20" i="5"/>
  <c r="AV20" i="5" s="1"/>
  <c r="AY20" i="5" s="1"/>
  <c r="AU45" i="5"/>
  <c r="AV45" i="5" s="1"/>
  <c r="AY45" i="5" s="1"/>
  <c r="AU12" i="5"/>
  <c r="AV12" i="5" s="1"/>
  <c r="AY12" i="5" s="1"/>
  <c r="AU180" i="5"/>
  <c r="AV180" i="5" s="1"/>
  <c r="AY180" i="5" s="1"/>
  <c r="BF93" i="5"/>
  <c r="BC93" i="5"/>
  <c r="BF54" i="5"/>
  <c r="BC54" i="5"/>
  <c r="BF166" i="5"/>
  <c r="BF67" i="5"/>
  <c r="BM176" i="5"/>
  <c r="BD57" i="5"/>
  <c r="BF169" i="5"/>
  <c r="BC122" i="5"/>
  <c r="BM186" i="5"/>
  <c r="BF140" i="5"/>
  <c r="BC158" i="5"/>
  <c r="BC2" i="5"/>
  <c r="BM40" i="5"/>
  <c r="BD43" i="5"/>
  <c r="BD2" i="5"/>
  <c r="BD176" i="5"/>
  <c r="BC40" i="5"/>
  <c r="BC169" i="5"/>
  <c r="BF122" i="5"/>
  <c r="BD186" i="5"/>
  <c r="BD81" i="5"/>
  <c r="BM93" i="5"/>
  <c r="BF176" i="5"/>
  <c r="BC140" i="5"/>
  <c r="AU34" i="5"/>
  <c r="AV34" i="5" s="1"/>
  <c r="AY34" i="5" s="1"/>
  <c r="AU136" i="5"/>
  <c r="AV136" i="5" s="1"/>
  <c r="AY136" i="5" s="1"/>
  <c r="BD88" i="5"/>
  <c r="BD40" i="5"/>
  <c r="BF142" i="5"/>
  <c r="BF170" i="5"/>
  <c r="BD174" i="5"/>
  <c r="BD152" i="5"/>
  <c r="BC88" i="5"/>
  <c r="BD61" i="5"/>
  <c r="BC43" i="5"/>
  <c r="BC110" i="5"/>
  <c r="BC77" i="5"/>
  <c r="BF43" i="5"/>
  <c r="BM174" i="5"/>
  <c r="BD110" i="5"/>
  <c r="BD77" i="5"/>
  <c r="BF174" i="5"/>
  <c r="BC152" i="5"/>
  <c r="BF110" i="5"/>
  <c r="BF77" i="5"/>
  <c r="AU65" i="5"/>
  <c r="AV65" i="5" s="1"/>
  <c r="AY65" i="5" s="1"/>
  <c r="AU131" i="5"/>
  <c r="AV131" i="5" s="1"/>
  <c r="AY131" i="5" s="1"/>
  <c r="BD22" i="5"/>
  <c r="BF22" i="5"/>
  <c r="BC22" i="5"/>
  <c r="BC3" i="5"/>
  <c r="BF3" i="5"/>
  <c r="BM3" i="5"/>
  <c r="BD135" i="5"/>
  <c r="BF187" i="5"/>
  <c r="BM187" i="5"/>
  <c r="BD187" i="5"/>
  <c r="BC187" i="5"/>
  <c r="BD198" i="5"/>
  <c r="AU19" i="5"/>
  <c r="AV19" i="5" s="1"/>
  <c r="AY19" i="5" s="1"/>
  <c r="BC41" i="5"/>
  <c r="BM41" i="5"/>
  <c r="BC61" i="5"/>
  <c r="BC64" i="5"/>
  <c r="BC142" i="5"/>
  <c r="BM81" i="5"/>
  <c r="BC52" i="5"/>
  <c r="BC31" i="5"/>
  <c r="BC79" i="5"/>
  <c r="BD218" i="5"/>
  <c r="BF218" i="5"/>
  <c r="BF64" i="5"/>
  <c r="BD142" i="5"/>
  <c r="BC81" i="5"/>
  <c r="BF41" i="5"/>
  <c r="BD41" i="5"/>
  <c r="BF31" i="5"/>
  <c r="BF198" i="5"/>
  <c r="BC218" i="5"/>
  <c r="BM61" i="5"/>
  <c r="BF52" i="5"/>
  <c r="BM52" i="5"/>
  <c r="BC198" i="5"/>
  <c r="AU9" i="5"/>
  <c r="AV9" i="5" s="1"/>
  <c r="AY9" i="5" s="1"/>
  <c r="AU94" i="5"/>
  <c r="AV94" i="5" s="1"/>
  <c r="AY94" i="5" s="1"/>
  <c r="AU29" i="5"/>
  <c r="AV29" i="5" s="1"/>
  <c r="AY29" i="5" s="1"/>
  <c r="BC177" i="5"/>
  <c r="BF177" i="5"/>
  <c r="BM177" i="5"/>
  <c r="BD177" i="5"/>
  <c r="BF211" i="5"/>
  <c r="BD9" i="5"/>
  <c r="BF9" i="5"/>
  <c r="BM9" i="5"/>
  <c r="BC9" i="5"/>
  <c r="BF79" i="5"/>
  <c r="BD79" i="5"/>
  <c r="BD211" i="5"/>
  <c r="BD31" i="5"/>
  <c r="BM211" i="5"/>
  <c r="BF158" i="5"/>
  <c r="AU38" i="5"/>
  <c r="AV38" i="5" s="1"/>
  <c r="AY38" i="5" s="1"/>
  <c r="AU190" i="5"/>
  <c r="AV190" i="5" s="1"/>
  <c r="AY190" i="5" s="1"/>
  <c r="AU173" i="5"/>
  <c r="AV173" i="5" s="1"/>
  <c r="AY173" i="5" s="1"/>
  <c r="BF38" i="5"/>
  <c r="BD38" i="5"/>
  <c r="BM38" i="5"/>
  <c r="BC38" i="5"/>
  <c r="BM15" i="5"/>
  <c r="BD15" i="5"/>
  <c r="BF15" i="5"/>
  <c r="BC15" i="5"/>
  <c r="BD140" i="5"/>
  <c r="BM26" i="5"/>
  <c r="BF26" i="5"/>
  <c r="BD26" i="5"/>
  <c r="BC26" i="5"/>
  <c r="BM190" i="5"/>
  <c r="BD190" i="5"/>
  <c r="BC190" i="5"/>
  <c r="BF190" i="5"/>
  <c r="BM7" i="5"/>
  <c r="BF7" i="5"/>
  <c r="BD7" i="5"/>
  <c r="BC7" i="5"/>
  <c r="BD172" i="5"/>
  <c r="BM172" i="5"/>
  <c r="BC172" i="5"/>
  <c r="BF172" i="5"/>
  <c r="BD173" i="5"/>
  <c r="BC173" i="5"/>
  <c r="BM173" i="5"/>
  <c r="BF173" i="5"/>
  <c r="AU192" i="5"/>
  <c r="AV192" i="5" s="1"/>
  <c r="AY192" i="5" s="1"/>
  <c r="AU49" i="5"/>
  <c r="AV49" i="5" s="1"/>
  <c r="AY49" i="5" s="1"/>
  <c r="AU83" i="5"/>
  <c r="AV83" i="5" s="1"/>
  <c r="AY83" i="5" s="1"/>
  <c r="AU216" i="5"/>
  <c r="AV216" i="5" s="1"/>
  <c r="AY216" i="5" s="1"/>
  <c r="AU199" i="5"/>
  <c r="AV199" i="5" s="1"/>
  <c r="AY199" i="5" s="1"/>
  <c r="BM192" i="5"/>
  <c r="BF192" i="5"/>
  <c r="BD192" i="5"/>
  <c r="BC192" i="5"/>
  <c r="BF42" i="5"/>
  <c r="BC42" i="5"/>
  <c r="BM42" i="5"/>
  <c r="BD42" i="5"/>
  <c r="BM49" i="5"/>
  <c r="BF49" i="5"/>
  <c r="BC49" i="5"/>
  <c r="BD49" i="5"/>
  <c r="BM83" i="5"/>
  <c r="BF83" i="5"/>
  <c r="BD83" i="5"/>
  <c r="BC83" i="5"/>
  <c r="BC193" i="5"/>
  <c r="BM193" i="5"/>
  <c r="BF193" i="5"/>
  <c r="BD193" i="5"/>
  <c r="BC201" i="5"/>
  <c r="BF201" i="5"/>
  <c r="BD201" i="5"/>
  <c r="BM201" i="5"/>
  <c r="BM216" i="5"/>
  <c r="BC216" i="5"/>
  <c r="BF216" i="5"/>
  <c r="BD216" i="5"/>
  <c r="BM165" i="5"/>
  <c r="BF165" i="5"/>
  <c r="BD165" i="5"/>
  <c r="BC165" i="5"/>
  <c r="BC199" i="5"/>
  <c r="BM199" i="5"/>
  <c r="BF199" i="5"/>
  <c r="BD199" i="5"/>
</calcChain>
</file>

<file path=xl/sharedStrings.xml><?xml version="1.0" encoding="utf-8"?>
<sst xmlns="http://schemas.openxmlformats.org/spreadsheetml/2006/main" count="368" uniqueCount="353">
  <si>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</si>
  <si>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</si>
  <si>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</si>
  <si>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</si>
  <si>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</si>
  <si>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</si>
  <si>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</si>
  <si>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</si>
  <si>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</si>
  <si>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</si>
  <si>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</si>
  <si>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</si>
  <si>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</si>
  <si>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</si>
  <si>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</si>
  <si>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</si>
  <si>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</si>
  <si>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</si>
  <si>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</si>
  <si>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</si>
  <si>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</si>
  <si>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</si>
  <si>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</si>
  <si>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</si>
  <si>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</si>
  <si>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</si>
  <si>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</si>
  <si>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</si>
  <si>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</si>
  <si>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</si>
  <si>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</si>
  <si>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</si>
  <si>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</si>
  <si>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</si>
  <si>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</si>
  <si>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</si>
  <si>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</si>
  <si>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</si>
  <si>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</si>
  <si>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</si>
  <si>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</si>
  <si>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</si>
  <si>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</si>
  <si>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</si>
  <si>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</si>
  <si>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</si>
  <si>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</si>
  <si>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</si>
  <si>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</si>
  <si>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</si>
  <si>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</si>
  <si>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</si>
  <si>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</si>
  <si>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</si>
  <si>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</si>
  <si>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</si>
  <si>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</si>
  <si>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</si>
  <si>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</si>
  <si>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</si>
  <si>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</si>
  <si>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</si>
  <si>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</si>
  <si>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</si>
  <si>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</si>
  <si>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</si>
  <si>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</si>
  <si>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</si>
  <si>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</si>
  <si>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</si>
  <si>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</si>
  <si>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</si>
  <si>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</si>
  <si>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</si>
  <si>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</si>
  <si>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</si>
  <si>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</si>
  <si>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</si>
  <si>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</si>
  <si>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</si>
  <si>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</si>
  <si>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</si>
  <si>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</si>
  <si>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</si>
  <si>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</si>
  <si>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</si>
  <si>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</si>
  <si>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</si>
  <si>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</si>
  <si>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</si>
  <si>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</si>
  <si>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</si>
  <si>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</si>
  <si>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</si>
  <si>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</si>
  <si>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</si>
  <si>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</si>
  <si>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</si>
  <si>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</si>
  <si>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</si>
  <si>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</si>
  <si>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</si>
  <si>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</si>
  <si>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</si>
  <si>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</si>
  <si>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</si>
  <si>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</si>
  <si>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</si>
  <si>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</si>
  <si>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</si>
  <si>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</si>
  <si>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</si>
  <si>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</si>
  <si>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</si>
  <si>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</si>
  <si>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</si>
  <si>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</si>
  <si>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</si>
  <si>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</si>
  <si>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</si>
  <si>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</si>
  <si>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</si>
  <si>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</si>
  <si>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</si>
  <si>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</si>
  <si>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</si>
  <si>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</si>
  <si>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</si>
  <si>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</si>
  <si>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</si>
  <si>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</si>
  <si>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</si>
  <si>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</si>
  <si>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</si>
  <si>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</si>
  <si>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</si>
  <si>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</si>
  <si>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</si>
  <si>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</si>
  <si>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</si>
  <si>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</si>
  <si>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</si>
  <si>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</si>
  <si>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</si>
  <si>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</si>
  <si>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</si>
  <si>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</si>
  <si>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</si>
  <si>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</si>
  <si>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</si>
  <si>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</si>
  <si>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</si>
  <si>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</si>
  <si>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</si>
  <si>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</si>
  <si>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</si>
  <si>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</si>
  <si>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</si>
  <si>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</si>
  <si>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</si>
  <si>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</si>
  <si>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</si>
  <si>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</si>
  <si>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</si>
  <si>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</si>
  <si>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</si>
  <si>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</si>
  <si>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</si>
  <si>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</si>
  <si>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</si>
  <si>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</si>
  <si>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</si>
  <si>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</si>
  <si>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</si>
  <si>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</si>
  <si>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</si>
  <si>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</si>
  <si>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</si>
  <si>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</si>
  <si>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</si>
  <si>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</si>
  <si>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</si>
  <si>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</si>
  <si>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</si>
  <si>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</si>
  <si>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</si>
  <si>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</si>
  <si>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</si>
  <si>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</si>
  <si>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</si>
  <si>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</si>
  <si>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</si>
  <si>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</si>
  <si>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</si>
  <si>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</si>
  <si>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</si>
  <si>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</si>
  <si>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</si>
  <si>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</si>
  <si>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</si>
  <si>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</si>
  <si>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</si>
  <si>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</si>
  <si>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</si>
  <si>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</si>
  <si>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</si>
  <si>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</si>
  <si>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</si>
  <si>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</si>
  <si>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</si>
  <si>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</si>
  <si>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</si>
  <si>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</si>
  <si>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</si>
  <si>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</si>
  <si>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</si>
  <si>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</si>
  <si>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</si>
  <si>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</si>
  <si>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</si>
  <si>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</si>
  <si>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</si>
  <si>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</si>
  <si>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</si>
  <si>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</si>
  <si>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</si>
  <si>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</si>
  <si>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</si>
  <si>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</si>
  <si>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</si>
  <si>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</si>
  <si>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</si>
  <si>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</si>
  <si>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</si>
  <si>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</si>
  <si>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</si>
  <si>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</si>
  <si>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</si>
  <si>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</si>
  <si>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</si>
  <si>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</si>
  <si>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</si>
  <si>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</si>
  <si>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</si>
  <si>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</si>
  <si>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</si>
  <si>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</si>
  <si>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</si>
  <si>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</si>
  <si>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</si>
  <si>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</si>
  <si>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</si>
  <si>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</si>
  <si>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</si>
  <si>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</si>
  <si>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</si>
  <si>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</si>
  <si>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</si>
  <si>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</si>
  <si>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</si>
  <si>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</si>
  <si>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</si>
  <si>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</si>
  <si>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</si>
  <si>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</si>
  <si>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</si>
  <si>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</si>
  <si>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</si>
  <si>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</si>
  <si>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</si>
  <si>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</si>
  <si>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</si>
  <si>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</si>
  <si>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</si>
  <si>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</si>
  <si>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</si>
  <si>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</si>
  <si>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</si>
  <si>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</si>
  <si>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</si>
  <si>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</si>
  <si>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</si>
  <si>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</si>
  <si>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</si>
  <si>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</si>
  <si>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</si>
  <si>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</si>
  <si>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</si>
  <si>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</si>
  <si>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</si>
  <si>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</si>
  <si>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</si>
  <si>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</si>
  <si>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</si>
  <si>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39.01_10</t>
  </si>
  <si>
    <t>27.01_10</t>
  </si>
  <si>
    <t>81.01_10</t>
  </si>
  <si>
    <t>259.01_10</t>
  </si>
  <si>
    <t>1.01_10</t>
  </si>
  <si>
    <t>442.01_10</t>
  </si>
  <si>
    <t>150.01_10</t>
  </si>
  <si>
    <t>289.01_10</t>
  </si>
  <si>
    <t>249.01_10</t>
  </si>
  <si>
    <t>281.01_10</t>
  </si>
  <si>
    <t>40.01_10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</si>
  <si>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</si>
  <si>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</si>
  <si>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</si>
  <si>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</si>
  <si>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</si>
  <si>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</si>
  <si>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</si>
  <si>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</si>
  <si>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</si>
  <si>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</si>
  <si>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</si>
  <si>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</si>
  <si>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</si>
  <si>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</si>
  <si>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</si>
  <si>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</si>
  <si>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Step</t>
  </si>
  <si>
    <t>y_star-delta</t>
  </si>
  <si>
    <t>delta&lt;0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</si>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</sst>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37" totalsRowShown="0">
  <autoFilter ref="A1:BR237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305</v>
      </c>
      <c r="B1" s="31" t="s">
        <v>306</v>
      </c>
      <c r="C1" s="31" t="s">
        <v>307</v>
      </c>
      <c r="D1" s="31" t="s">
        <v>308</v>
      </c>
      <c r="E1" s="31" t="s">
        <v>309</v>
      </c>
      <c r="F1" s="31" t="s">
        <v>310</v>
      </c>
      <c r="G1" s="31" t="s">
        <v>311</v>
      </c>
      <c r="H1" s="31" t="s">
        <v>312</v>
      </c>
      <c r="I1" s="31" t="s">
        <v>313</v>
      </c>
      <c r="J1" s="31" t="s">
        <v>314</v>
      </c>
      <c r="K1" s="31" t="s">
        <v>11</v>
      </c>
      <c r="M1" s="32" t="s">
        <v>315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316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4205.4014337612389</v>
      </c>
      <c r="D2" t="s">
        <v>319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4176.5923150780054</v>
      </c>
      <c r="D2" t="s">
        <v>319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317</v>
      </c>
      <c r="B1" s="31" t="s">
        <v>318</v>
      </c>
      <c r="D1" s="32" t="s">
        <v>315</v>
      </c>
    </row>
    <row r="2" spans="1:4" x14ac:dyDescent="0.15">
      <c r="A2">
        <v>278</v>
      </c>
      <c r="B2">
        <v>4145.4990259833339</v>
      </c>
      <c r="D2" t="s">
        <v>319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37"/>
  <sheetViews>
    <sheetView tabSelected="1" topLeftCell="AW210" zoomScaleNormal="100" workbookViewId="0">
      <selection activeCell="BD234" sqref="BD234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37" si="92">+N194*Q194/I194</f>
        <v>133916.67451589441</v>
      </c>
      <c r="X194">
        <v>2.358706090902573E-2</v>
      </c>
      <c r="Y194">
        <f t="shared" ref="Y194:Y257" si="93">IF(X194&gt;0,1/X194^0.5,1)</f>
        <v>6.511230738825815</v>
      </c>
      <c r="Z194">
        <f t="shared" ref="Z194:Z237" si="94">IF(X194&gt;0,1.14-2*LOG((0.72*L194*E194)/(X194*Q194*N194^2)+9.35/(W194*X194^0.5)),0)</f>
        <v>6.5112307565456247</v>
      </c>
      <c r="AA194">
        <f t="shared" ref="AA194:AA257" si="95">+Y194-Z194</f>
        <v>-1.7719809619620719E-8</v>
      </c>
      <c r="AB194">
        <f t="shared" ref="AB194:AB237" si="96">32/X194*L194*V194*E194/N194^2</f>
        <v>6.425375621253804E-6</v>
      </c>
      <c r="AC194">
        <v>648.62974004930015</v>
      </c>
      <c r="AD194">
        <f t="shared" ref="AD194:AD237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57" si="98">+AE194-U194</f>
        <v>4.8629738103045383E-7</v>
      </c>
      <c r="AG194">
        <v>6.4566217237366081E-6</v>
      </c>
      <c r="AH194">
        <f t="shared" ref="AH194:AH237" si="99">+X194*N194^2/(8*E194)</f>
        <v>41.258804146735869</v>
      </c>
      <c r="AI194">
        <f t="shared" ref="AI194:AI257" si="100">+(AH194/E194)^0.5</f>
        <v>0.27735755430529702</v>
      </c>
      <c r="AJ194">
        <f t="shared" ref="AJ194:AJ257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37" si="102">+K194*I194/J194</f>
        <v>1.9545987150045083</v>
      </c>
      <c r="AM194">
        <f t="shared" ref="AM194:AM257" si="103">+gettyp(AC194,AJ194,AK194,AL194)</f>
        <v>631.29983470218883</v>
      </c>
      <c r="AN194">
        <f t="shared" ref="AN194:AN257" si="104">+C194-AM194</f>
        <v>-1.6005856195988599E-8</v>
      </c>
      <c r="AO194">
        <f t="shared" ref="AO194:AO237" si="105">+AG194-AB194</f>
        <v>3.1246102482804082E-8</v>
      </c>
      <c r="AP194">
        <v>2.265618810104193</v>
      </c>
      <c r="AQ194">
        <f t="shared" ref="AQ194:AQ257" si="106">2*PI()*L194*(D194+E194)/(D194*E194*AP194^2)</f>
        <v>2.4563706858024477E-5</v>
      </c>
      <c r="AR194">
        <f t="shared" ref="AR194:AR237" si="107">+AO194+AB194/2</f>
        <v>3.2439339131097061E-6</v>
      </c>
      <c r="AS194">
        <f t="shared" ref="AS194:AS257" si="108">+AR194*AI194/I194*E194</f>
        <v>7.8701471220361698</v>
      </c>
      <c r="AT194">
        <f t="shared" ref="AT194:AT257" si="109">+getublp(AS194)</f>
        <v>7.2653837814356539</v>
      </c>
      <c r="AU194">
        <f t="shared" ref="AU194:AU257" si="110">+AT194*AI194</f>
        <v>2.0151090767083635</v>
      </c>
      <c r="AV194">
        <f t="shared" ref="AV194:AV257" si="111">+AP194-AU194</f>
        <v>0.25050973339582949</v>
      </c>
      <c r="AW194">
        <f t="shared" ref="AW194:AW237" si="112">2/3*AB194/(L194/(9.8*(E194-D194)))^0.5</f>
        <v>5.6903963802360158E-3</v>
      </c>
      <c r="AX194">
        <f t="shared" ref="AX194:AX257" si="113">+(2*AQ194*9.8*(E194-D194)/(E194*AW194))^0.5</f>
        <v>0.25050972202862032</v>
      </c>
      <c r="AY194">
        <f t="shared" ref="AY194:AY257" si="114">+AV194-AX194</f>
        <v>1.1367209173940296E-8</v>
      </c>
      <c r="AZ194">
        <f t="shared" ref="AZ194:AZ237" si="115">+F194-G194</f>
        <v>750991.36315881251</v>
      </c>
      <c r="BA194">
        <f t="shared" ref="BA194:BA237" si="116">+AQ194/AP194</f>
        <v>1.0841941613688678E-5</v>
      </c>
      <c r="BB194" s="15">
        <f t="shared" ref="BB194:BB257" si="117">+E194*AO194*AZ194/BA194</f>
        <v>1160807.9371140187</v>
      </c>
      <c r="BC194" s="20">
        <f t="shared" ref="BC194:BC257" si="118">BB194-S194</f>
        <v>9639.0894577687141</v>
      </c>
      <c r="BD194" s="19">
        <f t="shared" ref="BD194:BD237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37" si="120">PI()*Q216^2/4</f>
        <v>2.8502295699234246E-6</v>
      </c>
      <c r="P216" s="8">
        <f t="shared" ref="P216:P247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2.193170298710009E-2</v>
      </c>
      <c r="Y225">
        <f t="shared" si="93"/>
        <v>6.7524880163745191</v>
      </c>
      <c r="Z225">
        <f t="shared" si="94"/>
        <v>6.7524880375115002</v>
      </c>
      <c r="AA225">
        <f t="shared" si="95"/>
        <v>-2.1136981054326043E-8</v>
      </c>
      <c r="AB225">
        <f t="shared" si="96"/>
        <v>2.6448802811588884E-6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2.8221507772346941E-6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9.4000971599180243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1.7727049607580574E-7</v>
      </c>
      <c r="AP225">
        <v>2.215499035557646</v>
      </c>
      <c r="AQ225">
        <f t="shared" si="106"/>
        <v>1.835784356644753E-5</v>
      </c>
      <c r="AR225">
        <f t="shared" si="107"/>
        <v>1.4997106366552499E-6</v>
      </c>
      <c r="AS225">
        <f t="shared" si="108"/>
        <v>4.9952772934886678</v>
      </c>
      <c r="AT225">
        <f t="shared" si="109"/>
        <v>4.9952772934886678</v>
      </c>
      <c r="AU225">
        <f t="shared" si="110"/>
        <v>1.9017988831427179</v>
      </c>
      <c r="AV225">
        <f t="shared" si="111"/>
        <v>0.3137001524149281</v>
      </c>
      <c r="AW225">
        <f t="shared" si="112"/>
        <v>2.6083900625285634E-3</v>
      </c>
      <c r="AX225">
        <f t="shared" si="113"/>
        <v>0.313700139596159</v>
      </c>
      <c r="AY225">
        <f t="shared" si="114"/>
        <v>1.2818769101752281E-8</v>
      </c>
      <c r="AZ225">
        <f t="shared" si="115"/>
        <v>692257.60600924003</v>
      </c>
      <c r="BA225">
        <f t="shared" si="116"/>
        <v>8.2860986494750701E-6</v>
      </c>
      <c r="BB225" s="15">
        <f t="shared" si="117"/>
        <v>7706866.6504258318</v>
      </c>
      <c r="BC225" s="20">
        <f t="shared" si="118"/>
        <v>-4949.7558241682127</v>
      </c>
      <c r="BD225" s="19">
        <f t="shared" si="119"/>
        <v>-6.4184046447951087E-2</v>
      </c>
      <c r="BE225" s="15">
        <v>3564686.7</v>
      </c>
      <c r="BF225" s="16">
        <f>テーブル2[[#This Row],[q_P]]/テーブル2[[#This Row],[q_M]]</f>
        <v>2.1620039288237676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7.7068666504258312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t="s">
        <v>294</v>
      </c>
      <c r="B226">
        <v>13789514.586336</v>
      </c>
      <c r="C226">
        <f>TsatFromP(テーブル2[[#This Row],[P]])</f>
        <v>608.62107399852357</v>
      </c>
      <c r="D226">
        <f>RhoGFromP(テーブル2[[#This Row],[P]])</f>
        <v>85.147847035840741</v>
      </c>
      <c r="E226">
        <f>RhoFFromP(テーブル2[[#This Row],[P]])</f>
        <v>624.86636713482415</v>
      </c>
      <c r="F226">
        <f>HgFromP(テーブル2[[#This Row],[P]])</f>
        <v>2643264.5206450778</v>
      </c>
      <c r="G226">
        <f>HfFromP(テーブル2[[#This Row],[P]])</f>
        <v>1562686.7596125705</v>
      </c>
      <c r="H226">
        <f>MuGFromP(テーブル2[[#This Row],[P]])</f>
        <v>2.2019591234371903E-5</v>
      </c>
      <c r="I226">
        <f>MuFFromP(テーブル2[[#This Row],[P]])</f>
        <v>7.222326555143516E-5</v>
      </c>
      <c r="J226">
        <f>KfFromP(テーブル2[[#This Row],[P]])</f>
        <v>0.49112131073334553</v>
      </c>
      <c r="K226">
        <f>CpFFromP(テーブル2[[#This Row],[P]])</f>
        <v>7679.7488518783057</v>
      </c>
      <c r="L226">
        <f>SigmaFromP(テーブル2[[#This Row],[P]])</f>
        <v>6.5036449518301549E-3</v>
      </c>
      <c r="M226">
        <v>225</v>
      </c>
      <c r="N226">
        <v>3933.067</v>
      </c>
      <c r="O226">
        <f t="shared" si="120"/>
        <v>1.0361661240064725E-5</v>
      </c>
      <c r="P226">
        <f t="shared" si="121"/>
        <v>1.1410892836368843E-2</v>
      </c>
      <c r="Q226">
        <v>3.6321999999999991E-3</v>
      </c>
      <c r="R226">
        <v>7.619999999999999E-2</v>
      </c>
      <c r="S226">
        <v>542216.32921875</v>
      </c>
      <c r="T226">
        <v>603.36221672770296</v>
      </c>
      <c r="U226">
        <f>+T226+BG226*S226*テーブル2[[#This Row],[Pw]]*R226/(N226*O226*K226)</f>
        <v>604.86861371593341</v>
      </c>
      <c r="V226">
        <v>0.03</v>
      </c>
      <c r="W226">
        <f t="shared" si="92"/>
        <v>197798.94814124925</v>
      </c>
      <c r="X226">
        <v>2.4617198313006582E-2</v>
      </c>
      <c r="Y226">
        <f t="shared" si="93"/>
        <v>6.3735395904460583</v>
      </c>
      <c r="Z226">
        <f t="shared" si="94"/>
        <v>6.3735396100424007</v>
      </c>
      <c r="AA226">
        <f t="shared" si="95"/>
        <v>-1.9596342326622107E-8</v>
      </c>
      <c r="AB226">
        <f t="shared" si="96"/>
        <v>1.0245045541753122E-5</v>
      </c>
      <c r="AC226">
        <v>614.08870016741139</v>
      </c>
      <c r="AD226">
        <f t="shared" si="97"/>
        <v>5486.1578702633824</v>
      </c>
      <c r="AE226">
        <f>+gettm2(AD226,AC226,AK226,AL226,テーブル2[[#This Row],[Fcorr]])</f>
        <v>604.86861371593341</v>
      </c>
      <c r="AF226">
        <f t="shared" si="98"/>
        <v>0</v>
      </c>
      <c r="AG226">
        <v>1.0251821619492865E-5</v>
      </c>
      <c r="AH226">
        <f t="shared" si="99"/>
        <v>76.177054659150969</v>
      </c>
      <c r="AI226">
        <f t="shared" si="100"/>
        <v>0.34915519931471611</v>
      </c>
      <c r="AJ226">
        <f t="shared" si="101"/>
        <v>30.969171225327404</v>
      </c>
      <c r="AK226">
        <f>+S226*テーブル2[[#This Row],[F_form]]/(E226*CpFromTP((テーブル2[[#This Row],[Tin]]+テーブル2[[#This Row],[Tf]])/2,テーブル2[[#This Row],[P]])*AI226)</f>
        <v>0.35978249572894994</v>
      </c>
      <c r="AL226">
        <f t="shared" si="102"/>
        <v>1.1293676909872215</v>
      </c>
      <c r="AM226">
        <f t="shared" si="103"/>
        <v>608.62107399842557</v>
      </c>
      <c r="AN226">
        <f t="shared" si="104"/>
        <v>9.7998054116033018E-11</v>
      </c>
      <c r="AO226">
        <f t="shared" si="105"/>
        <v>6.7760777397426938E-9</v>
      </c>
      <c r="AP226">
        <v>4.0236488402633634</v>
      </c>
      <c r="AQ226">
        <f t="shared" si="106"/>
        <v>3.368238009302704E-5</v>
      </c>
      <c r="AR226">
        <f t="shared" si="107"/>
        <v>5.1292988486163039E-6</v>
      </c>
      <c r="AS226">
        <f t="shared" si="108"/>
        <v>15.494820355304912</v>
      </c>
      <c r="AT226">
        <f t="shared" si="109"/>
        <v>10.652528987261329</v>
      </c>
      <c r="AU226">
        <f t="shared" si="110"/>
        <v>3.7193858817530203</v>
      </c>
      <c r="AV226">
        <f t="shared" si="111"/>
        <v>0.30426295851034313</v>
      </c>
      <c r="AW226">
        <f t="shared" si="112"/>
        <v>6.1594356229639517E-3</v>
      </c>
      <c r="AX226">
        <f t="shared" si="113"/>
        <v>0.3042629328463195</v>
      </c>
      <c r="AY226">
        <f t="shared" si="114"/>
        <v>2.5664023628468868E-8</v>
      </c>
      <c r="AZ226">
        <f t="shared" si="115"/>
        <v>1080577.7610325073</v>
      </c>
      <c r="BA226">
        <f t="shared" si="116"/>
        <v>8.3711033020521727E-6</v>
      </c>
      <c r="BB226">
        <f t="shared" si="117"/>
        <v>546561.26975103596</v>
      </c>
      <c r="BC226">
        <f t="shared" si="118"/>
        <v>4344.9405322859529</v>
      </c>
      <c r="BD226">
        <f t="shared" si="119"/>
        <v>0.8013297088537229</v>
      </c>
      <c r="BE226">
        <v>3943237.5</v>
      </c>
      <c r="BF226">
        <f>テーブル2[[#This Row],[q_P]]/テーブル2[[#This Row],[q_M]]</f>
        <v>0.13860724081444142</v>
      </c>
      <c r="BG226">
        <v>1</v>
      </c>
      <c r="BH226">
        <v>4.2000000000000003E-2</v>
      </c>
      <c r="BI226">
        <v>4.5999999999999999E-2</v>
      </c>
      <c r="BJ226">
        <v>5625</v>
      </c>
      <c r="BK226">
        <v>1</v>
      </c>
      <c r="BL226">
        <f>テーブル2[[#This Row],[Ts]]-テーブル2[[#This Row],[Tin]]</f>
        <v>5.2588572708206129</v>
      </c>
      <c r="BM226">
        <f>テーブル2[[#This Row],[q_P]]*0.000001</f>
        <v>0.54656126975103592</v>
      </c>
      <c r="BN226">
        <f>テーブル2[[#This Row],[Tsub]]</f>
        <v>5.2588572708206129</v>
      </c>
      <c r="BO226">
        <f>テーブル2[[#This Row],[Fcorr]]</f>
        <v>1</v>
      </c>
      <c r="BP226">
        <f>(テーブル2[[#This Row],[Tsub]]-40)^2</f>
        <v>1206.9469981292139</v>
      </c>
      <c r="BQ226">
        <v>1</v>
      </c>
      <c r="BR226">
        <v>7.619999999999999E-2</v>
      </c>
    </row>
    <row r="227" spans="1:70" x14ac:dyDescent="0.15">
      <c r="A227" t="s">
        <v>295</v>
      </c>
      <c r="B227">
        <v>13789514.586336</v>
      </c>
      <c r="C227">
        <f>TsatFromP(テーブル2[[#This Row],[P]])</f>
        <v>608.62107399852357</v>
      </c>
      <c r="D227">
        <f>RhoGFromP(テーブル2[[#This Row],[P]])</f>
        <v>85.147847035840741</v>
      </c>
      <c r="E227">
        <f>RhoFFromP(テーブル2[[#This Row],[P]])</f>
        <v>624.86636713482415</v>
      </c>
      <c r="F227">
        <f>HgFromP(テーブル2[[#This Row],[P]])</f>
        <v>2643264.5206450778</v>
      </c>
      <c r="G227">
        <f>HfFromP(テーブル2[[#This Row],[P]])</f>
        <v>1562686.7596125705</v>
      </c>
      <c r="H227">
        <f>MuGFromP(テーブル2[[#This Row],[P]])</f>
        <v>2.2019591234371903E-5</v>
      </c>
      <c r="I227">
        <f>MuFFromP(テーブル2[[#This Row],[P]])</f>
        <v>7.222326555143516E-5</v>
      </c>
      <c r="J227">
        <f>KfFromP(テーブル2[[#This Row],[P]])</f>
        <v>0.49112131073334553</v>
      </c>
      <c r="K227">
        <f>CpFFromP(テーブル2[[#This Row],[P]])</f>
        <v>7679.7488518783057</v>
      </c>
      <c r="L227">
        <f>SigmaFromP(テーブル2[[#This Row],[P]])</f>
        <v>6.5036449518301549E-3</v>
      </c>
      <c r="M227">
        <v>226</v>
      </c>
      <c r="N227">
        <v>3282.0765999999999</v>
      </c>
      <c r="O227">
        <f t="shared" si="120"/>
        <v>2.8502295699234246E-6</v>
      </c>
      <c r="P227">
        <f t="shared" si="121"/>
        <v>5.9847340050885557E-3</v>
      </c>
      <c r="Q227">
        <v>1.905E-3</v>
      </c>
      <c r="R227">
        <v>0.69595999999999991</v>
      </c>
      <c r="S227">
        <v>4627851.8523437502</v>
      </c>
      <c r="T227">
        <v>295.43672856397882</v>
      </c>
      <c r="U227">
        <f>+T227+BG227*S227*テーブル2[[#This Row],[Pw]]*R227/(N227*O227*K227)</f>
        <v>563.74434928196888</v>
      </c>
      <c r="V227">
        <v>0.03</v>
      </c>
      <c r="W227">
        <f t="shared" si="92"/>
        <v>86569.831414605127</v>
      </c>
      <c r="X227">
        <v>3.0779050528023801E-2</v>
      </c>
      <c r="Y227">
        <f t="shared" si="93"/>
        <v>5.6999676480572798</v>
      </c>
      <c r="Z227">
        <f t="shared" si="94"/>
        <v>5.6999676931952674</v>
      </c>
      <c r="AA227">
        <f t="shared" si="95"/>
        <v>-4.5137987569887628E-8</v>
      </c>
      <c r="AB227">
        <f t="shared" si="96"/>
        <v>1.1766913551754383E-5</v>
      </c>
      <c r="AC227">
        <v>690.35888020755476</v>
      </c>
      <c r="AD227">
        <f t="shared" si="97"/>
        <v>2684.8448368082895</v>
      </c>
      <c r="AE227">
        <f>+gettm2(AD227,AC227,AK227,AL227,テーブル2[[#This Row],[Fcorr]])</f>
        <v>563.74434928196888</v>
      </c>
      <c r="AF227">
        <f t="shared" si="98"/>
        <v>0</v>
      </c>
      <c r="AG227">
        <v>1.1830241286227454E-5</v>
      </c>
      <c r="AH227">
        <f t="shared" si="99"/>
        <v>66.324732546646402</v>
      </c>
      <c r="AI227">
        <f t="shared" si="100"/>
        <v>0.32579482289772999</v>
      </c>
      <c r="AJ227">
        <f t="shared" si="101"/>
        <v>33.346312058292945</v>
      </c>
      <c r="AK227">
        <f>+S227*テーブル2[[#This Row],[F_form]]/(E227*CpFromTP((テーブル2[[#This Row],[Tin]]+テーブル2[[#This Row],[Tf]])/2,テーブル2[[#This Row],[P]])*AI227)</f>
        <v>5.3138885473612509</v>
      </c>
      <c r="AL227">
        <f t="shared" si="102"/>
        <v>1.1293676909872215</v>
      </c>
      <c r="AM227">
        <f t="shared" si="103"/>
        <v>608.62107399177171</v>
      </c>
      <c r="AN227">
        <f t="shared" si="104"/>
        <v>6.751861292286776E-9</v>
      </c>
      <c r="AO227">
        <f t="shared" si="105"/>
        <v>6.3327734473070347E-8</v>
      </c>
      <c r="AP227">
        <v>3.8921294682151499</v>
      </c>
      <c r="AQ227">
        <f t="shared" si="106"/>
        <v>3.5997169920954322E-5</v>
      </c>
      <c r="AR227">
        <f t="shared" si="107"/>
        <v>5.946784510350262E-6</v>
      </c>
      <c r="AS227">
        <f t="shared" si="108"/>
        <v>16.762408071627728</v>
      </c>
      <c r="AT227">
        <f t="shared" si="109"/>
        <v>11.045693822121953</v>
      </c>
      <c r="AU227">
        <f t="shared" si="110"/>
        <v>3.598629862560772</v>
      </c>
      <c r="AV227">
        <f t="shared" si="111"/>
        <v>0.29349960565437794</v>
      </c>
      <c r="AW227">
        <f t="shared" si="112"/>
        <v>7.0743996410396566E-3</v>
      </c>
      <c r="AX227">
        <f t="shared" si="113"/>
        <v>0.29349959430864858</v>
      </c>
      <c r="AY227">
        <f t="shared" si="114"/>
        <v>1.1345729356015966E-8</v>
      </c>
      <c r="AZ227">
        <f t="shared" si="115"/>
        <v>1080577.7610325073</v>
      </c>
      <c r="BA227">
        <f t="shared" si="116"/>
        <v>9.2487082495387492E-6</v>
      </c>
      <c r="BB227">
        <f t="shared" si="117"/>
        <v>4623342.2800324308</v>
      </c>
      <c r="BC227">
        <f t="shared" si="118"/>
        <v>-4509.5723113194108</v>
      </c>
      <c r="BD227">
        <f t="shared" si="119"/>
        <v>-9.7444180479449929E-2</v>
      </c>
      <c r="BE227">
        <v>3091498.2</v>
      </c>
      <c r="BF227">
        <f>テーブル2[[#This Row],[q_P]]/テーブル2[[#This Row],[q_M]]</f>
        <v>1.4955021743284309</v>
      </c>
      <c r="BG227">
        <v>1</v>
      </c>
      <c r="BH227">
        <v>-7.3999999999999996E-2</v>
      </c>
      <c r="BI227">
        <v>4.5999999999999999E-2</v>
      </c>
      <c r="BJ227">
        <v>5625</v>
      </c>
      <c r="BK227">
        <v>1</v>
      </c>
      <c r="BL227">
        <f>テーブル2[[#This Row],[Ts]]-テーブル2[[#This Row],[Tin]]</f>
        <v>313.18434543454475</v>
      </c>
      <c r="BM227">
        <f>テーブル2[[#This Row],[q_P]]*0.000001</f>
        <v>4.6233422800324302</v>
      </c>
      <c r="BN227">
        <f>テーブル2[[#This Row],[Tsub]]</f>
        <v>313.18434543454475</v>
      </c>
      <c r="BO227">
        <f>テーブル2[[#This Row],[Fcorr]]</f>
        <v>1</v>
      </c>
      <c r="BP227">
        <f>(テーブル2[[#This Row],[Tsub]]-40)^2</f>
        <v>74629.686590500671</v>
      </c>
      <c r="BQ227">
        <v>1</v>
      </c>
      <c r="BR227">
        <v>0.69595999999999991</v>
      </c>
    </row>
    <row r="228" spans="1:70" x14ac:dyDescent="0.15">
      <c r="A228" t="s">
        <v>296</v>
      </c>
      <c r="B228">
        <v>13789514.586336</v>
      </c>
      <c r="C228">
        <f>TsatFromP(テーブル2[[#This Row],[P]])</f>
        <v>608.62107399852357</v>
      </c>
      <c r="D228">
        <f>RhoGFromP(テーブル2[[#This Row],[P]])</f>
        <v>85.147847035840741</v>
      </c>
      <c r="E228">
        <f>RhoFFromP(テーブル2[[#This Row],[P]])</f>
        <v>624.86636713482415</v>
      </c>
      <c r="F228">
        <f>HgFromP(テーブル2[[#This Row],[P]])</f>
        <v>2643264.5206450778</v>
      </c>
      <c r="G228">
        <f>HfFromP(テーブル2[[#This Row],[P]])</f>
        <v>1562686.7596125705</v>
      </c>
      <c r="H228">
        <f>MuGFromP(テーブル2[[#This Row],[P]])</f>
        <v>2.2019591234371903E-5</v>
      </c>
      <c r="I228">
        <f>MuFFromP(テーブル2[[#This Row],[P]])</f>
        <v>7.222326555143516E-5</v>
      </c>
      <c r="J228">
        <f>KfFromP(テーブル2[[#This Row],[P]])</f>
        <v>0.49112131073334553</v>
      </c>
      <c r="K228">
        <f>CpFFromP(テーブル2[[#This Row],[P]])</f>
        <v>7679.7488518783057</v>
      </c>
      <c r="L228">
        <f>SigmaFromP(テーブル2[[#This Row],[P]])</f>
        <v>6.5036449518301549E-3</v>
      </c>
      <c r="M228">
        <v>227</v>
      </c>
      <c r="N228">
        <v>4204.3130000000001</v>
      </c>
      <c r="O228">
        <f t="shared" si="120"/>
        <v>1.6417322322758919E-5</v>
      </c>
      <c r="P228">
        <f t="shared" si="121"/>
        <v>1.4363361612212531E-2</v>
      </c>
      <c r="Q228">
        <v>4.5719999999999988E-3</v>
      </c>
      <c r="R228">
        <v>0.29527500000000001</v>
      </c>
      <c r="S228">
        <v>1300999.06640625</v>
      </c>
      <c r="T228">
        <v>587.73848098507858</v>
      </c>
      <c r="U228">
        <f>+T228+BG228*S228*テーブル2[[#This Row],[Pw]]*R228/(N228*O228*K228)</f>
        <v>598.1476335602074</v>
      </c>
      <c r="V228">
        <v>0.03</v>
      </c>
      <c r="W228">
        <f t="shared" si="92"/>
        <v>266148.57261349668</v>
      </c>
      <c r="X228">
        <v>2.2817201621028415E-2</v>
      </c>
      <c r="Y228">
        <f t="shared" si="93"/>
        <v>6.6201649410790191</v>
      </c>
      <c r="Z228">
        <f t="shared" si="94"/>
        <v>6.6201649629954078</v>
      </c>
      <c r="AA228">
        <f t="shared" si="95"/>
        <v>-2.1916388703857592E-8</v>
      </c>
      <c r="AB228">
        <f t="shared" si="96"/>
        <v>9.6730346997241498E-6</v>
      </c>
      <c r="AC228">
        <v>622.83166983101978</v>
      </c>
      <c r="AD228">
        <f t="shared" si="97"/>
        <v>7106.9022514207118</v>
      </c>
      <c r="AE228">
        <f>+gettm2(AD228,AC228,AK228,AL228,テーブル2[[#This Row],[Fcorr]])</f>
        <v>598.14763356020728</v>
      </c>
      <c r="AF228">
        <f t="shared" si="98"/>
        <v>0</v>
      </c>
      <c r="AG228">
        <v>9.6885147897630291E-6</v>
      </c>
      <c r="AH228">
        <f t="shared" si="99"/>
        <v>80.681752774222403</v>
      </c>
      <c r="AI228">
        <f t="shared" si="100"/>
        <v>0.35933050466111849</v>
      </c>
      <c r="AJ228">
        <f t="shared" si="101"/>
        <v>30.120440757782045</v>
      </c>
      <c r="AK228">
        <f>+S228*テーブル2[[#This Row],[F_form]]/(E228*CpFromTP((テーブル2[[#This Row],[Tin]]+テーブル2[[#This Row],[Tf]])/2,テーブル2[[#This Row],[P]])*AI228)</f>
        <v>0.93938442399039268</v>
      </c>
      <c r="AL228">
        <f t="shared" si="102"/>
        <v>1.1293676909872215</v>
      </c>
      <c r="AM228">
        <f t="shared" si="103"/>
        <v>608.62107399908689</v>
      </c>
      <c r="AN228">
        <f t="shared" si="104"/>
        <v>-5.6331828091060743E-10</v>
      </c>
      <c r="AO228">
        <f t="shared" si="105"/>
        <v>1.5480090038879328E-8</v>
      </c>
      <c r="AP228">
        <v>4.0877535595787711</v>
      </c>
      <c r="AQ228">
        <f t="shared" si="106"/>
        <v>3.2634240053734357E-5</v>
      </c>
      <c r="AR228">
        <f t="shared" si="107"/>
        <v>4.8519974399009542E-6</v>
      </c>
      <c r="AS228">
        <f t="shared" si="108"/>
        <v>15.084283258757495</v>
      </c>
      <c r="AT228">
        <f t="shared" si="109"/>
        <v>10.51826678987962</v>
      </c>
      <c r="AU228">
        <f t="shared" si="110"/>
        <v>3.7795341137677267</v>
      </c>
      <c r="AV228">
        <f t="shared" si="111"/>
        <v>0.30821944581104432</v>
      </c>
      <c r="AW228">
        <f t="shared" si="112"/>
        <v>5.8155363262008489E-3</v>
      </c>
      <c r="AX228">
        <f t="shared" si="113"/>
        <v>0.30821941136999609</v>
      </c>
      <c r="AY228">
        <f t="shared" si="114"/>
        <v>3.4441048235578364E-8</v>
      </c>
      <c r="AZ228">
        <f t="shared" si="115"/>
        <v>1080577.7610325073</v>
      </c>
      <c r="BA228">
        <f t="shared" si="116"/>
        <v>7.983416705066047E-6</v>
      </c>
      <c r="BB228">
        <f t="shared" si="117"/>
        <v>1309265.9066939107</v>
      </c>
      <c r="BC228">
        <f t="shared" si="118"/>
        <v>8266.8402876607142</v>
      </c>
      <c r="BD228">
        <f t="shared" si="119"/>
        <v>0.63542246117794754</v>
      </c>
      <c r="BE228">
        <v>3154590</v>
      </c>
      <c r="BF228">
        <f>テーブル2[[#This Row],[q_P]]/テーブル2[[#This Row],[q_M]]</f>
        <v>0.41503520479488959</v>
      </c>
      <c r="BG228">
        <v>1</v>
      </c>
      <c r="BH228">
        <v>0.05</v>
      </c>
      <c r="BI228">
        <v>4.5999999999999999E-2</v>
      </c>
      <c r="BJ228">
        <v>5625</v>
      </c>
      <c r="BK228">
        <v>1</v>
      </c>
      <c r="BL228">
        <f>テーブル2[[#This Row],[Ts]]-テーブル2[[#This Row],[Tin]]</f>
        <v>20.882593013444989</v>
      </c>
      <c r="BM228">
        <f>テーブル2[[#This Row],[q_P]]*0.000001</f>
        <v>1.3092659066939107</v>
      </c>
      <c r="BN228">
        <f>テーブル2[[#This Row],[Tsub]]</f>
        <v>20.882593013444989</v>
      </c>
      <c r="BO228">
        <f>テーブル2[[#This Row],[Fcorr]]</f>
        <v>1</v>
      </c>
      <c r="BP228">
        <f>(テーブル2[[#This Row],[Tsub]]-40)^2</f>
        <v>365.47524988958236</v>
      </c>
      <c r="BQ228">
        <v>1</v>
      </c>
      <c r="BR228">
        <v>0.29527500000000001</v>
      </c>
    </row>
    <row r="229" spans="1:70" x14ac:dyDescent="0.15">
      <c r="A229" t="s">
        <v>297</v>
      </c>
      <c r="B229">
        <v>13789514.586336</v>
      </c>
      <c r="C229">
        <f>TsatFromP(テーブル2[[#This Row],[P]])</f>
        <v>608.62107399852357</v>
      </c>
      <c r="D229">
        <f>RhoGFromP(テーブル2[[#This Row],[P]])</f>
        <v>85.147847035840741</v>
      </c>
      <c r="E229">
        <f>RhoFFromP(テーブル2[[#This Row],[P]])</f>
        <v>624.86636713482415</v>
      </c>
      <c r="F229">
        <f>HgFromP(テーブル2[[#This Row],[P]])</f>
        <v>2643264.5206450778</v>
      </c>
      <c r="G229">
        <f>HfFromP(テーブル2[[#This Row],[P]])</f>
        <v>1562686.7596125705</v>
      </c>
      <c r="H229">
        <f>MuGFromP(テーブル2[[#This Row],[P]])</f>
        <v>2.2019591234371903E-5</v>
      </c>
      <c r="I229">
        <f>MuFFromP(テーブル2[[#This Row],[P]])</f>
        <v>7.222326555143516E-5</v>
      </c>
      <c r="J229">
        <f>KfFromP(テーブル2[[#This Row],[P]])</f>
        <v>0.49112131073334553</v>
      </c>
      <c r="K229">
        <f>CpFFromP(テーブル2[[#This Row],[P]])</f>
        <v>7679.7488518783057</v>
      </c>
      <c r="L229">
        <f>SigmaFromP(テーブル2[[#This Row],[P]])</f>
        <v>6.5036449518301549E-3</v>
      </c>
      <c r="M229">
        <v>228</v>
      </c>
      <c r="N229">
        <v>10524.344800000001</v>
      </c>
      <c r="O229">
        <f t="shared" si="120"/>
        <v>1.7719053836560394E-5</v>
      </c>
      <c r="P229">
        <f t="shared" si="121"/>
        <v>1.4921936786020797E-2</v>
      </c>
      <c r="Q229">
        <v>4.7497999999999993E-3</v>
      </c>
      <c r="R229">
        <v>0.3175</v>
      </c>
      <c r="S229">
        <v>6050000</v>
      </c>
      <c r="T229">
        <v>446.36479170134942</v>
      </c>
      <c r="U229">
        <f>+T229+BG229*S229*テーブル2[[#This Row],[Pw]]*R229/(N229*O229*K229)</f>
        <v>466.37915075641871</v>
      </c>
      <c r="V229">
        <v>0.03</v>
      </c>
      <c r="W229">
        <f t="shared" si="92"/>
        <v>692138.91880089138</v>
      </c>
      <c r="X229">
        <v>1.6276559499061042E-2</v>
      </c>
      <c r="Y229">
        <f t="shared" si="93"/>
        <v>7.8382424886166229</v>
      </c>
      <c r="Z229">
        <f t="shared" si="94"/>
        <v>7.8382425001398133</v>
      </c>
      <c r="AA229">
        <f t="shared" si="95"/>
        <v>-1.1523190401874217E-8</v>
      </c>
      <c r="AB229">
        <f t="shared" si="96"/>
        <v>2.1640259321950971E-6</v>
      </c>
      <c r="AC229">
        <v>548.99542744191228</v>
      </c>
      <c r="AD229">
        <f t="shared" si="97"/>
        <v>15609.88077741943</v>
      </c>
      <c r="AE229">
        <f>+gettm2(AD229,AC229,AK229,AL229,テーブル2[[#This Row],[Fcorr]])</f>
        <v>466.379150246373</v>
      </c>
      <c r="AF229">
        <f t="shared" si="98"/>
        <v>-5.1004570877921651E-7</v>
      </c>
      <c r="AG229">
        <v>-2.7465323383888903E-6</v>
      </c>
      <c r="AH229">
        <f t="shared" si="99"/>
        <v>360.64142421249807</v>
      </c>
      <c r="AI229">
        <f t="shared" si="100"/>
        <v>0.75970367947294037</v>
      </c>
      <c r="AJ229">
        <f t="shared" si="101"/>
        <v>-18.052567414871188</v>
      </c>
      <c r="AK229">
        <f>+S229*テーブル2[[#This Row],[F_form]]/(E229*CpFromTP((テーブル2[[#This Row],[Tin]]+テーブル2[[#This Row],[Tf]])/2,テーブル2[[#This Row],[P]])*AI229)</f>
        <v>2.9245481406383473</v>
      </c>
      <c r="AL229">
        <f t="shared" si="102"/>
        <v>1.1293676909872215</v>
      </c>
      <c r="AM229">
        <f t="shared" si="103"/>
        <v>608.62107509424561</v>
      </c>
      <c r="AN229">
        <f t="shared" si="104"/>
        <v>-1.095722041100089E-6</v>
      </c>
      <c r="AO229">
        <f t="shared" si="105"/>
        <v>-4.9105582705839874E-6</v>
      </c>
      <c r="AP229">
        <v>0.13833475687852478</v>
      </c>
      <c r="AQ229">
        <f t="shared" si="106"/>
        <v>2.8495763144184828E-2</v>
      </c>
      <c r="AR229">
        <f t="shared" si="107"/>
        <v>-3.828545304486439E-6</v>
      </c>
      <c r="AS229">
        <f t="shared" si="108"/>
        <v>-25.164485137893088</v>
      </c>
      <c r="AT229">
        <f t="shared" si="109"/>
        <v>-25.164485137893088</v>
      </c>
      <c r="AU229">
        <f t="shared" si="110"/>
        <v>-19.117551951299504</v>
      </c>
      <c r="AV229">
        <f t="shared" si="111"/>
        <v>19.255886708178028</v>
      </c>
      <c r="AW229">
        <f t="shared" si="112"/>
        <v>1.3010365216492123E-3</v>
      </c>
      <c r="AX229">
        <f t="shared" si="113"/>
        <v>19.255886766008221</v>
      </c>
      <c r="AY229">
        <f t="shared" si="114"/>
        <v>-5.7830192190522212E-8</v>
      </c>
      <c r="AZ229">
        <f t="shared" si="115"/>
        <v>1080577.7610325073</v>
      </c>
      <c r="BA229">
        <f t="shared" si="116"/>
        <v>0.20599134871945213</v>
      </c>
      <c r="BB229">
        <f t="shared" si="117"/>
        <v>-16096.263124417019</v>
      </c>
      <c r="BC229">
        <f t="shared" si="118"/>
        <v>-6066096.2631244166</v>
      </c>
      <c r="BD229">
        <f t="shared" si="119"/>
        <v>-100.26605393594077</v>
      </c>
      <c r="BE229">
        <v>12902273.1</v>
      </c>
      <c r="BF229">
        <f>テーブル2[[#This Row],[q_P]]/テーブル2[[#This Row],[q_M]]</f>
        <v>-1.247552504869628E-3</v>
      </c>
      <c r="BG229">
        <v>1</v>
      </c>
      <c r="BH229">
        <v>-0.45900000000000002</v>
      </c>
      <c r="BI229">
        <v>4.5999999999999999E-2</v>
      </c>
      <c r="BJ229">
        <v>5625</v>
      </c>
      <c r="BK229">
        <v>1</v>
      </c>
      <c r="BL229">
        <f>テーブル2[[#This Row],[Ts]]-テーブル2[[#This Row],[Tin]]</f>
        <v>162.25628229717415</v>
      </c>
      <c r="BM229">
        <f>テーブル2[[#This Row],[q_P]]*0.000001</f>
        <v>-1.6096263124417018E-2</v>
      </c>
      <c r="BN229">
        <f>テーブル2[[#This Row],[Tsub]]</f>
        <v>162.25628229717415</v>
      </c>
      <c r="BO229">
        <f>テーブル2[[#This Row],[Fcorr]]</f>
        <v>1</v>
      </c>
      <c r="BP229">
        <f>(テーブル2[[#This Row],[Tsub]]-40)^2</f>
        <v>14946.598561126339</v>
      </c>
      <c r="BQ229">
        <v>1</v>
      </c>
      <c r="BR229">
        <v>0.3175</v>
      </c>
    </row>
    <row r="230" spans="1:70" x14ac:dyDescent="0.15">
      <c r="A230" t="s">
        <v>298</v>
      </c>
      <c r="B230">
        <v>13789514.586336</v>
      </c>
      <c r="C230">
        <f>TsatFromP(テーブル2[[#This Row],[P]])</f>
        <v>608.62107399852357</v>
      </c>
      <c r="D230">
        <f>RhoGFromP(テーブル2[[#This Row],[P]])</f>
        <v>85.147847035840741</v>
      </c>
      <c r="E230">
        <f>RhoFFromP(テーブル2[[#This Row],[P]])</f>
        <v>624.86636713482415</v>
      </c>
      <c r="F230">
        <f>HgFromP(テーブル2[[#This Row],[P]])</f>
        <v>2643264.5206450778</v>
      </c>
      <c r="G230">
        <f>HfFromP(テーブル2[[#This Row],[P]])</f>
        <v>1562686.7596125705</v>
      </c>
      <c r="H230">
        <f>MuGFromP(テーブル2[[#This Row],[P]])</f>
        <v>2.2019591234371903E-5</v>
      </c>
      <c r="I230">
        <f>MuFFromP(テーブル2[[#This Row],[P]])</f>
        <v>7.222326555143516E-5</v>
      </c>
      <c r="J230">
        <f>KfFromP(テーブル2[[#This Row],[P]])</f>
        <v>0.49112131073334553</v>
      </c>
      <c r="K230">
        <f>CpFFromP(テーブル2[[#This Row],[P]])</f>
        <v>7679.7488518783057</v>
      </c>
      <c r="L230">
        <f>SigmaFromP(テーブル2[[#This Row],[P]])</f>
        <v>6.5036449518301549E-3</v>
      </c>
      <c r="M230">
        <v>229</v>
      </c>
      <c r="N230">
        <v>2197.0925999999999</v>
      </c>
      <c r="O230">
        <f t="shared" si="120"/>
        <v>2.8502295699234246E-6</v>
      </c>
      <c r="P230">
        <f t="shared" si="121"/>
        <v>5.9847340050885557E-3</v>
      </c>
      <c r="Q230">
        <v>1.905E-3</v>
      </c>
      <c r="R230">
        <v>0.15240000000000001</v>
      </c>
      <c r="S230">
        <v>3121050.1382812499</v>
      </c>
      <c r="T230">
        <v>520.90449113602949</v>
      </c>
      <c r="U230">
        <f>+T230+BG230*S230*テーブル2[[#This Row],[Pw]]*R230/(N230*O230*K230)</f>
        <v>580.09544582626813</v>
      </c>
      <c r="V230">
        <v>0.03</v>
      </c>
      <c r="W230">
        <f t="shared" si="92"/>
        <v>57951.705327132353</v>
      </c>
      <c r="X230">
        <v>3.7092466124767492E-2</v>
      </c>
      <c r="Y230">
        <f t="shared" si="93"/>
        <v>5.1922685387415513</v>
      </c>
      <c r="Z230">
        <f t="shared" si="94"/>
        <v>5.192268561932325</v>
      </c>
      <c r="AA230">
        <f t="shared" si="95"/>
        <v>-2.3190773745795923E-8</v>
      </c>
      <c r="AB230">
        <f t="shared" si="96"/>
        <v>2.1788773061261309E-5</v>
      </c>
      <c r="AC230">
        <v>675.36911414823339</v>
      </c>
      <c r="AD230">
        <f t="shared" si="97"/>
        <v>1973.0318025919987</v>
      </c>
      <c r="AE230">
        <f>+gettm2(AD230,AC230,AK230,AL230,テーブル2[[#This Row],[Fcorr]])</f>
        <v>580.09544657995923</v>
      </c>
      <c r="AF230">
        <f t="shared" si="98"/>
        <v>7.5369109708844917E-7</v>
      </c>
      <c r="AG230">
        <v>2.1861816942263467E-5</v>
      </c>
      <c r="AH230">
        <f t="shared" si="99"/>
        <v>35.818326806440226</v>
      </c>
      <c r="AI230">
        <f t="shared" si="100"/>
        <v>0.23941925353913793</v>
      </c>
      <c r="AJ230">
        <f t="shared" si="101"/>
        <v>45.28510245619988</v>
      </c>
      <c r="AK230">
        <f>+S230*テーブル2[[#This Row],[F_form]]/(E230*CpFromTP((テーブル2[[#This Row],[Tin]]+テーブル2[[#This Row],[Tf]])/2,テーブル2[[#This Row],[P]])*AI230)</f>
        <v>4.1337742641215325</v>
      </c>
      <c r="AL230">
        <f t="shared" si="102"/>
        <v>1.1293676909872215</v>
      </c>
      <c r="AM230">
        <f t="shared" si="103"/>
        <v>608.62107394878194</v>
      </c>
      <c r="AN230">
        <f t="shared" si="104"/>
        <v>4.9741629482014105E-8</v>
      </c>
      <c r="AO230">
        <f t="shared" si="105"/>
        <v>7.3043881002158472E-8</v>
      </c>
      <c r="AP230">
        <v>3.2655717128793538</v>
      </c>
      <c r="AQ230">
        <f t="shared" si="106"/>
        <v>5.1135730417638771E-5</v>
      </c>
      <c r="AR230">
        <f t="shared" si="107"/>
        <v>1.0967430411632813E-5</v>
      </c>
      <c r="AS230">
        <f t="shared" si="108"/>
        <v>22.71820366915086</v>
      </c>
      <c r="AT230">
        <f t="shared" si="109"/>
        <v>12.565832634347212</v>
      </c>
      <c r="AU230">
        <f t="shared" si="110"/>
        <v>3.0085022694131487</v>
      </c>
      <c r="AV230">
        <f t="shared" si="111"/>
        <v>0.25706944346620508</v>
      </c>
      <c r="AW230">
        <f t="shared" si="112"/>
        <v>1.3099653332653212E-2</v>
      </c>
      <c r="AX230">
        <f t="shared" si="113"/>
        <v>0.25706944014943528</v>
      </c>
      <c r="AY230">
        <f t="shared" si="114"/>
        <v>3.3167698032521287E-9</v>
      </c>
      <c r="AZ230">
        <f t="shared" si="115"/>
        <v>1080577.7610325073</v>
      </c>
      <c r="BA230">
        <f t="shared" si="116"/>
        <v>1.5659043779672762E-5</v>
      </c>
      <c r="BB230">
        <f t="shared" si="117"/>
        <v>3149646.2348061753</v>
      </c>
      <c r="BC230">
        <f t="shared" si="118"/>
        <v>28596.096524925437</v>
      </c>
      <c r="BD230">
        <f t="shared" si="119"/>
        <v>0.91623316697735568</v>
      </c>
      <c r="BE230">
        <v>3217681.8</v>
      </c>
      <c r="BF230">
        <f>テーブル2[[#This Row],[q_P]]/テーブル2[[#This Row],[q_M]]</f>
        <v>0.97885571991804021</v>
      </c>
      <c r="BG230">
        <v>1</v>
      </c>
      <c r="BH230">
        <v>-1.7000000000000001E-2</v>
      </c>
      <c r="BI230">
        <v>4.5999999999999999E-2</v>
      </c>
      <c r="BJ230">
        <v>5625</v>
      </c>
      <c r="BK230">
        <v>1</v>
      </c>
      <c r="BL230">
        <f>テーブル2[[#This Row],[Ts]]-テーブル2[[#This Row],[Tin]]</f>
        <v>87.716582862494079</v>
      </c>
      <c r="BM230">
        <f>テーブル2[[#This Row],[q_P]]*0.000001</f>
        <v>3.1496462348061751</v>
      </c>
      <c r="BN230">
        <f>テーブル2[[#This Row],[Tsub]]</f>
        <v>87.716582862494079</v>
      </c>
      <c r="BO230">
        <f>テーブル2[[#This Row],[Fcorr]]</f>
        <v>1</v>
      </c>
      <c r="BP230">
        <f>(テーブル2[[#This Row],[Tsub]]-40)^2</f>
        <v>2276.8722800732635</v>
      </c>
      <c r="BQ230">
        <v>1</v>
      </c>
      <c r="BR230">
        <v>0.15240000000000001</v>
      </c>
    </row>
    <row r="231" spans="1:70" x14ac:dyDescent="0.15">
      <c r="A231" t="s">
        <v>299</v>
      </c>
      <c r="B231">
        <v>13789514.586336</v>
      </c>
      <c r="C231">
        <f>TsatFromP(テーブル2[[#This Row],[P]])</f>
        <v>608.62107399852357</v>
      </c>
      <c r="D231">
        <f>RhoGFromP(テーブル2[[#This Row],[P]])</f>
        <v>85.147847035840741</v>
      </c>
      <c r="E231">
        <f>RhoFFromP(テーブル2[[#This Row],[P]])</f>
        <v>624.86636713482415</v>
      </c>
      <c r="F231">
        <f>HgFromP(テーブル2[[#This Row],[P]])</f>
        <v>2643264.5206450778</v>
      </c>
      <c r="G231">
        <f>HfFromP(テーブル2[[#This Row],[P]])</f>
        <v>1562686.7596125705</v>
      </c>
      <c r="H231">
        <f>MuGFromP(テーブル2[[#This Row],[P]])</f>
        <v>2.2019591234371903E-5</v>
      </c>
      <c r="I231">
        <f>MuFFromP(テーブル2[[#This Row],[P]])</f>
        <v>7.222326555143516E-5</v>
      </c>
      <c r="J231">
        <f>KfFromP(テーブル2[[#This Row],[P]])</f>
        <v>0.49112131073334553</v>
      </c>
      <c r="K231">
        <f>CpFFromP(テーブル2[[#This Row],[P]])</f>
        <v>7679.7488518783057</v>
      </c>
      <c r="L231">
        <f>SigmaFromP(テーブル2[[#This Row],[P]])</f>
        <v>6.5036449518301549E-3</v>
      </c>
      <c r="M231">
        <v>230</v>
      </c>
      <c r="N231">
        <v>1193.4824000000001</v>
      </c>
      <c r="O231">
        <f t="shared" si="120"/>
        <v>4.7446061512773295E-5</v>
      </c>
      <c r="P231">
        <f t="shared" si="121"/>
        <v>2.4417714740761307E-2</v>
      </c>
      <c r="Q231">
        <v>7.7723999999999996E-3</v>
      </c>
      <c r="R231">
        <v>0.59054999999999991</v>
      </c>
      <c r="S231">
        <v>2518562.13671875</v>
      </c>
      <c r="T231">
        <v>475.88059540297343</v>
      </c>
      <c r="U231">
        <f>+T231+BG231*S231*テーブル2[[#This Row],[Pw]]*R231/(N231*O231*K231)</f>
        <v>559.39303207995545</v>
      </c>
      <c r="V231">
        <v>0.03</v>
      </c>
      <c r="W231">
        <f t="shared" si="92"/>
        <v>128438.14988057781</v>
      </c>
      <c r="X231">
        <v>3.5048878355167311E-2</v>
      </c>
      <c r="Y231">
        <f t="shared" si="93"/>
        <v>5.3414963744182753</v>
      </c>
      <c r="Z231">
        <f t="shared" si="94"/>
        <v>5.3414964118353483</v>
      </c>
      <c r="AA231">
        <f t="shared" si="95"/>
        <v>-3.7417072995538092E-8</v>
      </c>
      <c r="AB231">
        <f t="shared" si="96"/>
        <v>7.814641240956389E-5</v>
      </c>
      <c r="AC231">
        <v>729.20704116168349</v>
      </c>
      <c r="AD231">
        <f t="shared" si="97"/>
        <v>4250.6575113748704</v>
      </c>
      <c r="AE231">
        <f>+gettm2(AD231,AC231,AK231,AL231,テーブル2[[#This Row],[Fcorr]])</f>
        <v>559.39303207995533</v>
      </c>
      <c r="AF231">
        <f t="shared" si="98"/>
        <v>0</v>
      </c>
      <c r="AG231">
        <v>7.8367792657537498E-5</v>
      </c>
      <c r="AH231">
        <f t="shared" si="99"/>
        <v>9.9868614585831619</v>
      </c>
      <c r="AI231">
        <f t="shared" si="100"/>
        <v>0.12642149963923505</v>
      </c>
      <c r="AJ231">
        <f t="shared" si="101"/>
        <v>85.717319363293228</v>
      </c>
      <c r="AK231">
        <f>+S231*テーブル2[[#This Row],[F_form]]/(E231*CpFromTP((テーブル2[[#This Row],[Tin]]+テーブル2[[#This Row],[Tf]])/2,テーブル2[[#This Row],[P]])*AI231)</f>
        <v>6.796566570697486</v>
      </c>
      <c r="AL231">
        <f t="shared" si="102"/>
        <v>1.1293676909872215</v>
      </c>
      <c r="AM231">
        <f t="shared" si="103"/>
        <v>608.6210735151476</v>
      </c>
      <c r="AN231">
        <f t="shared" si="104"/>
        <v>4.8337597036152147E-7</v>
      </c>
      <c r="AO231">
        <f t="shared" si="105"/>
        <v>2.2138024797360776E-7</v>
      </c>
      <c r="AP231">
        <v>2.095451351350428</v>
      </c>
      <c r="AQ231">
        <f t="shared" si="106"/>
        <v>1.2419032095527035E-4</v>
      </c>
      <c r="AR231">
        <f t="shared" si="107"/>
        <v>3.9294586452755553E-5</v>
      </c>
      <c r="AS231">
        <f t="shared" si="108"/>
        <v>42.979730601043336</v>
      </c>
      <c r="AT231">
        <f t="shared" si="109"/>
        <v>14.901821557968383</v>
      </c>
      <c r="AU231">
        <f t="shared" si="110"/>
        <v>1.883910628714645</v>
      </c>
      <c r="AV231">
        <f t="shared" si="111"/>
        <v>0.21154072263578305</v>
      </c>
      <c r="AW231">
        <f t="shared" si="112"/>
        <v>4.6982494557065088E-2</v>
      </c>
      <c r="AX231">
        <f t="shared" si="113"/>
        <v>0.21154071108811598</v>
      </c>
      <c r="AY231">
        <f t="shared" si="114"/>
        <v>1.1547667072564494E-8</v>
      </c>
      <c r="AZ231">
        <f t="shared" si="115"/>
        <v>1080577.7610325073</v>
      </c>
      <c r="BA231">
        <f t="shared" si="116"/>
        <v>5.9266620947909409E-5</v>
      </c>
      <c r="BB231">
        <f t="shared" si="117"/>
        <v>2522155.6093217698</v>
      </c>
      <c r="BC231">
        <f t="shared" si="118"/>
        <v>3593.4726030197926</v>
      </c>
      <c r="BD231">
        <f t="shared" si="119"/>
        <v>0.14267952934849823</v>
      </c>
      <c r="BE231">
        <v>2583609.209999999</v>
      </c>
      <c r="BF231">
        <f>テーブル2[[#This Row],[q_P]]/テーブル2[[#This Row],[q_M]]</f>
        <v>0.97621404953954738</v>
      </c>
      <c r="BG231">
        <v>1</v>
      </c>
      <c r="BH231">
        <v>-3.2000000000000001E-2</v>
      </c>
      <c r="BI231">
        <v>4.5999999999999999E-2</v>
      </c>
      <c r="BJ231">
        <v>5625</v>
      </c>
      <c r="BK231">
        <v>1</v>
      </c>
      <c r="BL231">
        <f>テーブル2[[#This Row],[Ts]]-テーブル2[[#This Row],[Tin]]</f>
        <v>132.74047859555014</v>
      </c>
      <c r="BM231">
        <f>テーブル2[[#This Row],[q_P]]*0.000001</f>
        <v>2.5221556093217696</v>
      </c>
      <c r="BN231">
        <f>テーブル2[[#This Row],[Tsub]]</f>
        <v>132.74047859555014</v>
      </c>
      <c r="BO231">
        <f>テーブル2[[#This Row],[Fcorr]]</f>
        <v>1</v>
      </c>
      <c r="BP231">
        <f>(テーブル2[[#This Row],[Tsub]]-40)^2</f>
        <v>8600.7963701316949</v>
      </c>
      <c r="BQ231">
        <v>1</v>
      </c>
      <c r="BR231">
        <v>0.59054999999999991</v>
      </c>
    </row>
    <row r="232" spans="1:70" x14ac:dyDescent="0.15">
      <c r="A232" t="s">
        <v>300</v>
      </c>
      <c r="B232">
        <v>13789514.586336</v>
      </c>
      <c r="C232">
        <f>TsatFromP(テーブル2[[#This Row],[P]])</f>
        <v>608.62107399852357</v>
      </c>
      <c r="D232">
        <f>RhoGFromP(テーブル2[[#This Row],[P]])</f>
        <v>85.147847035840741</v>
      </c>
      <c r="E232">
        <f>RhoFFromP(テーブル2[[#This Row],[P]])</f>
        <v>624.86636713482415</v>
      </c>
      <c r="F232">
        <f>HgFromP(テーブル2[[#This Row],[P]])</f>
        <v>2643264.5206450778</v>
      </c>
      <c r="G232">
        <f>HfFromP(テーブル2[[#This Row],[P]])</f>
        <v>1562686.7596125705</v>
      </c>
      <c r="H232">
        <f>MuGFromP(テーブル2[[#This Row],[P]])</f>
        <v>2.2019591234371903E-5</v>
      </c>
      <c r="I232">
        <f>MuFFromP(テーブル2[[#This Row],[P]])</f>
        <v>7.222326555143516E-5</v>
      </c>
      <c r="J232">
        <f>KfFromP(テーブル2[[#This Row],[P]])</f>
        <v>0.49112131073334553</v>
      </c>
      <c r="K232">
        <f>CpFFromP(テーブル2[[#This Row],[P]])</f>
        <v>7679.7488518783057</v>
      </c>
      <c r="L232">
        <f>SigmaFromP(テーブル2[[#This Row],[P]])</f>
        <v>6.5036449518301549E-3</v>
      </c>
      <c r="M232">
        <v>231</v>
      </c>
      <c r="N232">
        <v>520.79232000000002</v>
      </c>
      <c r="O232">
        <f t="shared" si="120"/>
        <v>1.7719053836560394E-5</v>
      </c>
      <c r="P232">
        <f t="shared" si="121"/>
        <v>1.4921936786020797E-2</v>
      </c>
      <c r="Q232">
        <v>4.7497999999999993E-3</v>
      </c>
      <c r="R232">
        <v>0.3175</v>
      </c>
      <c r="S232">
        <v>850143.93959375005</v>
      </c>
      <c r="T232">
        <v>540.49035799190642</v>
      </c>
      <c r="U232">
        <f>+T232+BG232*S232*テーブル2[[#This Row],[Pw]]*R232/(N232*O232*K232)</f>
        <v>597.3244952985691</v>
      </c>
      <c r="V232">
        <v>0.03</v>
      </c>
      <c r="W232">
        <f t="shared" si="92"/>
        <v>34250.173301487412</v>
      </c>
      <c r="X232">
        <v>6.2642445985699541E-2</v>
      </c>
      <c r="Y232">
        <f t="shared" si="93"/>
        <v>3.9954495053782622</v>
      </c>
      <c r="Z232">
        <f t="shared" si="94"/>
        <v>3.9954495465286008</v>
      </c>
      <c r="AA232">
        <f t="shared" si="95"/>
        <v>-4.1150338692119703E-8</v>
      </c>
      <c r="AB232">
        <f t="shared" si="96"/>
        <v>2.2962404201712168E-4</v>
      </c>
      <c r="AC232">
        <v>674.11305424042439</v>
      </c>
      <c r="AD232">
        <f t="shared" si="97"/>
        <v>1515.3820468570368</v>
      </c>
      <c r="AE232">
        <f>+gettm2(AD232,AC232,AK232,AL232,テーブル2[[#This Row],[Fcorr]])</f>
        <v>597.32449529856899</v>
      </c>
      <c r="AF232">
        <f t="shared" si="98"/>
        <v>0</v>
      </c>
      <c r="AG232">
        <v>2.2988163564194913E-4</v>
      </c>
      <c r="AH232">
        <f t="shared" si="99"/>
        <v>3.3987616774093112</v>
      </c>
      <c r="AI232">
        <f t="shared" si="100"/>
        <v>7.3750807787709816E-2</v>
      </c>
      <c r="AJ232">
        <f t="shared" si="101"/>
        <v>146.68344079916648</v>
      </c>
      <c r="AK232">
        <f>+S232*テーブル2[[#This Row],[F_form]]/(E232*CpFromTP((テーブル2[[#This Row],[Tin]]+テーブル2[[#This Row],[Tf]])/2,テーブル2[[#This Row],[P]])*AI232)</f>
        <v>3.4315506719099687</v>
      </c>
      <c r="AL232">
        <f t="shared" si="102"/>
        <v>1.1293676909872215</v>
      </c>
      <c r="AM232">
        <f t="shared" si="103"/>
        <v>608.62107370935917</v>
      </c>
      <c r="AN232">
        <f t="shared" si="104"/>
        <v>2.8916440442117164E-7</v>
      </c>
      <c r="AO232">
        <f t="shared" si="105"/>
        <v>2.5759362482744323E-7</v>
      </c>
      <c r="AP232">
        <v>1.3845322268568914</v>
      </c>
      <c r="AQ232">
        <f t="shared" si="106"/>
        <v>2.8447019903738845E-4</v>
      </c>
      <c r="AR232">
        <f t="shared" si="107"/>
        <v>1.1506961463338829E-4</v>
      </c>
      <c r="AS232">
        <f t="shared" si="108"/>
        <v>73.423903387171848</v>
      </c>
      <c r="AT232">
        <f t="shared" si="109"/>
        <v>16.24062385457697</v>
      </c>
      <c r="AU232">
        <f t="shared" si="110"/>
        <v>1.1977591282514011</v>
      </c>
      <c r="AV232">
        <f t="shared" si="111"/>
        <v>0.1867730986054903</v>
      </c>
      <c r="AW232">
        <f t="shared" si="112"/>
        <v>0.13805253461540079</v>
      </c>
      <c r="AX232">
        <f t="shared" si="113"/>
        <v>0.18677309574325973</v>
      </c>
      <c r="AY232">
        <f t="shared" si="114"/>
        <v>2.8622305636716305E-9</v>
      </c>
      <c r="AZ232">
        <f t="shared" si="115"/>
        <v>1080577.7610325073</v>
      </c>
      <c r="BA232">
        <f t="shared" si="116"/>
        <v>2.054630390822907E-4</v>
      </c>
      <c r="BB232">
        <f t="shared" si="117"/>
        <v>846534.33561204304</v>
      </c>
      <c r="BC232">
        <f t="shared" si="118"/>
        <v>-3609.6039817070123</v>
      </c>
      <c r="BD232">
        <f t="shared" si="119"/>
        <v>-0.42458739203997597</v>
      </c>
      <c r="BE232">
        <v>851739.29999999993</v>
      </c>
      <c r="BF232">
        <f>テーブル2[[#This Row],[q_P]]/テーブル2[[#This Row],[q_M]]</f>
        <v>0.99388901699386556</v>
      </c>
      <c r="BG232">
        <v>1</v>
      </c>
      <c r="BH232">
        <v>4.1000000000000002E-2</v>
      </c>
      <c r="BI232">
        <v>4.5999999999999999E-2</v>
      </c>
      <c r="BJ232">
        <v>5625</v>
      </c>
      <c r="BK232">
        <v>1</v>
      </c>
      <c r="BL232">
        <f>テーブル2[[#This Row],[Ts]]-テーブル2[[#This Row],[Tin]]</f>
        <v>68.130716006617149</v>
      </c>
      <c r="BM232">
        <f>テーブル2[[#This Row],[q_P]]*0.000001</f>
        <v>0.84653433561204305</v>
      </c>
      <c r="BN232">
        <f>テーブル2[[#This Row],[Tsub]]</f>
        <v>68.130716006617149</v>
      </c>
      <c r="BO232">
        <f>テーブル2[[#This Row],[Fcorr]]</f>
        <v>1</v>
      </c>
      <c r="BP232">
        <f>(テーブル2[[#This Row],[Tsub]]-40)^2</f>
        <v>791.3371830449463</v>
      </c>
      <c r="BQ232">
        <v>1</v>
      </c>
      <c r="BR232">
        <v>0.3175</v>
      </c>
    </row>
    <row r="233" spans="1:70" x14ac:dyDescent="0.15">
      <c r="A233" t="s">
        <v>301</v>
      </c>
      <c r="B233">
        <v>13789514.586336</v>
      </c>
      <c r="C233">
        <f>TsatFromP(テーブル2[[#This Row],[P]])</f>
        <v>608.62107399852357</v>
      </c>
      <c r="D233">
        <f>RhoGFromP(テーブル2[[#This Row],[P]])</f>
        <v>85.147847035840741</v>
      </c>
      <c r="E233">
        <f>RhoFFromP(テーブル2[[#This Row],[P]])</f>
        <v>624.86636713482415</v>
      </c>
      <c r="F233">
        <f>HgFromP(テーブル2[[#This Row],[P]])</f>
        <v>2643264.5206450778</v>
      </c>
      <c r="G233">
        <f>HfFromP(テーブル2[[#This Row],[P]])</f>
        <v>1562686.7596125705</v>
      </c>
      <c r="H233">
        <f>MuGFromP(テーブル2[[#This Row],[P]])</f>
        <v>2.2019591234371903E-5</v>
      </c>
      <c r="I233">
        <f>MuFFromP(テーブル2[[#This Row],[P]])</f>
        <v>7.222326555143516E-5</v>
      </c>
      <c r="J233">
        <f>KfFromP(テーブル2[[#This Row],[P]])</f>
        <v>0.49112131073334553</v>
      </c>
      <c r="K233">
        <f>CpFFromP(テーブル2[[#This Row],[P]])</f>
        <v>7679.7488518783057</v>
      </c>
      <c r="L233">
        <f>SigmaFromP(テーブル2[[#This Row],[P]])</f>
        <v>6.5036449518301549E-3</v>
      </c>
      <c r="M233">
        <v>232</v>
      </c>
      <c r="N233">
        <v>10565.0317</v>
      </c>
      <c r="O233">
        <f t="shared" si="120"/>
        <v>2.5880591202383804E-5</v>
      </c>
      <c r="P233">
        <f t="shared" si="121"/>
        <v>1.8033998468666854E-2</v>
      </c>
      <c r="Q233">
        <v>5.7404000000000014E-3</v>
      </c>
      <c r="R233">
        <v>0.62484000000000006</v>
      </c>
      <c r="S233">
        <v>3949644.1014062501</v>
      </c>
      <c r="T233">
        <v>560.5296093896327</v>
      </c>
      <c r="U233">
        <f>+T233+BG233*S233*テーブル2[[#This Row],[Pw]]*R233/(N233*O233*K233)</f>
        <v>581.72428630238323</v>
      </c>
      <c r="V233">
        <v>0.03</v>
      </c>
      <c r="W233">
        <f t="shared" si="92"/>
        <v>839722.59503398871</v>
      </c>
      <c r="X233">
        <v>1.569940222223459E-2</v>
      </c>
      <c r="Y233">
        <f t="shared" si="93"/>
        <v>7.9810207848731682</v>
      </c>
      <c r="Z233">
        <f t="shared" si="94"/>
        <v>7.9810207930012478</v>
      </c>
      <c r="AA233">
        <f t="shared" si="95"/>
        <v>-8.1280795427574049E-9</v>
      </c>
      <c r="AB233">
        <f t="shared" si="96"/>
        <v>2.2263348351353118E-6</v>
      </c>
      <c r="AC233">
        <v>626.33764931300072</v>
      </c>
      <c r="AD233">
        <f t="shared" si="97"/>
        <v>18599.548769172092</v>
      </c>
      <c r="AE233">
        <f>+gettm2(AD233,AC233,AK233,AL233,テーブル2[[#This Row],[Fcorr]])</f>
        <v>581.72428656575971</v>
      </c>
      <c r="AF233">
        <f t="shared" si="98"/>
        <v>2.6337647796026431E-7</v>
      </c>
      <c r="AG233">
        <v>2.2441350299851321E-6</v>
      </c>
      <c r="AH233">
        <f t="shared" si="99"/>
        <v>350.5480765529976</v>
      </c>
      <c r="AI233">
        <f t="shared" si="100"/>
        <v>0.74899724343650897</v>
      </c>
      <c r="AJ233">
        <f t="shared" si="101"/>
        <v>14.542505377609899</v>
      </c>
      <c r="AK233">
        <f>+S233*テーブル2[[#This Row],[F_form]]/(E233*CpFromTP((テーブル2[[#This Row],[Tin]]+テーブル2[[#This Row],[Tf]])/2,テーブル2[[#This Row],[P]])*AI233)</f>
        <v>1.5551203974370946</v>
      </c>
      <c r="AL233">
        <f t="shared" si="102"/>
        <v>1.1293676909872215</v>
      </c>
      <c r="AM233">
        <f t="shared" si="103"/>
        <v>608.62107401539265</v>
      </c>
      <c r="AN233">
        <f t="shared" si="104"/>
        <v>-1.686908035480883E-8</v>
      </c>
      <c r="AO233">
        <f t="shared" si="105"/>
        <v>1.7800194849820244E-8</v>
      </c>
      <c r="AP233">
        <v>5.6405290780985524</v>
      </c>
      <c r="AQ233">
        <f t="shared" si="106"/>
        <v>1.7139700537542275E-5</v>
      </c>
      <c r="AR233">
        <f t="shared" si="107"/>
        <v>1.1309676124174762E-6</v>
      </c>
      <c r="AS233">
        <f t="shared" si="108"/>
        <v>7.3289273442662406</v>
      </c>
      <c r="AT233">
        <f t="shared" si="109"/>
        <v>6.9091458371828196</v>
      </c>
      <c r="AU233">
        <f t="shared" si="110"/>
        <v>5.1749311865507632</v>
      </c>
      <c r="AV233">
        <f t="shared" si="111"/>
        <v>0.46559789154778919</v>
      </c>
      <c r="AW233">
        <f t="shared" si="112"/>
        <v>1.3384973289080632E-3</v>
      </c>
      <c r="AX233">
        <f t="shared" si="113"/>
        <v>0.46559786656616381</v>
      </c>
      <c r="AY233">
        <f t="shared" si="114"/>
        <v>2.4981625379449923E-8</v>
      </c>
      <c r="AZ233">
        <f t="shared" si="115"/>
        <v>1080577.7610325073</v>
      </c>
      <c r="BA233">
        <f t="shared" si="116"/>
        <v>3.0386689440346159E-6</v>
      </c>
      <c r="BB233">
        <f t="shared" si="117"/>
        <v>3955346.5830604308</v>
      </c>
      <c r="BC233">
        <f t="shared" si="118"/>
        <v>5702.4816541806795</v>
      </c>
      <c r="BD233">
        <f t="shared" si="119"/>
        <v>0.14437963289275457</v>
      </c>
      <c r="BE233">
        <v>6466909.4999999991</v>
      </c>
      <c r="BF233">
        <f>テーブル2[[#This Row],[q_P]]/テーブル2[[#This Row],[q_M]]</f>
        <v>0.61162856586448777</v>
      </c>
      <c r="BG233">
        <v>1</v>
      </c>
      <c r="BH233">
        <v>-2.3E-2</v>
      </c>
      <c r="BI233">
        <v>4.5999999999999999E-2</v>
      </c>
      <c r="BJ233">
        <v>5625</v>
      </c>
      <c r="BK233">
        <v>1</v>
      </c>
      <c r="BL233">
        <f>テーブル2[[#This Row],[Ts]]-テーブル2[[#This Row],[Tin]]</f>
        <v>48.091464608890874</v>
      </c>
      <c r="BM233">
        <f>テーブル2[[#This Row],[q_P]]*0.000001</f>
        <v>3.9553465830604306</v>
      </c>
      <c r="BN233">
        <f>テーブル2[[#This Row],[Tsub]]</f>
        <v>48.091464608890874</v>
      </c>
      <c r="BO233">
        <f>テーブル2[[#This Row],[Fcorr]]</f>
        <v>1</v>
      </c>
      <c r="BP233">
        <f>(テーブル2[[#This Row],[Tsub]]-40)^2</f>
        <v>65.471799516933544</v>
      </c>
      <c r="BQ233">
        <v>1</v>
      </c>
      <c r="BR233">
        <v>0.62484000000000006</v>
      </c>
    </row>
    <row r="234" spans="1:70" x14ac:dyDescent="0.15">
      <c r="A234" t="s">
        <v>302</v>
      </c>
      <c r="B234">
        <v>13789514.586336</v>
      </c>
      <c r="C234">
        <f>TsatFromP(テーブル2[[#This Row],[P]])</f>
        <v>608.62107399852357</v>
      </c>
      <c r="D234">
        <f>RhoGFromP(テーブル2[[#This Row],[P]])</f>
        <v>85.147847035840741</v>
      </c>
      <c r="E234">
        <f>RhoFFromP(テーブル2[[#This Row],[P]])</f>
        <v>624.86636713482415</v>
      </c>
      <c r="F234">
        <f>HgFromP(テーブル2[[#This Row],[P]])</f>
        <v>2643264.5206450778</v>
      </c>
      <c r="G234">
        <f>HfFromP(テーブル2[[#This Row],[P]])</f>
        <v>1562686.7596125705</v>
      </c>
      <c r="H234">
        <f>MuGFromP(テーブル2[[#This Row],[P]])</f>
        <v>2.2019591234371903E-5</v>
      </c>
      <c r="I234">
        <f>MuFFromP(テーブル2[[#This Row],[P]])</f>
        <v>7.222326555143516E-5</v>
      </c>
      <c r="J234">
        <f>KfFromP(テーブル2[[#This Row],[P]])</f>
        <v>0.49112131073334553</v>
      </c>
      <c r="K234">
        <f>CpFFromP(テーブル2[[#This Row],[P]])</f>
        <v>7679.7488518783057</v>
      </c>
      <c r="L234">
        <f>SigmaFromP(テーブル2[[#This Row],[P]])</f>
        <v>6.5036449518301549E-3</v>
      </c>
      <c r="M234">
        <v>233</v>
      </c>
      <c r="N234">
        <v>7364.3289000000004</v>
      </c>
      <c r="O234">
        <f t="shared" si="120"/>
        <v>1.7719053836560394E-5</v>
      </c>
      <c r="P234">
        <f t="shared" si="121"/>
        <v>1.4921936786020797E-2</v>
      </c>
      <c r="Q234">
        <v>4.7497999999999993E-3</v>
      </c>
      <c r="R234">
        <v>0.3175</v>
      </c>
      <c r="S234">
        <v>6050000</v>
      </c>
      <c r="T234">
        <v>398.21304431350183</v>
      </c>
      <c r="U234">
        <f>+T234+BG234*S234*テーブル2[[#This Row],[Pw]]*R234/(N234*O234*K234)</f>
        <v>426.81551692258796</v>
      </c>
      <c r="V234">
        <v>0.03</v>
      </c>
      <c r="W234">
        <f t="shared" si="92"/>
        <v>484318.85684134538</v>
      </c>
      <c r="X234">
        <v>1.8372577741516492E-2</v>
      </c>
      <c r="Y234">
        <f t="shared" si="93"/>
        <v>7.3775974223520775</v>
      </c>
      <c r="Z234">
        <f t="shared" si="94"/>
        <v>7.3775974236129347</v>
      </c>
      <c r="AA234">
        <f t="shared" si="95"/>
        <v>-1.2608571964278781E-9</v>
      </c>
      <c r="AB234">
        <f t="shared" si="96"/>
        <v>3.9154236567046747E-6</v>
      </c>
      <c r="AC234">
        <v>538.02225425482084</v>
      </c>
      <c r="AD234">
        <f t="shared" si="97"/>
        <v>11604.900902137106</v>
      </c>
      <c r="AE234">
        <f>+gettm2(AD234,AC234,AK234,AL234,テーブル2[[#This Row],[Fcorr]])</f>
        <v>426.81551692258802</v>
      </c>
      <c r="AF234">
        <f t="shared" si="98"/>
        <v>0</v>
      </c>
      <c r="AG234">
        <v>-3.1642476144836459E-6</v>
      </c>
      <c r="AH234">
        <f t="shared" si="99"/>
        <v>199.32386955961124</v>
      </c>
      <c r="AI234">
        <f t="shared" si="100"/>
        <v>0.56478880530757525</v>
      </c>
      <c r="AJ234">
        <f t="shared" si="101"/>
        <v>-15.462032083837826</v>
      </c>
      <c r="AK234">
        <f>+S234*テーブル2[[#This Row],[F_form]]/(E234*CpFromTP((テーブル2[[#This Row],[Tin]]+テーブル2[[#This Row],[Tf]])/2,テーブル2[[#This Row],[P]])*AI234)</f>
        <v>4.0429233845427168</v>
      </c>
      <c r="AL234">
        <f t="shared" si="102"/>
        <v>1.1293676909872215</v>
      </c>
      <c r="AM234">
        <f t="shared" si="103"/>
        <v>608.62107399852357</v>
      </c>
      <c r="AN234">
        <f t="shared" si="104"/>
        <v>0</v>
      </c>
      <c r="AO234">
        <f t="shared" si="105"/>
        <v>-7.0796712711883207E-6</v>
      </c>
      <c r="AP234">
        <v>0.13873206515458592</v>
      </c>
      <c r="AQ234">
        <f t="shared" si="106"/>
        <v>2.8332781488672826E-2</v>
      </c>
      <c r="AR234">
        <f t="shared" si="107"/>
        <v>-5.1219594428359829E-6</v>
      </c>
      <c r="AS234">
        <f t="shared" si="108"/>
        <v>-25.028351408007488</v>
      </c>
      <c r="AT234">
        <f t="shared" si="109"/>
        <v>-25.028351408007488</v>
      </c>
      <c r="AU234">
        <f t="shared" si="110"/>
        <v>-14.135732690546718</v>
      </c>
      <c r="AV234">
        <f t="shared" si="111"/>
        <v>14.274464755701304</v>
      </c>
      <c r="AW234">
        <f t="shared" si="112"/>
        <v>2.3539963635901716E-3</v>
      </c>
      <c r="AX234">
        <f t="shared" si="113"/>
        <v>14.274464784220735</v>
      </c>
      <c r="AY234">
        <f t="shared" si="114"/>
        <v>-2.8519430372853094E-8</v>
      </c>
      <c r="AZ234">
        <f t="shared" si="115"/>
        <v>1080577.7610325073</v>
      </c>
      <c r="BA234">
        <f t="shared" si="116"/>
        <v>0.20422662530902475</v>
      </c>
      <c r="BB234">
        <f t="shared" si="117"/>
        <v>-23406.900374425666</v>
      </c>
      <c r="BC234">
        <f t="shared" si="118"/>
        <v>-6073406.9003744256</v>
      </c>
      <c r="BD234">
        <f t="shared" si="119"/>
        <v>-100.38689091527976</v>
      </c>
      <c r="BE234">
        <v>14763481.199999999</v>
      </c>
      <c r="BF234">
        <f>テーブル2[[#This Row],[q_P]]/テーブル2[[#This Row],[q_M]]</f>
        <v>-1.5854594222957162E-3</v>
      </c>
      <c r="BG234">
        <v>1</v>
      </c>
      <c r="BH234">
        <v>-0.45600000000000002</v>
      </c>
      <c r="BI234">
        <v>4.5999999999999999E-2</v>
      </c>
      <c r="BJ234">
        <v>5625</v>
      </c>
      <c r="BK234">
        <v>1</v>
      </c>
      <c r="BL234">
        <f>テーブル2[[#This Row],[Ts]]-テーブル2[[#This Row],[Tin]]</f>
        <v>210.40802968502175</v>
      </c>
      <c r="BM234">
        <f>テーブル2[[#This Row],[q_P]]*0.000001</f>
        <v>-2.3406900374425665E-2</v>
      </c>
      <c r="BN234">
        <f>テーブル2[[#This Row],[Tsub]]</f>
        <v>210.40802968502175</v>
      </c>
      <c r="BO234">
        <f>テーブル2[[#This Row],[Fcorr]]</f>
        <v>1</v>
      </c>
      <c r="BP234">
        <f>(テーブル2[[#This Row],[Tsub]]-40)^2</f>
        <v>29038.896581131252</v>
      </c>
      <c r="BQ234">
        <v>1</v>
      </c>
      <c r="BR234">
        <v>0.3175</v>
      </c>
    </row>
    <row r="235" spans="1:70" x14ac:dyDescent="0.15">
      <c r="A235" t="s">
        <v>303</v>
      </c>
      <c r="B235">
        <v>13789514.586336</v>
      </c>
      <c r="C235">
        <f>TsatFromP(テーブル2[[#This Row],[P]])</f>
        <v>608.62107399852357</v>
      </c>
      <c r="D235">
        <f>RhoGFromP(テーブル2[[#This Row],[P]])</f>
        <v>85.147847035840741</v>
      </c>
      <c r="E235">
        <f>RhoFFromP(テーブル2[[#This Row],[P]])</f>
        <v>624.86636713482415</v>
      </c>
      <c r="F235">
        <f>HgFromP(テーブル2[[#This Row],[P]])</f>
        <v>2643264.5206450778</v>
      </c>
      <c r="G235">
        <f>HfFromP(テーブル2[[#This Row],[P]])</f>
        <v>1562686.7596125705</v>
      </c>
      <c r="H235">
        <f>MuGFromP(テーブル2[[#This Row],[P]])</f>
        <v>2.2019591234371903E-5</v>
      </c>
      <c r="I235">
        <f>MuFFromP(テーブル2[[#This Row],[P]])</f>
        <v>7.222326555143516E-5</v>
      </c>
      <c r="J235">
        <f>KfFromP(テーブル2[[#This Row],[P]])</f>
        <v>0.49112131073334553</v>
      </c>
      <c r="K235">
        <f>CpFFromP(テーブル2[[#This Row],[P]])</f>
        <v>7679.7488518783057</v>
      </c>
      <c r="L235">
        <f>SigmaFromP(テーブル2[[#This Row],[P]])</f>
        <v>6.5036449518301549E-3</v>
      </c>
      <c r="M235">
        <v>234</v>
      </c>
      <c r="N235">
        <v>5357.1085000000003</v>
      </c>
      <c r="O235">
        <f t="shared" si="120"/>
        <v>2.5880591202383804E-5</v>
      </c>
      <c r="P235">
        <f t="shared" si="121"/>
        <v>1.8033998468666854E-2</v>
      </c>
      <c r="Q235">
        <v>5.7404000000000014E-3</v>
      </c>
      <c r="R235">
        <v>0.62484000000000006</v>
      </c>
      <c r="S235">
        <v>6532648.02734375</v>
      </c>
      <c r="T235">
        <v>470.3121633284058</v>
      </c>
      <c r="U235">
        <f>+T235+BG235*S235*テーブル2[[#This Row],[Pw]]*R235/(N235*O235*K235)</f>
        <v>539.44724156206598</v>
      </c>
      <c r="V235">
        <v>0.03</v>
      </c>
      <c r="W235">
        <f t="shared" si="92"/>
        <v>425790.0193047825</v>
      </c>
      <c r="X235">
        <v>1.9852904824383674E-2</v>
      </c>
      <c r="Y235">
        <f t="shared" si="93"/>
        <v>7.0972151300433817</v>
      </c>
      <c r="Z235">
        <f t="shared" si="94"/>
        <v>7.0972151561186791</v>
      </c>
      <c r="AA235">
        <f t="shared" si="95"/>
        <v>-2.6075297476779724E-8</v>
      </c>
      <c r="AB235">
        <f t="shared" si="96"/>
        <v>6.8474719448101251E-6</v>
      </c>
      <c r="AC235">
        <v>684.72657388309244</v>
      </c>
      <c r="AD235">
        <f t="shared" si="97"/>
        <v>10605.533455561263</v>
      </c>
      <c r="AE235">
        <f>+gettm2(AD235,AC235,AK235,AL235,テーブル2[[#This Row],[Fcorr]])</f>
        <v>539.44724156206598</v>
      </c>
      <c r="AF235">
        <f t="shared" si="98"/>
        <v>0</v>
      </c>
      <c r="AG235">
        <v>6.9058266359173453E-6</v>
      </c>
      <c r="AH235">
        <f t="shared" si="99"/>
        <v>113.97452965267452</v>
      </c>
      <c r="AI235">
        <f t="shared" si="100"/>
        <v>0.42708107717941396</v>
      </c>
      <c r="AJ235">
        <f t="shared" si="101"/>
        <v>25.517376986108104</v>
      </c>
      <c r="AK235">
        <f>+S235*テーブル2[[#This Row],[F_form]]/(E235*CpFromTP((テーブル2[[#This Row],[Tin]]+テーブル2[[#This Row],[Tf]])/2,テーブル2[[#This Row],[P]])*AI235)</f>
        <v>5.3253281725188213</v>
      </c>
      <c r="AL235">
        <f t="shared" si="102"/>
        <v>1.1293676909872215</v>
      </c>
      <c r="AM235">
        <f t="shared" si="103"/>
        <v>608.62107398643377</v>
      </c>
      <c r="AN235">
        <f t="shared" si="104"/>
        <v>1.2089799383829813E-8</v>
      </c>
      <c r="AO235">
        <f t="shared" si="105"/>
        <v>5.8354691107220196E-8</v>
      </c>
      <c r="AP235">
        <v>4.4863526462712047</v>
      </c>
      <c r="AQ235">
        <f t="shared" si="106"/>
        <v>2.7092937720530996E-5</v>
      </c>
      <c r="AR235">
        <f t="shared" si="107"/>
        <v>3.4820906635122828E-6</v>
      </c>
      <c r="AS235">
        <f t="shared" si="108"/>
        <v>12.866500253354131</v>
      </c>
      <c r="AT235">
        <f t="shared" si="109"/>
        <v>9.7231352702094718</v>
      </c>
      <c r="AU235">
        <f t="shared" si="110"/>
        <v>4.1525670847622136</v>
      </c>
      <c r="AV235">
        <f t="shared" si="111"/>
        <v>0.33378556150899108</v>
      </c>
      <c r="AW235">
        <f t="shared" si="112"/>
        <v>4.1167764898868879E-3</v>
      </c>
      <c r="AX235">
        <f t="shared" si="113"/>
        <v>0.33378554585524384</v>
      </c>
      <c r="AY235">
        <f t="shared" si="114"/>
        <v>1.5653747242883043E-8</v>
      </c>
      <c r="AZ235">
        <f t="shared" si="115"/>
        <v>1080577.7610325073</v>
      </c>
      <c r="BA235">
        <f t="shared" si="116"/>
        <v>6.0389674768542932E-6</v>
      </c>
      <c r="BB235">
        <f t="shared" si="117"/>
        <v>6524635.5617299555</v>
      </c>
      <c r="BC235">
        <f t="shared" si="118"/>
        <v>-8012.465613794513</v>
      </c>
      <c r="BD235">
        <f t="shared" si="119"/>
        <v>-0.1226526453018237</v>
      </c>
      <c r="BE235">
        <v>9211402.7999999989</v>
      </c>
      <c r="BF235">
        <f>テーブル2[[#This Row],[q_P]]/テーブル2[[#This Row],[q_M]]</f>
        <v>0.70832159915208093</v>
      </c>
      <c r="BG235">
        <v>1</v>
      </c>
      <c r="BH235">
        <v>2.9000000000000001E-2</v>
      </c>
      <c r="BI235">
        <v>4.5999999999999999E-2</v>
      </c>
      <c r="BJ235">
        <v>5625</v>
      </c>
      <c r="BK235">
        <v>1</v>
      </c>
      <c r="BL235">
        <f>テーブル2[[#This Row],[Ts]]-テーブル2[[#This Row],[Tin]]</f>
        <v>138.30891067011777</v>
      </c>
      <c r="BM235">
        <f>テーブル2[[#This Row],[q_P]]*0.000001</f>
        <v>6.524635561729955</v>
      </c>
      <c r="BN235">
        <f>テーブル2[[#This Row],[Tsub]]</f>
        <v>138.30891067011777</v>
      </c>
      <c r="BO235">
        <f>テーブル2[[#This Row],[Fcorr]]</f>
        <v>1</v>
      </c>
      <c r="BP235">
        <f>(テーブル2[[#This Row],[Tsub]]-40)^2</f>
        <v>9664.6419171451944</v>
      </c>
      <c r="BQ235">
        <v>1</v>
      </c>
      <c r="BR235">
        <v>0.62484000000000006</v>
      </c>
    </row>
    <row r="236" spans="1:70" x14ac:dyDescent="0.15">
      <c r="A236" t="s">
        <v>304</v>
      </c>
      <c r="B236">
        <v>13789514.586336</v>
      </c>
      <c r="C236">
        <f>TsatFromP(テーブル2[[#This Row],[P]])</f>
        <v>608.62107399852357</v>
      </c>
      <c r="D236">
        <f>RhoGFromP(テーブル2[[#This Row],[P]])</f>
        <v>85.147847035840741</v>
      </c>
      <c r="E236">
        <f>RhoFFromP(テーブル2[[#This Row],[P]])</f>
        <v>624.86636713482415</v>
      </c>
      <c r="F236">
        <f>HgFromP(テーブル2[[#This Row],[P]])</f>
        <v>2643264.5206450778</v>
      </c>
      <c r="G236">
        <f>HfFromP(テーブル2[[#This Row],[P]])</f>
        <v>1562686.7596125705</v>
      </c>
      <c r="H236">
        <f>MuGFromP(テーブル2[[#This Row],[P]])</f>
        <v>2.2019591234371903E-5</v>
      </c>
      <c r="I236">
        <f>MuFFromP(テーブル2[[#This Row],[P]])</f>
        <v>7.222326555143516E-5</v>
      </c>
      <c r="J236">
        <f>KfFromP(テーブル2[[#This Row],[P]])</f>
        <v>0.49112131073334553</v>
      </c>
      <c r="K236">
        <f>CpFFromP(テーブル2[[#This Row],[P]])</f>
        <v>7679.7488518783057</v>
      </c>
      <c r="L236">
        <f>SigmaFromP(テーブル2[[#This Row],[P]])</f>
        <v>6.5036449518301549E-3</v>
      </c>
      <c r="M236">
        <v>235</v>
      </c>
      <c r="N236">
        <v>5153.674</v>
      </c>
      <c r="O236">
        <f t="shared" si="120"/>
        <v>1.0361661240064725E-5</v>
      </c>
      <c r="P236">
        <f t="shared" si="121"/>
        <v>1.1410892836368843E-2</v>
      </c>
      <c r="Q236">
        <v>3.6321999999999991E-3</v>
      </c>
      <c r="R236">
        <v>7.619999999999999E-2</v>
      </c>
      <c r="S236">
        <v>2769293.65234375</v>
      </c>
      <c r="T236">
        <v>581.7028894881837</v>
      </c>
      <c r="U236">
        <f>+T236+BG236*S236*テーブル2[[#This Row],[Pw]]*R236/(N236*O236*K236)</f>
        <v>587.57440561006365</v>
      </c>
      <c r="V236">
        <v>0.03</v>
      </c>
      <c r="W236">
        <f t="shared" si="92"/>
        <v>259184.82859887835</v>
      </c>
      <c r="X236">
        <v>2.2116489755347045E-2</v>
      </c>
      <c r="Y236">
        <f t="shared" si="93"/>
        <v>6.7242197937234112</v>
      </c>
      <c r="Z236">
        <f t="shared" si="94"/>
        <v>6.7242197957600052</v>
      </c>
      <c r="AA236">
        <f t="shared" si="95"/>
        <v>-2.0365940045508069E-9</v>
      </c>
      <c r="AB236">
        <f t="shared" si="96"/>
        <v>6.6414838604264398E-6</v>
      </c>
      <c r="AC236">
        <v>633.54223872269949</v>
      </c>
      <c r="AD236">
        <f t="shared" si="97"/>
        <v>6813.8518484334363</v>
      </c>
      <c r="AE236">
        <f>+gettm2(AD236,AC236,AK236,AL236,テーブル2[[#This Row],[Fcorr]])</f>
        <v>587.57440594548598</v>
      </c>
      <c r="AF236">
        <f t="shared" si="98"/>
        <v>3.3542232813488226E-7</v>
      </c>
      <c r="AG236">
        <v>6.6659638605827485E-6</v>
      </c>
      <c r="AH236">
        <f t="shared" si="99"/>
        <v>117.50949194800992</v>
      </c>
      <c r="AI236">
        <f t="shared" si="100"/>
        <v>0.43365354342719753</v>
      </c>
      <c r="AJ236">
        <f t="shared" si="101"/>
        <v>25.010126189649391</v>
      </c>
      <c r="AK236">
        <f>+S236*テーブル2[[#This Row],[F_form]]/(E236*CpFromTP((テーブル2[[#This Row],[Tin]]+テーブル2[[#This Row],[Tf]])/2,テーブル2[[#This Row],[P]])*AI236)</f>
        <v>1.7564330058447708</v>
      </c>
      <c r="AL236">
        <f t="shared" si="102"/>
        <v>1.1293676909872215</v>
      </c>
      <c r="AM236">
        <f t="shared" si="103"/>
        <v>608.62107400053821</v>
      </c>
      <c r="AN236">
        <f t="shared" si="104"/>
        <v>-2.0146444512647577E-9</v>
      </c>
      <c r="AO236">
        <f t="shared" si="105"/>
        <v>2.4480000156308725E-8</v>
      </c>
      <c r="AP236">
        <v>4.5004959606464707</v>
      </c>
      <c r="AQ236">
        <f t="shared" si="106"/>
        <v>2.6922920087103787E-5</v>
      </c>
      <c r="AR236">
        <f t="shared" si="107"/>
        <v>3.3452219303695286E-6</v>
      </c>
      <c r="AS236">
        <f t="shared" si="108"/>
        <v>12.550986528092334</v>
      </c>
      <c r="AT236">
        <f t="shared" si="109"/>
        <v>9.5989963515224126</v>
      </c>
      <c r="AU236">
        <f t="shared" si="110"/>
        <v>4.1626387811824355</v>
      </c>
      <c r="AV236">
        <f t="shared" si="111"/>
        <v>0.33785717946403526</v>
      </c>
      <c r="AW236">
        <f t="shared" si="112"/>
        <v>3.9929341565670242E-3</v>
      </c>
      <c r="AX236">
        <f t="shared" si="113"/>
        <v>0.33785716062923454</v>
      </c>
      <c r="AY236">
        <f t="shared" si="114"/>
        <v>1.8834800719069733E-8</v>
      </c>
      <c r="AZ236">
        <f t="shared" si="115"/>
        <v>1080577.7610325073</v>
      </c>
      <c r="BA236">
        <f t="shared" si="116"/>
        <v>5.9822118101038051E-6</v>
      </c>
      <c r="BB236">
        <f t="shared" si="117"/>
        <v>2763075.8396469536</v>
      </c>
      <c r="BC236">
        <f t="shared" si="118"/>
        <v>-6217.8126967963763</v>
      </c>
      <c r="BD236">
        <f t="shared" si="119"/>
        <v>-0.22452702664934157</v>
      </c>
      <c r="BE236">
        <v>9936958.5</v>
      </c>
      <c r="BF236">
        <f>テーブル2[[#This Row],[q_P]]/テーブル2[[#This Row],[q_M]]</f>
        <v>0.27806051918672636</v>
      </c>
      <c r="BG236">
        <v>1</v>
      </c>
      <c r="BH236">
        <v>-1.2E-2</v>
      </c>
      <c r="BI236">
        <v>4.5999999999999999E-2</v>
      </c>
      <c r="BJ236">
        <v>5625</v>
      </c>
      <c r="BK236">
        <v>1</v>
      </c>
      <c r="BL236">
        <f>テーブル2[[#This Row],[Ts]]-テーブル2[[#This Row],[Tin]]</f>
        <v>26.91818451033987</v>
      </c>
      <c r="BM236">
        <f>テーブル2[[#This Row],[q_P]]*0.000001</f>
        <v>2.7630758396469535</v>
      </c>
      <c r="BN236">
        <f>テーブル2[[#This Row],[Tsub]]</f>
        <v>26.91818451033987</v>
      </c>
      <c r="BO236">
        <f>テーブル2[[#This Row],[Fcorr]]</f>
        <v>1</v>
      </c>
      <c r="BP236">
        <f>(テーブル2[[#This Row],[Tsub]]-40)^2</f>
        <v>171.1338965055117</v>
      </c>
      <c r="BQ236">
        <v>1</v>
      </c>
      <c r="BR236">
        <v>7.619999999999999E-2</v>
      </c>
    </row>
    <row r="237" spans="1:70" x14ac:dyDescent="0.15">
      <c r="A237" t="s">
        <v>70</v>
      </c>
      <c r="B237">
        <v>13789514.586336</v>
      </c>
      <c r="C237">
        <f>TsatFromP(テーブル2[[#This Row],[P]])</f>
        <v>608.62107399852357</v>
      </c>
      <c r="D237">
        <f>RhoGFromP(テーブル2[[#This Row],[P]])</f>
        <v>85.147847035840741</v>
      </c>
      <c r="E237">
        <f>RhoFFromP(テーブル2[[#This Row],[P]])</f>
        <v>624.86636713482415</v>
      </c>
      <c r="F237">
        <f>HgFromP(テーブル2[[#This Row],[P]])</f>
        <v>2643264.5206450778</v>
      </c>
      <c r="G237">
        <f>HfFromP(テーブル2[[#This Row],[P]])</f>
        <v>1562686.7596125705</v>
      </c>
      <c r="H237">
        <f>MuGFromP(テーブル2[[#This Row],[P]])</f>
        <v>2.2019591234371903E-5</v>
      </c>
      <c r="I237">
        <f>MuFFromP(テーブル2[[#This Row],[P]])</f>
        <v>7.222326555143516E-5</v>
      </c>
      <c r="J237">
        <f>KfFromP(テーブル2[[#This Row],[P]])</f>
        <v>0.49112131073334553</v>
      </c>
      <c r="K237">
        <f>CpFFromP(テーブル2[[#This Row],[P]])</f>
        <v>7679.7488518783057</v>
      </c>
      <c r="L237">
        <f>SigmaFromP(テーブル2[[#This Row],[P]])</f>
        <v>6.5036449518301549E-3</v>
      </c>
      <c r="M237">
        <v>236</v>
      </c>
      <c r="N237">
        <v>2441.2139999999999</v>
      </c>
      <c r="O237">
        <f t="shared" si="120"/>
        <v>2.8502295699234246E-6</v>
      </c>
      <c r="P237">
        <f t="shared" si="121"/>
        <v>5.9847340050885557E-3</v>
      </c>
      <c r="Q237">
        <v>1.905E-3</v>
      </c>
      <c r="R237">
        <v>0.15240000000000001</v>
      </c>
      <c r="S237">
        <v>4113230.25390625</v>
      </c>
      <c r="T237">
        <v>500.2688889860072</v>
      </c>
      <c r="U237">
        <f>+T237+BG237*S237*テーブル2[[#This Row],[Pw]]*R237/(N237*O237*K237)</f>
        <v>570.47584283879075</v>
      </c>
      <c r="V237">
        <v>0.03</v>
      </c>
      <c r="W237">
        <f t="shared" si="92"/>
        <v>64390.783696813734</v>
      </c>
      <c r="X237">
        <v>3.5266105089046318E-2</v>
      </c>
      <c r="Y237">
        <f t="shared" si="93"/>
        <v>5.3250200990185377</v>
      </c>
      <c r="Z237">
        <f t="shared" si="94"/>
        <v>5.3250201082307189</v>
      </c>
      <c r="AA237">
        <f t="shared" si="95"/>
        <v>-9.2121812400591807E-9</v>
      </c>
      <c r="AB237">
        <f t="shared" si="96"/>
        <v>1.8562907725530151E-5</v>
      </c>
      <c r="AC237">
        <v>691.95014749382574</v>
      </c>
      <c r="AD237">
        <f t="shared" si="97"/>
        <v>2137.6050677407343</v>
      </c>
      <c r="AE237">
        <f>+gettm2(AD237,AC237,AK237,AL237,テーブル2[[#This Row],[Fcorr]])</f>
        <v>570.47584375829217</v>
      </c>
      <c r="AF237">
        <f t="shared" si="98"/>
        <v>9.1950141722918488E-7</v>
      </c>
      <c r="AG237">
        <v>1.864583785589599E-5</v>
      </c>
      <c r="AH237">
        <f t="shared" si="99"/>
        <v>42.04284187364992</v>
      </c>
      <c r="AI237">
        <f t="shared" si="100"/>
        <v>0.25938953898646117</v>
      </c>
      <c r="AJ237">
        <f t="shared" si="101"/>
        <v>41.845078732845458</v>
      </c>
      <c r="AK237">
        <f>+S237*テーブル2[[#This Row],[F_form]]/(E237*CpFromTP((テーブル2[[#This Row],[Tin]]+テーブル2[[#This Row],[Tf]])/2,テーブル2[[#This Row],[P]])*AI237)</f>
        <v>5.2245613277704326</v>
      </c>
      <c r="AL237">
        <f t="shared" si="102"/>
        <v>1.1293676909872215</v>
      </c>
      <c r="AM237">
        <f t="shared" si="103"/>
        <v>608.62107399405397</v>
      </c>
      <c r="AN237">
        <f t="shared" si="104"/>
        <v>4.4695980250253342E-9</v>
      </c>
      <c r="AO237">
        <f t="shared" si="105"/>
        <v>8.293013036583894E-8</v>
      </c>
      <c r="AP237">
        <v>3.4240336887769027</v>
      </c>
      <c r="AQ237">
        <f t="shared" si="106"/>
        <v>4.6512197291607426E-5</v>
      </c>
      <c r="AR237">
        <f t="shared" si="107"/>
        <v>9.3643839931309144E-6</v>
      </c>
      <c r="AS237">
        <f t="shared" si="108"/>
        <v>21.015595464553133</v>
      </c>
      <c r="AT237">
        <f t="shared" si="109"/>
        <v>12.176324016355583</v>
      </c>
      <c r="AU237">
        <f t="shared" si="110"/>
        <v>3.1584110731522497</v>
      </c>
      <c r="AV237">
        <f t="shared" si="111"/>
        <v>0.26562261562465306</v>
      </c>
      <c r="AW237">
        <f t="shared" si="112"/>
        <v>1.116022712094825E-2</v>
      </c>
      <c r="AX237">
        <f t="shared" si="113"/>
        <v>0.26562260588054065</v>
      </c>
      <c r="AY237">
        <f t="shared" si="114"/>
        <v>9.7441124058406103E-9</v>
      </c>
      <c r="AZ237">
        <f t="shared" si="115"/>
        <v>1080577.7610325073</v>
      </c>
      <c r="BA237">
        <f t="shared" si="116"/>
        <v>1.3584036116251539E-5</v>
      </c>
      <c r="BB237">
        <f t="shared" si="117"/>
        <v>4122177.5672753258</v>
      </c>
      <c r="BC237">
        <f t="shared" si="118"/>
        <v>8947.3133690757677</v>
      </c>
      <c r="BD237">
        <f t="shared" si="119"/>
        <v>0.21752522510935751</v>
      </c>
      <c r="BE237">
        <v>4037875.2</v>
      </c>
      <c r="BF237">
        <f>テーブル2[[#This Row],[q_P]]/テーブル2[[#This Row],[q_M]]</f>
        <v>1.0208779031296771</v>
      </c>
      <c r="BG237">
        <v>1</v>
      </c>
      <c r="BH237">
        <v>-0.05</v>
      </c>
      <c r="BI237">
        <v>4.5999999999999999E-2</v>
      </c>
      <c r="BJ237">
        <v>5625</v>
      </c>
      <c r="BK237">
        <v>1</v>
      </c>
      <c r="BL237">
        <f>テーブル2[[#This Row],[Ts]]-テーブル2[[#This Row],[Tin]]</f>
        <v>108.35218501251637</v>
      </c>
      <c r="BM237">
        <f>テーブル2[[#This Row],[q_P]]*0.000001</f>
        <v>4.1221775672753251</v>
      </c>
      <c r="BN237">
        <f>テーブル2[[#This Row],[Tsub]]</f>
        <v>108.35218501251637</v>
      </c>
      <c r="BO237">
        <f>テーブル2[[#This Row],[Fcorr]]</f>
        <v>1</v>
      </c>
      <c r="BP237">
        <f>(テーブル2[[#This Row],[Tsub]]-40)^2</f>
        <v>4672.0211959852677</v>
      </c>
      <c r="BQ237">
        <v>1</v>
      </c>
      <c r="BR237">
        <v>0.15240000000000001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H386"/>
  <sheetViews>
    <sheetView topLeftCell="A316" workbookViewId="0">
      <selection activeCell="J25" sqref="J25"/>
    </sheetView>
  </sheetViews>
  <sheetFormatPr defaultRowHeight="13.5" x14ac:dyDescent="0.15"/>
  <sheetData>
    <row r="1" spans="1:8" x14ac:dyDescent="0.15">
      <c r="A1" t="s">
        <v>320</v>
      </c>
      <c r="B1" t="s">
        <v>321</v>
      </c>
      <c r="C1" t="s">
        <v>18</v>
      </c>
      <c r="D1" t="s">
        <v>53</v>
      </c>
      <c r="E1" t="s">
        <v>32</v>
      </c>
      <c r="F1" t="s">
        <v>322</v>
      </c>
      <c r="G1" t="s">
        <v>40</v>
      </c>
      <c r="H1" t="s">
        <v>323</v>
      </c>
    </row>
    <row r="2" spans="1:8" x14ac:dyDescent="0.15">
      <c r="A2">
        <v>226</v>
      </c>
      <c r="B2">
        <v>1</v>
      </c>
      <c r="C2">
        <v>6050000</v>
      </c>
      <c r="D2">
        <v>2855376678399.5669</v>
      </c>
      <c r="E2">
        <v>2.4463154961592748E-3</v>
      </c>
      <c r="F2">
        <v>1.0245045541752967E-5</v>
      </c>
      <c r="G2">
        <v>2.4360704506175218E-3</v>
      </c>
      <c r="H2" t="b">
        <v>0</v>
      </c>
    </row>
    <row r="3" spans="1:8" x14ac:dyDescent="0.15">
      <c r="A3">
        <v>226</v>
      </c>
      <c r="B3">
        <v>2</v>
      </c>
      <c r="C3">
        <v>3075000</v>
      </c>
      <c r="D3">
        <v>1283315936539.2656</v>
      </c>
      <c r="E3">
        <v>1.3079615656386705E-3</v>
      </c>
      <c r="F3">
        <v>1.0245045541753183E-5</v>
      </c>
      <c r="G3">
        <v>1.2977165200969173E-3</v>
      </c>
      <c r="H3" t="b">
        <v>0</v>
      </c>
    </row>
    <row r="4" spans="1:8" x14ac:dyDescent="0.15">
      <c r="A4">
        <v>226</v>
      </c>
      <c r="B4">
        <v>3</v>
      </c>
      <c r="C4">
        <v>1587500</v>
      </c>
      <c r="D4">
        <v>344709171746.32697</v>
      </c>
      <c r="E4">
        <v>4.7859320617140366E-4</v>
      </c>
      <c r="F4">
        <v>1.0245045541753129E-5</v>
      </c>
      <c r="G4">
        <v>4.6834816062965053E-4</v>
      </c>
      <c r="H4" t="b">
        <v>0</v>
      </c>
    </row>
    <row r="5" spans="1:8" x14ac:dyDescent="0.15">
      <c r="A5">
        <v>226</v>
      </c>
      <c r="B5">
        <v>4</v>
      </c>
      <c r="C5">
        <v>843750</v>
      </c>
      <c r="D5">
        <v>28552103360.662727</v>
      </c>
      <c r="E5">
        <v>8.1890704826917334E-5</v>
      </c>
      <c r="F5">
        <v>1.0245045541753129E-5</v>
      </c>
      <c r="G5">
        <v>7.1645659285164205E-5</v>
      </c>
      <c r="H5" t="b">
        <v>0</v>
      </c>
    </row>
    <row r="6" spans="1:8" x14ac:dyDescent="0.15">
      <c r="A6">
        <v>226</v>
      </c>
      <c r="B6">
        <v>5</v>
      </c>
      <c r="C6">
        <v>471875</v>
      </c>
      <c r="D6">
        <v>-44230288.834802136</v>
      </c>
      <c r="E6">
        <v>6.611795434339651E-6</v>
      </c>
      <c r="F6">
        <v>1.0245045541753122E-5</v>
      </c>
      <c r="G6">
        <v>-3.6332501074134715E-6</v>
      </c>
      <c r="H6" t="b">
        <v>1</v>
      </c>
    </row>
    <row r="7" spans="1:8" x14ac:dyDescent="0.15">
      <c r="A7">
        <v>226</v>
      </c>
      <c r="B7">
        <v>6</v>
      </c>
      <c r="C7">
        <v>657812.5</v>
      </c>
      <c r="D7">
        <v>4499949710.9194002</v>
      </c>
      <c r="E7">
        <v>2.8451874045974221E-5</v>
      </c>
      <c r="F7">
        <v>1.0245045541753122E-5</v>
      </c>
      <c r="G7">
        <v>1.8206828504221098E-5</v>
      </c>
      <c r="H7" t="b">
        <v>0</v>
      </c>
    </row>
    <row r="8" spans="1:8" x14ac:dyDescent="0.15">
      <c r="A8">
        <v>226</v>
      </c>
      <c r="B8">
        <v>7</v>
      </c>
      <c r="C8">
        <v>564843.75</v>
      </c>
      <c r="D8">
        <v>349061391.42267644</v>
      </c>
      <c r="E8">
        <v>1.2936293607219107E-5</v>
      </c>
      <c r="F8">
        <v>1.0245045541753122E-5</v>
      </c>
      <c r="G8">
        <v>2.6912480654659841E-6</v>
      </c>
      <c r="H8" t="b">
        <v>0</v>
      </c>
    </row>
    <row r="9" spans="1:8" x14ac:dyDescent="0.15">
      <c r="A9">
        <v>226</v>
      </c>
      <c r="B9">
        <v>8</v>
      </c>
      <c r="C9">
        <v>518359.375</v>
      </c>
      <c r="D9">
        <v>-74759654.339370787</v>
      </c>
      <c r="E9">
        <v>8.8495571711340842E-6</v>
      </c>
      <c r="F9">
        <v>1.0245045541753122E-5</v>
      </c>
      <c r="G9">
        <v>-1.3954883706190383E-6</v>
      </c>
      <c r="H9" t="b">
        <v>1</v>
      </c>
    </row>
    <row r="10" spans="1:8" x14ac:dyDescent="0.15">
      <c r="A10">
        <v>226</v>
      </c>
      <c r="B10">
        <v>9</v>
      </c>
      <c r="C10">
        <v>541601.5625</v>
      </c>
      <c r="D10">
        <v>-4806738.1809369214</v>
      </c>
      <c r="E10">
        <v>1.0184490484418683E-5</v>
      </c>
      <c r="F10">
        <v>1.0245045541753122E-5</v>
      </c>
      <c r="G10">
        <v>-6.0555057334439759E-8</v>
      </c>
      <c r="H10" t="b">
        <v>1</v>
      </c>
    </row>
    <row r="11" spans="1:8" x14ac:dyDescent="0.15">
      <c r="A11">
        <v>226</v>
      </c>
      <c r="B11">
        <v>10</v>
      </c>
      <c r="C11">
        <v>553222.65625</v>
      </c>
      <c r="D11">
        <v>131389376.28728248</v>
      </c>
      <c r="E11">
        <v>1.1507003721714157E-5</v>
      </c>
      <c r="F11">
        <v>1.0245045541753122E-5</v>
      </c>
      <c r="G11">
        <v>1.2619581799610342E-6</v>
      </c>
      <c r="H11" t="b">
        <v>0</v>
      </c>
    </row>
    <row r="12" spans="1:8" x14ac:dyDescent="0.15">
      <c r="A12">
        <v>226</v>
      </c>
      <c r="B12">
        <v>11</v>
      </c>
      <c r="C12">
        <v>547412.109375</v>
      </c>
      <c r="D12">
        <v>53830429.13853322</v>
      </c>
      <c r="E12">
        <v>1.0832568218568334E-5</v>
      </c>
      <c r="F12">
        <v>1.0245045541753122E-5</v>
      </c>
      <c r="G12">
        <v>5.8752267681521117E-7</v>
      </c>
      <c r="H12" t="b">
        <v>0</v>
      </c>
    </row>
    <row r="13" spans="1:8" x14ac:dyDescent="0.15">
      <c r="A13">
        <v>226</v>
      </c>
      <c r="B13">
        <v>12</v>
      </c>
      <c r="C13">
        <v>544506.8359375</v>
      </c>
      <c r="D13">
        <v>22239377.371194381</v>
      </c>
      <c r="E13">
        <v>1.0505256785978157E-5</v>
      </c>
      <c r="F13">
        <v>1.0245045541753122E-5</v>
      </c>
      <c r="G13">
        <v>2.6021124422503483E-7</v>
      </c>
      <c r="H13" t="b">
        <v>0</v>
      </c>
    </row>
    <row r="14" spans="1:8" x14ac:dyDescent="0.15">
      <c r="A14">
        <v>226</v>
      </c>
      <c r="B14">
        <v>13</v>
      </c>
      <c r="C14">
        <v>543054.19921875</v>
      </c>
      <c r="D14">
        <v>8159899.5800604792</v>
      </c>
      <c r="E14">
        <v>1.0344057261871598E-5</v>
      </c>
      <c r="F14">
        <v>1.0245045541753122E-5</v>
      </c>
      <c r="G14">
        <v>9.9011720118475746E-8</v>
      </c>
      <c r="H14" t="b">
        <v>0</v>
      </c>
    </row>
    <row r="15" spans="1:8" x14ac:dyDescent="0.15">
      <c r="A15">
        <v>226</v>
      </c>
      <c r="B15">
        <v>14</v>
      </c>
      <c r="C15">
        <v>541854.19921875</v>
      </c>
      <c r="D15">
        <v>-2630520.9744023331</v>
      </c>
      <c r="E15">
        <v>1.0212124771083571E-5</v>
      </c>
      <c r="F15">
        <v>1.0245045541753122E-5</v>
      </c>
      <c r="G15">
        <v>-3.292077066955148E-8</v>
      </c>
      <c r="H15" t="b">
        <v>1</v>
      </c>
    </row>
    <row r="16" spans="1:8" x14ac:dyDescent="0.15">
      <c r="A16">
        <v>226</v>
      </c>
      <c r="B16">
        <v>15</v>
      </c>
      <c r="C16">
        <v>542454.19921875</v>
      </c>
      <c r="D16">
        <v>2670743.9495756146</v>
      </c>
      <c r="E16">
        <v>1.0277953687692564E-5</v>
      </c>
      <c r="F16">
        <v>1.0245045541753122E-5</v>
      </c>
      <c r="G16">
        <v>3.2908145939441213E-8</v>
      </c>
      <c r="H16" t="b">
        <v>0</v>
      </c>
    </row>
    <row r="17" spans="1:8" x14ac:dyDescent="0.15">
      <c r="A17">
        <v>226</v>
      </c>
      <c r="B17">
        <v>16</v>
      </c>
      <c r="C17">
        <v>542154.19921875</v>
      </c>
      <c r="D17">
        <v>-3368.352318638505</v>
      </c>
      <c r="E17">
        <v>1.0245003714799863E-5</v>
      </c>
      <c r="F17">
        <v>1.0245045541753122E-5</v>
      </c>
      <c r="G17">
        <v>-4.1826953259242066E-11</v>
      </c>
      <c r="H17" t="b">
        <v>1</v>
      </c>
    </row>
    <row r="18" spans="1:8" x14ac:dyDescent="0.15">
      <c r="A18">
        <v>226</v>
      </c>
      <c r="B18">
        <v>17</v>
      </c>
      <c r="C18">
        <v>542304.19921875</v>
      </c>
      <c r="D18">
        <v>1327755.2952421082</v>
      </c>
      <c r="E18">
        <v>1.026146921583061E-5</v>
      </c>
      <c r="F18">
        <v>1.0245045541753122E-5</v>
      </c>
      <c r="G18">
        <v>1.6423674077487921E-8</v>
      </c>
      <c r="H18" t="b">
        <v>0</v>
      </c>
    </row>
    <row r="19" spans="1:8" x14ac:dyDescent="0.15">
      <c r="A19">
        <v>226</v>
      </c>
      <c r="B19">
        <v>18</v>
      </c>
      <c r="C19">
        <v>542229.19921875</v>
      </c>
      <c r="D19">
        <v>660858.28245964006</v>
      </c>
      <c r="E19">
        <v>1.025323590157993E-5</v>
      </c>
      <c r="F19">
        <v>1.0245045541753122E-5</v>
      </c>
      <c r="G19">
        <v>8.1903598268079722E-9</v>
      </c>
      <c r="H19" t="b">
        <v>0</v>
      </c>
    </row>
    <row r="20" spans="1:8" x14ac:dyDescent="0.15">
      <c r="A20">
        <v>226</v>
      </c>
      <c r="B20">
        <v>19</v>
      </c>
      <c r="C20">
        <v>542139.19921875</v>
      </c>
      <c r="D20">
        <v>-135707.28409306271</v>
      </c>
      <c r="E20">
        <v>1.0243359723847913E-5</v>
      </c>
      <c r="F20">
        <v>1.0245045541753122E-5</v>
      </c>
      <c r="G20">
        <v>-1.6858179052097415E-9</v>
      </c>
      <c r="H20" t="b">
        <v>1</v>
      </c>
    </row>
    <row r="21" spans="1:8" x14ac:dyDescent="0.15">
      <c r="A21">
        <v>226</v>
      </c>
      <c r="B21">
        <v>20</v>
      </c>
      <c r="C21">
        <v>542184.19921875</v>
      </c>
      <c r="D21">
        <v>261918.9724214295</v>
      </c>
      <c r="E21">
        <v>1.0248295426416238E-5</v>
      </c>
      <c r="F21">
        <v>1.0245045541753122E-5</v>
      </c>
      <c r="G21">
        <v>3.2498846631153421E-9</v>
      </c>
      <c r="H21" t="b">
        <v>0</v>
      </c>
    </row>
    <row r="22" spans="1:8" x14ac:dyDescent="0.15">
      <c r="A22">
        <v>226</v>
      </c>
      <c r="B22">
        <v>21</v>
      </c>
      <c r="C22">
        <v>542238.19921875</v>
      </c>
      <c r="D22">
        <v>740746.80539141758</v>
      </c>
      <c r="E22">
        <v>1.0254223863022321E-5</v>
      </c>
      <c r="F22">
        <v>1.0245045541753122E-5</v>
      </c>
      <c r="G22">
        <v>9.1783212691983775E-9</v>
      </c>
      <c r="H22" t="b">
        <v>0</v>
      </c>
    </row>
    <row r="23" spans="1:8" x14ac:dyDescent="0.15">
      <c r="A23">
        <v>226</v>
      </c>
      <c r="B23">
        <v>22</v>
      </c>
      <c r="C23">
        <v>542211.19921875</v>
      </c>
      <c r="D23">
        <v>501207.80968592153</v>
      </c>
      <c r="E23">
        <v>1.0251260166168061E-5</v>
      </c>
      <c r="F23">
        <v>1.0245045541753122E-5</v>
      </c>
      <c r="G23">
        <v>6.2146244149382986E-9</v>
      </c>
      <c r="H23" t="b">
        <v>0</v>
      </c>
    </row>
    <row r="24" spans="1:8" x14ac:dyDescent="0.15">
      <c r="A24">
        <v>226</v>
      </c>
      <c r="B24">
        <v>23</v>
      </c>
      <c r="C24">
        <v>542224.69921875</v>
      </c>
      <c r="D24">
        <v>620929.84376291197</v>
      </c>
      <c r="E24">
        <v>1.0252741944293919E-5</v>
      </c>
      <c r="F24">
        <v>1.0245045541753122E-5</v>
      </c>
      <c r="G24">
        <v>7.6964025407960407E-9</v>
      </c>
      <c r="H24" t="b">
        <v>0</v>
      </c>
    </row>
    <row r="25" spans="1:8" x14ac:dyDescent="0.15">
      <c r="A25">
        <v>226</v>
      </c>
      <c r="B25">
        <v>24</v>
      </c>
      <c r="C25">
        <v>542217.94921875</v>
      </c>
      <c r="D25">
        <v>560927.21730479901</v>
      </c>
      <c r="E25">
        <v>1.0251999431828772E-5</v>
      </c>
      <c r="F25">
        <v>1.0245045541753122E-5</v>
      </c>
      <c r="G25">
        <v>6.953890075649699E-9</v>
      </c>
      <c r="H25" t="b">
        <v>0</v>
      </c>
    </row>
    <row r="26" spans="1:8" x14ac:dyDescent="0.15">
      <c r="A26">
        <v>226</v>
      </c>
      <c r="B26">
        <v>25</v>
      </c>
      <c r="C26">
        <v>542209.84921875002</v>
      </c>
      <c r="D26">
        <v>489111.14657859132</v>
      </c>
      <c r="E26">
        <v>1.0251110390389647E-5</v>
      </c>
      <c r="F26">
        <v>1.0245045541753122E-5</v>
      </c>
      <c r="G26">
        <v>6.0648486365242954E-9</v>
      </c>
      <c r="H26" t="b">
        <v>0</v>
      </c>
    </row>
    <row r="27" spans="1:8" x14ac:dyDescent="0.15">
      <c r="A27">
        <v>226</v>
      </c>
      <c r="B27">
        <v>26</v>
      </c>
      <c r="C27">
        <v>542213.89921875007</v>
      </c>
      <c r="D27">
        <v>525014.91088330699</v>
      </c>
      <c r="E27">
        <v>1.025155490478212E-5</v>
      </c>
      <c r="F27">
        <v>1.0245045541753122E-5</v>
      </c>
      <c r="G27">
        <v>6.5093630289973678E-9</v>
      </c>
      <c r="H27" t="b">
        <v>0</v>
      </c>
    </row>
    <row r="28" spans="1:8" x14ac:dyDescent="0.15">
      <c r="A28">
        <v>226</v>
      </c>
      <c r="B28">
        <v>27</v>
      </c>
      <c r="C28">
        <v>542218.75921875006</v>
      </c>
      <c r="D28">
        <v>568110.70358097309</v>
      </c>
      <c r="E28">
        <v>1.0252088338755281E-5</v>
      </c>
      <c r="F28">
        <v>1.0245045541753122E-5</v>
      </c>
      <c r="G28">
        <v>7.0427970021584753E-9</v>
      </c>
      <c r="H28" t="b">
        <v>0</v>
      </c>
    </row>
    <row r="29" spans="1:8" x14ac:dyDescent="0.15">
      <c r="A29">
        <v>226</v>
      </c>
      <c r="B29">
        <v>28</v>
      </c>
      <c r="C29">
        <v>542216.32921875</v>
      </c>
      <c r="D29">
        <v>546561.26975103596</v>
      </c>
      <c r="E29">
        <v>1.0251821619492865E-5</v>
      </c>
      <c r="F29">
        <v>1.0245045541753122E-5</v>
      </c>
      <c r="G29">
        <v>6.7760777397426938E-9</v>
      </c>
      <c r="H29" t="b">
        <v>0</v>
      </c>
    </row>
    <row r="30" spans="1:8" x14ac:dyDescent="0.15">
      <c r="A30">
        <v>227</v>
      </c>
      <c r="B30">
        <v>1</v>
      </c>
      <c r="C30">
        <v>6050000</v>
      </c>
      <c r="D30">
        <v>3247843653546.1436</v>
      </c>
      <c r="E30">
        <v>3.2324414374425387E-3</v>
      </c>
      <c r="F30">
        <v>1.1766913551754504E-5</v>
      </c>
      <c r="G30">
        <v>3.2206745238907842E-3</v>
      </c>
      <c r="H30" t="b">
        <v>0</v>
      </c>
    </row>
    <row r="31" spans="1:8" x14ac:dyDescent="0.15">
      <c r="A31">
        <v>227</v>
      </c>
      <c r="B31">
        <v>2</v>
      </c>
      <c r="C31">
        <v>3075000</v>
      </c>
      <c r="D31">
        <v>-34995.262260721953</v>
      </c>
      <c r="E31">
        <v>-4.2870382858128048E-6</v>
      </c>
      <c r="F31">
        <v>1.1766913551754385E-5</v>
      </c>
      <c r="G31">
        <v>-1.605395183756719E-5</v>
      </c>
      <c r="H31" t="b">
        <v>1</v>
      </c>
    </row>
    <row r="32" spans="1:8" x14ac:dyDescent="0.15">
      <c r="A32">
        <v>227</v>
      </c>
      <c r="B32">
        <v>3</v>
      </c>
      <c r="C32">
        <v>4562500</v>
      </c>
      <c r="D32">
        <v>-87720626.151135504</v>
      </c>
      <c r="E32">
        <v>9.518752421156953E-6</v>
      </c>
      <c r="F32">
        <v>1.1766913551754383E-5</v>
      </c>
      <c r="G32">
        <v>-2.2481611305974303E-6</v>
      </c>
      <c r="H32" t="b">
        <v>1</v>
      </c>
    </row>
    <row r="33" spans="1:8" x14ac:dyDescent="0.15">
      <c r="A33">
        <v>227</v>
      </c>
      <c r="B33">
        <v>4</v>
      </c>
      <c r="C33">
        <v>5306250</v>
      </c>
      <c r="D33">
        <v>107028416799.13631</v>
      </c>
      <c r="E33">
        <v>2.3982685077493523E-4</v>
      </c>
      <c r="F33">
        <v>1.1766913551754395E-5</v>
      </c>
      <c r="G33">
        <v>2.2805993722318084E-4</v>
      </c>
      <c r="H33" t="b">
        <v>0</v>
      </c>
    </row>
    <row r="34" spans="1:8" x14ac:dyDescent="0.15">
      <c r="A34">
        <v>227</v>
      </c>
      <c r="B34">
        <v>5</v>
      </c>
      <c r="C34">
        <v>4934375</v>
      </c>
      <c r="D34">
        <v>10008938522.94104</v>
      </c>
      <c r="E34">
        <v>5.0634812511312067E-5</v>
      </c>
      <c r="F34">
        <v>1.1766913551754382E-5</v>
      </c>
      <c r="G34">
        <v>3.8867898959557685E-5</v>
      </c>
      <c r="H34" t="b">
        <v>0</v>
      </c>
    </row>
    <row r="35" spans="1:8" x14ac:dyDescent="0.15">
      <c r="A35">
        <v>227</v>
      </c>
      <c r="B35">
        <v>6</v>
      </c>
      <c r="C35">
        <v>4748437.5</v>
      </c>
      <c r="D35">
        <v>1576930282.1428027</v>
      </c>
      <c r="E35">
        <v>2.1403685154260013E-5</v>
      </c>
      <c r="F35">
        <v>1.1766913551754383E-5</v>
      </c>
      <c r="G35">
        <v>9.6367716025056294E-6</v>
      </c>
      <c r="H35" t="b">
        <v>0</v>
      </c>
    </row>
    <row r="36" spans="1:8" x14ac:dyDescent="0.15">
      <c r="A36">
        <v>227</v>
      </c>
      <c r="B36">
        <v>7</v>
      </c>
      <c r="C36">
        <v>4655468.75</v>
      </c>
      <c r="D36">
        <v>177334177.02215922</v>
      </c>
      <c r="E36">
        <v>1.3585392978952627E-5</v>
      </c>
      <c r="F36">
        <v>1.1766913551754383E-5</v>
      </c>
      <c r="G36">
        <v>1.8184794271982435E-6</v>
      </c>
      <c r="H36" t="b">
        <v>0</v>
      </c>
    </row>
    <row r="37" spans="1:8" x14ac:dyDescent="0.15">
      <c r="A37">
        <v>227</v>
      </c>
      <c r="B37">
        <v>8</v>
      </c>
      <c r="C37">
        <v>4608984.375</v>
      </c>
      <c r="D37">
        <v>-58113025.572934844</v>
      </c>
      <c r="E37">
        <v>1.0753748429587213E-5</v>
      </c>
      <c r="F37">
        <v>1.1766913551754383E-5</v>
      </c>
      <c r="G37">
        <v>-1.0131651221671706E-6</v>
      </c>
      <c r="H37" t="b">
        <v>1</v>
      </c>
    </row>
    <row r="38" spans="1:8" x14ac:dyDescent="0.15">
      <c r="A38">
        <v>227</v>
      </c>
      <c r="B38">
        <v>9</v>
      </c>
      <c r="C38">
        <v>4632226.5625</v>
      </c>
      <c r="D38">
        <v>25079102.559226409</v>
      </c>
      <c r="E38">
        <v>1.2093603009470833E-5</v>
      </c>
      <c r="F38">
        <v>1.1766913551754383E-5</v>
      </c>
      <c r="G38">
        <v>3.2668945771645007E-7</v>
      </c>
      <c r="H38" t="b">
        <v>0</v>
      </c>
    </row>
    <row r="39" spans="1:8" x14ac:dyDescent="0.15">
      <c r="A39">
        <v>227</v>
      </c>
      <c r="B39">
        <v>10</v>
      </c>
      <c r="C39">
        <v>4620605.46875</v>
      </c>
      <c r="D39">
        <v>-24167087.949649472</v>
      </c>
      <c r="E39">
        <v>1.1405586193728342E-5</v>
      </c>
      <c r="F39">
        <v>1.1766913551754383E-5</v>
      </c>
      <c r="G39">
        <v>-3.6132735802604093E-7</v>
      </c>
      <c r="H39" t="b">
        <v>1</v>
      </c>
    </row>
    <row r="40" spans="1:8" x14ac:dyDescent="0.15">
      <c r="A40">
        <v>227</v>
      </c>
      <c r="B40">
        <v>11</v>
      </c>
      <c r="C40">
        <v>4626416.015625</v>
      </c>
      <c r="D40">
        <v>-1575911.8056700032</v>
      </c>
      <c r="E40">
        <v>1.1744959643469457E-5</v>
      </c>
      <c r="F40">
        <v>1.1766913551754383E-5</v>
      </c>
      <c r="G40">
        <v>-2.1953908284925839E-8</v>
      </c>
      <c r="H40" t="b">
        <v>1</v>
      </c>
    </row>
    <row r="41" spans="1:8" x14ac:dyDescent="0.15">
      <c r="A41">
        <v>227</v>
      </c>
      <c r="B41">
        <v>12</v>
      </c>
      <c r="C41">
        <v>4629321.2890625</v>
      </c>
      <c r="D41">
        <v>11228449.611283539</v>
      </c>
      <c r="E41">
        <v>1.1918108949436217E-5</v>
      </c>
      <c r="F41">
        <v>1.1766913551754383E-5</v>
      </c>
      <c r="G41">
        <v>1.5119539768183406E-7</v>
      </c>
      <c r="H41" t="b">
        <v>0</v>
      </c>
    </row>
    <row r="42" spans="1:8" x14ac:dyDescent="0.15">
      <c r="A42">
        <v>227</v>
      </c>
      <c r="B42">
        <v>13</v>
      </c>
      <c r="C42">
        <v>4627868.65234375</v>
      </c>
      <c r="D42">
        <v>4697419.1887796558</v>
      </c>
      <c r="E42">
        <v>1.1831243291554167E-5</v>
      </c>
      <c r="F42">
        <v>1.1766913551754383E-5</v>
      </c>
      <c r="G42">
        <v>6.4329739799783703E-8</v>
      </c>
      <c r="H42" t="b">
        <v>0</v>
      </c>
    </row>
    <row r="43" spans="1:8" x14ac:dyDescent="0.15">
      <c r="A43">
        <v>227</v>
      </c>
      <c r="B43">
        <v>14</v>
      </c>
      <c r="C43">
        <v>4626668.65234375</v>
      </c>
      <c r="D43">
        <v>-503181.5740552693</v>
      </c>
      <c r="E43">
        <v>1.1759924696930362E-5</v>
      </c>
      <c r="F43">
        <v>1.1766913551754383E-5</v>
      </c>
      <c r="G43">
        <v>-6.9888548240212958E-9</v>
      </c>
      <c r="H43" t="b">
        <v>1</v>
      </c>
    </row>
    <row r="44" spans="1:8" x14ac:dyDescent="0.15">
      <c r="A44">
        <v>227</v>
      </c>
      <c r="B44">
        <v>15</v>
      </c>
      <c r="C44">
        <v>4627268.65234375</v>
      </c>
      <c r="D44">
        <v>2075207.5467150109</v>
      </c>
      <c r="E44">
        <v>1.1795533603468026E-5</v>
      </c>
      <c r="F44">
        <v>1.1766913551754383E-5</v>
      </c>
      <c r="G44">
        <v>2.8620051713643073E-8</v>
      </c>
      <c r="H44" t="b">
        <v>0</v>
      </c>
    </row>
    <row r="45" spans="1:8" x14ac:dyDescent="0.15">
      <c r="A45">
        <v>227</v>
      </c>
      <c r="B45">
        <v>16</v>
      </c>
      <c r="C45">
        <v>4627988.65234375</v>
      </c>
      <c r="D45">
        <v>5227058.3830228709</v>
      </c>
      <c r="E45">
        <v>1.1838396186907643E-5</v>
      </c>
      <c r="F45">
        <v>1.1766913551754383E-5</v>
      </c>
      <c r="G45">
        <v>7.1482635153259473E-8</v>
      </c>
      <c r="H45" t="b">
        <v>0</v>
      </c>
    </row>
    <row r="46" spans="1:8" x14ac:dyDescent="0.15">
      <c r="A46">
        <v>227</v>
      </c>
      <c r="B46">
        <v>17</v>
      </c>
      <c r="C46">
        <v>4627628.65234375</v>
      </c>
      <c r="D46">
        <v>3643237.0017867791</v>
      </c>
      <c r="E46">
        <v>1.1816947016091057E-5</v>
      </c>
      <c r="F46">
        <v>1.1766913551754383E-5</v>
      </c>
      <c r="G46">
        <v>5.003346433667336E-8</v>
      </c>
      <c r="H46" t="b">
        <v>0</v>
      </c>
    </row>
    <row r="47" spans="1:8" x14ac:dyDescent="0.15">
      <c r="A47">
        <v>227</v>
      </c>
      <c r="B47">
        <v>18</v>
      </c>
      <c r="C47">
        <v>4627808.65234375</v>
      </c>
      <c r="D47">
        <v>4433170.0770714795</v>
      </c>
      <c r="E47">
        <v>1.1827667128331004E-5</v>
      </c>
      <c r="F47">
        <v>1.1766913551754383E-5</v>
      </c>
      <c r="G47">
        <v>6.0753576576620709E-8</v>
      </c>
      <c r="H47" t="b">
        <v>0</v>
      </c>
    </row>
    <row r="48" spans="1:8" x14ac:dyDescent="0.15">
      <c r="A48">
        <v>227</v>
      </c>
      <c r="B48">
        <v>19</v>
      </c>
      <c r="C48">
        <v>4628024.65234375</v>
      </c>
      <c r="D48">
        <v>5386311.3102946244</v>
      </c>
      <c r="E48">
        <v>1.1840543072780795E-5</v>
      </c>
      <c r="F48">
        <v>1.1766913551754383E-5</v>
      </c>
      <c r="G48">
        <v>7.3629521026411613E-8</v>
      </c>
      <c r="H48" t="b">
        <v>0</v>
      </c>
    </row>
    <row r="49" spans="1:8" x14ac:dyDescent="0.15">
      <c r="A49">
        <v>227</v>
      </c>
      <c r="B49">
        <v>20</v>
      </c>
      <c r="C49">
        <v>4627916.65234375</v>
      </c>
      <c r="D49">
        <v>4909027.9686976038</v>
      </c>
      <c r="E49">
        <v>1.1834103489481799E-5</v>
      </c>
      <c r="F49">
        <v>1.1766913551754383E-5</v>
      </c>
      <c r="G49">
        <v>6.7189937727416005E-8</v>
      </c>
      <c r="H49" t="b">
        <v>0</v>
      </c>
    </row>
    <row r="50" spans="1:8" x14ac:dyDescent="0.15">
      <c r="A50">
        <v>227</v>
      </c>
      <c r="B50">
        <v>21</v>
      </c>
      <c r="C50">
        <v>4627787.0523437504</v>
      </c>
      <c r="D50">
        <v>4338169.4148376742</v>
      </c>
      <c r="E50">
        <v>1.1826380242629606E-5</v>
      </c>
      <c r="F50">
        <v>1.1766913551754383E-5</v>
      </c>
      <c r="G50">
        <v>5.9466690875222309E-8</v>
      </c>
      <c r="H50" t="b">
        <v>0</v>
      </c>
    </row>
    <row r="51" spans="1:8" x14ac:dyDescent="0.15">
      <c r="A51">
        <v>227</v>
      </c>
      <c r="B51">
        <v>22</v>
      </c>
      <c r="C51">
        <v>4627851.8523437502</v>
      </c>
      <c r="D51">
        <v>4623342.2800324308</v>
      </c>
      <c r="E51">
        <v>1.1830241286227454E-5</v>
      </c>
      <c r="F51">
        <v>1.1766913551754383E-5</v>
      </c>
      <c r="G51">
        <v>6.3327734473070347E-8</v>
      </c>
      <c r="H51" t="b">
        <v>0</v>
      </c>
    </row>
    <row r="52" spans="1:8" x14ac:dyDescent="0.15">
      <c r="A52">
        <v>228</v>
      </c>
      <c r="B52">
        <v>1</v>
      </c>
      <c r="C52">
        <v>6050000</v>
      </c>
      <c r="D52">
        <v>44547224598386.297</v>
      </c>
      <c r="E52">
        <v>2.0690335622355584E-2</v>
      </c>
      <c r="F52">
        <v>9.6730346997239702E-6</v>
      </c>
      <c r="G52">
        <v>2.068066258765586E-2</v>
      </c>
      <c r="H52" t="b">
        <v>0</v>
      </c>
    </row>
    <row r="53" spans="1:8" x14ac:dyDescent="0.15">
      <c r="A53">
        <v>228</v>
      </c>
      <c r="B53">
        <v>2</v>
      </c>
      <c r="C53">
        <v>3075000</v>
      </c>
      <c r="D53">
        <v>1991819723475.5088</v>
      </c>
      <c r="E53">
        <v>1.7134114552121282E-3</v>
      </c>
      <c r="F53">
        <v>9.6730346997241871E-6</v>
      </c>
      <c r="G53">
        <v>1.703738420512404E-3</v>
      </c>
      <c r="H53" t="b">
        <v>0</v>
      </c>
    </row>
    <row r="54" spans="1:8" x14ac:dyDescent="0.15">
      <c r="A54">
        <v>228</v>
      </c>
      <c r="B54">
        <v>3</v>
      </c>
      <c r="C54">
        <v>1587500</v>
      </c>
      <c r="D54">
        <v>12948823693.968922</v>
      </c>
      <c r="E54">
        <v>4.6931852622954154E-5</v>
      </c>
      <c r="F54">
        <v>9.6730346997241532E-6</v>
      </c>
      <c r="G54">
        <v>3.7258817923230001E-5</v>
      </c>
      <c r="H54" t="b">
        <v>0</v>
      </c>
    </row>
    <row r="55" spans="1:8" x14ac:dyDescent="0.15">
      <c r="A55">
        <v>228</v>
      </c>
      <c r="B55">
        <v>4</v>
      </c>
      <c r="C55">
        <v>843750</v>
      </c>
      <c r="D55">
        <v>-222457.86727514799</v>
      </c>
      <c r="E55">
        <v>9.7083984847317167E-7</v>
      </c>
      <c r="F55">
        <v>9.6730346997241498E-6</v>
      </c>
      <c r="G55">
        <v>-8.7021948512509779E-6</v>
      </c>
      <c r="H55" t="b">
        <v>1</v>
      </c>
    </row>
    <row r="56" spans="1:8" x14ac:dyDescent="0.15">
      <c r="A56">
        <v>228</v>
      </c>
      <c r="B56">
        <v>5</v>
      </c>
      <c r="C56">
        <v>1215625</v>
      </c>
      <c r="D56">
        <v>-75567817.167164966</v>
      </c>
      <c r="E56">
        <v>7.1727434032484042E-6</v>
      </c>
      <c r="F56">
        <v>9.6730346997241498E-6</v>
      </c>
      <c r="G56">
        <v>-2.5002912964757456E-6</v>
      </c>
      <c r="H56" t="b">
        <v>1</v>
      </c>
    </row>
    <row r="57" spans="1:8" x14ac:dyDescent="0.15">
      <c r="A57">
        <v>228</v>
      </c>
      <c r="B57">
        <v>6</v>
      </c>
      <c r="C57">
        <v>1401562.5</v>
      </c>
      <c r="D57">
        <v>1780875678.6345513</v>
      </c>
      <c r="E57">
        <v>1.8107995831327045E-5</v>
      </c>
      <c r="F57">
        <v>9.6730346997241498E-6</v>
      </c>
      <c r="G57">
        <v>8.4349611316028955E-6</v>
      </c>
      <c r="H57" t="b">
        <v>0</v>
      </c>
    </row>
    <row r="58" spans="1:8" x14ac:dyDescent="0.15">
      <c r="A58">
        <v>228</v>
      </c>
      <c r="B58">
        <v>7</v>
      </c>
      <c r="C58">
        <v>1308593.75</v>
      </c>
      <c r="D58">
        <v>49317597.494689144</v>
      </c>
      <c r="E58">
        <v>1.0190855031521309E-5</v>
      </c>
      <c r="F58">
        <v>9.6730346997241498E-6</v>
      </c>
      <c r="G58">
        <v>5.1782033179715933E-7</v>
      </c>
      <c r="H58" t="b">
        <v>0</v>
      </c>
    </row>
    <row r="59" spans="1:8" x14ac:dyDescent="0.15">
      <c r="A59">
        <v>228</v>
      </c>
      <c r="B59">
        <v>8</v>
      </c>
      <c r="C59">
        <v>1262109.375</v>
      </c>
      <c r="D59">
        <v>-69750325.048352405</v>
      </c>
      <c r="E59">
        <v>8.4785565044711411E-6</v>
      </c>
      <c r="F59">
        <v>9.6730346997241498E-6</v>
      </c>
      <c r="G59">
        <v>-1.1944781952530087E-6</v>
      </c>
      <c r="H59" t="b">
        <v>1</v>
      </c>
    </row>
    <row r="60" spans="1:8" x14ac:dyDescent="0.15">
      <c r="A60">
        <v>228</v>
      </c>
      <c r="B60">
        <v>9</v>
      </c>
      <c r="C60">
        <v>1285351.5625</v>
      </c>
      <c r="D60">
        <v>-36358656.554982625</v>
      </c>
      <c r="E60">
        <v>9.17919987534404E-6</v>
      </c>
      <c r="F60">
        <v>9.6730346997241498E-6</v>
      </c>
      <c r="G60">
        <v>-4.9383482438010979E-7</v>
      </c>
      <c r="H60" t="b">
        <v>1</v>
      </c>
    </row>
    <row r="61" spans="1:8" x14ac:dyDescent="0.15">
      <c r="A61">
        <v>228</v>
      </c>
      <c r="B61">
        <v>10</v>
      </c>
      <c r="C61">
        <v>1296972.65625</v>
      </c>
      <c r="D61">
        <v>-10717618.328257166</v>
      </c>
      <c r="E61">
        <v>9.5414131750076206E-6</v>
      </c>
      <c r="F61">
        <v>9.6730346997241498E-6</v>
      </c>
      <c r="G61">
        <v>-1.3162152471652918E-7</v>
      </c>
      <c r="H61" t="b">
        <v>1</v>
      </c>
    </row>
    <row r="62" spans="1:8" x14ac:dyDescent="0.15">
      <c r="A62">
        <v>228</v>
      </c>
      <c r="B62">
        <v>11</v>
      </c>
      <c r="C62">
        <v>1302783.203125</v>
      </c>
      <c r="D62">
        <v>11467831.484762277</v>
      </c>
      <c r="E62">
        <v>9.8047608091392481E-6</v>
      </c>
      <c r="F62">
        <v>9.6730346997241498E-6</v>
      </c>
      <c r="G62">
        <v>1.3172610941509834E-7</v>
      </c>
      <c r="H62" t="b">
        <v>0</v>
      </c>
    </row>
    <row r="63" spans="1:8" x14ac:dyDescent="0.15">
      <c r="A63">
        <v>228</v>
      </c>
      <c r="B63">
        <v>12</v>
      </c>
      <c r="C63">
        <v>1299877.9296875</v>
      </c>
      <c r="D63">
        <v>-3321796.3589725071</v>
      </c>
      <c r="E63">
        <v>9.6332023232616845E-6</v>
      </c>
      <c r="F63">
        <v>9.6730346997241498E-6</v>
      </c>
      <c r="G63">
        <v>-3.9832376462465321E-8</v>
      </c>
      <c r="H63" t="b">
        <v>1</v>
      </c>
    </row>
    <row r="64" spans="1:8" x14ac:dyDescent="0.15">
      <c r="A64">
        <v>228</v>
      </c>
      <c r="B64">
        <v>13</v>
      </c>
      <c r="C64">
        <v>1301330.56640625</v>
      </c>
      <c r="D64">
        <v>3146193.5433873073</v>
      </c>
      <c r="E64">
        <v>9.7100325586265646E-6</v>
      </c>
      <c r="F64">
        <v>9.6730346997241498E-6</v>
      </c>
      <c r="G64">
        <v>3.6997858902414806E-8</v>
      </c>
      <c r="H64" t="b">
        <v>0</v>
      </c>
    </row>
    <row r="65" spans="1:8" x14ac:dyDescent="0.15">
      <c r="A65">
        <v>228</v>
      </c>
      <c r="B65">
        <v>14</v>
      </c>
      <c r="C65">
        <v>1300130.56640625</v>
      </c>
      <c r="D65">
        <v>-2659665.9061346035</v>
      </c>
      <c r="E65">
        <v>9.6412074552856752E-6</v>
      </c>
      <c r="F65">
        <v>9.6730346997241498E-6</v>
      </c>
      <c r="G65">
        <v>-3.1827244438474648E-8</v>
      </c>
      <c r="H65" t="b">
        <v>1</v>
      </c>
    </row>
    <row r="66" spans="1:8" x14ac:dyDescent="0.15">
      <c r="A66">
        <v>228</v>
      </c>
      <c r="B66">
        <v>15</v>
      </c>
      <c r="C66">
        <v>1300730.56640625</v>
      </c>
      <c r="D66">
        <v>-161697.77658043173</v>
      </c>
      <c r="E66">
        <v>9.671114422384927E-6</v>
      </c>
      <c r="F66">
        <v>9.6730346997241498E-6</v>
      </c>
      <c r="G66">
        <v>-1.9202773392228308E-9</v>
      </c>
      <c r="H66" t="b">
        <v>1</v>
      </c>
    </row>
    <row r="67" spans="1:8" x14ac:dyDescent="0.15">
      <c r="A67">
        <v>228</v>
      </c>
      <c r="B67">
        <v>16</v>
      </c>
      <c r="C67">
        <v>1301330.56640625</v>
      </c>
      <c r="D67">
        <v>3146193.5433873073</v>
      </c>
      <c r="E67">
        <v>9.7100325586265646E-6</v>
      </c>
      <c r="F67">
        <v>9.6730346997241498E-6</v>
      </c>
      <c r="G67">
        <v>3.6997858902414806E-8</v>
      </c>
      <c r="H67" t="b">
        <v>0</v>
      </c>
    </row>
    <row r="68" spans="1:8" x14ac:dyDescent="0.15">
      <c r="A68">
        <v>228</v>
      </c>
      <c r="B68">
        <v>17</v>
      </c>
      <c r="C68">
        <v>1301030.56640625</v>
      </c>
      <c r="D68">
        <v>1482829.8308542795</v>
      </c>
      <c r="E68">
        <v>9.69055787392795E-6</v>
      </c>
      <c r="F68">
        <v>9.6730346997241498E-6</v>
      </c>
      <c r="G68">
        <v>1.752317420380019E-8</v>
      </c>
      <c r="H68" t="b">
        <v>0</v>
      </c>
    </row>
    <row r="69" spans="1:8" x14ac:dyDescent="0.15">
      <c r="A69">
        <v>228</v>
      </c>
      <c r="B69">
        <v>18</v>
      </c>
      <c r="C69">
        <v>1300670.56640625</v>
      </c>
      <c r="D69">
        <v>-488453.2897459793</v>
      </c>
      <c r="E69">
        <v>9.6672282354886215E-6</v>
      </c>
      <c r="F69">
        <v>9.6730346997241498E-6</v>
      </c>
      <c r="G69">
        <v>-5.8064642355282658E-9</v>
      </c>
      <c r="H69" t="b">
        <v>1</v>
      </c>
    </row>
    <row r="70" spans="1:8" x14ac:dyDescent="0.15">
      <c r="A70">
        <v>228</v>
      </c>
      <c r="B70">
        <v>19</v>
      </c>
      <c r="C70">
        <v>1300850.56640625</v>
      </c>
      <c r="D70">
        <v>493819.04422656767</v>
      </c>
      <c r="E70">
        <v>9.6788876041851073E-6</v>
      </c>
      <c r="F70">
        <v>9.6730346997241498E-6</v>
      </c>
      <c r="G70">
        <v>5.8529044609575157E-9</v>
      </c>
      <c r="H70" t="b">
        <v>0</v>
      </c>
    </row>
    <row r="71" spans="1:8" x14ac:dyDescent="0.15">
      <c r="A71">
        <v>228</v>
      </c>
      <c r="B71">
        <v>20</v>
      </c>
      <c r="C71">
        <v>1301066.56640625</v>
      </c>
      <c r="D71">
        <v>1681522.0122708569</v>
      </c>
      <c r="E71">
        <v>9.6928941785388517E-6</v>
      </c>
      <c r="F71">
        <v>9.6730346997241498E-6</v>
      </c>
      <c r="G71">
        <v>1.9859478814701891E-8</v>
      </c>
      <c r="H71" t="b">
        <v>0</v>
      </c>
    </row>
    <row r="72" spans="1:8" x14ac:dyDescent="0.15">
      <c r="A72">
        <v>228</v>
      </c>
      <c r="B72">
        <v>21</v>
      </c>
      <c r="C72">
        <v>1300958.56640625</v>
      </c>
      <c r="D72">
        <v>1086416.0255298482</v>
      </c>
      <c r="E72">
        <v>9.6858884579003603E-6</v>
      </c>
      <c r="F72">
        <v>9.6730346997241498E-6</v>
      </c>
      <c r="G72">
        <v>1.2853758176210474E-8</v>
      </c>
      <c r="H72" t="b">
        <v>0</v>
      </c>
    </row>
    <row r="73" spans="1:8" x14ac:dyDescent="0.15">
      <c r="A73">
        <v>228</v>
      </c>
      <c r="B73">
        <v>22</v>
      </c>
      <c r="C73">
        <v>1301012.56640625</v>
      </c>
      <c r="D73">
        <v>1383705.1482938868</v>
      </c>
      <c r="E73">
        <v>9.6893912983790052E-6</v>
      </c>
      <c r="F73">
        <v>9.6730346997241498E-6</v>
      </c>
      <c r="G73">
        <v>1.6356598654855429E-8</v>
      </c>
      <c r="H73" t="b">
        <v>0</v>
      </c>
    </row>
    <row r="74" spans="1:8" x14ac:dyDescent="0.15">
      <c r="A74">
        <v>228</v>
      </c>
      <c r="B74">
        <v>23</v>
      </c>
      <c r="C74">
        <v>1300985.56640625</v>
      </c>
      <c r="D74">
        <v>1234944.6527622249</v>
      </c>
      <c r="E74">
        <v>9.6876392844832916E-6</v>
      </c>
      <c r="F74">
        <v>9.6730346997241498E-6</v>
      </c>
      <c r="G74">
        <v>1.4604584759141782E-8</v>
      </c>
      <c r="H74" t="b">
        <v>0</v>
      </c>
    </row>
    <row r="75" spans="1:8" x14ac:dyDescent="0.15">
      <c r="A75">
        <v>228</v>
      </c>
      <c r="B75">
        <v>24</v>
      </c>
      <c r="C75">
        <v>1300999.06640625</v>
      </c>
      <c r="D75">
        <v>1309265.9066939107</v>
      </c>
      <c r="E75">
        <v>9.6885147897630291E-6</v>
      </c>
      <c r="F75">
        <v>9.6730346997241498E-6</v>
      </c>
      <c r="G75">
        <v>1.5480090038879328E-8</v>
      </c>
      <c r="H75" t="b">
        <v>0</v>
      </c>
    </row>
    <row r="76" spans="1:8" x14ac:dyDescent="0.15">
      <c r="A76">
        <v>229</v>
      </c>
      <c r="B76">
        <v>1</v>
      </c>
      <c r="C76">
        <v>6050000</v>
      </c>
      <c r="D76">
        <v>-16096.263124417019</v>
      </c>
      <c r="E76">
        <v>-2.7465323383888903E-6</v>
      </c>
      <c r="F76">
        <v>2.1640259321950971E-6</v>
      </c>
      <c r="G76">
        <v>-4.9105582705839874E-6</v>
      </c>
      <c r="H76" t="b">
        <v>1</v>
      </c>
    </row>
    <row r="77" spans="1:8" x14ac:dyDescent="0.15">
      <c r="A77">
        <v>229</v>
      </c>
      <c r="B77">
        <v>2</v>
      </c>
      <c r="C77">
        <v>9025000</v>
      </c>
      <c r="D77">
        <v>-150323.09669641155</v>
      </c>
      <c r="E77">
        <v>-2.9962710158160486E-7</v>
      </c>
      <c r="F77">
        <v>2.1640259321950971E-6</v>
      </c>
      <c r="G77">
        <v>-2.4636530337767021E-6</v>
      </c>
      <c r="H77" t="b">
        <v>1</v>
      </c>
    </row>
    <row r="78" spans="1:8" x14ac:dyDescent="0.15">
      <c r="A78">
        <v>229</v>
      </c>
      <c r="B78">
        <v>3</v>
      </c>
      <c r="C78">
        <v>10512500</v>
      </c>
      <c r="D78">
        <v>-624254.61638505186</v>
      </c>
      <c r="E78">
        <v>4.0494510833185557E-7</v>
      </c>
      <c r="F78">
        <v>2.1640259321950971E-6</v>
      </c>
      <c r="G78">
        <v>-1.7590808238632416E-6</v>
      </c>
      <c r="H78" t="b">
        <v>1</v>
      </c>
    </row>
    <row r="79" spans="1:8" x14ac:dyDescent="0.15">
      <c r="A79">
        <v>229</v>
      </c>
      <c r="B79">
        <v>4</v>
      </c>
      <c r="C79">
        <v>11256250</v>
      </c>
      <c r="D79">
        <v>-1429828.9646840168</v>
      </c>
      <c r="E79">
        <v>6.8751993117426387E-7</v>
      </c>
      <c r="F79">
        <v>2.1640259321950971E-6</v>
      </c>
      <c r="G79">
        <v>-1.4765060010208332E-6</v>
      </c>
      <c r="H79" t="b">
        <v>1</v>
      </c>
    </row>
    <row r="80" spans="1:8" x14ac:dyDescent="0.15">
      <c r="A80">
        <v>229</v>
      </c>
      <c r="B80">
        <v>5</v>
      </c>
      <c r="C80">
        <v>11628125</v>
      </c>
      <c r="D80">
        <v>-2221015.1543040411</v>
      </c>
      <c r="E80">
        <v>8.1754752220066467E-7</v>
      </c>
      <c r="F80">
        <v>2.1640259321950971E-6</v>
      </c>
      <c r="G80">
        <v>-1.3464784099944324E-6</v>
      </c>
      <c r="H80" t="b">
        <v>1</v>
      </c>
    </row>
    <row r="81" spans="1:8" x14ac:dyDescent="0.15">
      <c r="A81">
        <v>229</v>
      </c>
      <c r="B81">
        <v>6</v>
      </c>
      <c r="C81">
        <v>11814062.5</v>
      </c>
      <c r="D81">
        <v>-2841413.2239543987</v>
      </c>
      <c r="E81">
        <v>8.8663340969597391E-7</v>
      </c>
      <c r="F81">
        <v>2.1640259321950971E-6</v>
      </c>
      <c r="G81">
        <v>-1.2773925224991231E-6</v>
      </c>
      <c r="H81" t="b">
        <v>1</v>
      </c>
    </row>
    <row r="82" spans="1:8" x14ac:dyDescent="0.15">
      <c r="A82">
        <v>229</v>
      </c>
      <c r="B82">
        <v>7</v>
      </c>
      <c r="C82">
        <v>11907031.25</v>
      </c>
      <c r="D82">
        <v>-3239475.7941985112</v>
      </c>
      <c r="E82">
        <v>9.2270582580561084E-7</v>
      </c>
      <c r="F82">
        <v>2.1640259321950971E-6</v>
      </c>
      <c r="G82">
        <v>-1.2413201063894863E-6</v>
      </c>
      <c r="H82" t="b">
        <v>1</v>
      </c>
    </row>
    <row r="83" spans="1:8" x14ac:dyDescent="0.15">
      <c r="A83">
        <v>229</v>
      </c>
      <c r="B83">
        <v>8</v>
      </c>
      <c r="C83">
        <v>11953515.625</v>
      </c>
      <c r="D83">
        <v>-3465487.1899075964</v>
      </c>
      <c r="E83">
        <v>9.4112691752571618E-7</v>
      </c>
      <c r="F83">
        <v>2.1640259321950971E-6</v>
      </c>
      <c r="G83">
        <v>-1.2228990146693809E-6</v>
      </c>
      <c r="H83" t="b">
        <v>1</v>
      </c>
    </row>
    <row r="84" spans="1:8" x14ac:dyDescent="0.15">
      <c r="A84">
        <v>229</v>
      </c>
      <c r="B84">
        <v>9</v>
      </c>
      <c r="C84">
        <v>11976757.8125</v>
      </c>
      <c r="D84">
        <v>-3585972.8766389661</v>
      </c>
      <c r="E84">
        <v>9.5043466546738654E-7</v>
      </c>
      <c r="F84">
        <v>2.1640259321950971E-6</v>
      </c>
      <c r="G84">
        <v>-1.2135912667277106E-6</v>
      </c>
      <c r="H84" t="b">
        <v>1</v>
      </c>
    </row>
    <row r="85" spans="1:8" x14ac:dyDescent="0.15">
      <c r="A85">
        <v>229</v>
      </c>
      <c r="B85">
        <v>10</v>
      </c>
      <c r="C85">
        <v>11988378.90625</v>
      </c>
      <c r="D85">
        <v>-3648183.4618828911</v>
      </c>
      <c r="E85">
        <v>9.551128904641797E-7</v>
      </c>
      <c r="F85">
        <v>2.1640259321950971E-6</v>
      </c>
      <c r="G85">
        <v>-1.2089130417309174E-6</v>
      </c>
      <c r="H85" t="b">
        <v>1</v>
      </c>
    </row>
    <row r="86" spans="1:8" x14ac:dyDescent="0.15">
      <c r="A86">
        <v>229</v>
      </c>
      <c r="B86">
        <v>11</v>
      </c>
      <c r="C86">
        <v>11994189.453125</v>
      </c>
      <c r="D86">
        <v>-3679793.3433026616</v>
      </c>
      <c r="E86">
        <v>9.5745809818170401E-7</v>
      </c>
      <c r="F86">
        <v>2.1640259321950971E-6</v>
      </c>
      <c r="G86">
        <v>-1.2065678340133931E-6</v>
      </c>
      <c r="H86" t="b">
        <v>1</v>
      </c>
    </row>
    <row r="87" spans="1:8" x14ac:dyDescent="0.15">
      <c r="A87">
        <v>229</v>
      </c>
      <c r="B87">
        <v>12</v>
      </c>
      <c r="C87">
        <v>11997094.7265625</v>
      </c>
      <c r="D87">
        <v>-3695726.239065256</v>
      </c>
      <c r="E87">
        <v>9.5863224146578827E-7</v>
      </c>
      <c r="F87">
        <v>2.1640259321950971E-6</v>
      </c>
      <c r="G87">
        <v>-1.2053936907293088E-6</v>
      </c>
      <c r="H87" t="b">
        <v>1</v>
      </c>
    </row>
    <row r="88" spans="1:8" x14ac:dyDescent="0.15">
      <c r="A88">
        <v>229</v>
      </c>
      <c r="B88">
        <v>13</v>
      </c>
      <c r="C88">
        <v>11998547.36328125</v>
      </c>
      <c r="D88">
        <v>-3703724.5284570041</v>
      </c>
      <c r="E88">
        <v>9.5921967235233189E-7</v>
      </c>
      <c r="F88">
        <v>2.1640259321950971E-6</v>
      </c>
      <c r="G88">
        <v>-1.2048062598427652E-6</v>
      </c>
      <c r="H88" t="b">
        <v>1</v>
      </c>
    </row>
    <row r="89" spans="1:8" x14ac:dyDescent="0.15">
      <c r="A89">
        <v>229</v>
      </c>
      <c r="B89">
        <v>14</v>
      </c>
      <c r="C89">
        <v>11999547.36328125</v>
      </c>
      <c r="D89">
        <v>-3709243.2096138992</v>
      </c>
      <c r="E89">
        <v>9.5962421961929243E-7</v>
      </c>
      <c r="F89">
        <v>2.1640259321950971E-6</v>
      </c>
      <c r="G89">
        <v>-1.2044017125758047E-6</v>
      </c>
      <c r="H89" t="b">
        <v>1</v>
      </c>
    </row>
    <row r="90" spans="1:8" x14ac:dyDescent="0.15">
      <c r="A90">
        <v>229</v>
      </c>
      <c r="B90">
        <v>15</v>
      </c>
      <c r="C90">
        <v>12000547.36328125</v>
      </c>
      <c r="D90">
        <v>-3714772.3025579755</v>
      </c>
      <c r="E90">
        <v>9.600289021185602E-7</v>
      </c>
      <c r="F90">
        <v>2.1640259321950971E-6</v>
      </c>
      <c r="G90">
        <v>-1.2039970300765369E-6</v>
      </c>
      <c r="H90" t="b">
        <v>1</v>
      </c>
    </row>
    <row r="91" spans="1:8" x14ac:dyDescent="0.15">
      <c r="A91">
        <v>229</v>
      </c>
      <c r="B91">
        <v>16</v>
      </c>
      <c r="C91">
        <v>12001547.36328125</v>
      </c>
      <c r="D91">
        <v>-3720311.2217989648</v>
      </c>
      <c r="E91">
        <v>9.6043367564846875E-7</v>
      </c>
      <c r="F91">
        <v>2.1640259321950971E-6</v>
      </c>
      <c r="G91">
        <v>-1.2035922565466283E-6</v>
      </c>
      <c r="H91" t="b">
        <v>1</v>
      </c>
    </row>
    <row r="92" spans="1:8" x14ac:dyDescent="0.15">
      <c r="A92">
        <v>229</v>
      </c>
      <c r="B92">
        <v>17</v>
      </c>
      <c r="C92">
        <v>12002547.36328125</v>
      </c>
      <c r="D92">
        <v>-3725860.793367221</v>
      </c>
      <c r="E92">
        <v>9.608385991906052E-7</v>
      </c>
      <c r="F92">
        <v>2.1640259321950971E-6</v>
      </c>
      <c r="G92">
        <v>-1.2031873330044919E-6</v>
      </c>
      <c r="H92" t="b">
        <v>1</v>
      </c>
    </row>
    <row r="93" spans="1:8" x14ac:dyDescent="0.15">
      <c r="A93">
        <v>229</v>
      </c>
      <c r="B93">
        <v>18</v>
      </c>
      <c r="C93">
        <v>12003547.36328125</v>
      </c>
      <c r="D93">
        <v>-3731420.2275630292</v>
      </c>
      <c r="E93">
        <v>9.612436137418534E-7</v>
      </c>
      <c r="F93">
        <v>2.1640259321950971E-6</v>
      </c>
      <c r="G93">
        <v>-1.2027823184532437E-6</v>
      </c>
      <c r="H93" t="b">
        <v>1</v>
      </c>
    </row>
    <row r="94" spans="1:8" x14ac:dyDescent="0.15">
      <c r="A94">
        <v>229</v>
      </c>
      <c r="B94">
        <v>19</v>
      </c>
      <c r="C94">
        <v>12004547.36328125</v>
      </c>
      <c r="D94">
        <v>-3736990.1507990654</v>
      </c>
      <c r="E94">
        <v>9.6164876358902883E-7</v>
      </c>
      <c r="F94">
        <v>2.1640259321950971E-6</v>
      </c>
      <c r="G94">
        <v>-1.2023771686060683E-6</v>
      </c>
      <c r="H94" t="b">
        <v>1</v>
      </c>
    </row>
    <row r="95" spans="1:8" x14ac:dyDescent="0.15">
      <c r="A95">
        <v>229</v>
      </c>
      <c r="B95">
        <v>20</v>
      </c>
      <c r="C95">
        <v>12005547.36328125</v>
      </c>
      <c r="D95">
        <v>-3742570.379800152</v>
      </c>
      <c r="E95">
        <v>9.6205403398390869E-7</v>
      </c>
      <c r="F95">
        <v>2.1640259321950971E-6</v>
      </c>
      <c r="G95">
        <v>-1.2019718982111884E-6</v>
      </c>
      <c r="H95" t="b">
        <v>1</v>
      </c>
    </row>
    <row r="96" spans="1:8" x14ac:dyDescent="0.15">
      <c r="A96">
        <v>229</v>
      </c>
      <c r="B96">
        <v>21</v>
      </c>
      <c r="C96">
        <v>12006547.36328125</v>
      </c>
      <c r="D96">
        <v>-3748160.9337482769</v>
      </c>
      <c r="E96">
        <v>9.6245942493705358E-7</v>
      </c>
      <c r="F96">
        <v>2.1640259321950971E-6</v>
      </c>
      <c r="G96">
        <v>-1.2015665072580435E-6</v>
      </c>
      <c r="H96" t="b">
        <v>1</v>
      </c>
    </row>
    <row r="97" spans="1:8" x14ac:dyDescent="0.15">
      <c r="A97">
        <v>229</v>
      </c>
      <c r="B97">
        <v>22</v>
      </c>
      <c r="C97">
        <v>12007547.36328125</v>
      </c>
      <c r="D97">
        <v>-3753761.8624396157</v>
      </c>
      <c r="E97">
        <v>9.6286493645895654E-7</v>
      </c>
      <c r="F97">
        <v>2.1640259321950971E-6</v>
      </c>
      <c r="G97">
        <v>-1.2011609957361406E-6</v>
      </c>
      <c r="H97" t="b">
        <v>1</v>
      </c>
    </row>
    <row r="98" spans="1:8" x14ac:dyDescent="0.15">
      <c r="A98">
        <v>229</v>
      </c>
      <c r="B98">
        <v>23</v>
      </c>
      <c r="C98">
        <v>12008547.36328125</v>
      </c>
      <c r="D98">
        <v>-3759373.3214692511</v>
      </c>
      <c r="E98">
        <v>9.6327058338304849E-7</v>
      </c>
      <c r="F98">
        <v>2.1640259321950971E-6</v>
      </c>
      <c r="G98">
        <v>-1.2007553488120486E-6</v>
      </c>
      <c r="H98" t="b">
        <v>1</v>
      </c>
    </row>
    <row r="99" spans="1:8" x14ac:dyDescent="0.15">
      <c r="A99">
        <v>229</v>
      </c>
      <c r="B99">
        <v>24</v>
      </c>
      <c r="C99">
        <v>12009547.36328125</v>
      </c>
      <c r="D99">
        <v>-3764994.9579244447</v>
      </c>
      <c r="E99">
        <v>9.6367633608472882E-7</v>
      </c>
      <c r="F99">
        <v>2.1640259321950971E-6</v>
      </c>
      <c r="G99">
        <v>-1.2003495961103683E-6</v>
      </c>
      <c r="H99" t="b">
        <v>1</v>
      </c>
    </row>
    <row r="100" spans="1:8" x14ac:dyDescent="0.15">
      <c r="A100">
        <v>229</v>
      </c>
      <c r="B100">
        <v>25</v>
      </c>
      <c r="C100">
        <v>12010547.36328125</v>
      </c>
      <c r="D100">
        <v>-3770627.0425011856</v>
      </c>
      <c r="E100">
        <v>9.6408221274796574E-7</v>
      </c>
      <c r="F100">
        <v>2.1640259321950971E-6</v>
      </c>
      <c r="G100">
        <v>-1.1999437194471314E-6</v>
      </c>
      <c r="H100" t="b">
        <v>1</v>
      </c>
    </row>
    <row r="101" spans="1:8" x14ac:dyDescent="0.15">
      <c r="A101">
        <v>229</v>
      </c>
      <c r="B101">
        <v>26</v>
      </c>
      <c r="C101">
        <v>12011547.36328125</v>
      </c>
      <c r="D101">
        <v>-3776269.4973512138</v>
      </c>
      <c r="E101">
        <v>9.6448820561925957E-7</v>
      </c>
      <c r="F101">
        <v>2.1640259321950971E-6</v>
      </c>
      <c r="G101">
        <v>-1.1995377265758375E-6</v>
      </c>
      <c r="H101" t="b">
        <v>1</v>
      </c>
    </row>
    <row r="102" spans="1:8" x14ac:dyDescent="0.15">
      <c r="A102">
        <v>229</v>
      </c>
      <c r="B102">
        <v>27</v>
      </c>
      <c r="C102">
        <v>12012547.36328125</v>
      </c>
      <c r="D102">
        <v>-3781922.4147159541</v>
      </c>
      <c r="E102">
        <v>9.6489431915920228E-7</v>
      </c>
      <c r="F102">
        <v>2.1640259321950971E-6</v>
      </c>
      <c r="G102">
        <v>-1.1991316130358948E-6</v>
      </c>
      <c r="H102" t="b">
        <v>1</v>
      </c>
    </row>
    <row r="103" spans="1:8" x14ac:dyDescent="0.15">
      <c r="A103">
        <v>229</v>
      </c>
      <c r="B103">
        <v>28</v>
      </c>
      <c r="C103">
        <v>12013547.36328125</v>
      </c>
      <c r="D103">
        <v>-3787585.7513454729</v>
      </c>
      <c r="E103">
        <v>9.6530055337661551E-7</v>
      </c>
      <c r="F103">
        <v>2.1640259321950971E-6</v>
      </c>
      <c r="G103">
        <v>-1.1987253788184816E-6</v>
      </c>
      <c r="H103" t="b">
        <v>1</v>
      </c>
    </row>
    <row r="104" spans="1:8" x14ac:dyDescent="0.15">
      <c r="A104">
        <v>229</v>
      </c>
      <c r="B104">
        <v>29</v>
      </c>
      <c r="C104">
        <v>12014547.36328125</v>
      </c>
      <c r="D104">
        <v>-3793259.8000121377</v>
      </c>
      <c r="E104">
        <v>9.6570692316749837E-7</v>
      </c>
      <c r="F104">
        <v>2.1640259321950971E-6</v>
      </c>
      <c r="G104">
        <v>-1.1983190090275987E-6</v>
      </c>
      <c r="H104" t="b">
        <v>1</v>
      </c>
    </row>
    <row r="105" spans="1:8" x14ac:dyDescent="0.15">
      <c r="A105">
        <v>229</v>
      </c>
      <c r="B105">
        <v>30</v>
      </c>
      <c r="C105">
        <v>12015547.36328125</v>
      </c>
      <c r="D105">
        <v>-3798943.932315547</v>
      </c>
      <c r="E105">
        <v>9.6611338387921777E-7</v>
      </c>
      <c r="F105">
        <v>2.1640259321950971E-6</v>
      </c>
      <c r="G105">
        <v>-1.1979125483158793E-6</v>
      </c>
      <c r="H105" t="b">
        <v>1</v>
      </c>
    </row>
    <row r="106" spans="1:8" x14ac:dyDescent="0.15">
      <c r="A106">
        <v>229</v>
      </c>
      <c r="B106">
        <v>31</v>
      </c>
      <c r="C106">
        <v>12016547.36328125</v>
      </c>
      <c r="D106">
        <v>-3804639.0007662778</v>
      </c>
      <c r="E106">
        <v>9.6651999509082902E-7</v>
      </c>
      <c r="F106">
        <v>2.1640259321950971E-6</v>
      </c>
      <c r="G106">
        <v>-1.1975059371042681E-6</v>
      </c>
      <c r="H106" t="b">
        <v>1</v>
      </c>
    </row>
    <row r="107" spans="1:8" x14ac:dyDescent="0.15">
      <c r="A107">
        <v>229</v>
      </c>
      <c r="B107">
        <v>32</v>
      </c>
      <c r="C107">
        <v>12017547.36328125</v>
      </c>
      <c r="D107">
        <v>-3810344.399342414</v>
      </c>
      <c r="E107">
        <v>9.6692671211739953E-7</v>
      </c>
      <c r="F107">
        <v>2.1640259321950971E-6</v>
      </c>
      <c r="G107">
        <v>-1.1970992200776976E-6</v>
      </c>
      <c r="H107" t="b">
        <v>1</v>
      </c>
    </row>
    <row r="108" spans="1:8" x14ac:dyDescent="0.15">
      <c r="A108">
        <v>229</v>
      </c>
      <c r="B108">
        <v>33</v>
      </c>
      <c r="C108">
        <v>12018547.36328125</v>
      </c>
      <c r="D108">
        <v>-3816060.3560555219</v>
      </c>
      <c r="E108">
        <v>9.6733354986582022E-7</v>
      </c>
      <c r="F108">
        <v>2.1640259321950971E-6</v>
      </c>
      <c r="G108">
        <v>-1.1966923823292769E-6</v>
      </c>
      <c r="H108" t="b">
        <v>1</v>
      </c>
    </row>
    <row r="109" spans="1:8" x14ac:dyDescent="0.15">
      <c r="A109">
        <v>229</v>
      </c>
      <c r="B109">
        <v>34</v>
      </c>
      <c r="C109">
        <v>12019547.36328125</v>
      </c>
      <c r="D109">
        <v>-3821786.6800405234</v>
      </c>
      <c r="E109">
        <v>9.6774049340420401E-7</v>
      </c>
      <c r="F109">
        <v>2.1640259321950971E-6</v>
      </c>
      <c r="G109">
        <v>-1.1962854387908931E-6</v>
      </c>
      <c r="H109" t="b">
        <v>1</v>
      </c>
    </row>
    <row r="110" spans="1:8" x14ac:dyDescent="0.15">
      <c r="A110">
        <v>229</v>
      </c>
      <c r="B110">
        <v>35</v>
      </c>
      <c r="C110">
        <v>12020547.36328125</v>
      </c>
      <c r="D110">
        <v>-3827524.0220797979</v>
      </c>
      <c r="E110">
        <v>9.6814758756429253E-7</v>
      </c>
      <c r="F110">
        <v>2.1640259321950971E-6</v>
      </c>
      <c r="G110">
        <v>-1.1958783446308046E-6</v>
      </c>
      <c r="H110" t="b">
        <v>1</v>
      </c>
    </row>
    <row r="111" spans="1:8" x14ac:dyDescent="0.15">
      <c r="A111">
        <v>229</v>
      </c>
      <c r="B111">
        <v>36</v>
      </c>
      <c r="C111">
        <v>12021547.36328125</v>
      </c>
      <c r="D111">
        <v>-3833271.5257822867</v>
      </c>
      <c r="E111">
        <v>9.685547725697785E-7</v>
      </c>
      <c r="F111">
        <v>2.1640259321950971E-6</v>
      </c>
      <c r="G111">
        <v>-1.1954711596253186E-6</v>
      </c>
      <c r="H111" t="b">
        <v>1</v>
      </c>
    </row>
    <row r="112" spans="1:8" x14ac:dyDescent="0.15">
      <c r="A112">
        <v>229</v>
      </c>
      <c r="B112">
        <v>37</v>
      </c>
      <c r="C112">
        <v>12022547.36328125</v>
      </c>
      <c r="D112">
        <v>-3839029.9061776446</v>
      </c>
      <c r="E112">
        <v>9.6896209328494144E-7</v>
      </c>
      <c r="F112">
        <v>2.1640259321950971E-6</v>
      </c>
      <c r="G112">
        <v>-1.1950638389101557E-6</v>
      </c>
      <c r="H112" t="b">
        <v>1</v>
      </c>
    </row>
    <row r="113" spans="1:8" x14ac:dyDescent="0.15">
      <c r="A113">
        <v>229</v>
      </c>
      <c r="B113">
        <v>38</v>
      </c>
      <c r="C113">
        <v>12023547.36328125</v>
      </c>
      <c r="D113">
        <v>-3844799.1548530734</v>
      </c>
      <c r="E113">
        <v>9.6936954975099906E-7</v>
      </c>
      <c r="F113">
        <v>2.1640259321950971E-6</v>
      </c>
      <c r="G113">
        <v>-1.194656382444098E-6</v>
      </c>
      <c r="H113" t="b">
        <v>1</v>
      </c>
    </row>
    <row r="114" spans="1:8" x14ac:dyDescent="0.15">
      <c r="A114">
        <v>229</v>
      </c>
      <c r="B114">
        <v>39</v>
      </c>
      <c r="C114">
        <v>12024547.36328125</v>
      </c>
      <c r="D114">
        <v>-3850578.8673192565</v>
      </c>
      <c r="E114">
        <v>9.6977711201994572E-7</v>
      </c>
      <c r="F114">
        <v>2.1640259321950971E-6</v>
      </c>
      <c r="G114">
        <v>-1.1942488201751514E-6</v>
      </c>
      <c r="H114" t="b">
        <v>1</v>
      </c>
    </row>
    <row r="115" spans="1:8" x14ac:dyDescent="0.15">
      <c r="A115">
        <v>229</v>
      </c>
      <c r="B115">
        <v>40</v>
      </c>
      <c r="C115">
        <v>12025547.36328125</v>
      </c>
      <c r="D115">
        <v>-3856369.2751264698</v>
      </c>
      <c r="E115">
        <v>9.7018479507408833E-7</v>
      </c>
      <c r="F115">
        <v>2.1640259321950971E-6</v>
      </c>
      <c r="G115">
        <v>-1.1938411371210088E-6</v>
      </c>
      <c r="H115" t="b">
        <v>1</v>
      </c>
    </row>
    <row r="116" spans="1:8" x14ac:dyDescent="0.15">
      <c r="A116">
        <v>229</v>
      </c>
      <c r="B116">
        <v>41</v>
      </c>
      <c r="C116">
        <v>12026547.36328125</v>
      </c>
      <c r="D116">
        <v>-3862170.1842322582</v>
      </c>
      <c r="E116">
        <v>9.7059258390623437E-7</v>
      </c>
      <c r="F116">
        <v>2.1640259321950971E-6</v>
      </c>
      <c r="G116">
        <v>-1.1934333482888627E-6</v>
      </c>
      <c r="H116" t="b">
        <v>1</v>
      </c>
    </row>
    <row r="117" spans="1:8" x14ac:dyDescent="0.15">
      <c r="A117">
        <v>229</v>
      </c>
      <c r="B117">
        <v>42</v>
      </c>
      <c r="C117">
        <v>12027547.36328125</v>
      </c>
      <c r="D117">
        <v>-3867982.041469173</v>
      </c>
      <c r="E117">
        <v>9.7100050854744845E-7</v>
      </c>
      <c r="F117">
        <v>2.1640259321950971E-6</v>
      </c>
      <c r="G117">
        <v>-1.1930254236476486E-6</v>
      </c>
      <c r="H117" t="b">
        <v>1</v>
      </c>
    </row>
    <row r="118" spans="1:8" x14ac:dyDescent="0.15">
      <c r="A118">
        <v>229</v>
      </c>
      <c r="B118">
        <v>43</v>
      </c>
      <c r="C118">
        <v>12028547.36328125</v>
      </c>
      <c r="D118">
        <v>-3873804.6533380859</v>
      </c>
      <c r="E118">
        <v>9.7140855400146202E-7</v>
      </c>
      <c r="F118">
        <v>2.1640259321950971E-6</v>
      </c>
      <c r="G118">
        <v>-1.1926173781936351E-6</v>
      </c>
      <c r="H118" t="b">
        <v>1</v>
      </c>
    </row>
    <row r="119" spans="1:8" x14ac:dyDescent="0.15">
      <c r="A119">
        <v>229</v>
      </c>
      <c r="B119">
        <v>44</v>
      </c>
      <c r="C119">
        <v>12029547.36328125</v>
      </c>
      <c r="D119">
        <v>-3879638.2548988382</v>
      </c>
      <c r="E119">
        <v>9.7181673532624765E-7</v>
      </c>
      <c r="F119">
        <v>2.1640259321950971E-6</v>
      </c>
      <c r="G119">
        <v>-1.1922091968688494E-6</v>
      </c>
      <c r="H119" t="b">
        <v>1</v>
      </c>
    </row>
    <row r="120" spans="1:8" x14ac:dyDescent="0.15">
      <c r="A120">
        <v>229</v>
      </c>
      <c r="B120">
        <v>45</v>
      </c>
      <c r="C120">
        <v>12030547.36328125</v>
      </c>
      <c r="D120">
        <v>-3885482.2202806184</v>
      </c>
      <c r="E120">
        <v>9.7222500738462491E-7</v>
      </c>
      <c r="F120">
        <v>2.1640259321950971E-6</v>
      </c>
      <c r="G120">
        <v>-1.1918009248104722E-6</v>
      </c>
      <c r="H120" t="b">
        <v>1</v>
      </c>
    </row>
    <row r="121" spans="1:8" x14ac:dyDescent="0.15">
      <c r="A121">
        <v>229</v>
      </c>
      <c r="B121">
        <v>46</v>
      </c>
      <c r="C121">
        <v>12031547.36328125</v>
      </c>
      <c r="D121">
        <v>-3891337.4313018755</v>
      </c>
      <c r="E121">
        <v>9.7263343040281536E-7</v>
      </c>
      <c r="F121">
        <v>2.1640259321950971E-6</v>
      </c>
      <c r="G121">
        <v>-1.1913925017922817E-6</v>
      </c>
      <c r="H121" t="b">
        <v>1</v>
      </c>
    </row>
    <row r="122" spans="1:8" x14ac:dyDescent="0.15">
      <c r="A122">
        <v>229</v>
      </c>
      <c r="B122">
        <v>47</v>
      </c>
      <c r="C122">
        <v>12032547.36328125</v>
      </c>
      <c r="D122">
        <v>-3897203.0439676936</v>
      </c>
      <c r="E122">
        <v>9.7304194412986068E-7</v>
      </c>
      <c r="F122">
        <v>2.1640259321950971E-6</v>
      </c>
      <c r="G122">
        <v>-1.1909839880652364E-6</v>
      </c>
      <c r="H122" t="b">
        <v>1</v>
      </c>
    </row>
    <row r="123" spans="1:8" x14ac:dyDescent="0.15">
      <c r="A123">
        <v>229</v>
      </c>
      <c r="B123">
        <v>48</v>
      </c>
      <c r="C123">
        <v>12033547.36328125</v>
      </c>
      <c r="D123">
        <v>-3903079.9440778261</v>
      </c>
      <c r="E123">
        <v>9.7345060887862903E-7</v>
      </c>
      <c r="F123">
        <v>2.1640259321950971E-6</v>
      </c>
      <c r="G123">
        <v>-1.1905753233164681E-6</v>
      </c>
      <c r="H123" t="b">
        <v>1</v>
      </c>
    </row>
    <row r="124" spans="1:8" x14ac:dyDescent="0.15">
      <c r="A124">
        <v>229</v>
      </c>
      <c r="B124">
        <v>49</v>
      </c>
      <c r="C124">
        <v>12034547.36328125</v>
      </c>
      <c r="D124">
        <v>-3908967.5014608772</v>
      </c>
      <c r="E124">
        <v>9.7385937941464384E-7</v>
      </c>
      <c r="F124">
        <v>2.1640259321950971E-6</v>
      </c>
      <c r="G124">
        <v>-1.1901665527804533E-6</v>
      </c>
      <c r="H124" t="b">
        <v>1</v>
      </c>
    </row>
    <row r="125" spans="1:8" x14ac:dyDescent="0.15">
      <c r="A125">
        <v>229</v>
      </c>
      <c r="B125">
        <v>50</v>
      </c>
      <c r="C125">
        <v>12035547.36328125</v>
      </c>
      <c r="D125">
        <v>-3914865.7346261605</v>
      </c>
      <c r="E125">
        <v>9.7426825571469916E-7</v>
      </c>
      <c r="F125">
        <v>2.1640259321950971E-6</v>
      </c>
      <c r="G125">
        <v>-1.1897576764803979E-6</v>
      </c>
      <c r="H125" t="b">
        <v>1</v>
      </c>
    </row>
    <row r="126" spans="1:8" x14ac:dyDescent="0.15">
      <c r="A126">
        <v>229</v>
      </c>
      <c r="B126">
        <v>51</v>
      </c>
      <c r="C126">
        <v>12036547.36328125</v>
      </c>
      <c r="D126">
        <v>-3920775.318172324</v>
      </c>
      <c r="E126">
        <v>9.7467728312956516E-7</v>
      </c>
      <c r="F126">
        <v>2.1640259321950971E-6</v>
      </c>
      <c r="G126">
        <v>-1.1893486490655319E-6</v>
      </c>
      <c r="H126" t="b">
        <v>1</v>
      </c>
    </row>
    <row r="127" spans="1:8" x14ac:dyDescent="0.15">
      <c r="A127">
        <v>229</v>
      </c>
      <c r="B127">
        <v>52</v>
      </c>
      <c r="C127">
        <v>12037547.36328125</v>
      </c>
      <c r="D127">
        <v>-3926695.3983839964</v>
      </c>
      <c r="E127">
        <v>9.7508640119185794E-7</v>
      </c>
      <c r="F127">
        <v>2.1640259321950971E-6</v>
      </c>
      <c r="G127">
        <v>-1.1889395310032392E-6</v>
      </c>
      <c r="H127" t="b">
        <v>1</v>
      </c>
    </row>
    <row r="128" spans="1:8" x14ac:dyDescent="0.15">
      <c r="A128">
        <v>229</v>
      </c>
      <c r="B128">
        <v>53</v>
      </c>
      <c r="C128">
        <v>12038547.36328125</v>
      </c>
      <c r="D128">
        <v>-3932626.6514033955</v>
      </c>
      <c r="E128">
        <v>9.7549565528483985E-7</v>
      </c>
      <c r="F128">
        <v>2.1640259321950971E-6</v>
      </c>
      <c r="G128">
        <v>-1.1885302769102572E-6</v>
      </c>
      <c r="H128" t="b">
        <v>1</v>
      </c>
    </row>
    <row r="129" spans="1:8" x14ac:dyDescent="0.15">
      <c r="A129">
        <v>229</v>
      </c>
      <c r="B129">
        <v>54</v>
      </c>
      <c r="C129">
        <v>12039547.36328125</v>
      </c>
      <c r="D129">
        <v>-3938569.0988296596</v>
      </c>
      <c r="E129">
        <v>9.7590504545053008E-7</v>
      </c>
      <c r="F129">
        <v>2.1640259321950971E-6</v>
      </c>
      <c r="G129">
        <v>-1.188120886744567E-6</v>
      </c>
      <c r="H129" t="b">
        <v>1</v>
      </c>
    </row>
    <row r="130" spans="1:8" x14ac:dyDescent="0.15">
      <c r="A130">
        <v>229</v>
      </c>
      <c r="B130">
        <v>55</v>
      </c>
      <c r="C130">
        <v>12040547.36328125</v>
      </c>
      <c r="D130">
        <v>-3944522.1002485827</v>
      </c>
      <c r="E130">
        <v>9.763145262269098E-7</v>
      </c>
      <c r="F130">
        <v>2.1640259321950971E-6</v>
      </c>
      <c r="G130">
        <v>-1.1877114059681873E-6</v>
      </c>
      <c r="H130" t="b">
        <v>1</v>
      </c>
    </row>
    <row r="131" spans="1:8" x14ac:dyDescent="0.15">
      <c r="A131">
        <v>229</v>
      </c>
      <c r="B131">
        <v>56</v>
      </c>
      <c r="C131">
        <v>12041547.36328125</v>
      </c>
      <c r="D131">
        <v>-3950486.3363695354</v>
      </c>
      <c r="E131">
        <v>9.7672414309495654E-7</v>
      </c>
      <c r="F131">
        <v>2.1640259321950971E-6</v>
      </c>
      <c r="G131">
        <v>-1.1873017891001406E-6</v>
      </c>
      <c r="H131" t="b">
        <v>1</v>
      </c>
    </row>
    <row r="132" spans="1:8" x14ac:dyDescent="0.15">
      <c r="A132">
        <v>229</v>
      </c>
      <c r="B132">
        <v>57</v>
      </c>
      <c r="C132">
        <v>12042547.36328125</v>
      </c>
      <c r="D132">
        <v>-3956461.828886596</v>
      </c>
      <c r="E132">
        <v>9.7713389609676807E-7</v>
      </c>
      <c r="F132">
        <v>2.1640259321950971E-6</v>
      </c>
      <c r="G132">
        <v>-1.186892036098329E-6</v>
      </c>
      <c r="H132" t="b">
        <v>1</v>
      </c>
    </row>
    <row r="133" spans="1:8" x14ac:dyDescent="0.15">
      <c r="A133">
        <v>229</v>
      </c>
      <c r="B133">
        <v>58</v>
      </c>
      <c r="C133">
        <v>12043547.36328125</v>
      </c>
      <c r="D133">
        <v>-3962448.1551489737</v>
      </c>
      <c r="E133">
        <v>9.7754375487327473E-7</v>
      </c>
      <c r="F133">
        <v>2.1640259321950971E-6</v>
      </c>
      <c r="G133">
        <v>-1.1864821773218224E-6</v>
      </c>
      <c r="H133" t="b">
        <v>1</v>
      </c>
    </row>
    <row r="134" spans="1:8" x14ac:dyDescent="0.15">
      <c r="A134">
        <v>229</v>
      </c>
      <c r="B134">
        <v>59</v>
      </c>
      <c r="C134">
        <v>12044547.36328125</v>
      </c>
      <c r="D134">
        <v>-3968445.333891192</v>
      </c>
      <c r="E134">
        <v>9.7795371940130487E-7</v>
      </c>
      <c r="F134">
        <v>2.1640259321950971E-6</v>
      </c>
      <c r="G134">
        <v>-1.1860722127937922E-6</v>
      </c>
      <c r="H134" t="b">
        <v>1</v>
      </c>
    </row>
    <row r="135" spans="1:8" x14ac:dyDescent="0.15">
      <c r="A135">
        <v>229</v>
      </c>
      <c r="B135">
        <v>60</v>
      </c>
      <c r="C135">
        <v>12045547.36328125</v>
      </c>
      <c r="D135">
        <v>-3974454.0534750144</v>
      </c>
      <c r="E135">
        <v>9.7836383532509021E-7</v>
      </c>
      <c r="F135">
        <v>2.1640259321950971E-6</v>
      </c>
      <c r="G135">
        <v>-1.1856620968700069E-6</v>
      </c>
      <c r="H135" t="b">
        <v>1</v>
      </c>
    </row>
    <row r="136" spans="1:8" x14ac:dyDescent="0.15">
      <c r="A136">
        <v>229</v>
      </c>
      <c r="B136">
        <v>61</v>
      </c>
      <c r="C136">
        <v>12046547.36328125</v>
      </c>
      <c r="D136">
        <v>-3980473.4424090991</v>
      </c>
      <c r="E136">
        <v>9.7877404178626258E-7</v>
      </c>
      <c r="F136">
        <v>2.1640259321950971E-6</v>
      </c>
      <c r="G136">
        <v>-1.1852518904088345E-6</v>
      </c>
      <c r="H136" t="b">
        <v>1</v>
      </c>
    </row>
    <row r="137" spans="1:8" x14ac:dyDescent="0.15">
      <c r="A137">
        <v>229</v>
      </c>
      <c r="B137">
        <v>62</v>
      </c>
      <c r="C137">
        <v>12047547.36328125</v>
      </c>
      <c r="D137">
        <v>-3986504.4148446466</v>
      </c>
      <c r="E137">
        <v>9.7918439970591189E-7</v>
      </c>
      <c r="F137">
        <v>2.1640259321950971E-6</v>
      </c>
      <c r="G137">
        <v>-1.1848415324891852E-6</v>
      </c>
      <c r="H137" t="b">
        <v>1</v>
      </c>
    </row>
    <row r="138" spans="1:8" x14ac:dyDescent="0.15">
      <c r="A138">
        <v>229</v>
      </c>
      <c r="B138">
        <v>63</v>
      </c>
      <c r="C138">
        <v>12048547.36328125</v>
      </c>
      <c r="D138">
        <v>-3992546.0592063949</v>
      </c>
      <c r="E138">
        <v>9.7959484813859011E-7</v>
      </c>
      <c r="F138">
        <v>2.1640259321950971E-6</v>
      </c>
      <c r="G138">
        <v>-1.184431084056507E-6</v>
      </c>
      <c r="H138" t="b">
        <v>1</v>
      </c>
    </row>
    <row r="139" spans="1:8" x14ac:dyDescent="0.15">
      <c r="A139">
        <v>229</v>
      </c>
      <c r="B139">
        <v>64</v>
      </c>
      <c r="C139">
        <v>12049547.36328125</v>
      </c>
      <c r="D139">
        <v>-3998599.3641078388</v>
      </c>
      <c r="E139">
        <v>9.8000544809258007E-7</v>
      </c>
      <c r="F139">
        <v>2.1640259321950971E-6</v>
      </c>
      <c r="G139">
        <v>-1.184020484102517E-6</v>
      </c>
      <c r="H139" t="b">
        <v>1</v>
      </c>
    </row>
    <row r="140" spans="1:8" x14ac:dyDescent="0.15">
      <c r="A140">
        <v>229</v>
      </c>
      <c r="B140">
        <v>65</v>
      </c>
      <c r="C140">
        <v>12050547.36328125</v>
      </c>
      <c r="D140">
        <v>-4004663.6414720244</v>
      </c>
      <c r="E140">
        <v>9.804161538122036E-7</v>
      </c>
      <c r="F140">
        <v>2.1640259321950971E-6</v>
      </c>
      <c r="G140">
        <v>-1.1836097783828935E-6</v>
      </c>
      <c r="H140" t="b">
        <v>1</v>
      </c>
    </row>
    <row r="141" spans="1:8" x14ac:dyDescent="0.15">
      <c r="A141">
        <v>229</v>
      </c>
      <c r="B141">
        <v>66</v>
      </c>
      <c r="C141">
        <v>12051547.36328125</v>
      </c>
      <c r="D141">
        <v>-4010738.9102069968</v>
      </c>
      <c r="E141">
        <v>9.8082696527434982E-7</v>
      </c>
      <c r="F141">
        <v>2.1640259321950971E-6</v>
      </c>
      <c r="G141">
        <v>-1.1831989669207473E-6</v>
      </c>
      <c r="H141" t="b">
        <v>1</v>
      </c>
    </row>
    <row r="142" spans="1:8" x14ac:dyDescent="0.15">
      <c r="A142">
        <v>229</v>
      </c>
      <c r="B142">
        <v>67</v>
      </c>
      <c r="C142">
        <v>12052547.36328125</v>
      </c>
      <c r="D142">
        <v>-4016825.8759521293</v>
      </c>
      <c r="E142">
        <v>9.8123792835231019E-7</v>
      </c>
      <c r="F142">
        <v>2.1640259321950971E-6</v>
      </c>
      <c r="G142">
        <v>-1.1827880038427869E-6</v>
      </c>
      <c r="H142" t="b">
        <v>1</v>
      </c>
    </row>
    <row r="143" spans="1:8" x14ac:dyDescent="0.15">
      <c r="A143">
        <v>229</v>
      </c>
      <c r="B143">
        <v>68</v>
      </c>
      <c r="C143">
        <v>12053547.36328125</v>
      </c>
      <c r="D143">
        <v>-4022923.6244469443</v>
      </c>
      <c r="E143">
        <v>9.8164898188244947E-7</v>
      </c>
      <c r="F143">
        <v>2.1640259321950971E-6</v>
      </c>
      <c r="G143">
        <v>-1.1823769503126476E-6</v>
      </c>
      <c r="H143" t="b">
        <v>1</v>
      </c>
    </row>
    <row r="144" spans="1:8" x14ac:dyDescent="0.15">
      <c r="A144">
        <v>229</v>
      </c>
      <c r="B144">
        <v>69</v>
      </c>
      <c r="C144">
        <v>12054547.36328125</v>
      </c>
      <c r="D144">
        <v>-4029032.8947893512</v>
      </c>
      <c r="E144">
        <v>9.8206017177084014E-7</v>
      </c>
      <c r="F144">
        <v>2.1640259321950971E-6</v>
      </c>
      <c r="G144">
        <v>-1.181965760424257E-6</v>
      </c>
      <c r="H144" t="b">
        <v>1</v>
      </c>
    </row>
    <row r="145" spans="1:8" x14ac:dyDescent="0.15">
      <c r="A145">
        <v>229</v>
      </c>
      <c r="B145">
        <v>70</v>
      </c>
      <c r="C145">
        <v>12055547.36328125</v>
      </c>
      <c r="D145">
        <v>-4035153.6942117526</v>
      </c>
      <c r="E145">
        <v>9.8247149805999795E-7</v>
      </c>
      <c r="F145">
        <v>2.1640259321950971E-6</v>
      </c>
      <c r="G145">
        <v>-1.1815544341350991E-6</v>
      </c>
      <c r="H145" t="b">
        <v>1</v>
      </c>
    </row>
    <row r="146" spans="1:8" x14ac:dyDescent="0.15">
      <c r="A146">
        <v>229</v>
      </c>
      <c r="B146">
        <v>71</v>
      </c>
      <c r="C146">
        <v>12056547.36328125</v>
      </c>
      <c r="D146">
        <v>-4041285.5877566389</v>
      </c>
      <c r="E146">
        <v>9.8288293010741888E-7</v>
      </c>
      <c r="F146">
        <v>2.1640259321950971E-6</v>
      </c>
      <c r="G146">
        <v>-1.1811430020876782E-6</v>
      </c>
      <c r="H146" t="b">
        <v>1</v>
      </c>
    </row>
    <row r="147" spans="1:8" x14ac:dyDescent="0.15">
      <c r="A147">
        <v>229</v>
      </c>
      <c r="B147">
        <v>72</v>
      </c>
      <c r="C147">
        <v>12057547.36328125</v>
      </c>
      <c r="D147">
        <v>-4047428.5950311655</v>
      </c>
      <c r="E147">
        <v>9.8329446789003757E-7</v>
      </c>
      <c r="F147">
        <v>2.1640259321950971E-6</v>
      </c>
      <c r="G147">
        <v>-1.1807314643050595E-6</v>
      </c>
      <c r="H147" t="b">
        <v>1</v>
      </c>
    </row>
    <row r="148" spans="1:8" x14ac:dyDescent="0.15">
      <c r="A148">
        <v>229</v>
      </c>
      <c r="B148">
        <v>73</v>
      </c>
      <c r="C148">
        <v>12058547.36328125</v>
      </c>
      <c r="D148">
        <v>-4053582.9269572808</v>
      </c>
      <c r="E148">
        <v>9.8370612417251857E-7</v>
      </c>
      <c r="F148">
        <v>2.1640259321950971E-6</v>
      </c>
      <c r="G148">
        <v>-1.1803198080225785E-6</v>
      </c>
      <c r="H148" t="b">
        <v>1</v>
      </c>
    </row>
    <row r="149" spans="1:8" x14ac:dyDescent="0.15">
      <c r="A149">
        <v>229</v>
      </c>
      <c r="B149">
        <v>74</v>
      </c>
      <c r="C149">
        <v>12059547.36328125</v>
      </c>
      <c r="D149">
        <v>-4059748.9387045167</v>
      </c>
      <c r="E149">
        <v>9.8411792126710329E-7</v>
      </c>
      <c r="F149">
        <v>2.1640259321950971E-6</v>
      </c>
      <c r="G149">
        <v>-1.1799080109279938E-6</v>
      </c>
      <c r="H149" t="b">
        <v>1</v>
      </c>
    </row>
    <row r="150" spans="1:8" x14ac:dyDescent="0.15">
      <c r="A150">
        <v>229</v>
      </c>
      <c r="B150">
        <v>75</v>
      </c>
      <c r="C150">
        <v>12060547.36328125</v>
      </c>
      <c r="D150">
        <v>-4065926.540254239</v>
      </c>
      <c r="E150">
        <v>9.8452985473207188E-7</v>
      </c>
      <c r="F150">
        <v>2.1640259321950971E-6</v>
      </c>
      <c r="G150">
        <v>-1.1794960774630252E-6</v>
      </c>
      <c r="H150" t="b">
        <v>1</v>
      </c>
    </row>
    <row r="151" spans="1:8" x14ac:dyDescent="0.15">
      <c r="A151">
        <v>229</v>
      </c>
      <c r="B151">
        <v>76</v>
      </c>
      <c r="C151">
        <v>12061547.36328125</v>
      </c>
      <c r="D151">
        <v>-4072115.3638575808</v>
      </c>
      <c r="E151">
        <v>9.8494189382310354E-7</v>
      </c>
      <c r="F151">
        <v>2.1640259321950971E-6</v>
      </c>
      <c r="G151">
        <v>-1.1790840383719936E-6</v>
      </c>
      <c r="H151" t="b">
        <v>1</v>
      </c>
    </row>
    <row r="152" spans="1:8" x14ac:dyDescent="0.15">
      <c r="A152">
        <v>229</v>
      </c>
      <c r="B152">
        <v>77</v>
      </c>
      <c r="C152">
        <v>12062547.36328125</v>
      </c>
      <c r="D152">
        <v>-4078315.3981415555</v>
      </c>
      <c r="E152">
        <v>9.8535403852341327E-7</v>
      </c>
      <c r="F152">
        <v>2.1640259321950971E-6</v>
      </c>
      <c r="G152">
        <v>-1.1786718936716838E-6</v>
      </c>
      <c r="H152" t="b">
        <v>1</v>
      </c>
    </row>
    <row r="153" spans="1:8" x14ac:dyDescent="0.15">
      <c r="A153">
        <v>229</v>
      </c>
      <c r="B153">
        <v>78</v>
      </c>
      <c r="C153">
        <v>12063547.36328125</v>
      </c>
      <c r="D153">
        <v>-4084527.3599118101</v>
      </c>
      <c r="E153">
        <v>9.8576633507474696E-7</v>
      </c>
      <c r="F153">
        <v>2.1640259321950971E-6</v>
      </c>
      <c r="G153">
        <v>-1.1782595971203501E-6</v>
      </c>
      <c r="H153" t="b">
        <v>1</v>
      </c>
    </row>
    <row r="154" spans="1:8" x14ac:dyDescent="0.15">
      <c r="A154">
        <v>229</v>
      </c>
      <c r="B154">
        <v>79</v>
      </c>
      <c r="C154">
        <v>12064547.36328125</v>
      </c>
      <c r="D154">
        <v>-4090750.5741520491</v>
      </c>
      <c r="E154">
        <v>9.861787372679661E-7</v>
      </c>
      <c r="F154">
        <v>2.1640259321950971E-6</v>
      </c>
      <c r="G154">
        <v>-1.177847194927131E-6</v>
      </c>
      <c r="H154" t="b">
        <v>1</v>
      </c>
    </row>
    <row r="155" spans="1:8" x14ac:dyDescent="0.15">
      <c r="A155">
        <v>229</v>
      </c>
      <c r="B155">
        <v>80</v>
      </c>
      <c r="C155">
        <v>12065547.36328125</v>
      </c>
      <c r="D155">
        <v>-4096985.2937693382</v>
      </c>
      <c r="E155">
        <v>9.8659126052745024E-7</v>
      </c>
      <c r="F155">
        <v>2.1640259321950971E-6</v>
      </c>
      <c r="G155">
        <v>-1.1774346716676469E-6</v>
      </c>
      <c r="H155" t="b">
        <v>1</v>
      </c>
    </row>
    <row r="156" spans="1:8" x14ac:dyDescent="0.15">
      <c r="A156">
        <v>230</v>
      </c>
      <c r="B156">
        <v>1</v>
      </c>
      <c r="C156">
        <v>6050000</v>
      </c>
      <c r="D156">
        <v>468052351716.41467</v>
      </c>
      <c r="E156">
        <v>1.5489482467802387E-3</v>
      </c>
      <c r="F156">
        <v>2.1788773061261289E-5</v>
      </c>
      <c r="G156">
        <v>1.5271594737189774E-3</v>
      </c>
      <c r="H156" t="b">
        <v>0</v>
      </c>
    </row>
    <row r="157" spans="1:8" x14ac:dyDescent="0.15">
      <c r="A157">
        <v>230</v>
      </c>
      <c r="B157">
        <v>2</v>
      </c>
      <c r="C157">
        <v>3075000</v>
      </c>
      <c r="D157">
        <v>-80450723.759243786</v>
      </c>
      <c r="E157">
        <v>1.932198741162403E-5</v>
      </c>
      <c r="F157">
        <v>2.1788773061261309E-5</v>
      </c>
      <c r="G157">
        <v>-2.4667856496372794E-6</v>
      </c>
      <c r="H157" t="b">
        <v>1</v>
      </c>
    </row>
    <row r="158" spans="1:8" x14ac:dyDescent="0.15">
      <c r="A158">
        <v>230</v>
      </c>
      <c r="B158">
        <v>3</v>
      </c>
      <c r="C158">
        <v>4562500</v>
      </c>
      <c r="D158">
        <v>55840288026.097084</v>
      </c>
      <c r="E158">
        <v>3.1821831980564745E-4</v>
      </c>
      <c r="F158">
        <v>2.1788773061261289E-5</v>
      </c>
      <c r="G158">
        <v>2.9642954674438617E-4</v>
      </c>
      <c r="H158" t="b">
        <v>0</v>
      </c>
    </row>
    <row r="159" spans="1:8" x14ac:dyDescent="0.15">
      <c r="A159">
        <v>230</v>
      </c>
      <c r="B159">
        <v>4</v>
      </c>
      <c r="C159">
        <v>3818750</v>
      </c>
      <c r="D159">
        <v>9653659329.4841385</v>
      </c>
      <c r="E159">
        <v>1.0057379895731394E-4</v>
      </c>
      <c r="F159">
        <v>2.1788773061261302E-5</v>
      </c>
      <c r="G159">
        <v>7.8785025896052635E-5</v>
      </c>
      <c r="H159" t="b">
        <v>0</v>
      </c>
    </row>
    <row r="160" spans="1:8" x14ac:dyDescent="0.15">
      <c r="A160">
        <v>230</v>
      </c>
      <c r="B160">
        <v>5</v>
      </c>
      <c r="C160">
        <v>3446875</v>
      </c>
      <c r="D160">
        <v>2258015257.6229568</v>
      </c>
      <c r="E160">
        <v>4.7902639183630696E-5</v>
      </c>
      <c r="F160">
        <v>2.1788773061261309E-5</v>
      </c>
      <c r="G160">
        <v>2.6113866122369387E-5</v>
      </c>
      <c r="H160" t="b">
        <v>0</v>
      </c>
    </row>
    <row r="161" spans="1:8" x14ac:dyDescent="0.15">
      <c r="A161">
        <v>230</v>
      </c>
      <c r="B161">
        <v>6</v>
      </c>
      <c r="C161">
        <v>3260937.5</v>
      </c>
      <c r="D161">
        <v>625958016.38095808</v>
      </c>
      <c r="E161">
        <v>3.1175262327253011E-5</v>
      </c>
      <c r="F161">
        <v>2.1788773061261309E-5</v>
      </c>
      <c r="G161">
        <v>9.3864892659917021E-6</v>
      </c>
      <c r="H161" t="b">
        <v>0</v>
      </c>
    </row>
    <row r="162" spans="1:8" x14ac:dyDescent="0.15">
      <c r="A162">
        <v>230</v>
      </c>
      <c r="B162">
        <v>7</v>
      </c>
      <c r="C162">
        <v>3167968.75</v>
      </c>
      <c r="D162">
        <v>157993389.5562734</v>
      </c>
      <c r="E162">
        <v>2.470709053268423E-5</v>
      </c>
      <c r="F162">
        <v>2.1788773061261309E-5</v>
      </c>
      <c r="G162">
        <v>2.918317471422921E-6</v>
      </c>
      <c r="H162" t="b">
        <v>0</v>
      </c>
    </row>
    <row r="163" spans="1:8" x14ac:dyDescent="0.15">
      <c r="A163">
        <v>230</v>
      </c>
      <c r="B163">
        <v>8</v>
      </c>
      <c r="C163">
        <v>3121484.375</v>
      </c>
      <c r="D163">
        <v>4242538.2691875715</v>
      </c>
      <c r="E163">
        <v>2.1886933247959479E-5</v>
      </c>
      <c r="F163">
        <v>2.1788773061261309E-5</v>
      </c>
      <c r="G163">
        <v>9.8160186698169832E-8</v>
      </c>
      <c r="H163" t="b">
        <v>0</v>
      </c>
    </row>
    <row r="164" spans="1:8" x14ac:dyDescent="0.15">
      <c r="A164">
        <v>230</v>
      </c>
      <c r="B164">
        <v>9</v>
      </c>
      <c r="C164">
        <v>3098242.1875</v>
      </c>
      <c r="D164">
        <v>-46023594.074326038</v>
      </c>
      <c r="E164">
        <v>2.0573567998961973E-5</v>
      </c>
      <c r="F164">
        <v>2.1788773061261309E-5</v>
      </c>
      <c r="G164">
        <v>-1.2152050622993361E-6</v>
      </c>
      <c r="H164" t="b">
        <v>1</v>
      </c>
    </row>
    <row r="165" spans="1:8" x14ac:dyDescent="0.15">
      <c r="A165">
        <v>230</v>
      </c>
      <c r="B165">
        <v>10</v>
      </c>
      <c r="C165">
        <v>3109863.28125</v>
      </c>
      <c r="D165">
        <v>-22958748.966152783</v>
      </c>
      <c r="E165">
        <v>2.1222402442653361E-5</v>
      </c>
      <c r="F165">
        <v>2.1788773061261309E-5</v>
      </c>
      <c r="G165">
        <v>-5.6637061860794787E-7</v>
      </c>
      <c r="H165" t="b">
        <v>1</v>
      </c>
    </row>
    <row r="166" spans="1:8" x14ac:dyDescent="0.15">
      <c r="A166">
        <v>230</v>
      </c>
      <c r="B166">
        <v>11</v>
      </c>
      <c r="C166">
        <v>3115673.828125</v>
      </c>
      <c r="D166">
        <v>-9886235.5356464293</v>
      </c>
      <c r="E166">
        <v>2.155269015246318E-5</v>
      </c>
      <c r="F166">
        <v>2.1788773061261309E-5</v>
      </c>
      <c r="G166">
        <v>-2.3608290879812907E-7</v>
      </c>
      <c r="H166" t="b">
        <v>1</v>
      </c>
    </row>
    <row r="167" spans="1:8" x14ac:dyDescent="0.15">
      <c r="A167">
        <v>230</v>
      </c>
      <c r="B167">
        <v>12</v>
      </c>
      <c r="C167">
        <v>3118579.1015625</v>
      </c>
      <c r="D167">
        <v>-2955268.4975184598</v>
      </c>
      <c r="E167">
        <v>2.1719315337786756E-5</v>
      </c>
      <c r="F167">
        <v>2.1788773061261309E-5</v>
      </c>
      <c r="G167">
        <v>-6.9457723474552737E-8</v>
      </c>
      <c r="H167" t="b">
        <v>1</v>
      </c>
    </row>
    <row r="168" spans="1:8" x14ac:dyDescent="0.15">
      <c r="A168">
        <v>230</v>
      </c>
      <c r="B168">
        <v>13</v>
      </c>
      <c r="C168">
        <v>3120031.73828125</v>
      </c>
      <c r="D168">
        <v>610101.09228357452</v>
      </c>
      <c r="E168">
        <v>2.1802999839952719E-5</v>
      </c>
      <c r="F168">
        <v>2.1788773061261309E-5</v>
      </c>
      <c r="G168">
        <v>1.4226778691410285E-8</v>
      </c>
      <c r="H168" t="b">
        <v>0</v>
      </c>
    </row>
    <row r="169" spans="1:8" x14ac:dyDescent="0.15">
      <c r="A169">
        <v>230</v>
      </c>
      <c r="B169">
        <v>14</v>
      </c>
      <c r="C169">
        <v>3120531.73828125</v>
      </c>
      <c r="D169">
        <v>1852737.1931154507</v>
      </c>
      <c r="E169">
        <v>2.1831860172784757E-5</v>
      </c>
      <c r="F169">
        <v>2.1788773061261309E-5</v>
      </c>
      <c r="G169">
        <v>4.3087111523448573E-8</v>
      </c>
      <c r="H169" t="b">
        <v>0</v>
      </c>
    </row>
    <row r="170" spans="1:8" x14ac:dyDescent="0.15">
      <c r="A170">
        <v>230</v>
      </c>
      <c r="B170">
        <v>15</v>
      </c>
      <c r="C170">
        <v>3121131.73828125</v>
      </c>
      <c r="D170">
        <v>3354489.598558303</v>
      </c>
      <c r="E170">
        <v>2.186653340308044E-5</v>
      </c>
      <c r="F170">
        <v>2.1788773061261309E-5</v>
      </c>
      <c r="G170">
        <v>7.7760341819131201E-8</v>
      </c>
      <c r="H170" t="b">
        <v>0</v>
      </c>
    </row>
    <row r="171" spans="1:8" x14ac:dyDescent="0.15">
      <c r="A171">
        <v>230</v>
      </c>
      <c r="B171">
        <v>16</v>
      </c>
      <c r="C171">
        <v>3120831.73828125</v>
      </c>
      <c r="D171">
        <v>2602179.2358143544</v>
      </c>
      <c r="E171">
        <v>2.1849191478256557E-5</v>
      </c>
      <c r="F171">
        <v>2.1788773061261309E-5</v>
      </c>
      <c r="G171">
        <v>6.041841699524781E-8</v>
      </c>
      <c r="H171" t="b">
        <v>0</v>
      </c>
    </row>
    <row r="172" spans="1:8" x14ac:dyDescent="0.15">
      <c r="A172">
        <v>230</v>
      </c>
      <c r="B172">
        <v>17</v>
      </c>
      <c r="C172">
        <v>3120981.73828125</v>
      </c>
      <c r="D172">
        <v>2978044.8373924564</v>
      </c>
      <c r="E172">
        <v>2.1857862707037709E-5</v>
      </c>
      <c r="F172">
        <v>2.1788773061261309E-5</v>
      </c>
      <c r="G172">
        <v>6.9089645776400062E-8</v>
      </c>
      <c r="H172" t="b">
        <v>0</v>
      </c>
    </row>
    <row r="173" spans="1:8" x14ac:dyDescent="0.15">
      <c r="A173">
        <v>230</v>
      </c>
      <c r="B173">
        <v>18</v>
      </c>
      <c r="C173">
        <v>3121161.73828125</v>
      </c>
      <c r="D173">
        <v>3429878.5105525814</v>
      </c>
      <c r="E173">
        <v>2.1868268179794735E-5</v>
      </c>
      <c r="F173">
        <v>2.1788773061261309E-5</v>
      </c>
      <c r="G173">
        <v>7.9495118533425897E-8</v>
      </c>
      <c r="H173" t="b">
        <v>0</v>
      </c>
    </row>
    <row r="174" spans="1:8" x14ac:dyDescent="0.15">
      <c r="A174">
        <v>230</v>
      </c>
      <c r="B174">
        <v>19</v>
      </c>
      <c r="C174">
        <v>3121071.73828125</v>
      </c>
      <c r="D174">
        <v>3203797.913120687</v>
      </c>
      <c r="E174">
        <v>2.186306416835805E-5</v>
      </c>
      <c r="F174">
        <v>2.1788773061261309E-5</v>
      </c>
      <c r="G174">
        <v>7.4291107096740802E-8</v>
      </c>
      <c r="H174" t="b">
        <v>0</v>
      </c>
    </row>
    <row r="175" spans="1:8" x14ac:dyDescent="0.15">
      <c r="A175">
        <v>230</v>
      </c>
      <c r="B175">
        <v>20</v>
      </c>
      <c r="C175">
        <v>3120963.73828125</v>
      </c>
      <c r="D175">
        <v>2932911.3719266434</v>
      </c>
      <c r="E175">
        <v>2.1856822210592171E-5</v>
      </c>
      <c r="F175">
        <v>2.1788773061261309E-5</v>
      </c>
      <c r="G175">
        <v>6.8049149330862412E-8</v>
      </c>
      <c r="H175" t="b">
        <v>0</v>
      </c>
    </row>
    <row r="176" spans="1:8" x14ac:dyDescent="0.15">
      <c r="A176">
        <v>230</v>
      </c>
      <c r="B176">
        <v>21</v>
      </c>
      <c r="C176">
        <v>3121017.73828125</v>
      </c>
      <c r="D176">
        <v>3068342.7633781349</v>
      </c>
      <c r="E176">
        <v>2.1859943814641399E-5</v>
      </c>
      <c r="F176">
        <v>2.1788773061261309E-5</v>
      </c>
      <c r="G176">
        <v>7.1170753380090312E-8</v>
      </c>
      <c r="H176" t="b">
        <v>0</v>
      </c>
    </row>
    <row r="177" spans="1:8" x14ac:dyDescent="0.15">
      <c r="A177">
        <v>230</v>
      </c>
      <c r="B177">
        <v>22</v>
      </c>
      <c r="C177">
        <v>3121082.5382812498</v>
      </c>
      <c r="D177">
        <v>3230913.9412646778</v>
      </c>
      <c r="E177">
        <v>2.1863688599248555E-5</v>
      </c>
      <c r="F177">
        <v>2.1788773061261309E-5</v>
      </c>
      <c r="G177">
        <v>7.4915537987246383E-8</v>
      </c>
      <c r="H177" t="b">
        <v>0</v>
      </c>
    </row>
    <row r="178" spans="1:8" x14ac:dyDescent="0.15">
      <c r="A178">
        <v>230</v>
      </c>
      <c r="B178">
        <v>23</v>
      </c>
      <c r="C178">
        <v>3121050.1382812499</v>
      </c>
      <c r="D178">
        <v>3149646.2348061753</v>
      </c>
      <c r="E178">
        <v>2.1861816942263467E-5</v>
      </c>
      <c r="F178">
        <v>2.1788773061261309E-5</v>
      </c>
      <c r="G178">
        <v>7.3043881002158472E-8</v>
      </c>
      <c r="H178" t="b">
        <v>0</v>
      </c>
    </row>
    <row r="179" spans="1:8" x14ac:dyDescent="0.15">
      <c r="A179">
        <v>231</v>
      </c>
      <c r="B179">
        <v>1</v>
      </c>
      <c r="C179">
        <v>6050000</v>
      </c>
      <c r="D179">
        <v>662889510718.57275</v>
      </c>
      <c r="E179">
        <v>1.0174559656454097E-2</v>
      </c>
      <c r="F179">
        <v>7.8146412409564256E-5</v>
      </c>
      <c r="G179">
        <v>1.0096413244044533E-2</v>
      </c>
      <c r="H179" t="b">
        <v>0</v>
      </c>
    </row>
    <row r="180" spans="1:8" x14ac:dyDescent="0.15">
      <c r="A180">
        <v>231</v>
      </c>
      <c r="B180">
        <v>2</v>
      </c>
      <c r="C180">
        <v>3075000</v>
      </c>
      <c r="D180">
        <v>5530246844.9510612</v>
      </c>
      <c r="E180">
        <v>3.1406948751496768E-4</v>
      </c>
      <c r="F180">
        <v>7.8146412409563876E-5</v>
      </c>
      <c r="G180">
        <v>2.359230751054038E-4</v>
      </c>
      <c r="H180" t="b">
        <v>0</v>
      </c>
    </row>
    <row r="181" spans="1:8" x14ac:dyDescent="0.15">
      <c r="A181">
        <v>231</v>
      </c>
      <c r="B181">
        <v>3</v>
      </c>
      <c r="C181">
        <v>1587500</v>
      </c>
      <c r="D181">
        <v>83814.575241436221</v>
      </c>
      <c r="E181">
        <v>5.5538385124617414E-6</v>
      </c>
      <c r="F181">
        <v>7.814641240956389E-5</v>
      </c>
      <c r="G181">
        <v>-7.2592573897102149E-5</v>
      </c>
      <c r="H181" t="b">
        <v>1</v>
      </c>
    </row>
    <row r="182" spans="1:8" x14ac:dyDescent="0.15">
      <c r="A182">
        <v>231</v>
      </c>
      <c r="B182">
        <v>4</v>
      </c>
      <c r="C182">
        <v>2331250</v>
      </c>
      <c r="D182">
        <v>-38228988.31921307</v>
      </c>
      <c r="E182">
        <v>4.2614734873964716E-5</v>
      </c>
      <c r="F182">
        <v>7.814641240956389E-5</v>
      </c>
      <c r="G182">
        <v>-3.5531677535599174E-5</v>
      </c>
      <c r="H182" t="b">
        <v>1</v>
      </c>
    </row>
    <row r="183" spans="1:8" x14ac:dyDescent="0.15">
      <c r="A183">
        <v>231</v>
      </c>
      <c r="B183">
        <v>5</v>
      </c>
      <c r="C183">
        <v>2703125</v>
      </c>
      <c r="D183">
        <v>857824588.0026772</v>
      </c>
      <c r="E183">
        <v>1.3189491011569737E-4</v>
      </c>
      <c r="F183">
        <v>7.814641240956389E-5</v>
      </c>
      <c r="G183">
        <v>5.3748497706133483E-5</v>
      </c>
      <c r="H183" t="b">
        <v>0</v>
      </c>
    </row>
    <row r="184" spans="1:8" x14ac:dyDescent="0.15">
      <c r="A184">
        <v>231</v>
      </c>
      <c r="B184">
        <v>6</v>
      </c>
      <c r="C184">
        <v>2517187.5</v>
      </c>
      <c r="D184">
        <v>-1173346.2384796487</v>
      </c>
      <c r="E184">
        <v>7.8043070848477866E-5</v>
      </c>
      <c r="F184">
        <v>7.814641240956389E-5</v>
      </c>
      <c r="G184">
        <v>-1.0334156108602363E-7</v>
      </c>
      <c r="H184" t="b">
        <v>1</v>
      </c>
    </row>
    <row r="185" spans="1:8" x14ac:dyDescent="0.15">
      <c r="A185">
        <v>231</v>
      </c>
      <c r="B185">
        <v>7</v>
      </c>
      <c r="C185">
        <v>2610156.25</v>
      </c>
      <c r="D185">
        <v>334002110.71218246</v>
      </c>
      <c r="E185">
        <v>1.023695817076602E-4</v>
      </c>
      <c r="F185">
        <v>7.814641240956389E-5</v>
      </c>
      <c r="G185">
        <v>2.4223169298096309E-5</v>
      </c>
      <c r="H185" t="b">
        <v>0</v>
      </c>
    </row>
    <row r="186" spans="1:8" x14ac:dyDescent="0.15">
      <c r="A186">
        <v>231</v>
      </c>
      <c r="B186">
        <v>8</v>
      </c>
      <c r="C186">
        <v>2563671.875</v>
      </c>
      <c r="D186">
        <v>144400408.47276333</v>
      </c>
      <c r="E186">
        <v>8.9593716290609814E-5</v>
      </c>
      <c r="F186">
        <v>7.814641240956389E-5</v>
      </c>
      <c r="G186">
        <v>1.1447303881045924E-5</v>
      </c>
      <c r="H186" t="b">
        <v>0</v>
      </c>
    </row>
    <row r="187" spans="1:8" x14ac:dyDescent="0.15">
      <c r="A187">
        <v>231</v>
      </c>
      <c r="B187">
        <v>9</v>
      </c>
      <c r="C187">
        <v>2540429.6875</v>
      </c>
      <c r="D187">
        <v>66274381.008065529</v>
      </c>
      <c r="E187">
        <v>8.3670696569025947E-5</v>
      </c>
      <c r="F187">
        <v>7.814641240956389E-5</v>
      </c>
      <c r="G187">
        <v>5.5242841594620569E-6</v>
      </c>
      <c r="H187" t="b">
        <v>0</v>
      </c>
    </row>
    <row r="188" spans="1:8" x14ac:dyDescent="0.15">
      <c r="A188">
        <v>231</v>
      </c>
      <c r="B188">
        <v>10</v>
      </c>
      <c r="C188">
        <v>2528808.59375</v>
      </c>
      <c r="D188">
        <v>31227310.228333712</v>
      </c>
      <c r="E188">
        <v>8.0820230408846965E-5</v>
      </c>
      <c r="F188">
        <v>7.814641240956389E-5</v>
      </c>
      <c r="G188">
        <v>2.6738179992830753E-6</v>
      </c>
      <c r="H188" t="b">
        <v>0</v>
      </c>
    </row>
    <row r="189" spans="1:8" x14ac:dyDescent="0.15">
      <c r="A189">
        <v>231</v>
      </c>
      <c r="B189">
        <v>11</v>
      </c>
      <c r="C189">
        <v>2522998.046875</v>
      </c>
      <c r="D189">
        <v>14697965.843409002</v>
      </c>
      <c r="E189">
        <v>7.9422566646702704E-5</v>
      </c>
      <c r="F189">
        <v>7.814641240956389E-5</v>
      </c>
      <c r="G189">
        <v>1.2761542371388139E-6</v>
      </c>
      <c r="H189" t="b">
        <v>0</v>
      </c>
    </row>
    <row r="190" spans="1:8" x14ac:dyDescent="0.15">
      <c r="A190">
        <v>231</v>
      </c>
      <c r="B190">
        <v>12</v>
      </c>
      <c r="C190">
        <v>2520092.7734375</v>
      </c>
      <c r="D190">
        <v>6680193.1378530599</v>
      </c>
      <c r="E190">
        <v>7.8730551952561564E-5</v>
      </c>
      <c r="F190">
        <v>7.814641240956389E-5</v>
      </c>
      <c r="G190">
        <v>5.8413954299767407E-7</v>
      </c>
      <c r="H190" t="b">
        <v>0</v>
      </c>
    </row>
    <row r="191" spans="1:8" x14ac:dyDescent="0.15">
      <c r="A191">
        <v>231</v>
      </c>
      <c r="B191">
        <v>13</v>
      </c>
      <c r="C191">
        <v>2518640.13671875</v>
      </c>
      <c r="D191">
        <v>2732946.9306490389</v>
      </c>
      <c r="E191">
        <v>7.8386248412871617E-5</v>
      </c>
      <c r="F191">
        <v>7.814641240956389E-5</v>
      </c>
      <c r="G191">
        <v>2.3983600330772714E-7</v>
      </c>
      <c r="H191" t="b">
        <v>0</v>
      </c>
    </row>
    <row r="192" spans="1:8" x14ac:dyDescent="0.15">
      <c r="A192">
        <v>231</v>
      </c>
      <c r="B192">
        <v>14</v>
      </c>
      <c r="C192">
        <v>2517440.13671875</v>
      </c>
      <c r="D192">
        <v>-496922.3509006073</v>
      </c>
      <c r="E192">
        <v>7.8102673863350108E-5</v>
      </c>
      <c r="F192">
        <v>7.814641240956389E-5</v>
      </c>
      <c r="G192">
        <v>-4.3738546213781758E-8</v>
      </c>
      <c r="H192" t="b">
        <v>1</v>
      </c>
    </row>
    <row r="193" spans="1:8" x14ac:dyDescent="0.15">
      <c r="A193">
        <v>231</v>
      </c>
      <c r="B193">
        <v>15</v>
      </c>
      <c r="C193">
        <v>2518040.13671875</v>
      </c>
      <c r="D193">
        <v>1114584.7382828358</v>
      </c>
      <c r="E193">
        <v>7.8244370813280938E-5</v>
      </c>
      <c r="F193">
        <v>7.814641240956389E-5</v>
      </c>
      <c r="G193">
        <v>9.7958403717047842E-8</v>
      </c>
      <c r="H193" t="b">
        <v>0</v>
      </c>
    </row>
    <row r="194" spans="1:8" x14ac:dyDescent="0.15">
      <c r="A194">
        <v>231</v>
      </c>
      <c r="B194">
        <v>16</v>
      </c>
      <c r="C194">
        <v>2518760.13671875</v>
      </c>
      <c r="D194">
        <v>3057472.0659211762</v>
      </c>
      <c r="E194">
        <v>7.8414648241936433E-5</v>
      </c>
      <c r="F194">
        <v>7.814641240956389E-5</v>
      </c>
      <c r="G194">
        <v>2.6823583237254266E-7</v>
      </c>
      <c r="H194" t="b">
        <v>0</v>
      </c>
    </row>
    <row r="195" spans="1:8" x14ac:dyDescent="0.15">
      <c r="A195">
        <v>231</v>
      </c>
      <c r="B195">
        <v>17</v>
      </c>
      <c r="C195">
        <v>2518400.13671875</v>
      </c>
      <c r="D195">
        <v>2084803.8394904158</v>
      </c>
      <c r="E195">
        <v>7.8329477833912183E-5</v>
      </c>
      <c r="F195">
        <v>7.814641240956389E-5</v>
      </c>
      <c r="G195">
        <v>1.830654243482931E-7</v>
      </c>
      <c r="H195" t="b">
        <v>0</v>
      </c>
    </row>
    <row r="196" spans="1:8" x14ac:dyDescent="0.15">
      <c r="A196">
        <v>231</v>
      </c>
      <c r="B196">
        <v>18</v>
      </c>
      <c r="C196">
        <v>2518580.13671875</v>
      </c>
      <c r="D196">
        <v>2570857.3312860653</v>
      </c>
      <c r="E196">
        <v>7.8372057348642275E-5</v>
      </c>
      <c r="F196">
        <v>7.814641240956389E-5</v>
      </c>
      <c r="G196">
        <v>2.2564493907838493E-7</v>
      </c>
      <c r="H196" t="b">
        <v>0</v>
      </c>
    </row>
    <row r="197" spans="1:8" x14ac:dyDescent="0.15">
      <c r="A197">
        <v>231</v>
      </c>
      <c r="B197">
        <v>19</v>
      </c>
      <c r="C197">
        <v>2518490.13671875</v>
      </c>
      <c r="D197">
        <v>2327751.9149126038</v>
      </c>
      <c r="E197">
        <v>7.8350765423805237E-5</v>
      </c>
      <c r="F197">
        <v>7.814641240956389E-5</v>
      </c>
      <c r="G197">
        <v>2.0435301424134693E-7</v>
      </c>
      <c r="H197" t="b">
        <v>0</v>
      </c>
    </row>
    <row r="198" spans="1:8" x14ac:dyDescent="0.15">
      <c r="A198">
        <v>231</v>
      </c>
      <c r="B198">
        <v>20</v>
      </c>
      <c r="C198">
        <v>2518535.13671875</v>
      </c>
      <c r="D198">
        <v>2449284.9548264621</v>
      </c>
      <c r="E198">
        <v>7.8361410844323057E-5</v>
      </c>
      <c r="F198">
        <v>7.814641240956389E-5</v>
      </c>
      <c r="G198">
        <v>2.1499843475916735E-7</v>
      </c>
      <c r="H198" t="b">
        <v>0</v>
      </c>
    </row>
    <row r="199" spans="1:8" x14ac:dyDescent="0.15">
      <c r="A199">
        <v>231</v>
      </c>
      <c r="B199">
        <v>21</v>
      </c>
      <c r="C199">
        <v>2518589.13671875</v>
      </c>
      <c r="D199">
        <v>2595176.5270970152</v>
      </c>
      <c r="E199">
        <v>7.837418677956964E-5</v>
      </c>
      <c r="F199">
        <v>7.814641240956389E-5</v>
      </c>
      <c r="G199">
        <v>2.2777437000575025E-7</v>
      </c>
      <c r="H199" t="b">
        <v>0</v>
      </c>
    </row>
    <row r="200" spans="1:8" x14ac:dyDescent="0.15">
      <c r="A200">
        <v>231</v>
      </c>
      <c r="B200">
        <v>22</v>
      </c>
      <c r="C200">
        <v>2518562.13671875</v>
      </c>
      <c r="D200">
        <v>2522155.6093217698</v>
      </c>
      <c r="E200">
        <v>7.8367792657537498E-5</v>
      </c>
      <c r="F200">
        <v>7.814641240956389E-5</v>
      </c>
      <c r="G200">
        <v>2.2138024797360776E-7</v>
      </c>
      <c r="H200" t="b">
        <v>0</v>
      </c>
    </row>
    <row r="201" spans="1:8" x14ac:dyDescent="0.15">
      <c r="A201">
        <v>232</v>
      </c>
      <c r="B201">
        <v>1</v>
      </c>
      <c r="C201">
        <v>6050000</v>
      </c>
      <c r="D201">
        <v>126675972122854.48</v>
      </c>
      <c r="E201">
        <v>3.2200119777532992</v>
      </c>
      <c r="F201">
        <v>2.2962404201720688E-4</v>
      </c>
      <c r="G201">
        <v>3.219782353711282</v>
      </c>
      <c r="H201" t="b">
        <v>0</v>
      </c>
    </row>
    <row r="202" spans="1:8" x14ac:dyDescent="0.15">
      <c r="A202">
        <v>232</v>
      </c>
      <c r="B202">
        <v>2</v>
      </c>
      <c r="C202">
        <v>3075000</v>
      </c>
      <c r="D202">
        <v>18934681081660.816</v>
      </c>
      <c r="E202">
        <v>0.64166905653554018</v>
      </c>
      <c r="F202">
        <v>2.2962404201709585E-4</v>
      </c>
      <c r="G202">
        <v>0.64143943249352309</v>
      </c>
      <c r="H202" t="b">
        <v>0</v>
      </c>
    </row>
    <row r="203" spans="1:8" x14ac:dyDescent="0.15">
      <c r="A203">
        <v>232</v>
      </c>
      <c r="B203">
        <v>3</v>
      </c>
      <c r="C203">
        <v>1587500</v>
      </c>
      <c r="D203">
        <v>168712757972.80545</v>
      </c>
      <c r="E203">
        <v>1.3220283667305358E-2</v>
      </c>
      <c r="F203">
        <v>2.2962404201712187E-4</v>
      </c>
      <c r="G203">
        <v>1.2990659625288236E-2</v>
      </c>
      <c r="H203" t="b">
        <v>0</v>
      </c>
    </row>
    <row r="204" spans="1:8" x14ac:dyDescent="0.15">
      <c r="A204">
        <v>232</v>
      </c>
      <c r="B204">
        <v>4</v>
      </c>
      <c r="C204">
        <v>843750</v>
      </c>
      <c r="D204">
        <v>-40637037.493332706</v>
      </c>
      <c r="E204">
        <v>2.1671508040487099E-4</v>
      </c>
      <c r="F204">
        <v>2.2962404201712168E-4</v>
      </c>
      <c r="G204">
        <v>-1.2908961612250689E-5</v>
      </c>
      <c r="H204" t="b">
        <v>1</v>
      </c>
    </row>
    <row r="205" spans="1:8" x14ac:dyDescent="0.15">
      <c r="A205">
        <v>232</v>
      </c>
      <c r="B205">
        <v>5</v>
      </c>
      <c r="C205">
        <v>1215625</v>
      </c>
      <c r="D205">
        <v>20892875482.902817</v>
      </c>
      <c r="E205">
        <v>2.6698641373953968E-3</v>
      </c>
      <c r="F205">
        <v>2.2962404201712187E-4</v>
      </c>
      <c r="G205">
        <v>2.4402400953782749E-3</v>
      </c>
      <c r="H205" t="b">
        <v>0</v>
      </c>
    </row>
    <row r="206" spans="1:8" x14ac:dyDescent="0.15">
      <c r="A206">
        <v>232</v>
      </c>
      <c r="B206">
        <v>6</v>
      </c>
      <c r="C206">
        <v>1029687.5</v>
      </c>
      <c r="D206">
        <v>4257025327.4693017</v>
      </c>
      <c r="E206">
        <v>9.1980461647856099E-4</v>
      </c>
      <c r="F206">
        <v>2.2962404201712166E-4</v>
      </c>
      <c r="G206">
        <v>6.9018057446143934E-4</v>
      </c>
      <c r="H206" t="b">
        <v>0</v>
      </c>
    </row>
    <row r="207" spans="1:8" x14ac:dyDescent="0.15">
      <c r="A207">
        <v>232</v>
      </c>
      <c r="B207">
        <v>7</v>
      </c>
      <c r="C207">
        <v>936718.75</v>
      </c>
      <c r="D207">
        <v>1184431488.4572184</v>
      </c>
      <c r="E207">
        <v>4.754800398433571E-4</v>
      </c>
      <c r="F207">
        <v>2.2962404201712171E-4</v>
      </c>
      <c r="G207">
        <v>2.4585599782623539E-4</v>
      </c>
      <c r="H207" t="b">
        <v>0</v>
      </c>
    </row>
    <row r="208" spans="1:8" x14ac:dyDescent="0.15">
      <c r="A208">
        <v>232</v>
      </c>
      <c r="B208">
        <v>8</v>
      </c>
      <c r="C208">
        <v>890234.375</v>
      </c>
      <c r="D208">
        <v>394411401.62565607</v>
      </c>
      <c r="E208">
        <v>3.2694862099493205E-4</v>
      </c>
      <c r="F208">
        <v>2.2962404201712168E-4</v>
      </c>
      <c r="G208">
        <v>9.7324578977810362E-5</v>
      </c>
      <c r="H208" t="b">
        <v>0</v>
      </c>
    </row>
    <row r="209" spans="1:8" x14ac:dyDescent="0.15">
      <c r="A209">
        <v>232</v>
      </c>
      <c r="B209">
        <v>9</v>
      </c>
      <c r="C209">
        <v>866992.1875</v>
      </c>
      <c r="D209">
        <v>137379361.31535426</v>
      </c>
      <c r="E209">
        <v>2.6751172790083266E-4</v>
      </c>
      <c r="F209">
        <v>2.2962404201712168E-4</v>
      </c>
      <c r="G209">
        <v>3.7887685883710977E-5</v>
      </c>
      <c r="H209" t="b">
        <v>0</v>
      </c>
    </row>
    <row r="210" spans="1:8" x14ac:dyDescent="0.15">
      <c r="A210">
        <v>232</v>
      </c>
      <c r="B210">
        <v>10</v>
      </c>
      <c r="C210">
        <v>855371.09375</v>
      </c>
      <c r="D210">
        <v>38937230.900008507</v>
      </c>
      <c r="E210">
        <v>2.4109240899131067E-4</v>
      </c>
      <c r="F210">
        <v>2.2962404201712168E-4</v>
      </c>
      <c r="G210">
        <v>1.1468366974188985E-5</v>
      </c>
      <c r="H210" t="b">
        <v>0</v>
      </c>
    </row>
    <row r="211" spans="1:8" x14ac:dyDescent="0.15">
      <c r="A211">
        <v>232</v>
      </c>
      <c r="B211">
        <v>11</v>
      </c>
      <c r="C211">
        <v>849560.546875</v>
      </c>
      <c r="D211">
        <v>-3171145.3287125081</v>
      </c>
      <c r="E211">
        <v>2.2865544011677348E-4</v>
      </c>
      <c r="F211">
        <v>2.2962404201712168E-4</v>
      </c>
      <c r="G211">
        <v>-9.6860190034820173E-7</v>
      </c>
      <c r="H211" t="b">
        <v>1</v>
      </c>
    </row>
    <row r="212" spans="1:8" x14ac:dyDescent="0.15">
      <c r="A212">
        <v>232</v>
      </c>
      <c r="B212">
        <v>12</v>
      </c>
      <c r="C212">
        <v>852465.8203125</v>
      </c>
      <c r="D212">
        <v>17302506.169145066</v>
      </c>
      <c r="E212">
        <v>2.3481201324097205E-4</v>
      </c>
      <c r="F212">
        <v>2.2962404201712168E-4</v>
      </c>
      <c r="G212">
        <v>5.1879712238503699E-6</v>
      </c>
      <c r="H212" t="b">
        <v>0</v>
      </c>
    </row>
    <row r="213" spans="1:8" x14ac:dyDescent="0.15">
      <c r="A213">
        <v>232</v>
      </c>
      <c r="B213">
        <v>13</v>
      </c>
      <c r="C213">
        <v>851013.18359375</v>
      </c>
      <c r="D213">
        <v>6919945.1025217874</v>
      </c>
      <c r="E213">
        <v>2.3171803075635857E-4</v>
      </c>
      <c r="F213">
        <v>2.2962404201712168E-4</v>
      </c>
      <c r="G213">
        <v>2.0939887392368826E-6</v>
      </c>
      <c r="H213" t="b">
        <v>0</v>
      </c>
    </row>
    <row r="214" spans="1:8" x14ac:dyDescent="0.15">
      <c r="A214">
        <v>232</v>
      </c>
      <c r="B214">
        <v>14</v>
      </c>
      <c r="C214">
        <v>849813.18359375</v>
      </c>
      <c r="D214">
        <v>-1437056.2903287723</v>
      </c>
      <c r="E214">
        <v>2.2918582239375476E-4</v>
      </c>
      <c r="F214">
        <v>2.2962404201712168E-4</v>
      </c>
      <c r="G214">
        <v>-4.3821962336692199E-7</v>
      </c>
      <c r="H214" t="b">
        <v>1</v>
      </c>
    </row>
    <row r="215" spans="1:8" x14ac:dyDescent="0.15">
      <c r="A215">
        <v>232</v>
      </c>
      <c r="B215">
        <v>15</v>
      </c>
      <c r="C215">
        <v>850413.18359375</v>
      </c>
      <c r="D215">
        <v>2716638.6315966421</v>
      </c>
      <c r="E215">
        <v>2.3044926303396251E-4</v>
      </c>
      <c r="F215">
        <v>2.2962404201712168E-4</v>
      </c>
      <c r="G215">
        <v>8.2522101684082182E-7</v>
      </c>
      <c r="H215" t="b">
        <v>0</v>
      </c>
    </row>
    <row r="216" spans="1:8" x14ac:dyDescent="0.15">
      <c r="A216">
        <v>232</v>
      </c>
      <c r="B216">
        <v>16</v>
      </c>
      <c r="C216">
        <v>850113.18359375</v>
      </c>
      <c r="D216">
        <v>633554.23247656319</v>
      </c>
      <c r="E216">
        <v>2.2981686571543663E-4</v>
      </c>
      <c r="F216">
        <v>2.2962404201712168E-4</v>
      </c>
      <c r="G216">
        <v>1.9282369831494662E-7</v>
      </c>
      <c r="H216" t="b">
        <v>0</v>
      </c>
    </row>
    <row r="217" spans="1:8" x14ac:dyDescent="0.15">
      <c r="A217">
        <v>232</v>
      </c>
      <c r="B217">
        <v>17</v>
      </c>
      <c r="C217">
        <v>850263.18359375</v>
      </c>
      <c r="D217">
        <v>1673512.0456282608</v>
      </c>
      <c r="E217">
        <v>2.3013288754374309E-4</v>
      </c>
      <c r="F217">
        <v>2.2962404201712168E-4</v>
      </c>
      <c r="G217">
        <v>5.0884552662140399E-7</v>
      </c>
      <c r="H217" t="b">
        <v>0</v>
      </c>
    </row>
    <row r="218" spans="1:8" x14ac:dyDescent="0.15">
      <c r="A218">
        <v>232</v>
      </c>
      <c r="B218">
        <v>18</v>
      </c>
      <c r="C218">
        <v>850188.18359375</v>
      </c>
      <c r="D218">
        <v>1153210.7035441366</v>
      </c>
      <c r="E218">
        <v>2.2997485479358962E-4</v>
      </c>
      <c r="F218">
        <v>2.2962404201712168E-4</v>
      </c>
      <c r="G218">
        <v>3.5081277646793643E-7</v>
      </c>
      <c r="H218" t="b">
        <v>0</v>
      </c>
    </row>
    <row r="219" spans="1:8" x14ac:dyDescent="0.15">
      <c r="A219">
        <v>232</v>
      </c>
      <c r="B219">
        <v>19</v>
      </c>
      <c r="C219">
        <v>850098.18359375</v>
      </c>
      <c r="D219">
        <v>529729.07982338395</v>
      </c>
      <c r="E219">
        <v>2.2978528188000814E-4</v>
      </c>
      <c r="F219">
        <v>2.2962404201712168E-4</v>
      </c>
      <c r="G219">
        <v>1.6123986288645747E-7</v>
      </c>
      <c r="H219" t="b">
        <v>0</v>
      </c>
    </row>
    <row r="220" spans="1:8" x14ac:dyDescent="0.15">
      <c r="A220">
        <v>232</v>
      </c>
      <c r="B220">
        <v>20</v>
      </c>
      <c r="C220">
        <v>850143.18359375</v>
      </c>
      <c r="D220">
        <v>841362.91464084003</v>
      </c>
      <c r="E220">
        <v>2.2988006325145739E-4</v>
      </c>
      <c r="F220">
        <v>2.2962404201712168E-4</v>
      </c>
      <c r="G220">
        <v>2.5602123433570659E-7</v>
      </c>
      <c r="H220" t="b">
        <v>0</v>
      </c>
    </row>
    <row r="221" spans="1:8" x14ac:dyDescent="0.15">
      <c r="A221">
        <v>232</v>
      </c>
      <c r="B221">
        <v>21</v>
      </c>
      <c r="C221">
        <v>850197.18359375</v>
      </c>
      <c r="D221">
        <v>1215613.7679218976</v>
      </c>
      <c r="E221">
        <v>2.2999381670507947E-4</v>
      </c>
      <c r="F221">
        <v>2.2962404201712168E-4</v>
      </c>
      <c r="G221">
        <v>3.6977468795778125E-7</v>
      </c>
      <c r="H221" t="b">
        <v>0</v>
      </c>
    </row>
    <row r="222" spans="1:8" x14ac:dyDescent="0.15">
      <c r="A222">
        <v>232</v>
      </c>
      <c r="B222">
        <v>22</v>
      </c>
      <c r="C222">
        <v>850170.18359375</v>
      </c>
      <c r="D222">
        <v>1028438.0820292988</v>
      </c>
      <c r="E222">
        <v>2.299369345738164E-4</v>
      </c>
      <c r="F222">
        <v>2.2962404201712168E-4</v>
      </c>
      <c r="G222">
        <v>3.1289255669471154E-7</v>
      </c>
      <c r="H222" t="b">
        <v>0</v>
      </c>
    </row>
    <row r="223" spans="1:8" x14ac:dyDescent="0.15">
      <c r="A223">
        <v>232</v>
      </c>
      <c r="B223">
        <v>23</v>
      </c>
      <c r="C223">
        <v>850137.78359374998</v>
      </c>
      <c r="D223">
        <v>803894.63616729039</v>
      </c>
      <c r="E223">
        <v>2.2986867042570832E-4</v>
      </c>
      <c r="F223">
        <v>2.2962404201712168E-4</v>
      </c>
      <c r="G223">
        <v>2.4462840858663457E-7</v>
      </c>
      <c r="H223" t="b">
        <v>0</v>
      </c>
    </row>
    <row r="224" spans="1:8" x14ac:dyDescent="0.15">
      <c r="A224">
        <v>232</v>
      </c>
      <c r="B224">
        <v>24</v>
      </c>
      <c r="C224">
        <v>850153.98359374993</v>
      </c>
      <c r="D224">
        <v>916180.91972600459</v>
      </c>
      <c r="E224">
        <v>2.2990281048340878E-4</v>
      </c>
      <c r="F224">
        <v>2.2962404201712168E-4</v>
      </c>
      <c r="G224">
        <v>2.7876846628709117E-7</v>
      </c>
      <c r="H224" t="b">
        <v>0</v>
      </c>
    </row>
    <row r="225" spans="1:8" x14ac:dyDescent="0.15">
      <c r="A225">
        <v>232</v>
      </c>
      <c r="B225">
        <v>25</v>
      </c>
      <c r="C225">
        <v>850145.88359374995</v>
      </c>
      <c r="D225">
        <v>860000.58935628319</v>
      </c>
      <c r="E225">
        <v>2.298857300374726E-4</v>
      </c>
      <c r="F225">
        <v>2.2962404201712168E-4</v>
      </c>
      <c r="G225">
        <v>2.616880203509136E-7</v>
      </c>
      <c r="H225" t="b">
        <v>0</v>
      </c>
    </row>
    <row r="226" spans="1:8" x14ac:dyDescent="0.15">
      <c r="A226">
        <v>232</v>
      </c>
      <c r="B226">
        <v>26</v>
      </c>
      <c r="C226">
        <v>850136.16359374998</v>
      </c>
      <c r="D226">
        <v>792674.53103785869</v>
      </c>
      <c r="E226">
        <v>2.2986525862006953E-4</v>
      </c>
      <c r="F226">
        <v>2.2962404201712168E-4</v>
      </c>
      <c r="G226">
        <v>2.4121660294784447E-7</v>
      </c>
      <c r="H226" t="b">
        <v>0</v>
      </c>
    </row>
    <row r="227" spans="1:8" x14ac:dyDescent="0.15">
      <c r="A227">
        <v>232</v>
      </c>
      <c r="B227">
        <v>27</v>
      </c>
      <c r="C227">
        <v>850141.02359374997</v>
      </c>
      <c r="D227">
        <v>826401.24346155953</v>
      </c>
      <c r="E227">
        <v>2.2987551401257043E-4</v>
      </c>
      <c r="F227">
        <v>2.2962404201712168E-4</v>
      </c>
      <c r="G227">
        <v>2.5147199544874217E-7</v>
      </c>
      <c r="H227" t="b">
        <v>0</v>
      </c>
    </row>
    <row r="228" spans="1:8" x14ac:dyDescent="0.15">
      <c r="A228">
        <v>232</v>
      </c>
      <c r="B228">
        <v>28</v>
      </c>
      <c r="C228">
        <v>850146.85559375002</v>
      </c>
      <c r="D228">
        <v>866733.91164609941</v>
      </c>
      <c r="E228">
        <v>2.2988777725625064E-4</v>
      </c>
      <c r="F228">
        <v>2.2962404201712168E-4</v>
      </c>
      <c r="G228">
        <v>2.6373523912895922E-7</v>
      </c>
      <c r="H228" t="b">
        <v>0</v>
      </c>
    </row>
    <row r="229" spans="1:8" x14ac:dyDescent="0.15">
      <c r="A229">
        <v>232</v>
      </c>
      <c r="B229">
        <v>29</v>
      </c>
      <c r="C229">
        <v>850143.93959375005</v>
      </c>
      <c r="D229">
        <v>846534.33561204304</v>
      </c>
      <c r="E229">
        <v>2.2988163564194913E-4</v>
      </c>
      <c r="F229">
        <v>2.2962404201712168E-4</v>
      </c>
      <c r="G229">
        <v>2.5759362482744323E-7</v>
      </c>
      <c r="H229" t="b">
        <v>0</v>
      </c>
    </row>
    <row r="230" spans="1:8" x14ac:dyDescent="0.15">
      <c r="A230">
        <v>233</v>
      </c>
      <c r="B230">
        <v>1</v>
      </c>
      <c r="C230">
        <v>6050000</v>
      </c>
      <c r="D230">
        <v>334036494119.33429</v>
      </c>
      <c r="E230">
        <v>7.1322319089384478E-5</v>
      </c>
      <c r="F230">
        <v>2.2263348351353148E-6</v>
      </c>
      <c r="G230">
        <v>6.9095984254249164E-5</v>
      </c>
      <c r="H230" t="b">
        <v>0</v>
      </c>
    </row>
    <row r="231" spans="1:8" x14ac:dyDescent="0.15">
      <c r="A231">
        <v>233</v>
      </c>
      <c r="B231">
        <v>2</v>
      </c>
      <c r="C231">
        <v>3075000</v>
      </c>
      <c r="D231">
        <v>-578707.38587478944</v>
      </c>
      <c r="E231">
        <v>3.8991499467955991E-7</v>
      </c>
      <c r="F231">
        <v>2.2263348351353118E-6</v>
      </c>
      <c r="G231">
        <v>-1.8364198404557519E-6</v>
      </c>
      <c r="H231" t="b">
        <v>1</v>
      </c>
    </row>
    <row r="232" spans="1:8" x14ac:dyDescent="0.15">
      <c r="A232">
        <v>233</v>
      </c>
      <c r="B232">
        <v>3</v>
      </c>
      <c r="C232">
        <v>4562500</v>
      </c>
      <c r="D232">
        <v>4168892263.7218776</v>
      </c>
      <c r="E232">
        <v>5.2887082908083888E-6</v>
      </c>
      <c r="F232">
        <v>2.2263348351353118E-6</v>
      </c>
      <c r="G232">
        <v>3.062373455673077E-6</v>
      </c>
      <c r="H232" t="b">
        <v>0</v>
      </c>
    </row>
    <row r="233" spans="1:8" x14ac:dyDescent="0.15">
      <c r="A233">
        <v>233</v>
      </c>
      <c r="B233">
        <v>4</v>
      </c>
      <c r="C233">
        <v>3818750</v>
      </c>
      <c r="D233">
        <v>-34450120.841866292</v>
      </c>
      <c r="E233">
        <v>1.842025249359112E-6</v>
      </c>
      <c r="F233">
        <v>2.2263348351353118E-6</v>
      </c>
      <c r="G233">
        <v>-3.8430958577619983E-7</v>
      </c>
      <c r="H233" t="b">
        <v>1</v>
      </c>
    </row>
    <row r="234" spans="1:8" x14ac:dyDescent="0.15">
      <c r="A234">
        <v>233</v>
      </c>
      <c r="B234">
        <v>5</v>
      </c>
      <c r="C234">
        <v>4190625</v>
      </c>
      <c r="D234">
        <v>514778306.92056465</v>
      </c>
      <c r="E234">
        <v>3.1379712940103691E-6</v>
      </c>
      <c r="F234">
        <v>2.2263348351353118E-6</v>
      </c>
      <c r="G234">
        <v>9.1163645887505724E-7</v>
      </c>
      <c r="H234" t="b">
        <v>0</v>
      </c>
    </row>
    <row r="235" spans="1:8" x14ac:dyDescent="0.15">
      <c r="A235">
        <v>233</v>
      </c>
      <c r="B235">
        <v>6</v>
      </c>
      <c r="C235">
        <v>4004687.5</v>
      </c>
      <c r="D235">
        <v>59351443.872754283</v>
      </c>
      <c r="E235">
        <v>2.4302899357345498E-6</v>
      </c>
      <c r="F235">
        <v>2.2263348351353118E-6</v>
      </c>
      <c r="G235">
        <v>2.0395510059923795E-7</v>
      </c>
      <c r="H235" t="b">
        <v>0</v>
      </c>
    </row>
    <row r="236" spans="1:8" x14ac:dyDescent="0.15">
      <c r="A236">
        <v>233</v>
      </c>
      <c r="B236">
        <v>7</v>
      </c>
      <c r="C236">
        <v>3911718.75</v>
      </c>
      <c r="D236">
        <v>-18687555.970251061</v>
      </c>
      <c r="E236">
        <v>2.1218545942520429E-6</v>
      </c>
      <c r="F236">
        <v>2.2263348351353118E-6</v>
      </c>
      <c r="G236">
        <v>-1.0448024088326893E-7</v>
      </c>
      <c r="H236" t="b">
        <v>1</v>
      </c>
    </row>
    <row r="237" spans="1:8" x14ac:dyDescent="0.15">
      <c r="A237">
        <v>233</v>
      </c>
      <c r="B237">
        <v>8</v>
      </c>
      <c r="C237">
        <v>3958203.125</v>
      </c>
      <c r="D237">
        <v>10709060.451692702</v>
      </c>
      <c r="E237">
        <v>2.2724019416761256E-6</v>
      </c>
      <c r="F237">
        <v>2.2263348351353118E-6</v>
      </c>
      <c r="G237">
        <v>4.606710654081378E-8</v>
      </c>
      <c r="H237" t="b">
        <v>0</v>
      </c>
    </row>
    <row r="238" spans="1:8" x14ac:dyDescent="0.15">
      <c r="A238">
        <v>233</v>
      </c>
      <c r="B238">
        <v>9</v>
      </c>
      <c r="C238">
        <v>3934960.9375</v>
      </c>
      <c r="D238">
        <v>-6173905.7324593784</v>
      </c>
      <c r="E238">
        <v>2.1962195741449751E-6</v>
      </c>
      <c r="F238">
        <v>2.2263348351353118E-6</v>
      </c>
      <c r="G238">
        <v>-3.0115260990336753E-8</v>
      </c>
      <c r="H238" t="b">
        <v>1</v>
      </c>
    </row>
    <row r="239" spans="1:8" x14ac:dyDescent="0.15">
      <c r="A239">
        <v>233</v>
      </c>
      <c r="B239">
        <v>10</v>
      </c>
      <c r="C239">
        <v>3946582.03125</v>
      </c>
      <c r="D239">
        <v>1693486.6202668985</v>
      </c>
      <c r="E239">
        <v>2.2340825364398122E-6</v>
      </c>
      <c r="F239">
        <v>2.2263348351353118E-6</v>
      </c>
      <c r="G239">
        <v>7.7477013045003754E-9</v>
      </c>
      <c r="H239" t="b">
        <v>0</v>
      </c>
    </row>
    <row r="240" spans="1:8" x14ac:dyDescent="0.15">
      <c r="A240">
        <v>233</v>
      </c>
      <c r="B240">
        <v>11</v>
      </c>
      <c r="C240">
        <v>3952392.578125</v>
      </c>
      <c r="D240">
        <v>6054290.6592524862</v>
      </c>
      <c r="E240">
        <v>2.253185054679135E-6</v>
      </c>
      <c r="F240">
        <v>2.2263348351353118E-6</v>
      </c>
      <c r="G240">
        <v>2.6850219543823163E-8</v>
      </c>
      <c r="H240" t="b">
        <v>0</v>
      </c>
    </row>
    <row r="241" spans="1:8" x14ac:dyDescent="0.15">
      <c r="A241">
        <v>233</v>
      </c>
      <c r="B241">
        <v>12</v>
      </c>
      <c r="C241">
        <v>3949487.3046875</v>
      </c>
      <c r="D241">
        <v>3837556.2685720571</v>
      </c>
      <c r="E241">
        <v>2.243619437159191E-6</v>
      </c>
      <c r="F241">
        <v>2.2263348351353118E-6</v>
      </c>
      <c r="G241">
        <v>1.7284602023879207E-8</v>
      </c>
      <c r="H241" t="b">
        <v>0</v>
      </c>
    </row>
    <row r="242" spans="1:8" x14ac:dyDescent="0.15">
      <c r="A242">
        <v>233</v>
      </c>
      <c r="B242">
        <v>13</v>
      </c>
      <c r="C242">
        <v>3950939.94140625</v>
      </c>
      <c r="D242">
        <v>4936798.8292394197</v>
      </c>
      <c r="E242">
        <v>2.2483987088737728E-6</v>
      </c>
      <c r="F242">
        <v>2.2263348351353118E-6</v>
      </c>
      <c r="G242">
        <v>2.2063873738460999E-8</v>
      </c>
      <c r="H242" t="b">
        <v>0</v>
      </c>
    </row>
    <row r="243" spans="1:8" x14ac:dyDescent="0.15">
      <c r="A243">
        <v>233</v>
      </c>
      <c r="B243">
        <v>14</v>
      </c>
      <c r="C243">
        <v>3950439.94140625</v>
      </c>
      <c r="D243">
        <v>4556370.4738352662</v>
      </c>
      <c r="E243">
        <v>2.2467528210897534E-6</v>
      </c>
      <c r="F243">
        <v>2.2263348351353118E-6</v>
      </c>
      <c r="G243">
        <v>2.0417985954441559E-8</v>
      </c>
      <c r="H243" t="b">
        <v>0</v>
      </c>
    </row>
    <row r="244" spans="1:8" x14ac:dyDescent="0.15">
      <c r="A244">
        <v>233</v>
      </c>
      <c r="B244">
        <v>15</v>
      </c>
      <c r="C244">
        <v>3949839.94140625</v>
      </c>
      <c r="D244">
        <v>4102727.1518127895</v>
      </c>
      <c r="E244">
        <v>2.2447789610465638E-6</v>
      </c>
      <c r="F244">
        <v>2.2263348351353118E-6</v>
      </c>
      <c r="G244">
        <v>1.8444125911252001E-8</v>
      </c>
      <c r="H244" t="b">
        <v>0</v>
      </c>
    </row>
    <row r="245" spans="1:8" x14ac:dyDescent="0.15">
      <c r="A245">
        <v>233</v>
      </c>
      <c r="B245">
        <v>16</v>
      </c>
      <c r="C245">
        <v>3949119.94140625</v>
      </c>
      <c r="D245">
        <v>3562466.092759931</v>
      </c>
      <c r="E245">
        <v>2.242412010669234E-6</v>
      </c>
      <c r="F245">
        <v>2.2263348351353118E-6</v>
      </c>
      <c r="G245">
        <v>1.6077175533922181E-8</v>
      </c>
      <c r="H245" t="b">
        <v>0</v>
      </c>
    </row>
    <row r="246" spans="1:8" x14ac:dyDescent="0.15">
      <c r="A246">
        <v>233</v>
      </c>
      <c r="B246">
        <v>17</v>
      </c>
      <c r="C246">
        <v>3949479.94140625</v>
      </c>
      <c r="D246">
        <v>3832047.4022869291</v>
      </c>
      <c r="E246">
        <v>2.2435953030392443E-6</v>
      </c>
      <c r="F246">
        <v>2.2263348351353118E-6</v>
      </c>
      <c r="G246">
        <v>1.7260467903932475E-8</v>
      </c>
      <c r="H246" t="b">
        <v>0</v>
      </c>
    </row>
    <row r="247" spans="1:8" x14ac:dyDescent="0.15">
      <c r="A247">
        <v>233</v>
      </c>
      <c r="B247">
        <v>18</v>
      </c>
      <c r="C247">
        <v>3949911.94140625</v>
      </c>
      <c r="D247">
        <v>4157017.1505746255</v>
      </c>
      <c r="E247">
        <v>2.245015832952574E-6</v>
      </c>
      <c r="F247">
        <v>2.2263348351353118E-6</v>
      </c>
      <c r="G247">
        <v>1.8680997817262197E-8</v>
      </c>
      <c r="H247" t="b">
        <v>0</v>
      </c>
    </row>
    <row r="248" spans="1:8" x14ac:dyDescent="0.15">
      <c r="A248">
        <v>233</v>
      </c>
      <c r="B248">
        <v>19</v>
      </c>
      <c r="C248">
        <v>3949695.94140625</v>
      </c>
      <c r="D248">
        <v>3994314.6609226163</v>
      </c>
      <c r="E248">
        <v>2.2443054159983631E-6</v>
      </c>
      <c r="F248">
        <v>2.2263348351353118E-6</v>
      </c>
      <c r="G248">
        <v>1.7970580863051274E-8</v>
      </c>
      <c r="H248" t="b">
        <v>0</v>
      </c>
    </row>
    <row r="249" spans="1:8" x14ac:dyDescent="0.15">
      <c r="A249">
        <v>233</v>
      </c>
      <c r="B249">
        <v>20</v>
      </c>
      <c r="C249">
        <v>3949436.7414062498</v>
      </c>
      <c r="D249">
        <v>3799622.1434291294</v>
      </c>
      <c r="E249">
        <v>2.2434532118023668E-6</v>
      </c>
      <c r="F249">
        <v>2.2263348351353118E-6</v>
      </c>
      <c r="G249">
        <v>1.7118376667054932E-8</v>
      </c>
      <c r="H249" t="b">
        <v>0</v>
      </c>
    </row>
    <row r="250" spans="1:8" x14ac:dyDescent="0.15">
      <c r="A250">
        <v>233</v>
      </c>
      <c r="B250">
        <v>21</v>
      </c>
      <c r="C250">
        <v>3949566.3414062499</v>
      </c>
      <c r="D250">
        <v>3896912.7927016695</v>
      </c>
      <c r="E250">
        <v>2.2438793584817552E-6</v>
      </c>
      <c r="F250">
        <v>2.2263348351353118E-6</v>
      </c>
      <c r="G250">
        <v>1.7544523346443337E-8</v>
      </c>
      <c r="H250" t="b">
        <v>0</v>
      </c>
    </row>
    <row r="251" spans="1:8" x14ac:dyDescent="0.15">
      <c r="A251">
        <v>233</v>
      </c>
      <c r="B251">
        <v>22</v>
      </c>
      <c r="C251">
        <v>3949721.8614062499</v>
      </c>
      <c r="D251">
        <v>4013815.7265661401</v>
      </c>
      <c r="E251">
        <v>2.244390648926419E-6</v>
      </c>
      <c r="F251">
        <v>2.2263348351353118E-6</v>
      </c>
      <c r="G251">
        <v>1.805581379110717E-8</v>
      </c>
      <c r="H251" t="b">
        <v>0</v>
      </c>
    </row>
    <row r="252" spans="1:8" x14ac:dyDescent="0.15">
      <c r="A252">
        <v>233</v>
      </c>
      <c r="B252">
        <v>23</v>
      </c>
      <c r="C252">
        <v>3949644.1014062501</v>
      </c>
      <c r="D252">
        <v>3955346.5830604308</v>
      </c>
      <c r="E252">
        <v>2.2441350299851321E-6</v>
      </c>
      <c r="F252">
        <v>2.2263348351353118E-6</v>
      </c>
      <c r="G252">
        <v>1.7800194849820244E-8</v>
      </c>
      <c r="H252" t="b">
        <v>0</v>
      </c>
    </row>
    <row r="253" spans="1:8" x14ac:dyDescent="0.15">
      <c r="A253">
        <v>234</v>
      </c>
      <c r="B253">
        <v>1</v>
      </c>
      <c r="C253">
        <v>6050000</v>
      </c>
      <c r="D253">
        <v>-23406.900374425666</v>
      </c>
      <c r="E253">
        <v>-3.1642476144836459E-6</v>
      </c>
      <c r="F253">
        <v>3.9154236567046747E-6</v>
      </c>
      <c r="G253">
        <v>-7.0796712711883207E-6</v>
      </c>
      <c r="H253" t="b">
        <v>1</v>
      </c>
    </row>
    <row r="254" spans="1:8" x14ac:dyDescent="0.15">
      <c r="A254">
        <v>234</v>
      </c>
      <c r="B254">
        <v>2</v>
      </c>
      <c r="C254">
        <v>9025000</v>
      </c>
      <c r="D254">
        <v>-183240.6901754603</v>
      </c>
      <c r="E254">
        <v>-7.2754828524768347E-8</v>
      </c>
      <c r="F254">
        <v>3.9154236567046747E-6</v>
      </c>
      <c r="G254">
        <v>-3.9881784852294434E-6</v>
      </c>
      <c r="H254" t="b">
        <v>1</v>
      </c>
    </row>
    <row r="255" spans="1:8" x14ac:dyDescent="0.15">
      <c r="A255">
        <v>234</v>
      </c>
      <c r="B255">
        <v>3</v>
      </c>
      <c r="C255">
        <v>10512500</v>
      </c>
      <c r="D255">
        <v>-595406.84898091934</v>
      </c>
      <c r="E255">
        <v>8.1721303016214405E-7</v>
      </c>
      <c r="F255">
        <v>3.9154236567046747E-6</v>
      </c>
      <c r="G255">
        <v>-3.0982106265425306E-6</v>
      </c>
      <c r="H255" t="b">
        <v>1</v>
      </c>
    </row>
    <row r="256" spans="1:8" x14ac:dyDescent="0.15">
      <c r="A256">
        <v>234</v>
      </c>
      <c r="B256">
        <v>4</v>
      </c>
      <c r="C256">
        <v>11256250</v>
      </c>
      <c r="D256">
        <v>-1161639.8756858518</v>
      </c>
      <c r="E256">
        <v>1.1873781600118979E-6</v>
      </c>
      <c r="F256">
        <v>3.9154236567046747E-6</v>
      </c>
      <c r="G256">
        <v>-2.7280454966927771E-6</v>
      </c>
      <c r="H256" t="b">
        <v>1</v>
      </c>
    </row>
    <row r="257" spans="1:8" x14ac:dyDescent="0.15">
      <c r="A257">
        <v>234</v>
      </c>
      <c r="B257">
        <v>5</v>
      </c>
      <c r="C257">
        <v>11628125</v>
      </c>
      <c r="D257">
        <v>-1793197.9192781253</v>
      </c>
      <c r="E257">
        <v>1.3959785494186175E-6</v>
      </c>
      <c r="F257">
        <v>3.9154236567046747E-6</v>
      </c>
      <c r="G257">
        <v>-2.5194451072860572E-6</v>
      </c>
      <c r="H257" t="b">
        <v>1</v>
      </c>
    </row>
    <row r="258" spans="1:8" x14ac:dyDescent="0.15">
      <c r="A258">
        <v>234</v>
      </c>
      <c r="B258">
        <v>6</v>
      </c>
      <c r="C258">
        <v>11814062.5</v>
      </c>
      <c r="D258">
        <v>-2308187.0037409537</v>
      </c>
      <c r="E258">
        <v>1.5092128586168928E-6</v>
      </c>
      <c r="F258">
        <v>3.9154236567046747E-6</v>
      </c>
      <c r="G258">
        <v>-2.4062107980877818E-6</v>
      </c>
      <c r="H258" t="b">
        <v>1</v>
      </c>
    </row>
    <row r="259" spans="1:8" x14ac:dyDescent="0.15">
      <c r="A259">
        <v>234</v>
      </c>
      <c r="B259">
        <v>7</v>
      </c>
      <c r="C259">
        <v>11907031.25</v>
      </c>
      <c r="D259">
        <v>-2642932.8751723375</v>
      </c>
      <c r="E259">
        <v>1.5680933088460793E-6</v>
      </c>
      <c r="F259">
        <v>3.9154236567046747E-6</v>
      </c>
      <c r="G259">
        <v>-2.3473303478585954E-6</v>
      </c>
      <c r="H259" t="b">
        <v>1</v>
      </c>
    </row>
    <row r="260" spans="1:8" x14ac:dyDescent="0.15">
      <c r="A260">
        <v>234</v>
      </c>
      <c r="B260">
        <v>8</v>
      </c>
      <c r="C260">
        <v>11953515.625</v>
      </c>
      <c r="D260">
        <v>-2834572.3822991257</v>
      </c>
      <c r="E260">
        <v>1.5981046165916261E-6</v>
      </c>
      <c r="F260">
        <v>3.9154236567046747E-6</v>
      </c>
      <c r="G260">
        <v>-2.3173190401130487E-6</v>
      </c>
      <c r="H260" t="b">
        <v>1</v>
      </c>
    </row>
    <row r="261" spans="1:8" x14ac:dyDescent="0.15">
      <c r="A261">
        <v>234</v>
      </c>
      <c r="B261">
        <v>9</v>
      </c>
      <c r="C261">
        <v>11976757.8125</v>
      </c>
      <c r="D261">
        <v>-2937200.8682625783</v>
      </c>
      <c r="E261">
        <v>1.6132534736773536E-6</v>
      </c>
      <c r="F261">
        <v>3.9154236567046747E-6</v>
      </c>
      <c r="G261">
        <v>-2.3021701830273212E-6</v>
      </c>
      <c r="H261" t="b">
        <v>1</v>
      </c>
    </row>
    <row r="262" spans="1:8" x14ac:dyDescent="0.15">
      <c r="A262">
        <v>234</v>
      </c>
      <c r="B262">
        <v>10</v>
      </c>
      <c r="C262">
        <v>11988378.90625</v>
      </c>
      <c r="D262">
        <v>-2990318.6227836404</v>
      </c>
      <c r="E262">
        <v>1.6208637317875495E-6</v>
      </c>
      <c r="F262">
        <v>3.9154236567046747E-6</v>
      </c>
      <c r="G262">
        <v>-2.2945599249171253E-6</v>
      </c>
      <c r="H262" t="b">
        <v>1</v>
      </c>
    </row>
    <row r="263" spans="1:8" x14ac:dyDescent="0.15">
      <c r="A263">
        <v>234</v>
      </c>
      <c r="B263">
        <v>11</v>
      </c>
      <c r="C263">
        <v>11994189.453125</v>
      </c>
      <c r="D263">
        <v>-3017341.7883366863</v>
      </c>
      <c r="E263">
        <v>1.6246778455461422E-6</v>
      </c>
      <c r="F263">
        <v>3.9154236567046747E-6</v>
      </c>
      <c r="G263">
        <v>-2.2907458111585326E-6</v>
      </c>
      <c r="H263" t="b">
        <v>1</v>
      </c>
    </row>
    <row r="264" spans="1:8" x14ac:dyDescent="0.15">
      <c r="A264">
        <v>234</v>
      </c>
      <c r="B264">
        <v>12</v>
      </c>
      <c r="C264">
        <v>11997094.7265625</v>
      </c>
      <c r="D264">
        <v>-3030971.126100081</v>
      </c>
      <c r="E264">
        <v>1.6265871479031519E-6</v>
      </c>
      <c r="F264">
        <v>3.9154236567046747E-6</v>
      </c>
      <c r="G264">
        <v>-2.2888365088015226E-6</v>
      </c>
      <c r="H264" t="b">
        <v>1</v>
      </c>
    </row>
    <row r="265" spans="1:8" x14ac:dyDescent="0.15">
      <c r="A265">
        <v>234</v>
      </c>
      <c r="B265">
        <v>13</v>
      </c>
      <c r="C265">
        <v>11998547.36328125</v>
      </c>
      <c r="D265">
        <v>-3037815.2462471165</v>
      </c>
      <c r="E265">
        <v>1.627542332223408E-6</v>
      </c>
      <c r="F265">
        <v>3.9154236567046747E-6</v>
      </c>
      <c r="G265">
        <v>-2.2878813244812665E-6</v>
      </c>
      <c r="H265" t="b">
        <v>1</v>
      </c>
    </row>
    <row r="266" spans="1:8" x14ac:dyDescent="0.15">
      <c r="A266">
        <v>234</v>
      </c>
      <c r="B266">
        <v>14</v>
      </c>
      <c r="C266">
        <v>11999547.36328125</v>
      </c>
      <c r="D266">
        <v>-3042538.6325796791</v>
      </c>
      <c r="E266">
        <v>1.628200149014671E-6</v>
      </c>
      <c r="F266">
        <v>3.9154236567046747E-6</v>
      </c>
      <c r="G266">
        <v>-2.2872235076900038E-6</v>
      </c>
      <c r="H266" t="b">
        <v>1</v>
      </c>
    </row>
    <row r="267" spans="1:8" x14ac:dyDescent="0.15">
      <c r="A267">
        <v>234</v>
      </c>
      <c r="B267">
        <v>15</v>
      </c>
      <c r="C267">
        <v>12000547.36328125</v>
      </c>
      <c r="D267">
        <v>-3047271.0418957956</v>
      </c>
      <c r="E267">
        <v>1.6288580869171416E-6</v>
      </c>
      <c r="F267">
        <v>3.9154236567046747E-6</v>
      </c>
      <c r="G267">
        <v>-2.2865655697875333E-6</v>
      </c>
      <c r="H267" t="b">
        <v>1</v>
      </c>
    </row>
    <row r="268" spans="1:8" x14ac:dyDescent="0.15">
      <c r="A268">
        <v>234</v>
      </c>
      <c r="B268">
        <v>16</v>
      </c>
      <c r="C268">
        <v>12001547.36328125</v>
      </c>
      <c r="D268">
        <v>-3052013.0994658992</v>
      </c>
      <c r="E268">
        <v>1.6295162301356051E-6</v>
      </c>
      <c r="F268">
        <v>3.9154236567046747E-6</v>
      </c>
      <c r="G268">
        <v>-2.2859074265690698E-6</v>
      </c>
      <c r="H268" t="b">
        <v>1</v>
      </c>
    </row>
    <row r="269" spans="1:8" x14ac:dyDescent="0.15">
      <c r="A269">
        <v>234</v>
      </c>
      <c r="B269">
        <v>17</v>
      </c>
      <c r="C269">
        <v>12002547.36328125</v>
      </c>
      <c r="D269">
        <v>-3056764.6238342403</v>
      </c>
      <c r="E269">
        <v>1.6301745506147954E-6</v>
      </c>
      <c r="F269">
        <v>3.9154236567046747E-6</v>
      </c>
      <c r="G269">
        <v>-2.2852491060898793E-6</v>
      </c>
      <c r="H269" t="b">
        <v>1</v>
      </c>
    </row>
    <row r="270" spans="1:8" x14ac:dyDescent="0.15">
      <c r="A270">
        <v>234</v>
      </c>
      <c r="B270">
        <v>18</v>
      </c>
      <c r="C270">
        <v>12003547.36328125</v>
      </c>
      <c r="D270">
        <v>-3061525.6352772131</v>
      </c>
      <c r="E270">
        <v>1.6308330483644033E-6</v>
      </c>
      <c r="F270">
        <v>3.9154236567046747E-6</v>
      </c>
      <c r="G270">
        <v>-2.2845906083402717E-6</v>
      </c>
      <c r="H270" t="b">
        <v>1</v>
      </c>
    </row>
    <row r="271" spans="1:8" x14ac:dyDescent="0.15">
      <c r="A271">
        <v>234</v>
      </c>
      <c r="B271">
        <v>19</v>
      </c>
      <c r="C271">
        <v>12004547.36328125</v>
      </c>
      <c r="D271">
        <v>-3066296.3582225819</v>
      </c>
      <c r="E271">
        <v>1.6314917515517545E-6</v>
      </c>
      <c r="F271">
        <v>3.9154236567046747E-6</v>
      </c>
      <c r="G271">
        <v>-2.2839319051529202E-6</v>
      </c>
      <c r="H271" t="b">
        <v>1</v>
      </c>
    </row>
    <row r="272" spans="1:8" x14ac:dyDescent="0.15">
      <c r="A272">
        <v>234</v>
      </c>
      <c r="B272">
        <v>20</v>
      </c>
      <c r="C272">
        <v>12005547.36328125</v>
      </c>
      <c r="D272">
        <v>-3071076.2006948288</v>
      </c>
      <c r="E272">
        <v>1.6321505757133254E-6</v>
      </c>
      <c r="F272">
        <v>3.9154236567046747E-6</v>
      </c>
      <c r="G272">
        <v>-2.2832730809913491E-6</v>
      </c>
      <c r="H272" t="b">
        <v>1</v>
      </c>
    </row>
    <row r="273" spans="1:8" x14ac:dyDescent="0.15">
      <c r="A273">
        <v>234</v>
      </c>
      <c r="B273">
        <v>21</v>
      </c>
      <c r="C273">
        <v>12006547.36328125</v>
      </c>
      <c r="D273">
        <v>-3075866.0005138637</v>
      </c>
      <c r="E273">
        <v>1.6328096335268506E-6</v>
      </c>
      <c r="F273">
        <v>3.9154236567046747E-6</v>
      </c>
      <c r="G273">
        <v>-2.2826140231778241E-6</v>
      </c>
      <c r="H273" t="b">
        <v>1</v>
      </c>
    </row>
    <row r="274" spans="1:8" x14ac:dyDescent="0.15">
      <c r="A274">
        <v>234</v>
      </c>
      <c r="B274">
        <v>22</v>
      </c>
      <c r="C274">
        <v>12007547.36328125</v>
      </c>
      <c r="D274">
        <v>-3080664.9587458256</v>
      </c>
      <c r="E274">
        <v>1.6334688122595542E-6</v>
      </c>
      <c r="F274">
        <v>3.9154236567046747E-6</v>
      </c>
      <c r="G274">
        <v>-2.2819548444451205E-6</v>
      </c>
      <c r="H274" t="b">
        <v>1</v>
      </c>
    </row>
    <row r="275" spans="1:8" x14ac:dyDescent="0.15">
      <c r="A275">
        <v>234</v>
      </c>
      <c r="B275">
        <v>23</v>
      </c>
      <c r="C275">
        <v>12008547.36328125</v>
      </c>
      <c r="D275">
        <v>-3085473.7111339793</v>
      </c>
      <c r="E275">
        <v>1.6341281965057369E-6</v>
      </c>
      <c r="F275">
        <v>3.9154236567046747E-6</v>
      </c>
      <c r="G275">
        <v>-2.2812954601989381E-6</v>
      </c>
      <c r="H275" t="b">
        <v>1</v>
      </c>
    </row>
    <row r="276" spans="1:8" x14ac:dyDescent="0.15">
      <c r="A276">
        <v>234</v>
      </c>
      <c r="B276">
        <v>24</v>
      </c>
      <c r="C276">
        <v>12009547.36328125</v>
      </c>
      <c r="D276">
        <v>-3090292.0731130191</v>
      </c>
      <c r="E276">
        <v>1.6347877580801618E-6</v>
      </c>
      <c r="F276">
        <v>3.9154236567046747E-6</v>
      </c>
      <c r="G276">
        <v>-2.280635898624513E-6</v>
      </c>
      <c r="H276" t="b">
        <v>1</v>
      </c>
    </row>
    <row r="277" spans="1:8" x14ac:dyDescent="0.15">
      <c r="A277">
        <v>234</v>
      </c>
      <c r="B277">
        <v>25</v>
      </c>
      <c r="C277">
        <v>12010547.36328125</v>
      </c>
      <c r="D277">
        <v>-3095120.0652458961</v>
      </c>
      <c r="E277">
        <v>1.6354474969924263E-6</v>
      </c>
      <c r="F277">
        <v>3.9154236567046747E-6</v>
      </c>
      <c r="G277">
        <v>-2.2799761597122486E-6</v>
      </c>
      <c r="H277" t="b">
        <v>1</v>
      </c>
    </row>
    <row r="278" spans="1:8" x14ac:dyDescent="0.15">
      <c r="A278">
        <v>234</v>
      </c>
      <c r="B278">
        <v>26</v>
      </c>
      <c r="C278">
        <v>12011547.36328125</v>
      </c>
      <c r="D278">
        <v>-3099957.9156856397</v>
      </c>
      <c r="E278">
        <v>1.6361074415399857E-6</v>
      </c>
      <c r="F278">
        <v>3.9154236567046747E-6</v>
      </c>
      <c r="G278">
        <v>-2.279316215164689E-6</v>
      </c>
      <c r="H278" t="b">
        <v>1</v>
      </c>
    </row>
    <row r="279" spans="1:8" x14ac:dyDescent="0.15">
      <c r="A279">
        <v>234</v>
      </c>
      <c r="B279">
        <v>27</v>
      </c>
      <c r="C279">
        <v>12012547.36328125</v>
      </c>
      <c r="D279">
        <v>-3104805.0224296548</v>
      </c>
      <c r="E279">
        <v>1.6367675068686473E-6</v>
      </c>
      <c r="F279">
        <v>3.9154236567046747E-6</v>
      </c>
      <c r="G279">
        <v>-2.2786561498360274E-6</v>
      </c>
      <c r="H279" t="b">
        <v>1</v>
      </c>
    </row>
    <row r="280" spans="1:8" x14ac:dyDescent="0.15">
      <c r="A280">
        <v>234</v>
      </c>
      <c r="B280">
        <v>28</v>
      </c>
      <c r="C280">
        <v>12013547.36328125</v>
      </c>
      <c r="D280">
        <v>-3109662.2373560057</v>
      </c>
      <c r="E280">
        <v>1.6374278061770655E-6</v>
      </c>
      <c r="F280">
        <v>3.9154236567046747E-6</v>
      </c>
      <c r="G280">
        <v>-2.2779958505276092E-6</v>
      </c>
      <c r="H280" t="b">
        <v>1</v>
      </c>
    </row>
    <row r="281" spans="1:8" x14ac:dyDescent="0.15">
      <c r="A281">
        <v>234</v>
      </c>
      <c r="B281">
        <v>29</v>
      </c>
      <c r="C281">
        <v>12014547.36328125</v>
      </c>
      <c r="D281">
        <v>-3114528.7480149292</v>
      </c>
      <c r="E281">
        <v>1.6380882262112035E-6</v>
      </c>
      <c r="F281">
        <v>3.9154236567046747E-6</v>
      </c>
      <c r="G281">
        <v>-2.2773354304934714E-6</v>
      </c>
      <c r="H281" t="b">
        <v>1</v>
      </c>
    </row>
    <row r="282" spans="1:8" x14ac:dyDescent="0.15">
      <c r="A282">
        <v>234</v>
      </c>
      <c r="B282">
        <v>30</v>
      </c>
      <c r="C282">
        <v>12015547.36328125</v>
      </c>
      <c r="D282">
        <v>-3119405.4103439506</v>
      </c>
      <c r="E282">
        <v>1.63874888031864E-6</v>
      </c>
      <c r="F282">
        <v>3.9154236567046747E-6</v>
      </c>
      <c r="G282">
        <v>-2.276674776386035E-6</v>
      </c>
      <c r="H282" t="b">
        <v>1</v>
      </c>
    </row>
    <row r="283" spans="1:8" x14ac:dyDescent="0.15">
      <c r="A283">
        <v>234</v>
      </c>
      <c r="B283">
        <v>31</v>
      </c>
      <c r="C283">
        <v>12016547.36328125</v>
      </c>
      <c r="D283">
        <v>-3124291.6180314953</v>
      </c>
      <c r="E283">
        <v>1.6394096834774998E-6</v>
      </c>
      <c r="F283">
        <v>3.9154236567046747E-6</v>
      </c>
      <c r="G283">
        <v>-2.2760139732271747E-6</v>
      </c>
      <c r="H283" t="b">
        <v>1</v>
      </c>
    </row>
    <row r="284" spans="1:8" x14ac:dyDescent="0.15">
      <c r="A284">
        <v>234</v>
      </c>
      <c r="B284">
        <v>32</v>
      </c>
      <c r="C284">
        <v>12017547.36328125</v>
      </c>
      <c r="D284">
        <v>-3129187.390426937</v>
      </c>
      <c r="E284">
        <v>1.640070635641311E-6</v>
      </c>
      <c r="F284">
        <v>3.9154236567046747E-6</v>
      </c>
      <c r="G284">
        <v>-2.275353021063364E-6</v>
      </c>
      <c r="H284" t="b">
        <v>1</v>
      </c>
    </row>
    <row r="285" spans="1:8" x14ac:dyDescent="0.15">
      <c r="A285">
        <v>234</v>
      </c>
      <c r="B285">
        <v>33</v>
      </c>
      <c r="C285">
        <v>12018547.36328125</v>
      </c>
      <c r="D285">
        <v>-3134093.3800550317</v>
      </c>
      <c r="E285">
        <v>1.6407318220189871E-6</v>
      </c>
      <c r="F285">
        <v>3.9154236567046747E-6</v>
      </c>
      <c r="G285">
        <v>-2.2746918346856878E-6</v>
      </c>
      <c r="H285" t="b">
        <v>1</v>
      </c>
    </row>
    <row r="286" spans="1:8" x14ac:dyDescent="0.15">
      <c r="A286">
        <v>234</v>
      </c>
      <c r="B286">
        <v>34</v>
      </c>
      <c r="C286">
        <v>12019547.36328125</v>
      </c>
      <c r="D286">
        <v>-3139008.7646682267</v>
      </c>
      <c r="E286">
        <v>1.6413931289834304E-6</v>
      </c>
      <c r="F286">
        <v>3.9154236567046747E-6</v>
      </c>
      <c r="G286">
        <v>-2.2740305277212444E-6</v>
      </c>
      <c r="H286" t="b">
        <v>1</v>
      </c>
    </row>
    <row r="287" spans="1:8" x14ac:dyDescent="0.15">
      <c r="A287">
        <v>234</v>
      </c>
      <c r="B287">
        <v>35</v>
      </c>
      <c r="C287">
        <v>12020547.36328125</v>
      </c>
      <c r="D287">
        <v>-3143934.4104431202</v>
      </c>
      <c r="E287">
        <v>1.6420546702555399E-6</v>
      </c>
      <c r="F287">
        <v>3.9154236567046747E-6</v>
      </c>
      <c r="G287">
        <v>-2.273368986449135E-6</v>
      </c>
      <c r="H287" t="b">
        <v>1</v>
      </c>
    </row>
    <row r="288" spans="1:8" x14ac:dyDescent="0.15">
      <c r="A288">
        <v>234</v>
      </c>
      <c r="B288">
        <v>36</v>
      </c>
      <c r="C288">
        <v>12021547.36328125</v>
      </c>
      <c r="D288">
        <v>-3148869.4911782183</v>
      </c>
      <c r="E288">
        <v>1.6427163320586908E-6</v>
      </c>
      <c r="F288">
        <v>3.9154236567046747E-6</v>
      </c>
      <c r="G288">
        <v>-2.2727073246459839E-6</v>
      </c>
      <c r="H288" t="b">
        <v>1</v>
      </c>
    </row>
    <row r="289" spans="1:8" x14ac:dyDescent="0.15">
      <c r="A289">
        <v>234</v>
      </c>
      <c r="B289">
        <v>37</v>
      </c>
      <c r="C289">
        <v>12022547.36328125</v>
      </c>
      <c r="D289">
        <v>-3153814.8771791644</v>
      </c>
      <c r="E289">
        <v>1.6433782282631132E-6</v>
      </c>
      <c r="F289">
        <v>3.9154236567046747E-6</v>
      </c>
      <c r="G289">
        <v>-2.2720454284415613E-6</v>
      </c>
      <c r="H289" t="b">
        <v>1</v>
      </c>
    </row>
    <row r="290" spans="1:8" x14ac:dyDescent="0.15">
      <c r="A290">
        <v>234</v>
      </c>
      <c r="B290">
        <v>38</v>
      </c>
      <c r="C290">
        <v>12023547.36328125</v>
      </c>
      <c r="D290">
        <v>-3158769.738272564</v>
      </c>
      <c r="E290">
        <v>1.644040244942769E-6</v>
      </c>
      <c r="F290">
        <v>3.9154236567046747E-6</v>
      </c>
      <c r="G290">
        <v>-2.2713834117619058E-6</v>
      </c>
      <c r="H290" t="b">
        <v>1</v>
      </c>
    </row>
    <row r="291" spans="1:8" x14ac:dyDescent="0.15">
      <c r="A291">
        <v>234</v>
      </c>
      <c r="B291">
        <v>39</v>
      </c>
      <c r="C291">
        <v>12024547.36328125</v>
      </c>
      <c r="D291">
        <v>-3163734.7348211822</v>
      </c>
      <c r="E291">
        <v>1.6447024675868359E-6</v>
      </c>
      <c r="F291">
        <v>3.9154236567046747E-6</v>
      </c>
      <c r="G291">
        <v>-2.270721189117839E-6</v>
      </c>
      <c r="H291" t="b">
        <v>1</v>
      </c>
    </row>
    <row r="292" spans="1:8" x14ac:dyDescent="0.15">
      <c r="A292">
        <v>234</v>
      </c>
      <c r="B292">
        <v>40</v>
      </c>
      <c r="C292">
        <v>12025547.36328125</v>
      </c>
      <c r="D292">
        <v>-3168709.8895430998</v>
      </c>
      <c r="E292">
        <v>1.645364896260857E-6</v>
      </c>
      <c r="F292">
        <v>3.9154236567046747E-6</v>
      </c>
      <c r="G292">
        <v>-2.2700587604438177E-6</v>
      </c>
      <c r="H292" t="b">
        <v>1</v>
      </c>
    </row>
    <row r="293" spans="1:8" x14ac:dyDescent="0.15">
      <c r="A293">
        <v>234</v>
      </c>
      <c r="B293">
        <v>41</v>
      </c>
      <c r="C293">
        <v>12026547.36328125</v>
      </c>
      <c r="D293">
        <v>-3173694.5798504329</v>
      </c>
      <c r="E293">
        <v>1.6460274453261245E-6</v>
      </c>
      <c r="F293">
        <v>3.9154236567046747E-6</v>
      </c>
      <c r="G293">
        <v>-2.2693962113785502E-6</v>
      </c>
      <c r="H293" t="b">
        <v>1</v>
      </c>
    </row>
    <row r="294" spans="1:8" x14ac:dyDescent="0.15">
      <c r="A294">
        <v>234</v>
      </c>
      <c r="B294">
        <v>42</v>
      </c>
      <c r="C294">
        <v>12027547.36328125</v>
      </c>
      <c r="D294">
        <v>-3178689.4708290417</v>
      </c>
      <c r="E294">
        <v>1.6466902004402192E-6</v>
      </c>
      <c r="F294">
        <v>3.9154236567046747E-6</v>
      </c>
      <c r="G294">
        <v>-2.2687334562644558E-6</v>
      </c>
      <c r="H294" t="b">
        <v>1</v>
      </c>
    </row>
    <row r="295" spans="1:8" x14ac:dyDescent="0.15">
      <c r="A295">
        <v>234</v>
      </c>
      <c r="B295">
        <v>43</v>
      </c>
      <c r="C295">
        <v>12028547.36328125</v>
      </c>
      <c r="D295">
        <v>-3183694.3691856898</v>
      </c>
      <c r="E295">
        <v>1.6473531330631798E-6</v>
      </c>
      <c r="F295">
        <v>3.9154236567046747E-6</v>
      </c>
      <c r="G295">
        <v>-2.2680705236414947E-6</v>
      </c>
      <c r="H295" t="b">
        <v>1</v>
      </c>
    </row>
    <row r="296" spans="1:8" x14ac:dyDescent="0.15">
      <c r="A296">
        <v>234</v>
      </c>
      <c r="B296">
        <v>44</v>
      </c>
      <c r="C296">
        <v>12029547.36328125</v>
      </c>
      <c r="D296">
        <v>-3188709.5129408929</v>
      </c>
      <c r="E296">
        <v>1.6480162718287993E-6</v>
      </c>
      <c r="F296">
        <v>3.9154236567046747E-6</v>
      </c>
      <c r="G296">
        <v>-2.2674073848758755E-6</v>
      </c>
      <c r="H296" t="b">
        <v>1</v>
      </c>
    </row>
    <row r="297" spans="1:8" x14ac:dyDescent="0.15">
      <c r="A297">
        <v>234</v>
      </c>
      <c r="B297">
        <v>45</v>
      </c>
      <c r="C297">
        <v>12030547.36328125</v>
      </c>
      <c r="D297">
        <v>-3193734.2734912424</v>
      </c>
      <c r="E297">
        <v>1.6486795308732756E-6</v>
      </c>
      <c r="F297">
        <v>3.9154236567046747E-6</v>
      </c>
      <c r="G297">
        <v>-2.266744125831399E-6</v>
      </c>
      <c r="H297" t="b">
        <v>1</v>
      </c>
    </row>
    <row r="298" spans="1:8" x14ac:dyDescent="0.15">
      <c r="A298">
        <v>234</v>
      </c>
      <c r="B298">
        <v>46</v>
      </c>
      <c r="C298">
        <v>12031547.36328125</v>
      </c>
      <c r="D298">
        <v>-3198769.322274358</v>
      </c>
      <c r="E298">
        <v>1.6493429960791357E-6</v>
      </c>
      <c r="F298">
        <v>3.9154236567046747E-6</v>
      </c>
      <c r="G298">
        <v>-2.2660806606255388E-6</v>
      </c>
      <c r="H298" t="b">
        <v>1</v>
      </c>
    </row>
    <row r="299" spans="1:8" x14ac:dyDescent="0.15">
      <c r="A299">
        <v>234</v>
      </c>
      <c r="B299">
        <v>47</v>
      </c>
      <c r="C299">
        <v>12032547.36328125</v>
      </c>
      <c r="D299">
        <v>-3203814.4641050715</v>
      </c>
      <c r="E299">
        <v>1.6500066388314526E-6</v>
      </c>
      <c r="F299">
        <v>3.9154236567046747E-6</v>
      </c>
      <c r="G299">
        <v>-2.2654170178732221E-6</v>
      </c>
      <c r="H299" t="b">
        <v>1</v>
      </c>
    </row>
    <row r="300" spans="1:8" x14ac:dyDescent="0.15">
      <c r="A300">
        <v>234</v>
      </c>
      <c r="B300">
        <v>48</v>
      </c>
      <c r="C300">
        <v>12033547.36328125</v>
      </c>
      <c r="D300">
        <v>-3208869.7205055673</v>
      </c>
      <c r="E300">
        <v>1.6506704591394932E-6</v>
      </c>
      <c r="F300">
        <v>3.9154236567046747E-6</v>
      </c>
      <c r="G300">
        <v>-2.2647531975651813E-6</v>
      </c>
      <c r="H300" t="b">
        <v>1</v>
      </c>
    </row>
    <row r="301" spans="1:8" x14ac:dyDescent="0.15">
      <c r="A301">
        <v>234</v>
      </c>
      <c r="B301">
        <v>49</v>
      </c>
      <c r="C301">
        <v>12034547.36328125</v>
      </c>
      <c r="D301">
        <v>-3213935.3323125313</v>
      </c>
      <c r="E301">
        <v>1.6513344857309143E-6</v>
      </c>
      <c r="F301">
        <v>3.9154236567046747E-6</v>
      </c>
      <c r="G301">
        <v>-2.2640891709737605E-6</v>
      </c>
      <c r="H301" t="b">
        <v>1</v>
      </c>
    </row>
    <row r="302" spans="1:8" x14ac:dyDescent="0.15">
      <c r="A302">
        <v>234</v>
      </c>
      <c r="B302">
        <v>50</v>
      </c>
      <c r="C302">
        <v>12035547.36328125</v>
      </c>
      <c r="D302">
        <v>-3219010.8831157959</v>
      </c>
      <c r="E302">
        <v>1.6519986611972911E-6</v>
      </c>
      <c r="F302">
        <v>3.9154236567046747E-6</v>
      </c>
      <c r="G302">
        <v>-2.2634249955073837E-6</v>
      </c>
      <c r="H302" t="b">
        <v>1</v>
      </c>
    </row>
    <row r="303" spans="1:8" x14ac:dyDescent="0.15">
      <c r="A303">
        <v>234</v>
      </c>
      <c r="B303">
        <v>51</v>
      </c>
      <c r="C303">
        <v>12036547.36328125</v>
      </c>
      <c r="D303">
        <v>-3224096.3929908462</v>
      </c>
      <c r="E303">
        <v>1.6526629854915338E-6</v>
      </c>
      <c r="F303">
        <v>3.9154236567046747E-6</v>
      </c>
      <c r="G303">
        <v>-2.2627606712131409E-6</v>
      </c>
      <c r="H303" t="b">
        <v>1</v>
      </c>
    </row>
    <row r="304" spans="1:8" x14ac:dyDescent="0.15">
      <c r="A304">
        <v>234</v>
      </c>
      <c r="B304">
        <v>52</v>
      </c>
      <c r="C304">
        <v>12037547.36328125</v>
      </c>
      <c r="D304">
        <v>-3229192.3237472004</v>
      </c>
      <c r="E304">
        <v>1.6533275161159359E-6</v>
      </c>
      <c r="F304">
        <v>3.9154236567046747E-6</v>
      </c>
      <c r="G304">
        <v>-2.2620961405887386E-6</v>
      </c>
      <c r="H304" t="b">
        <v>1</v>
      </c>
    </row>
    <row r="305" spans="1:8" x14ac:dyDescent="0.15">
      <c r="A305">
        <v>234</v>
      </c>
      <c r="B305">
        <v>53</v>
      </c>
      <c r="C305">
        <v>12038547.36328125</v>
      </c>
      <c r="D305">
        <v>-3234298.3331244038</v>
      </c>
      <c r="E305">
        <v>1.6539922052151474E-6</v>
      </c>
      <c r="F305">
        <v>3.9154236567046747E-6</v>
      </c>
      <c r="G305">
        <v>-2.2614314514895274E-6</v>
      </c>
      <c r="H305" t="b">
        <v>1</v>
      </c>
    </row>
    <row r="306" spans="1:8" x14ac:dyDescent="0.15">
      <c r="A306">
        <v>234</v>
      </c>
      <c r="B306">
        <v>54</v>
      </c>
      <c r="C306">
        <v>12039547.36328125</v>
      </c>
      <c r="D306">
        <v>-3239414.7305724705</v>
      </c>
      <c r="E306">
        <v>1.6546570913001219E-6</v>
      </c>
      <c r="F306">
        <v>3.9154236567046747E-6</v>
      </c>
      <c r="G306">
        <v>-2.2607665654045529E-6</v>
      </c>
      <c r="H306" t="b">
        <v>1</v>
      </c>
    </row>
    <row r="307" spans="1:8" x14ac:dyDescent="0.15">
      <c r="A307">
        <v>234</v>
      </c>
      <c r="B307">
        <v>55</v>
      </c>
      <c r="C307">
        <v>12040547.36328125</v>
      </c>
      <c r="D307">
        <v>-3244541.6211157585</v>
      </c>
      <c r="E307">
        <v>1.6553221838370515E-6</v>
      </c>
      <c r="F307">
        <v>3.9154236567046747E-6</v>
      </c>
      <c r="G307">
        <v>-2.2601014728676235E-6</v>
      </c>
      <c r="H307" t="b">
        <v>1</v>
      </c>
    </row>
    <row r="308" spans="1:8" x14ac:dyDescent="0.15">
      <c r="A308">
        <v>234</v>
      </c>
      <c r="B308">
        <v>56</v>
      </c>
      <c r="C308">
        <v>12041547.36328125</v>
      </c>
      <c r="D308">
        <v>-3249678.5744902436</v>
      </c>
      <c r="E308">
        <v>1.6559874251915579E-6</v>
      </c>
      <c r="F308">
        <v>3.9154236567046747E-6</v>
      </c>
      <c r="G308">
        <v>-2.259436231513117E-6</v>
      </c>
      <c r="H308" t="b">
        <v>1</v>
      </c>
    </row>
    <row r="309" spans="1:8" x14ac:dyDescent="0.15">
      <c r="A309">
        <v>234</v>
      </c>
      <c r="B309">
        <v>57</v>
      </c>
      <c r="C309">
        <v>12042547.36328125</v>
      </c>
      <c r="D309">
        <v>-3254825.6166697242</v>
      </c>
      <c r="E309">
        <v>1.656652815316172E-6</v>
      </c>
      <c r="F309">
        <v>3.9154236567046747E-6</v>
      </c>
      <c r="G309">
        <v>-2.2587708413885025E-6</v>
      </c>
      <c r="H309" t="b">
        <v>1</v>
      </c>
    </row>
    <row r="310" spans="1:8" x14ac:dyDescent="0.15">
      <c r="A310">
        <v>234</v>
      </c>
      <c r="B310">
        <v>58</v>
      </c>
      <c r="C310">
        <v>12043547.36328125</v>
      </c>
      <c r="D310">
        <v>-3259983.4380504065</v>
      </c>
      <c r="E310">
        <v>1.6573184408269303E-6</v>
      </c>
      <c r="F310">
        <v>3.9154236567046747E-6</v>
      </c>
      <c r="G310">
        <v>-2.2581052158777442E-6</v>
      </c>
      <c r="H310" t="b">
        <v>1</v>
      </c>
    </row>
    <row r="311" spans="1:8" x14ac:dyDescent="0.15">
      <c r="A311">
        <v>234</v>
      </c>
      <c r="B311">
        <v>59</v>
      </c>
      <c r="C311">
        <v>12044547.36328125</v>
      </c>
      <c r="D311">
        <v>-3265151.1655296334</v>
      </c>
      <c r="E311">
        <v>1.6579841862194945E-6</v>
      </c>
      <c r="F311">
        <v>3.9154236567046747E-6</v>
      </c>
      <c r="G311">
        <v>-2.2574394704851805E-6</v>
      </c>
      <c r="H311" t="b">
        <v>1</v>
      </c>
    </row>
    <row r="312" spans="1:8" x14ac:dyDescent="0.15">
      <c r="A312">
        <v>234</v>
      </c>
      <c r="B312">
        <v>60</v>
      </c>
      <c r="C312">
        <v>12045547.36328125</v>
      </c>
      <c r="D312">
        <v>-3270329.4932685019</v>
      </c>
      <c r="E312">
        <v>1.6586501381664105E-6</v>
      </c>
      <c r="F312">
        <v>3.9154236567046747E-6</v>
      </c>
      <c r="G312">
        <v>-2.256773518538264E-6</v>
      </c>
      <c r="H312" t="b">
        <v>1</v>
      </c>
    </row>
    <row r="313" spans="1:8" x14ac:dyDescent="0.15">
      <c r="A313">
        <v>234</v>
      </c>
      <c r="B313">
        <v>61</v>
      </c>
      <c r="C313">
        <v>12046547.36328125</v>
      </c>
      <c r="D313">
        <v>-3275518.4449611669</v>
      </c>
      <c r="E313">
        <v>1.6593162967335392E-6</v>
      </c>
      <c r="F313">
        <v>3.9154236567046747E-6</v>
      </c>
      <c r="G313">
        <v>-2.2561073599711356E-6</v>
      </c>
      <c r="H313" t="b">
        <v>1</v>
      </c>
    </row>
    <row r="314" spans="1:8" x14ac:dyDescent="0.15">
      <c r="A314">
        <v>234</v>
      </c>
      <c r="B314">
        <v>62</v>
      </c>
      <c r="C314">
        <v>12047547.36328125</v>
      </c>
      <c r="D314">
        <v>-3280717.5919601973</v>
      </c>
      <c r="E314">
        <v>1.659982604059882E-6</v>
      </c>
      <c r="F314">
        <v>3.9154236567046747E-6</v>
      </c>
      <c r="G314">
        <v>-2.2554410526447927E-6</v>
      </c>
      <c r="H314" t="b">
        <v>1</v>
      </c>
    </row>
    <row r="315" spans="1:8" x14ac:dyDescent="0.15">
      <c r="A315">
        <v>234</v>
      </c>
      <c r="B315">
        <v>63</v>
      </c>
      <c r="C315">
        <v>12048547.36328125</v>
      </c>
      <c r="D315">
        <v>-3285926.9548103265</v>
      </c>
      <c r="E315">
        <v>1.6606490600978669E-6</v>
      </c>
      <c r="F315">
        <v>3.9154236567046747E-6</v>
      </c>
      <c r="G315">
        <v>-2.2547745966068078E-6</v>
      </c>
      <c r="H315" t="b">
        <v>1</v>
      </c>
    </row>
    <row r="316" spans="1:8" x14ac:dyDescent="0.15">
      <c r="A316">
        <v>234</v>
      </c>
      <c r="B316">
        <v>64</v>
      </c>
      <c r="C316">
        <v>12049547.36328125</v>
      </c>
      <c r="D316">
        <v>-3291147.2359341416</v>
      </c>
      <c r="E316">
        <v>1.6613157518035172E-6</v>
      </c>
      <c r="F316">
        <v>3.9154236567046747E-6</v>
      </c>
      <c r="G316">
        <v>-2.2541079049011575E-6</v>
      </c>
      <c r="H316" t="b">
        <v>1</v>
      </c>
    </row>
    <row r="317" spans="1:8" x14ac:dyDescent="0.15">
      <c r="A317">
        <v>234</v>
      </c>
      <c r="B317">
        <v>65</v>
      </c>
      <c r="C317">
        <v>12050547.36328125</v>
      </c>
      <c r="D317">
        <v>-3296377.54954596</v>
      </c>
      <c r="E317">
        <v>1.6619825632189158E-6</v>
      </c>
      <c r="F317">
        <v>3.9154236567046747E-6</v>
      </c>
      <c r="G317">
        <v>-2.2534410934857592E-6</v>
      </c>
      <c r="H317" t="b">
        <v>1</v>
      </c>
    </row>
    <row r="318" spans="1:8" x14ac:dyDescent="0.15">
      <c r="A318">
        <v>234</v>
      </c>
      <c r="B318">
        <v>66</v>
      </c>
      <c r="C318">
        <v>12051547.36328125</v>
      </c>
      <c r="D318">
        <v>-3301618.8281554766</v>
      </c>
      <c r="E318">
        <v>1.6626496103958625E-6</v>
      </c>
      <c r="F318">
        <v>3.9154236567046747E-6</v>
      </c>
      <c r="G318">
        <v>-2.252774046308812E-6</v>
      </c>
      <c r="H318" t="b">
        <v>1</v>
      </c>
    </row>
    <row r="319" spans="1:8" x14ac:dyDescent="0.15">
      <c r="A319">
        <v>234</v>
      </c>
      <c r="B319">
        <v>67</v>
      </c>
      <c r="C319">
        <v>12052547.36328125</v>
      </c>
      <c r="D319">
        <v>-3306870.1817075489</v>
      </c>
      <c r="E319">
        <v>1.6633167772250327E-6</v>
      </c>
      <c r="F319">
        <v>3.9154236567046747E-6</v>
      </c>
      <c r="G319">
        <v>-2.2521068794796418E-6</v>
      </c>
      <c r="H319" t="b">
        <v>1</v>
      </c>
    </row>
    <row r="320" spans="1:8" x14ac:dyDescent="0.15">
      <c r="A320">
        <v>234</v>
      </c>
      <c r="B320">
        <v>68</v>
      </c>
      <c r="C320">
        <v>12053547.36328125</v>
      </c>
      <c r="D320">
        <v>-3312132.5471646707</v>
      </c>
      <c r="E320">
        <v>1.6639841799095763E-6</v>
      </c>
      <c r="F320">
        <v>3.9154236567046747E-6</v>
      </c>
      <c r="G320">
        <v>-2.2514394767950986E-6</v>
      </c>
      <c r="H320" t="b">
        <v>1</v>
      </c>
    </row>
    <row r="321" spans="1:8" x14ac:dyDescent="0.15">
      <c r="A321">
        <v>234</v>
      </c>
      <c r="B321">
        <v>69</v>
      </c>
      <c r="C321">
        <v>12054547.36328125</v>
      </c>
      <c r="D321">
        <v>-3317405.2601988977</v>
      </c>
      <c r="E321">
        <v>1.664651731284684E-6</v>
      </c>
      <c r="F321">
        <v>3.9154236567046747E-6</v>
      </c>
      <c r="G321">
        <v>-2.2507719254199905E-6</v>
      </c>
      <c r="H321" t="b">
        <v>1</v>
      </c>
    </row>
    <row r="322" spans="1:8" x14ac:dyDescent="0.15">
      <c r="A322">
        <v>234</v>
      </c>
      <c r="B322">
        <v>70</v>
      </c>
      <c r="C322">
        <v>12055547.36328125</v>
      </c>
      <c r="D322">
        <v>-3322688.5721974843</v>
      </c>
      <c r="E322">
        <v>1.6653194604173395E-6</v>
      </c>
      <c r="F322">
        <v>3.9154236567046747E-6</v>
      </c>
      <c r="G322">
        <v>-2.250104196287335E-6</v>
      </c>
      <c r="H322" t="b">
        <v>1</v>
      </c>
    </row>
    <row r="323" spans="1:8" x14ac:dyDescent="0.15">
      <c r="A323">
        <v>234</v>
      </c>
      <c r="B323">
        <v>71</v>
      </c>
      <c r="C323">
        <v>12056547.36328125</v>
      </c>
      <c r="D323">
        <v>-3327982.5056740758</v>
      </c>
      <c r="E323">
        <v>1.6659873673166589E-6</v>
      </c>
      <c r="F323">
        <v>3.9154236567046747E-6</v>
      </c>
      <c r="G323">
        <v>-2.2494362893880159E-6</v>
      </c>
      <c r="H323" t="b">
        <v>1</v>
      </c>
    </row>
    <row r="324" spans="1:8" x14ac:dyDescent="0.15">
      <c r="A324">
        <v>234</v>
      </c>
      <c r="B324">
        <v>72</v>
      </c>
      <c r="C324">
        <v>12057547.36328125</v>
      </c>
      <c r="D324">
        <v>-3333286.8515105569</v>
      </c>
      <c r="E324">
        <v>1.6666554228388387E-6</v>
      </c>
      <c r="F324">
        <v>3.9154236567046747E-6</v>
      </c>
      <c r="G324">
        <v>-2.2487682338658361E-6</v>
      </c>
      <c r="H324" t="b">
        <v>1</v>
      </c>
    </row>
    <row r="325" spans="1:8" x14ac:dyDescent="0.15">
      <c r="A325">
        <v>234</v>
      </c>
      <c r="B325">
        <v>73</v>
      </c>
      <c r="C325">
        <v>12058547.36328125</v>
      </c>
      <c r="D325">
        <v>-3338602.0890065306</v>
      </c>
      <c r="E325">
        <v>1.6673236852795121E-6</v>
      </c>
      <c r="F325">
        <v>3.9154236567046747E-6</v>
      </c>
      <c r="G325">
        <v>-2.2480999714251628E-6</v>
      </c>
      <c r="H325" t="b">
        <v>1</v>
      </c>
    </row>
    <row r="326" spans="1:8" x14ac:dyDescent="0.15">
      <c r="A326">
        <v>234</v>
      </c>
      <c r="B326">
        <v>74</v>
      </c>
      <c r="C326">
        <v>12059547.36328125</v>
      </c>
      <c r="D326">
        <v>-3343928.254135373</v>
      </c>
      <c r="E326">
        <v>1.6679921547047228E-6</v>
      </c>
      <c r="F326">
        <v>3.9154236567046747E-6</v>
      </c>
      <c r="G326">
        <v>-2.2474315019999517E-6</v>
      </c>
      <c r="H326" t="b">
        <v>1</v>
      </c>
    </row>
    <row r="327" spans="1:8" x14ac:dyDescent="0.15">
      <c r="A327">
        <v>234</v>
      </c>
      <c r="B327">
        <v>75</v>
      </c>
      <c r="C327">
        <v>12060547.36328125</v>
      </c>
      <c r="D327">
        <v>-3349264.6656360216</v>
      </c>
      <c r="E327">
        <v>1.6686607435511406E-6</v>
      </c>
      <c r="F327">
        <v>3.9154236567046747E-6</v>
      </c>
      <c r="G327">
        <v>-2.2467629131535339E-6</v>
      </c>
      <c r="H327" t="b">
        <v>1</v>
      </c>
    </row>
    <row r="328" spans="1:8" x14ac:dyDescent="0.15">
      <c r="A328">
        <v>234</v>
      </c>
      <c r="B328">
        <v>76</v>
      </c>
      <c r="C328">
        <v>12061547.36328125</v>
      </c>
      <c r="D328">
        <v>-3354612.0445983391</v>
      </c>
      <c r="E328">
        <v>1.6693295394000627E-6</v>
      </c>
      <c r="F328">
        <v>3.9154236567046747E-6</v>
      </c>
      <c r="G328">
        <v>-2.2460941173046118E-6</v>
      </c>
      <c r="H328" t="b">
        <v>1</v>
      </c>
    </row>
    <row r="329" spans="1:8" x14ac:dyDescent="0.15">
      <c r="A329">
        <v>234</v>
      </c>
      <c r="B329">
        <v>77</v>
      </c>
      <c r="C329">
        <v>12062547.36328125</v>
      </c>
      <c r="D329">
        <v>-3359970.1810124614</v>
      </c>
      <c r="E329">
        <v>1.6699985130698098E-6</v>
      </c>
      <c r="F329">
        <v>3.9154236567046747E-6</v>
      </c>
      <c r="G329">
        <v>-2.2454251436348647E-6</v>
      </c>
      <c r="H329" t="b">
        <v>1</v>
      </c>
    </row>
    <row r="330" spans="1:8" x14ac:dyDescent="0.15">
      <c r="A330">
        <v>234</v>
      </c>
      <c r="B330">
        <v>78</v>
      </c>
      <c r="C330">
        <v>12063547.36328125</v>
      </c>
      <c r="D330">
        <v>-3365339.0976977465</v>
      </c>
      <c r="E330">
        <v>1.6706676645693609E-6</v>
      </c>
      <c r="F330">
        <v>3.9154236567046747E-6</v>
      </c>
      <c r="G330">
        <v>-2.2447559921353141E-6</v>
      </c>
      <c r="H330" t="b">
        <v>1</v>
      </c>
    </row>
    <row r="331" spans="1:8" x14ac:dyDescent="0.15">
      <c r="A331">
        <v>234</v>
      </c>
      <c r="B331">
        <v>79</v>
      </c>
      <c r="C331">
        <v>12064547.36328125</v>
      </c>
      <c r="D331">
        <v>-3370719.0531069417</v>
      </c>
      <c r="E331">
        <v>1.6713370231934927E-6</v>
      </c>
      <c r="F331">
        <v>3.9154236567046747E-6</v>
      </c>
      <c r="G331">
        <v>-2.2440866335111822E-6</v>
      </c>
      <c r="H331" t="b">
        <v>1</v>
      </c>
    </row>
    <row r="332" spans="1:8" x14ac:dyDescent="0.15">
      <c r="A332">
        <v>234</v>
      </c>
      <c r="B332">
        <v>80</v>
      </c>
      <c r="C332">
        <v>12065547.36328125</v>
      </c>
      <c r="D332">
        <v>-3376109.599533027</v>
      </c>
      <c r="E332">
        <v>1.6720065303985426E-6</v>
      </c>
      <c r="F332">
        <v>3.9154236567046747E-6</v>
      </c>
      <c r="G332">
        <v>-2.2434171263061322E-6</v>
      </c>
      <c r="H332" t="b">
        <v>1</v>
      </c>
    </row>
    <row r="333" spans="1:8" x14ac:dyDescent="0.15">
      <c r="A333">
        <v>235</v>
      </c>
      <c r="B333">
        <v>1</v>
      </c>
      <c r="C333">
        <v>6050000</v>
      </c>
      <c r="D333">
        <v>-44644238.741876192</v>
      </c>
      <c r="E333">
        <v>4.6650642477310937E-6</v>
      </c>
      <c r="F333">
        <v>6.8474719448101251E-6</v>
      </c>
      <c r="G333">
        <v>-2.1824076970790315E-6</v>
      </c>
      <c r="H333" t="b">
        <v>1</v>
      </c>
    </row>
    <row r="334" spans="1:8" x14ac:dyDescent="0.15">
      <c r="A334">
        <v>235</v>
      </c>
      <c r="B334">
        <v>2</v>
      </c>
      <c r="C334">
        <v>9025000</v>
      </c>
      <c r="D334">
        <v>76003156871.558212</v>
      </c>
      <c r="E334">
        <v>9.7826410160621228E-5</v>
      </c>
      <c r="F334">
        <v>6.8474719448101201E-6</v>
      </c>
      <c r="G334">
        <v>9.0978938215811108E-5</v>
      </c>
      <c r="H334" t="b">
        <v>0</v>
      </c>
    </row>
    <row r="335" spans="1:8" x14ac:dyDescent="0.15">
      <c r="A335">
        <v>235</v>
      </c>
      <c r="B335">
        <v>3</v>
      </c>
      <c r="C335">
        <v>7537500</v>
      </c>
      <c r="D335">
        <v>7005790549.3703728</v>
      </c>
      <c r="E335">
        <v>2.2598168285452603E-5</v>
      </c>
      <c r="F335">
        <v>6.8474719448101234E-6</v>
      </c>
      <c r="G335">
        <v>1.5750696340642479E-5</v>
      </c>
      <c r="H335" t="b">
        <v>0</v>
      </c>
    </row>
    <row r="336" spans="1:8" x14ac:dyDescent="0.15">
      <c r="A336">
        <v>235</v>
      </c>
      <c r="B336">
        <v>4</v>
      </c>
      <c r="C336">
        <v>6793750</v>
      </c>
      <c r="D336">
        <v>322961019.41842282</v>
      </c>
      <c r="E336">
        <v>8.6120452619005744E-6</v>
      </c>
      <c r="F336">
        <v>6.8474719448101251E-6</v>
      </c>
      <c r="G336">
        <v>1.7645733170904492E-6</v>
      </c>
      <c r="H336" t="b">
        <v>0</v>
      </c>
    </row>
    <row r="337" spans="1:8" x14ac:dyDescent="0.15">
      <c r="A337">
        <v>235</v>
      </c>
      <c r="B337">
        <v>5</v>
      </c>
      <c r="C337">
        <v>6421875</v>
      </c>
      <c r="D337">
        <v>-44364196.503476761</v>
      </c>
      <c r="E337">
        <v>6.3414088919664241E-6</v>
      </c>
      <c r="F337">
        <v>6.8474719448101251E-6</v>
      </c>
      <c r="G337">
        <v>-5.0606305284370106E-7</v>
      </c>
      <c r="H337" t="b">
        <v>1</v>
      </c>
    </row>
    <row r="338" spans="1:8" x14ac:dyDescent="0.15">
      <c r="A338">
        <v>235</v>
      </c>
      <c r="B338">
        <v>6</v>
      </c>
      <c r="C338">
        <v>6607812.5</v>
      </c>
      <c r="D338">
        <v>59087650.577006541</v>
      </c>
      <c r="E338">
        <v>7.3061225071135446E-6</v>
      </c>
      <c r="F338">
        <v>6.8474719448101251E-6</v>
      </c>
      <c r="G338">
        <v>4.5865056230341945E-7</v>
      </c>
      <c r="H338" t="b">
        <v>0</v>
      </c>
    </row>
    <row r="339" spans="1:8" x14ac:dyDescent="0.15">
      <c r="A339">
        <v>235</v>
      </c>
      <c r="B339">
        <v>7</v>
      </c>
      <c r="C339">
        <v>6514843.75</v>
      </c>
      <c r="D339">
        <v>-3712075.3433888182</v>
      </c>
      <c r="E339">
        <v>6.8130524777532151E-6</v>
      </c>
      <c r="F339">
        <v>6.8474719448101251E-6</v>
      </c>
      <c r="G339">
        <v>-3.4419467056910065E-8</v>
      </c>
      <c r="H339" t="b">
        <v>1</v>
      </c>
    </row>
    <row r="340" spans="1:8" x14ac:dyDescent="0.15">
      <c r="A340">
        <v>235</v>
      </c>
      <c r="B340">
        <v>8</v>
      </c>
      <c r="C340">
        <v>6561328.125</v>
      </c>
      <c r="D340">
        <v>24767863.453079116</v>
      </c>
      <c r="E340">
        <v>7.0569250418940516E-6</v>
      </c>
      <c r="F340">
        <v>6.8474719448101251E-6</v>
      </c>
      <c r="G340">
        <v>2.0945309708392643E-7</v>
      </c>
      <c r="H340" t="b">
        <v>0</v>
      </c>
    </row>
    <row r="341" spans="1:8" x14ac:dyDescent="0.15">
      <c r="A341">
        <v>235</v>
      </c>
      <c r="B341">
        <v>9</v>
      </c>
      <c r="C341">
        <v>6538085.9375</v>
      </c>
      <c r="D341">
        <v>9816069.6404001769</v>
      </c>
      <c r="E341">
        <v>6.934320084967865E-6</v>
      </c>
      <c r="F341">
        <v>6.8474719448101251E-6</v>
      </c>
      <c r="G341">
        <v>8.6848140157739865E-8</v>
      </c>
      <c r="H341" t="b">
        <v>0</v>
      </c>
    </row>
    <row r="342" spans="1:8" x14ac:dyDescent="0.15">
      <c r="A342">
        <v>235</v>
      </c>
      <c r="B342">
        <v>10</v>
      </c>
      <c r="C342">
        <v>6526464.84375</v>
      </c>
      <c r="D342">
        <v>2876261.0743988291</v>
      </c>
      <c r="E342">
        <v>6.8735177634310403E-6</v>
      </c>
      <c r="F342">
        <v>6.8474719448101251E-6</v>
      </c>
      <c r="G342">
        <v>2.6045818620915194E-8</v>
      </c>
      <c r="H342" t="b">
        <v>0</v>
      </c>
    </row>
    <row r="343" spans="1:8" x14ac:dyDescent="0.15">
      <c r="A343">
        <v>235</v>
      </c>
      <c r="B343">
        <v>11</v>
      </c>
      <c r="C343">
        <v>6532275.390625</v>
      </c>
      <c r="D343">
        <v>6301955.7769833757</v>
      </c>
      <c r="E343">
        <v>6.9038770178118727E-6</v>
      </c>
      <c r="F343">
        <v>6.8474719448101251E-6</v>
      </c>
      <c r="G343">
        <v>5.6405073001747516E-8</v>
      </c>
      <c r="H343" t="b">
        <v>0</v>
      </c>
    </row>
    <row r="344" spans="1:8" x14ac:dyDescent="0.15">
      <c r="A344">
        <v>235</v>
      </c>
      <c r="B344">
        <v>12</v>
      </c>
      <c r="C344">
        <v>6535180.6640625</v>
      </c>
      <c r="D344">
        <v>8047902.7230513906</v>
      </c>
      <c r="E344">
        <v>6.9190878983716623E-6</v>
      </c>
      <c r="F344">
        <v>6.8474719448101251E-6</v>
      </c>
      <c r="G344">
        <v>7.1615953561537143E-8</v>
      </c>
      <c r="H344" t="b">
        <v>0</v>
      </c>
    </row>
    <row r="345" spans="1:8" x14ac:dyDescent="0.15">
      <c r="A345">
        <v>235</v>
      </c>
      <c r="B345">
        <v>13</v>
      </c>
      <c r="C345">
        <v>6533728.02734375</v>
      </c>
      <c r="D345">
        <v>7172170.988403271</v>
      </c>
      <c r="E345">
        <v>6.911479921196688E-6</v>
      </c>
      <c r="F345">
        <v>6.8474719448101251E-6</v>
      </c>
      <c r="G345">
        <v>6.4007976386562827E-8</v>
      </c>
      <c r="H345" t="b">
        <v>0</v>
      </c>
    </row>
    <row r="346" spans="1:8" x14ac:dyDescent="0.15">
      <c r="A346">
        <v>235</v>
      </c>
      <c r="B346">
        <v>14</v>
      </c>
      <c r="C346">
        <v>6532528.02734375</v>
      </c>
      <c r="D346">
        <v>6452878.4895641711</v>
      </c>
      <c r="E346">
        <v>6.9051986944800044E-6</v>
      </c>
      <c r="F346">
        <v>6.8474719448101251E-6</v>
      </c>
      <c r="G346">
        <v>5.7726749669879223E-8</v>
      </c>
      <c r="H346" t="b">
        <v>0</v>
      </c>
    </row>
    <row r="347" spans="1:8" x14ac:dyDescent="0.15">
      <c r="A347">
        <v>235</v>
      </c>
      <c r="B347">
        <v>15</v>
      </c>
      <c r="C347">
        <v>6533128.02734375</v>
      </c>
      <c r="D347">
        <v>6812038.9918190511</v>
      </c>
      <c r="E347">
        <v>6.9083387399972953E-6</v>
      </c>
      <c r="F347">
        <v>6.8474719448101251E-6</v>
      </c>
      <c r="G347">
        <v>6.0866795187170203E-8</v>
      </c>
      <c r="H347" t="b">
        <v>0</v>
      </c>
    </row>
    <row r="348" spans="1:8" x14ac:dyDescent="0.15">
      <c r="A348">
        <v>235</v>
      </c>
      <c r="B348">
        <v>16</v>
      </c>
      <c r="C348">
        <v>6532828.02734375</v>
      </c>
      <c r="D348">
        <v>6632366.5273172995</v>
      </c>
      <c r="E348">
        <v>6.9067688303064026E-6</v>
      </c>
      <c r="F348">
        <v>6.8474719448101251E-6</v>
      </c>
      <c r="G348">
        <v>5.9296885496277488E-8</v>
      </c>
      <c r="H348" t="b">
        <v>0</v>
      </c>
    </row>
    <row r="349" spans="1:8" x14ac:dyDescent="0.15">
      <c r="A349">
        <v>235</v>
      </c>
      <c r="B349">
        <v>17</v>
      </c>
      <c r="C349">
        <v>6532468.02734375</v>
      </c>
      <c r="D349">
        <v>6417038.6394454427</v>
      </c>
      <c r="E349">
        <v>6.9048849520114055E-6</v>
      </c>
      <c r="F349">
        <v>6.8474719448101251E-6</v>
      </c>
      <c r="G349">
        <v>5.7413007201280371E-8</v>
      </c>
      <c r="H349" t="b">
        <v>0</v>
      </c>
    </row>
    <row r="350" spans="1:8" x14ac:dyDescent="0.15">
      <c r="A350">
        <v>235</v>
      </c>
      <c r="B350">
        <v>18</v>
      </c>
      <c r="C350">
        <v>6532648.02734375</v>
      </c>
      <c r="D350">
        <v>6524635.5617299555</v>
      </c>
      <c r="E350">
        <v>6.9058266359173453E-6</v>
      </c>
      <c r="F350">
        <v>6.8474719448101251E-6</v>
      </c>
      <c r="G350">
        <v>5.8354691107220196E-8</v>
      </c>
      <c r="H350" t="b">
        <v>0</v>
      </c>
    </row>
    <row r="351" spans="1:8" x14ac:dyDescent="0.15">
      <c r="A351">
        <v>236</v>
      </c>
      <c r="B351">
        <v>1</v>
      </c>
      <c r="C351">
        <v>6050000</v>
      </c>
      <c r="D351">
        <v>144327169588.12451</v>
      </c>
      <c r="E351">
        <v>1.4811483924977129E-4</v>
      </c>
      <c r="F351">
        <v>6.6414838604264364E-6</v>
      </c>
      <c r="G351">
        <v>1.4147335538934486E-4</v>
      </c>
      <c r="H351" t="b">
        <v>0</v>
      </c>
    </row>
    <row r="352" spans="1:8" x14ac:dyDescent="0.15">
      <c r="A352">
        <v>236</v>
      </c>
      <c r="B352">
        <v>2</v>
      </c>
      <c r="C352">
        <v>3075000</v>
      </c>
      <c r="D352">
        <v>885533087.06015408</v>
      </c>
      <c r="E352">
        <v>1.0058835486266992E-5</v>
      </c>
      <c r="F352">
        <v>6.6414838604264398E-6</v>
      </c>
      <c r="G352">
        <v>3.4173516258405521E-6</v>
      </c>
      <c r="H352" t="b">
        <v>0</v>
      </c>
    </row>
    <row r="353" spans="1:8" x14ac:dyDescent="0.15">
      <c r="A353">
        <v>236</v>
      </c>
      <c r="B353">
        <v>3</v>
      </c>
      <c r="C353">
        <v>1587500</v>
      </c>
      <c r="D353">
        <v>-266073.92736099986</v>
      </c>
      <c r="E353">
        <v>6.9766603895550097E-7</v>
      </c>
      <c r="F353">
        <v>6.6414838604264398E-6</v>
      </c>
      <c r="G353">
        <v>-5.9438178214709384E-6</v>
      </c>
      <c r="H353" t="b">
        <v>1</v>
      </c>
    </row>
    <row r="354" spans="1:8" x14ac:dyDescent="0.15">
      <c r="A354">
        <v>236</v>
      </c>
      <c r="B354">
        <v>4</v>
      </c>
      <c r="C354">
        <v>2331250</v>
      </c>
      <c r="D354">
        <v>-17979098.196988944</v>
      </c>
      <c r="E354">
        <v>3.8454081881790417E-6</v>
      </c>
      <c r="F354">
        <v>6.6414838604264398E-6</v>
      </c>
      <c r="G354">
        <v>-2.7960756722473981E-6</v>
      </c>
      <c r="H354" t="b">
        <v>1</v>
      </c>
    </row>
    <row r="355" spans="1:8" x14ac:dyDescent="0.15">
      <c r="A355">
        <v>236</v>
      </c>
      <c r="B355">
        <v>5</v>
      </c>
      <c r="C355">
        <v>2703125</v>
      </c>
      <c r="D355">
        <v>-40372064.663127959</v>
      </c>
      <c r="E355">
        <v>6.2015814834151231E-6</v>
      </c>
      <c r="F355">
        <v>6.6414838604264398E-6</v>
      </c>
      <c r="G355">
        <v>-4.3990237701131663E-7</v>
      </c>
      <c r="H355" t="b">
        <v>1</v>
      </c>
    </row>
    <row r="356" spans="1:8" x14ac:dyDescent="0.15">
      <c r="A356">
        <v>236</v>
      </c>
      <c r="B356">
        <v>6</v>
      </c>
      <c r="C356">
        <v>2889062.5</v>
      </c>
      <c r="D356">
        <v>135850627.54544663</v>
      </c>
      <c r="E356">
        <v>7.5354203802504631E-6</v>
      </c>
      <c r="F356">
        <v>6.6414838604264398E-6</v>
      </c>
      <c r="G356">
        <v>8.9393651982402335E-7</v>
      </c>
      <c r="H356" t="b">
        <v>0</v>
      </c>
    </row>
    <row r="357" spans="1:8" x14ac:dyDescent="0.15">
      <c r="A357">
        <v>236</v>
      </c>
      <c r="B357">
        <v>7</v>
      </c>
      <c r="C357">
        <v>2796093.75</v>
      </c>
      <c r="D357">
        <v>26241631.500506632</v>
      </c>
      <c r="E357">
        <v>6.8573892277615408E-6</v>
      </c>
      <c r="F357">
        <v>6.6414838604264398E-6</v>
      </c>
      <c r="G357">
        <v>2.1590536733510106E-7</v>
      </c>
      <c r="H357" t="b">
        <v>0</v>
      </c>
    </row>
    <row r="358" spans="1:8" x14ac:dyDescent="0.15">
      <c r="A358">
        <v>236</v>
      </c>
      <c r="B358">
        <v>8</v>
      </c>
      <c r="C358">
        <v>2749609.375</v>
      </c>
      <c r="D358">
        <v>-12243149.649328174</v>
      </c>
      <c r="E358">
        <v>6.5265709950038627E-6</v>
      </c>
      <c r="F358">
        <v>6.6414838604264398E-6</v>
      </c>
      <c r="G358">
        <v>-1.1491286542257704E-7</v>
      </c>
      <c r="H358" t="b">
        <v>1</v>
      </c>
    </row>
    <row r="359" spans="1:8" x14ac:dyDescent="0.15">
      <c r="A359">
        <v>236</v>
      </c>
      <c r="B359">
        <v>9</v>
      </c>
      <c r="C359">
        <v>2772851.5625</v>
      </c>
      <c r="D359">
        <v>5676379.9962453442</v>
      </c>
      <c r="E359">
        <v>6.6912686152215101E-6</v>
      </c>
      <c r="F359">
        <v>6.6414838604264398E-6</v>
      </c>
      <c r="G359">
        <v>4.9784754795070334E-8</v>
      </c>
      <c r="H359" t="b">
        <v>0</v>
      </c>
    </row>
    <row r="360" spans="1:8" x14ac:dyDescent="0.15">
      <c r="A360">
        <v>236</v>
      </c>
      <c r="B360">
        <v>10</v>
      </c>
      <c r="C360">
        <v>2761230.46875</v>
      </c>
      <c r="D360">
        <v>-3610805.8461400387</v>
      </c>
      <c r="E360">
        <v>6.6087399395556486E-6</v>
      </c>
      <c r="F360">
        <v>6.6414838604264398E-6</v>
      </c>
      <c r="G360">
        <v>-3.2743920870791156E-8</v>
      </c>
      <c r="H360" t="b">
        <v>1</v>
      </c>
    </row>
    <row r="361" spans="1:8" x14ac:dyDescent="0.15">
      <c r="A361">
        <v>236</v>
      </c>
      <c r="B361">
        <v>11</v>
      </c>
      <c r="C361">
        <v>2767041.015625</v>
      </c>
      <c r="D361">
        <v>950517.47894119902</v>
      </c>
      <c r="E361">
        <v>6.6499596738998332E-6</v>
      </c>
      <c r="F361">
        <v>6.6414838604264398E-6</v>
      </c>
      <c r="G361">
        <v>8.4758134733934124E-9</v>
      </c>
      <c r="H361" t="b">
        <v>0</v>
      </c>
    </row>
    <row r="362" spans="1:8" x14ac:dyDescent="0.15">
      <c r="A362">
        <v>236</v>
      </c>
      <c r="B362">
        <v>12</v>
      </c>
      <c r="C362">
        <v>2769946.2890625</v>
      </c>
      <c r="D362">
        <v>3292840.4861647831</v>
      </c>
      <c r="E362">
        <v>6.6706031209716014E-6</v>
      </c>
      <c r="F362">
        <v>6.6414838604264398E-6</v>
      </c>
      <c r="G362">
        <v>2.9119260545161682E-8</v>
      </c>
      <c r="H362" t="b">
        <v>0</v>
      </c>
    </row>
    <row r="363" spans="1:8" x14ac:dyDescent="0.15">
      <c r="A363">
        <v>236</v>
      </c>
      <c r="B363">
        <v>13</v>
      </c>
      <c r="C363">
        <v>2768493.65234375</v>
      </c>
      <c r="D363">
        <v>2116529.6945090871</v>
      </c>
      <c r="E363">
        <v>6.6602786061073776E-6</v>
      </c>
      <c r="F363">
        <v>6.6414838604264398E-6</v>
      </c>
      <c r="G363">
        <v>1.8794745680937865E-8</v>
      </c>
      <c r="H363" t="b">
        <v>0</v>
      </c>
    </row>
    <row r="364" spans="1:8" x14ac:dyDescent="0.15">
      <c r="A364">
        <v>236</v>
      </c>
      <c r="B364">
        <v>14</v>
      </c>
      <c r="C364">
        <v>2768993.65234375</v>
      </c>
      <c r="D364">
        <v>2520254.8619584562</v>
      </c>
      <c r="E364">
        <v>6.6638316918222533E-6</v>
      </c>
      <c r="F364">
        <v>6.6414838604264398E-6</v>
      </c>
      <c r="G364">
        <v>2.2347831395813578E-8</v>
      </c>
      <c r="H364" t="b">
        <v>0</v>
      </c>
    </row>
    <row r="365" spans="1:8" x14ac:dyDescent="0.15">
      <c r="A365">
        <v>236</v>
      </c>
      <c r="B365">
        <v>15</v>
      </c>
      <c r="C365">
        <v>2769593.65234375</v>
      </c>
      <c r="D365">
        <v>3006307.9497450124</v>
      </c>
      <c r="E365">
        <v>6.668096018388874E-6</v>
      </c>
      <c r="F365">
        <v>6.6414838604264398E-6</v>
      </c>
      <c r="G365">
        <v>2.6612157962434239E-8</v>
      </c>
      <c r="H365" t="b">
        <v>0</v>
      </c>
    </row>
    <row r="366" spans="1:8" x14ac:dyDescent="0.15">
      <c r="A366">
        <v>236</v>
      </c>
      <c r="B366">
        <v>16</v>
      </c>
      <c r="C366">
        <v>2769293.65234375</v>
      </c>
      <c r="D366">
        <v>2763075.8396469536</v>
      </c>
      <c r="E366">
        <v>6.6659638605827485E-6</v>
      </c>
      <c r="F366">
        <v>6.6414838604264398E-6</v>
      </c>
      <c r="G366">
        <v>2.4480000156308725E-8</v>
      </c>
      <c r="H366" t="b">
        <v>0</v>
      </c>
    </row>
    <row r="367" spans="1:8" x14ac:dyDescent="0.15">
      <c r="A367">
        <v>237</v>
      </c>
      <c r="B367">
        <v>1</v>
      </c>
      <c r="C367">
        <v>6050000</v>
      </c>
      <c r="D367">
        <v>55881154262.522484</v>
      </c>
      <c r="E367">
        <v>2.6238802883915921E-4</v>
      </c>
      <c r="F367">
        <v>1.8562907725530147E-5</v>
      </c>
      <c r="G367">
        <v>2.4382512111362906E-4</v>
      </c>
      <c r="H367" t="b">
        <v>0</v>
      </c>
    </row>
    <row r="368" spans="1:8" x14ac:dyDescent="0.15">
      <c r="A368">
        <v>237</v>
      </c>
      <c r="B368">
        <v>2</v>
      </c>
      <c r="C368">
        <v>3075000</v>
      </c>
      <c r="D368">
        <v>-407244.27738409961</v>
      </c>
      <c r="E368">
        <v>4.278203290083724E-6</v>
      </c>
      <c r="F368">
        <v>1.8562907725530151E-5</v>
      </c>
      <c r="G368">
        <v>-1.4284704435446428E-5</v>
      </c>
      <c r="H368" t="b">
        <v>1</v>
      </c>
    </row>
    <row r="369" spans="1:8" x14ac:dyDescent="0.15">
      <c r="A369">
        <v>237</v>
      </c>
      <c r="B369">
        <v>3</v>
      </c>
      <c r="C369">
        <v>4562500</v>
      </c>
      <c r="D369">
        <v>2423635837.4877157</v>
      </c>
      <c r="E369">
        <v>4.142359217019687E-5</v>
      </c>
      <c r="F369">
        <v>1.8562907725530151E-5</v>
      </c>
      <c r="G369">
        <v>2.2860684444666719E-5</v>
      </c>
      <c r="H369" t="b">
        <v>0</v>
      </c>
    </row>
    <row r="370" spans="1:8" x14ac:dyDescent="0.15">
      <c r="A370">
        <v>237</v>
      </c>
      <c r="B370">
        <v>4</v>
      </c>
      <c r="C370">
        <v>3818750</v>
      </c>
      <c r="D370">
        <v>-54255484.250255771</v>
      </c>
      <c r="E370">
        <v>1.1612762348235115E-5</v>
      </c>
      <c r="F370">
        <v>1.8562907725530151E-5</v>
      </c>
      <c r="G370">
        <v>-6.9501453772950355E-6</v>
      </c>
      <c r="H370" t="b">
        <v>1</v>
      </c>
    </row>
    <row r="371" spans="1:8" x14ac:dyDescent="0.15">
      <c r="A371">
        <v>237</v>
      </c>
      <c r="B371">
        <v>5</v>
      </c>
      <c r="C371">
        <v>4190625</v>
      </c>
      <c r="D371">
        <v>202894929.31284666</v>
      </c>
      <c r="E371">
        <v>2.1644159136772026E-5</v>
      </c>
      <c r="F371">
        <v>1.8562907725530151E-5</v>
      </c>
      <c r="G371">
        <v>3.081251411241875E-6</v>
      </c>
      <c r="H371" t="b">
        <v>0</v>
      </c>
    </row>
    <row r="372" spans="1:8" x14ac:dyDescent="0.15">
      <c r="A372">
        <v>237</v>
      </c>
      <c r="B372">
        <v>6</v>
      </c>
      <c r="C372">
        <v>4004687.5</v>
      </c>
      <c r="D372">
        <v>-101039827.84520838</v>
      </c>
      <c r="E372">
        <v>1.4987754659040574E-5</v>
      </c>
      <c r="F372">
        <v>1.8562907725530151E-5</v>
      </c>
      <c r="G372">
        <v>-3.5751530664895765E-6</v>
      </c>
      <c r="H372" t="b">
        <v>1</v>
      </c>
    </row>
    <row r="373" spans="1:8" x14ac:dyDescent="0.15">
      <c r="A373">
        <v>237</v>
      </c>
      <c r="B373">
        <v>7</v>
      </c>
      <c r="C373">
        <v>4097656.25</v>
      </c>
      <c r="D373">
        <v>-22331614.471533567</v>
      </c>
      <c r="E373">
        <v>1.8082995753625616E-5</v>
      </c>
      <c r="F373">
        <v>1.8562907725530151E-5</v>
      </c>
      <c r="G373">
        <v>-4.7991197190453523E-7</v>
      </c>
      <c r="H373" t="b">
        <v>1</v>
      </c>
    </row>
    <row r="374" spans="1:8" x14ac:dyDescent="0.15">
      <c r="A374">
        <v>237</v>
      </c>
      <c r="B374">
        <v>8</v>
      </c>
      <c r="C374">
        <v>4144140.625</v>
      </c>
      <c r="D374">
        <v>69523233.527074844</v>
      </c>
      <c r="E374">
        <v>1.9802540922047647E-5</v>
      </c>
      <c r="F374">
        <v>1.8562907725530151E-5</v>
      </c>
      <c r="G374">
        <v>1.2396331965174961E-6</v>
      </c>
      <c r="H374" t="b">
        <v>0</v>
      </c>
    </row>
    <row r="375" spans="1:8" x14ac:dyDescent="0.15">
      <c r="A375">
        <v>237</v>
      </c>
      <c r="B375">
        <v>9</v>
      </c>
      <c r="C375">
        <v>4120898.4375</v>
      </c>
      <c r="D375">
        <v>18713434.251469955</v>
      </c>
      <c r="E375">
        <v>1.8927839352454687E-5</v>
      </c>
      <c r="F375">
        <v>1.8562907725530151E-5</v>
      </c>
      <c r="G375">
        <v>3.649316269245363E-7</v>
      </c>
      <c r="H375" t="b">
        <v>0</v>
      </c>
    </row>
    <row r="376" spans="1:8" x14ac:dyDescent="0.15">
      <c r="A376">
        <v>237</v>
      </c>
      <c r="B376">
        <v>10</v>
      </c>
      <c r="C376">
        <v>4109277.34375</v>
      </c>
      <c r="D376">
        <v>-2991571.9904287742</v>
      </c>
      <c r="E376">
        <v>1.850172844782267E-5</v>
      </c>
      <c r="F376">
        <v>1.8562907725530151E-5</v>
      </c>
      <c r="G376">
        <v>-6.1179277707481351E-8</v>
      </c>
      <c r="H376" t="b">
        <v>1</v>
      </c>
    </row>
    <row r="377" spans="1:8" x14ac:dyDescent="0.15">
      <c r="A377">
        <v>237</v>
      </c>
      <c r="B377">
        <v>11</v>
      </c>
      <c r="C377">
        <v>4115087.890625</v>
      </c>
      <c r="D377">
        <v>7560521.113945541</v>
      </c>
      <c r="E377">
        <v>1.8713855438235085E-5</v>
      </c>
      <c r="F377">
        <v>1.8562907725530151E-5</v>
      </c>
      <c r="G377">
        <v>1.5094771270493382E-7</v>
      </c>
      <c r="H377" t="b">
        <v>0</v>
      </c>
    </row>
    <row r="378" spans="1:8" x14ac:dyDescent="0.15">
      <c r="A378">
        <v>237</v>
      </c>
      <c r="B378">
        <v>12</v>
      </c>
      <c r="C378">
        <v>4112182.6171875</v>
      </c>
      <c r="D378">
        <v>2210013.8170410092</v>
      </c>
      <c r="E378">
        <v>1.8607561439280849E-5</v>
      </c>
      <c r="F378">
        <v>1.8562907725530151E-5</v>
      </c>
      <c r="G378">
        <v>4.4653713750698079E-8</v>
      </c>
      <c r="H378" t="b">
        <v>0</v>
      </c>
    </row>
    <row r="379" spans="1:8" x14ac:dyDescent="0.15">
      <c r="A379">
        <v>237</v>
      </c>
      <c r="B379">
        <v>13</v>
      </c>
      <c r="C379">
        <v>4113635.25390625</v>
      </c>
      <c r="D379">
        <v>4866531.7595030377</v>
      </c>
      <c r="E379">
        <v>1.8660649802769529E-5</v>
      </c>
      <c r="F379">
        <v>1.8562907725530151E-5</v>
      </c>
      <c r="G379">
        <v>9.7742077239378278E-8</v>
      </c>
      <c r="H379" t="b">
        <v>0</v>
      </c>
    </row>
    <row r="380" spans="1:8" x14ac:dyDescent="0.15">
      <c r="A380">
        <v>237</v>
      </c>
      <c r="B380">
        <v>14</v>
      </c>
      <c r="C380">
        <v>4113135.25390625</v>
      </c>
      <c r="D380">
        <v>3947915.2368916161</v>
      </c>
      <c r="E380">
        <v>1.8642363131028104E-5</v>
      </c>
      <c r="F380">
        <v>1.8562907725530151E-5</v>
      </c>
      <c r="G380">
        <v>7.945540549795347E-8</v>
      </c>
      <c r="H380" t="b">
        <v>0</v>
      </c>
    </row>
    <row r="381" spans="1:8" x14ac:dyDescent="0.15">
      <c r="A381">
        <v>237</v>
      </c>
      <c r="B381">
        <v>15</v>
      </c>
      <c r="C381">
        <v>4113385.25390625</v>
      </c>
      <c r="D381">
        <v>4406670.0331354672</v>
      </c>
      <c r="E381">
        <v>1.8651504752387536E-5</v>
      </c>
      <c r="F381">
        <v>1.8562907725530151E-5</v>
      </c>
      <c r="G381">
        <v>8.8597026857384852E-8</v>
      </c>
      <c r="H381" t="b">
        <v>0</v>
      </c>
    </row>
    <row r="382" spans="1:8" x14ac:dyDescent="0.15">
      <c r="A382">
        <v>237</v>
      </c>
      <c r="B382">
        <v>16</v>
      </c>
      <c r="C382">
        <v>4113260.25390625</v>
      </c>
      <c r="D382">
        <v>4177220.1925681639</v>
      </c>
      <c r="E382">
        <v>1.8646934825856492E-5</v>
      </c>
      <c r="F382">
        <v>1.8562907725530151E-5</v>
      </c>
      <c r="G382">
        <v>8.4027100326341473E-8</v>
      </c>
      <c r="H382" t="b">
        <v>0</v>
      </c>
    </row>
    <row r="383" spans="1:8" x14ac:dyDescent="0.15">
      <c r="A383">
        <v>237</v>
      </c>
      <c r="B383">
        <v>17</v>
      </c>
      <c r="C383">
        <v>4113110.25390625</v>
      </c>
      <c r="D383">
        <v>3902166.3834380214</v>
      </c>
      <c r="E383">
        <v>1.8641450469743054E-5</v>
      </c>
      <c r="F383">
        <v>1.8562907725530151E-5</v>
      </c>
      <c r="G383">
        <v>7.8542744212902805E-8</v>
      </c>
      <c r="H383" t="b">
        <v>0</v>
      </c>
    </row>
    <row r="384" spans="1:8" x14ac:dyDescent="0.15">
      <c r="A384">
        <v>237</v>
      </c>
      <c r="B384">
        <v>18</v>
      </c>
      <c r="C384">
        <v>4113185.25390625</v>
      </c>
      <c r="D384">
        <v>4039577.678029967</v>
      </c>
      <c r="E384">
        <v>1.8644191181018431E-5</v>
      </c>
      <c r="F384">
        <v>1.8562907725530151E-5</v>
      </c>
      <c r="G384">
        <v>8.1283455488279961E-8</v>
      </c>
      <c r="H384" t="b">
        <v>0</v>
      </c>
    </row>
    <row r="385" spans="1:8" x14ac:dyDescent="0.15">
      <c r="A385">
        <v>237</v>
      </c>
      <c r="B385">
        <v>19</v>
      </c>
      <c r="C385">
        <v>4113275.25390625</v>
      </c>
      <c r="D385">
        <v>4204747.4804989975</v>
      </c>
      <c r="E385">
        <v>1.8647483329350802E-5</v>
      </c>
      <c r="F385">
        <v>1.8562907725530151E-5</v>
      </c>
      <c r="G385">
        <v>8.457560382065096E-8</v>
      </c>
      <c r="H385" t="b">
        <v>0</v>
      </c>
    </row>
    <row r="386" spans="1:8" x14ac:dyDescent="0.15">
      <c r="A386">
        <v>237</v>
      </c>
      <c r="B386">
        <v>20</v>
      </c>
      <c r="C386">
        <v>4113230.25390625</v>
      </c>
      <c r="D386">
        <v>4122177.5672753258</v>
      </c>
      <c r="E386">
        <v>1.864583785589599E-5</v>
      </c>
      <c r="F386">
        <v>1.8562907725530151E-5</v>
      </c>
      <c r="G386">
        <v>8.293013036583894E-8</v>
      </c>
      <c r="H386" t="b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324</v>
      </c>
      <c r="B1" s="34" t="s">
        <v>325</v>
      </c>
    </row>
    <row r="2" spans="1:2" x14ac:dyDescent="0.15">
      <c r="A2" t="s">
        <v>326</v>
      </c>
      <c r="B2" s="33">
        <v>46185.767939814818</v>
      </c>
    </row>
    <row r="3" spans="1:2" x14ac:dyDescent="0.15">
      <c r="A3" t="s">
        <v>327</v>
      </c>
      <c r="B3" t="s">
        <v>328</v>
      </c>
    </row>
    <row r="4" spans="1:2" x14ac:dyDescent="0.15">
      <c r="A4" t="s">
        <v>329</v>
      </c>
      <c r="B4" t="s">
        <v>330</v>
      </c>
    </row>
    <row r="5" spans="1:2" x14ac:dyDescent="0.15">
      <c r="A5" t="s">
        <v>331</v>
      </c>
      <c r="B5" t="s">
        <v>332</v>
      </c>
    </row>
    <row r="6" spans="1:2" x14ac:dyDescent="0.15">
      <c r="A6" t="s">
        <v>333</v>
      </c>
      <c r="B6">
        <v>88</v>
      </c>
    </row>
    <row r="7" spans="1:2" x14ac:dyDescent="0.15">
      <c r="A7" t="s">
        <v>334</v>
      </c>
      <c r="B7">
        <v>225</v>
      </c>
    </row>
    <row r="8" spans="1:2" x14ac:dyDescent="0.15">
      <c r="A8" t="s">
        <v>335</v>
      </c>
      <c r="B8">
        <v>138</v>
      </c>
    </row>
    <row r="9" spans="1:2" x14ac:dyDescent="0.15">
      <c r="A9" t="s">
        <v>336</v>
      </c>
      <c r="B9">
        <v>16</v>
      </c>
    </row>
    <row r="10" spans="1:2" x14ac:dyDescent="0.15">
      <c r="A10" t="s">
        <v>337</v>
      </c>
      <c r="B10">
        <v>30</v>
      </c>
    </row>
    <row r="11" spans="1:2" x14ac:dyDescent="0.15">
      <c r="A11" t="s">
        <v>338</v>
      </c>
      <c r="B11">
        <v>30</v>
      </c>
    </row>
    <row r="12" spans="1:2" x14ac:dyDescent="0.15">
      <c r="A12" t="s">
        <v>339</v>
      </c>
      <c r="B12">
        <v>30</v>
      </c>
    </row>
    <row r="13" spans="1:2" x14ac:dyDescent="0.15">
      <c r="A13" t="s">
        <v>340</v>
      </c>
      <c r="B13">
        <v>2</v>
      </c>
    </row>
    <row r="14" spans="1:2" x14ac:dyDescent="0.15">
      <c r="A14" t="s">
        <v>341</v>
      </c>
      <c r="B14">
        <v>30</v>
      </c>
    </row>
    <row r="15" spans="1:2" x14ac:dyDescent="0.15">
      <c r="A15" t="s">
        <v>342</v>
      </c>
      <c r="B15">
        <v>0</v>
      </c>
    </row>
    <row r="16" spans="1:2" x14ac:dyDescent="0.15">
      <c r="A16" t="s">
        <v>343</v>
      </c>
      <c r="B16" t="s">
        <v>344</v>
      </c>
    </row>
    <row r="17" spans="1:2" x14ac:dyDescent="0.15">
      <c r="A17" t="s">
        <v>345</v>
      </c>
      <c r="B17" t="s">
        <v>346</v>
      </c>
    </row>
    <row r="18" spans="1:2" x14ac:dyDescent="0.15">
      <c r="A18" t="s">
        <v>347</v>
      </c>
      <c r="B18" t="s">
        <v>348</v>
      </c>
    </row>
    <row r="19" spans="1:2" x14ac:dyDescent="0.15">
      <c r="A19" t="s">
        <v>349</v>
      </c>
      <c r="B19" t="s">
        <v>350</v>
      </c>
    </row>
    <row r="20" spans="1:2" x14ac:dyDescent="0.15">
      <c r="A20" t="s">
        <v>351</v>
      </c>
      <c r="B20" t="s">
        <v>352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2026-06-26T00:24:56Z</dcterms:modified>
</cp:coreProperties>
</file>