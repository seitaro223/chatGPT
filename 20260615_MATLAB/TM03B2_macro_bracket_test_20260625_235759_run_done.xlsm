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3298FA8A-3A3B-4439-B01F-2E12537F152D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  <sheet name="TM_import_log" sheetId="7" r:id="rId7"/>
  </sheets>
  <functionGroups builtInGroupCount="19"/>
  <definedNames>
    <definedName name="L_tot">#REF!</definedName>
    <definedName name="solver_adj" localSheetId="4" hidden="1">tm!$AP$228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tm!$AY$228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8" i="5" l="1"/>
  <c r="D228" i="5"/>
  <c r="E228" i="5"/>
  <c r="F228" i="5"/>
  <c r="G228" i="5"/>
  <c r="H228" i="5"/>
  <c r="I228" i="5"/>
  <c r="J228" i="5"/>
  <c r="K228" i="5"/>
  <c r="L228" i="5"/>
  <c r="O228" i="5"/>
  <c r="U228" i="5" s="1"/>
  <c r="P228" i="5"/>
  <c r="W228" i="5"/>
  <c r="Y228" i="5"/>
  <c r="Z228" i="5"/>
  <c r="AA228" i="5" s="1"/>
  <c r="AB228" i="5"/>
  <c r="AH228" i="5"/>
  <c r="AI228" i="5"/>
  <c r="AD228" i="5" s="1"/>
  <c r="AL228" i="5"/>
  <c r="AK228" i="5"/>
  <c r="AE228" i="5"/>
  <c r="AF228" i="5"/>
  <c r="AJ228" i="5"/>
  <c r="AM228" i="5"/>
  <c r="AN228" i="5"/>
  <c r="AO228" i="5"/>
  <c r="AQ228" i="5"/>
  <c r="AR228" i="5"/>
  <c r="AS228" i="5" s="1"/>
  <c r="AT228" i="5"/>
  <c r="AU228" i="5"/>
  <c r="AV228" i="5"/>
  <c r="AW228" i="5"/>
  <c r="AX228" i="5"/>
  <c r="AY228" i="5" s="1"/>
  <c r="AZ228" i="5"/>
  <c r="BA228" i="5"/>
  <c r="BB228" i="5"/>
  <c r="BM228" i="5" s="1"/>
  <c r="BC228" i="5"/>
  <c r="BD228" i="5"/>
  <c r="BF228" i="5"/>
  <c r="BL228" i="5"/>
  <c r="BP228" i="5" s="1"/>
  <c r="BO228" i="5"/>
  <c r="C227" i="5"/>
  <c r="D227" i="5"/>
  <c r="E227" i="5"/>
  <c r="F227" i="5"/>
  <c r="G227" i="5"/>
  <c r="H227" i="5"/>
  <c r="I227" i="5"/>
  <c r="J227" i="5"/>
  <c r="K227" i="5"/>
  <c r="L227" i="5"/>
  <c r="BN228" i="5" l="1"/>
  <c r="O227" i="5"/>
  <c r="P227" i="5"/>
  <c r="U227" i="5"/>
  <c r="W227" i="5"/>
  <c r="Y227" i="5"/>
  <c r="Z227" i="5"/>
  <c r="AA227" i="5" s="1"/>
  <c r="AB227" i="5"/>
  <c r="AH227" i="5"/>
  <c r="AI227" i="5"/>
  <c r="AD227" i="5"/>
  <c r="AL227" i="5"/>
  <c r="AK227" i="5"/>
  <c r="AE227" i="5"/>
  <c r="AF227" i="5" l="1"/>
  <c r="AJ227" i="5"/>
  <c r="AM227" i="5"/>
  <c r="AN227" i="5" l="1"/>
  <c r="AO227" i="5"/>
  <c r="AQ227" i="5"/>
  <c r="AR227" i="5"/>
  <c r="AS227" i="5"/>
  <c r="AT227" i="5"/>
  <c r="AU227" i="5" l="1"/>
  <c r="AV227" i="5"/>
  <c r="AW227" i="5"/>
  <c r="AX227" i="5"/>
  <c r="AY227" i="5"/>
  <c r="AZ227" i="5"/>
  <c r="BB227" i="5" s="1"/>
  <c r="BA227" i="5"/>
  <c r="BL227" i="5"/>
  <c r="BN227" i="5"/>
  <c r="BO227" i="5"/>
  <c r="BP227" i="5"/>
  <c r="C226" i="5"/>
  <c r="D226" i="5"/>
  <c r="E226" i="5"/>
  <c r="F226" i="5"/>
  <c r="G226" i="5"/>
  <c r="H226" i="5"/>
  <c r="I226" i="5"/>
  <c r="J226" i="5"/>
  <c r="K226" i="5"/>
  <c r="L226" i="5"/>
  <c r="BC227" i="5" l="1"/>
  <c r="BD227" i="5"/>
  <c r="BF227" i="5"/>
  <c r="BM227" i="5"/>
  <c r="O226" i="5"/>
  <c r="P226" i="5"/>
  <c r="U226" i="5" s="1"/>
  <c r="W226" i="5"/>
  <c r="Y226" i="5"/>
  <c r="Z226" i="5"/>
  <c r="AA226" i="5" s="1"/>
  <c r="AB226" i="5"/>
  <c r="AH226" i="5"/>
  <c r="AI226" i="5"/>
  <c r="AD226" i="5"/>
  <c r="AL226" i="5"/>
  <c r="AK226" i="5"/>
  <c r="AE226" i="5"/>
  <c r="AF226" i="5" l="1"/>
  <c r="AJ226" i="5"/>
  <c r="AM226" i="5"/>
  <c r="AN226" i="5" l="1"/>
  <c r="AO226" i="5"/>
  <c r="AQ226" i="5"/>
  <c r="AR226" i="5"/>
  <c r="AS226" i="5"/>
  <c r="AT226" i="5"/>
  <c r="AU226" i="5" l="1"/>
  <c r="AV226" i="5"/>
  <c r="AW226" i="5"/>
  <c r="AX226" i="5" s="1"/>
  <c r="AY226" i="5" s="1"/>
  <c r="AZ226" i="5"/>
  <c r="BA226" i="5"/>
  <c r="BB226" i="5"/>
  <c r="BC226" i="5" s="1"/>
  <c r="BL226" i="5"/>
  <c r="BN226" i="5"/>
  <c r="BO226" i="5"/>
  <c r="BP226" i="5"/>
  <c r="O225" i="5"/>
  <c r="P225" i="5"/>
  <c r="Y225" i="5"/>
  <c r="BO225" i="5"/>
  <c r="K225" i="5" a="1"/>
  <c r="C225" i="5" a="1"/>
  <c r="I225" i="5" a="1"/>
  <c r="E225" i="5" a="1"/>
  <c r="L225" i="5" a="1"/>
  <c r="G225" i="5" a="1"/>
  <c r="D225" i="5" a="1"/>
  <c r="F225" i="5" a="1"/>
  <c r="J225" i="5" a="1"/>
  <c r="H225" i="5" a="1"/>
  <c r="BF226" i="5" l="1"/>
  <c r="BD226" i="5"/>
  <c r="BM226" i="5"/>
  <c r="H225" i="5"/>
  <c r="J225" i="5"/>
  <c r="F225" i="5"/>
  <c r="D225" i="5"/>
  <c r="G225" i="5"/>
  <c r="L225" i="5"/>
  <c r="E225" i="5"/>
  <c r="I225" i="5"/>
  <c r="W225" i="5" s="1"/>
  <c r="C225" i="5"/>
  <c r="K225" i="5"/>
  <c r="U225" i="5" s="1"/>
  <c r="AL225" i="5" l="1"/>
  <c r="AZ225" i="5"/>
  <c r="AQ225" i="5"/>
  <c r="BA225" i="5" s="1"/>
  <c r="Z225" i="5"/>
  <c r="AA225" i="5" s="1"/>
  <c r="AB225" i="5"/>
  <c r="BL225" i="5"/>
  <c r="AH225" i="5"/>
  <c r="AI225" i="5" s="1"/>
  <c r="AK225" i="5" a="1"/>
  <c r="AK225" i="5" l="1"/>
  <c r="AD225" i="5"/>
  <c r="AJ225" i="5"/>
  <c r="BN225" i="5"/>
  <c r="BP225" i="5"/>
  <c r="AO225" i="5"/>
  <c r="AW225" i="5"/>
  <c r="AX225" i="5" s="1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F213" i="5" a="1"/>
  <c r="F201" i="5" a="1"/>
  <c r="F188" i="5" a="1"/>
  <c r="D170" i="5" a="1"/>
  <c r="C155" i="5" a="1"/>
  <c r="C139" i="5" a="1"/>
  <c r="J217" i="5" a="1"/>
  <c r="D199" i="5" a="1"/>
  <c r="L185" i="5" a="1"/>
  <c r="H171" i="5" a="1"/>
  <c r="C159" i="5" a="1"/>
  <c r="F142" i="5" a="1"/>
  <c r="D213" i="5" a="1"/>
  <c r="J200" i="5" a="1"/>
  <c r="E183" i="5" a="1"/>
  <c r="L170" i="5" a="1"/>
  <c r="G156" i="5" a="1"/>
  <c r="E142" i="5" a="1"/>
  <c r="K215" i="5" a="1"/>
  <c r="F202" i="5" a="1"/>
  <c r="I189" i="5" a="1"/>
  <c r="K174" i="5" a="1"/>
  <c r="F158" i="5" a="1"/>
  <c r="H143" i="5" a="1"/>
  <c r="F219" i="5" a="1"/>
  <c r="K201" i="5" a="1"/>
  <c r="H187" i="5" a="1"/>
  <c r="D171" i="5" a="1"/>
  <c r="D158" i="5" a="1"/>
  <c r="J146" i="5" a="1"/>
  <c r="I223" i="5" a="1"/>
  <c r="D209" i="5" a="1"/>
  <c r="L197" i="5" a="1"/>
  <c r="H185" i="5" a="1"/>
  <c r="J168" i="5" a="1"/>
  <c r="H153" i="5" a="1"/>
  <c r="H141" i="5" a="1"/>
  <c r="K213" i="5" a="1"/>
  <c r="D198" i="5" a="1"/>
  <c r="G185" i="5" a="1"/>
  <c r="C169" i="5" a="1"/>
  <c r="G155" i="5" a="1"/>
  <c r="D138" i="5" a="1"/>
  <c r="J213" i="5" a="1"/>
  <c r="I201" i="5" a="1"/>
  <c r="J188" i="5" a="1"/>
  <c r="L175" i="5" a="1"/>
  <c r="F157" i="5" a="1"/>
  <c r="J142" i="5" a="1"/>
  <c r="K216" i="5" a="1"/>
  <c r="H196" i="5" a="1"/>
  <c r="K181" i="5" a="1"/>
  <c r="G168" i="5" a="1"/>
  <c r="L152" i="5" a="1"/>
  <c r="K140" i="5" a="1"/>
  <c r="C176" i="5" a="1"/>
  <c r="F134" i="5" a="1"/>
  <c r="H119" i="5" a="1"/>
  <c r="J104" i="5" a="1"/>
  <c r="H85" i="5" a="1"/>
  <c r="J220" i="5" a="1"/>
  <c r="F168" i="5" a="1"/>
  <c r="I130" i="5" a="1"/>
  <c r="J115" i="5" a="1"/>
  <c r="L101" i="5" a="1"/>
  <c r="C86" i="5" a="1"/>
  <c r="G71" i="5" a="1"/>
  <c r="I179" i="5" a="1"/>
  <c r="H132" i="5" a="1"/>
  <c r="C116" i="5" a="1"/>
  <c r="F100" i="5" a="1"/>
  <c r="J87" i="5" a="1"/>
  <c r="L72" i="5" a="1"/>
  <c r="J182" i="5" a="1"/>
  <c r="C134" i="5" a="1"/>
  <c r="E121" i="5" a="1"/>
  <c r="I109" i="5" a="1"/>
  <c r="F93" i="5" a="1"/>
  <c r="J82" i="5" a="1"/>
  <c r="H70" i="5" a="1"/>
  <c r="C162" i="5" a="1"/>
  <c r="L131" i="5" a="1"/>
  <c r="E117" i="5" a="1"/>
  <c r="I105" i="5" a="1"/>
  <c r="D93" i="5" a="1"/>
  <c r="I175" i="5" a="1"/>
  <c r="K129" i="5" a="1"/>
  <c r="D117" i="5" a="1"/>
  <c r="H99" i="5" a="1"/>
  <c r="F193" i="5" a="1"/>
  <c r="J139" i="5" a="1"/>
  <c r="F122" i="5" a="1"/>
  <c r="C104" i="5" a="1"/>
  <c r="G90" i="5" a="1"/>
  <c r="K76" i="5" a="1"/>
  <c r="J202" i="5" a="1"/>
  <c r="J160" i="5" a="1"/>
  <c r="I131" i="5" a="1"/>
  <c r="L119" i="5" a="1"/>
  <c r="L102" i="5" a="1"/>
  <c r="I88" i="5" a="1"/>
  <c r="F72" i="5" a="1"/>
  <c r="G186" i="5" a="1"/>
  <c r="K135" i="5" a="1"/>
  <c r="K119" i="5" a="1"/>
  <c r="E107" i="5" a="1"/>
  <c r="J93" i="5" a="1"/>
  <c r="C173" i="5" a="1"/>
  <c r="L130" i="5" a="1"/>
  <c r="K117" i="5" a="1"/>
  <c r="I106" i="5" a="1"/>
  <c r="H150" i="5" a="1"/>
  <c r="I76" i="5" a="1"/>
  <c r="D51" i="5" a="1"/>
  <c r="L34" i="5" a="1"/>
  <c r="E21" i="5" a="1"/>
  <c r="J6" i="5" a="1"/>
  <c r="E86" i="5" a="1"/>
  <c r="H61" i="5" a="1"/>
  <c r="G48" i="5" a="1"/>
  <c r="G32" i="5" a="1"/>
  <c r="C17" i="5" a="1"/>
  <c r="E4" i="5" a="1"/>
  <c r="K89" i="5" a="1"/>
  <c r="G63" i="5" a="1"/>
  <c r="C51" i="5" a="1"/>
  <c r="K212" i="5" a="1"/>
  <c r="L200" i="5" a="1"/>
  <c r="F186" i="5" a="1"/>
  <c r="J169" i="5" a="1"/>
  <c r="J152" i="5" a="1"/>
  <c r="J138" i="5" a="1"/>
  <c r="C215" i="5" a="1"/>
  <c r="J198" i="5" a="1"/>
  <c r="C185" i="5" a="1"/>
  <c r="I169" i="5" a="1"/>
  <c r="H158" i="5" a="1"/>
  <c r="G140" i="5" a="1"/>
  <c r="I212" i="5" a="1"/>
  <c r="I198" i="5" a="1"/>
  <c r="L182" i="5" a="1"/>
  <c r="C170" i="5" a="1"/>
  <c r="L155" i="5" a="1"/>
  <c r="L141" i="5" a="1"/>
  <c r="H214" i="5" a="1"/>
  <c r="C201" i="5" a="1"/>
  <c r="J187" i="5" a="1"/>
  <c r="D173" i="5" a="1"/>
  <c r="K157" i="5" a="1"/>
  <c r="D142" i="5" a="1"/>
  <c r="G217" i="5" a="1"/>
  <c r="G200" i="5" a="1"/>
  <c r="I185" i="5" a="1"/>
  <c r="E169" i="5" a="1"/>
  <c r="I157" i="5" a="1"/>
  <c r="E145" i="5" a="1"/>
  <c r="E222" i="5" a="1"/>
  <c r="I208" i="5" a="1"/>
  <c r="C197" i="5" a="1"/>
  <c r="G184" i="5" a="1"/>
  <c r="E167" i="5" a="1"/>
  <c r="E152" i="5" a="1"/>
  <c r="C140" i="5" a="1"/>
  <c r="D212" i="5" a="1"/>
  <c r="K197" i="5" a="1"/>
  <c r="F184" i="5" a="1"/>
  <c r="I168" i="5" a="1"/>
  <c r="G153" i="5" a="1"/>
  <c r="K137" i="5" a="1"/>
  <c r="C212" i="5" a="1"/>
  <c r="D200" i="5" a="1"/>
  <c r="E187" i="5" a="1"/>
  <c r="F174" i="5" a="1"/>
  <c r="F155" i="5" a="1"/>
  <c r="F141" i="5" a="1"/>
  <c r="F215" i="5" a="1"/>
  <c r="D195" i="5" a="1"/>
  <c r="E180" i="5" a="1"/>
  <c r="H166" i="5" a="1"/>
  <c r="I151" i="5" a="1"/>
  <c r="F139" i="5" a="1"/>
  <c r="J171" i="5" a="1"/>
  <c r="K133" i="5" a="1"/>
  <c r="D118" i="5" a="1"/>
  <c r="C103" i="5" a="1"/>
  <c r="E84" i="5" a="1"/>
  <c r="E209" i="5" a="1"/>
  <c r="L165" i="5" a="1"/>
  <c r="D129" i="5" a="1"/>
  <c r="F114" i="5" a="1"/>
  <c r="G100" i="5" a="1"/>
  <c r="I83" i="5" a="1"/>
  <c r="J70" i="5" a="1"/>
  <c r="I177" i="5" a="1"/>
  <c r="C131" i="5" a="1"/>
  <c r="L113" i="5" a="1"/>
  <c r="K99" i="5" a="1"/>
  <c r="G85" i="5" a="1"/>
  <c r="F71" i="5" a="1"/>
  <c r="D179" i="5" a="1"/>
  <c r="I133" i="5" a="1"/>
  <c r="K120" i="5" a="1"/>
  <c r="J107" i="5" a="1"/>
  <c r="K92" i="5" a="1"/>
  <c r="D81" i="5" a="1"/>
  <c r="J224" i="5" a="1"/>
  <c r="E159" i="5" a="1"/>
  <c r="F130" i="5" a="1"/>
  <c r="G115" i="5" a="1"/>
  <c r="E104" i="5" a="1"/>
  <c r="I92" i="5" a="1"/>
  <c r="G166" i="5" a="1"/>
  <c r="F128" i="5" a="1"/>
  <c r="J116" i="5" a="1"/>
  <c r="D98" i="5" a="1"/>
  <c r="H191" i="5" a="1"/>
  <c r="J136" i="5" a="1"/>
  <c r="G120" i="5" a="1"/>
  <c r="H103" i="5" a="1"/>
  <c r="C89" i="5" a="1"/>
  <c r="D75" i="5" a="1"/>
  <c r="I197" i="5" a="1"/>
  <c r="J157" i="5" a="1"/>
  <c r="D130" i="5" a="1"/>
  <c r="H118" i="5" a="1"/>
  <c r="E101" i="5" a="1"/>
  <c r="D87" i="5" a="1"/>
  <c r="K71" i="5" a="1"/>
  <c r="C183" i="5" a="1"/>
  <c r="D133" i="5" a="1"/>
  <c r="G118" i="5" a="1"/>
  <c r="J106" i="5" a="1"/>
  <c r="E92" i="5" a="1"/>
  <c r="G167" i="5" a="1"/>
  <c r="G129" i="5" a="1"/>
  <c r="F116" i="5" a="1"/>
  <c r="F105" i="5" a="1"/>
  <c r="E135" i="5" a="1"/>
  <c r="J72" i="5" a="1"/>
  <c r="D49" i="5" a="1"/>
  <c r="D33" i="5" a="1"/>
  <c r="F19" i="5" a="1"/>
  <c r="C6" i="5" a="1"/>
  <c r="I81" i="5" a="1"/>
  <c r="L60" i="5" a="1"/>
  <c r="L47" i="5" a="1"/>
  <c r="K31" i="5" a="1"/>
  <c r="H16" i="5" a="1"/>
  <c r="I3" i="5" a="1"/>
  <c r="G87" i="5" a="1"/>
  <c r="C62" i="5" a="1"/>
  <c r="G50" i="5" a="1"/>
  <c r="I224" i="5" a="1"/>
  <c r="F211" i="5" a="1"/>
  <c r="E199" i="5" a="1"/>
  <c r="D185" i="5" a="1"/>
  <c r="D168" i="5" a="1"/>
  <c r="F151" i="5" a="1"/>
  <c r="G137" i="5" a="1"/>
  <c r="J214" i="5" a="1"/>
  <c r="E196" i="5" a="1"/>
  <c r="J184" i="5" a="1"/>
  <c r="C168" i="5" a="1"/>
  <c r="H156" i="5" a="1"/>
  <c r="F137" i="5" a="1"/>
  <c r="D211" i="5" a="1"/>
  <c r="G197" i="5" a="1"/>
  <c r="F181" i="5" a="1"/>
  <c r="H169" i="5" a="1"/>
  <c r="G154" i="5" a="1"/>
  <c r="L139" i="5" a="1"/>
  <c r="C213" i="5" a="1"/>
  <c r="I200" i="5" a="1"/>
  <c r="D186" i="5" a="1"/>
  <c r="K172" i="5" a="1"/>
  <c r="F156" i="5" a="1"/>
  <c r="K141" i="5" a="1"/>
  <c r="D216" i="5" a="1"/>
  <c r="L199" i="5" a="1"/>
  <c r="H184" i="5" a="1"/>
  <c r="K168" i="5" a="1"/>
  <c r="D156" i="5" a="1"/>
  <c r="K144" i="5" a="1"/>
  <c r="K221" i="5" a="1"/>
  <c r="D207" i="5" a="1"/>
  <c r="K196" i="5" a="1"/>
  <c r="H182" i="5" a="1"/>
  <c r="D165" i="5" a="1"/>
  <c r="K151" i="5" a="1"/>
  <c r="E138" i="5" a="1"/>
  <c r="K211" i="5" a="1"/>
  <c r="J196" i="5" a="1"/>
  <c r="L183" i="5" a="1"/>
  <c r="D167" i="5" a="1"/>
  <c r="D152" i="5" a="1"/>
  <c r="F136" i="5" a="1"/>
  <c r="J211" i="5" a="1"/>
  <c r="I199" i="5" a="1"/>
  <c r="J186" i="5" a="1"/>
  <c r="K173" i="5" a="1"/>
  <c r="L154" i="5" a="1"/>
  <c r="G139" i="5" a="1"/>
  <c r="D214" i="5" a="1"/>
  <c r="J194" i="5" a="1"/>
  <c r="K179" i="5" a="1"/>
  <c r="H164" i="5" a="1"/>
  <c r="D150" i="5" a="1"/>
  <c r="D136" i="5" a="1"/>
  <c r="L168" i="5" a="1"/>
  <c r="I132" i="5" a="1"/>
  <c r="I117" i="5" a="1"/>
  <c r="H102" i="5" a="1"/>
  <c r="J83" i="5" a="1"/>
  <c r="L206" i="5" a="1"/>
  <c r="J158" i="5" a="1"/>
  <c r="K128" i="5" a="1"/>
  <c r="C113" i="5" a="1"/>
  <c r="L99" i="5" a="1"/>
  <c r="L82" i="5" a="1"/>
  <c r="F223" i="5" a="1"/>
  <c r="D174" i="5" a="1"/>
  <c r="H130" i="5" a="1"/>
  <c r="H111" i="5" a="1"/>
  <c r="H98" i="5" a="1"/>
  <c r="D84" i="5" a="1"/>
  <c r="I70" i="5" a="1"/>
  <c r="H177" i="5" a="1"/>
  <c r="G132" i="5" a="1"/>
  <c r="E119" i="5" a="1"/>
  <c r="E106" i="5" a="1"/>
  <c r="F91" i="5" a="1"/>
  <c r="H80" i="5" a="1"/>
  <c r="G221" i="5" a="1"/>
  <c r="J156" i="5" a="1"/>
  <c r="L129" i="5" a="1"/>
  <c r="C114" i="5" a="1"/>
  <c r="J103" i="5" a="1"/>
  <c r="F224" i="5" a="1"/>
  <c r="L163" i="5" a="1"/>
  <c r="L127" i="5" a="1"/>
  <c r="F115" i="5" a="1"/>
  <c r="I97" i="5" a="1"/>
  <c r="H188" i="5" a="1"/>
  <c r="C135" i="5" a="1"/>
  <c r="C117" i="5" a="1"/>
  <c r="F101" i="5" a="1"/>
  <c r="J88" i="5" a="1"/>
  <c r="I74" i="5" a="1"/>
  <c r="I194" i="5" a="1"/>
  <c r="J154" i="5" a="1"/>
  <c r="I129" i="5" a="1"/>
  <c r="H116" i="5" a="1"/>
  <c r="K100" i="5" a="1"/>
  <c r="G86" i="5" a="1"/>
  <c r="C70" i="5" a="1"/>
  <c r="C178" i="5" a="1"/>
  <c r="H131" i="5" a="1"/>
  <c r="L117" i="5" a="1"/>
  <c r="F103" i="5" a="1"/>
  <c r="K91" i="5" a="1"/>
  <c r="L164" i="5" a="1"/>
  <c r="C128" i="5" a="1"/>
  <c r="L115" i="5" a="1"/>
  <c r="L104" i="5" a="1"/>
  <c r="L133" i="5" a="1"/>
  <c r="I66" i="5" a="1"/>
  <c r="H48" i="5" a="1"/>
  <c r="H32" i="5" a="1"/>
  <c r="K18" i="5" a="1"/>
  <c r="I5" i="5" a="1"/>
  <c r="H76" i="5" a="1"/>
  <c r="D59" i="5" a="1"/>
  <c r="J45" i="5" a="1"/>
  <c r="D30" i="5" a="1"/>
  <c r="K15" i="5" a="1"/>
  <c r="F2" i="5" a="1"/>
  <c r="H81" i="5" a="1"/>
  <c r="G61" i="5" a="1"/>
  <c r="L49" i="5" a="1"/>
  <c r="AE225" i="5"/>
  <c r="D223" i="5" a="1"/>
  <c r="L210" i="5" a="1"/>
  <c r="K198" i="5" a="1"/>
  <c r="K184" i="5" a="1"/>
  <c r="E166" i="5" a="1"/>
  <c r="L150" i="5" a="1"/>
  <c r="L136" i="5" a="1"/>
  <c r="E213" i="5" a="1"/>
  <c r="J195" i="5" a="1"/>
  <c r="F183" i="5" a="1"/>
  <c r="J167" i="5" a="1"/>
  <c r="H154" i="5" a="1"/>
  <c r="K136" i="5" a="1"/>
  <c r="K210" i="5" a="1"/>
  <c r="D196" i="5" a="1"/>
  <c r="L180" i="5" a="1"/>
  <c r="I167" i="5" a="1"/>
  <c r="L153" i="5" a="1"/>
  <c r="I138" i="5" a="1"/>
  <c r="H212" i="5" a="1"/>
  <c r="C199" i="5" a="1"/>
  <c r="I184" i="5" a="1"/>
  <c r="F171" i="5" a="1"/>
  <c r="K155" i="5" a="1"/>
  <c r="F140" i="5" a="1"/>
  <c r="J215" i="5" a="1"/>
  <c r="F198" i="5" a="1"/>
  <c r="I182" i="5" a="1"/>
  <c r="F167" i="5" a="1"/>
  <c r="I155" i="5" a="1"/>
  <c r="G143" i="5" a="1"/>
  <c r="H220" i="5" a="1"/>
  <c r="K206" i="5" a="1"/>
  <c r="F195" i="5" a="1"/>
  <c r="C181" i="5" a="1"/>
  <c r="E163" i="5" a="1"/>
  <c r="F150" i="5" a="1"/>
  <c r="G136" i="5" a="1"/>
  <c r="L209" i="5" a="1"/>
  <c r="E195" i="5" a="1"/>
  <c r="G182" i="5" a="1"/>
  <c r="J166" i="5" a="1"/>
  <c r="J151" i="5" a="1"/>
  <c r="L224" i="5" a="1"/>
  <c r="F210" i="5" a="1"/>
  <c r="C198" i="5" a="1"/>
  <c r="F185" i="5" a="1"/>
  <c r="F172" i="5" a="1"/>
  <c r="C152" i="5" a="1"/>
  <c r="C138" i="5" a="1"/>
  <c r="I213" i="5" a="1"/>
  <c r="H193" i="5" a="1"/>
  <c r="D178" i="5" a="1"/>
  <c r="F161" i="5" a="1"/>
  <c r="K149" i="5" a="1"/>
  <c r="L217" i="5" a="1"/>
  <c r="F164" i="5" a="1"/>
  <c r="E131" i="5" a="1"/>
  <c r="D116" i="5" a="1"/>
  <c r="J98" i="5" a="1"/>
  <c r="J80" i="5" a="1"/>
  <c r="D203" i="5" a="1"/>
  <c r="E149" i="5" a="1"/>
  <c r="G127" i="5" a="1"/>
  <c r="I112" i="5" a="1"/>
  <c r="C99" i="5" a="1"/>
  <c r="F81" i="5" a="1"/>
  <c r="E220" i="5" a="1"/>
  <c r="E168" i="5" a="1"/>
  <c r="J128" i="5" a="1"/>
  <c r="D110" i="5" a="1"/>
  <c r="H96" i="5" a="1"/>
  <c r="H83" i="5" a="1"/>
  <c r="E223" i="5" a="1"/>
  <c r="C174" i="5" a="1"/>
  <c r="C129" i="5" a="1"/>
  <c r="K118" i="5" a="1"/>
  <c r="G104" i="5" a="1"/>
  <c r="K90" i="5" a="1"/>
  <c r="L79" i="5" a="1"/>
  <c r="D210" i="5" a="1"/>
  <c r="E153" i="5" a="1"/>
  <c r="G128" i="5" a="1"/>
  <c r="J113" i="5" a="1"/>
  <c r="C102" i="5" a="1"/>
  <c r="F221" i="5" a="1"/>
  <c r="D159" i="5" a="1"/>
  <c r="I126" i="5" a="1"/>
  <c r="L114" i="5" a="1"/>
  <c r="E96" i="5" a="1"/>
  <c r="I183" i="5" a="1"/>
  <c r="J134" i="5" a="1"/>
  <c r="I116" i="5" a="1"/>
  <c r="L100" i="5" a="1"/>
  <c r="E87" i="5" a="1"/>
  <c r="C73" i="5" a="1"/>
  <c r="G191" i="5" a="1"/>
  <c r="D148" i="5" a="1"/>
  <c r="D128" i="5" a="1"/>
  <c r="K114" i="5" a="1"/>
  <c r="F99" i="5" a="1"/>
  <c r="L85" i="5" a="1"/>
  <c r="H69" i="5" a="1"/>
  <c r="H173" i="5" a="1"/>
  <c r="C130" i="5" a="1"/>
  <c r="G116" i="5" a="1"/>
  <c r="K102" i="5" a="1"/>
  <c r="K219" i="5" a="1"/>
  <c r="D157" i="5" a="1"/>
  <c r="F126" i="5" a="1"/>
  <c r="C115" i="5" a="1"/>
  <c r="E103" i="5" a="1"/>
  <c r="D114" i="5" a="1"/>
  <c r="D62" i="5" a="1"/>
  <c r="E46" i="5" a="1"/>
  <c r="L31" i="5" a="1"/>
  <c r="D17" i="5" a="1"/>
  <c r="G2" i="5" a="1"/>
  <c r="I72" i="5" a="1"/>
  <c r="I58" i="5" a="1"/>
  <c r="D44" i="5" a="1"/>
  <c r="H29" i="5" a="1"/>
  <c r="D14" i="5" a="1"/>
  <c r="K207" i="5" a="1"/>
  <c r="G76" i="5" a="1"/>
  <c r="K60" i="5" a="1"/>
  <c r="AM225" i="5"/>
  <c r="J222" i="5" a="1"/>
  <c r="G209" i="5" a="1"/>
  <c r="H197" i="5" a="1"/>
  <c r="G183" i="5" a="1"/>
  <c r="J165" i="5" a="1"/>
  <c r="H149" i="5" a="1"/>
  <c r="H224" i="5" a="1"/>
  <c r="J212" i="5" a="1"/>
  <c r="G194" i="5" a="1"/>
  <c r="G181" i="5" a="1"/>
  <c r="D166" i="5" a="1"/>
  <c r="C153" i="5" a="1"/>
  <c r="H222" i="5" a="1"/>
  <c r="F209" i="5" a="1"/>
  <c r="I195" i="5" a="1"/>
  <c r="F179" i="5" a="1"/>
  <c r="C166" i="5" a="1"/>
  <c r="H152" i="5" a="1"/>
  <c r="E137" i="5" a="1"/>
  <c r="C211" i="5" a="1"/>
  <c r="D220" i="5" a="1"/>
  <c r="J207" i="5" a="1"/>
  <c r="K195" i="5" a="1"/>
  <c r="H179" i="5" a="1"/>
  <c r="J163" i="5" a="1"/>
  <c r="I147" i="5" a="1"/>
  <c r="I222" i="5" a="1"/>
  <c r="C208" i="5" a="1"/>
  <c r="K192" i="5" a="1"/>
  <c r="L178" i="5" a="1"/>
  <c r="D164" i="5" a="1"/>
  <c r="E151" i="5" a="1"/>
  <c r="I219" i="5" a="1"/>
  <c r="D206" i="5" a="1"/>
  <c r="J192" i="5" a="1"/>
  <c r="E177" i="5" a="1"/>
  <c r="C164" i="5" a="1"/>
  <c r="J150" i="5" a="1"/>
  <c r="L223" i="5" a="1"/>
  <c r="L208" i="5" a="1"/>
  <c r="C196" i="5" a="1"/>
  <c r="K180" i="5" a="1"/>
  <c r="H167" i="5" a="1"/>
  <c r="I150" i="5" a="1"/>
  <c r="D137" i="5" a="1"/>
  <c r="H210" i="5" a="1"/>
  <c r="D194" i="5" a="1"/>
  <c r="C179" i="5" a="1"/>
  <c r="K164" i="5" a="1"/>
  <c r="F152" i="5" a="1"/>
  <c r="D140" i="5" a="1"/>
  <c r="C216" i="5" a="1"/>
  <c r="H203" i="5" a="1"/>
  <c r="K191" i="5" a="1"/>
  <c r="G176" i="5" a="1"/>
  <c r="I159" i="5" a="1"/>
  <c r="C147" i="5" a="1"/>
  <c r="J221" i="5" a="1"/>
  <c r="J206" i="5" a="1"/>
  <c r="E192" i="5" a="1"/>
  <c r="F178" i="5" a="1"/>
  <c r="D163" i="5" a="1"/>
  <c r="C145" i="5" a="1"/>
  <c r="I221" i="5" a="1"/>
  <c r="C207" i="5" a="1"/>
  <c r="K194" i="5" a="1"/>
  <c r="F182" i="5" a="1"/>
  <c r="C167" i="5" a="1"/>
  <c r="F148" i="5" a="1"/>
  <c r="L222" i="5" a="1"/>
  <c r="J209" i="5" a="1"/>
  <c r="D189" i="5" a="1"/>
  <c r="K175" i="5" a="1"/>
  <c r="L158" i="5" a="1"/>
  <c r="F146" i="5" a="1"/>
  <c r="E203" i="5" a="1"/>
  <c r="J155" i="5" a="1"/>
  <c r="L128" i="5" a="1"/>
  <c r="J112" i="5" a="1"/>
  <c r="H93" i="5" a="1"/>
  <c r="F76" i="5" a="1"/>
  <c r="H192" i="5" a="1"/>
  <c r="E140" i="5" a="1"/>
  <c r="D123" i="5" a="1"/>
  <c r="L107" i="5" a="1"/>
  <c r="E95" i="5" a="1"/>
  <c r="H78" i="5" a="1"/>
  <c r="L212" i="5" a="1"/>
  <c r="D155" i="5" a="1"/>
  <c r="C126" i="5" a="1"/>
  <c r="K107" i="5" a="1"/>
  <c r="G93" i="5" a="1"/>
  <c r="G78" i="5" a="1"/>
  <c r="G212" i="5" a="1"/>
  <c r="F165" i="5" a="1"/>
  <c r="K126" i="5" a="1"/>
  <c r="I115" i="5" a="1"/>
  <c r="J101" i="5" a="1"/>
  <c r="I87" i="5" a="1"/>
  <c r="C76" i="5" a="1"/>
  <c r="L196" i="5" a="1"/>
  <c r="D141" i="5" a="1"/>
  <c r="H125" i="5" a="1"/>
  <c r="L110" i="5" a="1"/>
  <c r="I99" i="5" a="1"/>
  <c r="C210" i="5" a="1"/>
  <c r="F144" i="5" a="1"/>
  <c r="J123" i="5" a="1"/>
  <c r="F109" i="5" a="1"/>
  <c r="H92" i="5" a="1"/>
  <c r="J170" i="5" a="1"/>
  <c r="C132" i="5" a="1"/>
  <c r="E112" i="5" a="1"/>
  <c r="H97" i="5" a="1"/>
  <c r="C83" i="5" a="1"/>
  <c r="D70" i="5" a="1"/>
  <c r="H183" i="5" a="1"/>
  <c r="E139" i="5" a="1"/>
  <c r="E125" i="5" a="1"/>
  <c r="D109" i="5" a="1"/>
  <c r="F94" i="5" a="1"/>
  <c r="C80" i="5" a="1"/>
  <c r="I216" i="5" a="1"/>
  <c r="F160" i="5" a="1"/>
  <c r="G126" i="5" a="1"/>
  <c r="G113" i="5" a="1"/>
  <c r="E99" i="5" a="1"/>
  <c r="F218" i="5" a="1"/>
  <c r="E206" i="5" a="1"/>
  <c r="H194" i="5" a="1"/>
  <c r="G177" i="5" a="1"/>
  <c r="D161" i="5" a="1"/>
  <c r="C146" i="5" a="1"/>
  <c r="D221" i="5" a="1"/>
  <c r="I207" i="5" a="1"/>
  <c r="E191" i="5" a="1"/>
  <c r="F177" i="5" a="1"/>
  <c r="I163" i="5" a="1"/>
  <c r="K150" i="5" a="1"/>
  <c r="D218" i="5" a="1"/>
  <c r="K205" i="5" a="1"/>
  <c r="D191" i="5" a="1"/>
  <c r="K176" i="5" a="1"/>
  <c r="H163" i="5" a="1"/>
  <c r="F149" i="5" a="1"/>
  <c r="K220" i="5" a="1"/>
  <c r="G207" i="5" a="1"/>
  <c r="E194" i="5" a="1"/>
  <c r="E179" i="5" a="1"/>
  <c r="G165" i="5" a="1"/>
  <c r="K148" i="5" a="1"/>
  <c r="E224" i="5" a="1"/>
  <c r="J208" i="5" a="1"/>
  <c r="K193" i="5" a="1"/>
  <c r="H178" i="5" a="1"/>
  <c r="F163" i="5" a="1"/>
  <c r="D215" i="5" a="1"/>
  <c r="H181" i="5" a="1"/>
  <c r="D144" i="5" a="1"/>
  <c r="K200" i="5" a="1"/>
  <c r="F162" i="5" a="1"/>
  <c r="L215" i="5" a="1"/>
  <c r="K178" i="5" a="1"/>
  <c r="G147" i="5" a="1"/>
  <c r="K203" i="5" a="1"/>
  <c r="E175" i="5" a="1"/>
  <c r="L144" i="5" a="1"/>
  <c r="I203" i="5" a="1"/>
  <c r="I172" i="5" a="1"/>
  <c r="I148" i="5" a="1"/>
  <c r="L213" i="5" a="1"/>
  <c r="F192" i="5" a="1"/>
  <c r="D169" i="5" a="1"/>
  <c r="J144" i="5" a="1"/>
  <c r="F205" i="5" a="1"/>
  <c r="L181" i="5" a="1"/>
  <c r="H159" i="5" a="1"/>
  <c r="C219" i="5" a="1"/>
  <c r="I196" i="5" a="1"/>
  <c r="F176" i="5" a="1"/>
  <c r="L145" i="5" a="1"/>
  <c r="L207" i="5" a="1"/>
  <c r="J177" i="5" a="1"/>
  <c r="K154" i="5" a="1"/>
  <c r="L198" i="5" a="1"/>
  <c r="E129" i="5" a="1"/>
  <c r="D105" i="5" a="1"/>
  <c r="K70" i="5" a="1"/>
  <c r="H137" i="5" a="1"/>
  <c r="I111" i="5" a="1"/>
  <c r="E88" i="5" a="1"/>
  <c r="C195" i="5" a="1"/>
  <c r="L126" i="5" a="1"/>
  <c r="K101" i="5" a="1"/>
  <c r="I75" i="5" a="1"/>
  <c r="H162" i="5" a="1"/>
  <c r="G117" i="5" a="1"/>
  <c r="C95" i="5" a="1"/>
  <c r="C74" i="5" a="1"/>
  <c r="E147" i="5" a="1"/>
  <c r="I120" i="5" a="1"/>
  <c r="F96" i="5" a="1"/>
  <c r="C141" i="5" a="1"/>
  <c r="D111" i="5" a="1"/>
  <c r="F199" i="5" a="1"/>
  <c r="J129" i="5" a="1"/>
  <c r="C98" i="5" a="1"/>
  <c r="G77" i="5" a="1"/>
  <c r="I173" i="5" a="1"/>
  <c r="J124" i="5" a="1"/>
  <c r="G97" i="5" a="1"/>
  <c r="J76" i="5" a="1"/>
  <c r="H151" i="5" a="1"/>
  <c r="J114" i="5" a="1"/>
  <c r="E94" i="5" a="1"/>
  <c r="J135" i="5" a="1"/>
  <c r="F118" i="5" a="1"/>
  <c r="E97" i="5" a="1"/>
  <c r="E80" i="5" a="1"/>
  <c r="J40" i="5" a="1"/>
  <c r="L22" i="5" a="1"/>
  <c r="H121" i="5" a="1"/>
  <c r="L62" i="5" a="1"/>
  <c r="F38" i="5" a="1"/>
  <c r="J18" i="5" a="1"/>
  <c r="F123" i="5" a="1"/>
  <c r="D65" i="5" a="1"/>
  <c r="C44" i="5" a="1"/>
  <c r="G29" i="5" a="1"/>
  <c r="J15" i="5" a="1"/>
  <c r="F110" i="5" a="1"/>
  <c r="K69" i="5" a="1"/>
  <c r="G54" i="5" a="1"/>
  <c r="C41" i="5" a="1"/>
  <c r="J28" i="5" a="1"/>
  <c r="C10" i="5" a="1"/>
  <c r="E185" i="5" a="1"/>
  <c r="C81" i="5" a="1"/>
  <c r="E61" i="5" a="1"/>
  <c r="F43" i="5" a="1"/>
  <c r="I28" i="5" a="1"/>
  <c r="G13" i="5" a="1"/>
  <c r="K115" i="5" a="1"/>
  <c r="G69" i="5" a="1"/>
  <c r="F56" i="5" a="1"/>
  <c r="I42" i="5" a="1"/>
  <c r="H28" i="5" a="1"/>
  <c r="F13" i="5" a="1"/>
  <c r="K169" i="5" a="1"/>
  <c r="K84" i="5" a="1"/>
  <c r="J65" i="5" a="1"/>
  <c r="I53" i="5" a="1"/>
  <c r="H39" i="5" a="1"/>
  <c r="D182" i="5" a="1"/>
  <c r="E91" i="5" a="1"/>
  <c r="G70" i="5" a="1"/>
  <c r="D54" i="5" a="1"/>
  <c r="C40" i="5" a="1"/>
  <c r="K25" i="5" a="1"/>
  <c r="J12" i="5" a="1"/>
  <c r="K138" i="5" a="1"/>
  <c r="L80" i="5" a="1"/>
  <c r="I59" i="5" a="1"/>
  <c r="C43" i="5" a="1"/>
  <c r="E28" i="5" a="1"/>
  <c r="H14" i="5" a="1"/>
  <c r="D3" i="5" a="1"/>
  <c r="J86" i="5" a="1"/>
  <c r="L66" i="5" a="1"/>
  <c r="G49" i="5" a="1"/>
  <c r="K35" i="5" a="1"/>
  <c r="H21" i="5" a="1"/>
  <c r="C5" i="5" a="1"/>
  <c r="G80" i="5" a="1"/>
  <c r="D60" i="5" a="1"/>
  <c r="D47" i="5" a="1"/>
  <c r="J35" i="5" a="1"/>
  <c r="G21" i="5" a="1"/>
  <c r="D9" i="5" a="1"/>
  <c r="H38" i="5" a="1"/>
  <c r="I32" i="5" a="1"/>
  <c r="L23" i="5" a="1"/>
  <c r="G55" i="5" a="1"/>
  <c r="K214" i="5" a="1"/>
  <c r="H175" i="5" a="1"/>
  <c r="K143" i="5" a="1"/>
  <c r="D193" i="5" a="1"/>
  <c r="L161" i="5" a="1"/>
  <c r="I214" i="5" a="1"/>
  <c r="F175" i="5" a="1"/>
  <c r="G145" i="5" a="1"/>
  <c r="H198" i="5" a="1"/>
  <c r="K170" i="5" a="1"/>
  <c r="K139" i="5" a="1"/>
  <c r="D197" i="5" a="1"/>
  <c r="K166" i="5" a="1"/>
  <c r="D147" i="5" a="1"/>
  <c r="E212" i="5" a="1"/>
  <c r="J190" i="5" a="1"/>
  <c r="K162" i="5" a="1"/>
  <c r="F143" i="5" a="1"/>
  <c r="G203" i="5" a="1"/>
  <c r="G180" i="5" a="1"/>
  <c r="G157" i="5" a="1"/>
  <c r="J218" i="5" a="1"/>
  <c r="I193" i="5" a="1"/>
  <c r="G170" i="5" a="1"/>
  <c r="H144" i="5" a="1"/>
  <c r="H206" i="5" a="1"/>
  <c r="E176" i="5" a="1"/>
  <c r="F153" i="5" a="1"/>
  <c r="L195" i="5" a="1"/>
  <c r="H127" i="5" a="1"/>
  <c r="I96" i="5" a="1"/>
  <c r="D69" i="5" a="1"/>
  <c r="H135" i="5" a="1"/>
  <c r="F108" i="5" a="1"/>
  <c r="K87" i="5" a="1"/>
  <c r="C189" i="5" a="1"/>
  <c r="F124" i="5" a="1"/>
  <c r="D95" i="5" a="1"/>
  <c r="D74" i="5" a="1"/>
  <c r="J147" i="5" a="1"/>
  <c r="L116" i="5" a="1"/>
  <c r="I94" i="5" a="1"/>
  <c r="F73" i="5" a="1"/>
  <c r="G138" i="5" a="1"/>
  <c r="F112" i="5" a="1"/>
  <c r="K95" i="5" a="1"/>
  <c r="G133" i="5" a="1"/>
  <c r="K110" i="5" a="1"/>
  <c r="G196" i="5" a="1"/>
  <c r="E128" i="5" a="1"/>
  <c r="D96" i="5" a="1"/>
  <c r="G72" i="5" a="1"/>
  <c r="L167" i="5" a="1"/>
  <c r="I123" i="5" a="1"/>
  <c r="C96" i="5" a="1"/>
  <c r="C75" i="5" a="1"/>
  <c r="I145" i="5" a="1"/>
  <c r="D112" i="5" a="1"/>
  <c r="E216" i="5" a="1"/>
  <c r="H134" i="5" a="1"/>
  <c r="I114" i="5" a="1"/>
  <c r="K96" i="5" a="1"/>
  <c r="I61" i="5" a="1"/>
  <c r="C39" i="5" a="1"/>
  <c r="L15" i="5" a="1"/>
  <c r="G112" i="5" a="1"/>
  <c r="E57" i="5" a="1"/>
  <c r="L37" i="5" a="1"/>
  <c r="I13" i="5" a="1"/>
  <c r="D121" i="5" a="1"/>
  <c r="C59" i="5" a="1"/>
  <c r="H43" i="5" a="1"/>
  <c r="K28" i="5" a="1"/>
  <c r="C14" i="5" a="1"/>
  <c r="H106" i="5" a="1"/>
  <c r="I68" i="5" a="1"/>
  <c r="K53" i="5" a="1"/>
  <c r="G40" i="5" a="1"/>
  <c r="D25" i="5" a="1"/>
  <c r="H9" i="5" a="1"/>
  <c r="G164" i="5" a="1"/>
  <c r="H77" i="5" a="1"/>
  <c r="I60" i="5" a="1"/>
  <c r="J42" i="5" a="1"/>
  <c r="H26" i="5" a="1"/>
  <c r="I11" i="5" a="1"/>
  <c r="F104" i="5" a="1"/>
  <c r="G68" i="5" a="1"/>
  <c r="F54" i="5" a="1"/>
  <c r="E40" i="5" a="1"/>
  <c r="L27" i="5" a="1"/>
  <c r="K12" i="5" a="1"/>
  <c r="L134" i="5" a="1"/>
  <c r="K83" i="5" a="1"/>
  <c r="G64" i="5" a="1"/>
  <c r="E52" i="5" a="1"/>
  <c r="L38" i="5" a="1"/>
  <c r="I161" i="5" a="1"/>
  <c r="C90" i="5" a="1"/>
  <c r="E69" i="5" a="1"/>
  <c r="H53" i="5" a="1"/>
  <c r="G39" i="5" a="1"/>
  <c r="K23" i="5" a="1"/>
  <c r="F11" i="5" a="1"/>
  <c r="G130" i="5" a="1"/>
  <c r="G79" i="5" a="1"/>
  <c r="I57" i="5" a="1"/>
  <c r="F42" i="5" a="1"/>
  <c r="I27" i="5" a="1"/>
  <c r="D13" i="5" a="1"/>
  <c r="J2" i="5" a="1"/>
  <c r="I85" i="5" a="1"/>
  <c r="D208" i="5" a="1"/>
  <c r="G173" i="5" a="1"/>
  <c r="H140" i="5" a="1"/>
  <c r="C190" i="5" a="1"/>
  <c r="C161" i="5" a="1"/>
  <c r="H207" i="5" a="1"/>
  <c r="L174" i="5" a="1"/>
  <c r="I143" i="5" a="1"/>
  <c r="F197" i="5" a="1"/>
  <c r="G169" i="5" a="1"/>
  <c r="H138" i="5" a="1"/>
  <c r="G195" i="5" a="1"/>
  <c r="E165" i="5" a="1"/>
  <c r="C142" i="5" a="1"/>
  <c r="L211" i="5" a="1"/>
  <c r="F189" i="5" a="1"/>
  <c r="D160" i="5" a="1"/>
  <c r="L142" i="5" a="1"/>
  <c r="C202" i="5" a="1"/>
  <c r="L177" i="5" a="1"/>
  <c r="G148" i="5" a="1"/>
  <c r="L216" i="5" a="1"/>
  <c r="D192" i="5" a="1"/>
  <c r="H168" i="5" a="1"/>
  <c r="E143" i="5" a="1"/>
  <c r="D205" i="5" a="1"/>
  <c r="E174" i="5" a="1"/>
  <c r="E148" i="5" a="1"/>
  <c r="K189" i="5" a="1"/>
  <c r="L125" i="5" a="1"/>
  <c r="F95" i="5" a="1"/>
  <c r="K223" i="5" a="1"/>
  <c r="E134" i="5" a="1"/>
  <c r="G106" i="5" a="1"/>
  <c r="I80" i="5" a="1"/>
  <c r="I187" i="5" a="1"/>
  <c r="J122" i="5" a="1"/>
  <c r="J94" i="5" a="1"/>
  <c r="G73" i="5" a="1"/>
  <c r="C143" i="5" a="1"/>
  <c r="E114" i="5" a="1"/>
  <c r="F89" i="5" a="1"/>
  <c r="K72" i="5" a="1"/>
  <c r="D135" i="5" a="1"/>
  <c r="E111" i="5" a="1"/>
  <c r="H94" i="5" a="1"/>
  <c r="D132" i="5" a="1"/>
  <c r="K108" i="5" a="1"/>
  <c r="D180" i="5" a="1"/>
  <c r="F125" i="5" a="1"/>
  <c r="I95" i="5" a="1"/>
  <c r="L71" i="5" a="1"/>
  <c r="G163" i="5" a="1"/>
  <c r="E122" i="5" a="1"/>
  <c r="K93" i="5" a="1"/>
  <c r="K222" i="5" a="1"/>
  <c r="G142" i="5" a="1"/>
  <c r="L111" i="5" a="1"/>
  <c r="H211" i="5" a="1"/>
  <c r="C133" i="5" a="1"/>
  <c r="F113" i="5" a="1"/>
  <c r="D94" i="5" a="1"/>
  <c r="E59" i="5" a="1"/>
  <c r="G38" i="5" a="1"/>
  <c r="E14" i="5" a="1"/>
  <c r="K97" i="5" a="1"/>
  <c r="I56" i="5" a="1"/>
  <c r="D36" i="5" a="1"/>
  <c r="E12" i="5" a="1"/>
  <c r="I119" i="5" a="1"/>
  <c r="H58" i="5" a="1"/>
  <c r="L42" i="5" a="1"/>
  <c r="C27" i="5" a="1"/>
  <c r="D12" i="5" a="1"/>
  <c r="L95" i="5" a="1"/>
  <c r="F66" i="5" a="1"/>
  <c r="H52" i="5" a="1"/>
  <c r="K39" i="5" a="1"/>
  <c r="E23" i="5" a="1"/>
  <c r="E8" i="5" a="1"/>
  <c r="F117" i="5" a="1"/>
  <c r="L74" i="5" a="1"/>
  <c r="G58" i="5" a="1"/>
  <c r="F40" i="5" a="1"/>
  <c r="C25" i="5" a="1"/>
  <c r="J7" i="5" a="1"/>
  <c r="H100" i="5" a="1"/>
  <c r="K67" i="5" a="1"/>
  <c r="J53" i="5" a="1"/>
  <c r="I39" i="5" a="1"/>
  <c r="G26" i="5" a="1"/>
  <c r="H11" i="5" a="1"/>
  <c r="H124" i="5" a="1"/>
  <c r="D82" i="5" a="1"/>
  <c r="C63" i="5" a="1"/>
  <c r="D50" i="5" a="1"/>
  <c r="C38" i="5" a="1"/>
  <c r="K156" i="5" a="1"/>
  <c r="K85" i="5" a="1"/>
  <c r="E68" i="5" a="1"/>
  <c r="D52" i="5" a="1"/>
  <c r="K38" i="5" a="1"/>
  <c r="F22" i="5" a="1"/>
  <c r="K10" i="5" a="1"/>
  <c r="H128" i="5" a="1"/>
  <c r="D78" i="5" a="1"/>
  <c r="I55" i="5" a="1"/>
  <c r="J41" i="5" a="1"/>
  <c r="D26" i="5" a="1"/>
  <c r="I12" i="5" a="1"/>
  <c r="J203" i="5" a="1"/>
  <c r="G84" i="5" a="1"/>
  <c r="K63" i="5" a="1"/>
  <c r="E47" i="5" a="1"/>
  <c r="F33" i="5" a="1"/>
  <c r="I19" i="5" a="1"/>
  <c r="L3" i="5" a="1"/>
  <c r="F75" i="5" a="1"/>
  <c r="L58" i="5" a="1"/>
  <c r="C45" i="5" a="1"/>
  <c r="C31" i="5" a="1"/>
  <c r="C20" i="5" a="1"/>
  <c r="F7" i="5" a="1"/>
  <c r="I16" i="5" a="1"/>
  <c r="F84" i="5" a="1"/>
  <c r="K58" i="5" a="1"/>
  <c r="L18" i="5" a="1"/>
  <c r="L205" i="5" a="1"/>
  <c r="C172" i="5" a="1"/>
  <c r="C223" i="5" a="1"/>
  <c r="J189" i="5" a="1"/>
  <c r="H160" i="5" a="1"/>
  <c r="F204" i="5" a="1"/>
  <c r="E173" i="5" a="1"/>
  <c r="G224" i="5" a="1"/>
  <c r="L193" i="5" a="1"/>
  <c r="D162" i="5" a="1"/>
  <c r="J223" i="5" a="1"/>
  <c r="G192" i="5" a="1"/>
  <c r="L162" i="5" a="1"/>
  <c r="I141" i="5" a="1"/>
  <c r="G210" i="5" a="1"/>
  <c r="L188" i="5" a="1"/>
  <c r="C158" i="5" a="1"/>
  <c r="C224" i="5" a="1"/>
  <c r="E200" i="5" a="1"/>
  <c r="G174" i="5" a="1"/>
  <c r="H146" i="5" a="1"/>
  <c r="G215" i="5" a="1"/>
  <c r="I191" i="5" a="1"/>
  <c r="I166" i="5" a="1"/>
  <c r="J137" i="5" a="1"/>
  <c r="C200" i="5" a="1"/>
  <c r="J173" i="5" a="1"/>
  <c r="K147" i="5" a="1"/>
  <c r="E181" i="5" a="1"/>
  <c r="G124" i="5" a="1"/>
  <c r="I91" i="5" a="1"/>
  <c r="G198" i="5" a="1"/>
  <c r="J133" i="5" a="1"/>
  <c r="L105" i="5" a="1"/>
  <c r="C79" i="5" a="1"/>
  <c r="C184" i="5" a="1"/>
  <c r="F121" i="5" a="1"/>
  <c r="L92" i="5" a="1"/>
  <c r="C217" i="5" a="1"/>
  <c r="L138" i="5" a="1"/>
  <c r="K113" i="5" a="1"/>
  <c r="C88" i="5" a="1"/>
  <c r="E71" i="5" a="1"/>
  <c r="K134" i="5" a="1"/>
  <c r="G109" i="5" a="1"/>
  <c r="H218" i="5" a="1"/>
  <c r="K131" i="5" a="1"/>
  <c r="H105" i="5" a="1"/>
  <c r="D175" i="5" a="1"/>
  <c r="K124" i="5" a="1"/>
  <c r="G94" i="5" a="1"/>
  <c r="I69" i="5" a="1"/>
  <c r="J145" i="5" a="1"/>
  <c r="K121" i="5" a="1"/>
  <c r="F92" i="5" a="1"/>
  <c r="L219" i="5" a="1"/>
  <c r="D139" i="5" a="1"/>
  <c r="H110" i="5" a="1"/>
  <c r="E208" i="5" a="1"/>
  <c r="J132" i="5" a="1"/>
  <c r="L112" i="5" a="1"/>
  <c r="I93" i="5" a="1"/>
  <c r="J58" i="5" a="1"/>
  <c r="E36" i="5" a="1"/>
  <c r="J13" i="5" a="1"/>
  <c r="L88" i="5" a="1"/>
  <c r="E55" i="5" a="1"/>
  <c r="G35" i="5" a="1"/>
  <c r="K11" i="5" a="1"/>
  <c r="D97" i="5" a="1"/>
  <c r="D57" i="5" a="1"/>
  <c r="D41" i="5" a="1"/>
  <c r="I26" i="5" a="1"/>
  <c r="J11" i="5" a="1"/>
  <c r="I90" i="5" a="1"/>
  <c r="C65" i="5" a="1"/>
  <c r="K51" i="5" a="1"/>
  <c r="E38" i="5" a="1"/>
  <c r="I22" i="5" a="1"/>
  <c r="K7" i="5" a="1"/>
  <c r="D108" i="5" a="1"/>
  <c r="J73" i="5" a="1"/>
  <c r="L57" i="5" a="1"/>
  <c r="J39" i="5" a="1"/>
  <c r="H24" i="5" a="1"/>
  <c r="H6" i="5" a="1"/>
  <c r="E93" i="5" a="1"/>
  <c r="D66" i="5" a="1"/>
  <c r="F52" i="5" a="1"/>
  <c r="H37" i="5" a="1"/>
  <c r="G24" i="5" a="1"/>
  <c r="G9" i="5" a="1"/>
  <c r="H115" i="5" a="1"/>
  <c r="K79" i="5" a="1"/>
  <c r="I62" i="5" a="1"/>
  <c r="I49" i="5" a="1"/>
  <c r="G37" i="5" a="1"/>
  <c r="C151" i="5" a="1"/>
  <c r="J84" i="5" a="1"/>
  <c r="I67" i="5" a="1"/>
  <c r="H51" i="5" a="1"/>
  <c r="F37" i="5" a="1"/>
  <c r="J21" i="5" a="1"/>
  <c r="F9" i="5" a="1"/>
  <c r="E126" i="5" a="1"/>
  <c r="K75" i="5" a="1"/>
  <c r="C54" i="5" a="1"/>
  <c r="F39" i="5" a="1"/>
  <c r="J25" i="5" a="1"/>
  <c r="E11" i="5" a="1"/>
  <c r="L184" i="5" a="1"/>
  <c r="I202" i="5" a="1"/>
  <c r="I160" i="5" a="1"/>
  <c r="J219" i="5" a="1"/>
  <c r="G179" i="5" a="1"/>
  <c r="H147" i="5" a="1"/>
  <c r="D201" i="5" a="1"/>
  <c r="E162" i="5" a="1"/>
  <c r="H217" i="5" a="1"/>
  <c r="C191" i="5" a="1"/>
  <c r="L159" i="5" a="1"/>
  <c r="I220" i="5" a="1"/>
  <c r="C188" i="5" a="1"/>
  <c r="J159" i="5" a="1"/>
  <c r="L137" i="5" a="1"/>
  <c r="D202" i="5" a="1"/>
  <c r="H180" i="5" a="1"/>
  <c r="H155" i="5" a="1"/>
  <c r="K218" i="5" a="1"/>
  <c r="J193" i="5" a="1"/>
  <c r="H170" i="5" a="1"/>
  <c r="G141" i="5" a="1"/>
  <c r="I206" i="5" a="1"/>
  <c r="E184" i="5" a="1"/>
  <c r="I162" i="5" a="1"/>
  <c r="H221" i="5" a="1"/>
  <c r="G190" i="5" a="1"/>
  <c r="F170" i="5" a="1"/>
  <c r="D143" i="5" a="1"/>
  <c r="K152" i="5" a="1"/>
  <c r="G114" i="5" a="1"/>
  <c r="L87" i="5" a="1"/>
  <c r="D184" i="5" a="1"/>
  <c r="K125" i="5" a="1"/>
  <c r="L192" i="5" a="1"/>
  <c r="E218" i="5" a="1"/>
  <c r="I152" i="5" a="1"/>
  <c r="K187" i="5" a="1"/>
  <c r="J210" i="5" a="1"/>
  <c r="G160" i="5" a="1"/>
  <c r="C204" i="5" a="1"/>
  <c r="L151" i="5" a="1"/>
  <c r="J201" i="5" a="1"/>
  <c r="H157" i="5" a="1"/>
  <c r="C209" i="5" a="1"/>
  <c r="J164" i="5" a="1"/>
  <c r="G208" i="5" a="1"/>
  <c r="K177" i="5" a="1"/>
  <c r="E217" i="5" a="1"/>
  <c r="L160" i="5" a="1"/>
  <c r="E161" i="5" a="1"/>
  <c r="K109" i="5" a="1"/>
  <c r="J174" i="5" a="1"/>
  <c r="I104" i="5" a="1"/>
  <c r="D217" i="5" a="1"/>
  <c r="L118" i="5" a="1"/>
  <c r="E81" i="5" a="1"/>
  <c r="I128" i="5" a="1"/>
  <c r="E100" i="5" a="1"/>
  <c r="H201" i="5" a="1"/>
  <c r="K123" i="5" a="1"/>
  <c r="F207" i="5" a="1"/>
  <c r="H120" i="5" a="1"/>
  <c r="K163" i="5" a="1"/>
  <c r="G107" i="5" a="1"/>
  <c r="J216" i="5" a="1"/>
  <c r="K132" i="5" a="1"/>
  <c r="F90" i="5" a="1"/>
  <c r="E170" i="5" a="1"/>
  <c r="I108" i="5" a="1"/>
  <c r="E154" i="5" a="1"/>
  <c r="K111" i="5" a="1"/>
  <c r="C92" i="5" a="1"/>
  <c r="E30" i="5" a="1"/>
  <c r="F131" i="5" a="1"/>
  <c r="D53" i="5" a="1"/>
  <c r="K22" i="5" a="1"/>
  <c r="L73" i="5" a="1"/>
  <c r="K47" i="5" a="1"/>
  <c r="I24" i="5" a="1"/>
  <c r="D172" i="5" a="1"/>
  <c r="F63" i="5" a="1"/>
  <c r="H45" i="5" a="1"/>
  <c r="H18" i="5" a="1"/>
  <c r="E2" i="5" a="1"/>
  <c r="J69" i="5" a="1"/>
  <c r="I47" i="5" a="1"/>
  <c r="C21" i="5" a="1"/>
  <c r="J149" i="5" a="1"/>
  <c r="H64" i="5" a="1"/>
  <c r="L46" i="5" a="1"/>
  <c r="G22" i="5" a="1"/>
  <c r="D2" i="5" a="1"/>
  <c r="D77" i="5" a="1"/>
  <c r="E56" i="5" a="1"/>
  <c r="C35" i="5" a="1"/>
  <c r="J120" i="5" a="1"/>
  <c r="L63" i="5" a="1"/>
  <c r="I44" i="5" a="1"/>
  <c r="J19" i="5" a="1"/>
  <c r="E3" i="5" a="1"/>
  <c r="F70" i="5" a="1"/>
  <c r="I46" i="5" a="1"/>
  <c r="J23" i="5" a="1"/>
  <c r="K5" i="5" a="1"/>
  <c r="K80" i="5" a="1"/>
  <c r="H59" i="5" a="1"/>
  <c r="I41" i="5" a="1"/>
  <c r="I23" i="5" a="1"/>
  <c r="G4" i="5" a="1"/>
  <c r="C68" i="5" a="1"/>
  <c r="L54" i="5" a="1"/>
  <c r="E39" i="5" a="1"/>
  <c r="C24" i="5" a="1"/>
  <c r="H8" i="5" a="1"/>
  <c r="C11" i="5" a="1"/>
  <c r="F24" i="5" a="1"/>
  <c r="G41" i="5" a="1"/>
  <c r="G28" i="5" a="1"/>
  <c r="K2" i="5" a="1"/>
  <c r="K103" i="5" a="1"/>
  <c r="H114" i="5" a="1"/>
  <c r="C37" i="5" a="1"/>
  <c r="D6" i="5" a="1"/>
  <c r="K26" i="5" a="1"/>
  <c r="D85" i="5" a="1"/>
  <c r="F21" i="5" a="1"/>
  <c r="K161" i="5" a="1"/>
  <c r="L202" i="5" a="1"/>
  <c r="D131" i="5" a="1"/>
  <c r="F206" i="5" a="1"/>
  <c r="J180" i="5" a="1"/>
  <c r="H186" i="5" a="1"/>
  <c r="H79" i="5" a="1"/>
  <c r="J102" i="5" a="1"/>
  <c r="G25" i="5" a="1"/>
  <c r="J68" i="5" a="1"/>
  <c r="D19" i="5" a="1"/>
  <c r="F35" i="5" a="1"/>
  <c r="K104" i="5" a="1"/>
  <c r="E16" i="5" a="1"/>
  <c r="D35" i="5" a="1"/>
  <c r="I102" i="5" a="1"/>
  <c r="C82" i="5" a="1"/>
  <c r="E15" i="5" a="1"/>
  <c r="D18" i="5" a="1"/>
  <c r="C34" i="5" a="1"/>
  <c r="K116" i="5" a="1"/>
  <c r="J32" i="5" a="1"/>
  <c r="E33" i="5" a="1"/>
  <c r="E67" i="5" a="1"/>
  <c r="G158" i="5" a="1"/>
  <c r="H176" i="5" a="1"/>
  <c r="I190" i="5" a="1"/>
  <c r="K145" i="5" a="1"/>
  <c r="H91" i="5" a="1"/>
  <c r="C123" i="5" a="1"/>
  <c r="E156" i="5" a="1"/>
  <c r="C180" i="5" a="1"/>
  <c r="L96" i="5" a="1"/>
  <c r="K68" i="5" a="1"/>
  <c r="I18" i="5" a="1"/>
  <c r="L12" i="5" a="1"/>
  <c r="F191" i="5" a="1"/>
  <c r="E211" i="5" a="1"/>
  <c r="G149" i="5" a="1"/>
  <c r="K185" i="5" a="1"/>
  <c r="C206" i="5" a="1"/>
  <c r="F154" i="5" a="1"/>
  <c r="L191" i="5" a="1"/>
  <c r="G150" i="5" a="1"/>
  <c r="F200" i="5" a="1"/>
  <c r="C156" i="5" a="1"/>
  <c r="H208" i="5" a="1"/>
  <c r="J162" i="5" a="1"/>
  <c r="E205" i="5" a="1"/>
  <c r="I164" i="5" a="1"/>
  <c r="I211" i="5" a="1"/>
  <c r="F159" i="5" a="1"/>
  <c r="K158" i="5" a="1"/>
  <c r="G108" i="5" a="1"/>
  <c r="E171" i="5" a="1"/>
  <c r="G102" i="5" a="1"/>
  <c r="G214" i="5" a="1"/>
  <c r="J109" i="5" a="1"/>
  <c r="K77" i="5" a="1"/>
  <c r="E127" i="5" a="1"/>
  <c r="G98" i="5" a="1"/>
  <c r="E190" i="5" a="1"/>
  <c r="H122" i="5" a="1"/>
  <c r="G201" i="5" a="1"/>
  <c r="C119" i="5" a="1"/>
  <c r="K160" i="5" a="1"/>
  <c r="L106" i="5" a="1"/>
  <c r="H213" i="5" a="1"/>
  <c r="K127" i="5" a="1"/>
  <c r="L89" i="5" a="1"/>
  <c r="K167" i="5" a="1"/>
  <c r="D101" i="5" a="1"/>
  <c r="G151" i="5" a="1"/>
  <c r="G110" i="5" a="1"/>
  <c r="C85" i="5" a="1"/>
  <c r="I29" i="5" a="1"/>
  <c r="I127" i="5" a="1"/>
  <c r="I52" i="5" a="1"/>
  <c r="J20" i="5" a="1"/>
  <c r="H72" i="5" a="1"/>
  <c r="D46" i="5" a="1"/>
  <c r="F23" i="5" a="1"/>
  <c r="D119" i="5" a="1"/>
  <c r="K62" i="5" a="1"/>
  <c r="G43" i="5" a="1"/>
  <c r="L17" i="5" a="1"/>
  <c r="I209" i="5" a="1"/>
  <c r="H68" i="5" a="1"/>
  <c r="G45" i="5" a="1"/>
  <c r="H20" i="5" a="1"/>
  <c r="J141" i="5" a="1"/>
  <c r="D63" i="5" a="1"/>
  <c r="K44" i="5" a="1"/>
  <c r="L21" i="5" a="1"/>
  <c r="G211" i="5" a="1"/>
  <c r="J74" i="5" a="1"/>
  <c r="K55" i="5" a="1"/>
  <c r="F34" i="5" a="1"/>
  <c r="D102" i="5" a="1"/>
  <c r="H62" i="5" a="1"/>
  <c r="G42" i="5" a="1"/>
  <c r="E18" i="5" a="1"/>
  <c r="G219" i="5" a="1"/>
  <c r="C69" i="5" a="1"/>
  <c r="E45" i="5" a="1"/>
  <c r="E22" i="5" a="1"/>
  <c r="D5" i="5" a="1"/>
  <c r="F79" i="5" a="1"/>
  <c r="C58" i="5" a="1"/>
  <c r="J38" i="5" a="1"/>
  <c r="D22" i="5" a="1"/>
  <c r="I2" i="5" a="1"/>
  <c r="F67" i="5" a="1"/>
  <c r="F53" i="5" a="1"/>
  <c r="I38" i="5" a="1"/>
  <c r="H23" i="5" a="1"/>
  <c r="K6" i="5" a="1"/>
  <c r="I48" i="5" a="1"/>
  <c r="K21" i="5" a="1"/>
  <c r="J29" i="5" a="1"/>
  <c r="K9" i="5" a="1"/>
  <c r="I135" i="5" a="1"/>
  <c r="D92" i="5" a="1"/>
  <c r="C60" i="5" a="1"/>
  <c r="K52" i="5" a="1"/>
  <c r="C16" i="5" a="1"/>
  <c r="L189" i="5" a="1"/>
  <c r="F30" i="5" a="1"/>
  <c r="I50" i="5" a="1"/>
  <c r="G19" i="5" a="1"/>
  <c r="C221" i="5" a="1"/>
  <c r="E150" i="5" a="1"/>
  <c r="K94" i="5" a="1"/>
  <c r="F85" i="5" a="1"/>
  <c r="I103" i="5" a="1"/>
  <c r="H113" i="5" a="1"/>
  <c r="C125" i="5" a="1"/>
  <c r="J56" i="5" a="1"/>
  <c r="J9" i="5" a="1"/>
  <c r="L39" i="5" a="1"/>
  <c r="H13" i="5" a="1"/>
  <c r="L65" i="5" a="1"/>
  <c r="L59" i="5" a="1"/>
  <c r="D16" i="5" a="1"/>
  <c r="K46" i="5" a="1"/>
  <c r="E34" i="5" a="1"/>
  <c r="I36" i="5" a="1"/>
  <c r="F51" i="5" a="1"/>
  <c r="D64" i="5" a="1"/>
  <c r="K3" i="5" a="1"/>
  <c r="C29" i="5" a="1"/>
  <c r="G11" i="5" a="1"/>
  <c r="I217" i="5" a="1"/>
  <c r="H136" i="5" a="1"/>
  <c r="L149" i="5" a="1"/>
  <c r="D126" i="5" a="1"/>
  <c r="J204" i="5" a="1"/>
  <c r="H107" i="5" a="1"/>
  <c r="H86" i="5" a="1"/>
  <c r="D125" i="5" a="1"/>
  <c r="K24" i="5" a="1"/>
  <c r="C67" i="5" a="1"/>
  <c r="H56" i="5" a="1"/>
  <c r="D190" i="5" a="1"/>
  <c r="G204" i="5" a="1"/>
  <c r="C144" i="5" a="1"/>
  <c r="G171" i="5" a="1"/>
  <c r="J205" i="5" a="1"/>
  <c r="K153" i="5" a="1"/>
  <c r="G189" i="5" a="1"/>
  <c r="D149" i="5" a="1"/>
  <c r="K199" i="5" a="1"/>
  <c r="C154" i="5" a="1"/>
  <c r="J199" i="5" a="1"/>
  <c r="G161" i="5" a="1"/>
  <c r="K204" i="5" a="1"/>
  <c r="C163" i="5" a="1"/>
  <c r="E210" i="5" a="1"/>
  <c r="E157" i="5" a="1"/>
  <c r="I149" i="5" a="1"/>
  <c r="I89" i="5" a="1"/>
  <c r="E146" i="5" a="1"/>
  <c r="I98" i="5" a="1"/>
  <c r="G206" i="5" a="1"/>
  <c r="E108" i="5" a="1"/>
  <c r="D76" i="5" a="1"/>
  <c r="J125" i="5" a="1"/>
  <c r="L97" i="5" a="1"/>
  <c r="C182" i="5" a="1"/>
  <c r="C121" i="5" a="1"/>
  <c r="G199" i="5" a="1"/>
  <c r="I118" i="5" a="1"/>
  <c r="J148" i="5" a="1"/>
  <c r="G99" i="5" a="1"/>
  <c r="K208" i="5" a="1"/>
  <c r="H126" i="5" a="1"/>
  <c r="H84" i="5" a="1"/>
  <c r="I154" i="5" a="1"/>
  <c r="J100" i="5" a="1"/>
  <c r="E136" i="5" a="1"/>
  <c r="H108" i="5" a="1"/>
  <c r="K81" i="5" a="1"/>
  <c r="L28" i="5" a="1"/>
  <c r="I125" i="5" a="1"/>
  <c r="H50" i="5" a="1"/>
  <c r="E19" i="5" a="1"/>
  <c r="C71" i="5" a="1"/>
  <c r="I45" i="5" a="1"/>
  <c r="J22" i="5" a="1"/>
  <c r="J117" i="5" a="1"/>
  <c r="F61" i="5" a="1"/>
  <c r="K42" i="5" a="1"/>
  <c r="F16" i="5" a="1"/>
  <c r="I204" i="5" a="1"/>
  <c r="L67" i="5" a="1"/>
  <c r="L44" i="5" a="1"/>
  <c r="C19" i="5" a="1"/>
  <c r="C136" i="5" a="1"/>
  <c r="J62" i="5" a="1"/>
  <c r="E43" i="5" a="1"/>
  <c r="L19" i="5" a="1"/>
  <c r="F190" i="5" a="1"/>
  <c r="L70" i="5" a="1"/>
  <c r="E54" i="5" a="1"/>
  <c r="I33" i="5" a="1"/>
  <c r="F98" i="5" a="1"/>
  <c r="G60" i="5" a="1"/>
  <c r="K41" i="5" a="1"/>
  <c r="I17" i="5" a="1"/>
  <c r="K171" i="5" a="1"/>
  <c r="H67" i="5" a="1"/>
  <c r="H44" i="5" a="1"/>
  <c r="I21" i="5" a="1"/>
  <c r="H4" i="5" a="1"/>
  <c r="C78" i="5" a="1"/>
  <c r="C56" i="5" a="1"/>
  <c r="D37" i="5" a="1"/>
  <c r="D20" i="5" a="1"/>
  <c r="D176" i="5" a="1"/>
  <c r="K66" i="5" a="1"/>
  <c r="L20" i="5" a="1"/>
  <c r="F26" i="5" a="1"/>
  <c r="L64" i="5" a="1"/>
  <c r="E201" i="5" a="1"/>
  <c r="L146" i="5" a="1"/>
  <c r="F138" i="5" a="1"/>
  <c r="H148" i="5" a="1"/>
  <c r="I144" i="5" a="1"/>
  <c r="E155" i="5" a="1"/>
  <c r="D86" i="5" a="1"/>
  <c r="K105" i="5" a="1"/>
  <c r="F169" i="5" a="1"/>
  <c r="F133" i="5" a="1"/>
  <c r="F97" i="5" a="1"/>
  <c r="I43" i="5" a="1"/>
  <c r="C57" i="5" a="1"/>
  <c r="L83" i="5" a="1"/>
  <c r="K30" i="5" a="1"/>
  <c r="J118" i="5" a="1"/>
  <c r="E118" i="5" a="1"/>
  <c r="G17" i="5" a="1"/>
  <c r="F17" i="5" a="1"/>
  <c r="F86" i="5" a="1"/>
  <c r="L187" i="5" a="1"/>
  <c r="F145" i="5" a="1"/>
  <c r="I146" i="5" a="1"/>
  <c r="J197" i="5" a="1"/>
  <c r="I137" i="5" a="1"/>
  <c r="H104" i="5" a="1"/>
  <c r="L166" i="5" a="1"/>
  <c r="L132" i="5" a="1"/>
  <c r="L78" i="5" a="1"/>
  <c r="C101" i="5" a="1"/>
  <c r="L7" i="5" a="1"/>
  <c r="F87" i="5" a="1"/>
  <c r="G95" i="5" a="1"/>
  <c r="I171" i="5" a="1"/>
  <c r="H202" i="5" a="1"/>
  <c r="J143" i="5" a="1"/>
  <c r="H165" i="5" a="1"/>
  <c r="E204" i="5" a="1"/>
  <c r="F147" i="5" a="1"/>
  <c r="D181" i="5" a="1"/>
  <c r="I139" i="5" a="1"/>
  <c r="E198" i="5" a="1"/>
  <c r="C149" i="5" a="1"/>
  <c r="L194" i="5" a="1"/>
  <c r="C160" i="5" a="1"/>
  <c r="F203" i="5" a="1"/>
  <c r="G159" i="5" a="1"/>
  <c r="H199" i="5" a="1"/>
  <c r="L156" i="5" a="1"/>
  <c r="K146" i="5" a="1"/>
  <c r="F88" i="5" a="1"/>
  <c r="L143" i="5" a="1"/>
  <c r="C97" i="5" a="1"/>
  <c r="K165" i="5" a="1"/>
  <c r="F106" i="5" a="1"/>
  <c r="C214" i="5" a="1"/>
  <c r="E124" i="5" a="1"/>
  <c r="L86" i="5" a="1"/>
  <c r="J175" i="5" a="1"/>
  <c r="L108" i="5" a="1"/>
  <c r="G193" i="5" a="1"/>
  <c r="D104" i="5" a="1"/>
  <c r="E144" i="5" a="1"/>
  <c r="L93" i="5" a="1"/>
  <c r="G188" i="5" a="1"/>
  <c r="F120" i="5" a="1"/>
  <c r="E82" i="5" a="1"/>
  <c r="H129" i="5" a="1"/>
  <c r="L98" i="5" a="1"/>
  <c r="G131" i="5" a="1"/>
  <c r="D107" i="5" a="1"/>
  <c r="F57" i="5" a="1"/>
  <c r="E27" i="5" a="1"/>
  <c r="H87" i="5" a="1"/>
  <c r="C49" i="5" a="1"/>
  <c r="E10" i="5" a="1"/>
  <c r="L69" i="5" a="1"/>
  <c r="H40" i="5" a="1"/>
  <c r="D21" i="5" a="1"/>
  <c r="J89" i="5" a="1"/>
  <c r="J60" i="5" a="1"/>
  <c r="J37" i="5" a="1"/>
  <c r="I15" i="5" a="1"/>
  <c r="D106" i="5" a="1"/>
  <c r="E66" i="5" a="1"/>
  <c r="D38" i="5" a="1"/>
  <c r="G18" i="5" a="1"/>
  <c r="E90" i="5" a="1"/>
  <c r="D61" i="5" a="1"/>
  <c r="L36" i="5" a="1"/>
  <c r="K17" i="5" a="1"/>
  <c r="E113" i="5" a="1"/>
  <c r="F69" i="5" a="1"/>
  <c r="G47" i="5" a="1"/>
  <c r="F31" i="5" a="1"/>
  <c r="F83" i="5" a="1"/>
  <c r="J59" i="5" a="1"/>
  <c r="J36" i="5" a="1"/>
  <c r="L16" i="5" a="1"/>
  <c r="C120" i="5" a="1"/>
  <c r="H65" i="5" a="1"/>
  <c r="E37" i="5" a="1"/>
  <c r="E20" i="5" a="1"/>
  <c r="J153" i="5" a="1"/>
  <c r="G75" i="5" a="1"/>
  <c r="L52" i="5" a="1"/>
  <c r="H36" i="5" a="1"/>
  <c r="C18" i="5" a="1"/>
  <c r="J140" i="5" a="1"/>
  <c r="G65" i="5" a="1"/>
  <c r="J50" i="5" a="1"/>
  <c r="G36" i="5" a="1"/>
  <c r="H19" i="5" a="1"/>
  <c r="J5" i="5" a="1"/>
  <c r="L10" i="5" a="1"/>
  <c r="K8" i="5" a="1"/>
  <c r="E51" i="5" a="1"/>
  <c r="L76" i="5" a="1"/>
  <c r="E164" i="5" a="1"/>
  <c r="C193" i="5" a="1"/>
  <c r="I180" i="5" a="1"/>
  <c r="C194" i="5" a="1"/>
  <c r="J191" i="5" a="1"/>
  <c r="C192" i="5" a="1"/>
  <c r="I140" i="5" a="1"/>
  <c r="E158" i="5" a="1"/>
  <c r="L123" i="5" a="1"/>
  <c r="C108" i="5" a="1"/>
  <c r="G92" i="5" a="1"/>
  <c r="J127" i="5" a="1"/>
  <c r="D71" i="5" a="1"/>
  <c r="K88" i="5" a="1"/>
  <c r="I37" i="5" a="1"/>
  <c r="F68" i="5" a="1"/>
  <c r="D58" i="5" a="1"/>
  <c r="F64" i="5" a="1"/>
  <c r="F74" i="5" a="1"/>
  <c r="F49" i="5" a="1"/>
  <c r="E44" i="5" a="1"/>
  <c r="L81" i="5" a="1"/>
  <c r="I158" i="5" a="1"/>
  <c r="I192" i="5" a="1"/>
  <c r="G187" i="5" a="1"/>
  <c r="K142" i="5" a="1"/>
  <c r="I188" i="5" a="1"/>
  <c r="G152" i="5" a="1"/>
  <c r="L84" i="5" a="1"/>
  <c r="G101" i="5" a="1"/>
  <c r="I110" i="5" a="1"/>
  <c r="I124" i="5" a="1"/>
  <c r="E41" i="5" a="1"/>
  <c r="K37" i="5" a="1"/>
  <c r="I34" i="5" a="1"/>
  <c r="I64" i="5" a="1"/>
  <c r="E221" i="5" a="1"/>
  <c r="D79" i="5" a="1"/>
  <c r="K217" i="5" a="1"/>
  <c r="C157" i="5" a="1"/>
  <c r="E186" i="5" a="1"/>
  <c r="G216" i="5" a="1"/>
  <c r="L157" i="5" a="1"/>
  <c r="D183" i="5" a="1"/>
  <c r="F222" i="5" a="1"/>
  <c r="C175" i="5" a="1"/>
  <c r="D224" i="5" a="1"/>
  <c r="L186" i="5" a="1"/>
  <c r="D145" i="5" a="1"/>
  <c r="K188" i="5" a="1"/>
  <c r="L140" i="5" a="1"/>
  <c r="H190" i="5" a="1"/>
  <c r="L147" i="5" a="1"/>
  <c r="D187" i="5" a="1"/>
  <c r="G144" i="5" a="1"/>
  <c r="J130" i="5" a="1"/>
  <c r="I78" i="5" a="1"/>
  <c r="K122" i="5" a="1"/>
  <c r="H89" i="5" a="1"/>
  <c r="D146" i="5" a="1"/>
  <c r="C203" i="5" a="1"/>
  <c r="H145" i="5" a="1"/>
  <c r="F173" i="5" a="1"/>
  <c r="F194" i="5" a="1"/>
  <c r="H219" i="5" a="1"/>
  <c r="D177" i="5" a="1"/>
  <c r="F212" i="5" a="1"/>
  <c r="E160" i="5" a="1"/>
  <c r="I215" i="5" a="1"/>
  <c r="H172" i="5" a="1"/>
  <c r="F217" i="5" a="1"/>
  <c r="L173" i="5" a="1"/>
  <c r="D222" i="5" a="1"/>
  <c r="F180" i="5" a="1"/>
  <c r="C222" i="5" a="1"/>
  <c r="E182" i="5" a="1"/>
  <c r="L214" i="5" a="1"/>
  <c r="D113" i="5" a="1"/>
  <c r="H195" i="5" a="1"/>
  <c r="C118" i="5" a="1"/>
  <c r="J75" i="5" a="1"/>
  <c r="D134" i="5" a="1"/>
  <c r="G89" i="5" a="1"/>
  <c r="J172" i="5" a="1"/>
  <c r="C110" i="5" a="1"/>
  <c r="J77" i="5" a="1"/>
  <c r="C127" i="5" a="1"/>
  <c r="E98" i="5" a="1"/>
  <c r="L124" i="5" a="1"/>
  <c r="G218" i="5" a="1"/>
  <c r="C111" i="5" a="1"/>
  <c r="D80" i="5" a="1"/>
  <c r="L135" i="5" a="1"/>
  <c r="G105" i="5" a="1"/>
  <c r="I205" i="5" a="1"/>
  <c r="E120" i="5" a="1"/>
  <c r="C186" i="5" a="1"/>
  <c r="D120" i="5" a="1"/>
  <c r="D103" i="5" a="1"/>
  <c r="C42" i="5" a="1"/>
  <c r="F10" i="5" a="1"/>
  <c r="K64" i="5" a="1"/>
  <c r="J26" i="5" a="1"/>
  <c r="F129" i="5" a="1"/>
  <c r="L53" i="5" a="1"/>
  <c r="F32" i="5" a="1"/>
  <c r="F8" i="5" a="1"/>
  <c r="K73" i="5" a="1"/>
  <c r="F48" i="5" a="1"/>
  <c r="C30" i="5" a="1"/>
  <c r="L4" i="5" a="1"/>
  <c r="C87" i="5" a="1"/>
  <c r="G52" i="5" a="1"/>
  <c r="H31" i="5" a="1"/>
  <c r="L2" i="5" a="1"/>
  <c r="E73" i="5" a="1"/>
  <c r="J49" i="5" a="1"/>
  <c r="L30" i="5" a="1"/>
  <c r="G6" i="5" a="1"/>
  <c r="D89" i="5" a="1"/>
  <c r="K59" i="5" a="1"/>
  <c r="L41" i="5" a="1"/>
  <c r="K130" i="5" a="1"/>
  <c r="H74" i="5" a="1"/>
  <c r="C48" i="5" a="1"/>
  <c r="J27" i="5" a="1"/>
  <c r="F6" i="5" a="1"/>
  <c r="J85" i="5" a="1"/>
  <c r="G51" i="5" a="1"/>
  <c r="D31" i="5" a="1"/>
  <c r="J8" i="5" a="1"/>
  <c r="G96" i="5" a="1"/>
  <c r="F62" i="5" a="1"/>
  <c r="G44" i="5" a="1"/>
  <c r="H27" i="5" a="1"/>
  <c r="I10" i="5" a="1"/>
  <c r="E85" i="5" a="1"/>
  <c r="H57" i="5" a="1"/>
  <c r="F196" i="5" a="1"/>
  <c r="L190" i="5" a="1"/>
  <c r="E207" i="5" a="1"/>
  <c r="C171" i="5" a="1"/>
  <c r="G220" i="5" a="1"/>
  <c r="E172" i="5" a="1"/>
  <c r="H189" i="5" a="1"/>
  <c r="F127" i="5" a="1"/>
  <c r="I122" i="5" a="1"/>
  <c r="E132" i="5" a="1"/>
  <c r="L121" i="5" a="1"/>
  <c r="F82" i="5" a="1"/>
  <c r="G103" i="5" a="1"/>
  <c r="H95" i="5" a="1"/>
  <c r="K112" i="5" a="1"/>
  <c r="G8" i="5" a="1"/>
  <c r="D7" i="5" a="1"/>
  <c r="C33" i="5" a="1"/>
  <c r="J64" i="5" a="1"/>
  <c r="C7" i="5" a="1"/>
  <c r="J51" i="5" a="1"/>
  <c r="C177" i="5" a="1"/>
  <c r="D48" i="5" a="1"/>
  <c r="F5" i="5" a="1"/>
  <c r="E58" i="5" a="1"/>
  <c r="D124" i="5" a="1"/>
  <c r="F47" i="5" a="1"/>
  <c r="L5" i="5" a="1"/>
  <c r="L50" i="5" a="1"/>
  <c r="G7" i="5" a="1"/>
  <c r="L61" i="5" a="1"/>
  <c r="I25" i="5" a="1"/>
  <c r="E79" i="5" a="1"/>
  <c r="D42" i="5" a="1"/>
  <c r="L13" i="5" a="1"/>
  <c r="G10" i="5" a="1"/>
  <c r="E116" i="5" a="1"/>
  <c r="L25" i="5" a="1"/>
  <c r="F46" i="5" a="1"/>
  <c r="J63" i="5" a="1"/>
  <c r="I210" i="5" a="1"/>
  <c r="C22" i="5" a="1"/>
  <c r="E62" i="5" a="1"/>
  <c r="K54" i="5" a="1"/>
  <c r="I176" i="5" a="1"/>
  <c r="D91" i="5" a="1"/>
  <c r="C64" i="5" a="1"/>
  <c r="C220" i="5" a="1"/>
  <c r="I153" i="5" a="1"/>
  <c r="E178" i="5" a="1"/>
  <c r="C84" i="5" a="1"/>
  <c r="F166" i="5" a="1"/>
  <c r="E202" i="5" a="1"/>
  <c r="G66" i="5" a="1"/>
  <c r="C46" i="5" a="1"/>
  <c r="G31" i="5" a="1"/>
  <c r="F28" i="5" a="1"/>
  <c r="L43" i="5" a="1"/>
  <c r="F80" i="5" a="1"/>
  <c r="F4" i="5" a="1"/>
  <c r="L218" i="5" a="1"/>
  <c r="K190" i="5" a="1"/>
  <c r="I134" i="5" a="1"/>
  <c r="I121" i="5" a="1"/>
  <c r="E32" i="5" a="1"/>
  <c r="D23" i="5" a="1"/>
  <c r="K36" i="5" a="1"/>
  <c r="D83" i="5" a="1"/>
  <c r="H55" i="5" a="1"/>
  <c r="J99" i="5" a="1"/>
  <c r="E74" i="5" a="1"/>
  <c r="J119" i="5" a="1"/>
  <c r="H15" i="5" a="1"/>
  <c r="I14" i="5" a="1"/>
  <c r="J48" i="5" a="1"/>
  <c r="K27" i="5" a="1"/>
  <c r="I165" i="5" a="1"/>
  <c r="J185" i="5" a="1"/>
  <c r="J121" i="5" a="1"/>
  <c r="G81" i="5" a="1"/>
  <c r="C66" i="5" a="1"/>
  <c r="D68" i="5" a="1"/>
  <c r="K20" i="5" a="1"/>
  <c r="G178" i="5" a="1"/>
  <c r="C137" i="5" a="1"/>
  <c r="D115" i="5" a="1"/>
  <c r="G56" i="5" a="1"/>
  <c r="G134" i="5" a="1"/>
  <c r="J92" i="5" a="1"/>
  <c r="E193" i="5" a="1"/>
  <c r="E188" i="5" a="1"/>
  <c r="H205" i="5" a="1"/>
  <c r="I170" i="5" a="1"/>
  <c r="K209" i="5" a="1"/>
  <c r="L171" i="5" a="1"/>
  <c r="J179" i="5" a="1"/>
  <c r="F119" i="5" a="1"/>
  <c r="H112" i="5" a="1"/>
  <c r="J126" i="5" a="1"/>
  <c r="J95" i="5" a="1"/>
  <c r="J81" i="5" a="1"/>
  <c r="L91" i="5" a="1"/>
  <c r="C205" i="5" a="1"/>
  <c r="I101" i="5" a="1"/>
  <c r="E7" i="5" a="1"/>
  <c r="H5" i="5" a="1"/>
  <c r="J31" i="5" a="1"/>
  <c r="C55" i="5" a="1"/>
  <c r="G5" i="5" a="1"/>
  <c r="E48" i="5" a="1"/>
  <c r="K159" i="5" a="1"/>
  <c r="H47" i="5" a="1"/>
  <c r="F3" i="5" a="1"/>
  <c r="J57" i="5" a="1"/>
  <c r="L122" i="5" a="1"/>
  <c r="J46" i="5" a="1"/>
  <c r="I4" i="5" a="1"/>
  <c r="L48" i="5" a="1"/>
  <c r="E6" i="5" a="1"/>
  <c r="E60" i="5" a="1"/>
  <c r="D24" i="5" a="1"/>
  <c r="J71" i="5" a="1"/>
  <c r="H41" i="5" a="1"/>
  <c r="G12" i="5" a="1"/>
  <c r="F65" i="5" a="1"/>
  <c r="F59" i="5" a="1"/>
  <c r="G20" i="5" a="1"/>
  <c r="F27" i="5" a="1"/>
  <c r="L40" i="5" a="1"/>
  <c r="K40" i="5" a="1"/>
  <c r="J14" i="5" a="1"/>
  <c r="C15" i="5" a="1"/>
  <c r="I7" i="5" a="1"/>
  <c r="J54" i="5" a="1"/>
  <c r="I107" i="5" a="1"/>
  <c r="F216" i="5" a="1"/>
  <c r="E214" i="5" a="1"/>
  <c r="H200" i="5" a="1"/>
  <c r="C100" i="5" a="1"/>
  <c r="H142" i="5" a="1"/>
  <c r="H63" i="5" a="1"/>
  <c r="I9" i="5" a="1"/>
  <c r="K74" i="5" a="1"/>
  <c r="H42" i="5" a="1"/>
  <c r="K86" i="5" a="1"/>
  <c r="D45" i="5" a="1"/>
  <c r="C28" i="5" a="1"/>
  <c r="I8" i="5" a="1"/>
  <c r="L45" i="5" a="1"/>
  <c r="K186" i="5" a="1"/>
  <c r="F78" i="5" a="1"/>
  <c r="H123" i="5" a="1"/>
  <c r="H54" i="5" a="1"/>
  <c r="H82" i="5" a="1"/>
  <c r="J78" i="5" a="1"/>
  <c r="E24" i="5" a="1"/>
  <c r="L6" i="5" a="1"/>
  <c r="J3" i="5" a="1"/>
  <c r="H75" i="5" a="1"/>
  <c r="I82" i="5" a="1"/>
  <c r="G222" i="5" a="1"/>
  <c r="C107" i="5" a="1"/>
  <c r="F18" i="5" a="1"/>
  <c r="C165" i="5" a="1"/>
  <c r="E130" i="5" a="1"/>
  <c r="C112" i="5" a="1"/>
  <c r="F29" i="5" a="1"/>
  <c r="L201" i="5" a="1"/>
  <c r="H30" i="5" a="1"/>
  <c r="J61" i="5" a="1"/>
  <c r="L221" i="5" a="1"/>
  <c r="E109" i="5" a="1"/>
  <c r="I20" i="5" a="1"/>
  <c r="C50" i="5" a="1"/>
  <c r="F44" i="5" a="1"/>
  <c r="I156" i="5" a="1"/>
  <c r="D151" i="5" a="1"/>
  <c r="I174" i="5" a="1"/>
  <c r="H223" i="5" a="1"/>
  <c r="E189" i="5" a="1"/>
  <c r="I142" i="5" a="1"/>
  <c r="L120" i="5" a="1"/>
  <c r="F102" i="5" a="1"/>
  <c r="G111" i="5" a="1"/>
  <c r="C124" i="5" a="1"/>
  <c r="C93" i="5" a="1"/>
  <c r="I79" i="5" a="1"/>
  <c r="F77" i="5" a="1"/>
  <c r="E197" i="5" a="1"/>
  <c r="D99" i="5" a="1"/>
  <c r="D67" i="5" a="1"/>
  <c r="G162" i="5" a="1"/>
  <c r="E25" i="5" a="1"/>
  <c r="F50" i="5" a="1"/>
  <c r="C4" i="5" a="1"/>
  <c r="E35" i="5" a="1"/>
  <c r="G82" i="5" a="1"/>
  <c r="G34" i="5" a="1"/>
  <c r="D100" i="5" a="1"/>
  <c r="F45" i="5" a="1"/>
  <c r="J79" i="5" a="1"/>
  <c r="H33" i="5" a="1"/>
  <c r="L109" i="5" a="1"/>
  <c r="L35" i="5" a="1"/>
  <c r="F111" i="5" a="1"/>
  <c r="K50" i="5" a="1"/>
  <c r="K16" i="5" a="1"/>
  <c r="D11" i="5" a="1"/>
  <c r="C94" i="5" a="1"/>
  <c r="C218" i="5" a="1"/>
  <c r="H215" i="5" a="1"/>
  <c r="H209" i="5" a="1"/>
  <c r="L90" i="5" a="1"/>
  <c r="H101" i="5" a="1"/>
  <c r="I178" i="5" a="1"/>
  <c r="E65" i="5" a="1"/>
  <c r="D10" i="5" a="1"/>
  <c r="H90" i="5" a="1"/>
  <c r="E77" i="5" a="1"/>
  <c r="J91" i="5" a="1"/>
  <c r="C77" i="5" a="1"/>
  <c r="G33" i="5" a="1"/>
  <c r="C13" i="5" a="1"/>
  <c r="K29" i="5" a="1"/>
  <c r="E75" i="5" a="1"/>
  <c r="C9" i="5" a="1"/>
  <c r="C105" i="5" a="1"/>
  <c r="J52" i="5" a="1"/>
  <c r="D32" i="5" a="1"/>
  <c r="L75" i="5" a="1"/>
  <c r="J105" i="5" a="1"/>
  <c r="G59" i="5" a="1"/>
  <c r="J66" i="5" a="1"/>
  <c r="G57" i="5" a="1"/>
  <c r="K182" i="5" a="1"/>
  <c r="G146" i="5" a="1"/>
  <c r="L77" i="5" a="1"/>
  <c r="G83" i="5" a="1"/>
  <c r="I136" i="5" a="1"/>
  <c r="C122" i="5" a="1"/>
  <c r="I54" i="5" a="1"/>
  <c r="I6" i="5" a="1"/>
  <c r="H88" i="5" a="1"/>
  <c r="C72" i="5" a="1"/>
  <c r="G88" i="5" a="1"/>
  <c r="E26" i="5" a="1"/>
  <c r="I30" i="5" a="1"/>
  <c r="L56" i="5" a="1"/>
  <c r="F14" i="5" a="1"/>
  <c r="G175" i="5" a="1"/>
  <c r="G121" i="5" a="1"/>
  <c r="E215" i="5" a="1"/>
  <c r="I40" i="5" a="1"/>
  <c r="K65" i="5" a="1"/>
  <c r="G74" i="5" a="1"/>
  <c r="L26" i="5" a="1"/>
  <c r="H2" i="5" a="1"/>
  <c r="G172" i="5" a="1"/>
  <c r="I113" i="5" a="1"/>
  <c r="C53" i="5" a="1"/>
  <c r="J67" i="5" a="1"/>
  <c r="K32" i="5" a="1"/>
  <c r="I71" i="5" a="1"/>
  <c r="L204" i="5" a="1"/>
  <c r="D204" i="5" a="1"/>
  <c r="G23" i="5" a="1"/>
  <c r="L14" i="5" a="1"/>
  <c r="F60" i="5" a="1"/>
  <c r="H25" i="5" a="1"/>
  <c r="L203" i="5" a="1"/>
  <c r="L169" i="5" a="1"/>
  <c r="I100" i="5" a="1"/>
  <c r="K4" i="5" a="1"/>
  <c r="C8" i="5" a="1"/>
  <c r="E5" i="5" a="1"/>
  <c r="C148" i="5" a="1"/>
  <c r="L148" i="5" a="1"/>
  <c r="H161" i="5" a="1"/>
  <c r="D219" i="5" a="1"/>
  <c r="K183" i="5" a="1"/>
  <c r="E141" i="5" a="1"/>
  <c r="G119" i="5" a="1"/>
  <c r="G91" i="5" a="1"/>
  <c r="L103" i="5" a="1"/>
  <c r="C106" i="5" a="1"/>
  <c r="C91" i="5" a="1"/>
  <c r="L68" i="5" a="1"/>
  <c r="G213" i="5" a="1"/>
  <c r="J181" i="5" a="1"/>
  <c r="F55" i="5" a="1"/>
  <c r="H66" i="5" a="1"/>
  <c r="D127" i="5" a="1"/>
  <c r="G16" i="5" a="1"/>
  <c r="K49" i="5" a="1"/>
  <c r="H3" i="5" a="1"/>
  <c r="H34" i="5" a="1"/>
  <c r="K78" i="5" a="1"/>
  <c r="J33" i="5" a="1"/>
  <c r="K98" i="5" a="1"/>
  <c r="J44" i="5" a="1"/>
  <c r="E78" i="5" a="1"/>
  <c r="E31" i="5" a="1"/>
  <c r="J96" i="5" a="1"/>
  <c r="D34" i="5" a="1"/>
  <c r="H109" i="5" a="1"/>
  <c r="K48" i="5" a="1"/>
  <c r="G30" i="5" a="1"/>
  <c r="H10" i="5" a="1"/>
  <c r="K19" i="5" a="1"/>
  <c r="L220" i="5" a="1"/>
  <c r="D154" i="5" a="1"/>
  <c r="L179" i="5" a="1"/>
  <c r="H117" i="5" a="1"/>
  <c r="E102" i="5" a="1"/>
  <c r="K202" i="5" a="1"/>
  <c r="F208" i="5" a="1"/>
  <c r="J90" i="5" a="1"/>
  <c r="J47" i="5" a="1"/>
  <c r="K33" i="5" a="1"/>
  <c r="C32" i="5" a="1"/>
  <c r="D43" i="5" a="1"/>
  <c r="J30" i="5" a="1"/>
  <c r="H46" i="5" a="1"/>
  <c r="K61" i="5" a="1"/>
  <c r="L9" i="5" a="1"/>
  <c r="F36" i="5" a="1"/>
  <c r="D88" i="5" a="1"/>
  <c r="G123" i="5" a="1"/>
  <c r="E89" i="5" a="1"/>
  <c r="D90" i="5" a="1"/>
  <c r="L32" i="5" a="1"/>
  <c r="H12" i="5" a="1"/>
  <c r="C3" i="5" a="1"/>
  <c r="C23" i="5" a="1"/>
  <c r="J4" i="5" a="1"/>
  <c r="E219" i="5" a="1"/>
  <c r="F187" i="5" a="1"/>
  <c r="E123" i="5" a="1"/>
  <c r="K82" i="5" a="1"/>
  <c r="J97" i="5" a="1"/>
  <c r="D188" i="5" a="1"/>
  <c r="K45" i="5" a="1"/>
  <c r="D55" i="5" a="1"/>
  <c r="L33" i="5" a="1"/>
  <c r="E29" i="5" a="1"/>
  <c r="D29" i="5" a="1"/>
  <c r="D73" i="5" a="1"/>
  <c r="E83" i="5" a="1"/>
  <c r="L94" i="5" a="1"/>
  <c r="G27" i="5" a="1"/>
  <c r="D39" i="5" a="1"/>
  <c r="J178" i="5" a="1"/>
  <c r="E76" i="5" a="1"/>
  <c r="E115" i="5" a="1"/>
  <c r="F41" i="5" a="1"/>
  <c r="H22" i="5" a="1"/>
  <c r="I65" i="5" a="1"/>
  <c r="E42" i="5" a="1"/>
  <c r="I35" i="5" a="1"/>
  <c r="G205" i="5" a="1"/>
  <c r="D153" i="5" a="1"/>
  <c r="K34" i="5" a="1"/>
  <c r="G15" i="5" a="1"/>
  <c r="H17" i="5" a="1"/>
  <c r="F15" i="5" a="1"/>
  <c r="I218" i="5" a="1"/>
  <c r="J108" i="5" a="1"/>
  <c r="L51" i="5" a="1"/>
  <c r="K57" i="5" a="1"/>
  <c r="E13" i="5" a="1"/>
  <c r="G46" i="5" a="1"/>
  <c r="I186" i="5" a="1"/>
  <c r="G125" i="5" a="1"/>
  <c r="C36" i="5" a="1"/>
  <c r="I51" i="5" a="1"/>
  <c r="G53" i="5" a="1"/>
  <c r="C47" i="5" a="1"/>
  <c r="H73" i="5" a="1"/>
  <c r="F25" i="5" a="1"/>
  <c r="L176" i="5" a="1"/>
  <c r="J131" i="5" a="1"/>
  <c r="D40" i="5" a="1"/>
  <c r="K224" i="5" a="1"/>
  <c r="D4" i="5" a="1"/>
  <c r="F20" i="5" a="1"/>
  <c r="I63" i="5" a="1"/>
  <c r="L172" i="5" a="1"/>
  <c r="J176" i="5" a="1"/>
  <c r="F220" i="5" a="1"/>
  <c r="J111" i="5" a="1"/>
  <c r="C187" i="5" a="1"/>
  <c r="E133" i="5" a="1"/>
  <c r="D122" i="5" a="1"/>
  <c r="H35" i="5" a="1"/>
  <c r="I31" i="5" a="1"/>
  <c r="D72" i="5" a="1"/>
  <c r="F58" i="5" a="1"/>
  <c r="D56" i="5" a="1"/>
  <c r="G62" i="5" a="1"/>
  <c r="E70" i="5" a="1"/>
  <c r="C26" i="5" a="1"/>
  <c r="K56" i="5" a="1"/>
  <c r="J161" i="5" a="1"/>
  <c r="E110" i="5" a="1"/>
  <c r="J110" i="5" a="1"/>
  <c r="D27" i="5" a="1"/>
  <c r="E63" i="5" a="1"/>
  <c r="K14" i="5" a="1"/>
  <c r="J55" i="5" a="1"/>
  <c r="D15" i="5" a="1"/>
  <c r="E105" i="5" a="1"/>
  <c r="E49" i="5" a="1"/>
  <c r="E17" i="5" a="1"/>
  <c r="H216" i="5" a="1"/>
  <c r="H139" i="5" a="1"/>
  <c r="I73" i="5" a="1"/>
  <c r="C150" i="5" a="1"/>
  <c r="F107" i="5" a="1"/>
  <c r="I77" i="5" a="1"/>
  <c r="L8" i="5" a="1"/>
  <c r="J10" i="5" a="1"/>
  <c r="J16" i="5" a="1"/>
  <c r="H204" i="5" a="1"/>
  <c r="G202" i="5" a="1"/>
  <c r="F214" i="5" a="1"/>
  <c r="H174" i="5" a="1"/>
  <c r="G223" i="5" a="1"/>
  <c r="J183" i="5" a="1"/>
  <c r="H71" i="5" a="1"/>
  <c r="G135" i="5" a="1"/>
  <c r="F135" i="5" a="1"/>
  <c r="H133" i="5" a="1"/>
  <c r="G122" i="5" a="1"/>
  <c r="I84" i="5" a="1"/>
  <c r="K106" i="5" a="1"/>
  <c r="C109" i="5" a="1"/>
  <c r="I181" i="5" a="1"/>
  <c r="L11" i="5" a="1"/>
  <c r="J24" i="5" a="1"/>
  <c r="J34" i="5" a="1"/>
  <c r="E72" i="5" a="1"/>
  <c r="C12" i="5" a="1"/>
  <c r="L55" i="5" a="1"/>
  <c r="G3" i="5" a="1"/>
  <c r="E50" i="5" a="1"/>
  <c r="D8" i="5" a="1"/>
  <c r="H60" i="5" a="1"/>
  <c r="F132" i="5" a="1"/>
  <c r="H49" i="5" a="1"/>
  <c r="H7" i="5" a="1"/>
  <c r="C52" i="5" a="1"/>
  <c r="E9" i="5" a="1"/>
  <c r="E64" i="5" a="1"/>
  <c r="D28" i="5" a="1"/>
  <c r="I86" i="5" a="1"/>
  <c r="K43" i="5" a="1"/>
  <c r="G14" i="5" a="1"/>
  <c r="K13" i="5" a="1"/>
  <c r="J17" i="5" a="1"/>
  <c r="J43" i="5" a="1"/>
  <c r="E53" i="5" a="1"/>
  <c r="F12" i="5" a="1"/>
  <c r="C61" i="5" a="1"/>
  <c r="G67" i="5" a="1"/>
  <c r="L29" i="5" a="1"/>
  <c r="L24" i="5" a="1"/>
  <c r="C2" i="5" a="1"/>
  <c r="AN225" i="5" l="1"/>
  <c r="AF225" i="5"/>
  <c r="AR225" i="5"/>
  <c r="AS225" i="5" s="1"/>
  <c r="BB225" i="5"/>
  <c r="I71" i="5"/>
  <c r="W71" i="5" s="1"/>
  <c r="H2" i="5"/>
  <c r="F4" i="5"/>
  <c r="G11" i="5"/>
  <c r="G19" i="5"/>
  <c r="F30" i="5"/>
  <c r="C60" i="5"/>
  <c r="BL60" i="5" s="1"/>
  <c r="H114" i="5"/>
  <c r="J4" i="5"/>
  <c r="C9" i="5"/>
  <c r="BL9" i="5" s="1"/>
  <c r="BP9" i="5" s="1"/>
  <c r="K19" i="5"/>
  <c r="C22" i="5"/>
  <c r="BL22" i="5" s="1"/>
  <c r="F27" i="5"/>
  <c r="F46" i="5"/>
  <c r="E53" i="5"/>
  <c r="AH53" i="5" s="1"/>
  <c r="AI53" i="5" s="1"/>
  <c r="E67" i="5"/>
  <c r="AH67" i="5" s="1"/>
  <c r="AI67" i="5" s="1"/>
  <c r="L76" i="5"/>
  <c r="D85" i="5"/>
  <c r="D92" i="5"/>
  <c r="K103" i="5"/>
  <c r="U103" i="5" s="1"/>
  <c r="C2" i="5"/>
  <c r="E17" i="5"/>
  <c r="AH17" i="5" s="1"/>
  <c r="AI17" i="5" s="1"/>
  <c r="K27" i="5"/>
  <c r="U27" i="5" s="1"/>
  <c r="I35" i="5"/>
  <c r="W35" i="5" s="1"/>
  <c r="D39" i="5"/>
  <c r="G57" i="5"/>
  <c r="C64" i="5"/>
  <c r="BL64" i="5" s="1"/>
  <c r="BP64" i="5" s="1"/>
  <c r="L81" i="5"/>
  <c r="I50" i="5"/>
  <c r="W50" i="5" s="1"/>
  <c r="L64" i="5"/>
  <c r="I135" i="5"/>
  <c r="W135" i="5" s="1"/>
  <c r="K2" i="5"/>
  <c r="U2" i="5" s="1"/>
  <c r="I7" i="5"/>
  <c r="J14" i="5"/>
  <c r="G20" i="5"/>
  <c r="L25" i="5"/>
  <c r="J43" i="5"/>
  <c r="C47" i="5"/>
  <c r="BL47" i="5" s="1"/>
  <c r="BN47" i="5" s="1"/>
  <c r="J61" i="5"/>
  <c r="F86" i="5"/>
  <c r="E51" i="5"/>
  <c r="AH51" i="5" s="1"/>
  <c r="AI51" i="5" s="1"/>
  <c r="L189" i="5"/>
  <c r="K9" i="5"/>
  <c r="U9" i="5" s="1"/>
  <c r="G28" i="5"/>
  <c r="F18" i="5"/>
  <c r="J99" i="5"/>
  <c r="F14" i="5"/>
  <c r="C23" i="5"/>
  <c r="BL23" i="5" s="1"/>
  <c r="F36" i="5"/>
  <c r="K54" i="5"/>
  <c r="U54" i="5" s="1"/>
  <c r="I210" i="5"/>
  <c r="W210" i="5" s="1"/>
  <c r="L18" i="5"/>
  <c r="C29" i="5"/>
  <c r="BL29" i="5" s="1"/>
  <c r="G55" i="5"/>
  <c r="F21" i="5"/>
  <c r="K26" i="5"/>
  <c r="U26" i="5" s="1"/>
  <c r="J29" i="5"/>
  <c r="G41" i="5"/>
  <c r="F59" i="5"/>
  <c r="E116" i="5"/>
  <c r="AH116" i="5" s="1"/>
  <c r="AI116" i="5" s="1"/>
  <c r="J17" i="5"/>
  <c r="E5" i="5"/>
  <c r="AH5" i="5" s="1"/>
  <c r="AI5" i="5" s="1"/>
  <c r="K20" i="5"/>
  <c r="U20" i="5" s="1"/>
  <c r="K58" i="5"/>
  <c r="U58" i="5" s="1"/>
  <c r="F15" i="5"/>
  <c r="L23" i="5"/>
  <c r="J3" i="5"/>
  <c r="E33" i="5"/>
  <c r="AH33" i="5" s="1"/>
  <c r="AI33" i="5" s="1"/>
  <c r="K8" i="5"/>
  <c r="C16" i="5"/>
  <c r="BL16" i="5" s="1"/>
  <c r="BN16" i="5" s="1"/>
  <c r="K21" i="5"/>
  <c r="F24" i="5"/>
  <c r="L45" i="5"/>
  <c r="J66" i="5"/>
  <c r="E75" i="5"/>
  <c r="F84" i="5"/>
  <c r="C94" i="5"/>
  <c r="BL94" i="5" s="1"/>
  <c r="I32" i="5"/>
  <c r="W32" i="5" s="1"/>
  <c r="K40" i="5"/>
  <c r="F65" i="5"/>
  <c r="G10" i="5"/>
  <c r="E44" i="5"/>
  <c r="AH44" i="5" s="1"/>
  <c r="AI44" i="5" s="1"/>
  <c r="L10" i="5"/>
  <c r="F26" i="5"/>
  <c r="I48" i="5"/>
  <c r="W48" i="5" s="1"/>
  <c r="C11" i="5"/>
  <c r="BL11" i="5" s="1"/>
  <c r="K13" i="5"/>
  <c r="I16" i="5"/>
  <c r="W16" i="5" s="1"/>
  <c r="L24" i="5"/>
  <c r="H38" i="5"/>
  <c r="E49" i="5"/>
  <c r="AH49" i="5" s="1"/>
  <c r="AI49" i="5" s="1"/>
  <c r="K56" i="5"/>
  <c r="U56" i="5" s="1"/>
  <c r="I63" i="5"/>
  <c r="F80" i="5"/>
  <c r="C3" i="5"/>
  <c r="BL3" i="5" s="1"/>
  <c r="BN3" i="5" s="1"/>
  <c r="K3" i="5"/>
  <c r="J5" i="5"/>
  <c r="D6" i="5"/>
  <c r="K6" i="5"/>
  <c r="F7" i="5"/>
  <c r="H8" i="5"/>
  <c r="D9" i="5"/>
  <c r="L9" i="5"/>
  <c r="H10" i="5"/>
  <c r="D11" i="5"/>
  <c r="G12" i="5"/>
  <c r="L13" i="5"/>
  <c r="G14" i="5"/>
  <c r="J16" i="5"/>
  <c r="F17" i="5"/>
  <c r="H19" i="5"/>
  <c r="C20" i="5"/>
  <c r="BL20" i="5" s="1"/>
  <c r="L20" i="5"/>
  <c r="G21" i="5"/>
  <c r="H23" i="5"/>
  <c r="C24" i="5"/>
  <c r="BL24" i="5" s="1"/>
  <c r="H25" i="5"/>
  <c r="C26" i="5"/>
  <c r="BL26" i="5" s="1"/>
  <c r="L26" i="5"/>
  <c r="G27" i="5"/>
  <c r="C28" i="5"/>
  <c r="BL28" i="5" s="1"/>
  <c r="K29" i="5"/>
  <c r="U29" i="5" s="1"/>
  <c r="G30" i="5"/>
  <c r="C31" i="5"/>
  <c r="BL31" i="5" s="1"/>
  <c r="BN31" i="5" s="1"/>
  <c r="J32" i="5"/>
  <c r="J35" i="5"/>
  <c r="G36" i="5"/>
  <c r="C37" i="5"/>
  <c r="BL37" i="5" s="1"/>
  <c r="I38" i="5"/>
  <c r="E39" i="5"/>
  <c r="AH39" i="5" s="1"/>
  <c r="AI39" i="5" s="1"/>
  <c r="L40" i="5"/>
  <c r="H41" i="5"/>
  <c r="D42" i="5"/>
  <c r="K43" i="5"/>
  <c r="U43" i="5" s="1"/>
  <c r="F44" i="5"/>
  <c r="C45" i="5"/>
  <c r="BL45" i="5" s="1"/>
  <c r="G46" i="5"/>
  <c r="D47" i="5"/>
  <c r="J48" i="5"/>
  <c r="F49" i="5"/>
  <c r="J50" i="5"/>
  <c r="K52" i="5"/>
  <c r="U52" i="5" s="1"/>
  <c r="F53" i="5"/>
  <c r="L54" i="5"/>
  <c r="H55" i="5"/>
  <c r="L56" i="5"/>
  <c r="H57" i="5"/>
  <c r="L58" i="5"/>
  <c r="G59" i="5"/>
  <c r="D60" i="5"/>
  <c r="K61" i="5"/>
  <c r="E62" i="5"/>
  <c r="AH62" i="5" s="1"/>
  <c r="AI62" i="5" s="1"/>
  <c r="J63" i="5"/>
  <c r="D64" i="5"/>
  <c r="G65" i="5"/>
  <c r="K66" i="5"/>
  <c r="F67" i="5"/>
  <c r="C68" i="5"/>
  <c r="BL68" i="5" s="1"/>
  <c r="BP68" i="5" s="1"/>
  <c r="J71" i="5"/>
  <c r="F75" i="5"/>
  <c r="E79" i="5"/>
  <c r="AH79" i="5" s="1"/>
  <c r="AI79" i="5" s="1"/>
  <c r="G80" i="5"/>
  <c r="E85" i="5"/>
  <c r="AH85" i="5" s="1"/>
  <c r="AI85" i="5" s="1"/>
  <c r="I86" i="5"/>
  <c r="W86" i="5" s="1"/>
  <c r="J92" i="5"/>
  <c r="E105" i="5"/>
  <c r="AH105" i="5" s="1"/>
  <c r="AI105" i="5" s="1"/>
  <c r="C107" i="5"/>
  <c r="BL107" i="5" s="1"/>
  <c r="K116" i="5"/>
  <c r="U116" i="5" s="1"/>
  <c r="J140" i="5"/>
  <c r="D176" i="5"/>
  <c r="I2" i="5"/>
  <c r="L3" i="5"/>
  <c r="G4" i="5"/>
  <c r="C5" i="5"/>
  <c r="BL5" i="5" s="1"/>
  <c r="L6" i="5"/>
  <c r="I8" i="5"/>
  <c r="W8" i="5" s="1"/>
  <c r="I10" i="5"/>
  <c r="H12" i="5"/>
  <c r="C13" i="5"/>
  <c r="BL13" i="5" s="1"/>
  <c r="BP13" i="5" s="1"/>
  <c r="C15" i="5"/>
  <c r="BL15" i="5" s="1"/>
  <c r="K16" i="5"/>
  <c r="G17" i="5"/>
  <c r="C18" i="5"/>
  <c r="BL18" i="5" s="1"/>
  <c r="I19" i="5"/>
  <c r="W19" i="5" s="1"/>
  <c r="D20" i="5"/>
  <c r="H21" i="5"/>
  <c r="D22" i="5"/>
  <c r="I23" i="5"/>
  <c r="W23" i="5" s="1"/>
  <c r="D24" i="5"/>
  <c r="I25" i="5"/>
  <c r="W25" i="5" s="1"/>
  <c r="H27" i="5"/>
  <c r="D28" i="5"/>
  <c r="L29" i="5"/>
  <c r="H30" i="5"/>
  <c r="K32" i="5"/>
  <c r="U32" i="5" s="1"/>
  <c r="F33" i="5"/>
  <c r="C34" i="5"/>
  <c r="BL34" i="5" s="1"/>
  <c r="K35" i="5"/>
  <c r="H36" i="5"/>
  <c r="D37" i="5"/>
  <c r="J38" i="5"/>
  <c r="I41" i="5"/>
  <c r="W41" i="5" s="1"/>
  <c r="E42" i="5"/>
  <c r="AH42" i="5" s="1"/>
  <c r="AI42" i="5" s="1"/>
  <c r="L43" i="5"/>
  <c r="G44" i="5"/>
  <c r="D45" i="5"/>
  <c r="H46" i="5"/>
  <c r="E47" i="5"/>
  <c r="AH47" i="5" s="1"/>
  <c r="AI47" i="5" s="1"/>
  <c r="K48" i="5"/>
  <c r="U48" i="5" s="1"/>
  <c r="G49" i="5"/>
  <c r="K50" i="5"/>
  <c r="U50" i="5" s="1"/>
  <c r="F51" i="5"/>
  <c r="L52" i="5"/>
  <c r="C56" i="5"/>
  <c r="BL56" i="5" s="1"/>
  <c r="BN56" i="5" s="1"/>
  <c r="C58" i="5"/>
  <c r="BL58" i="5" s="1"/>
  <c r="H59" i="5"/>
  <c r="E60" i="5"/>
  <c r="AH60" i="5" s="1"/>
  <c r="AI60" i="5" s="1"/>
  <c r="L61" i="5"/>
  <c r="F62" i="5"/>
  <c r="K63" i="5"/>
  <c r="U63" i="5" s="1"/>
  <c r="E64" i="5"/>
  <c r="AH64" i="5" s="1"/>
  <c r="AI64" i="5" s="1"/>
  <c r="L66" i="5"/>
  <c r="G67" i="5"/>
  <c r="D68" i="5"/>
  <c r="E70" i="5"/>
  <c r="F74" i="5"/>
  <c r="G75" i="5"/>
  <c r="C78" i="5"/>
  <c r="F79" i="5"/>
  <c r="K80" i="5"/>
  <c r="D83" i="5"/>
  <c r="G84" i="5"/>
  <c r="I85" i="5"/>
  <c r="W85" i="5" s="1"/>
  <c r="J86" i="5"/>
  <c r="L94" i="5"/>
  <c r="G96" i="5"/>
  <c r="J105" i="5"/>
  <c r="I107" i="5"/>
  <c r="W107" i="5" s="1"/>
  <c r="H109" i="5"/>
  <c r="F111" i="5"/>
  <c r="E118" i="5"/>
  <c r="AH118" i="5" s="1"/>
  <c r="AI118" i="5" s="1"/>
  <c r="J153" i="5"/>
  <c r="L184" i="5"/>
  <c r="J203" i="5"/>
  <c r="J2" i="5"/>
  <c r="D3" i="5"/>
  <c r="H4" i="5"/>
  <c r="D5" i="5"/>
  <c r="K5" i="5"/>
  <c r="E6" i="5"/>
  <c r="AH6" i="5" s="1"/>
  <c r="AI6" i="5" s="1"/>
  <c r="G7" i="5"/>
  <c r="J8" i="5"/>
  <c r="E9" i="5"/>
  <c r="AH9" i="5" s="1"/>
  <c r="AI9" i="5" s="1"/>
  <c r="J10" i="5"/>
  <c r="E11" i="5"/>
  <c r="AH11" i="5" s="1"/>
  <c r="AI11" i="5" s="1"/>
  <c r="I12" i="5"/>
  <c r="D13" i="5"/>
  <c r="H14" i="5"/>
  <c r="D15" i="5"/>
  <c r="H17" i="5"/>
  <c r="D18" i="5"/>
  <c r="E20" i="5"/>
  <c r="AH20" i="5" s="1"/>
  <c r="AI20" i="5" s="1"/>
  <c r="I21" i="5"/>
  <c r="W21" i="5" s="1"/>
  <c r="E22" i="5"/>
  <c r="AH22" i="5" s="1"/>
  <c r="AI22" i="5" s="1"/>
  <c r="J23" i="5"/>
  <c r="E24" i="5"/>
  <c r="AH24" i="5" s="1"/>
  <c r="AI24" i="5" s="1"/>
  <c r="J25" i="5"/>
  <c r="D26" i="5"/>
  <c r="I27" i="5"/>
  <c r="E28" i="5"/>
  <c r="AH28" i="5" s="1"/>
  <c r="AI28" i="5" s="1"/>
  <c r="I30" i="5"/>
  <c r="W30" i="5" s="1"/>
  <c r="D31" i="5"/>
  <c r="L32" i="5"/>
  <c r="G33" i="5"/>
  <c r="D34" i="5"/>
  <c r="L35" i="5"/>
  <c r="I36" i="5"/>
  <c r="W36" i="5" s="1"/>
  <c r="E37" i="5"/>
  <c r="AH37" i="5" s="1"/>
  <c r="AI37" i="5" s="1"/>
  <c r="F39" i="5"/>
  <c r="J41" i="5"/>
  <c r="F42" i="5"/>
  <c r="C43" i="5"/>
  <c r="BL43" i="5" s="1"/>
  <c r="BN43" i="5" s="1"/>
  <c r="H44" i="5"/>
  <c r="E45" i="5"/>
  <c r="AH45" i="5" s="1"/>
  <c r="AI45" i="5" s="1"/>
  <c r="I46" i="5"/>
  <c r="W46" i="5" s="1"/>
  <c r="L48" i="5"/>
  <c r="L50" i="5"/>
  <c r="G51" i="5"/>
  <c r="C52" i="5"/>
  <c r="BL52" i="5" s="1"/>
  <c r="BP52" i="5" s="1"/>
  <c r="G53" i="5"/>
  <c r="C54" i="5"/>
  <c r="BL54" i="5" s="1"/>
  <c r="I55" i="5"/>
  <c r="I57" i="5"/>
  <c r="I59" i="5"/>
  <c r="W59" i="5" s="1"/>
  <c r="F60" i="5"/>
  <c r="G62" i="5"/>
  <c r="F64" i="5"/>
  <c r="H65" i="5"/>
  <c r="H67" i="5"/>
  <c r="C69" i="5"/>
  <c r="BL69" i="5" s="1"/>
  <c r="F70" i="5"/>
  <c r="G74" i="5"/>
  <c r="K75" i="5"/>
  <c r="D78" i="5"/>
  <c r="G79" i="5"/>
  <c r="L80" i="5"/>
  <c r="E83" i="5"/>
  <c r="AH83" i="5" s="1"/>
  <c r="AI83" i="5" s="1"/>
  <c r="J85" i="5"/>
  <c r="K86" i="5"/>
  <c r="U86" i="5" s="1"/>
  <c r="D91" i="5"/>
  <c r="J96" i="5"/>
  <c r="L109" i="5"/>
  <c r="J118" i="5"/>
  <c r="C120" i="5"/>
  <c r="BL120" i="5" s="1"/>
  <c r="E126" i="5"/>
  <c r="AH126" i="5" s="1"/>
  <c r="AI126" i="5" s="1"/>
  <c r="H128" i="5"/>
  <c r="G130" i="5"/>
  <c r="K138" i="5"/>
  <c r="U138" i="5" s="1"/>
  <c r="K171" i="5"/>
  <c r="U171" i="5" s="1"/>
  <c r="G219" i="5"/>
  <c r="E3" i="5"/>
  <c r="AH3" i="5" s="1"/>
  <c r="AI3" i="5" s="1"/>
  <c r="I4" i="5"/>
  <c r="W4" i="5" s="1"/>
  <c r="L5" i="5"/>
  <c r="F6" i="5"/>
  <c r="H7" i="5"/>
  <c r="C8" i="5"/>
  <c r="BL8" i="5" s="1"/>
  <c r="F9" i="5"/>
  <c r="K10" i="5"/>
  <c r="U10" i="5" s="1"/>
  <c r="F11" i="5"/>
  <c r="J12" i="5"/>
  <c r="E13" i="5"/>
  <c r="AH13" i="5" s="1"/>
  <c r="AI13" i="5" s="1"/>
  <c r="I14" i="5"/>
  <c r="W14" i="5" s="1"/>
  <c r="E15" i="5"/>
  <c r="AH15" i="5" s="1"/>
  <c r="AI15" i="5" s="1"/>
  <c r="L16" i="5"/>
  <c r="I17" i="5"/>
  <c r="W17" i="5" s="1"/>
  <c r="E18" i="5"/>
  <c r="J19" i="5"/>
  <c r="F20" i="5"/>
  <c r="J21" i="5"/>
  <c r="F22" i="5"/>
  <c r="K23" i="5"/>
  <c r="K25" i="5"/>
  <c r="U25" i="5" s="1"/>
  <c r="E26" i="5"/>
  <c r="AH26" i="5" s="1"/>
  <c r="AI26" i="5" s="1"/>
  <c r="J27" i="5"/>
  <c r="F28" i="5"/>
  <c r="J30" i="5"/>
  <c r="E31" i="5"/>
  <c r="AH31" i="5" s="1"/>
  <c r="AI31" i="5" s="1"/>
  <c r="H33" i="5"/>
  <c r="E34" i="5"/>
  <c r="J36" i="5"/>
  <c r="F37" i="5"/>
  <c r="K38" i="5"/>
  <c r="U38" i="5" s="1"/>
  <c r="G39" i="5"/>
  <c r="C40" i="5"/>
  <c r="BL40" i="5" s="1"/>
  <c r="BN40" i="5" s="1"/>
  <c r="K41" i="5"/>
  <c r="U41" i="5" s="1"/>
  <c r="G42" i="5"/>
  <c r="I44" i="5"/>
  <c r="W44" i="5" s="1"/>
  <c r="J46" i="5"/>
  <c r="F47" i="5"/>
  <c r="C48" i="5"/>
  <c r="BL48" i="5" s="1"/>
  <c r="H49" i="5"/>
  <c r="C50" i="5"/>
  <c r="BL50" i="5" s="1"/>
  <c r="H51" i="5"/>
  <c r="D52" i="5"/>
  <c r="H53" i="5"/>
  <c r="D54" i="5"/>
  <c r="J55" i="5"/>
  <c r="D56" i="5"/>
  <c r="D58" i="5"/>
  <c r="J59" i="5"/>
  <c r="G60" i="5"/>
  <c r="H62" i="5"/>
  <c r="L63" i="5"/>
  <c r="I65" i="5"/>
  <c r="W65" i="5" s="1"/>
  <c r="I67" i="5"/>
  <c r="W67" i="5" s="1"/>
  <c r="E68" i="5"/>
  <c r="E69" i="5"/>
  <c r="AH69" i="5" s="1"/>
  <c r="AI69" i="5" s="1"/>
  <c r="G70" i="5"/>
  <c r="D73" i="5"/>
  <c r="H74" i="5"/>
  <c r="L75" i="5"/>
  <c r="C77" i="5"/>
  <c r="BL77" i="5" s="1"/>
  <c r="E78" i="5"/>
  <c r="J79" i="5"/>
  <c r="C82" i="5"/>
  <c r="BL82" i="5" s="1"/>
  <c r="BN82" i="5" s="1"/>
  <c r="F83" i="5"/>
  <c r="J84" i="5"/>
  <c r="K85" i="5"/>
  <c r="U85" i="5" s="1"/>
  <c r="C90" i="5"/>
  <c r="BL90" i="5" s="1"/>
  <c r="E91" i="5"/>
  <c r="AH91" i="5" s="1"/>
  <c r="AI91" i="5" s="1"/>
  <c r="F98" i="5"/>
  <c r="D102" i="5"/>
  <c r="J120" i="5"/>
  <c r="L122" i="5"/>
  <c r="D124" i="5"/>
  <c r="K130" i="5"/>
  <c r="F132" i="5"/>
  <c r="G134" i="5"/>
  <c r="C151" i="5"/>
  <c r="BL151" i="5" s="1"/>
  <c r="K156" i="5"/>
  <c r="U156" i="5" s="1"/>
  <c r="I161" i="5"/>
  <c r="D182" i="5"/>
  <c r="L201" i="5"/>
  <c r="G222" i="5"/>
  <c r="K30" i="5"/>
  <c r="F31" i="5"/>
  <c r="I33" i="5"/>
  <c r="W33" i="5" s="1"/>
  <c r="F34" i="5"/>
  <c r="C35" i="5"/>
  <c r="BL35" i="5" s="1"/>
  <c r="K36" i="5"/>
  <c r="U36" i="5" s="1"/>
  <c r="G37" i="5"/>
  <c r="C38" i="5"/>
  <c r="BL38" i="5" s="1"/>
  <c r="L38" i="5"/>
  <c r="H39" i="5"/>
  <c r="D40" i="5"/>
  <c r="L41" i="5"/>
  <c r="H42" i="5"/>
  <c r="D43" i="5"/>
  <c r="J44" i="5"/>
  <c r="F45" i="5"/>
  <c r="K46" i="5"/>
  <c r="U46" i="5" s="1"/>
  <c r="G47" i="5"/>
  <c r="I49" i="5"/>
  <c r="D50" i="5"/>
  <c r="E52" i="5"/>
  <c r="I53" i="5"/>
  <c r="W53" i="5" s="1"/>
  <c r="E54" i="5"/>
  <c r="K55" i="5"/>
  <c r="U55" i="5" s="1"/>
  <c r="E56" i="5"/>
  <c r="AH56" i="5" s="1"/>
  <c r="AI56" i="5" s="1"/>
  <c r="J57" i="5"/>
  <c r="E58" i="5"/>
  <c r="AH58" i="5" s="1"/>
  <c r="AI58" i="5" s="1"/>
  <c r="K59" i="5"/>
  <c r="H60" i="5"/>
  <c r="C61" i="5"/>
  <c r="I62" i="5"/>
  <c r="C63" i="5"/>
  <c r="BL63" i="5" s="1"/>
  <c r="BN63" i="5" s="1"/>
  <c r="G64" i="5"/>
  <c r="J65" i="5"/>
  <c r="C66" i="5"/>
  <c r="BL66" i="5" s="1"/>
  <c r="J67" i="5"/>
  <c r="F68" i="5"/>
  <c r="F69" i="5"/>
  <c r="L70" i="5"/>
  <c r="J74" i="5"/>
  <c r="D77" i="5"/>
  <c r="J78" i="5"/>
  <c r="K79" i="5"/>
  <c r="U79" i="5" s="1"/>
  <c r="D82" i="5"/>
  <c r="K83" i="5"/>
  <c r="K84" i="5"/>
  <c r="U84" i="5" s="1"/>
  <c r="G88" i="5"/>
  <c r="D89" i="5"/>
  <c r="D90" i="5"/>
  <c r="J91" i="5"/>
  <c r="K98" i="5"/>
  <c r="U98" i="5" s="1"/>
  <c r="D100" i="5"/>
  <c r="I102" i="5"/>
  <c r="W102" i="5" s="1"/>
  <c r="E113" i="5"/>
  <c r="AH113" i="5" s="1"/>
  <c r="AI113" i="5" s="1"/>
  <c r="H115" i="5"/>
  <c r="H124" i="5"/>
  <c r="L134" i="5"/>
  <c r="K169" i="5"/>
  <c r="U169" i="5" s="1"/>
  <c r="F190" i="5"/>
  <c r="G211" i="5"/>
  <c r="D2" i="5"/>
  <c r="F3" i="5"/>
  <c r="F5" i="5"/>
  <c r="G6" i="5"/>
  <c r="D8" i="5"/>
  <c r="L8" i="5"/>
  <c r="G9" i="5"/>
  <c r="H11" i="5"/>
  <c r="K12" i="5"/>
  <c r="U12" i="5" s="1"/>
  <c r="F13" i="5"/>
  <c r="K14" i="5"/>
  <c r="U14" i="5" s="1"/>
  <c r="G15" i="5"/>
  <c r="D16" i="5"/>
  <c r="K17" i="5"/>
  <c r="L19" i="5"/>
  <c r="L21" i="5"/>
  <c r="G22" i="5"/>
  <c r="D23" i="5"/>
  <c r="G24" i="5"/>
  <c r="G26" i="5"/>
  <c r="L27" i="5"/>
  <c r="H28" i="5"/>
  <c r="D29" i="5"/>
  <c r="L30" i="5"/>
  <c r="G31" i="5"/>
  <c r="C32" i="5"/>
  <c r="BL32" i="5" s="1"/>
  <c r="J33" i="5"/>
  <c r="G34" i="5"/>
  <c r="D35" i="5"/>
  <c r="L36" i="5"/>
  <c r="H37" i="5"/>
  <c r="I39" i="5"/>
  <c r="W39" i="5" s="1"/>
  <c r="E40" i="5"/>
  <c r="AH40" i="5" s="1"/>
  <c r="AI40" i="5" s="1"/>
  <c r="I42" i="5"/>
  <c r="W42" i="5" s="1"/>
  <c r="E43" i="5"/>
  <c r="AH43" i="5" s="1"/>
  <c r="AI43" i="5" s="1"/>
  <c r="K44" i="5"/>
  <c r="L46" i="5"/>
  <c r="H47" i="5"/>
  <c r="D48" i="5"/>
  <c r="J49" i="5"/>
  <c r="E50" i="5"/>
  <c r="AH50" i="5" s="1"/>
  <c r="AI50" i="5" s="1"/>
  <c r="I51" i="5"/>
  <c r="W51" i="5" s="1"/>
  <c r="F52" i="5"/>
  <c r="J53" i="5"/>
  <c r="F54" i="5"/>
  <c r="F56" i="5"/>
  <c r="K57" i="5"/>
  <c r="U57" i="5" s="1"/>
  <c r="F58" i="5"/>
  <c r="L59" i="5"/>
  <c r="D61" i="5"/>
  <c r="J62" i="5"/>
  <c r="D63" i="5"/>
  <c r="H64" i="5"/>
  <c r="K65" i="5"/>
  <c r="U65" i="5" s="1"/>
  <c r="D66" i="5"/>
  <c r="K67" i="5"/>
  <c r="G68" i="5"/>
  <c r="G69" i="5"/>
  <c r="C72" i="5"/>
  <c r="BL72" i="5" s="1"/>
  <c r="E73" i="5"/>
  <c r="AH73" i="5" s="1"/>
  <c r="AI73" i="5" s="1"/>
  <c r="K74" i="5"/>
  <c r="U74" i="5" s="1"/>
  <c r="E77" i="5"/>
  <c r="K78" i="5"/>
  <c r="G82" i="5"/>
  <c r="L83" i="5"/>
  <c r="E90" i="5"/>
  <c r="E93" i="5"/>
  <c r="AH93" i="5" s="1"/>
  <c r="AI93" i="5" s="1"/>
  <c r="H100" i="5"/>
  <c r="F104" i="5"/>
  <c r="K115" i="5"/>
  <c r="U115" i="5" s="1"/>
  <c r="C136" i="5"/>
  <c r="BL136" i="5" s="1"/>
  <c r="BN136" i="5" s="1"/>
  <c r="J141" i="5"/>
  <c r="J149" i="5"/>
  <c r="K159" i="5"/>
  <c r="U159" i="5" s="1"/>
  <c r="C177" i="5"/>
  <c r="L2" i="5"/>
  <c r="G3" i="5"/>
  <c r="K4" i="5"/>
  <c r="U4" i="5" s="1"/>
  <c r="H6" i="5"/>
  <c r="J7" i="5"/>
  <c r="I11" i="5"/>
  <c r="W11" i="5" s="1"/>
  <c r="G13" i="5"/>
  <c r="L14" i="5"/>
  <c r="H15" i="5"/>
  <c r="E16" i="5"/>
  <c r="AH16" i="5" s="1"/>
  <c r="AI16" i="5" s="1"/>
  <c r="G18" i="5"/>
  <c r="C19" i="5"/>
  <c r="BL19" i="5" s="1"/>
  <c r="H20" i="5"/>
  <c r="C21" i="5"/>
  <c r="BL21" i="5" s="1"/>
  <c r="H22" i="5"/>
  <c r="H24" i="5"/>
  <c r="C25" i="5"/>
  <c r="BL25" i="5" s="1"/>
  <c r="H26" i="5"/>
  <c r="I28" i="5"/>
  <c r="W28" i="5" s="1"/>
  <c r="E29" i="5"/>
  <c r="AH29" i="5" s="1"/>
  <c r="AI29" i="5" s="1"/>
  <c r="H31" i="5"/>
  <c r="D32" i="5"/>
  <c r="K33" i="5"/>
  <c r="H34" i="5"/>
  <c r="E35" i="5"/>
  <c r="AH35" i="5" s="1"/>
  <c r="AI35" i="5" s="1"/>
  <c r="I37" i="5"/>
  <c r="W37" i="5" s="1"/>
  <c r="D38" i="5"/>
  <c r="J39" i="5"/>
  <c r="F40" i="5"/>
  <c r="J42" i="5"/>
  <c r="F43" i="5"/>
  <c r="L44" i="5"/>
  <c r="G45" i="5"/>
  <c r="I47" i="5"/>
  <c r="W47" i="5" s="1"/>
  <c r="E48" i="5"/>
  <c r="AH48" i="5" s="1"/>
  <c r="AI48" i="5" s="1"/>
  <c r="J51" i="5"/>
  <c r="G52" i="5"/>
  <c r="L55" i="5"/>
  <c r="G56" i="5"/>
  <c r="L57" i="5"/>
  <c r="G58" i="5"/>
  <c r="I60" i="5"/>
  <c r="W60" i="5" s="1"/>
  <c r="E61" i="5"/>
  <c r="AH61" i="5" s="1"/>
  <c r="AI61" i="5" s="1"/>
  <c r="E63" i="5"/>
  <c r="AH63" i="5" s="1"/>
  <c r="AI63" i="5" s="1"/>
  <c r="I64" i="5"/>
  <c r="W64" i="5" s="1"/>
  <c r="L65" i="5"/>
  <c r="E66" i="5"/>
  <c r="AH66" i="5" s="1"/>
  <c r="AI66" i="5" s="1"/>
  <c r="L67" i="5"/>
  <c r="H68" i="5"/>
  <c r="J69" i="5"/>
  <c r="D72" i="5"/>
  <c r="J73" i="5"/>
  <c r="L74" i="5"/>
  <c r="H77" i="5"/>
  <c r="C81" i="5"/>
  <c r="BL81" i="5" s="1"/>
  <c r="H82" i="5"/>
  <c r="C87" i="5"/>
  <c r="BL87" i="5" s="1"/>
  <c r="H88" i="5"/>
  <c r="E89" i="5"/>
  <c r="AH89" i="5" s="1"/>
  <c r="AI89" i="5" s="1"/>
  <c r="H90" i="5"/>
  <c r="G95" i="5"/>
  <c r="K104" i="5"/>
  <c r="U104" i="5" s="1"/>
  <c r="D106" i="5"/>
  <c r="D108" i="5"/>
  <c r="F117" i="5"/>
  <c r="G164" i="5"/>
  <c r="E185" i="5"/>
  <c r="AH185" i="5" s="1"/>
  <c r="AI185" i="5" s="1"/>
  <c r="I204" i="5"/>
  <c r="W204" i="5" s="1"/>
  <c r="I209" i="5"/>
  <c r="W209" i="5" s="1"/>
  <c r="E2" i="5"/>
  <c r="AH2" i="5" s="1"/>
  <c r="AI2" i="5" s="1"/>
  <c r="H3" i="5"/>
  <c r="C4" i="5"/>
  <c r="BL4" i="5" s="1"/>
  <c r="L4" i="5"/>
  <c r="G5" i="5"/>
  <c r="C7" i="5"/>
  <c r="BL7" i="5" s="1"/>
  <c r="K7" i="5"/>
  <c r="U7" i="5" s="1"/>
  <c r="E8" i="5"/>
  <c r="AH8" i="5" s="1"/>
  <c r="AI8" i="5" s="1"/>
  <c r="H9" i="5"/>
  <c r="C10" i="5"/>
  <c r="BL10" i="5" s="1"/>
  <c r="BN10" i="5" s="1"/>
  <c r="C12" i="5"/>
  <c r="BL12" i="5" s="1"/>
  <c r="L12" i="5"/>
  <c r="H13" i="5"/>
  <c r="I15" i="5"/>
  <c r="W15" i="5" s="1"/>
  <c r="F16" i="5"/>
  <c r="L17" i="5"/>
  <c r="H18" i="5"/>
  <c r="I20" i="5"/>
  <c r="W20" i="5" s="1"/>
  <c r="I22" i="5"/>
  <c r="W22" i="5" s="1"/>
  <c r="E23" i="5"/>
  <c r="AH23" i="5" s="1"/>
  <c r="AI23" i="5" s="1"/>
  <c r="D25" i="5"/>
  <c r="J28" i="5"/>
  <c r="F29" i="5"/>
  <c r="C30" i="5"/>
  <c r="BL30" i="5" s="1"/>
  <c r="I31" i="5"/>
  <c r="W31" i="5" s="1"/>
  <c r="E32" i="5"/>
  <c r="AH32" i="5" s="1"/>
  <c r="AI32" i="5" s="1"/>
  <c r="L33" i="5"/>
  <c r="I34" i="5"/>
  <c r="W34" i="5" s="1"/>
  <c r="F35" i="5"/>
  <c r="J37" i="5"/>
  <c r="E38" i="5"/>
  <c r="AH38" i="5" s="1"/>
  <c r="AI38" i="5" s="1"/>
  <c r="K39" i="5"/>
  <c r="G40" i="5"/>
  <c r="C41" i="5"/>
  <c r="BL41" i="5" s="1"/>
  <c r="K42" i="5"/>
  <c r="U42" i="5" s="1"/>
  <c r="G43" i="5"/>
  <c r="H45" i="5"/>
  <c r="C46" i="5"/>
  <c r="BL46" i="5" s="1"/>
  <c r="J47" i="5"/>
  <c r="F48" i="5"/>
  <c r="K49" i="5"/>
  <c r="U49" i="5" s="1"/>
  <c r="F50" i="5"/>
  <c r="K51" i="5"/>
  <c r="H52" i="5"/>
  <c r="K53" i="5"/>
  <c r="U53" i="5" s="1"/>
  <c r="G54" i="5"/>
  <c r="C55" i="5"/>
  <c r="BL55" i="5" s="1"/>
  <c r="H56" i="5"/>
  <c r="C57" i="5"/>
  <c r="J60" i="5"/>
  <c r="F61" i="5"/>
  <c r="K62" i="5"/>
  <c r="U62" i="5" s="1"/>
  <c r="F63" i="5"/>
  <c r="J64" i="5"/>
  <c r="C65" i="5"/>
  <c r="F66" i="5"/>
  <c r="I68" i="5"/>
  <c r="W68" i="5" s="1"/>
  <c r="K69" i="5"/>
  <c r="U69" i="5" s="1"/>
  <c r="E72" i="5"/>
  <c r="AH72" i="5" s="1"/>
  <c r="AI72" i="5" s="1"/>
  <c r="K73" i="5"/>
  <c r="U73" i="5" s="1"/>
  <c r="I77" i="5"/>
  <c r="W77" i="5" s="1"/>
  <c r="G81" i="5"/>
  <c r="I82" i="5"/>
  <c r="W82" i="5" s="1"/>
  <c r="F87" i="5"/>
  <c r="K88" i="5"/>
  <c r="U88" i="5" s="1"/>
  <c r="J89" i="5"/>
  <c r="I90" i="5"/>
  <c r="W90" i="5" s="1"/>
  <c r="L95" i="5"/>
  <c r="H106" i="5"/>
  <c r="F110" i="5"/>
  <c r="J117" i="5"/>
  <c r="D119" i="5"/>
  <c r="D172" i="5"/>
  <c r="D4" i="5"/>
  <c r="I6" i="5"/>
  <c r="W6" i="5" s="1"/>
  <c r="F8" i="5"/>
  <c r="I9" i="5"/>
  <c r="W9" i="5" s="1"/>
  <c r="D10" i="5"/>
  <c r="J11" i="5"/>
  <c r="D12" i="5"/>
  <c r="C14" i="5"/>
  <c r="BL14" i="5" s="1"/>
  <c r="BN14" i="5" s="1"/>
  <c r="J15" i="5"/>
  <c r="G16" i="5"/>
  <c r="I18" i="5"/>
  <c r="W18" i="5" s="1"/>
  <c r="D19" i="5"/>
  <c r="D21" i="5"/>
  <c r="J22" i="5"/>
  <c r="F23" i="5"/>
  <c r="I24" i="5"/>
  <c r="W24" i="5" s="1"/>
  <c r="E25" i="5"/>
  <c r="I26" i="5"/>
  <c r="W26" i="5" s="1"/>
  <c r="C27" i="5"/>
  <c r="BL27" i="5" s="1"/>
  <c r="K28" i="5"/>
  <c r="G29" i="5"/>
  <c r="J31" i="5"/>
  <c r="F32" i="5"/>
  <c r="C33" i="5"/>
  <c r="BL33" i="5" s="1"/>
  <c r="J34" i="5"/>
  <c r="C36" i="5"/>
  <c r="BL36" i="5" s="1"/>
  <c r="K37" i="5"/>
  <c r="U37" i="5" s="1"/>
  <c r="L39" i="5"/>
  <c r="H40" i="5"/>
  <c r="D41" i="5"/>
  <c r="L42" i="5"/>
  <c r="H43" i="5"/>
  <c r="C44" i="5"/>
  <c r="BL44" i="5" s="1"/>
  <c r="I45" i="5"/>
  <c r="W45" i="5" s="1"/>
  <c r="D46" i="5"/>
  <c r="K47" i="5"/>
  <c r="L49" i="5"/>
  <c r="G50" i="5"/>
  <c r="C51" i="5"/>
  <c r="BL51" i="5" s="1"/>
  <c r="L51" i="5"/>
  <c r="C53" i="5"/>
  <c r="BL53" i="5" s="1"/>
  <c r="L53" i="5"/>
  <c r="H54" i="5"/>
  <c r="D55" i="5"/>
  <c r="D57" i="5"/>
  <c r="H58" i="5"/>
  <c r="C59" i="5"/>
  <c r="BL59" i="5" s="1"/>
  <c r="K60" i="5"/>
  <c r="G61" i="5"/>
  <c r="C62" i="5"/>
  <c r="BL62" i="5" s="1"/>
  <c r="G63" i="5"/>
  <c r="D65" i="5"/>
  <c r="G66" i="5"/>
  <c r="C67" i="5"/>
  <c r="BL67" i="5" s="1"/>
  <c r="J68" i="5"/>
  <c r="L69" i="5"/>
  <c r="C71" i="5"/>
  <c r="BL71" i="5" s="1"/>
  <c r="H72" i="5"/>
  <c r="L73" i="5"/>
  <c r="G76" i="5"/>
  <c r="H81" i="5"/>
  <c r="G87" i="5"/>
  <c r="K89" i="5"/>
  <c r="U89" i="5" s="1"/>
  <c r="J90" i="5"/>
  <c r="D97" i="5"/>
  <c r="I119" i="5"/>
  <c r="D121" i="5"/>
  <c r="F123" i="5"/>
  <c r="D127" i="5"/>
  <c r="F129" i="5"/>
  <c r="G162" i="5"/>
  <c r="K207" i="5"/>
  <c r="U207" i="5" s="1"/>
  <c r="F2" i="5"/>
  <c r="I3" i="5"/>
  <c r="W3" i="5" s="1"/>
  <c r="E4" i="5"/>
  <c r="AH4" i="5" s="1"/>
  <c r="AI4" i="5" s="1"/>
  <c r="H5" i="5"/>
  <c r="D7" i="5"/>
  <c r="L7" i="5"/>
  <c r="J9" i="5"/>
  <c r="E10" i="5"/>
  <c r="AH10" i="5" s="1"/>
  <c r="AI10" i="5" s="1"/>
  <c r="K11" i="5"/>
  <c r="U11" i="5" s="1"/>
  <c r="E12" i="5"/>
  <c r="AH12" i="5" s="1"/>
  <c r="AI12" i="5" s="1"/>
  <c r="I13" i="5"/>
  <c r="W13" i="5" s="1"/>
  <c r="D14" i="5"/>
  <c r="K15" i="5"/>
  <c r="H16" i="5"/>
  <c r="C17" i="5"/>
  <c r="BL17" i="5" s="1"/>
  <c r="J18" i="5"/>
  <c r="E19" i="5"/>
  <c r="AH19" i="5" s="1"/>
  <c r="AI19" i="5" s="1"/>
  <c r="J20" i="5"/>
  <c r="K22" i="5"/>
  <c r="U22" i="5" s="1"/>
  <c r="J24" i="5"/>
  <c r="F25" i="5"/>
  <c r="J26" i="5"/>
  <c r="D27" i="5"/>
  <c r="H29" i="5"/>
  <c r="D30" i="5"/>
  <c r="K31" i="5"/>
  <c r="G32" i="5"/>
  <c r="K34" i="5"/>
  <c r="G35" i="5"/>
  <c r="D36" i="5"/>
  <c r="L37" i="5"/>
  <c r="F38" i="5"/>
  <c r="I40" i="5"/>
  <c r="W40" i="5" s="1"/>
  <c r="E41" i="5"/>
  <c r="AH41" i="5" s="1"/>
  <c r="AI41" i="5" s="1"/>
  <c r="I43" i="5"/>
  <c r="W43" i="5" s="1"/>
  <c r="D44" i="5"/>
  <c r="J45" i="5"/>
  <c r="L47" i="5"/>
  <c r="G48" i="5"/>
  <c r="AZ48" i="5" s="1"/>
  <c r="C49" i="5"/>
  <c r="BL49" i="5" s="1"/>
  <c r="H50" i="5"/>
  <c r="I52" i="5"/>
  <c r="D53" i="5"/>
  <c r="I54" i="5"/>
  <c r="W54" i="5" s="1"/>
  <c r="E55" i="5"/>
  <c r="AH55" i="5" s="1"/>
  <c r="AI55" i="5" s="1"/>
  <c r="I56" i="5"/>
  <c r="W56" i="5" s="1"/>
  <c r="E57" i="5"/>
  <c r="AH57" i="5" s="1"/>
  <c r="AI57" i="5" s="1"/>
  <c r="I58" i="5"/>
  <c r="W58" i="5" s="1"/>
  <c r="D59" i="5"/>
  <c r="L60" i="5"/>
  <c r="H61" i="5"/>
  <c r="L62" i="5"/>
  <c r="H63" i="5"/>
  <c r="K64" i="5"/>
  <c r="U64" i="5" s="1"/>
  <c r="E65" i="5"/>
  <c r="AH65" i="5" s="1"/>
  <c r="AI65" i="5" s="1"/>
  <c r="H66" i="5"/>
  <c r="D67" i="5"/>
  <c r="K68" i="5"/>
  <c r="U68" i="5" s="1"/>
  <c r="D71" i="5"/>
  <c r="I72" i="5"/>
  <c r="W72" i="5" s="1"/>
  <c r="H76" i="5"/>
  <c r="I81" i="5"/>
  <c r="W81" i="5" s="1"/>
  <c r="E86" i="5"/>
  <c r="AH86" i="5" s="1"/>
  <c r="AI86" i="5" s="1"/>
  <c r="H87" i="5"/>
  <c r="L88" i="5"/>
  <c r="K97" i="5"/>
  <c r="G112" i="5"/>
  <c r="H121" i="5"/>
  <c r="I125" i="5"/>
  <c r="W125" i="5" s="1"/>
  <c r="I127" i="5"/>
  <c r="W127" i="5" s="1"/>
  <c r="F131" i="5"/>
  <c r="G2" i="5"/>
  <c r="I5" i="5"/>
  <c r="W5" i="5" s="1"/>
  <c r="C6" i="5"/>
  <c r="BL6" i="5" s="1"/>
  <c r="J6" i="5"/>
  <c r="E7" i="5"/>
  <c r="AH7" i="5" s="1"/>
  <c r="AI7" i="5" s="1"/>
  <c r="G8" i="5"/>
  <c r="F10" i="5"/>
  <c r="L11" i="5"/>
  <c r="F12" i="5"/>
  <c r="J13" i="5"/>
  <c r="E14" i="5"/>
  <c r="AH14" i="5" s="1"/>
  <c r="AI14" i="5" s="1"/>
  <c r="L15" i="5"/>
  <c r="D17" i="5"/>
  <c r="K18" i="5"/>
  <c r="U18" i="5" s="1"/>
  <c r="F19" i="5"/>
  <c r="E21" i="5"/>
  <c r="AH21" i="5" s="1"/>
  <c r="AI21" i="5" s="1"/>
  <c r="L22" i="5"/>
  <c r="G23" i="5"/>
  <c r="K24" i="5"/>
  <c r="G25" i="5"/>
  <c r="E27" i="5"/>
  <c r="AH27" i="5" s="1"/>
  <c r="AI27" i="5" s="1"/>
  <c r="L28" i="5"/>
  <c r="I29" i="5"/>
  <c r="W29" i="5" s="1"/>
  <c r="E30" i="5"/>
  <c r="AH30" i="5" s="1"/>
  <c r="AI30" i="5" s="1"/>
  <c r="L31" i="5"/>
  <c r="H32" i="5"/>
  <c r="D33" i="5"/>
  <c r="L34" i="5"/>
  <c r="H35" i="5"/>
  <c r="E36" i="5"/>
  <c r="AH36" i="5" s="1"/>
  <c r="AI36" i="5" s="1"/>
  <c r="G38" i="5"/>
  <c r="C39" i="5"/>
  <c r="BL39" i="5" s="1"/>
  <c r="J40" i="5"/>
  <c r="F41" i="5"/>
  <c r="C42" i="5"/>
  <c r="BL42" i="5" s="1"/>
  <c r="K45" i="5"/>
  <c r="U45" i="5" s="1"/>
  <c r="E46" i="5"/>
  <c r="AH46" i="5" s="1"/>
  <c r="AI46" i="5" s="1"/>
  <c r="H48" i="5"/>
  <c r="D49" i="5"/>
  <c r="D51" i="5"/>
  <c r="J52" i="5"/>
  <c r="J54" i="5"/>
  <c r="F55" i="5"/>
  <c r="J56" i="5"/>
  <c r="F57" i="5"/>
  <c r="J58" i="5"/>
  <c r="E59" i="5"/>
  <c r="I61" i="5"/>
  <c r="D62" i="5"/>
  <c r="I66" i="5"/>
  <c r="W66" i="5" s="1"/>
  <c r="J72" i="5"/>
  <c r="I76" i="5"/>
  <c r="W76" i="5" s="1"/>
  <c r="E80" i="5"/>
  <c r="K81" i="5"/>
  <c r="U81" i="5" s="1"/>
  <c r="C85" i="5"/>
  <c r="BL85" i="5" s="1"/>
  <c r="C92" i="5"/>
  <c r="BL92" i="5" s="1"/>
  <c r="D99" i="5"/>
  <c r="I101" i="5"/>
  <c r="W101" i="5" s="1"/>
  <c r="D103" i="5"/>
  <c r="K112" i="5"/>
  <c r="D114" i="5"/>
  <c r="L133" i="5"/>
  <c r="E135" i="5"/>
  <c r="H150" i="5"/>
  <c r="I181" i="5"/>
  <c r="I93" i="5"/>
  <c r="W93" i="5" s="1"/>
  <c r="D94" i="5"/>
  <c r="K96" i="5"/>
  <c r="E97" i="5"/>
  <c r="AH97" i="5" s="1"/>
  <c r="AI97" i="5" s="1"/>
  <c r="I100" i="5"/>
  <c r="W100" i="5" s="1"/>
  <c r="C101" i="5"/>
  <c r="BL101" i="5" s="1"/>
  <c r="BP101" i="5" s="1"/>
  <c r="J102" i="5"/>
  <c r="E103" i="5"/>
  <c r="AH103" i="5" s="1"/>
  <c r="AI103" i="5" s="1"/>
  <c r="L104" i="5"/>
  <c r="F105" i="5"/>
  <c r="I106" i="5"/>
  <c r="W106" i="5" s="1"/>
  <c r="D107" i="5"/>
  <c r="H108" i="5"/>
  <c r="G110" i="5"/>
  <c r="K111" i="5"/>
  <c r="C112" i="5"/>
  <c r="BL112" i="5" s="1"/>
  <c r="BN112" i="5" s="1"/>
  <c r="L112" i="5"/>
  <c r="F113" i="5"/>
  <c r="I114" i="5"/>
  <c r="W114" i="5" s="1"/>
  <c r="C115" i="5"/>
  <c r="BL115" i="5" s="1"/>
  <c r="BN115" i="5" s="1"/>
  <c r="L115" i="5"/>
  <c r="F116" i="5"/>
  <c r="K117" i="5"/>
  <c r="U117" i="5" s="1"/>
  <c r="F118" i="5"/>
  <c r="J119" i="5"/>
  <c r="D120" i="5"/>
  <c r="I121" i="5"/>
  <c r="W121" i="5" s="1"/>
  <c r="C122" i="5"/>
  <c r="BL122" i="5" s="1"/>
  <c r="G123" i="5"/>
  <c r="I124" i="5"/>
  <c r="W124" i="5" s="1"/>
  <c r="C125" i="5"/>
  <c r="F126" i="5"/>
  <c r="C128" i="5"/>
  <c r="BL128" i="5" s="1"/>
  <c r="G129" i="5"/>
  <c r="L130" i="5"/>
  <c r="G131" i="5"/>
  <c r="J132" i="5"/>
  <c r="C133" i="5"/>
  <c r="BL133" i="5" s="1"/>
  <c r="H134" i="5"/>
  <c r="J135" i="5"/>
  <c r="E136" i="5"/>
  <c r="AH136" i="5" s="1"/>
  <c r="AI136" i="5" s="1"/>
  <c r="G151" i="5"/>
  <c r="E154" i="5"/>
  <c r="AH154" i="5" s="1"/>
  <c r="AI154" i="5" s="1"/>
  <c r="D157" i="5"/>
  <c r="L164" i="5"/>
  <c r="G167" i="5"/>
  <c r="C173" i="5"/>
  <c r="BL173" i="5" s="1"/>
  <c r="I176" i="5"/>
  <c r="W176" i="5" s="1"/>
  <c r="J181" i="5"/>
  <c r="C186" i="5"/>
  <c r="BL186" i="5" s="1"/>
  <c r="E197" i="5"/>
  <c r="AH197" i="5" s="1"/>
  <c r="AI197" i="5" s="1"/>
  <c r="C205" i="5"/>
  <c r="BL205" i="5" s="1"/>
  <c r="E208" i="5"/>
  <c r="AH208" i="5" s="1"/>
  <c r="AI208" i="5" s="1"/>
  <c r="H211" i="5"/>
  <c r="E216" i="5"/>
  <c r="AH216" i="5" s="1"/>
  <c r="AI216" i="5" s="1"/>
  <c r="K219" i="5"/>
  <c r="U219" i="5" s="1"/>
  <c r="K91" i="5"/>
  <c r="U91" i="5" s="1"/>
  <c r="E92" i="5"/>
  <c r="J93" i="5"/>
  <c r="E94" i="5"/>
  <c r="AH94" i="5" s="1"/>
  <c r="AI94" i="5" s="1"/>
  <c r="H95" i="5"/>
  <c r="L96" i="5"/>
  <c r="F97" i="5"/>
  <c r="L98" i="5"/>
  <c r="E99" i="5"/>
  <c r="AH99" i="5" s="1"/>
  <c r="AI99" i="5" s="1"/>
  <c r="J100" i="5"/>
  <c r="D101" i="5"/>
  <c r="K102" i="5"/>
  <c r="U102" i="5" s="1"/>
  <c r="F103" i="5"/>
  <c r="J106" i="5"/>
  <c r="E107" i="5"/>
  <c r="AH107" i="5" s="1"/>
  <c r="AI107" i="5" s="1"/>
  <c r="I108" i="5"/>
  <c r="C109" i="5"/>
  <c r="BL109" i="5" s="1"/>
  <c r="H110" i="5"/>
  <c r="L111" i="5"/>
  <c r="D112" i="5"/>
  <c r="G113" i="5"/>
  <c r="J114" i="5"/>
  <c r="D115" i="5"/>
  <c r="G116" i="5"/>
  <c r="L117" i="5"/>
  <c r="G118" i="5"/>
  <c r="K119" i="5"/>
  <c r="U119" i="5" s="1"/>
  <c r="E120" i="5"/>
  <c r="AH120" i="5" s="1"/>
  <c r="AI120" i="5" s="1"/>
  <c r="J121" i="5"/>
  <c r="D122" i="5"/>
  <c r="H123" i="5"/>
  <c r="D125" i="5"/>
  <c r="G126" i="5"/>
  <c r="J127" i="5"/>
  <c r="H129" i="5"/>
  <c r="C130" i="5"/>
  <c r="BL130" i="5" s="1"/>
  <c r="H131" i="5"/>
  <c r="D133" i="5"/>
  <c r="K135" i="5"/>
  <c r="U135" i="5" s="1"/>
  <c r="D139" i="5"/>
  <c r="G142" i="5"/>
  <c r="I145" i="5"/>
  <c r="W145" i="5" s="1"/>
  <c r="H151" i="5"/>
  <c r="I154" i="5"/>
  <c r="W154" i="5" s="1"/>
  <c r="F160" i="5"/>
  <c r="K167" i="5"/>
  <c r="U167" i="5" s="1"/>
  <c r="E170" i="5"/>
  <c r="AH170" i="5" s="1"/>
  <c r="AI170" i="5" s="1"/>
  <c r="H173" i="5"/>
  <c r="C178" i="5"/>
  <c r="BL178" i="5" s="1"/>
  <c r="C183" i="5"/>
  <c r="BL183" i="5" s="1"/>
  <c r="G186" i="5"/>
  <c r="D188" i="5"/>
  <c r="E202" i="5"/>
  <c r="AH202" i="5" s="1"/>
  <c r="AI202" i="5" s="1"/>
  <c r="I205" i="5"/>
  <c r="F208" i="5"/>
  <c r="G213" i="5"/>
  <c r="I216" i="5"/>
  <c r="W216" i="5" s="1"/>
  <c r="L219" i="5"/>
  <c r="K222" i="5"/>
  <c r="U222" i="5" s="1"/>
  <c r="H69" i="5"/>
  <c r="C70" i="5"/>
  <c r="BL70" i="5" s="1"/>
  <c r="BN70" i="5" s="1"/>
  <c r="K71" i="5"/>
  <c r="F72" i="5"/>
  <c r="C75" i="5"/>
  <c r="BL75" i="5" s="1"/>
  <c r="J76" i="5"/>
  <c r="F77" i="5"/>
  <c r="L78" i="5"/>
  <c r="H79" i="5"/>
  <c r="C80" i="5"/>
  <c r="BL80" i="5" s="1"/>
  <c r="E82" i="5"/>
  <c r="AH82" i="5" s="1"/>
  <c r="AI82" i="5" s="1"/>
  <c r="H84" i="5"/>
  <c r="L85" i="5"/>
  <c r="G86" i="5"/>
  <c r="D87" i="5"/>
  <c r="I88" i="5"/>
  <c r="W88" i="5" s="1"/>
  <c r="L89" i="5"/>
  <c r="F90" i="5"/>
  <c r="L91" i="5"/>
  <c r="F92" i="5"/>
  <c r="K93" i="5"/>
  <c r="U93" i="5" s="1"/>
  <c r="F94" i="5"/>
  <c r="C96" i="5"/>
  <c r="BL96" i="5" s="1"/>
  <c r="G97" i="5"/>
  <c r="F99" i="5"/>
  <c r="K100" i="5"/>
  <c r="E101" i="5"/>
  <c r="AH101" i="5" s="1"/>
  <c r="AI101" i="5" s="1"/>
  <c r="L102" i="5"/>
  <c r="G103" i="5"/>
  <c r="G105" i="5"/>
  <c r="K106" i="5"/>
  <c r="F107" i="5"/>
  <c r="J108" i="5"/>
  <c r="D109" i="5"/>
  <c r="I110" i="5"/>
  <c r="W110" i="5" s="1"/>
  <c r="H113" i="5"/>
  <c r="K114" i="5"/>
  <c r="H116" i="5"/>
  <c r="H118" i="5"/>
  <c r="L119" i="5"/>
  <c r="F120" i="5"/>
  <c r="K121" i="5"/>
  <c r="E122" i="5"/>
  <c r="AH122" i="5" s="1"/>
  <c r="AI122" i="5" s="1"/>
  <c r="I123" i="5"/>
  <c r="W123" i="5" s="1"/>
  <c r="J124" i="5"/>
  <c r="E125" i="5"/>
  <c r="AH125" i="5" s="1"/>
  <c r="AI125" i="5" s="1"/>
  <c r="H126" i="5"/>
  <c r="K127" i="5"/>
  <c r="U127" i="5" s="1"/>
  <c r="D128" i="5"/>
  <c r="I129" i="5"/>
  <c r="D130" i="5"/>
  <c r="I131" i="5"/>
  <c r="W131" i="5" s="1"/>
  <c r="K132" i="5"/>
  <c r="E133" i="5"/>
  <c r="AH133" i="5" s="1"/>
  <c r="AI133" i="5" s="1"/>
  <c r="I134" i="5"/>
  <c r="L135" i="5"/>
  <c r="I136" i="5"/>
  <c r="W136" i="5" s="1"/>
  <c r="E139" i="5"/>
  <c r="AH139" i="5" s="1"/>
  <c r="AI139" i="5" s="1"/>
  <c r="H142" i="5"/>
  <c r="J145" i="5"/>
  <c r="D148" i="5"/>
  <c r="J154" i="5"/>
  <c r="J157" i="5"/>
  <c r="J160" i="5"/>
  <c r="G163" i="5"/>
  <c r="L167" i="5"/>
  <c r="I173" i="5"/>
  <c r="I178" i="5"/>
  <c r="W178" i="5" s="1"/>
  <c r="C180" i="5"/>
  <c r="BL180" i="5" s="1"/>
  <c r="H183" i="5"/>
  <c r="H186" i="5"/>
  <c r="G188" i="5"/>
  <c r="G191" i="5"/>
  <c r="I194" i="5"/>
  <c r="W194" i="5" s="1"/>
  <c r="I197" i="5"/>
  <c r="W197" i="5" s="1"/>
  <c r="J202" i="5"/>
  <c r="K208" i="5"/>
  <c r="U208" i="5" s="1"/>
  <c r="H213" i="5"/>
  <c r="J216" i="5"/>
  <c r="L68" i="5"/>
  <c r="I69" i="5"/>
  <c r="W69" i="5" s="1"/>
  <c r="D70" i="5"/>
  <c r="L71" i="5"/>
  <c r="G72" i="5"/>
  <c r="C73" i="5"/>
  <c r="BL73" i="5" s="1"/>
  <c r="I74" i="5"/>
  <c r="W74" i="5" s="1"/>
  <c r="D75" i="5"/>
  <c r="K76" i="5"/>
  <c r="G77" i="5"/>
  <c r="I79" i="5"/>
  <c r="W79" i="5" s="1"/>
  <c r="D80" i="5"/>
  <c r="J81" i="5"/>
  <c r="F82" i="5"/>
  <c r="C83" i="5"/>
  <c r="BL83" i="5" s="1"/>
  <c r="BN83" i="5" s="1"/>
  <c r="I84" i="5"/>
  <c r="H86" i="5"/>
  <c r="E87" i="5"/>
  <c r="J88" i="5"/>
  <c r="C89" i="5"/>
  <c r="BL89" i="5" s="1"/>
  <c r="G90" i="5"/>
  <c r="G92" i="5"/>
  <c r="L93" i="5"/>
  <c r="G94" i="5"/>
  <c r="I95" i="5"/>
  <c r="W95" i="5" s="1"/>
  <c r="D96" i="5"/>
  <c r="H97" i="5"/>
  <c r="C98" i="5"/>
  <c r="BL98" i="5" s="1"/>
  <c r="G99" i="5"/>
  <c r="L100" i="5"/>
  <c r="F101" i="5"/>
  <c r="H103" i="5"/>
  <c r="C104" i="5"/>
  <c r="BL104" i="5" s="1"/>
  <c r="L106" i="5"/>
  <c r="G107" i="5"/>
  <c r="E109" i="5"/>
  <c r="AH109" i="5" s="1"/>
  <c r="AI109" i="5" s="1"/>
  <c r="J110" i="5"/>
  <c r="C111" i="5"/>
  <c r="E112" i="5"/>
  <c r="AH112" i="5" s="1"/>
  <c r="AI112" i="5" s="1"/>
  <c r="I113" i="5"/>
  <c r="W113" i="5" s="1"/>
  <c r="E115" i="5"/>
  <c r="AH115" i="5" s="1"/>
  <c r="AI115" i="5" s="1"/>
  <c r="I116" i="5"/>
  <c r="C117" i="5"/>
  <c r="BL117" i="5" s="1"/>
  <c r="BP117" i="5" s="1"/>
  <c r="G120" i="5"/>
  <c r="F122" i="5"/>
  <c r="K124" i="5"/>
  <c r="U124" i="5" s="1"/>
  <c r="F125" i="5"/>
  <c r="E128" i="5"/>
  <c r="AH128" i="5" s="1"/>
  <c r="AI128" i="5" s="1"/>
  <c r="J129" i="5"/>
  <c r="J131" i="5"/>
  <c r="C132" i="5"/>
  <c r="BL132" i="5" s="1"/>
  <c r="BN132" i="5" s="1"/>
  <c r="L132" i="5"/>
  <c r="F133" i="5"/>
  <c r="J134" i="5"/>
  <c r="C135" i="5"/>
  <c r="BL135" i="5" s="1"/>
  <c r="J136" i="5"/>
  <c r="J139" i="5"/>
  <c r="E144" i="5"/>
  <c r="AH144" i="5" s="1"/>
  <c r="AI144" i="5" s="1"/>
  <c r="J148" i="5"/>
  <c r="K160" i="5"/>
  <c r="U160" i="5" s="1"/>
  <c r="K163" i="5"/>
  <c r="U163" i="5" s="1"/>
  <c r="F166" i="5"/>
  <c r="J170" i="5"/>
  <c r="D175" i="5"/>
  <c r="D180" i="5"/>
  <c r="I183" i="5"/>
  <c r="W183" i="5" s="1"/>
  <c r="H188" i="5"/>
  <c r="H191" i="5"/>
  <c r="F193" i="5"/>
  <c r="G196" i="5"/>
  <c r="F199" i="5"/>
  <c r="K202" i="5"/>
  <c r="G218" i="5"/>
  <c r="C91" i="5"/>
  <c r="BL91" i="5" s="1"/>
  <c r="BP91" i="5" s="1"/>
  <c r="H92" i="5"/>
  <c r="C93" i="5"/>
  <c r="BL93" i="5" s="1"/>
  <c r="J95" i="5"/>
  <c r="E96" i="5"/>
  <c r="AH96" i="5" s="1"/>
  <c r="AI96" i="5" s="1"/>
  <c r="I97" i="5"/>
  <c r="W97" i="5" s="1"/>
  <c r="D98" i="5"/>
  <c r="H99" i="5"/>
  <c r="G101" i="5"/>
  <c r="I103" i="5"/>
  <c r="W103" i="5" s="1"/>
  <c r="D104" i="5"/>
  <c r="H105" i="5"/>
  <c r="K108" i="5"/>
  <c r="U108" i="5" s="1"/>
  <c r="F109" i="5"/>
  <c r="K110" i="5"/>
  <c r="D111" i="5"/>
  <c r="L114" i="5"/>
  <c r="F115" i="5"/>
  <c r="J116" i="5"/>
  <c r="D117" i="5"/>
  <c r="I118" i="5"/>
  <c r="W118" i="5" s="1"/>
  <c r="C119" i="5"/>
  <c r="BL119" i="5" s="1"/>
  <c r="H120" i="5"/>
  <c r="L121" i="5"/>
  <c r="G122" i="5"/>
  <c r="J123" i="5"/>
  <c r="L124" i="5"/>
  <c r="G125" i="5"/>
  <c r="I126" i="5"/>
  <c r="W126" i="5" s="1"/>
  <c r="L127" i="5"/>
  <c r="F128" i="5"/>
  <c r="K129" i="5"/>
  <c r="U129" i="5" s="1"/>
  <c r="E130" i="5"/>
  <c r="AH130" i="5" s="1"/>
  <c r="AI130" i="5" s="1"/>
  <c r="K131" i="5"/>
  <c r="D132" i="5"/>
  <c r="G133" i="5"/>
  <c r="C141" i="5"/>
  <c r="BL141" i="5" s="1"/>
  <c r="F144" i="5"/>
  <c r="D153" i="5"/>
  <c r="E156" i="5"/>
  <c r="AH156" i="5" s="1"/>
  <c r="AI156" i="5" s="1"/>
  <c r="D159" i="5"/>
  <c r="L163" i="5"/>
  <c r="G166" i="5"/>
  <c r="I175" i="5"/>
  <c r="W175" i="5" s="1"/>
  <c r="J180" i="5"/>
  <c r="G193" i="5"/>
  <c r="G199" i="5"/>
  <c r="G201" i="5"/>
  <c r="F207" i="5"/>
  <c r="C210" i="5"/>
  <c r="BL210" i="5" s="1"/>
  <c r="E215" i="5"/>
  <c r="AH215" i="5" s="1"/>
  <c r="AI215" i="5" s="1"/>
  <c r="H218" i="5"/>
  <c r="F221" i="5"/>
  <c r="F224" i="5"/>
  <c r="I92" i="5"/>
  <c r="W92" i="5" s="1"/>
  <c r="D93" i="5"/>
  <c r="H94" i="5"/>
  <c r="K95" i="5"/>
  <c r="F96" i="5"/>
  <c r="J97" i="5"/>
  <c r="E98" i="5"/>
  <c r="AH98" i="5" s="1"/>
  <c r="AI98" i="5" s="1"/>
  <c r="I99" i="5"/>
  <c r="W99" i="5" s="1"/>
  <c r="C100" i="5"/>
  <c r="BL100" i="5" s="1"/>
  <c r="H101" i="5"/>
  <c r="C102" i="5"/>
  <c r="BL102" i="5" s="1"/>
  <c r="J103" i="5"/>
  <c r="E104" i="5"/>
  <c r="AH104" i="5" s="1"/>
  <c r="AI104" i="5" s="1"/>
  <c r="I105" i="5"/>
  <c r="W105" i="5" s="1"/>
  <c r="C106" i="5"/>
  <c r="BL106" i="5" s="1"/>
  <c r="BP106" i="5" s="1"/>
  <c r="H107" i="5"/>
  <c r="C108" i="5"/>
  <c r="BL108" i="5" s="1"/>
  <c r="L108" i="5"/>
  <c r="G109" i="5"/>
  <c r="L110" i="5"/>
  <c r="E111" i="5"/>
  <c r="AH111" i="5" s="1"/>
  <c r="AI111" i="5" s="1"/>
  <c r="F112" i="5"/>
  <c r="J113" i="5"/>
  <c r="C114" i="5"/>
  <c r="BL114" i="5" s="1"/>
  <c r="G115" i="5"/>
  <c r="E117" i="5"/>
  <c r="AH117" i="5" s="1"/>
  <c r="AI117" i="5" s="1"/>
  <c r="I120" i="5"/>
  <c r="W120" i="5" s="1"/>
  <c r="C121" i="5"/>
  <c r="BL121" i="5" s="1"/>
  <c r="H122" i="5"/>
  <c r="K123" i="5"/>
  <c r="U123" i="5" s="1"/>
  <c r="C124" i="5"/>
  <c r="BL124" i="5" s="1"/>
  <c r="H125" i="5"/>
  <c r="J126" i="5"/>
  <c r="C127" i="5"/>
  <c r="BL127" i="5" s="1"/>
  <c r="G128" i="5"/>
  <c r="L129" i="5"/>
  <c r="F130" i="5"/>
  <c r="L131" i="5"/>
  <c r="E132" i="5"/>
  <c r="H133" i="5"/>
  <c r="K134" i="5"/>
  <c r="D135" i="5"/>
  <c r="G138" i="5"/>
  <c r="D141" i="5"/>
  <c r="E147" i="5"/>
  <c r="AH147" i="5" s="1"/>
  <c r="AI147" i="5" s="1"/>
  <c r="C150" i="5"/>
  <c r="BL150" i="5" s="1"/>
  <c r="E153" i="5"/>
  <c r="AH153" i="5" s="1"/>
  <c r="AI153" i="5" s="1"/>
  <c r="J156" i="5"/>
  <c r="E159" i="5"/>
  <c r="AH159" i="5" s="1"/>
  <c r="AI159" i="5" s="1"/>
  <c r="C162" i="5"/>
  <c r="BL162" i="5" s="1"/>
  <c r="L166" i="5"/>
  <c r="F169" i="5"/>
  <c r="J175" i="5"/>
  <c r="C182" i="5"/>
  <c r="BL182" i="5" s="1"/>
  <c r="E190" i="5"/>
  <c r="AH190" i="5" s="1"/>
  <c r="AI190" i="5" s="1"/>
  <c r="L196" i="5"/>
  <c r="H201" i="5"/>
  <c r="D204" i="5"/>
  <c r="D210" i="5"/>
  <c r="G221" i="5"/>
  <c r="J224" i="5"/>
  <c r="H70" i="5"/>
  <c r="E71" i="5"/>
  <c r="AH71" i="5" s="1"/>
  <c r="AI71" i="5" s="1"/>
  <c r="K72" i="5"/>
  <c r="U72" i="5" s="1"/>
  <c r="F73" i="5"/>
  <c r="C74" i="5"/>
  <c r="BL74" i="5" s="1"/>
  <c r="BP74" i="5" s="1"/>
  <c r="H75" i="5"/>
  <c r="C76" i="5"/>
  <c r="J77" i="5"/>
  <c r="F78" i="5"/>
  <c r="L79" i="5"/>
  <c r="H80" i="5"/>
  <c r="D81" i="5"/>
  <c r="J82" i="5"/>
  <c r="G83" i="5"/>
  <c r="C84" i="5"/>
  <c r="BL84" i="5" s="1"/>
  <c r="L84" i="5"/>
  <c r="F85" i="5"/>
  <c r="L86" i="5"/>
  <c r="I87" i="5"/>
  <c r="W87" i="5" s="1"/>
  <c r="C88" i="5"/>
  <c r="BL88" i="5" s="1"/>
  <c r="F89" i="5"/>
  <c r="K90" i="5"/>
  <c r="F91" i="5"/>
  <c r="K92" i="5"/>
  <c r="U92" i="5" s="1"/>
  <c r="F93" i="5"/>
  <c r="I94" i="5"/>
  <c r="W94" i="5" s="1"/>
  <c r="C95" i="5"/>
  <c r="BL95" i="5" s="1"/>
  <c r="L97" i="5"/>
  <c r="G98" i="5"/>
  <c r="E100" i="5"/>
  <c r="AH100" i="5" s="1"/>
  <c r="AI100" i="5" s="1"/>
  <c r="J101" i="5"/>
  <c r="E102" i="5"/>
  <c r="AH102" i="5" s="1"/>
  <c r="AI102" i="5" s="1"/>
  <c r="L103" i="5"/>
  <c r="G104" i="5"/>
  <c r="E106" i="5"/>
  <c r="AH106" i="5" s="1"/>
  <c r="AI106" i="5" s="1"/>
  <c r="J107" i="5"/>
  <c r="I109" i="5"/>
  <c r="W109" i="5" s="1"/>
  <c r="C110" i="5"/>
  <c r="BL110" i="5" s="1"/>
  <c r="G111" i="5"/>
  <c r="H112" i="5"/>
  <c r="K113" i="5"/>
  <c r="E114" i="5"/>
  <c r="AH114" i="5" s="1"/>
  <c r="AI114" i="5" s="1"/>
  <c r="I115" i="5"/>
  <c r="W115" i="5" s="1"/>
  <c r="L116" i="5"/>
  <c r="G117" i="5"/>
  <c r="K118" i="5"/>
  <c r="E119" i="5"/>
  <c r="AH119" i="5" s="1"/>
  <c r="AI119" i="5" s="1"/>
  <c r="K120" i="5"/>
  <c r="E121" i="5"/>
  <c r="AH121" i="5" s="1"/>
  <c r="AI121" i="5" s="1"/>
  <c r="I122" i="5"/>
  <c r="W122" i="5" s="1"/>
  <c r="C123" i="5"/>
  <c r="BL123" i="5" s="1"/>
  <c r="L123" i="5"/>
  <c r="E124" i="5"/>
  <c r="J125" i="5"/>
  <c r="K126" i="5"/>
  <c r="U126" i="5" s="1"/>
  <c r="E127" i="5"/>
  <c r="AH127" i="5" s="1"/>
  <c r="AI127" i="5" s="1"/>
  <c r="I128" i="5"/>
  <c r="C129" i="5"/>
  <c r="BL129" i="5" s="1"/>
  <c r="G132" i="5"/>
  <c r="I133" i="5"/>
  <c r="W133" i="5" s="1"/>
  <c r="C134" i="5"/>
  <c r="BL134" i="5" s="1"/>
  <c r="BN134" i="5" s="1"/>
  <c r="F135" i="5"/>
  <c r="L138" i="5"/>
  <c r="C143" i="5"/>
  <c r="BL143" i="5" s="1"/>
  <c r="J147" i="5"/>
  <c r="H162" i="5"/>
  <c r="F165" i="5"/>
  <c r="L169" i="5"/>
  <c r="J172" i="5"/>
  <c r="C174" i="5"/>
  <c r="BL174" i="5" s="1"/>
  <c r="H177" i="5"/>
  <c r="D179" i="5"/>
  <c r="J182" i="5"/>
  <c r="J185" i="5"/>
  <c r="C187" i="5"/>
  <c r="BL187" i="5" s="1"/>
  <c r="BP187" i="5" s="1"/>
  <c r="K190" i="5"/>
  <c r="U190" i="5" s="1"/>
  <c r="J204" i="5"/>
  <c r="F206" i="5"/>
  <c r="G212" i="5"/>
  <c r="C214" i="5"/>
  <c r="BL214" i="5" s="1"/>
  <c r="C217" i="5"/>
  <c r="BL217" i="5" s="1"/>
  <c r="E223" i="5"/>
  <c r="AH223" i="5" s="1"/>
  <c r="AI223" i="5" s="1"/>
  <c r="I70" i="5"/>
  <c r="W70" i="5" s="1"/>
  <c r="F71" i="5"/>
  <c r="L72" i="5"/>
  <c r="G73" i="5"/>
  <c r="D74" i="5"/>
  <c r="I75" i="5"/>
  <c r="W75" i="5" s="1"/>
  <c r="D76" i="5"/>
  <c r="K77" i="5"/>
  <c r="U77" i="5" s="1"/>
  <c r="G78" i="5"/>
  <c r="E81" i="5"/>
  <c r="AH81" i="5" s="1"/>
  <c r="AI81" i="5" s="1"/>
  <c r="K82" i="5"/>
  <c r="U82" i="5" s="1"/>
  <c r="H83" i="5"/>
  <c r="D84" i="5"/>
  <c r="G85" i="5"/>
  <c r="J87" i="5"/>
  <c r="D88" i="5"/>
  <c r="G89" i="5"/>
  <c r="L90" i="5"/>
  <c r="G91" i="5"/>
  <c r="L92" i="5"/>
  <c r="G93" i="5"/>
  <c r="J94" i="5"/>
  <c r="D95" i="5"/>
  <c r="H96" i="5"/>
  <c r="H98" i="5"/>
  <c r="K99" i="5"/>
  <c r="F100" i="5"/>
  <c r="K101" i="5"/>
  <c r="F102" i="5"/>
  <c r="H104" i="5"/>
  <c r="K105" i="5"/>
  <c r="U105" i="5" s="1"/>
  <c r="F106" i="5"/>
  <c r="K107" i="5"/>
  <c r="U107" i="5" s="1"/>
  <c r="E108" i="5"/>
  <c r="J109" i="5"/>
  <c r="D110" i="5"/>
  <c r="H111" i="5"/>
  <c r="L113" i="5"/>
  <c r="C116" i="5"/>
  <c r="BL116" i="5" s="1"/>
  <c r="BN116" i="5" s="1"/>
  <c r="L118" i="5"/>
  <c r="F119" i="5"/>
  <c r="F121" i="5"/>
  <c r="J122" i="5"/>
  <c r="F124" i="5"/>
  <c r="C126" i="5"/>
  <c r="BL126" i="5" s="1"/>
  <c r="BP126" i="5" s="1"/>
  <c r="L126" i="5"/>
  <c r="F127" i="5"/>
  <c r="J128" i="5"/>
  <c r="H130" i="5"/>
  <c r="C131" i="5"/>
  <c r="BL131" i="5" s="1"/>
  <c r="H132" i="5"/>
  <c r="D134" i="5"/>
  <c r="G135" i="5"/>
  <c r="C137" i="5"/>
  <c r="BL137" i="5" s="1"/>
  <c r="D146" i="5"/>
  <c r="G152" i="5"/>
  <c r="D155" i="5"/>
  <c r="E158" i="5"/>
  <c r="AH158" i="5" s="1"/>
  <c r="AI158" i="5" s="1"/>
  <c r="K165" i="5"/>
  <c r="E168" i="5"/>
  <c r="AH168" i="5" s="1"/>
  <c r="AI168" i="5" s="1"/>
  <c r="D174" i="5"/>
  <c r="I177" i="5"/>
  <c r="W177" i="5" s="1"/>
  <c r="I179" i="5"/>
  <c r="W179" i="5" s="1"/>
  <c r="C184" i="5"/>
  <c r="BL184" i="5" s="1"/>
  <c r="I187" i="5"/>
  <c r="W187" i="5" s="1"/>
  <c r="C189" i="5"/>
  <c r="BL189" i="5" s="1"/>
  <c r="C195" i="5"/>
  <c r="BL195" i="5" s="1"/>
  <c r="G206" i="5"/>
  <c r="L212" i="5"/>
  <c r="G214" i="5"/>
  <c r="D217" i="5"/>
  <c r="E220" i="5"/>
  <c r="AH220" i="5" s="1"/>
  <c r="AI220" i="5" s="1"/>
  <c r="F223" i="5"/>
  <c r="J70" i="5"/>
  <c r="G71" i="5"/>
  <c r="H73" i="5"/>
  <c r="E74" i="5"/>
  <c r="AH74" i="5" s="1"/>
  <c r="AI74" i="5" s="1"/>
  <c r="J75" i="5"/>
  <c r="E76" i="5"/>
  <c r="AH76" i="5" s="1"/>
  <c r="AI76" i="5" s="1"/>
  <c r="L77" i="5"/>
  <c r="H78" i="5"/>
  <c r="C79" i="5"/>
  <c r="BL79" i="5" s="1"/>
  <c r="I80" i="5"/>
  <c r="W80" i="5" s="1"/>
  <c r="F81" i="5"/>
  <c r="L82" i="5"/>
  <c r="I83" i="5"/>
  <c r="W83" i="5" s="1"/>
  <c r="C86" i="5"/>
  <c r="BL86" i="5" s="1"/>
  <c r="BP86" i="5" s="1"/>
  <c r="K87" i="5"/>
  <c r="E88" i="5"/>
  <c r="AH88" i="5" s="1"/>
  <c r="AI88" i="5" s="1"/>
  <c r="H89" i="5"/>
  <c r="H91" i="5"/>
  <c r="K94" i="5"/>
  <c r="U94" i="5" s="1"/>
  <c r="E95" i="5"/>
  <c r="AH95" i="5" s="1"/>
  <c r="AI95" i="5" s="1"/>
  <c r="C97" i="5"/>
  <c r="BL97" i="5" s="1"/>
  <c r="I98" i="5"/>
  <c r="W98" i="5" s="1"/>
  <c r="C99" i="5"/>
  <c r="BL99" i="5" s="1"/>
  <c r="L99" i="5"/>
  <c r="G100" i="5"/>
  <c r="L101" i="5"/>
  <c r="G102" i="5"/>
  <c r="I104" i="5"/>
  <c r="W104" i="5" s="1"/>
  <c r="C105" i="5"/>
  <c r="BL105" i="5" s="1"/>
  <c r="BP105" i="5" s="1"/>
  <c r="L105" i="5"/>
  <c r="G106" i="5"/>
  <c r="L107" i="5"/>
  <c r="F108" i="5"/>
  <c r="I111" i="5"/>
  <c r="W111" i="5" s="1"/>
  <c r="I112" i="5"/>
  <c r="C113" i="5"/>
  <c r="F114" i="5"/>
  <c r="J115" i="5"/>
  <c r="H117" i="5"/>
  <c r="C118" i="5"/>
  <c r="BL118" i="5" s="1"/>
  <c r="BP118" i="5" s="1"/>
  <c r="G119" i="5"/>
  <c r="L120" i="5"/>
  <c r="K122" i="5"/>
  <c r="U122" i="5" s="1"/>
  <c r="D123" i="5"/>
  <c r="K125" i="5"/>
  <c r="U125" i="5" s="1"/>
  <c r="D126" i="5"/>
  <c r="G127" i="5"/>
  <c r="K128" i="5"/>
  <c r="U128" i="5" s="1"/>
  <c r="D129" i="5"/>
  <c r="I130" i="5"/>
  <c r="W130" i="5" s="1"/>
  <c r="D131" i="5"/>
  <c r="J133" i="5"/>
  <c r="E134" i="5"/>
  <c r="AH134" i="5" s="1"/>
  <c r="AI134" i="5" s="1"/>
  <c r="H135" i="5"/>
  <c r="H137" i="5"/>
  <c r="E140" i="5"/>
  <c r="AH140" i="5" s="1"/>
  <c r="AI140" i="5" s="1"/>
  <c r="L143" i="5"/>
  <c r="E146" i="5"/>
  <c r="AH146" i="5" s="1"/>
  <c r="AI146" i="5" s="1"/>
  <c r="E149" i="5"/>
  <c r="AH149" i="5" s="1"/>
  <c r="AI149" i="5" s="1"/>
  <c r="J158" i="5"/>
  <c r="L165" i="5"/>
  <c r="F168" i="5"/>
  <c r="E171" i="5"/>
  <c r="AH171" i="5" s="1"/>
  <c r="AI171" i="5" s="1"/>
  <c r="J174" i="5"/>
  <c r="J179" i="5"/>
  <c r="D184" i="5"/>
  <c r="H189" i="5"/>
  <c r="H192" i="5"/>
  <c r="H195" i="5"/>
  <c r="G198" i="5"/>
  <c r="D203" i="5"/>
  <c r="L206" i="5"/>
  <c r="E209" i="5"/>
  <c r="AH209" i="5" s="1"/>
  <c r="AI209" i="5" s="1"/>
  <c r="J220" i="5"/>
  <c r="K223" i="5"/>
  <c r="D69" i="5"/>
  <c r="K70" i="5"/>
  <c r="U70" i="5" s="1"/>
  <c r="H71" i="5"/>
  <c r="I73" i="5"/>
  <c r="W73" i="5" s="1"/>
  <c r="F76" i="5"/>
  <c r="I78" i="5"/>
  <c r="W78" i="5" s="1"/>
  <c r="D79" i="5"/>
  <c r="J80" i="5"/>
  <c r="J83" i="5"/>
  <c r="E84" i="5"/>
  <c r="H85" i="5"/>
  <c r="D86" i="5"/>
  <c r="L87" i="5"/>
  <c r="F88" i="5"/>
  <c r="I89" i="5"/>
  <c r="W89" i="5" s="1"/>
  <c r="I91" i="5"/>
  <c r="W91" i="5" s="1"/>
  <c r="H93" i="5"/>
  <c r="F95" i="5"/>
  <c r="I96" i="5"/>
  <c r="W96" i="5" s="1"/>
  <c r="J98" i="5"/>
  <c r="H102" i="5"/>
  <c r="C103" i="5"/>
  <c r="BL103" i="5" s="1"/>
  <c r="BP103" i="5" s="1"/>
  <c r="J104" i="5"/>
  <c r="D105" i="5"/>
  <c r="G108" i="5"/>
  <c r="K109" i="5"/>
  <c r="U109" i="5" s="1"/>
  <c r="E110" i="5"/>
  <c r="AH110" i="5" s="1"/>
  <c r="AI110" i="5" s="1"/>
  <c r="J111" i="5"/>
  <c r="J112" i="5"/>
  <c r="D113" i="5"/>
  <c r="G114" i="5"/>
  <c r="D116" i="5"/>
  <c r="I117" i="5"/>
  <c r="W117" i="5" s="1"/>
  <c r="D118" i="5"/>
  <c r="H119" i="5"/>
  <c r="G121" i="5"/>
  <c r="E123" i="5"/>
  <c r="AH123" i="5" s="1"/>
  <c r="AI123" i="5" s="1"/>
  <c r="G124" i="5"/>
  <c r="L125" i="5"/>
  <c r="H127" i="5"/>
  <c r="L128" i="5"/>
  <c r="E129" i="5"/>
  <c r="AH129" i="5" s="1"/>
  <c r="AI129" i="5" s="1"/>
  <c r="J130" i="5"/>
  <c r="E131" i="5"/>
  <c r="AH131" i="5" s="1"/>
  <c r="AI131" i="5" s="1"/>
  <c r="I132" i="5"/>
  <c r="W132" i="5" s="1"/>
  <c r="K133" i="5"/>
  <c r="U133" i="5" s="1"/>
  <c r="F134" i="5"/>
  <c r="I137" i="5"/>
  <c r="W137" i="5" s="1"/>
  <c r="I140" i="5"/>
  <c r="W140" i="5" s="1"/>
  <c r="K146" i="5"/>
  <c r="U146" i="5" s="1"/>
  <c r="I149" i="5"/>
  <c r="W149" i="5" s="1"/>
  <c r="K152" i="5"/>
  <c r="U152" i="5" s="1"/>
  <c r="J155" i="5"/>
  <c r="K158" i="5"/>
  <c r="U158" i="5" s="1"/>
  <c r="E161" i="5"/>
  <c r="AH161" i="5" s="1"/>
  <c r="AI161" i="5" s="1"/>
  <c r="F164" i="5"/>
  <c r="L168" i="5"/>
  <c r="J171" i="5"/>
  <c r="C176" i="5"/>
  <c r="BL176" i="5" s="1"/>
  <c r="E181" i="5"/>
  <c r="AH181" i="5" s="1"/>
  <c r="AI181" i="5" s="1"/>
  <c r="K189" i="5"/>
  <c r="U189" i="5" s="1"/>
  <c r="L195" i="5"/>
  <c r="L198" i="5"/>
  <c r="H200" i="5"/>
  <c r="E203" i="5"/>
  <c r="H209" i="5"/>
  <c r="L214" i="5"/>
  <c r="L217" i="5"/>
  <c r="D136" i="5"/>
  <c r="F139" i="5"/>
  <c r="K140" i="5"/>
  <c r="U140" i="5" s="1"/>
  <c r="E141" i="5"/>
  <c r="AH141" i="5" s="1"/>
  <c r="AI141" i="5" s="1"/>
  <c r="I142" i="5"/>
  <c r="W142" i="5" s="1"/>
  <c r="D143" i="5"/>
  <c r="G144" i="5"/>
  <c r="K145" i="5"/>
  <c r="U145" i="5" s="1"/>
  <c r="F146" i="5"/>
  <c r="K147" i="5"/>
  <c r="U147" i="5" s="1"/>
  <c r="E148" i="5"/>
  <c r="K149" i="5"/>
  <c r="U149" i="5" s="1"/>
  <c r="D150" i="5"/>
  <c r="I151" i="5"/>
  <c r="W151" i="5" s="1"/>
  <c r="L152" i="5"/>
  <c r="F153" i="5"/>
  <c r="K154" i="5"/>
  <c r="E155" i="5"/>
  <c r="AH155" i="5" s="1"/>
  <c r="AI155" i="5" s="1"/>
  <c r="L156" i="5"/>
  <c r="E157" i="5"/>
  <c r="AH157" i="5" s="1"/>
  <c r="AI157" i="5" s="1"/>
  <c r="L158" i="5"/>
  <c r="F159" i="5"/>
  <c r="L160" i="5"/>
  <c r="F161" i="5"/>
  <c r="H164" i="5"/>
  <c r="H166" i="5"/>
  <c r="G168" i="5"/>
  <c r="F170" i="5"/>
  <c r="L171" i="5"/>
  <c r="E172" i="5"/>
  <c r="AH172" i="5" s="1"/>
  <c r="AI172" i="5" s="1"/>
  <c r="J173" i="5"/>
  <c r="E174" i="5"/>
  <c r="AH174" i="5" s="1"/>
  <c r="AI174" i="5" s="1"/>
  <c r="K175" i="5"/>
  <c r="U175" i="5" s="1"/>
  <c r="E176" i="5"/>
  <c r="AH176" i="5" s="1"/>
  <c r="AI176" i="5" s="1"/>
  <c r="J177" i="5"/>
  <c r="D178" i="5"/>
  <c r="K179" i="5"/>
  <c r="U179" i="5" s="1"/>
  <c r="E180" i="5"/>
  <c r="AH180" i="5" s="1"/>
  <c r="AI180" i="5" s="1"/>
  <c r="K181" i="5"/>
  <c r="U181" i="5" s="1"/>
  <c r="E182" i="5"/>
  <c r="AH182" i="5" s="1"/>
  <c r="AI182" i="5" s="1"/>
  <c r="J183" i="5"/>
  <c r="I186" i="5"/>
  <c r="W186" i="5" s="1"/>
  <c r="D187" i="5"/>
  <c r="I188" i="5"/>
  <c r="W188" i="5" s="1"/>
  <c r="D189" i="5"/>
  <c r="G190" i="5"/>
  <c r="C192" i="5"/>
  <c r="BL192" i="5" s="1"/>
  <c r="H193" i="5"/>
  <c r="J194" i="5"/>
  <c r="D195" i="5"/>
  <c r="H196" i="5"/>
  <c r="H199" i="5"/>
  <c r="C200" i="5"/>
  <c r="BL200" i="5" s="1"/>
  <c r="D205" i="5"/>
  <c r="H206" i="5"/>
  <c r="L207" i="5"/>
  <c r="J209" i="5"/>
  <c r="E210" i="5"/>
  <c r="I211" i="5"/>
  <c r="W211" i="5" s="1"/>
  <c r="I213" i="5"/>
  <c r="W213" i="5" s="1"/>
  <c r="D214" i="5"/>
  <c r="F215" i="5"/>
  <c r="K216" i="5"/>
  <c r="U216" i="5" s="1"/>
  <c r="E217" i="5"/>
  <c r="AH217" i="5" s="1"/>
  <c r="AI217" i="5" s="1"/>
  <c r="I218" i="5"/>
  <c r="W218" i="5" s="1"/>
  <c r="F220" i="5"/>
  <c r="H221" i="5"/>
  <c r="C222" i="5"/>
  <c r="BL222" i="5" s="1"/>
  <c r="L222" i="5"/>
  <c r="K224" i="5"/>
  <c r="U224" i="5" s="1"/>
  <c r="J137" i="5"/>
  <c r="C138" i="5"/>
  <c r="BL138" i="5" s="1"/>
  <c r="BN138" i="5" s="1"/>
  <c r="G139" i="5"/>
  <c r="F141" i="5"/>
  <c r="J142" i="5"/>
  <c r="E143" i="5"/>
  <c r="AH143" i="5" s="1"/>
  <c r="AI143" i="5" s="1"/>
  <c r="H144" i="5"/>
  <c r="L145" i="5"/>
  <c r="G146" i="5"/>
  <c r="L147" i="5"/>
  <c r="F148" i="5"/>
  <c r="L149" i="5"/>
  <c r="E150" i="5"/>
  <c r="AH150" i="5" s="1"/>
  <c r="AI150" i="5" s="1"/>
  <c r="C152" i="5"/>
  <c r="BL152" i="5" s="1"/>
  <c r="L154" i="5"/>
  <c r="F155" i="5"/>
  <c r="F157" i="5"/>
  <c r="G159" i="5"/>
  <c r="I162" i="5"/>
  <c r="W162" i="5" s="1"/>
  <c r="C163" i="5"/>
  <c r="BL163" i="5" s="1"/>
  <c r="I164" i="5"/>
  <c r="W164" i="5" s="1"/>
  <c r="I166" i="5"/>
  <c r="W166" i="5" s="1"/>
  <c r="C167" i="5"/>
  <c r="BL167" i="5" s="1"/>
  <c r="H168" i="5"/>
  <c r="G170" i="5"/>
  <c r="F172" i="5"/>
  <c r="K173" i="5"/>
  <c r="U173" i="5" s="1"/>
  <c r="F174" i="5"/>
  <c r="L175" i="5"/>
  <c r="F176" i="5"/>
  <c r="K177" i="5"/>
  <c r="U177" i="5" s="1"/>
  <c r="E178" i="5"/>
  <c r="AH178" i="5" s="1"/>
  <c r="AI178" i="5" s="1"/>
  <c r="L179" i="5"/>
  <c r="F180" i="5"/>
  <c r="F182" i="5"/>
  <c r="K183" i="5"/>
  <c r="U183" i="5" s="1"/>
  <c r="E184" i="5"/>
  <c r="AH184" i="5" s="1"/>
  <c r="AI184" i="5" s="1"/>
  <c r="F185" i="5"/>
  <c r="J186" i="5"/>
  <c r="E187" i="5"/>
  <c r="AH187" i="5" s="1"/>
  <c r="AI187" i="5" s="1"/>
  <c r="J188" i="5"/>
  <c r="E189" i="5"/>
  <c r="AH189" i="5" s="1"/>
  <c r="AI189" i="5" s="1"/>
  <c r="H190" i="5"/>
  <c r="I191" i="5"/>
  <c r="D192" i="5"/>
  <c r="I193" i="5"/>
  <c r="W193" i="5" s="1"/>
  <c r="K194" i="5"/>
  <c r="U194" i="5" s="1"/>
  <c r="I196" i="5"/>
  <c r="J197" i="5"/>
  <c r="C198" i="5"/>
  <c r="BL198" i="5" s="1"/>
  <c r="I199" i="5"/>
  <c r="W199" i="5" s="1"/>
  <c r="D200" i="5"/>
  <c r="I201" i="5"/>
  <c r="W201" i="5" s="1"/>
  <c r="L202" i="5"/>
  <c r="F203" i="5"/>
  <c r="K204" i="5"/>
  <c r="U204" i="5" s="1"/>
  <c r="E205" i="5"/>
  <c r="I206" i="5"/>
  <c r="W206" i="5" s="1"/>
  <c r="C207" i="5"/>
  <c r="BL207" i="5" s="1"/>
  <c r="G208" i="5"/>
  <c r="K209" i="5"/>
  <c r="F210" i="5"/>
  <c r="J211" i="5"/>
  <c r="C212" i="5"/>
  <c r="BL212" i="5" s="1"/>
  <c r="BN212" i="5" s="1"/>
  <c r="J213" i="5"/>
  <c r="G215" i="5"/>
  <c r="L216" i="5"/>
  <c r="J218" i="5"/>
  <c r="C219" i="5"/>
  <c r="BL219" i="5" s="1"/>
  <c r="G220" i="5"/>
  <c r="I221" i="5"/>
  <c r="W221" i="5" s="1"/>
  <c r="D222" i="5"/>
  <c r="G223" i="5"/>
  <c r="L224" i="5"/>
  <c r="F136" i="5"/>
  <c r="K137" i="5"/>
  <c r="D138" i="5"/>
  <c r="H139" i="5"/>
  <c r="L140" i="5"/>
  <c r="G141" i="5"/>
  <c r="K142" i="5"/>
  <c r="U142" i="5" s="1"/>
  <c r="I144" i="5"/>
  <c r="W144" i="5" s="1"/>
  <c r="C145" i="5"/>
  <c r="BL145" i="5" s="1"/>
  <c r="H146" i="5"/>
  <c r="G148" i="5"/>
  <c r="J151" i="5"/>
  <c r="D152" i="5"/>
  <c r="G153" i="5"/>
  <c r="G155" i="5"/>
  <c r="G157" i="5"/>
  <c r="H159" i="5"/>
  <c r="C160" i="5"/>
  <c r="BL160" i="5" s="1"/>
  <c r="G161" i="5"/>
  <c r="J162" i="5"/>
  <c r="D163" i="5"/>
  <c r="J164" i="5"/>
  <c r="C165" i="5"/>
  <c r="BL165" i="5" s="1"/>
  <c r="J166" i="5"/>
  <c r="D167" i="5"/>
  <c r="I168" i="5"/>
  <c r="W168" i="5" s="1"/>
  <c r="C169" i="5"/>
  <c r="BL169" i="5" s="1"/>
  <c r="BP169" i="5" s="1"/>
  <c r="H170" i="5"/>
  <c r="G172" i="5"/>
  <c r="L173" i="5"/>
  <c r="G174" i="5"/>
  <c r="L177" i="5"/>
  <c r="F178" i="5"/>
  <c r="G180" i="5"/>
  <c r="L181" i="5"/>
  <c r="G182" i="5"/>
  <c r="L183" i="5"/>
  <c r="F184" i="5"/>
  <c r="G185" i="5"/>
  <c r="K186" i="5"/>
  <c r="F187" i="5"/>
  <c r="K188" i="5"/>
  <c r="U188" i="5" s="1"/>
  <c r="I190" i="5"/>
  <c r="W190" i="5" s="1"/>
  <c r="J191" i="5"/>
  <c r="E192" i="5"/>
  <c r="AH192" i="5" s="1"/>
  <c r="AI192" i="5" s="1"/>
  <c r="J193" i="5"/>
  <c r="L194" i="5"/>
  <c r="E195" i="5"/>
  <c r="AH195" i="5" s="1"/>
  <c r="AI195" i="5" s="1"/>
  <c r="J196" i="5"/>
  <c r="K197" i="5"/>
  <c r="D198" i="5"/>
  <c r="J199" i="5"/>
  <c r="E200" i="5"/>
  <c r="AH200" i="5" s="1"/>
  <c r="AI200" i="5" s="1"/>
  <c r="C202" i="5"/>
  <c r="BL202" i="5" s="1"/>
  <c r="G203" i="5"/>
  <c r="F205" i="5"/>
  <c r="J206" i="5"/>
  <c r="H208" i="5"/>
  <c r="C209" i="5"/>
  <c r="BL209" i="5" s="1"/>
  <c r="BP209" i="5" s="1"/>
  <c r="L209" i="5"/>
  <c r="K211" i="5"/>
  <c r="D212" i="5"/>
  <c r="K213" i="5"/>
  <c r="U213" i="5" s="1"/>
  <c r="E214" i="5"/>
  <c r="AH214" i="5" s="1"/>
  <c r="AI214" i="5" s="1"/>
  <c r="H215" i="5"/>
  <c r="F217" i="5"/>
  <c r="K218" i="5"/>
  <c r="D219" i="5"/>
  <c r="J221" i="5"/>
  <c r="H223" i="5"/>
  <c r="C224" i="5"/>
  <c r="BL224" i="5" s="1"/>
  <c r="G136" i="5"/>
  <c r="E138" i="5"/>
  <c r="AH138" i="5" s="1"/>
  <c r="AI138" i="5" s="1"/>
  <c r="C140" i="5"/>
  <c r="BL140" i="5" s="1"/>
  <c r="H141" i="5"/>
  <c r="L142" i="5"/>
  <c r="F143" i="5"/>
  <c r="J144" i="5"/>
  <c r="D145" i="5"/>
  <c r="I146" i="5"/>
  <c r="C147" i="5"/>
  <c r="BL147" i="5" s="1"/>
  <c r="H148" i="5"/>
  <c r="C149" i="5"/>
  <c r="BL149" i="5" s="1"/>
  <c r="BP149" i="5" s="1"/>
  <c r="F150" i="5"/>
  <c r="K151" i="5"/>
  <c r="U151" i="5" s="1"/>
  <c r="E152" i="5"/>
  <c r="AH152" i="5" s="1"/>
  <c r="AI152" i="5" s="1"/>
  <c r="H153" i="5"/>
  <c r="C154" i="5"/>
  <c r="BL154" i="5" s="1"/>
  <c r="H155" i="5"/>
  <c r="C156" i="5"/>
  <c r="BL156" i="5" s="1"/>
  <c r="H157" i="5"/>
  <c r="C158" i="5"/>
  <c r="BL158" i="5" s="1"/>
  <c r="I159" i="5"/>
  <c r="W159" i="5" s="1"/>
  <c r="D160" i="5"/>
  <c r="K162" i="5"/>
  <c r="U162" i="5" s="1"/>
  <c r="E163" i="5"/>
  <c r="AH163" i="5" s="1"/>
  <c r="AI163" i="5" s="1"/>
  <c r="D165" i="5"/>
  <c r="E167" i="5"/>
  <c r="AH167" i="5" s="1"/>
  <c r="AI167" i="5" s="1"/>
  <c r="J168" i="5"/>
  <c r="D169" i="5"/>
  <c r="I170" i="5"/>
  <c r="W170" i="5" s="1"/>
  <c r="C171" i="5"/>
  <c r="BL171" i="5" s="1"/>
  <c r="H172" i="5"/>
  <c r="H174" i="5"/>
  <c r="G176" i="5"/>
  <c r="G178" i="5"/>
  <c r="H180" i="5"/>
  <c r="C181" i="5"/>
  <c r="BL181" i="5" s="1"/>
  <c r="H182" i="5"/>
  <c r="G184" i="5"/>
  <c r="H185" i="5"/>
  <c r="L186" i="5"/>
  <c r="G187" i="5"/>
  <c r="L188" i="5"/>
  <c r="F189" i="5"/>
  <c r="J190" i="5"/>
  <c r="K191" i="5"/>
  <c r="U191" i="5" s="1"/>
  <c r="F192" i="5"/>
  <c r="C194" i="5"/>
  <c r="BL194" i="5" s="1"/>
  <c r="BN194" i="5" s="1"/>
  <c r="F195" i="5"/>
  <c r="K196" i="5"/>
  <c r="U196" i="5" s="1"/>
  <c r="C197" i="5"/>
  <c r="BL197" i="5" s="1"/>
  <c r="BN197" i="5" s="1"/>
  <c r="L197" i="5"/>
  <c r="E198" i="5"/>
  <c r="AH198" i="5" s="1"/>
  <c r="AI198" i="5" s="1"/>
  <c r="K199" i="5"/>
  <c r="U199" i="5" s="1"/>
  <c r="F200" i="5"/>
  <c r="J201" i="5"/>
  <c r="D202" i="5"/>
  <c r="H203" i="5"/>
  <c r="L204" i="5"/>
  <c r="G205" i="5"/>
  <c r="K206" i="5"/>
  <c r="D207" i="5"/>
  <c r="I208" i="5"/>
  <c r="W208" i="5" s="1"/>
  <c r="D209" i="5"/>
  <c r="G210" i="5"/>
  <c r="L211" i="5"/>
  <c r="E212" i="5"/>
  <c r="AH212" i="5" s="1"/>
  <c r="AI212" i="5" s="1"/>
  <c r="L213" i="5"/>
  <c r="I215" i="5"/>
  <c r="W215" i="5" s="1"/>
  <c r="C216" i="5"/>
  <c r="BL216" i="5" s="1"/>
  <c r="BN216" i="5" s="1"/>
  <c r="L218" i="5"/>
  <c r="E219" i="5"/>
  <c r="AH219" i="5" s="1"/>
  <c r="AI219" i="5" s="1"/>
  <c r="H220" i="5"/>
  <c r="K221" i="5"/>
  <c r="U221" i="5" s="1"/>
  <c r="E222" i="5"/>
  <c r="AH222" i="5" s="1"/>
  <c r="AI222" i="5" s="1"/>
  <c r="I223" i="5"/>
  <c r="W223" i="5" s="1"/>
  <c r="D224" i="5"/>
  <c r="H136" i="5"/>
  <c r="L137" i="5"/>
  <c r="F138" i="5"/>
  <c r="I139" i="5"/>
  <c r="W139" i="5" s="1"/>
  <c r="D140" i="5"/>
  <c r="I141" i="5"/>
  <c r="W141" i="5" s="1"/>
  <c r="C142" i="5"/>
  <c r="BL142" i="5" s="1"/>
  <c r="G143" i="5"/>
  <c r="K144" i="5"/>
  <c r="E145" i="5"/>
  <c r="AH145" i="5" s="1"/>
  <c r="AI145" i="5" s="1"/>
  <c r="J146" i="5"/>
  <c r="D147" i="5"/>
  <c r="I148" i="5"/>
  <c r="D149" i="5"/>
  <c r="G150" i="5"/>
  <c r="L151" i="5"/>
  <c r="F152" i="5"/>
  <c r="I153" i="5"/>
  <c r="W153" i="5" s="1"/>
  <c r="D154" i="5"/>
  <c r="I155" i="5"/>
  <c r="W155" i="5" s="1"/>
  <c r="D156" i="5"/>
  <c r="I157" i="5"/>
  <c r="W157" i="5" s="1"/>
  <c r="D158" i="5"/>
  <c r="J159" i="5"/>
  <c r="E160" i="5"/>
  <c r="AH160" i="5" s="1"/>
  <c r="AI160" i="5" s="1"/>
  <c r="H161" i="5"/>
  <c r="L162" i="5"/>
  <c r="F163" i="5"/>
  <c r="K164" i="5"/>
  <c r="U164" i="5" s="1"/>
  <c r="E165" i="5"/>
  <c r="AH165" i="5" s="1"/>
  <c r="AI165" i="5" s="1"/>
  <c r="K166" i="5"/>
  <c r="U166" i="5" s="1"/>
  <c r="F167" i="5"/>
  <c r="K168" i="5"/>
  <c r="U168" i="5" s="1"/>
  <c r="E169" i="5"/>
  <c r="AH169" i="5" s="1"/>
  <c r="AI169" i="5" s="1"/>
  <c r="D171" i="5"/>
  <c r="I172" i="5"/>
  <c r="W172" i="5" s="1"/>
  <c r="I174" i="5"/>
  <c r="W174" i="5" s="1"/>
  <c r="C175" i="5"/>
  <c r="BL175" i="5" s="1"/>
  <c r="H176" i="5"/>
  <c r="H178" i="5"/>
  <c r="C179" i="5"/>
  <c r="BL179" i="5" s="1"/>
  <c r="I180" i="5"/>
  <c r="W180" i="5" s="1"/>
  <c r="D181" i="5"/>
  <c r="I182" i="5"/>
  <c r="W182" i="5" s="1"/>
  <c r="H184" i="5"/>
  <c r="I185" i="5"/>
  <c r="W185" i="5" s="1"/>
  <c r="H187" i="5"/>
  <c r="C188" i="5"/>
  <c r="BL188" i="5" s="1"/>
  <c r="BN188" i="5" s="1"/>
  <c r="G189" i="5"/>
  <c r="L191" i="5"/>
  <c r="G192" i="5"/>
  <c r="K193" i="5"/>
  <c r="U193" i="5" s="1"/>
  <c r="D194" i="5"/>
  <c r="G195" i="5"/>
  <c r="D197" i="5"/>
  <c r="F198" i="5"/>
  <c r="L199" i="5"/>
  <c r="G200" i="5"/>
  <c r="K201" i="5"/>
  <c r="U201" i="5" s="1"/>
  <c r="I203" i="5"/>
  <c r="W203" i="5" s="1"/>
  <c r="C204" i="5"/>
  <c r="BL204" i="5" s="1"/>
  <c r="H205" i="5"/>
  <c r="E207" i="5"/>
  <c r="AH207" i="5" s="1"/>
  <c r="AI207" i="5" s="1"/>
  <c r="J208" i="5"/>
  <c r="H210" i="5"/>
  <c r="F212" i="5"/>
  <c r="F214" i="5"/>
  <c r="J215" i="5"/>
  <c r="D216" i="5"/>
  <c r="G217" i="5"/>
  <c r="F219" i="5"/>
  <c r="I220" i="5"/>
  <c r="W220" i="5" s="1"/>
  <c r="L221" i="5"/>
  <c r="F222" i="5"/>
  <c r="J223" i="5"/>
  <c r="E224" i="5"/>
  <c r="AH224" i="5" s="1"/>
  <c r="AI224" i="5" s="1"/>
  <c r="D137" i="5"/>
  <c r="H138" i="5"/>
  <c r="K139" i="5"/>
  <c r="F140" i="5"/>
  <c r="K141" i="5"/>
  <c r="D142" i="5"/>
  <c r="H143" i="5"/>
  <c r="L144" i="5"/>
  <c r="F145" i="5"/>
  <c r="L146" i="5"/>
  <c r="F147" i="5"/>
  <c r="K148" i="5"/>
  <c r="U148" i="5" s="1"/>
  <c r="I150" i="5"/>
  <c r="W150" i="5" s="1"/>
  <c r="K153" i="5"/>
  <c r="F154" i="5"/>
  <c r="K155" i="5"/>
  <c r="U155" i="5" s="1"/>
  <c r="F156" i="5"/>
  <c r="K157" i="5"/>
  <c r="F158" i="5"/>
  <c r="L159" i="5"/>
  <c r="G160" i="5"/>
  <c r="J161" i="5"/>
  <c r="D162" i="5"/>
  <c r="G165" i="5"/>
  <c r="H167" i="5"/>
  <c r="G169" i="5"/>
  <c r="K170" i="5"/>
  <c r="U170" i="5" s="1"/>
  <c r="F171" i="5"/>
  <c r="K172" i="5"/>
  <c r="D173" i="5"/>
  <c r="K174" i="5"/>
  <c r="E175" i="5"/>
  <c r="J176" i="5"/>
  <c r="D177" i="5"/>
  <c r="J178" i="5"/>
  <c r="E179" i="5"/>
  <c r="AH179" i="5" s="1"/>
  <c r="AI179" i="5" s="1"/>
  <c r="K180" i="5"/>
  <c r="K182" i="5"/>
  <c r="D183" i="5"/>
  <c r="I184" i="5"/>
  <c r="W184" i="5" s="1"/>
  <c r="D186" i="5"/>
  <c r="J187" i="5"/>
  <c r="I189" i="5"/>
  <c r="W189" i="5" s="1"/>
  <c r="C191" i="5"/>
  <c r="BL191" i="5" s="1"/>
  <c r="I192" i="5"/>
  <c r="W192" i="5" s="1"/>
  <c r="C193" i="5"/>
  <c r="BL193" i="5" s="1"/>
  <c r="L193" i="5"/>
  <c r="E194" i="5"/>
  <c r="AH194" i="5" s="1"/>
  <c r="AI194" i="5" s="1"/>
  <c r="C196" i="5"/>
  <c r="BL196" i="5" s="1"/>
  <c r="BN196" i="5" s="1"/>
  <c r="F197" i="5"/>
  <c r="H198" i="5"/>
  <c r="C199" i="5"/>
  <c r="BL199" i="5" s="1"/>
  <c r="BN199" i="5" s="1"/>
  <c r="I200" i="5"/>
  <c r="W200" i="5" s="1"/>
  <c r="C201" i="5"/>
  <c r="BL201" i="5" s="1"/>
  <c r="BP201" i="5" s="1"/>
  <c r="F202" i="5"/>
  <c r="K203" i="5"/>
  <c r="U203" i="5" s="1"/>
  <c r="E204" i="5"/>
  <c r="J205" i="5"/>
  <c r="C206" i="5"/>
  <c r="BL206" i="5" s="1"/>
  <c r="G207" i="5"/>
  <c r="L208" i="5"/>
  <c r="J210" i="5"/>
  <c r="C211" i="5"/>
  <c r="BL211" i="5" s="1"/>
  <c r="H212" i="5"/>
  <c r="C213" i="5"/>
  <c r="BL213" i="5" s="1"/>
  <c r="H214" i="5"/>
  <c r="K215" i="5"/>
  <c r="U215" i="5" s="1"/>
  <c r="F216" i="5"/>
  <c r="H217" i="5"/>
  <c r="C218" i="5"/>
  <c r="BL218" i="5" s="1"/>
  <c r="BP218" i="5" s="1"/>
  <c r="H219" i="5"/>
  <c r="K220" i="5"/>
  <c r="L223" i="5"/>
  <c r="G224" i="5"/>
  <c r="E137" i="5"/>
  <c r="AH137" i="5" s="1"/>
  <c r="AI137" i="5" s="1"/>
  <c r="I138" i="5"/>
  <c r="W138" i="5" s="1"/>
  <c r="L139" i="5"/>
  <c r="L141" i="5"/>
  <c r="E142" i="5"/>
  <c r="I143" i="5"/>
  <c r="G145" i="5"/>
  <c r="G147" i="5"/>
  <c r="L148" i="5"/>
  <c r="F149" i="5"/>
  <c r="J150" i="5"/>
  <c r="D151" i="5"/>
  <c r="H152" i="5"/>
  <c r="L153" i="5"/>
  <c r="G154" i="5"/>
  <c r="L155" i="5"/>
  <c r="G156" i="5"/>
  <c r="L157" i="5"/>
  <c r="G158" i="5"/>
  <c r="K161" i="5"/>
  <c r="U161" i="5" s="1"/>
  <c r="E162" i="5"/>
  <c r="AH162" i="5" s="1"/>
  <c r="AI162" i="5" s="1"/>
  <c r="H163" i="5"/>
  <c r="C164" i="5"/>
  <c r="BL164" i="5" s="1"/>
  <c r="H165" i="5"/>
  <c r="C166" i="5"/>
  <c r="BL166" i="5" s="1"/>
  <c r="I167" i="5"/>
  <c r="W167" i="5" s="1"/>
  <c r="H169" i="5"/>
  <c r="C170" i="5"/>
  <c r="BL170" i="5" s="1"/>
  <c r="L170" i="5"/>
  <c r="G171" i="5"/>
  <c r="E173" i="5"/>
  <c r="AH173" i="5" s="1"/>
  <c r="AI173" i="5" s="1"/>
  <c r="L174" i="5"/>
  <c r="F175" i="5"/>
  <c r="K176" i="5"/>
  <c r="U176" i="5" s="1"/>
  <c r="E177" i="5"/>
  <c r="AH177" i="5" s="1"/>
  <c r="AI177" i="5" s="1"/>
  <c r="K178" i="5"/>
  <c r="F179" i="5"/>
  <c r="L180" i="5"/>
  <c r="F181" i="5"/>
  <c r="L182" i="5"/>
  <c r="E183" i="5"/>
  <c r="K185" i="5"/>
  <c r="K187" i="5"/>
  <c r="U187" i="5" s="1"/>
  <c r="E188" i="5"/>
  <c r="AH188" i="5" s="1"/>
  <c r="AI188" i="5" s="1"/>
  <c r="L190" i="5"/>
  <c r="D191" i="5"/>
  <c r="J192" i="5"/>
  <c r="F194" i="5"/>
  <c r="I195" i="5"/>
  <c r="W195" i="5" s="1"/>
  <c r="D196" i="5"/>
  <c r="G197" i="5"/>
  <c r="I198" i="5"/>
  <c r="W198" i="5" s="1"/>
  <c r="J200" i="5"/>
  <c r="D201" i="5"/>
  <c r="G202" i="5"/>
  <c r="L203" i="5"/>
  <c r="F204" i="5"/>
  <c r="K205" i="5"/>
  <c r="U205" i="5" s="1"/>
  <c r="D206" i="5"/>
  <c r="H207" i="5"/>
  <c r="F209" i="5"/>
  <c r="K210" i="5"/>
  <c r="U210" i="5" s="1"/>
  <c r="D211" i="5"/>
  <c r="I212" i="5"/>
  <c r="W212" i="5" s="1"/>
  <c r="D213" i="5"/>
  <c r="I214" i="5"/>
  <c r="W214" i="5" s="1"/>
  <c r="L215" i="5"/>
  <c r="G216" i="5"/>
  <c r="I217" i="5"/>
  <c r="W217" i="5" s="1"/>
  <c r="D218" i="5"/>
  <c r="I219" i="5"/>
  <c r="W219" i="5" s="1"/>
  <c r="C221" i="5"/>
  <c r="BL221" i="5" s="1"/>
  <c r="H222" i="5"/>
  <c r="K136" i="5"/>
  <c r="F137" i="5"/>
  <c r="G140" i="5"/>
  <c r="F142" i="5"/>
  <c r="J143" i="5"/>
  <c r="C144" i="5"/>
  <c r="BL144" i="5" s="1"/>
  <c r="H147" i="5"/>
  <c r="G149" i="5"/>
  <c r="K150" i="5"/>
  <c r="U150" i="5" s="1"/>
  <c r="E151" i="5"/>
  <c r="I152" i="5"/>
  <c r="C153" i="5"/>
  <c r="BL153" i="5" s="1"/>
  <c r="H154" i="5"/>
  <c r="H156" i="5"/>
  <c r="H158" i="5"/>
  <c r="C159" i="5"/>
  <c r="BL159" i="5" s="1"/>
  <c r="H160" i="5"/>
  <c r="C161" i="5"/>
  <c r="BL161" i="5" s="1"/>
  <c r="L161" i="5"/>
  <c r="F162" i="5"/>
  <c r="I163" i="5"/>
  <c r="D164" i="5"/>
  <c r="I165" i="5"/>
  <c r="D166" i="5"/>
  <c r="J167" i="5"/>
  <c r="C168" i="5"/>
  <c r="BL168" i="5" s="1"/>
  <c r="I169" i="5"/>
  <c r="H171" i="5"/>
  <c r="L172" i="5"/>
  <c r="F173" i="5"/>
  <c r="G175" i="5"/>
  <c r="L176" i="5"/>
  <c r="F177" i="5"/>
  <c r="L178" i="5"/>
  <c r="G179" i="5"/>
  <c r="G181" i="5"/>
  <c r="F183" i="5"/>
  <c r="J184" i="5"/>
  <c r="C185" i="5"/>
  <c r="BL185" i="5" s="1"/>
  <c r="L185" i="5"/>
  <c r="E186" i="5"/>
  <c r="AH186" i="5" s="1"/>
  <c r="AI186" i="5" s="1"/>
  <c r="L187" i="5"/>
  <c r="J189" i="5"/>
  <c r="C190" i="5"/>
  <c r="E191" i="5"/>
  <c r="AH191" i="5" s="1"/>
  <c r="AI191" i="5" s="1"/>
  <c r="K192" i="5"/>
  <c r="U192" i="5" s="1"/>
  <c r="D193" i="5"/>
  <c r="G194" i="5"/>
  <c r="J195" i="5"/>
  <c r="E196" i="5"/>
  <c r="AH196" i="5" s="1"/>
  <c r="AI196" i="5" s="1"/>
  <c r="J198" i="5"/>
  <c r="D199" i="5"/>
  <c r="K200" i="5"/>
  <c r="E201" i="5"/>
  <c r="AH201" i="5" s="1"/>
  <c r="AI201" i="5" s="1"/>
  <c r="H202" i="5"/>
  <c r="G204" i="5"/>
  <c r="I207" i="5"/>
  <c r="W207" i="5" s="1"/>
  <c r="C208" i="5"/>
  <c r="BL208" i="5" s="1"/>
  <c r="E211" i="5"/>
  <c r="AH211" i="5" s="1"/>
  <c r="AI211" i="5" s="1"/>
  <c r="J212" i="5"/>
  <c r="E213" i="5"/>
  <c r="AH213" i="5" s="1"/>
  <c r="AI213" i="5" s="1"/>
  <c r="J214" i="5"/>
  <c r="C215" i="5"/>
  <c r="BL215" i="5" s="1"/>
  <c r="J217" i="5"/>
  <c r="E218" i="5"/>
  <c r="J219" i="5"/>
  <c r="C220" i="5"/>
  <c r="L220" i="5"/>
  <c r="D221" i="5"/>
  <c r="I222" i="5"/>
  <c r="W222" i="5" s="1"/>
  <c r="C223" i="5"/>
  <c r="BL223" i="5" s="1"/>
  <c r="BP223" i="5" s="1"/>
  <c r="H224" i="5"/>
  <c r="L136" i="5"/>
  <c r="G137" i="5"/>
  <c r="J138" i="5"/>
  <c r="C139" i="5"/>
  <c r="BL139" i="5" s="1"/>
  <c r="H140" i="5"/>
  <c r="K143" i="5"/>
  <c r="U143" i="5" s="1"/>
  <c r="D144" i="5"/>
  <c r="H145" i="5"/>
  <c r="C146" i="5"/>
  <c r="BL146" i="5" s="1"/>
  <c r="I147" i="5"/>
  <c r="W147" i="5" s="1"/>
  <c r="C148" i="5"/>
  <c r="BL148" i="5" s="1"/>
  <c r="H149" i="5"/>
  <c r="L150" i="5"/>
  <c r="F151" i="5"/>
  <c r="J152" i="5"/>
  <c r="C155" i="5"/>
  <c r="BL155" i="5" s="1"/>
  <c r="BP155" i="5" s="1"/>
  <c r="I156" i="5"/>
  <c r="W156" i="5" s="1"/>
  <c r="C157" i="5"/>
  <c r="BL157" i="5" s="1"/>
  <c r="BN157" i="5" s="1"/>
  <c r="I158" i="5"/>
  <c r="W158" i="5" s="1"/>
  <c r="I160" i="5"/>
  <c r="W160" i="5" s="1"/>
  <c r="D161" i="5"/>
  <c r="J163" i="5"/>
  <c r="E164" i="5"/>
  <c r="AH164" i="5" s="1"/>
  <c r="AI164" i="5" s="1"/>
  <c r="J165" i="5"/>
  <c r="E166" i="5"/>
  <c r="AH166" i="5" s="1"/>
  <c r="AI166" i="5" s="1"/>
  <c r="D168" i="5"/>
  <c r="J169" i="5"/>
  <c r="D170" i="5"/>
  <c r="I171" i="5"/>
  <c r="C172" i="5"/>
  <c r="G173" i="5"/>
  <c r="H175" i="5"/>
  <c r="G177" i="5"/>
  <c r="H179" i="5"/>
  <c r="H181" i="5"/>
  <c r="G183" i="5"/>
  <c r="K184" i="5"/>
  <c r="D185" i="5"/>
  <c r="F186" i="5"/>
  <c r="F188" i="5"/>
  <c r="D190" i="5"/>
  <c r="F191" i="5"/>
  <c r="L192" i="5"/>
  <c r="E193" i="5"/>
  <c r="H194" i="5"/>
  <c r="K195" i="5"/>
  <c r="F196" i="5"/>
  <c r="H197" i="5"/>
  <c r="K198" i="5"/>
  <c r="U198" i="5" s="1"/>
  <c r="E199" i="5"/>
  <c r="AH199" i="5" s="1"/>
  <c r="AI199" i="5" s="1"/>
  <c r="L200" i="5"/>
  <c r="F201" i="5"/>
  <c r="I202" i="5"/>
  <c r="W202" i="5" s="1"/>
  <c r="C203" i="5"/>
  <c r="BL203" i="5" s="1"/>
  <c r="H204" i="5"/>
  <c r="L205" i="5"/>
  <c r="E206" i="5"/>
  <c r="AH206" i="5" s="1"/>
  <c r="AI206" i="5" s="1"/>
  <c r="J207" i="5"/>
  <c r="D208" i="5"/>
  <c r="G209" i="5"/>
  <c r="L210" i="5"/>
  <c r="F211" i="5"/>
  <c r="K212" i="5"/>
  <c r="F213" i="5"/>
  <c r="K214" i="5"/>
  <c r="D215" i="5"/>
  <c r="H216" i="5"/>
  <c r="K217" i="5"/>
  <c r="U217" i="5" s="1"/>
  <c r="F218" i="5"/>
  <c r="D220" i="5"/>
  <c r="E221" i="5"/>
  <c r="AH221" i="5" s="1"/>
  <c r="AI221" i="5" s="1"/>
  <c r="J222" i="5"/>
  <c r="D223" i="5"/>
  <c r="I224" i="5"/>
  <c r="W224" i="5" s="1"/>
  <c r="AK146" i="5" a="1"/>
  <c r="AK161" i="5" a="1"/>
  <c r="AK191" i="5" a="1"/>
  <c r="AK162" i="5" a="1"/>
  <c r="AK56" i="5" a="1"/>
  <c r="AK42" i="5" a="1"/>
  <c r="AK48" i="5" a="1"/>
  <c r="AK102" i="5" a="1"/>
  <c r="AK155" i="5" a="1"/>
  <c r="AK10" i="5" a="1"/>
  <c r="AK104" i="5" a="1"/>
  <c r="AK109" i="5" a="1"/>
  <c r="AK38" i="5" a="1"/>
  <c r="AK63" i="5" a="1"/>
  <c r="AK164" i="5" a="1"/>
  <c r="AK107" i="5" a="1"/>
  <c r="AK2" i="5" a="1"/>
  <c r="AK115" i="5" a="1"/>
  <c r="AK11" i="5" a="1"/>
  <c r="AK58" i="5" a="1"/>
  <c r="AK26" i="5" a="1"/>
  <c r="AK69" i="5" a="1"/>
  <c r="AK159" i="5" a="1"/>
  <c r="AK45" i="5" a="1"/>
  <c r="AK7" i="5" a="1"/>
  <c r="AT225" i="5"/>
  <c r="AK196" i="5" a="1"/>
  <c r="AK152" i="5" a="1"/>
  <c r="AK194" i="5" a="1"/>
  <c r="AK85" i="5" a="1"/>
  <c r="AK119" i="5" a="1"/>
  <c r="AK215" i="5" a="1"/>
  <c r="AK208" i="5" a="1"/>
  <c r="AK72" i="5" a="1"/>
  <c r="AK177" i="5" a="1"/>
  <c r="AK150" i="5" a="1"/>
  <c r="AK125" i="5" a="1"/>
  <c r="AK89" i="5" a="1"/>
  <c r="AK216" i="5" a="1"/>
  <c r="AK49" i="5" a="1"/>
  <c r="AU225" i="5" l="1"/>
  <c r="AV225" i="5" s="1"/>
  <c r="AY225" i="5" s="1"/>
  <c r="BM225" i="5"/>
  <c r="BD225" i="5"/>
  <c r="BF225" i="5"/>
  <c r="BC225" i="5"/>
  <c r="AZ31" i="5"/>
  <c r="AB113" i="5"/>
  <c r="AO113" i="5" s="1"/>
  <c r="AR113" i="5" s="1"/>
  <c r="AS113" i="5" s="1"/>
  <c r="AB97" i="5"/>
  <c r="AO97" i="5" s="1"/>
  <c r="AJ166" i="5"/>
  <c r="AZ142" i="5"/>
  <c r="AB178" i="5"/>
  <c r="AW178" i="5" s="1"/>
  <c r="AB19" i="5"/>
  <c r="AO19" i="5" s="1"/>
  <c r="AD24" i="5"/>
  <c r="AB66" i="5"/>
  <c r="AO66" i="5" s="1"/>
  <c r="AB146" i="5"/>
  <c r="AO146" i="5" s="1"/>
  <c r="BN223" i="5"/>
  <c r="AZ188" i="5"/>
  <c r="AB170" i="5"/>
  <c r="AO170" i="5" s="1"/>
  <c r="AB89" i="5"/>
  <c r="AO89" i="5" s="1"/>
  <c r="AD66" i="5"/>
  <c r="AZ171" i="5"/>
  <c r="AZ220" i="5"/>
  <c r="AB177" i="5"/>
  <c r="AW177" i="5" s="1"/>
  <c r="AZ196" i="5"/>
  <c r="AB211" i="5"/>
  <c r="AW211" i="5" s="1"/>
  <c r="BP197" i="5"/>
  <c r="AZ81" i="5"/>
  <c r="AQ48" i="5"/>
  <c r="BA48" i="5" s="1"/>
  <c r="AQ19" i="5"/>
  <c r="BA19" i="5" s="1"/>
  <c r="AL74" i="5"/>
  <c r="AD191" i="5"/>
  <c r="Z15" i="5"/>
  <c r="AA15" i="5" s="1"/>
  <c r="AL44" i="5"/>
  <c r="AD41" i="5"/>
  <c r="AB44" i="5"/>
  <c r="AO44" i="5" s="1"/>
  <c r="BP115" i="5"/>
  <c r="AD134" i="5"/>
  <c r="AL35" i="5"/>
  <c r="AJ24" i="5"/>
  <c r="AQ157" i="5"/>
  <c r="BA157" i="5" s="1"/>
  <c r="AB213" i="5"/>
  <c r="AO213" i="5" s="1"/>
  <c r="AZ189" i="5"/>
  <c r="AJ184" i="5"/>
  <c r="AB118" i="5"/>
  <c r="AO118" i="5" s="1"/>
  <c r="Z103" i="5"/>
  <c r="AA103" i="5" s="1"/>
  <c r="AZ125" i="5"/>
  <c r="AQ36" i="5"/>
  <c r="BA36" i="5" s="1"/>
  <c r="AD119" i="5"/>
  <c r="AZ52" i="5"/>
  <c r="BN201" i="5"/>
  <c r="AB142" i="5"/>
  <c r="AW142" i="5" s="1"/>
  <c r="AB149" i="5"/>
  <c r="AO149" i="5" s="1"/>
  <c r="AZ120" i="5"/>
  <c r="BP82" i="5"/>
  <c r="AJ117" i="5"/>
  <c r="AB116" i="5"/>
  <c r="AO116" i="5" s="1"/>
  <c r="AZ55" i="5"/>
  <c r="AB208" i="5"/>
  <c r="AO208" i="5" s="1"/>
  <c r="AD217" i="5"/>
  <c r="AZ29" i="5"/>
  <c r="AZ30" i="5"/>
  <c r="AB13" i="5"/>
  <c r="AW13" i="5" s="1"/>
  <c r="BN105" i="5"/>
  <c r="AQ20" i="5"/>
  <c r="BA20" i="5" s="1"/>
  <c r="AQ61" i="5"/>
  <c r="BA61" i="5" s="1"/>
  <c r="BP63" i="5"/>
  <c r="AB210" i="5"/>
  <c r="AO210" i="5" s="1"/>
  <c r="AQ4" i="5"/>
  <c r="BA4" i="5" s="1"/>
  <c r="AB21" i="5"/>
  <c r="AW21" i="5" s="1"/>
  <c r="AZ116" i="5"/>
  <c r="AB60" i="5"/>
  <c r="AW60" i="5" s="1"/>
  <c r="AZ61" i="5"/>
  <c r="Z210" i="5"/>
  <c r="AA210" i="5" s="1"/>
  <c r="BP212" i="5"/>
  <c r="AB103" i="5"/>
  <c r="AW103" i="5" s="1"/>
  <c r="AQ16" i="5"/>
  <c r="BA16" i="5" s="1"/>
  <c r="AZ84" i="5"/>
  <c r="AZ34" i="5"/>
  <c r="BN64" i="5"/>
  <c r="BN52" i="5"/>
  <c r="AJ129" i="5"/>
  <c r="AD117" i="5"/>
  <c r="AL210" i="5"/>
  <c r="AB75" i="5"/>
  <c r="AW75" i="5" s="1"/>
  <c r="AJ42" i="5"/>
  <c r="AD182" i="5"/>
  <c r="Z92" i="5"/>
  <c r="AA92" i="5" s="1"/>
  <c r="Z127" i="5"/>
  <c r="AA127" i="5" s="1"/>
  <c r="AB41" i="5"/>
  <c r="AW41" i="5" s="1"/>
  <c r="AZ204" i="5"/>
  <c r="AZ98" i="5"/>
  <c r="AD166" i="5"/>
  <c r="AZ115" i="5"/>
  <c r="Z222" i="5"/>
  <c r="AA222" i="5" s="1"/>
  <c r="Z176" i="5"/>
  <c r="AA176" i="5" s="1"/>
  <c r="AB174" i="5"/>
  <c r="AW174" i="5" s="1"/>
  <c r="AZ147" i="5"/>
  <c r="AQ151" i="5"/>
  <c r="BA151" i="5" s="1"/>
  <c r="AB121" i="5"/>
  <c r="AO121" i="5" s="1"/>
  <c r="AZ208" i="5"/>
  <c r="AZ70" i="5"/>
  <c r="AB145" i="5"/>
  <c r="AW145" i="5" s="1"/>
  <c r="AB172" i="5"/>
  <c r="AW172" i="5" s="1"/>
  <c r="AZ185" i="5"/>
  <c r="AZ108" i="5"/>
  <c r="AZ111" i="5"/>
  <c r="Z96" i="5"/>
  <c r="AA96" i="5" s="1"/>
  <c r="AB30" i="5"/>
  <c r="AO30" i="5" s="1"/>
  <c r="BP194" i="5"/>
  <c r="AB125" i="5"/>
  <c r="AO125" i="5" s="1"/>
  <c r="AR125" i="5" s="1"/>
  <c r="AS125" i="5" s="1"/>
  <c r="AZ41" i="5"/>
  <c r="Z203" i="5"/>
  <c r="AA203" i="5" s="1"/>
  <c r="AZ176" i="5"/>
  <c r="AQ194" i="5"/>
  <c r="BA194" i="5" s="1"/>
  <c r="AZ123" i="5"/>
  <c r="AQ42" i="5"/>
  <c r="BA42" i="5" s="1"/>
  <c r="AQ74" i="5"/>
  <c r="BA74" i="5" s="1"/>
  <c r="AB57" i="5"/>
  <c r="AW57" i="5" s="1"/>
  <c r="AQ82" i="5"/>
  <c r="BA82" i="5" s="1"/>
  <c r="AJ12" i="5"/>
  <c r="AB175" i="5"/>
  <c r="AW175" i="5" s="1"/>
  <c r="AB132" i="5"/>
  <c r="AO132" i="5" s="1"/>
  <c r="AZ15" i="5"/>
  <c r="AZ211" i="5"/>
  <c r="AZ159" i="5"/>
  <c r="AJ191" i="5"/>
  <c r="AD174" i="5"/>
  <c r="AJ41" i="5"/>
  <c r="AB15" i="5"/>
  <c r="AO15" i="5" s="1"/>
  <c r="AQ215" i="5"/>
  <c r="BA215" i="5" s="1"/>
  <c r="AL219" i="5"/>
  <c r="AB187" i="5"/>
  <c r="AW187" i="5" s="1"/>
  <c r="AJ180" i="5"/>
  <c r="AZ88" i="5"/>
  <c r="AB111" i="5"/>
  <c r="AO111" i="5" s="1"/>
  <c r="AD28" i="5"/>
  <c r="BN74" i="5"/>
  <c r="AZ169" i="5"/>
  <c r="AQ219" i="5"/>
  <c r="BA219" i="5" s="1"/>
  <c r="AZ93" i="5"/>
  <c r="AZ151" i="5"/>
  <c r="Z113" i="5"/>
  <c r="AA113" i="5" s="1"/>
  <c r="AZ75" i="5"/>
  <c r="BP56" i="5"/>
  <c r="AJ131" i="5"/>
  <c r="AB105" i="5"/>
  <c r="AW105" i="5" s="1"/>
  <c r="Z139" i="5"/>
  <c r="AA139" i="5" s="1"/>
  <c r="AL28" i="5"/>
  <c r="BN91" i="5"/>
  <c r="AD64" i="5"/>
  <c r="AJ174" i="5"/>
  <c r="AZ190" i="5"/>
  <c r="AL99" i="5"/>
  <c r="AZ122" i="5"/>
  <c r="BN126" i="5"/>
  <c r="AZ152" i="5"/>
  <c r="AB206" i="5"/>
  <c r="AW206" i="5" s="1"/>
  <c r="AB193" i="5"/>
  <c r="AO193" i="5" s="1"/>
  <c r="AQ181" i="5"/>
  <c r="BA181" i="5" s="1"/>
  <c r="AB154" i="5"/>
  <c r="AO154" i="5" s="1"/>
  <c r="AZ215" i="5"/>
  <c r="AB195" i="5"/>
  <c r="AW195" i="5" s="1"/>
  <c r="AL42" i="5"/>
  <c r="AQ54" i="5"/>
  <c r="BA54" i="5" s="1"/>
  <c r="AB215" i="5"/>
  <c r="AW215" i="5" s="1"/>
  <c r="Z87" i="5"/>
  <c r="AA87" i="5" s="1"/>
  <c r="AQ62" i="5"/>
  <c r="BA62" i="5" s="1"/>
  <c r="AQ83" i="5"/>
  <c r="BA83" i="5" s="1"/>
  <c r="AJ172" i="5"/>
  <c r="AQ113" i="5"/>
  <c r="BA113" i="5" s="1"/>
  <c r="AQ143" i="5"/>
  <c r="BA143" i="5" s="1"/>
  <c r="AB126" i="5"/>
  <c r="AO126" i="5" s="1"/>
  <c r="AL127" i="5"/>
  <c r="AL207" i="5"/>
  <c r="Z77" i="5"/>
  <c r="AA77" i="5" s="1"/>
  <c r="AB16" i="5"/>
  <c r="AO16" i="5" s="1"/>
  <c r="BN118" i="5"/>
  <c r="BP112" i="5"/>
  <c r="Z177" i="5"/>
  <c r="AA177" i="5" s="1"/>
  <c r="Z102" i="5"/>
  <c r="AA102" i="5" s="1"/>
  <c r="Z16" i="5"/>
  <c r="AA16" i="5" s="1"/>
  <c r="AZ11" i="5"/>
  <c r="AD214" i="5"/>
  <c r="AD42" i="5"/>
  <c r="BP43" i="5"/>
  <c r="AB82" i="5"/>
  <c r="AW82" i="5" s="1"/>
  <c r="BP216" i="5"/>
  <c r="AD180" i="5"/>
  <c r="AJ35" i="5"/>
  <c r="Z197" i="5"/>
  <c r="AA197" i="5" s="1"/>
  <c r="AB79" i="5"/>
  <c r="AW79" i="5" s="1"/>
  <c r="AZ224" i="5"/>
  <c r="AB127" i="5"/>
  <c r="AW127" i="5" s="1"/>
  <c r="AZ45" i="5"/>
  <c r="AL43" i="5"/>
  <c r="BP40" i="5"/>
  <c r="AD121" i="5"/>
  <c r="AL123" i="5"/>
  <c r="AQ155" i="5"/>
  <c r="BA155" i="5" s="1"/>
  <c r="AZ148" i="5"/>
  <c r="AB201" i="5"/>
  <c r="AO201" i="5" s="1"/>
  <c r="Z211" i="5"/>
  <c r="AA211" i="5" s="1"/>
  <c r="AB129" i="5"/>
  <c r="AW129" i="5" s="1"/>
  <c r="AD129" i="5"/>
  <c r="AQ111" i="5"/>
  <c r="BA111" i="5" s="1"/>
  <c r="AB83" i="5"/>
  <c r="AW83" i="5" s="1"/>
  <c r="AL126" i="5"/>
  <c r="AJ64" i="5"/>
  <c r="Z56" i="5"/>
  <c r="AA56" i="5" s="1"/>
  <c r="AL155" i="5"/>
  <c r="AD161" i="5"/>
  <c r="AZ78" i="5"/>
  <c r="AZ99" i="5"/>
  <c r="AL102" i="5"/>
  <c r="AB115" i="5"/>
  <c r="AO115" i="5" s="1"/>
  <c r="AB49" i="5"/>
  <c r="AW49" i="5" s="1"/>
  <c r="AZ79" i="5"/>
  <c r="AZ139" i="5"/>
  <c r="AQ85" i="5"/>
  <c r="BA85" i="5" s="1"/>
  <c r="Z155" i="5"/>
  <c r="AA155" i="5" s="1"/>
  <c r="AB143" i="5"/>
  <c r="AW143" i="5" s="1"/>
  <c r="AB155" i="5"/>
  <c r="AW155" i="5" s="1"/>
  <c r="AB102" i="5"/>
  <c r="AW102" i="5" s="1"/>
  <c r="U44" i="5"/>
  <c r="AQ205" i="5"/>
  <c r="BA205" i="5" s="1"/>
  <c r="AQ193" i="5"/>
  <c r="BA193" i="5" s="1"/>
  <c r="AB220" i="5"/>
  <c r="AW220" i="5" s="1"/>
  <c r="AB176" i="5"/>
  <c r="AW176" i="5" s="1"/>
  <c r="AZ162" i="5"/>
  <c r="AB223" i="5"/>
  <c r="AW223" i="5" s="1"/>
  <c r="AL180" i="5"/>
  <c r="Z150" i="5"/>
  <c r="AA150" i="5" s="1"/>
  <c r="AL211" i="5"/>
  <c r="AQ183" i="5"/>
  <c r="BA183" i="5" s="1"/>
  <c r="AZ136" i="5"/>
  <c r="AQ175" i="5"/>
  <c r="BA175" i="5" s="1"/>
  <c r="AJ217" i="5"/>
  <c r="AJ182" i="5"/>
  <c r="AJ139" i="5"/>
  <c r="AZ113" i="5"/>
  <c r="Z59" i="5"/>
  <c r="AA59" i="5" s="1"/>
  <c r="AQ44" i="5"/>
  <c r="BA44" i="5" s="1"/>
  <c r="Z29" i="5"/>
  <c r="AA29" i="5" s="1"/>
  <c r="Z14" i="5"/>
  <c r="AA14" i="5" s="1"/>
  <c r="AJ43" i="5"/>
  <c r="AZ222" i="5"/>
  <c r="AD45" i="5"/>
  <c r="AB212" i="5"/>
  <c r="AO212" i="5" s="1"/>
  <c r="AQ57" i="5"/>
  <c r="BA57" i="5" s="1"/>
  <c r="AZ214" i="5"/>
  <c r="AZ76" i="5"/>
  <c r="AL187" i="5"/>
  <c r="AD72" i="5"/>
  <c r="Z158" i="5"/>
  <c r="AA158" i="5" s="1"/>
  <c r="AQ161" i="5"/>
  <c r="BA161" i="5" s="1"/>
  <c r="Z190" i="5"/>
  <c r="AA190" i="5" s="1"/>
  <c r="AJ194" i="5"/>
  <c r="AQ209" i="5"/>
  <c r="BA209" i="5" s="1"/>
  <c r="AZ174" i="5"/>
  <c r="AB152" i="5"/>
  <c r="AW152" i="5" s="1"/>
  <c r="AQ198" i="5"/>
  <c r="BA198" i="5" s="1"/>
  <c r="Z124" i="5"/>
  <c r="AA124" i="5" s="1"/>
  <c r="AL113" i="5"/>
  <c r="AZ207" i="5"/>
  <c r="AB98" i="5"/>
  <c r="AO98" i="5" s="1"/>
  <c r="AB112" i="5"/>
  <c r="AO112" i="5" s="1"/>
  <c r="AB28" i="5"/>
  <c r="AW28" i="5" s="1"/>
  <c r="AL115" i="5"/>
  <c r="AZ69" i="5"/>
  <c r="AB54" i="5"/>
  <c r="AO54" i="5" s="1"/>
  <c r="Z201" i="5"/>
  <c r="AA201" i="5" s="1"/>
  <c r="AJ83" i="5"/>
  <c r="BN179" i="5"/>
  <c r="BP179" i="5"/>
  <c r="BP44" i="5"/>
  <c r="BN44" i="5"/>
  <c r="BP206" i="5"/>
  <c r="BN206" i="5"/>
  <c r="Z83" i="5"/>
  <c r="AA83" i="5" s="1"/>
  <c r="AB141" i="5"/>
  <c r="AO141" i="5" s="1"/>
  <c r="AQ55" i="5"/>
  <c r="BA55" i="5" s="1"/>
  <c r="AH210" i="5"/>
  <c r="AI210" i="5" s="1"/>
  <c r="AJ210" i="5" s="1"/>
  <c r="Z220" i="5"/>
  <c r="AA220" i="5" s="1"/>
  <c r="AQ112" i="5"/>
  <c r="BA112" i="5" s="1"/>
  <c r="AL215" i="5"/>
  <c r="AQ195" i="5"/>
  <c r="BA195" i="5" s="1"/>
  <c r="U180" i="5"/>
  <c r="AH193" i="5"/>
  <c r="AI193" i="5" s="1"/>
  <c r="AD193" i="5" s="1"/>
  <c r="AL170" i="5"/>
  <c r="AD139" i="5"/>
  <c r="AH132" i="5"/>
  <c r="AI132" i="5" s="1"/>
  <c r="AJ132" i="5" s="1"/>
  <c r="AQ102" i="5"/>
  <c r="BA102" i="5" s="1"/>
  <c r="AL69" i="5"/>
  <c r="Z13" i="5"/>
  <c r="AA13" i="5" s="1"/>
  <c r="AL14" i="5"/>
  <c r="AB17" i="5"/>
  <c r="AO17" i="5" s="1"/>
  <c r="U211" i="5"/>
  <c r="AJ45" i="5"/>
  <c r="AZ218" i="5"/>
  <c r="AL150" i="5"/>
  <c r="AZ197" i="5"/>
  <c r="AL166" i="5"/>
  <c r="AQ154" i="5"/>
  <c r="BA154" i="5" s="1"/>
  <c r="AZ195" i="5"/>
  <c r="AZ150" i="5"/>
  <c r="AZ153" i="5"/>
  <c r="AZ212" i="5"/>
  <c r="AZ165" i="5"/>
  <c r="AL110" i="5"/>
  <c r="Z110" i="5"/>
  <c r="AA110" i="5" s="1"/>
  <c r="AB219" i="5"/>
  <c r="AO219" i="5" s="1"/>
  <c r="AR219" i="5" s="1"/>
  <c r="AS219" i="5" s="1"/>
  <c r="AD216" i="5"/>
  <c r="AQ15" i="5"/>
  <c r="BA15" i="5" s="1"/>
  <c r="AQ27" i="5"/>
  <c r="BA27" i="5" s="1"/>
  <c r="Z73" i="5"/>
  <c r="AA73" i="5" s="1"/>
  <c r="AJ73" i="5"/>
  <c r="AZ68" i="5"/>
  <c r="AQ75" i="5"/>
  <c r="BA75" i="5" s="1"/>
  <c r="AZ28" i="5"/>
  <c r="AZ65" i="5"/>
  <c r="AB26" i="5"/>
  <c r="AO26" i="5" s="1"/>
  <c r="AR26" i="5" s="1"/>
  <c r="AS26" i="5" s="1"/>
  <c r="Z219" i="5"/>
  <c r="AA219" i="5" s="1"/>
  <c r="AB209" i="5"/>
  <c r="AW209" i="5" s="1"/>
  <c r="BP157" i="5"/>
  <c r="BP83" i="5"/>
  <c r="Z193" i="5"/>
  <c r="AA193" i="5" s="1"/>
  <c r="Z209" i="5"/>
  <c r="AA209" i="5" s="1"/>
  <c r="BP196" i="5"/>
  <c r="AB157" i="5"/>
  <c r="AO157" i="5" s="1"/>
  <c r="AL142" i="5"/>
  <c r="U99" i="5"/>
  <c r="AJ60" i="5"/>
  <c r="Z45" i="5"/>
  <c r="AA45" i="5" s="1"/>
  <c r="BP31" i="5"/>
  <c r="AL214" i="5"/>
  <c r="Z218" i="5"/>
  <c r="AA218" i="5" s="1"/>
  <c r="AZ158" i="5"/>
  <c r="AQ177" i="5"/>
  <c r="BA177" i="5" s="1"/>
  <c r="AZ192" i="5"/>
  <c r="AZ138" i="5"/>
  <c r="AL190" i="5"/>
  <c r="AL193" i="5"/>
  <c r="Z224" i="5"/>
  <c r="AA224" i="5" s="1"/>
  <c r="AZ210" i="5"/>
  <c r="AZ172" i="5"/>
  <c r="AJ123" i="5"/>
  <c r="AQ69" i="5"/>
  <c r="BA69" i="5" s="1"/>
  <c r="AJ88" i="5"/>
  <c r="Z187" i="5"/>
  <c r="AA187" i="5" s="1"/>
  <c r="AZ119" i="5"/>
  <c r="AZ102" i="5"/>
  <c r="AL175" i="5"/>
  <c r="AZ96" i="5"/>
  <c r="AQ132" i="5"/>
  <c r="BA132" i="5" s="1"/>
  <c r="AQ80" i="5"/>
  <c r="BA80" i="5" s="1"/>
  <c r="AL216" i="5"/>
  <c r="AQ91" i="5"/>
  <c r="BA91" i="5" s="1"/>
  <c r="AZ77" i="5"/>
  <c r="Z121" i="5"/>
  <c r="AA121" i="5" s="1"/>
  <c r="AL96" i="5"/>
  <c r="AZ25" i="5"/>
  <c r="AJ65" i="5"/>
  <c r="Z37" i="5"/>
  <c r="AA37" i="5" s="1"/>
  <c r="AL22" i="5"/>
  <c r="AQ121" i="5"/>
  <c r="BA121" i="5" s="1"/>
  <c r="AL68" i="5"/>
  <c r="AZ66" i="5"/>
  <c r="AZ117" i="5"/>
  <c r="AZ40" i="5"/>
  <c r="AL53" i="5"/>
  <c r="Z39" i="5"/>
  <c r="AA39" i="5" s="1"/>
  <c r="AQ134" i="5"/>
  <c r="BA134" i="5" s="1"/>
  <c r="AZ42" i="5"/>
  <c r="AQ13" i="5"/>
  <c r="BA13" i="5" s="1"/>
  <c r="AQ94" i="5"/>
  <c r="BA94" i="5" s="1"/>
  <c r="AZ67" i="5"/>
  <c r="Z9" i="5"/>
  <c r="AA9" i="5" s="1"/>
  <c r="AZ21" i="5"/>
  <c r="AQ92" i="5"/>
  <c r="AB194" i="5"/>
  <c r="AO194" i="5" s="1"/>
  <c r="AQ217" i="5"/>
  <c r="BA217" i="5" s="1"/>
  <c r="BP188" i="5"/>
  <c r="BN149" i="5"/>
  <c r="AQ125" i="5"/>
  <c r="AQ141" i="5"/>
  <c r="BA141" i="5" s="1"/>
  <c r="Z105" i="5"/>
  <c r="AA105" i="5" s="1"/>
  <c r="AH54" i="5"/>
  <c r="AI54" i="5" s="1"/>
  <c r="AD54" i="5" s="1"/>
  <c r="AB27" i="5"/>
  <c r="AO27" i="5" s="1"/>
  <c r="U28" i="5"/>
  <c r="AZ213" i="5"/>
  <c r="AZ201" i="5"/>
  <c r="AL217" i="5"/>
  <c r="AQ185" i="5"/>
  <c r="BA185" i="5" s="1"/>
  <c r="AQ201" i="5"/>
  <c r="BA201" i="5" s="1"/>
  <c r="AQ204" i="5"/>
  <c r="BA204" i="5" s="1"/>
  <c r="Z192" i="5"/>
  <c r="AA192" i="5" s="1"/>
  <c r="AZ160" i="5"/>
  <c r="AQ191" i="5"/>
  <c r="BA191" i="5" s="1"/>
  <c r="AQ137" i="5"/>
  <c r="BA137" i="5" s="1"/>
  <c r="AL221" i="5"/>
  <c r="AZ178" i="5"/>
  <c r="AZ161" i="5"/>
  <c r="AJ181" i="5"/>
  <c r="AQ105" i="5"/>
  <c r="BA105" i="5" s="1"/>
  <c r="AQ86" i="5"/>
  <c r="BA86" i="5" s="1"/>
  <c r="AQ131" i="5"/>
  <c r="BA131" i="5" s="1"/>
  <c r="AL101" i="5"/>
  <c r="AZ73" i="5"/>
  <c r="AQ167" i="5"/>
  <c r="BA167" i="5" s="1"/>
  <c r="AZ90" i="5"/>
  <c r="AQ120" i="5"/>
  <c r="BA120" i="5" s="1"/>
  <c r="AZ110" i="5"/>
  <c r="AL24" i="5"/>
  <c r="AB7" i="5"/>
  <c r="AO7" i="5" s="1"/>
  <c r="AQ41" i="5"/>
  <c r="BA41" i="5" s="1"/>
  <c r="AL11" i="5"/>
  <c r="AQ108" i="5"/>
  <c r="AZ22" i="5"/>
  <c r="AQ78" i="5"/>
  <c r="BA78" i="5" s="1"/>
  <c r="AL41" i="5"/>
  <c r="AD12" i="5"/>
  <c r="AL203" i="5"/>
  <c r="AL86" i="5"/>
  <c r="AZ49" i="5"/>
  <c r="AQ47" i="5"/>
  <c r="BA47" i="5" s="1"/>
  <c r="Z23" i="5"/>
  <c r="AA23" i="5" s="1"/>
  <c r="AH59" i="5"/>
  <c r="AI59" i="5" s="1"/>
  <c r="AQ43" i="5"/>
  <c r="BA43" i="5" s="1"/>
  <c r="AB43" i="5"/>
  <c r="AW43" i="5" s="1"/>
  <c r="BP10" i="5"/>
  <c r="AL77" i="5"/>
  <c r="Z72" i="5"/>
  <c r="AA72" i="5" s="1"/>
  <c r="AZ186" i="5"/>
  <c r="AL198" i="5"/>
  <c r="AZ216" i="5"/>
  <c r="Z175" i="5"/>
  <c r="AA175" i="5" s="1"/>
  <c r="Z188" i="5"/>
  <c r="AA188" i="5" s="1"/>
  <c r="AZ205" i="5"/>
  <c r="AL162" i="5"/>
  <c r="Z144" i="5"/>
  <c r="AA144" i="5" s="1"/>
  <c r="AJ196" i="5"/>
  <c r="AZ134" i="5"/>
  <c r="AZ168" i="5"/>
  <c r="AZ71" i="5"/>
  <c r="AZ100" i="5"/>
  <c r="AL208" i="5"/>
  <c r="AZ163" i="5"/>
  <c r="AZ35" i="5"/>
  <c r="AQ97" i="5"/>
  <c r="BA97" i="5" s="1"/>
  <c r="AL37" i="5"/>
  <c r="Z8" i="5"/>
  <c r="AA8" i="5" s="1"/>
  <c r="AL25" i="5"/>
  <c r="AZ182" i="5"/>
  <c r="AL199" i="5"/>
  <c r="AH175" i="5"/>
  <c r="AI175" i="5" s="1"/>
  <c r="AJ175" i="5" s="1"/>
  <c r="Z125" i="5"/>
  <c r="AA125" i="5" s="1"/>
  <c r="AH124" i="5"/>
  <c r="AI124" i="5" s="1"/>
  <c r="AD124" i="5" s="1"/>
  <c r="AB114" i="5"/>
  <c r="AW114" i="5" s="1"/>
  <c r="AB14" i="5"/>
  <c r="AO14" i="5" s="1"/>
  <c r="Z44" i="5"/>
  <c r="AA44" i="5" s="1"/>
  <c r="AL147" i="5"/>
  <c r="Z136" i="5"/>
  <c r="AA136" i="5" s="1"/>
  <c r="AB139" i="5"/>
  <c r="AO139" i="5" s="1"/>
  <c r="AR139" i="5" s="1"/>
  <c r="AS139" i="5" s="1"/>
  <c r="AZ219" i="5"/>
  <c r="AB198" i="5"/>
  <c r="AW198" i="5" s="1"/>
  <c r="Z206" i="5"/>
  <c r="AA206" i="5" s="1"/>
  <c r="AQ84" i="5"/>
  <c r="BA84" i="5" s="1"/>
  <c r="AZ91" i="5"/>
  <c r="AJ159" i="5"/>
  <c r="AZ166" i="5"/>
  <c r="AL36" i="5"/>
  <c r="AZ62" i="5"/>
  <c r="AB182" i="5"/>
  <c r="AW182" i="5" s="1"/>
  <c r="AZ74" i="5"/>
  <c r="Z213" i="5"/>
  <c r="AA213" i="5" s="1"/>
  <c r="AD159" i="5"/>
  <c r="AL125" i="5"/>
  <c r="AL107" i="5"/>
  <c r="BP132" i="5"/>
  <c r="AL70" i="5"/>
  <c r="Z28" i="5"/>
  <c r="AA28" i="5" s="1"/>
  <c r="AB55" i="5"/>
  <c r="AO55" i="5" s="1"/>
  <c r="AJ28" i="5"/>
  <c r="U113" i="5"/>
  <c r="AQ196" i="5"/>
  <c r="BA196" i="5" s="1"/>
  <c r="AQ186" i="5"/>
  <c r="BA186" i="5" s="1"/>
  <c r="AL172" i="5"/>
  <c r="AD200" i="5"/>
  <c r="AZ187" i="5"/>
  <c r="AQ192" i="5"/>
  <c r="BA192" i="5" s="1"/>
  <c r="AB179" i="5"/>
  <c r="AW179" i="5" s="1"/>
  <c r="Z164" i="5"/>
  <c r="AA164" i="5" s="1"/>
  <c r="AZ164" i="5"/>
  <c r="AD131" i="5"/>
  <c r="AQ203" i="5"/>
  <c r="BA203" i="5" s="1"/>
  <c r="AJ220" i="5"/>
  <c r="AQ110" i="5"/>
  <c r="BA110" i="5" s="1"/>
  <c r="AZ104" i="5"/>
  <c r="Z97" i="5"/>
  <c r="AA97" i="5" s="1"/>
  <c r="AZ101" i="5"/>
  <c r="AZ103" i="5"/>
  <c r="AZ105" i="5"/>
  <c r="AZ19" i="5"/>
  <c r="Z81" i="5"/>
  <c r="AA81" i="5" s="1"/>
  <c r="Z82" i="5"/>
  <c r="AA82" i="5" s="1"/>
  <c r="AZ16" i="5"/>
  <c r="AZ5" i="5"/>
  <c r="AL59" i="5"/>
  <c r="AZ6" i="5"/>
  <c r="AZ51" i="5"/>
  <c r="AB61" i="5"/>
  <c r="AO61" i="5" s="1"/>
  <c r="AQ176" i="5"/>
  <c r="BA176" i="5" s="1"/>
  <c r="AL54" i="5"/>
  <c r="AZ57" i="5"/>
  <c r="AQ213" i="5"/>
  <c r="BA213" i="5" s="1"/>
  <c r="BN86" i="5"/>
  <c r="Z71" i="5"/>
  <c r="AA71" i="5" s="1"/>
  <c r="AL89" i="5"/>
  <c r="BN9" i="5"/>
  <c r="AQ17" i="5"/>
  <c r="BA17" i="5" s="1"/>
  <c r="BN103" i="5"/>
  <c r="AQ208" i="5"/>
  <c r="BA208" i="5" s="1"/>
  <c r="Z195" i="5"/>
  <c r="AA195" i="5" s="1"/>
  <c r="Z208" i="5"/>
  <c r="AA208" i="5" s="1"/>
  <c r="AZ157" i="5"/>
  <c r="AQ145" i="5"/>
  <c r="BA145" i="5" s="1"/>
  <c r="AQ187" i="5"/>
  <c r="BA187" i="5" s="1"/>
  <c r="AZ144" i="5"/>
  <c r="AZ114" i="5"/>
  <c r="AQ126" i="5"/>
  <c r="BA126" i="5" s="1"/>
  <c r="Z98" i="5"/>
  <c r="AA98" i="5" s="1"/>
  <c r="AQ103" i="5"/>
  <c r="BA103" i="5" s="1"/>
  <c r="AZ191" i="5"/>
  <c r="AQ21" i="5"/>
  <c r="BA21" i="5" s="1"/>
  <c r="AD89" i="5"/>
  <c r="AJ66" i="5"/>
  <c r="AL33" i="5"/>
  <c r="AZ3" i="5"/>
  <c r="AZ60" i="5"/>
  <c r="AZ47" i="5"/>
  <c r="AD60" i="5"/>
  <c r="AZ44" i="5"/>
  <c r="AL183" i="5"/>
  <c r="AL204" i="5"/>
  <c r="Z198" i="5"/>
  <c r="AA198" i="5" s="1"/>
  <c r="AJ216" i="5"/>
  <c r="Z182" i="5"/>
  <c r="AA182" i="5" s="1"/>
  <c r="AH142" i="5"/>
  <c r="AI142" i="5" s="1"/>
  <c r="AD142" i="5" s="1"/>
  <c r="AB136" i="5"/>
  <c r="AW136" i="5" s="1"/>
  <c r="AJ89" i="5"/>
  <c r="AB185" i="5"/>
  <c r="AO185" i="5" s="1"/>
  <c r="AR185" i="5" s="1"/>
  <c r="AS185" i="5" s="1"/>
  <c r="AL195" i="5"/>
  <c r="AZ154" i="5"/>
  <c r="AZ155" i="5"/>
  <c r="AB216" i="5"/>
  <c r="AO216" i="5" s="1"/>
  <c r="AR216" i="5" s="1"/>
  <c r="AS216" i="5" s="1"/>
  <c r="AD172" i="5"/>
  <c r="AL158" i="5"/>
  <c r="AZ95" i="5"/>
  <c r="AZ133" i="5"/>
  <c r="AZ126" i="5"/>
  <c r="AQ14" i="5"/>
  <c r="BA14" i="5" s="1"/>
  <c r="AB59" i="5"/>
  <c r="AO59" i="5" s="1"/>
  <c r="AR59" i="5" s="1"/>
  <c r="Z43" i="5"/>
  <c r="AA43" i="5" s="1"/>
  <c r="AQ28" i="5"/>
  <c r="BA28" i="5" s="1"/>
  <c r="BP208" i="5"/>
  <c r="BN208" i="5"/>
  <c r="BP200" i="5"/>
  <c r="BN200" i="5"/>
  <c r="W134" i="5"/>
  <c r="Z134" i="5" s="1"/>
  <c r="AA134" i="5" s="1"/>
  <c r="AJ134" i="5"/>
  <c r="AJ214" i="5"/>
  <c r="BN155" i="5"/>
  <c r="AB128" i="5"/>
  <c r="AO128" i="5" s="1"/>
  <c r="AL149" i="5"/>
  <c r="Z118" i="5"/>
  <c r="AA118" i="5" s="1"/>
  <c r="U96" i="5"/>
  <c r="AQ8" i="5"/>
  <c r="BA8" i="5" s="1"/>
  <c r="AQ200" i="5"/>
  <c r="BA200" i="5" s="1"/>
  <c r="W169" i="5"/>
  <c r="Z169" i="5" s="1"/>
  <c r="AA169" i="5" s="1"/>
  <c r="AL169" i="5"/>
  <c r="AH183" i="5"/>
  <c r="AI183" i="5" s="1"/>
  <c r="AB183" i="5"/>
  <c r="AO183" i="5" s="1"/>
  <c r="Z183" i="5"/>
  <c r="AA183" i="5" s="1"/>
  <c r="Z170" i="5"/>
  <c r="AA170" i="5" s="1"/>
  <c r="AQ170" i="5"/>
  <c r="BA170" i="5" s="1"/>
  <c r="BN191" i="5"/>
  <c r="BP191" i="5"/>
  <c r="AB159" i="5"/>
  <c r="Z159" i="5"/>
  <c r="AA159" i="5" s="1"/>
  <c r="W148" i="5"/>
  <c r="Z148" i="5" s="1"/>
  <c r="AA148" i="5" s="1"/>
  <c r="AL148" i="5"/>
  <c r="AZ200" i="5"/>
  <c r="AQ149" i="5"/>
  <c r="BA149" i="5" s="1"/>
  <c r="AQ160" i="5"/>
  <c r="BA160" i="5" s="1"/>
  <c r="AB160" i="5"/>
  <c r="AW160" i="5" s="1"/>
  <c r="AQ101" i="5"/>
  <c r="BA101" i="5" s="1"/>
  <c r="AB101" i="5"/>
  <c r="AW101" i="5" s="1"/>
  <c r="Z101" i="5"/>
  <c r="AA101" i="5" s="1"/>
  <c r="AJ130" i="5"/>
  <c r="AD130" i="5"/>
  <c r="W108" i="5"/>
  <c r="Z108" i="5" s="1"/>
  <c r="AA108" i="5" s="1"/>
  <c r="AL108" i="5"/>
  <c r="AB88" i="5"/>
  <c r="AO88" i="5" s="1"/>
  <c r="AR88" i="5" s="1"/>
  <c r="AS88" i="5" s="1"/>
  <c r="AQ88" i="5"/>
  <c r="BA88" i="5" s="1"/>
  <c r="AZ50" i="5"/>
  <c r="AB36" i="5"/>
  <c r="W62" i="5"/>
  <c r="Z62" i="5" s="1"/>
  <c r="AA62" i="5" s="1"/>
  <c r="AJ62" i="5"/>
  <c r="AD62" i="5"/>
  <c r="W49" i="5"/>
  <c r="Z49" i="5" s="1"/>
  <c r="AA49" i="5" s="1"/>
  <c r="AL49" i="5"/>
  <c r="AZ9" i="5"/>
  <c r="AL75" i="5"/>
  <c r="U75" i="5"/>
  <c r="AZ39" i="5"/>
  <c r="AJ11" i="5"/>
  <c r="AD11" i="5"/>
  <c r="Z184" i="5"/>
  <c r="AA184" i="5" s="1"/>
  <c r="AQ184" i="5"/>
  <c r="BA184" i="5" s="1"/>
  <c r="Z20" i="5"/>
  <c r="AA20" i="5" s="1"/>
  <c r="AB20" i="5"/>
  <c r="AW20" i="5" s="1"/>
  <c r="AB24" i="5"/>
  <c r="AO24" i="5" s="1"/>
  <c r="AR24" i="5" s="1"/>
  <c r="AS24" i="5" s="1"/>
  <c r="Z24" i="5"/>
  <c r="AA24" i="5" s="1"/>
  <c r="AQ76" i="5"/>
  <c r="BA76" i="5" s="1"/>
  <c r="AB76" i="5"/>
  <c r="AW76" i="5" s="1"/>
  <c r="AD194" i="5"/>
  <c r="AB167" i="5"/>
  <c r="AO167" i="5" s="1"/>
  <c r="BP199" i="5"/>
  <c r="AD123" i="5"/>
  <c r="AQ118" i="5"/>
  <c r="BA118" i="5" s="1"/>
  <c r="AQ49" i="5"/>
  <c r="BA49" i="5" s="1"/>
  <c r="U59" i="5"/>
  <c r="U33" i="5"/>
  <c r="Z120" i="5"/>
  <c r="AA120" i="5" s="1"/>
  <c r="AQ7" i="5"/>
  <c r="BA7" i="5" s="1"/>
  <c r="AD196" i="5"/>
  <c r="AQ162" i="5"/>
  <c r="BA162" i="5" s="1"/>
  <c r="AB162" i="5"/>
  <c r="Z162" i="5"/>
  <c r="AA162" i="5" s="1"/>
  <c r="W146" i="5"/>
  <c r="Z146" i="5" s="1"/>
  <c r="AA146" i="5" s="1"/>
  <c r="AL146" i="5"/>
  <c r="U202" i="5"/>
  <c r="AL202" i="5"/>
  <c r="W173" i="5"/>
  <c r="Z173" i="5" s="1"/>
  <c r="AA173" i="5" s="1"/>
  <c r="AL173" i="5"/>
  <c r="AB91" i="5"/>
  <c r="AO91" i="5" s="1"/>
  <c r="AL212" i="5"/>
  <c r="U212" i="5"/>
  <c r="AZ156" i="5"/>
  <c r="AQ144" i="5"/>
  <c r="BA144" i="5" s="1"/>
  <c r="AB144" i="5"/>
  <c r="AO144" i="5" s="1"/>
  <c r="AB221" i="5"/>
  <c r="AW221" i="5" s="1"/>
  <c r="Z221" i="5"/>
  <c r="AA221" i="5" s="1"/>
  <c r="AQ221" i="5"/>
  <c r="BA221" i="5" s="1"/>
  <c r="Z174" i="5"/>
  <c r="AA174" i="5" s="1"/>
  <c r="AH148" i="5"/>
  <c r="AI148" i="5" s="1"/>
  <c r="AB148" i="5"/>
  <c r="AO148" i="5" s="1"/>
  <c r="AQ72" i="5"/>
  <c r="BA72" i="5" s="1"/>
  <c r="AB72" i="5"/>
  <c r="AW72" i="5" s="1"/>
  <c r="AB166" i="5"/>
  <c r="AO166" i="5" s="1"/>
  <c r="AR166" i="5" s="1"/>
  <c r="AS166" i="5" s="1"/>
  <c r="Z166" i="5"/>
  <c r="AA166" i="5" s="1"/>
  <c r="AB106" i="5"/>
  <c r="AO106" i="5" s="1"/>
  <c r="Z106" i="5"/>
  <c r="AA106" i="5" s="1"/>
  <c r="AQ89" i="5"/>
  <c r="BA89" i="5" s="1"/>
  <c r="Z89" i="5"/>
  <c r="AA89" i="5" s="1"/>
  <c r="AJ36" i="5"/>
  <c r="AD36" i="5"/>
  <c r="BP7" i="5"/>
  <c r="BN7" i="5"/>
  <c r="AH90" i="5"/>
  <c r="AI90" i="5" s="1"/>
  <c r="AJ90" i="5" s="1"/>
  <c r="AB90" i="5"/>
  <c r="AO90" i="5" s="1"/>
  <c r="AQ90" i="5"/>
  <c r="BA90" i="5" s="1"/>
  <c r="Z90" i="5"/>
  <c r="AA90" i="5" s="1"/>
  <c r="BN151" i="5"/>
  <c r="BP151" i="5"/>
  <c r="AZ37" i="5"/>
  <c r="Z85" i="5"/>
  <c r="AA85" i="5" s="1"/>
  <c r="Z223" i="5"/>
  <c r="AA223" i="5" s="1"/>
  <c r="AL189" i="5"/>
  <c r="AQ173" i="5"/>
  <c r="BA173" i="5" s="1"/>
  <c r="AB202" i="5"/>
  <c r="AW202" i="5" s="1"/>
  <c r="AQ159" i="5"/>
  <c r="BA159" i="5" s="1"/>
  <c r="Z132" i="5"/>
  <c r="AA132" i="5" s="1"/>
  <c r="AD88" i="5"/>
  <c r="AB65" i="5"/>
  <c r="AW65" i="5" s="1"/>
  <c r="AL91" i="5"/>
  <c r="AL98" i="5"/>
  <c r="AL48" i="5"/>
  <c r="AJ3" i="5"/>
  <c r="AL179" i="5"/>
  <c r="BN218" i="5"/>
  <c r="AQ223" i="5"/>
  <c r="BA223" i="5" s="1"/>
  <c r="AQ210" i="5"/>
  <c r="BA210" i="5" s="1"/>
  <c r="U184" i="5"/>
  <c r="AL184" i="5"/>
  <c r="AB150" i="5"/>
  <c r="AO150" i="5" s="1"/>
  <c r="AQ150" i="5"/>
  <c r="BA150" i="5" s="1"/>
  <c r="AZ183" i="5"/>
  <c r="U136" i="5"/>
  <c r="AL136" i="5"/>
  <c r="AQ211" i="5"/>
  <c r="BA211" i="5" s="1"/>
  <c r="AQ142" i="5"/>
  <c r="BA142" i="5" s="1"/>
  <c r="AB173" i="5"/>
  <c r="AW173" i="5" s="1"/>
  <c r="Z17" i="5"/>
  <c r="AA17" i="5" s="1"/>
  <c r="Z172" i="5"/>
  <c r="AA172" i="5" s="1"/>
  <c r="AQ172" i="5"/>
  <c r="BA172" i="5" s="1"/>
  <c r="BP84" i="5"/>
  <c r="BN84" i="5"/>
  <c r="AB11" i="5"/>
  <c r="AW11" i="5" s="1"/>
  <c r="Z11" i="5"/>
  <c r="AA11" i="5" s="1"/>
  <c r="Z95" i="5"/>
  <c r="AA95" i="5" s="1"/>
  <c r="AB95" i="5"/>
  <c r="AW95" i="5" s="1"/>
  <c r="AQ95" i="5"/>
  <c r="BA95" i="5" s="1"/>
  <c r="AL39" i="5"/>
  <c r="U39" i="5"/>
  <c r="AB74" i="5"/>
  <c r="AW74" i="5" s="1"/>
  <c r="U67" i="5"/>
  <c r="AL67" i="5"/>
  <c r="W161" i="5"/>
  <c r="Z161" i="5" s="1"/>
  <c r="AA161" i="5" s="1"/>
  <c r="AL161" i="5"/>
  <c r="W57" i="5"/>
  <c r="Z57" i="5" s="1"/>
  <c r="AA57" i="5" s="1"/>
  <c r="AL57" i="5"/>
  <c r="AH204" i="5"/>
  <c r="AI204" i="5" s="1"/>
  <c r="AJ204" i="5" s="1"/>
  <c r="AB204" i="5"/>
  <c r="AW204" i="5" s="1"/>
  <c r="AL223" i="5"/>
  <c r="AZ199" i="5"/>
  <c r="Z180" i="5"/>
  <c r="AA180" i="5" s="1"/>
  <c r="AQ180" i="5"/>
  <c r="BA180" i="5" s="1"/>
  <c r="AB140" i="5"/>
  <c r="Z140" i="5"/>
  <c r="AA140" i="5" s="1"/>
  <c r="AJ168" i="5"/>
  <c r="AD168" i="5"/>
  <c r="AQ129" i="5"/>
  <c r="BA129" i="5" s="1"/>
  <c r="AQ163" i="5"/>
  <c r="BA163" i="5" s="1"/>
  <c r="AB163" i="5"/>
  <c r="BN135" i="5"/>
  <c r="BP135" i="5"/>
  <c r="W129" i="5"/>
  <c r="Z129" i="5" s="1"/>
  <c r="AA129" i="5" s="1"/>
  <c r="AL129" i="5"/>
  <c r="U100" i="5"/>
  <c r="AL100" i="5"/>
  <c r="AB117" i="5"/>
  <c r="AQ117" i="5"/>
  <c r="BA117" i="5" s="1"/>
  <c r="AH135" i="5"/>
  <c r="AI135" i="5" s="1"/>
  <c r="Z135" i="5"/>
  <c r="AA135" i="5" s="1"/>
  <c r="BN6" i="5"/>
  <c r="BP6" i="5"/>
  <c r="Z47" i="5"/>
  <c r="AA47" i="5" s="1"/>
  <c r="AB47" i="5"/>
  <c r="AW47" i="5" s="1"/>
  <c r="U31" i="5"/>
  <c r="AL31" i="5"/>
  <c r="Z33" i="5"/>
  <c r="AA33" i="5" s="1"/>
  <c r="AQ33" i="5"/>
  <c r="BA33" i="5" s="1"/>
  <c r="Z67" i="5"/>
  <c r="AA67" i="5" s="1"/>
  <c r="AQ67" i="5"/>
  <c r="BA67" i="5" s="1"/>
  <c r="AB67" i="5"/>
  <c r="Z19" i="5"/>
  <c r="AA19" i="5" s="1"/>
  <c r="AL130" i="5"/>
  <c r="U130" i="5"/>
  <c r="AH18" i="5"/>
  <c r="AI18" i="5" s="1"/>
  <c r="Z18" i="5"/>
  <c r="AA18" i="5" s="1"/>
  <c r="AB109" i="5"/>
  <c r="AW109" i="5" s="1"/>
  <c r="Z109" i="5"/>
  <c r="AA109" i="5" s="1"/>
  <c r="AQ35" i="5"/>
  <c r="BA35" i="5" s="1"/>
  <c r="AB35" i="5"/>
  <c r="AD22" i="5"/>
  <c r="U80" i="5"/>
  <c r="AL80" i="5"/>
  <c r="AQ56" i="5"/>
  <c r="BA56" i="5" s="1"/>
  <c r="AB56" i="5"/>
  <c r="AO56" i="5" s="1"/>
  <c r="BP11" i="5"/>
  <c r="BN11" i="5"/>
  <c r="AZ46" i="5"/>
  <c r="U200" i="5"/>
  <c r="AL200" i="5"/>
  <c r="AL134" i="5"/>
  <c r="U134" i="5"/>
  <c r="AD85" i="5"/>
  <c r="AJ85" i="5"/>
  <c r="AL40" i="5"/>
  <c r="U40" i="5"/>
  <c r="Z91" i="5"/>
  <c r="AA91" i="5" s="1"/>
  <c r="AZ135" i="5"/>
  <c r="U95" i="5"/>
  <c r="AL95" i="5"/>
  <c r="U121" i="5"/>
  <c r="AL121" i="5"/>
  <c r="AQ53" i="5"/>
  <c r="BA53" i="5" s="1"/>
  <c r="AB53" i="5"/>
  <c r="AW53" i="5" s="1"/>
  <c r="Z53" i="5"/>
  <c r="AA53" i="5" s="1"/>
  <c r="W12" i="5"/>
  <c r="Z12" i="5" s="1"/>
  <c r="AA12" i="5" s="1"/>
  <c r="AL12" i="5"/>
  <c r="AQ66" i="5"/>
  <c r="BA66" i="5" s="1"/>
  <c r="Z66" i="5"/>
  <c r="AA66" i="5" s="1"/>
  <c r="AQ65" i="5"/>
  <c r="BA65" i="5" s="1"/>
  <c r="AB153" i="5"/>
  <c r="AO153" i="5" s="1"/>
  <c r="Z153" i="5"/>
  <c r="AA153" i="5" s="1"/>
  <c r="AL141" i="5"/>
  <c r="U141" i="5"/>
  <c r="AJ200" i="5"/>
  <c r="AH205" i="5"/>
  <c r="AI205" i="5" s="1"/>
  <c r="AB205" i="5"/>
  <c r="AW205" i="5" s="1"/>
  <c r="AJ157" i="5"/>
  <c r="AD157" i="5"/>
  <c r="W112" i="5"/>
  <c r="Z112" i="5" s="1"/>
  <c r="AA112" i="5" s="1"/>
  <c r="AD112" i="5"/>
  <c r="AJ112" i="5"/>
  <c r="U172" i="5"/>
  <c r="BP134" i="5"/>
  <c r="AL85" i="5"/>
  <c r="AL65" i="5"/>
  <c r="U101" i="5"/>
  <c r="AB33" i="5"/>
  <c r="AJ164" i="5"/>
  <c r="AD164" i="5"/>
  <c r="W165" i="5"/>
  <c r="Z165" i="5" s="1"/>
  <c r="AA165" i="5" s="1"/>
  <c r="AJ165" i="5"/>
  <c r="AD165" i="5"/>
  <c r="AJ152" i="5"/>
  <c r="AL152" i="5"/>
  <c r="W152" i="5"/>
  <c r="Z152" i="5" s="1"/>
  <c r="AA152" i="5" s="1"/>
  <c r="AZ209" i="5"/>
  <c r="AZ179" i="5"/>
  <c r="AJ137" i="5"/>
  <c r="AZ140" i="5"/>
  <c r="AQ199" i="5"/>
  <c r="BA199" i="5" s="1"/>
  <c r="AL168" i="5"/>
  <c r="U144" i="5"/>
  <c r="AL144" i="5"/>
  <c r="AD222" i="5"/>
  <c r="AJ222" i="5"/>
  <c r="AD152" i="5"/>
  <c r="U186" i="5"/>
  <c r="AL186" i="5"/>
  <c r="W191" i="5"/>
  <c r="Z191" i="5" s="1"/>
  <c r="AA191" i="5" s="1"/>
  <c r="AL191" i="5"/>
  <c r="Z145" i="5"/>
  <c r="AA145" i="5" s="1"/>
  <c r="AQ156" i="5"/>
  <c r="BA156" i="5" s="1"/>
  <c r="AB156" i="5"/>
  <c r="AW156" i="5" s="1"/>
  <c r="AQ214" i="5"/>
  <c r="BA214" i="5" s="1"/>
  <c r="Z214" i="5"/>
  <c r="AA214" i="5" s="1"/>
  <c r="AB214" i="5"/>
  <c r="AO214" i="5" s="1"/>
  <c r="AL165" i="5"/>
  <c r="U165" i="5"/>
  <c r="AZ127" i="5"/>
  <c r="W128" i="5"/>
  <c r="Z128" i="5" s="1"/>
  <c r="AA128" i="5" s="1"/>
  <c r="AL128" i="5"/>
  <c r="AZ89" i="5"/>
  <c r="AZ221" i="5"/>
  <c r="AQ114" i="5"/>
  <c r="BA114" i="5" s="1"/>
  <c r="Z114" i="5"/>
  <c r="AA114" i="5" s="1"/>
  <c r="W116" i="5"/>
  <c r="Z116" i="5" s="1"/>
  <c r="AA116" i="5" s="1"/>
  <c r="AJ116" i="5"/>
  <c r="AL116" i="5"/>
  <c r="AB100" i="5"/>
  <c r="AW100" i="5" s="1"/>
  <c r="AQ100" i="5"/>
  <c r="BA100" i="5" s="1"/>
  <c r="Z100" i="5"/>
  <c r="AA100" i="5" s="1"/>
  <c r="AB87" i="5"/>
  <c r="AO87" i="5" s="1"/>
  <c r="AR87" i="5" s="1"/>
  <c r="AH87" i="5"/>
  <c r="AI87" i="5" s="1"/>
  <c r="BP73" i="5"/>
  <c r="BN73" i="5"/>
  <c r="AQ148" i="5"/>
  <c r="BA148" i="5" s="1"/>
  <c r="AL114" i="5"/>
  <c r="U114" i="5"/>
  <c r="AB85" i="5"/>
  <c r="AB164" i="5"/>
  <c r="AO164" i="5" s="1"/>
  <c r="AR164" i="5" s="1"/>
  <c r="AS164" i="5" s="1"/>
  <c r="AB104" i="5"/>
  <c r="Z104" i="5"/>
  <c r="AA104" i="5" s="1"/>
  <c r="AQ104" i="5"/>
  <c r="BA104" i="5" s="1"/>
  <c r="AB133" i="5"/>
  <c r="AW133" i="5" s="1"/>
  <c r="Z133" i="5"/>
  <c r="AA133" i="5" s="1"/>
  <c r="AQ133" i="5"/>
  <c r="BA133" i="5" s="1"/>
  <c r="U15" i="5"/>
  <c r="AL15" i="5"/>
  <c r="AH77" i="5"/>
  <c r="AI77" i="5" s="1"/>
  <c r="AD77" i="5" s="1"/>
  <c r="AB77" i="5"/>
  <c r="AO77" i="5" s="1"/>
  <c r="AL17" i="5"/>
  <c r="U17" i="5"/>
  <c r="Z78" i="5"/>
  <c r="AA78" i="5" s="1"/>
  <c r="AH78" i="5"/>
  <c r="AI78" i="5" s="1"/>
  <c r="AD78" i="5" s="1"/>
  <c r="AJ31" i="5"/>
  <c r="AD31" i="5"/>
  <c r="AQ5" i="5"/>
  <c r="BA5" i="5" s="1"/>
  <c r="AB5" i="5"/>
  <c r="AW5" i="5" s="1"/>
  <c r="AQ50" i="5"/>
  <c r="BA50" i="5" s="1"/>
  <c r="AB50" i="5"/>
  <c r="AO50" i="5" s="1"/>
  <c r="Z50" i="5"/>
  <c r="AA50" i="5" s="1"/>
  <c r="AB29" i="5"/>
  <c r="AW29" i="5" s="1"/>
  <c r="AQ29" i="5"/>
  <c r="BA29" i="5" s="1"/>
  <c r="AL16" i="5"/>
  <c r="U16" i="5"/>
  <c r="AQ45" i="5"/>
  <c r="BA45" i="5" s="1"/>
  <c r="AZ36" i="5"/>
  <c r="Z74" i="5"/>
  <c r="AA74" i="5" s="1"/>
  <c r="AL209" i="5"/>
  <c r="U209" i="5"/>
  <c r="AL87" i="5"/>
  <c r="U87" i="5"/>
  <c r="AB93" i="5"/>
  <c r="AO93" i="5" s="1"/>
  <c r="AQ93" i="5"/>
  <c r="BA93" i="5" s="1"/>
  <c r="Z93" i="5"/>
  <c r="AA93" i="5" s="1"/>
  <c r="AQ189" i="5"/>
  <c r="AB189" i="5"/>
  <c r="AW189" i="5" s="1"/>
  <c r="U35" i="5"/>
  <c r="AD145" i="5"/>
  <c r="AJ145" i="5"/>
  <c r="Z217" i="5"/>
  <c r="AA217" i="5" s="1"/>
  <c r="AB217" i="5"/>
  <c r="AO217" i="5" s="1"/>
  <c r="AQ135" i="5"/>
  <c r="BA135" i="5" s="1"/>
  <c r="AB137" i="5"/>
  <c r="AW137" i="5" s="1"/>
  <c r="AB188" i="5"/>
  <c r="AO188" i="5" s="1"/>
  <c r="AL72" i="5"/>
  <c r="AL79" i="5"/>
  <c r="AL178" i="5"/>
  <c r="U178" i="5"/>
  <c r="U195" i="5"/>
  <c r="Z156" i="5"/>
  <c r="AA156" i="5" s="1"/>
  <c r="AD181" i="5"/>
  <c r="AL160" i="5"/>
  <c r="AL124" i="5"/>
  <c r="W119" i="5"/>
  <c r="Z119" i="5" s="1"/>
  <c r="AA119" i="5" s="1"/>
  <c r="AB45" i="5"/>
  <c r="AO45" i="5" s="1"/>
  <c r="AQ60" i="5"/>
  <c r="BA60" i="5" s="1"/>
  <c r="Z36" i="5"/>
  <c r="AA36" i="5" s="1"/>
  <c r="AB23" i="5"/>
  <c r="AO23" i="5" s="1"/>
  <c r="U24" i="5"/>
  <c r="AQ166" i="5"/>
  <c r="BA166" i="5" s="1"/>
  <c r="AD185" i="5"/>
  <c r="Z200" i="5"/>
  <c r="AA200" i="5" s="1"/>
  <c r="BP47" i="5"/>
  <c r="Z207" i="5"/>
  <c r="AA207" i="5" s="1"/>
  <c r="AZ177" i="5"/>
  <c r="W163" i="5"/>
  <c r="Z163" i="5" s="1"/>
  <c r="AA163" i="5" s="1"/>
  <c r="AL163" i="5"/>
  <c r="U182" i="5"/>
  <c r="AL182" i="5"/>
  <c r="U153" i="5"/>
  <c r="AL153" i="5"/>
  <c r="U206" i="5"/>
  <c r="AL206" i="5"/>
  <c r="AD163" i="5"/>
  <c r="AJ163" i="5"/>
  <c r="U197" i="5"/>
  <c r="AL197" i="5"/>
  <c r="AZ184" i="5"/>
  <c r="AL137" i="5"/>
  <c r="U137" i="5"/>
  <c r="AQ202" i="5"/>
  <c r="BA202" i="5" s="1"/>
  <c r="Z202" i="5"/>
  <c r="AA202" i="5" s="1"/>
  <c r="AB171" i="5"/>
  <c r="AO171" i="5" s="1"/>
  <c r="U154" i="5"/>
  <c r="AL154" i="5"/>
  <c r="Z142" i="5"/>
  <c r="AA142" i="5" s="1"/>
  <c r="AH203" i="5"/>
  <c r="AI203" i="5" s="1"/>
  <c r="AB203" i="5"/>
  <c r="AW203" i="5" s="1"/>
  <c r="AQ128" i="5"/>
  <c r="BA128" i="5" s="1"/>
  <c r="Z107" i="5"/>
  <c r="AA107" i="5" s="1"/>
  <c r="AB107" i="5"/>
  <c r="AW107" i="5" s="1"/>
  <c r="AQ107" i="5"/>
  <c r="BA107" i="5" s="1"/>
  <c r="Z212" i="5"/>
  <c r="AA212" i="5" s="1"/>
  <c r="AQ212" i="5"/>
  <c r="BA212" i="5" s="1"/>
  <c r="AJ215" i="5"/>
  <c r="AQ124" i="5"/>
  <c r="BA124" i="5" s="1"/>
  <c r="AD3" i="5"/>
  <c r="W171" i="5"/>
  <c r="Z171" i="5" s="1"/>
  <c r="AA171" i="5" s="1"/>
  <c r="AL171" i="5"/>
  <c r="Z215" i="5"/>
  <c r="AA215" i="5" s="1"/>
  <c r="AB138" i="5"/>
  <c r="AQ138" i="5"/>
  <c r="BA138" i="5" s="1"/>
  <c r="U83" i="5"/>
  <c r="AL83" i="5"/>
  <c r="BP60" i="5"/>
  <c r="BN60" i="5"/>
  <c r="AQ37" i="5"/>
  <c r="BA37" i="5" s="1"/>
  <c r="W143" i="5"/>
  <c r="Z143" i="5" s="1"/>
  <c r="AA143" i="5" s="1"/>
  <c r="AL143" i="5"/>
  <c r="AL131" i="5"/>
  <c r="U131" i="5"/>
  <c r="AL97" i="5"/>
  <c r="U97" i="5"/>
  <c r="AL51" i="5"/>
  <c r="U51" i="5"/>
  <c r="W55" i="5"/>
  <c r="Z55" i="5" s="1"/>
  <c r="AA55" i="5" s="1"/>
  <c r="AL55" i="5"/>
  <c r="AB64" i="5"/>
  <c r="AW64" i="5" s="1"/>
  <c r="Z64" i="5"/>
  <c r="AA64" i="5" s="1"/>
  <c r="AQ224" i="5"/>
  <c r="BA224" i="5" s="1"/>
  <c r="AB42" i="5"/>
  <c r="AW42" i="5" s="1"/>
  <c r="Z138" i="5"/>
  <c r="AA138" i="5" s="1"/>
  <c r="Z157" i="5"/>
  <c r="AA157" i="5" s="1"/>
  <c r="AB207" i="5"/>
  <c r="AQ140" i="5"/>
  <c r="BA140" i="5" s="1"/>
  <c r="AB168" i="5"/>
  <c r="AW168" i="5" s="1"/>
  <c r="AQ171" i="5"/>
  <c r="BA171" i="5" s="1"/>
  <c r="Z137" i="5"/>
  <c r="AA137" i="5" s="1"/>
  <c r="BN117" i="5"/>
  <c r="Z185" i="5"/>
  <c r="AA185" i="5" s="1"/>
  <c r="AQ109" i="5"/>
  <c r="BA109" i="5" s="1"/>
  <c r="AQ87" i="5"/>
  <c r="BA87" i="5" s="1"/>
  <c r="AZ194" i="5"/>
  <c r="Z126" i="5"/>
  <c r="AA126" i="5" s="1"/>
  <c r="AB184" i="5"/>
  <c r="AO184" i="5" s="1"/>
  <c r="AQ188" i="5"/>
  <c r="BA188" i="5" s="1"/>
  <c r="BN169" i="5"/>
  <c r="AQ146" i="5"/>
  <c r="BA146" i="5" s="1"/>
  <c r="AL138" i="5"/>
  <c r="AL81" i="5"/>
  <c r="AL26" i="5"/>
  <c r="AD220" i="5"/>
  <c r="AQ207" i="5"/>
  <c r="BA207" i="5" s="1"/>
  <c r="AB192" i="5"/>
  <c r="AW192" i="5" s="1"/>
  <c r="AB191" i="5"/>
  <c r="AO191" i="5" s="1"/>
  <c r="AQ206" i="5"/>
  <c r="BA206" i="5" s="1"/>
  <c r="W196" i="5"/>
  <c r="Z196" i="5" s="1"/>
  <c r="AA196" i="5" s="1"/>
  <c r="Z160" i="5"/>
  <c r="AA160" i="5" s="1"/>
  <c r="Z88" i="5"/>
  <c r="AA88" i="5" s="1"/>
  <c r="AB120" i="5"/>
  <c r="AO120" i="5" s="1"/>
  <c r="AJ119" i="5"/>
  <c r="AL32" i="5"/>
  <c r="AQ23" i="5"/>
  <c r="BA23" i="5" s="1"/>
  <c r="AL164" i="5"/>
  <c r="AL64" i="5"/>
  <c r="U223" i="5"/>
  <c r="AB180" i="5"/>
  <c r="AB200" i="5"/>
  <c r="AB18" i="5"/>
  <c r="AO18" i="5" s="1"/>
  <c r="AL18" i="5"/>
  <c r="AJ33" i="5"/>
  <c r="AD109" i="5"/>
  <c r="AJ109" i="5"/>
  <c r="AB96" i="5"/>
  <c r="AW96" i="5" s="1"/>
  <c r="AQ96" i="5"/>
  <c r="BA96" i="5" s="1"/>
  <c r="BP39" i="5"/>
  <c r="BN39" i="5"/>
  <c r="U23" i="5"/>
  <c r="AL23" i="5"/>
  <c r="AB6" i="5"/>
  <c r="AO6" i="5" s="1"/>
  <c r="Z6" i="5"/>
  <c r="AA6" i="5" s="1"/>
  <c r="AQ6" i="5"/>
  <c r="BA6" i="5" s="1"/>
  <c r="AB9" i="5"/>
  <c r="AW9" i="5" s="1"/>
  <c r="AQ9" i="5"/>
  <c r="BA9" i="5" s="1"/>
  <c r="AB8" i="5"/>
  <c r="AO8" i="5" s="1"/>
  <c r="AL185" i="5"/>
  <c r="U185" i="5"/>
  <c r="AZ145" i="5"/>
  <c r="Z94" i="5"/>
  <c r="AA94" i="5" s="1"/>
  <c r="W52" i="5"/>
  <c r="Z52" i="5" s="1"/>
  <c r="AA52" i="5" s="1"/>
  <c r="AL52" i="5"/>
  <c r="AH68" i="5"/>
  <c r="AI68" i="5" s="1"/>
  <c r="AJ68" i="5" s="1"/>
  <c r="AB68" i="5"/>
  <c r="AW68" i="5" s="1"/>
  <c r="Z68" i="5"/>
  <c r="AA68" i="5" s="1"/>
  <c r="AQ68" i="5"/>
  <c r="BA68" i="5" s="1"/>
  <c r="Z167" i="5"/>
  <c r="AA167" i="5" s="1"/>
  <c r="AL118" i="5"/>
  <c r="U118" i="5"/>
  <c r="AL119" i="5"/>
  <c r="AQ79" i="5"/>
  <c r="BA79" i="5" s="1"/>
  <c r="BN68" i="5"/>
  <c r="AL192" i="5"/>
  <c r="Z178" i="5"/>
  <c r="AA178" i="5" s="1"/>
  <c r="AQ178" i="5"/>
  <c r="BA178" i="5" s="1"/>
  <c r="AH151" i="5"/>
  <c r="AI151" i="5" s="1"/>
  <c r="AB151" i="5"/>
  <c r="AW151" i="5" s="1"/>
  <c r="AB218" i="5"/>
  <c r="AO218" i="5" s="1"/>
  <c r="AQ115" i="5"/>
  <c r="BA115" i="5" s="1"/>
  <c r="Z51" i="5"/>
  <c r="AA51" i="5" s="1"/>
  <c r="Z5" i="5"/>
  <c r="AA5" i="5" s="1"/>
  <c r="AQ164" i="5"/>
  <c r="BA164" i="5" s="1"/>
  <c r="Z130" i="5"/>
  <c r="AA130" i="5" s="1"/>
  <c r="AL9" i="5"/>
  <c r="AD33" i="5"/>
  <c r="U106" i="5"/>
  <c r="AL106" i="5"/>
  <c r="W205" i="5"/>
  <c r="Z205" i="5" s="1"/>
  <c r="AA205" i="5" s="1"/>
  <c r="AL205" i="5"/>
  <c r="U111" i="5"/>
  <c r="AL111" i="5"/>
  <c r="AB38" i="5"/>
  <c r="AW38" i="5" s="1"/>
  <c r="AQ38" i="5"/>
  <c r="BA38" i="5" s="1"/>
  <c r="W27" i="5"/>
  <c r="Z27" i="5" s="1"/>
  <c r="AA27" i="5" s="1"/>
  <c r="AL27" i="5"/>
  <c r="AL61" i="5"/>
  <c r="U61" i="5"/>
  <c r="Z122" i="5"/>
  <c r="AA122" i="5" s="1"/>
  <c r="AJ121" i="5"/>
  <c r="AB94" i="5"/>
  <c r="AW94" i="5" s="1"/>
  <c r="AQ197" i="5"/>
  <c r="BA197" i="5" s="1"/>
  <c r="BP219" i="5"/>
  <c r="BN219" i="5"/>
  <c r="Z179" i="5"/>
  <c r="AA179" i="5" s="1"/>
  <c r="AQ179" i="5"/>
  <c r="BA179" i="5" s="1"/>
  <c r="U90" i="5"/>
  <c r="AL90" i="5"/>
  <c r="U78" i="5"/>
  <c r="AL78" i="5"/>
  <c r="AB224" i="5"/>
  <c r="AW224" i="5" s="1"/>
  <c r="AL94" i="5"/>
  <c r="Z79" i="5"/>
  <c r="AA79" i="5" s="1"/>
  <c r="AQ218" i="5"/>
  <c r="BA218" i="5" s="1"/>
  <c r="AB197" i="5"/>
  <c r="AO197" i="5" s="1"/>
  <c r="AB131" i="5"/>
  <c r="AO131" i="5" s="1"/>
  <c r="AL104" i="5"/>
  <c r="AL82" i="5"/>
  <c r="AQ216" i="5"/>
  <c r="BA216" i="5" s="1"/>
  <c r="AB199" i="5"/>
  <c r="AW199" i="5" s="1"/>
  <c r="AL188" i="5"/>
  <c r="AL196" i="5"/>
  <c r="AL159" i="5"/>
  <c r="AL140" i="5"/>
  <c r="AQ153" i="5"/>
  <c r="BA153" i="5" s="1"/>
  <c r="AD137" i="5"/>
  <c r="AB134" i="5"/>
  <c r="AW134" i="5" s="1"/>
  <c r="AB123" i="5"/>
  <c r="AO123" i="5" s="1"/>
  <c r="BN106" i="5"/>
  <c r="Z76" i="5"/>
  <c r="AA76" i="5" s="1"/>
  <c r="AD82" i="5"/>
  <c r="AB37" i="5"/>
  <c r="AO37" i="5" s="1"/>
  <c r="AL156" i="5"/>
  <c r="U214" i="5"/>
  <c r="AH218" i="5"/>
  <c r="AI218" i="5" s="1"/>
  <c r="AJ218" i="5" s="1"/>
  <c r="AB161" i="5"/>
  <c r="AO161" i="5" s="1"/>
  <c r="AD184" i="5"/>
  <c r="BN187" i="5"/>
  <c r="Z131" i="5"/>
  <c r="AA131" i="5" s="1"/>
  <c r="AQ136" i="5"/>
  <c r="BA136" i="5" s="1"/>
  <c r="AQ127" i="5"/>
  <c r="BA127" i="5" s="1"/>
  <c r="AL103" i="5"/>
  <c r="AQ123" i="5"/>
  <c r="BA123" i="5" s="1"/>
  <c r="AL109" i="5"/>
  <c r="AL62" i="5"/>
  <c r="AH52" i="5"/>
  <c r="AI52" i="5" s="1"/>
  <c r="AJ52" i="5" s="1"/>
  <c r="AL213" i="5"/>
  <c r="AL93" i="5"/>
  <c r="Z60" i="5"/>
  <c r="AA60" i="5" s="1"/>
  <c r="AD199" i="5"/>
  <c r="AJ199" i="5"/>
  <c r="AZ137" i="5"/>
  <c r="AZ202" i="5"/>
  <c r="Z189" i="5"/>
  <c r="AA189" i="5" s="1"/>
  <c r="AL174" i="5"/>
  <c r="U174" i="5"/>
  <c r="AZ143" i="5"/>
  <c r="AL218" i="5"/>
  <c r="AZ203" i="5"/>
  <c r="AL194" i="5"/>
  <c r="AL224" i="5"/>
  <c r="AL133" i="5"/>
  <c r="AQ165" i="5"/>
  <c r="BA165" i="5" s="1"/>
  <c r="AL120" i="5"/>
  <c r="U120" i="5"/>
  <c r="AQ81" i="5"/>
  <c r="BA81" i="5" s="1"/>
  <c r="AZ193" i="5"/>
  <c r="U76" i="5"/>
  <c r="AL76" i="5"/>
  <c r="AQ119" i="5"/>
  <c r="BA119" i="5" s="1"/>
  <c r="AB119" i="5"/>
  <c r="AW119" i="5" s="1"/>
  <c r="AZ72" i="5"/>
  <c r="AZ118" i="5"/>
  <c r="W181" i="5"/>
  <c r="Z181" i="5" s="1"/>
  <c r="AA181" i="5" s="1"/>
  <c r="AL181" i="5"/>
  <c r="AH80" i="5"/>
  <c r="AI80" i="5" s="1"/>
  <c r="AB80" i="5"/>
  <c r="AO80" i="5" s="1"/>
  <c r="Z80" i="5"/>
  <c r="AA80" i="5" s="1"/>
  <c r="AQ22" i="5"/>
  <c r="Z22" i="5"/>
  <c r="AA22" i="5" s="1"/>
  <c r="AB22" i="5"/>
  <c r="AB62" i="5"/>
  <c r="AL34" i="5"/>
  <c r="U34" i="5"/>
  <c r="AB51" i="5"/>
  <c r="AO51" i="5" s="1"/>
  <c r="AB39" i="5"/>
  <c r="AW39" i="5" s="1"/>
  <c r="AQ39" i="5"/>
  <c r="BA39" i="5" s="1"/>
  <c r="AZ63" i="5"/>
  <c r="AZ83" i="5"/>
  <c r="Z65" i="5"/>
  <c r="AA65" i="5" s="1"/>
  <c r="AZ33" i="5"/>
  <c r="AB3" i="5"/>
  <c r="Z3" i="5"/>
  <c r="AA3" i="5" s="1"/>
  <c r="AQ3" i="5"/>
  <c r="BA3" i="5" s="1"/>
  <c r="Z58" i="5"/>
  <c r="AA58" i="5" s="1"/>
  <c r="AQ58" i="5"/>
  <c r="BA58" i="5" s="1"/>
  <c r="AB58" i="5"/>
  <c r="AO58" i="5" s="1"/>
  <c r="AZ7" i="5"/>
  <c r="AQ18" i="5"/>
  <c r="BA18" i="5" s="1"/>
  <c r="AZ86" i="5"/>
  <c r="AJ67" i="5"/>
  <c r="AD67" i="5"/>
  <c r="AZ181" i="5"/>
  <c r="U157" i="5"/>
  <c r="AL157" i="5"/>
  <c r="AL201" i="5"/>
  <c r="AB186" i="5"/>
  <c r="AW186" i="5" s="1"/>
  <c r="BP154" i="5"/>
  <c r="BN154" i="5"/>
  <c r="AZ217" i="5"/>
  <c r="AZ180" i="5"/>
  <c r="AQ147" i="5"/>
  <c r="BA147" i="5" s="1"/>
  <c r="AB147" i="5"/>
  <c r="AW147" i="5" s="1"/>
  <c r="Z147" i="5"/>
  <c r="AA147" i="5" s="1"/>
  <c r="AB222" i="5"/>
  <c r="AQ222" i="5"/>
  <c r="BA222" i="5" s="1"/>
  <c r="AQ158" i="5"/>
  <c r="BA158" i="5" s="1"/>
  <c r="AB158" i="5"/>
  <c r="AW158" i="5" s="1"/>
  <c r="AZ146" i="5"/>
  <c r="AQ168" i="5"/>
  <c r="BA168" i="5" s="1"/>
  <c r="Z168" i="5"/>
  <c r="AA168" i="5" s="1"/>
  <c r="Z117" i="5"/>
  <c r="AA117" i="5" s="1"/>
  <c r="AB99" i="5"/>
  <c r="AQ99" i="5"/>
  <c r="BA99" i="5" s="1"/>
  <c r="Z99" i="5"/>
  <c r="AA99" i="5" s="1"/>
  <c r="AZ223" i="5"/>
  <c r="AQ106" i="5"/>
  <c r="BA106" i="5" s="1"/>
  <c r="AZ130" i="5"/>
  <c r="AZ128" i="5"/>
  <c r="AD101" i="5"/>
  <c r="AJ101" i="5"/>
  <c r="U71" i="5"/>
  <c r="AL71" i="5"/>
  <c r="BP183" i="5"/>
  <c r="BN183" i="5"/>
  <c r="AB92" i="5"/>
  <c r="AO92" i="5" s="1"/>
  <c r="AH92" i="5"/>
  <c r="AI92" i="5" s="1"/>
  <c r="AJ92" i="5" s="1"/>
  <c r="AB130" i="5"/>
  <c r="AQ130" i="5"/>
  <c r="BA130" i="5" s="1"/>
  <c r="AL117" i="5"/>
  <c r="Z34" i="5"/>
  <c r="AA34" i="5" s="1"/>
  <c r="AQ34" i="5"/>
  <c r="BA34" i="5" s="1"/>
  <c r="AD21" i="5"/>
  <c r="AJ21" i="5"/>
  <c r="AB86" i="5"/>
  <c r="AO86" i="5" s="1"/>
  <c r="Z86" i="5"/>
  <c r="AA86" i="5" s="1"/>
  <c r="BP51" i="5"/>
  <c r="BN51" i="5"/>
  <c r="AZ23" i="5"/>
  <c r="AZ8" i="5"/>
  <c r="AZ87" i="5"/>
  <c r="AB4" i="5"/>
  <c r="Z4" i="5"/>
  <c r="AA4" i="5" s="1"/>
  <c r="AB2" i="5"/>
  <c r="AO2" i="5" s="1"/>
  <c r="AQ2" i="5"/>
  <c r="BA2" i="5" s="1"/>
  <c r="Z21" i="5"/>
  <c r="AA21" i="5" s="1"/>
  <c r="AQ77" i="5"/>
  <c r="BA77" i="5" s="1"/>
  <c r="AZ132" i="5"/>
  <c r="AQ63" i="5"/>
  <c r="BA63" i="5" s="1"/>
  <c r="AB63" i="5"/>
  <c r="AO63" i="5" s="1"/>
  <c r="AB34" i="5"/>
  <c r="AH34" i="5"/>
  <c r="AI34" i="5" s="1"/>
  <c r="AD34" i="5" s="1"/>
  <c r="BN18" i="5"/>
  <c r="BP18" i="5"/>
  <c r="W2" i="5"/>
  <c r="Z2" i="5" s="1"/>
  <c r="AA2" i="5" s="1"/>
  <c r="AL2" i="5"/>
  <c r="U6" i="5"/>
  <c r="AL6" i="5"/>
  <c r="AL13" i="5"/>
  <c r="U13" i="5"/>
  <c r="AH75" i="5"/>
  <c r="AI75" i="5" s="1"/>
  <c r="AJ75" i="5" s="1"/>
  <c r="Z75" i="5"/>
  <c r="AA75" i="5" s="1"/>
  <c r="U139" i="5"/>
  <c r="AL139" i="5"/>
  <c r="AZ198" i="5"/>
  <c r="AZ167" i="5"/>
  <c r="AL177" i="5"/>
  <c r="Z186" i="5"/>
  <c r="AA186" i="5" s="1"/>
  <c r="AH108" i="5"/>
  <c r="AI108" i="5" s="1"/>
  <c r="AB108" i="5"/>
  <c r="AW108" i="5" s="1"/>
  <c r="AB169" i="5"/>
  <c r="AW169" i="5" s="1"/>
  <c r="AQ169" i="5"/>
  <c r="BA169" i="5" s="1"/>
  <c r="AD127" i="5"/>
  <c r="AJ127" i="5"/>
  <c r="AZ112" i="5"/>
  <c r="AL145" i="5"/>
  <c r="AQ31" i="5"/>
  <c r="BA31" i="5" s="1"/>
  <c r="Z31" i="5"/>
  <c r="AA31" i="5" s="1"/>
  <c r="AB31" i="5"/>
  <c r="AW31" i="5" s="1"/>
  <c r="AZ2" i="5"/>
  <c r="U60" i="5"/>
  <c r="AL60" i="5"/>
  <c r="AL47" i="5"/>
  <c r="U47" i="5"/>
  <c r="AD2" i="5"/>
  <c r="AJ2" i="5"/>
  <c r="AQ46" i="5"/>
  <c r="BA46" i="5" s="1"/>
  <c r="Z46" i="5"/>
  <c r="AA46" i="5" s="1"/>
  <c r="AB46" i="5"/>
  <c r="AO46" i="5" s="1"/>
  <c r="AQ122" i="5"/>
  <c r="BA122" i="5" s="1"/>
  <c r="AB122" i="5"/>
  <c r="AW122" i="5" s="1"/>
  <c r="AB48" i="5"/>
  <c r="AO48" i="5" s="1"/>
  <c r="Z48" i="5"/>
  <c r="AA48" i="5" s="1"/>
  <c r="AL66" i="5"/>
  <c r="U66" i="5"/>
  <c r="AZ27" i="5"/>
  <c r="AL3" i="5"/>
  <c r="U3" i="5"/>
  <c r="AZ26" i="5"/>
  <c r="AZ24" i="5"/>
  <c r="AD116" i="5"/>
  <c r="Z35" i="5"/>
  <c r="AA35" i="5" s="1"/>
  <c r="U218" i="5"/>
  <c r="AL151" i="5"/>
  <c r="AQ116" i="5"/>
  <c r="BA116" i="5" s="1"/>
  <c r="AQ59" i="5"/>
  <c r="BA59" i="5" s="1"/>
  <c r="AB81" i="5"/>
  <c r="AW81" i="5" s="1"/>
  <c r="AQ51" i="5"/>
  <c r="BA51" i="5" s="1"/>
  <c r="AL88" i="5"/>
  <c r="AL20" i="5"/>
  <c r="AL135" i="5"/>
  <c r="AL222" i="5"/>
  <c r="AQ182" i="5"/>
  <c r="BA182" i="5" s="1"/>
  <c r="AQ139" i="5"/>
  <c r="BA139" i="5" s="1"/>
  <c r="Z141" i="5"/>
  <c r="AA141" i="5" s="1"/>
  <c r="AH84" i="5"/>
  <c r="AI84" i="5" s="1"/>
  <c r="AJ84" i="5" s="1"/>
  <c r="AL46" i="5"/>
  <c r="AB165" i="5"/>
  <c r="AW165" i="5" s="1"/>
  <c r="BN180" i="5"/>
  <c r="BP180" i="5"/>
  <c r="Z111" i="5"/>
  <c r="AA111" i="5" s="1"/>
  <c r="W84" i="5"/>
  <c r="Z84" i="5" s="1"/>
  <c r="AA84" i="5" s="1"/>
  <c r="AL84" i="5"/>
  <c r="AQ71" i="5"/>
  <c r="BA71" i="5" s="1"/>
  <c r="AJ82" i="5"/>
  <c r="AL112" i="5"/>
  <c r="U112" i="5"/>
  <c r="W61" i="5"/>
  <c r="Z61" i="5" s="1"/>
  <c r="AA61" i="5" s="1"/>
  <c r="AD61" i="5"/>
  <c r="AZ131" i="5"/>
  <c r="AZ32" i="5"/>
  <c r="AB12" i="5"/>
  <c r="AO12" i="5" s="1"/>
  <c r="AQ12" i="5"/>
  <c r="BA12" i="5" s="1"/>
  <c r="BN87" i="5"/>
  <c r="BP87" i="5"/>
  <c r="AZ58" i="5"/>
  <c r="AQ30" i="5"/>
  <c r="BA30" i="5" s="1"/>
  <c r="U30" i="5"/>
  <c r="AL30" i="5"/>
  <c r="AZ64" i="5"/>
  <c r="AB32" i="5"/>
  <c r="AQ32" i="5"/>
  <c r="BA32" i="5" s="1"/>
  <c r="Z32" i="5"/>
  <c r="AA32" i="5" s="1"/>
  <c r="U5" i="5"/>
  <c r="AL5" i="5"/>
  <c r="AZ53" i="5"/>
  <c r="AQ40" i="5"/>
  <c r="BA40" i="5" s="1"/>
  <c r="AB40" i="5"/>
  <c r="AW40" i="5" s="1"/>
  <c r="AQ10" i="5"/>
  <c r="BA10" i="5" s="1"/>
  <c r="AB10" i="5"/>
  <c r="AO10" i="5" s="1"/>
  <c r="U21" i="5"/>
  <c r="AL21" i="5"/>
  <c r="AZ59" i="5"/>
  <c r="AZ20" i="5"/>
  <c r="U19" i="5"/>
  <c r="AL19" i="5"/>
  <c r="Z204" i="5"/>
  <c r="AA204" i="5" s="1"/>
  <c r="Z154" i="5"/>
  <c r="AA154" i="5" s="1"/>
  <c r="AB71" i="5"/>
  <c r="AW71" i="5" s="1"/>
  <c r="AD73" i="5"/>
  <c r="BN13" i="5"/>
  <c r="AL45" i="5"/>
  <c r="AL73" i="5"/>
  <c r="AD215" i="5"/>
  <c r="U110" i="5"/>
  <c r="AB124" i="5"/>
  <c r="AW124" i="5" s="1"/>
  <c r="AB73" i="5"/>
  <c r="AW73" i="5" s="1"/>
  <c r="AJ110" i="5"/>
  <c r="AL167" i="5"/>
  <c r="AQ73" i="5"/>
  <c r="BA73" i="5" s="1"/>
  <c r="AJ61" i="5"/>
  <c r="Z149" i="5"/>
  <c r="AA149" i="5" s="1"/>
  <c r="Z151" i="5"/>
  <c r="AA151" i="5" s="1"/>
  <c r="AD83" i="5"/>
  <c r="AQ220" i="5"/>
  <c r="BA220" i="5" s="1"/>
  <c r="AL176" i="5"/>
  <c r="AZ149" i="5"/>
  <c r="AQ152" i="5"/>
  <c r="BA152" i="5" s="1"/>
  <c r="AZ170" i="5"/>
  <c r="AZ124" i="5"/>
  <c r="AZ106" i="5"/>
  <c r="AZ206" i="5"/>
  <c r="AB196" i="5"/>
  <c r="AB110" i="5"/>
  <c r="AZ109" i="5"/>
  <c r="AZ94" i="5"/>
  <c r="Z216" i="5"/>
  <c r="AA216" i="5" s="1"/>
  <c r="AL56" i="5"/>
  <c r="AZ129" i="5"/>
  <c r="AJ72" i="5"/>
  <c r="AD43" i="5"/>
  <c r="Z41" i="5"/>
  <c r="AA41" i="5" s="1"/>
  <c r="Z25" i="5"/>
  <c r="AA25" i="5" s="1"/>
  <c r="AQ64" i="5"/>
  <c r="BA64" i="5" s="1"/>
  <c r="AZ12" i="5"/>
  <c r="AZ80" i="5"/>
  <c r="AZ175" i="5"/>
  <c r="AZ141" i="5"/>
  <c r="AD110" i="5"/>
  <c r="AL122" i="5"/>
  <c r="AZ85" i="5"/>
  <c r="AZ82" i="5"/>
  <c r="Z69" i="5"/>
  <c r="AA69" i="5" s="1"/>
  <c r="AQ98" i="5"/>
  <c r="BA98" i="5" s="1"/>
  <c r="AL58" i="5"/>
  <c r="AJ185" i="5"/>
  <c r="AZ43" i="5"/>
  <c r="AZ56" i="5"/>
  <c r="Z42" i="5"/>
  <c r="AA42" i="5" s="1"/>
  <c r="AZ13" i="5"/>
  <c r="AJ26" i="5"/>
  <c r="AJ13" i="5"/>
  <c r="Z30" i="5"/>
  <c r="AA30" i="5" s="1"/>
  <c r="AL105" i="5"/>
  <c r="AQ70" i="5"/>
  <c r="BA70" i="5" s="1"/>
  <c r="AL92" i="5"/>
  <c r="AL50" i="5"/>
  <c r="AL38" i="5"/>
  <c r="AQ11" i="5"/>
  <c r="BA11" i="5" s="1"/>
  <c r="AZ10" i="5"/>
  <c r="AL29" i="5"/>
  <c r="AZ18" i="5"/>
  <c r="AL4" i="5"/>
  <c r="AZ173" i="5"/>
  <c r="AQ174" i="5"/>
  <c r="BA174" i="5" s="1"/>
  <c r="Z194" i="5"/>
  <c r="AA194" i="5" s="1"/>
  <c r="AB181" i="5"/>
  <c r="AZ121" i="5"/>
  <c r="AB84" i="5"/>
  <c r="AB135" i="5"/>
  <c r="Z123" i="5"/>
  <c r="AA123" i="5" s="1"/>
  <c r="AZ107" i="5"/>
  <c r="AZ92" i="5"/>
  <c r="AB78" i="5"/>
  <c r="AZ97" i="5"/>
  <c r="Z54" i="5"/>
  <c r="AA54" i="5" s="1"/>
  <c r="AZ38" i="5"/>
  <c r="AB69" i="5"/>
  <c r="AQ25" i="5"/>
  <c r="BA25" i="5" s="1"/>
  <c r="AZ54" i="5"/>
  <c r="AK49" i="5"/>
  <c r="AK125" i="5"/>
  <c r="AK85" i="5"/>
  <c r="AK45" i="5"/>
  <c r="AK58" i="5"/>
  <c r="AK10" i="5"/>
  <c r="AK11" i="5"/>
  <c r="AK72" i="5"/>
  <c r="AK161" i="5"/>
  <c r="AK146" i="5"/>
  <c r="AK102" i="5"/>
  <c r="AK104" i="5"/>
  <c r="AK208" i="5"/>
  <c r="AK89" i="5"/>
  <c r="AK216" i="5"/>
  <c r="AK38" i="5"/>
  <c r="AK194" i="5"/>
  <c r="AK107" i="5"/>
  <c r="AK159" i="5"/>
  <c r="AK177" i="5"/>
  <c r="AK115" i="5"/>
  <c r="AK7" i="5"/>
  <c r="AK48" i="5"/>
  <c r="AK56" i="5"/>
  <c r="AK164" i="5"/>
  <c r="AK191" i="5"/>
  <c r="AK63" i="5"/>
  <c r="AK215" i="5"/>
  <c r="AK109" i="5"/>
  <c r="AK26" i="5"/>
  <c r="AK42" i="5"/>
  <c r="AK162" i="5"/>
  <c r="AK155" i="5"/>
  <c r="AK119" i="5"/>
  <c r="AK150" i="5"/>
  <c r="AK69" i="5"/>
  <c r="AK2" i="5"/>
  <c r="AK152" i="5"/>
  <c r="AK196" i="5"/>
  <c r="W7" i="5"/>
  <c r="Z7" i="5" s="1"/>
  <c r="AA7" i="5" s="1"/>
  <c r="AJ7" i="5"/>
  <c r="AD7" i="5"/>
  <c r="AL7" i="5"/>
  <c r="BP156" i="5"/>
  <c r="BN156" i="5"/>
  <c r="BP110" i="5"/>
  <c r="BN110" i="5"/>
  <c r="AD71" i="5"/>
  <c r="AJ71" i="5"/>
  <c r="BP119" i="5"/>
  <c r="BN119" i="5"/>
  <c r="AJ133" i="5"/>
  <c r="AD133" i="5"/>
  <c r="BN133" i="5"/>
  <c r="BP133" i="5"/>
  <c r="AD65" i="5"/>
  <c r="BP27" i="5"/>
  <c r="BN27" i="5"/>
  <c r="AD23" i="5"/>
  <c r="AJ23" i="5"/>
  <c r="AJ8" i="5"/>
  <c r="AD8" i="5"/>
  <c r="AJ69" i="5"/>
  <c r="AD69" i="5"/>
  <c r="AH70" i="5"/>
  <c r="AI70" i="5" s="1"/>
  <c r="Z70" i="5"/>
  <c r="AA70" i="5" s="1"/>
  <c r="AB70" i="5"/>
  <c r="AO70" i="5" s="1"/>
  <c r="AQ52" i="5"/>
  <c r="BA52" i="5" s="1"/>
  <c r="AB52" i="5"/>
  <c r="AW52" i="5" s="1"/>
  <c r="AQ24" i="5"/>
  <c r="BA24" i="5" s="1"/>
  <c r="W10" i="5"/>
  <c r="Z10" i="5" s="1"/>
  <c r="AA10" i="5" s="1"/>
  <c r="AL10" i="5"/>
  <c r="W38" i="5"/>
  <c r="Z38" i="5" s="1"/>
  <c r="AA38" i="5" s="1"/>
  <c r="AJ38" i="5"/>
  <c r="AD38" i="5"/>
  <c r="W63" i="5"/>
  <c r="Z63" i="5" s="1"/>
  <c r="AA63" i="5" s="1"/>
  <c r="AL63" i="5"/>
  <c r="BL2" i="5"/>
  <c r="U8" i="5"/>
  <c r="AL8" i="5"/>
  <c r="AZ14" i="5"/>
  <c r="Z40" i="5"/>
  <c r="AA40" i="5" s="1"/>
  <c r="BP70" i="5"/>
  <c r="Z26" i="5"/>
  <c r="AA26" i="5" s="1"/>
  <c r="AQ26" i="5"/>
  <c r="BA26" i="5" s="1"/>
  <c r="AD13" i="5"/>
  <c r="BP138" i="5"/>
  <c r="BP14" i="5"/>
  <c r="Z199" i="5"/>
  <c r="AA199" i="5" s="1"/>
  <c r="AD35" i="5"/>
  <c r="AD26" i="5"/>
  <c r="BP16" i="5"/>
  <c r="BL78" i="5"/>
  <c r="BP136" i="5"/>
  <c r="Z115" i="5"/>
  <c r="AA115" i="5" s="1"/>
  <c r="AZ4" i="5"/>
  <c r="BP3" i="5"/>
  <c r="AZ17" i="5"/>
  <c r="BL172" i="5"/>
  <c r="BL220" i="5"/>
  <c r="BL190" i="5"/>
  <c r="AB190" i="5"/>
  <c r="AQ190" i="5"/>
  <c r="BA190" i="5" s="1"/>
  <c r="AL220" i="5"/>
  <c r="U220" i="5"/>
  <c r="BP211" i="5"/>
  <c r="BN211" i="5"/>
  <c r="AD171" i="5"/>
  <c r="AJ171" i="5"/>
  <c r="BL113" i="5"/>
  <c r="BP143" i="5"/>
  <c r="BN143" i="5"/>
  <c r="BL76" i="5"/>
  <c r="BP100" i="5"/>
  <c r="BN100" i="5"/>
  <c r="BL111" i="5"/>
  <c r="BP104" i="5"/>
  <c r="BN104" i="5"/>
  <c r="U132" i="5"/>
  <c r="AL132" i="5"/>
  <c r="BL125" i="5"/>
  <c r="BP85" i="5"/>
  <c r="BN85" i="5"/>
  <c r="AB25" i="5"/>
  <c r="AH25" i="5"/>
  <c r="AI25" i="5" s="1"/>
  <c r="BL65" i="5"/>
  <c r="BL57" i="5"/>
  <c r="BL177" i="5"/>
  <c r="BL61" i="5"/>
  <c r="BP146" i="5"/>
  <c r="BN146" i="5"/>
  <c r="BP116" i="5"/>
  <c r="BP222" i="5"/>
  <c r="BN222" i="5"/>
  <c r="BP181" i="5"/>
  <c r="BN181" i="5"/>
  <c r="BP204" i="5"/>
  <c r="BN204" i="5"/>
  <c r="BN209" i="5"/>
  <c r="AJ22" i="5"/>
  <c r="BP98" i="5"/>
  <c r="BN98" i="5"/>
  <c r="BN182" i="5"/>
  <c r="BP182" i="5"/>
  <c r="BP175" i="5"/>
  <c r="BN175" i="5"/>
  <c r="BP193" i="5"/>
  <c r="BN193" i="5"/>
  <c r="BP153" i="5"/>
  <c r="BN153" i="5"/>
  <c r="AJ106" i="5"/>
  <c r="AD106" i="5"/>
  <c r="BP221" i="5"/>
  <c r="BN221" i="5"/>
  <c r="BN101" i="5"/>
  <c r="BN81" i="5"/>
  <c r="BP81" i="5"/>
  <c r="AJ161" i="5"/>
  <c r="BN213" i="5"/>
  <c r="BP213" i="5"/>
  <c r="BP184" i="5"/>
  <c r="BN184" i="5"/>
  <c r="AD169" i="5"/>
  <c r="AJ169" i="5"/>
  <c r="AD105" i="5"/>
  <c r="AJ105" i="5"/>
  <c r="AJ153" i="5"/>
  <c r="AD153" i="5"/>
  <c r="BP107" i="5"/>
  <c r="BN107" i="5"/>
  <c r="AJ9" i="5"/>
  <c r="AD9" i="5"/>
  <c r="AJ219" i="5"/>
  <c r="AD219" i="5"/>
  <c r="AJ190" i="5"/>
  <c r="AD190" i="5"/>
  <c r="BN198" i="5"/>
  <c r="BP198" i="5"/>
  <c r="AJ160" i="5"/>
  <c r="AD160" i="5"/>
  <c r="BP160" i="5"/>
  <c r="BN160" i="5"/>
  <c r="BP141" i="5"/>
  <c r="BN141" i="5"/>
  <c r="AD122" i="5"/>
  <c r="AJ122" i="5"/>
  <c r="AD167" i="5"/>
  <c r="AJ167" i="5"/>
  <c r="AD154" i="5"/>
  <c r="AJ154" i="5"/>
  <c r="BP142" i="5"/>
  <c r="BN142" i="5"/>
  <c r="BN130" i="5"/>
  <c r="BP130" i="5"/>
  <c r="AJ118" i="5"/>
  <c r="AD118" i="5"/>
  <c r="AJ93" i="5"/>
  <c r="AD93" i="5"/>
  <c r="BP77" i="5"/>
  <c r="BN77" i="5"/>
  <c r="AD100" i="5"/>
  <c r="AJ100" i="5"/>
  <c r="BP72" i="5"/>
  <c r="BN72" i="5"/>
  <c r="AJ76" i="5"/>
  <c r="AD76" i="5"/>
  <c r="BP46" i="5"/>
  <c r="BN46" i="5"/>
  <c r="AD55" i="5"/>
  <c r="AJ55" i="5"/>
  <c r="BP42" i="5"/>
  <c r="BN42" i="5"/>
  <c r="AD27" i="5"/>
  <c r="AJ27" i="5"/>
  <c r="BN29" i="5"/>
  <c r="BP29" i="5"/>
  <c r="BP8" i="5"/>
  <c r="BN8" i="5"/>
  <c r="AJ98" i="5"/>
  <c r="AD98" i="5"/>
  <c r="BP34" i="5"/>
  <c r="BN34" i="5"/>
  <c r="AD198" i="5"/>
  <c r="AJ198" i="5"/>
  <c r="BN95" i="5"/>
  <c r="BP95" i="5"/>
  <c r="BP71" i="5"/>
  <c r="BN71" i="5"/>
  <c r="AD197" i="5"/>
  <c r="AJ197" i="5"/>
  <c r="BP205" i="5"/>
  <c r="BN205" i="5"/>
  <c r="BP174" i="5"/>
  <c r="BN174" i="5"/>
  <c r="BN195" i="5"/>
  <c r="BP195" i="5"/>
  <c r="AJ156" i="5"/>
  <c r="AD156" i="5"/>
  <c r="BP158" i="5"/>
  <c r="BN158" i="5"/>
  <c r="BP145" i="5"/>
  <c r="BN145" i="5"/>
  <c r="AD120" i="5"/>
  <c r="AJ120" i="5"/>
  <c r="AD74" i="5"/>
  <c r="AJ74" i="5"/>
  <c r="BN58" i="5"/>
  <c r="BP58" i="5"/>
  <c r="AJ96" i="5"/>
  <c r="AD96" i="5"/>
  <c r="BP62" i="5"/>
  <c r="BN62" i="5"/>
  <c r="AJ107" i="5"/>
  <c r="AD107" i="5"/>
  <c r="BN48" i="5"/>
  <c r="BP48" i="5"/>
  <c r="BP26" i="5"/>
  <c r="BN26" i="5"/>
  <c r="BN88" i="5"/>
  <c r="BP88" i="5"/>
  <c r="BP33" i="5"/>
  <c r="BN33" i="5"/>
  <c r="AD5" i="5"/>
  <c r="AJ5" i="5"/>
  <c r="BP5" i="5"/>
  <c r="BN5" i="5"/>
  <c r="BN19" i="5"/>
  <c r="BP19" i="5"/>
  <c r="AD177" i="5"/>
  <c r="AJ177" i="5"/>
  <c r="BP150" i="5"/>
  <c r="BN150" i="5"/>
  <c r="BP148" i="5"/>
  <c r="BN148" i="5"/>
  <c r="BN92" i="5"/>
  <c r="BP92" i="5"/>
  <c r="AD224" i="5"/>
  <c r="AJ224" i="5"/>
  <c r="BP224" i="5"/>
  <c r="BN224" i="5"/>
  <c r="BP202" i="5"/>
  <c r="BN202" i="5"/>
  <c r="AJ208" i="5"/>
  <c r="AD208" i="5"/>
  <c r="BP210" i="5"/>
  <c r="BN210" i="5"/>
  <c r="BP159" i="5"/>
  <c r="BN159" i="5"/>
  <c r="BN152" i="5"/>
  <c r="BP152" i="5"/>
  <c r="AJ113" i="5"/>
  <c r="AD113" i="5"/>
  <c r="BP137" i="5"/>
  <c r="BN137" i="5"/>
  <c r="AD141" i="5"/>
  <c r="AJ141" i="5"/>
  <c r="AJ125" i="5"/>
  <c r="AD125" i="5"/>
  <c r="AD143" i="5"/>
  <c r="AJ143" i="5"/>
  <c r="AD136" i="5"/>
  <c r="AJ136" i="5"/>
  <c r="BN131" i="5"/>
  <c r="BP131" i="5"/>
  <c r="BP99" i="5"/>
  <c r="BN99" i="5"/>
  <c r="AJ126" i="5"/>
  <c r="AD126" i="5"/>
  <c r="AJ91" i="5"/>
  <c r="AD91" i="5"/>
  <c r="AD79" i="5"/>
  <c r="AJ79" i="5"/>
  <c r="AD63" i="5"/>
  <c r="AJ63" i="5"/>
  <c r="AD81" i="5"/>
  <c r="AJ81" i="5"/>
  <c r="BP69" i="5"/>
  <c r="BN69" i="5"/>
  <c r="AJ56" i="5"/>
  <c r="AD56" i="5"/>
  <c r="BN37" i="5"/>
  <c r="BP37" i="5"/>
  <c r="AJ95" i="5"/>
  <c r="AD95" i="5"/>
  <c r="BP109" i="5"/>
  <c r="BN109" i="5"/>
  <c r="BN32" i="5"/>
  <c r="BP32" i="5"/>
  <c r="AJ158" i="5"/>
  <c r="AD158" i="5"/>
  <c r="BP163" i="5"/>
  <c r="BN163" i="5"/>
  <c r="AJ155" i="5"/>
  <c r="AD155" i="5"/>
  <c r="BN139" i="5"/>
  <c r="BP139" i="5"/>
  <c r="AJ102" i="5"/>
  <c r="AD102" i="5"/>
  <c r="BN129" i="5"/>
  <c r="BP129" i="5"/>
  <c r="BN127" i="5"/>
  <c r="BP127" i="5"/>
  <c r="BP102" i="5"/>
  <c r="BN102" i="5"/>
  <c r="AJ97" i="5"/>
  <c r="AD97" i="5"/>
  <c r="AD29" i="5"/>
  <c r="AJ29" i="5"/>
  <c r="BP17" i="5"/>
  <c r="BN17" i="5"/>
  <c r="BP36" i="5"/>
  <c r="BN36" i="5"/>
  <c r="AD57" i="5"/>
  <c r="AJ57" i="5"/>
  <c r="AJ187" i="5"/>
  <c r="AD187" i="5"/>
  <c r="BP171" i="5"/>
  <c r="BN171" i="5"/>
  <c r="BP45" i="5"/>
  <c r="BN45" i="5"/>
  <c r="BN30" i="5"/>
  <c r="BP30" i="5"/>
  <c r="AJ170" i="5"/>
  <c r="AD170" i="5"/>
  <c r="AD46" i="5"/>
  <c r="AJ46" i="5"/>
  <c r="BP215" i="5"/>
  <c r="BN215" i="5"/>
  <c r="BP170" i="5"/>
  <c r="BN170" i="5"/>
  <c r="AD138" i="5"/>
  <c r="AJ138" i="5"/>
  <c r="AJ173" i="5"/>
  <c r="AD173" i="5"/>
  <c r="AD150" i="5"/>
  <c r="AJ150" i="5"/>
  <c r="AD115" i="5"/>
  <c r="AJ115" i="5"/>
  <c r="AD149" i="5"/>
  <c r="AJ149" i="5"/>
  <c r="BN123" i="5"/>
  <c r="BP123" i="5"/>
  <c r="AJ114" i="5"/>
  <c r="AD114" i="5"/>
  <c r="AD103" i="5"/>
  <c r="AJ103" i="5"/>
  <c r="BP59" i="5"/>
  <c r="BN59" i="5"/>
  <c r="BP54" i="5"/>
  <c r="BN54" i="5"/>
  <c r="AD50" i="5"/>
  <c r="AJ50" i="5"/>
  <c r="AD30" i="5"/>
  <c r="AJ30" i="5"/>
  <c r="BP15" i="5"/>
  <c r="BN15" i="5"/>
  <c r="AD44" i="5"/>
  <c r="AJ44" i="5"/>
  <c r="AJ49" i="5"/>
  <c r="AD49" i="5"/>
  <c r="BN120" i="5"/>
  <c r="BP120" i="5"/>
  <c r="AD47" i="5"/>
  <c r="AJ47" i="5"/>
  <c r="AJ17" i="5"/>
  <c r="AD17" i="5"/>
  <c r="AD223" i="5"/>
  <c r="AJ223" i="5"/>
  <c r="BP217" i="5"/>
  <c r="BN217" i="5"/>
  <c r="BP203" i="5"/>
  <c r="BN203" i="5"/>
  <c r="BP178" i="5"/>
  <c r="BN178" i="5"/>
  <c r="AD144" i="5"/>
  <c r="AJ144" i="5"/>
  <c r="BP144" i="5"/>
  <c r="BN144" i="5"/>
  <c r="BP164" i="5"/>
  <c r="BN164" i="5"/>
  <c r="BN128" i="5"/>
  <c r="BP128" i="5"/>
  <c r="BN122" i="5"/>
  <c r="BP122" i="5"/>
  <c r="BP97" i="5"/>
  <c r="BN97" i="5"/>
  <c r="BP96" i="5"/>
  <c r="BN96" i="5"/>
  <c r="AJ128" i="5"/>
  <c r="AD128" i="5"/>
  <c r="BP66" i="5"/>
  <c r="BN66" i="5"/>
  <c r="AJ53" i="5"/>
  <c r="AD53" i="5"/>
  <c r="AJ94" i="5"/>
  <c r="AD94" i="5"/>
  <c r="AJ32" i="5"/>
  <c r="AD32" i="5"/>
  <c r="AD14" i="5"/>
  <c r="AJ14" i="5"/>
  <c r="AJ20" i="5"/>
  <c r="AD20" i="5"/>
  <c r="AD39" i="5"/>
  <c r="AJ39" i="5"/>
  <c r="BP24" i="5"/>
  <c r="BN24" i="5"/>
  <c r="BP20" i="5"/>
  <c r="BN20" i="5"/>
  <c r="BP165" i="5"/>
  <c r="BN165" i="5"/>
  <c r="AJ10" i="5"/>
  <c r="AD10" i="5"/>
  <c r="AJ15" i="5"/>
  <c r="AD15" i="5"/>
  <c r="AD221" i="5"/>
  <c r="AJ221" i="5"/>
  <c r="AD212" i="5"/>
  <c r="AJ212" i="5"/>
  <c r="AJ186" i="5"/>
  <c r="AD186" i="5"/>
  <c r="AJ201" i="5"/>
  <c r="AD201" i="5"/>
  <c r="BP207" i="5"/>
  <c r="BN207" i="5"/>
  <c r="AJ202" i="5"/>
  <c r="AD202" i="5"/>
  <c r="AD188" i="5"/>
  <c r="AJ188" i="5"/>
  <c r="BP147" i="5"/>
  <c r="BN147" i="5"/>
  <c r="BN121" i="5"/>
  <c r="BP121" i="5"/>
  <c r="AD111" i="5"/>
  <c r="AJ111" i="5"/>
  <c r="AD86" i="5"/>
  <c r="AJ86" i="5"/>
  <c r="BN93" i="5"/>
  <c r="BP93" i="5"/>
  <c r="BN75" i="5"/>
  <c r="BP75" i="5"/>
  <c r="BP49" i="5"/>
  <c r="BN49" i="5"/>
  <c r="AD51" i="5"/>
  <c r="AJ51" i="5"/>
  <c r="AD16" i="5"/>
  <c r="AJ16" i="5"/>
  <c r="BP38" i="5"/>
  <c r="BN38" i="5"/>
  <c r="BN55" i="5"/>
  <c r="BP55" i="5"/>
  <c r="AJ48" i="5"/>
  <c r="AD48" i="5"/>
  <c r="AJ37" i="5"/>
  <c r="AD37" i="5"/>
  <c r="BP21" i="5"/>
  <c r="BN21" i="5"/>
  <c r="BN67" i="5"/>
  <c r="BP67" i="5"/>
  <c r="BP25" i="5"/>
  <c r="BN25" i="5"/>
  <c r="AD178" i="5"/>
  <c r="AJ178" i="5"/>
  <c r="BN35" i="5"/>
  <c r="BP35" i="5"/>
  <c r="BP22" i="5"/>
  <c r="BN22" i="5"/>
  <c r="BP192" i="5"/>
  <c r="BN192" i="5"/>
  <c r="BP161" i="5"/>
  <c r="BN161" i="5"/>
  <c r="AJ99" i="5"/>
  <c r="AD99" i="5"/>
  <c r="BP168" i="5"/>
  <c r="BN168" i="5"/>
  <c r="BP4" i="5"/>
  <c r="BN4" i="5"/>
  <c r="AJ207" i="5"/>
  <c r="AD207" i="5"/>
  <c r="AJ209" i="5"/>
  <c r="AD209" i="5"/>
  <c r="BP214" i="5"/>
  <c r="BN214" i="5"/>
  <c r="AD195" i="5"/>
  <c r="AJ195" i="5"/>
  <c r="BN173" i="5"/>
  <c r="BP173" i="5"/>
  <c r="AD213" i="5"/>
  <c r="AJ213" i="5"/>
  <c r="AD179" i="5"/>
  <c r="AJ179" i="5"/>
  <c r="BP162" i="5"/>
  <c r="BN162" i="5"/>
  <c r="BP186" i="5"/>
  <c r="BN186" i="5"/>
  <c r="BP167" i="5"/>
  <c r="BN167" i="5"/>
  <c r="AD162" i="5"/>
  <c r="AJ162" i="5"/>
  <c r="BP166" i="5"/>
  <c r="BN166" i="5"/>
  <c r="AD176" i="5"/>
  <c r="AJ176" i="5"/>
  <c r="AD146" i="5"/>
  <c r="AJ146" i="5"/>
  <c r="BP140" i="5"/>
  <c r="BN140" i="5"/>
  <c r="BP108" i="5"/>
  <c r="BN108" i="5"/>
  <c r="BP89" i="5"/>
  <c r="BN89" i="5"/>
  <c r="BP114" i="5"/>
  <c r="BN114" i="5"/>
  <c r="BN94" i="5"/>
  <c r="BP94" i="5"/>
  <c r="BN80" i="5"/>
  <c r="BP80" i="5"/>
  <c r="BN50" i="5"/>
  <c r="BP50" i="5"/>
  <c r="BN53" i="5"/>
  <c r="BP53" i="5"/>
  <c r="BP23" i="5"/>
  <c r="BN23" i="5"/>
  <c r="BP28" i="5"/>
  <c r="BN28" i="5"/>
  <c r="BP12" i="5"/>
  <c r="BN12" i="5"/>
  <c r="AJ6" i="5"/>
  <c r="AD6" i="5"/>
  <c r="AJ4" i="5"/>
  <c r="AD4" i="5"/>
  <c r="AJ19" i="5"/>
  <c r="AD19" i="5"/>
  <c r="AJ192" i="5"/>
  <c r="AD192" i="5"/>
  <c r="AD206" i="5"/>
  <c r="AJ206" i="5"/>
  <c r="AJ189" i="5"/>
  <c r="AD189" i="5"/>
  <c r="BN176" i="5"/>
  <c r="BP176" i="5"/>
  <c r="AJ211" i="5"/>
  <c r="AD211" i="5"/>
  <c r="BP189" i="5"/>
  <c r="BN189" i="5"/>
  <c r="BP185" i="5"/>
  <c r="BN185" i="5"/>
  <c r="AD140" i="5"/>
  <c r="AJ140" i="5"/>
  <c r="BP124" i="5"/>
  <c r="BN124" i="5"/>
  <c r="BN90" i="5"/>
  <c r="BP90" i="5"/>
  <c r="AD147" i="5"/>
  <c r="AJ147" i="5"/>
  <c r="AJ104" i="5"/>
  <c r="AD104" i="5"/>
  <c r="BP79" i="5"/>
  <c r="BN79" i="5"/>
  <c r="AJ58" i="5"/>
  <c r="AD58" i="5"/>
  <c r="BP41" i="5"/>
  <c r="BN41" i="5"/>
  <c r="AD40" i="5"/>
  <c r="AJ40" i="5"/>
  <c r="AK158" i="5" a="1"/>
  <c r="AK222" i="5" a="1"/>
  <c r="AK211" i="5" a="1"/>
  <c r="AK5" i="5" a="1"/>
  <c r="AK209" i="5" a="1"/>
  <c r="AM26" i="5"/>
  <c r="AT26" i="5"/>
  <c r="AE58" i="5"/>
  <c r="AK192" i="5" a="1"/>
  <c r="AM162" i="5"/>
  <c r="AK41" i="5" a="1"/>
  <c r="AM104" i="5"/>
  <c r="AK176" i="5" a="1"/>
  <c r="AM45" i="5"/>
  <c r="AM208" i="5"/>
  <c r="AK16" i="5" a="1"/>
  <c r="AK62" i="5" a="1"/>
  <c r="AK135" i="5" a="1"/>
  <c r="AE107" i="5"/>
  <c r="AM125" i="5"/>
  <c r="AM164" i="5"/>
  <c r="AK25" i="5" a="1"/>
  <c r="AK180" i="5" a="1"/>
  <c r="AK206" i="5" a="1"/>
  <c r="AM196" i="5"/>
  <c r="AT164" i="5"/>
  <c r="AK132" i="5" a="1"/>
  <c r="AK142" i="5" a="1"/>
  <c r="AK52" i="5" a="1"/>
  <c r="AK127" i="5" a="1"/>
  <c r="AK88" i="5" a="1"/>
  <c r="AK79" i="5" a="1"/>
  <c r="AE102" i="5"/>
  <c r="AK76" i="5" a="1"/>
  <c r="AE164" i="5"/>
  <c r="AE11" i="5"/>
  <c r="AK188" i="5" a="1"/>
  <c r="AK205" i="5" a="1"/>
  <c r="AE191" i="5"/>
  <c r="AE196" i="5"/>
  <c r="AE162" i="5"/>
  <c r="AK84" i="5" a="1"/>
  <c r="AK36" i="5" a="1"/>
  <c r="AK13" i="5" a="1"/>
  <c r="AK166" i="5" a="1"/>
  <c r="AK147" i="5" a="1"/>
  <c r="AK139" i="5" a="1"/>
  <c r="AK65" i="5" a="1"/>
  <c r="AK117" i="5" a="1"/>
  <c r="AK20" i="5" a="1"/>
  <c r="AK181" i="5" a="1"/>
  <c r="AK74" i="5" a="1"/>
  <c r="AK203" i="5" a="1"/>
  <c r="AK156" i="5" a="1"/>
  <c r="AE155" i="5"/>
  <c r="AK47" i="5" a="1"/>
  <c r="AK51" i="5" a="1"/>
  <c r="AK114" i="5" a="1"/>
  <c r="AK95" i="5" a="1"/>
  <c r="AK143" i="5" a="1"/>
  <c r="AK153" i="5" a="1"/>
  <c r="AK218" i="5" a="1"/>
  <c r="AK70" i="5" a="1"/>
  <c r="AE194" i="5"/>
  <c r="AE161" i="5"/>
  <c r="AK14" i="5" a="1"/>
  <c r="AK111" i="5" a="1"/>
  <c r="AT139" i="5"/>
  <c r="AK73" i="5" a="1"/>
  <c r="AK44" i="5" a="1"/>
  <c r="AK31" i="5" a="1"/>
  <c r="AM177" i="5"/>
  <c r="AK8" i="5" a="1"/>
  <c r="AK198" i="5" a="1"/>
  <c r="AK12" i="5" a="1"/>
  <c r="AK123" i="5" a="1"/>
  <c r="AK124" i="5" a="1"/>
  <c r="AK184" i="5" a="1"/>
  <c r="AM119" i="5"/>
  <c r="AK130" i="5" a="1"/>
  <c r="AK137" i="5" a="1"/>
  <c r="AE125" i="5"/>
  <c r="AT113" i="5"/>
  <c r="AM161" i="5"/>
  <c r="AK163" i="5" a="1"/>
  <c r="AK118" i="5" a="1"/>
  <c r="AT88" i="5"/>
  <c r="AK78" i="5" a="1"/>
  <c r="AK183" i="5" a="1"/>
  <c r="AK59" i="5" a="1"/>
  <c r="AK128" i="5" a="1"/>
  <c r="AE115" i="5"/>
  <c r="AK90" i="5" a="1"/>
  <c r="AK167" i="5" a="1"/>
  <c r="AM152" i="5"/>
  <c r="AK160" i="5" a="1"/>
  <c r="AK4" i="5" a="1"/>
  <c r="AK179" i="5" a="1"/>
  <c r="AK77" i="5" a="1"/>
  <c r="AK33" i="5" a="1"/>
  <c r="AK122" i="5" a="1"/>
  <c r="AM69" i="5"/>
  <c r="AT166" i="5"/>
  <c r="AK32" i="5" a="1"/>
  <c r="AK9" i="5" a="1"/>
  <c r="AM11" i="5"/>
  <c r="AK193" i="5" a="1"/>
  <c r="AK175" i="5" a="1"/>
  <c r="AE177" i="5"/>
  <c r="AM215" i="5"/>
  <c r="AK212" i="5" a="1"/>
  <c r="AK96" i="5" a="1"/>
  <c r="AM107" i="5"/>
  <c r="AM146" i="5"/>
  <c r="AE89" i="5"/>
  <c r="AM191" i="5"/>
  <c r="AT216" i="5"/>
  <c r="AK178" i="5" a="1"/>
  <c r="AK223" i="5" a="1"/>
  <c r="AE49" i="5"/>
  <c r="AK224" i="5" a="1"/>
  <c r="AK172" i="5" a="1"/>
  <c r="AE10" i="5"/>
  <c r="AK136" i="5" a="1"/>
  <c r="AK170" i="5" a="1"/>
  <c r="AE208" i="5"/>
  <c r="AM89" i="5"/>
  <c r="AK3" i="5" a="1"/>
  <c r="AK144" i="5" a="1"/>
  <c r="AT125" i="5"/>
  <c r="AE2" i="5"/>
  <c r="AE119" i="5"/>
  <c r="AM159" i="5"/>
  <c r="AE69" i="5"/>
  <c r="AE26" i="5"/>
  <c r="AK145" i="5" a="1"/>
  <c r="AK186" i="5" a="1"/>
  <c r="AK195" i="5" a="1"/>
  <c r="AK86" i="5" a="1"/>
  <c r="AK173" i="5" a="1"/>
  <c r="AK129" i="5" a="1"/>
  <c r="AK148" i="5" a="1"/>
  <c r="AK81" i="5" a="1"/>
  <c r="AK214" i="5" a="1"/>
  <c r="AM38" i="5"/>
  <c r="AE63" i="5"/>
  <c r="AM56" i="5"/>
  <c r="AM109" i="5"/>
  <c r="AK120" i="5" a="1"/>
  <c r="AK207" i="5" a="1"/>
  <c r="AK154" i="5" a="1"/>
  <c r="AK101" i="5" a="1"/>
  <c r="AK43" i="5" a="1"/>
  <c r="AK116" i="5" a="1"/>
  <c r="AK171" i="5" a="1"/>
  <c r="AK24" i="5" a="1"/>
  <c r="AK23" i="5" a="1"/>
  <c r="AK97" i="5" a="1"/>
  <c r="AK201" i="5" a="1"/>
  <c r="AK182" i="5" a="1"/>
  <c r="AK210" i="5" a="1"/>
  <c r="AM58" i="5"/>
  <c r="AE150" i="5"/>
  <c r="AK140" i="5" a="1"/>
  <c r="AK100" i="5" a="1"/>
  <c r="AK57" i="5" a="1"/>
  <c r="AK187" i="5" a="1"/>
  <c r="AT219" i="5"/>
  <c r="AK98" i="5" a="1"/>
  <c r="AK91" i="5" a="1"/>
  <c r="AE85" i="5"/>
  <c r="AK103" i="5" a="1"/>
  <c r="AE56" i="5"/>
  <c r="AK46" i="5" a="1"/>
  <c r="AE109" i="5"/>
  <c r="AK80" i="5" a="1"/>
  <c r="AK61" i="5" a="1"/>
  <c r="AK219" i="5" a="1"/>
  <c r="AK50" i="5" a="1"/>
  <c r="AM216" i="5"/>
  <c r="AM48" i="5"/>
  <c r="AK185" i="5" a="1"/>
  <c r="AM155" i="5"/>
  <c r="AM85" i="5"/>
  <c r="AM115" i="5"/>
  <c r="AK15" i="5" a="1"/>
  <c r="AK126" i="5" a="1"/>
  <c r="AK92" i="5" a="1"/>
  <c r="AE72" i="5"/>
  <c r="AK138" i="5" a="1"/>
  <c r="AE7" i="5"/>
  <c r="AK165" i="5" a="1"/>
  <c r="AE146" i="5"/>
  <c r="AE152" i="5"/>
  <c r="AK66" i="5" a="1"/>
  <c r="AK149" i="5" a="1"/>
  <c r="AM63" i="5"/>
  <c r="AK168" i="5" a="1"/>
  <c r="AK213" i="5" a="1"/>
  <c r="AK151" i="5" a="1"/>
  <c r="AK68" i="5" a="1"/>
  <c r="AK105" i="5" a="1"/>
  <c r="AK93" i="5" a="1"/>
  <c r="AE38" i="5"/>
  <c r="AK190" i="5" a="1"/>
  <c r="AT185" i="5"/>
  <c r="AE216" i="5"/>
  <c r="AM194" i="5"/>
  <c r="AE104" i="5"/>
  <c r="AK220" i="5" a="1"/>
  <c r="AM102" i="5"/>
  <c r="AK29" i="5" a="1"/>
  <c r="AK217" i="5" a="1"/>
  <c r="AK106" i="5" a="1"/>
  <c r="AE42" i="5"/>
  <c r="AM49" i="5"/>
  <c r="AK82" i="5" a="1"/>
  <c r="AK94" i="5" a="1"/>
  <c r="AK189" i="5" a="1"/>
  <c r="AK35" i="5" a="1"/>
  <c r="AE159" i="5"/>
  <c r="AM42" i="5"/>
  <c r="AK174" i="5" a="1"/>
  <c r="AM10" i="5"/>
  <c r="AK113" i="5" a="1"/>
  <c r="AK53" i="5" a="1"/>
  <c r="AK30" i="5" a="1"/>
  <c r="AE48" i="5"/>
  <c r="AK55" i="5" a="1"/>
  <c r="AM7" i="5"/>
  <c r="AK27" i="5" a="1"/>
  <c r="AE45" i="5"/>
  <c r="AK22" i="5" a="1"/>
  <c r="AK64" i="5" a="1"/>
  <c r="AK75" i="5" a="1"/>
  <c r="AK18" i="5" a="1"/>
  <c r="AE215" i="5"/>
  <c r="AK221" i="5" a="1"/>
  <c r="AK169" i="5" a="1"/>
  <c r="AK67" i="5" a="1"/>
  <c r="AM150" i="5"/>
  <c r="AK87" i="5" a="1"/>
  <c r="AK204" i="5" a="1"/>
  <c r="AK40" i="5" a="1"/>
  <c r="AK54" i="5" a="1"/>
  <c r="AM72" i="5"/>
  <c r="AK108" i="5" a="1"/>
  <c r="AM2" i="5"/>
  <c r="AK199" i="5" a="1"/>
  <c r="AK17" i="5" a="1"/>
  <c r="AK133" i="5" a="1"/>
  <c r="AK157" i="5" a="1"/>
  <c r="AT24" i="5"/>
  <c r="AK134" i="5" a="1"/>
  <c r="AK37" i="5" a="1"/>
  <c r="AK112" i="5" a="1"/>
  <c r="AK21" i="5" a="1"/>
  <c r="AK6" i="5" a="1"/>
  <c r="AK110" i="5" a="1"/>
  <c r="AK34" i="5" a="1"/>
  <c r="AK121" i="5" a="1"/>
  <c r="AK131" i="5" a="1"/>
  <c r="AK19" i="5" a="1"/>
  <c r="AK99" i="5" a="1"/>
  <c r="AK39" i="5" a="1"/>
  <c r="AK60" i="5" a="1"/>
  <c r="AK28" i="5" a="1"/>
  <c r="AK71" i="5" a="1"/>
  <c r="AK200" i="5" a="1"/>
  <c r="AK141" i="5" a="1"/>
  <c r="AK197" i="5" a="1"/>
  <c r="AK202" i="5" a="1"/>
  <c r="AK83" i="5" a="1"/>
  <c r="AK133" i="5" l="1"/>
  <c r="AK199" i="5"/>
  <c r="AK64" i="5"/>
  <c r="AK22" i="5"/>
  <c r="AK189" i="5"/>
  <c r="AK94" i="5"/>
  <c r="AK217" i="5"/>
  <c r="AK213" i="5"/>
  <c r="AK168" i="5"/>
  <c r="AK138" i="5"/>
  <c r="AK171" i="5"/>
  <c r="AK116" i="5"/>
  <c r="AK129" i="5"/>
  <c r="AK173" i="5"/>
  <c r="AK86" i="5"/>
  <c r="AK145" i="5"/>
  <c r="AK179" i="5"/>
  <c r="AK4" i="5"/>
  <c r="AK160" i="5"/>
  <c r="AK123" i="5"/>
  <c r="AK12" i="5"/>
  <c r="AK198" i="5"/>
  <c r="AK181" i="5"/>
  <c r="AK20" i="5"/>
  <c r="AK117" i="5"/>
  <c r="AK147" i="5"/>
  <c r="AK36" i="5"/>
  <c r="AK222" i="5"/>
  <c r="AK158" i="5"/>
  <c r="AW113" i="5"/>
  <c r="AX113" i="5" s="1"/>
  <c r="AO187" i="5"/>
  <c r="AR187" i="5" s="1"/>
  <c r="AS187" i="5" s="1"/>
  <c r="AJ193" i="5"/>
  <c r="AW97" i="5"/>
  <c r="AX97" i="5" s="1"/>
  <c r="AW66" i="5"/>
  <c r="AX66" i="5" s="1"/>
  <c r="AX53" i="5"/>
  <c r="AO178" i="5"/>
  <c r="AR178" i="5" s="1"/>
  <c r="AS178" i="5" s="1"/>
  <c r="AW19" i="5"/>
  <c r="AX19" i="5" s="1"/>
  <c r="AO145" i="5"/>
  <c r="AR145" i="5" s="1"/>
  <c r="AS145" i="5" s="1"/>
  <c r="AO5" i="5"/>
  <c r="AR5" i="5" s="1"/>
  <c r="AS5" i="5" s="1"/>
  <c r="AO174" i="5"/>
  <c r="AR174" i="5" s="1"/>
  <c r="AS174" i="5" s="1"/>
  <c r="AW210" i="5"/>
  <c r="AX210" i="5" s="1"/>
  <c r="AO94" i="5"/>
  <c r="AR94" i="5" s="1"/>
  <c r="AS94" i="5" s="1"/>
  <c r="AO75" i="5"/>
  <c r="BB75" i="5" s="1"/>
  <c r="AW146" i="5"/>
  <c r="AX146" i="5" s="1"/>
  <c r="AD75" i="5"/>
  <c r="AO39" i="5"/>
  <c r="AR39" i="5" s="1"/>
  <c r="AS39" i="5" s="1"/>
  <c r="AO195" i="5"/>
  <c r="AR195" i="5" s="1"/>
  <c r="AS195" i="5" s="1"/>
  <c r="AW208" i="5"/>
  <c r="AX208" i="5" s="1"/>
  <c r="AX119" i="5"/>
  <c r="AW213" i="5"/>
  <c r="AX213" i="5" s="1"/>
  <c r="AW15" i="5"/>
  <c r="AX15" i="5" s="1"/>
  <c r="AO29" i="5"/>
  <c r="BB29" i="5" s="1"/>
  <c r="AW170" i="5"/>
  <c r="AX170" i="5" s="1"/>
  <c r="AD92" i="5"/>
  <c r="AW44" i="5"/>
  <c r="AX44" i="5" s="1"/>
  <c r="AO177" i="5"/>
  <c r="AR177" i="5" s="1"/>
  <c r="AS177" i="5" s="1"/>
  <c r="AO211" i="5"/>
  <c r="AR211" i="5" s="1"/>
  <c r="AS211" i="5" s="1"/>
  <c r="AW89" i="5"/>
  <c r="AX89" i="5" s="1"/>
  <c r="AW157" i="5"/>
  <c r="AX157" i="5" s="1"/>
  <c r="AO143" i="5"/>
  <c r="AR143" i="5" s="1"/>
  <c r="AS143" i="5" s="1"/>
  <c r="AO41" i="5"/>
  <c r="AR41" i="5" s="1"/>
  <c r="AS41" i="5" s="1"/>
  <c r="AW111" i="5"/>
  <c r="AX111" i="5" s="1"/>
  <c r="AO134" i="5"/>
  <c r="AR134" i="5" s="1"/>
  <c r="AS134" i="5" s="1"/>
  <c r="AW149" i="5"/>
  <c r="AX149" i="5" s="1"/>
  <c r="AO107" i="5"/>
  <c r="AR107" i="5" s="1"/>
  <c r="AS107" i="5" s="1"/>
  <c r="AX52" i="5"/>
  <c r="AO122" i="5"/>
  <c r="AR122" i="5" s="1"/>
  <c r="AS122" i="5" s="1"/>
  <c r="AJ78" i="5"/>
  <c r="AO151" i="5"/>
  <c r="AR151" i="5" s="1"/>
  <c r="AS151" i="5" s="1"/>
  <c r="AO142" i="5"/>
  <c r="AR142" i="5" s="1"/>
  <c r="AS142" i="5" s="1"/>
  <c r="AX43" i="5"/>
  <c r="AW218" i="5"/>
  <c r="AX218" i="5" s="1"/>
  <c r="AW197" i="5"/>
  <c r="AX197" i="5" s="1"/>
  <c r="AO31" i="5"/>
  <c r="AR31" i="5" s="1"/>
  <c r="AS31" i="5" s="1"/>
  <c r="AX68" i="5"/>
  <c r="AO9" i="5"/>
  <c r="BB9" i="5" s="1"/>
  <c r="AO13" i="5"/>
  <c r="AR13" i="5" s="1"/>
  <c r="AS13" i="5" s="1"/>
  <c r="AO103" i="5"/>
  <c r="BB103" i="5" s="1"/>
  <c r="AX165" i="5"/>
  <c r="AX20" i="5"/>
  <c r="AW116" i="5"/>
  <c r="AX116" i="5" s="1"/>
  <c r="AX224" i="5"/>
  <c r="AO57" i="5"/>
  <c r="AR57" i="5" s="1"/>
  <c r="AS57" i="5" s="1"/>
  <c r="AW54" i="5"/>
  <c r="AX54" i="5" s="1"/>
  <c r="AO155" i="5"/>
  <c r="AR155" i="5" s="1"/>
  <c r="AS155" i="5" s="1"/>
  <c r="AW7" i="5"/>
  <c r="AX7" i="5" s="1"/>
  <c r="AX178" i="5"/>
  <c r="AD175" i="5"/>
  <c r="AW118" i="5"/>
  <c r="AX118" i="5" s="1"/>
  <c r="AW23" i="5"/>
  <c r="AX23" i="5" s="1"/>
  <c r="AO221" i="5"/>
  <c r="AR221" i="5" s="1"/>
  <c r="AS221" i="5" s="1"/>
  <c r="AO172" i="5"/>
  <c r="BB172" i="5" s="1"/>
  <c r="AX137" i="5"/>
  <c r="AX83" i="5"/>
  <c r="BB113" i="5"/>
  <c r="BC113" i="5" s="1"/>
  <c r="AO102" i="5"/>
  <c r="AR102" i="5" s="1"/>
  <c r="AS102" i="5" s="1"/>
  <c r="AX203" i="5"/>
  <c r="AX209" i="5"/>
  <c r="AX60" i="5"/>
  <c r="AW27" i="5"/>
  <c r="AX27" i="5" s="1"/>
  <c r="AX47" i="5"/>
  <c r="AO100" i="5"/>
  <c r="AR100" i="5" s="1"/>
  <c r="AS100" i="5" s="1"/>
  <c r="AX155" i="5"/>
  <c r="AX122" i="5"/>
  <c r="AO158" i="5"/>
  <c r="AR158" i="5" s="1"/>
  <c r="AS158" i="5" s="1"/>
  <c r="AX100" i="5"/>
  <c r="AX221" i="5"/>
  <c r="AO199" i="5"/>
  <c r="BB199" i="5" s="1"/>
  <c r="AO189" i="5"/>
  <c r="AR189" i="5" s="1"/>
  <c r="AS189" i="5" s="1"/>
  <c r="AO60" i="5"/>
  <c r="AR60" i="5" s="1"/>
  <c r="AS60" i="5" s="1"/>
  <c r="AO129" i="5"/>
  <c r="BB129" i="5" s="1"/>
  <c r="AW37" i="5"/>
  <c r="AX37" i="5" s="1"/>
  <c r="AW183" i="5"/>
  <c r="AX183" i="5" s="1"/>
  <c r="AO21" i="5"/>
  <c r="AR21" i="5" s="1"/>
  <c r="AS21" i="5" s="1"/>
  <c r="AO47" i="5"/>
  <c r="AR47" i="5" s="1"/>
  <c r="AS47" i="5" s="1"/>
  <c r="AW115" i="5"/>
  <c r="AX115" i="5" s="1"/>
  <c r="AX142" i="5"/>
  <c r="AO82" i="5"/>
  <c r="BB82" i="5" s="1"/>
  <c r="AX223" i="5"/>
  <c r="AX105" i="5"/>
  <c r="AW219" i="5"/>
  <c r="AX219" i="5" s="1"/>
  <c r="AW194" i="5"/>
  <c r="AX194" i="5" s="1"/>
  <c r="AO204" i="5"/>
  <c r="AR204" i="5" s="1"/>
  <c r="AS204" i="5" s="1"/>
  <c r="AO192" i="5"/>
  <c r="BB192" i="5" s="1"/>
  <c r="AX101" i="5"/>
  <c r="AD132" i="5"/>
  <c r="AX187" i="5"/>
  <c r="AO83" i="5"/>
  <c r="AR83" i="5" s="1"/>
  <c r="AS83" i="5" s="1"/>
  <c r="AO176" i="5"/>
  <c r="AR176" i="5" s="1"/>
  <c r="AS176" i="5" s="1"/>
  <c r="AX107" i="5"/>
  <c r="AO147" i="5"/>
  <c r="BB147" i="5" s="1"/>
  <c r="AO49" i="5"/>
  <c r="BB49" i="5" s="1"/>
  <c r="AW121" i="5"/>
  <c r="AX121" i="5" s="1"/>
  <c r="AO209" i="5"/>
  <c r="AR209" i="5" s="1"/>
  <c r="AS209" i="5" s="1"/>
  <c r="AW193" i="5"/>
  <c r="AX193" i="5" s="1"/>
  <c r="AW87" i="5"/>
  <c r="AX87" i="5" s="1"/>
  <c r="AX160" i="5"/>
  <c r="AX198" i="5"/>
  <c r="AX173" i="5"/>
  <c r="AD68" i="5"/>
  <c r="AJ34" i="5"/>
  <c r="AX108" i="5"/>
  <c r="AX57" i="5"/>
  <c r="AO203" i="5"/>
  <c r="AR203" i="5" s="1"/>
  <c r="AS203" i="5" s="1"/>
  <c r="AO108" i="5"/>
  <c r="AR108" i="5" s="1"/>
  <c r="AS108" i="5" s="1"/>
  <c r="AW98" i="5"/>
  <c r="AX98" i="5" s="1"/>
  <c r="BB24" i="5"/>
  <c r="BF24" i="5" s="1"/>
  <c r="AX64" i="5"/>
  <c r="AX215" i="5"/>
  <c r="AW132" i="5"/>
  <c r="AX132" i="5" s="1"/>
  <c r="AS59" i="5"/>
  <c r="AW58" i="5"/>
  <c r="AX58" i="5" s="1"/>
  <c r="AW30" i="5"/>
  <c r="AX30" i="5" s="1"/>
  <c r="AO105" i="5"/>
  <c r="AR105" i="5" s="1"/>
  <c r="AS105" i="5" s="1"/>
  <c r="AW112" i="5"/>
  <c r="AX112" i="5" s="1"/>
  <c r="AO28" i="5"/>
  <c r="AR28" i="5" s="1"/>
  <c r="AS28" i="5" s="1"/>
  <c r="AX143" i="5"/>
  <c r="AO223" i="5"/>
  <c r="AR223" i="5" s="1"/>
  <c r="AS223" i="5" s="1"/>
  <c r="AW2" i="5"/>
  <c r="AX2" i="5" s="1"/>
  <c r="AO127" i="5"/>
  <c r="AR127" i="5" s="1"/>
  <c r="AS127" i="5" s="1"/>
  <c r="AO206" i="5"/>
  <c r="BB206" i="5" s="1"/>
  <c r="AW8" i="5"/>
  <c r="AX8" i="5" s="1"/>
  <c r="AO175" i="5"/>
  <c r="BB175" i="5" s="1"/>
  <c r="AO101" i="5"/>
  <c r="AR101" i="5" s="1"/>
  <c r="AS101" i="5" s="1"/>
  <c r="AO52" i="5"/>
  <c r="AR52" i="5" s="1"/>
  <c r="AS52" i="5" s="1"/>
  <c r="AX168" i="5"/>
  <c r="AW125" i="5"/>
  <c r="AX125" i="5" s="1"/>
  <c r="AX177" i="5"/>
  <c r="AW59" i="5"/>
  <c r="AX59" i="5" s="1"/>
  <c r="AO136" i="5"/>
  <c r="AR136" i="5" s="1"/>
  <c r="AS136" i="5" s="1"/>
  <c r="AO53" i="5"/>
  <c r="AR53" i="5" s="1"/>
  <c r="AS53" i="5" s="1"/>
  <c r="AX151" i="5"/>
  <c r="AX205" i="5"/>
  <c r="AO198" i="5"/>
  <c r="BB198" i="5" s="1"/>
  <c r="AD204" i="5"/>
  <c r="BA108" i="5"/>
  <c r="AJ54" i="5"/>
  <c r="AX169" i="5"/>
  <c r="AX189" i="5"/>
  <c r="AW153" i="5"/>
  <c r="AX153" i="5" s="1"/>
  <c r="AW17" i="5"/>
  <c r="AX17" i="5" s="1"/>
  <c r="AW167" i="5"/>
  <c r="AX167" i="5" s="1"/>
  <c r="AX176" i="5"/>
  <c r="AX211" i="5"/>
  <c r="AO71" i="5"/>
  <c r="BB71" i="5" s="1"/>
  <c r="AW171" i="5"/>
  <c r="AX171" i="5" s="1"/>
  <c r="AO124" i="5"/>
  <c r="BB124" i="5" s="1"/>
  <c r="AX174" i="5"/>
  <c r="AJ142" i="5"/>
  <c r="AO215" i="5"/>
  <c r="AR215" i="5" s="1"/>
  <c r="AS215" i="5" s="1"/>
  <c r="AX65" i="5"/>
  <c r="AX96" i="5"/>
  <c r="AW61" i="5"/>
  <c r="AX61" i="5" s="1"/>
  <c r="AX38" i="5"/>
  <c r="AX152" i="5"/>
  <c r="AW56" i="5"/>
  <c r="AX56" i="5" s="1"/>
  <c r="AX186" i="5"/>
  <c r="AO79" i="5"/>
  <c r="BB79" i="5" s="1"/>
  <c r="AX199" i="5"/>
  <c r="AX81" i="5"/>
  <c r="AO205" i="5"/>
  <c r="AR205" i="5" s="1"/>
  <c r="AS205" i="5" s="1"/>
  <c r="AW106" i="5"/>
  <c r="AX106" i="5" s="1"/>
  <c r="AW154" i="5"/>
  <c r="AX154" i="5" s="1"/>
  <c r="AX13" i="5"/>
  <c r="AO64" i="5"/>
  <c r="BB64" i="5" s="1"/>
  <c r="AO96" i="5"/>
  <c r="BB96" i="5" s="1"/>
  <c r="AW212" i="5"/>
  <c r="AX212" i="5" s="1"/>
  <c r="AX156" i="5"/>
  <c r="AX76" i="5"/>
  <c r="AX195" i="5"/>
  <c r="AX82" i="5"/>
  <c r="AW26" i="5"/>
  <c r="AX26" i="5" s="1"/>
  <c r="AX114" i="5"/>
  <c r="AO220" i="5"/>
  <c r="AR220" i="5" s="1"/>
  <c r="AS220" i="5" s="1"/>
  <c r="AW144" i="5"/>
  <c r="AX144" i="5" s="1"/>
  <c r="BB219" i="5"/>
  <c r="BM219" i="5" s="1"/>
  <c r="AO43" i="5"/>
  <c r="AR43" i="5" s="1"/>
  <c r="AS43" i="5" s="1"/>
  <c r="AX21" i="5"/>
  <c r="AW161" i="5"/>
  <c r="AX161" i="5" s="1"/>
  <c r="AO95" i="5"/>
  <c r="AR95" i="5" s="1"/>
  <c r="AS95" i="5" s="1"/>
  <c r="AO160" i="5"/>
  <c r="BB160" i="5" s="1"/>
  <c r="AW201" i="5"/>
  <c r="AX201" i="5" s="1"/>
  <c r="AW139" i="5"/>
  <c r="AX139" i="5" s="1"/>
  <c r="AX74" i="5"/>
  <c r="BB139" i="5"/>
  <c r="BM139" i="5" s="1"/>
  <c r="AX102" i="5"/>
  <c r="AW16" i="5"/>
  <c r="AX16" i="5" s="1"/>
  <c r="AW126" i="5"/>
  <c r="AX126" i="5" s="1"/>
  <c r="AW86" i="5"/>
  <c r="AX86" i="5" s="1"/>
  <c r="AD84" i="5"/>
  <c r="AO165" i="5"/>
  <c r="BB165" i="5" s="1"/>
  <c r="AX42" i="5"/>
  <c r="AX127" i="5"/>
  <c r="AO81" i="5"/>
  <c r="AR81" i="5" s="1"/>
  <c r="AS81" i="5" s="1"/>
  <c r="AK44" i="5"/>
  <c r="AO119" i="5"/>
  <c r="AR119" i="5" s="1"/>
  <c r="AS119" i="5" s="1"/>
  <c r="AX94" i="5"/>
  <c r="AO76" i="5"/>
  <c r="AR76" i="5" s="1"/>
  <c r="AS76" i="5" s="1"/>
  <c r="AO186" i="5"/>
  <c r="AR186" i="5" s="1"/>
  <c r="AS186" i="5" s="1"/>
  <c r="AW141" i="5"/>
  <c r="AX141" i="5" s="1"/>
  <c r="AX182" i="5"/>
  <c r="AX172" i="5"/>
  <c r="AX29" i="5"/>
  <c r="BA189" i="5"/>
  <c r="AO42" i="5"/>
  <c r="AR42" i="5" s="1"/>
  <c r="AS42" i="5" s="1"/>
  <c r="AX175" i="5"/>
  <c r="AW51" i="5"/>
  <c r="AX51" i="5" s="1"/>
  <c r="AW120" i="5"/>
  <c r="AX120" i="5" s="1"/>
  <c r="AW164" i="5"/>
  <c r="AX164" i="5" s="1"/>
  <c r="AX202" i="5"/>
  <c r="AW14" i="5"/>
  <c r="AX14" i="5" s="1"/>
  <c r="AX73" i="5"/>
  <c r="AD90" i="5"/>
  <c r="AO68" i="5"/>
  <c r="AR68" i="5" s="1"/>
  <c r="AS68" i="5" s="1"/>
  <c r="AW55" i="5"/>
  <c r="AX55" i="5" s="1"/>
  <c r="AO114" i="5"/>
  <c r="AR114" i="5" s="1"/>
  <c r="AS114" i="5" s="1"/>
  <c r="AO152" i="5"/>
  <c r="AR152" i="5" s="1"/>
  <c r="AS152" i="5" s="1"/>
  <c r="AW150" i="5"/>
  <c r="AX150" i="5" s="1"/>
  <c r="AJ124" i="5"/>
  <c r="AX133" i="5"/>
  <c r="AS87" i="5"/>
  <c r="AX136" i="5"/>
  <c r="AW214" i="5"/>
  <c r="AX214" i="5" s="1"/>
  <c r="AX9" i="5"/>
  <c r="AW90" i="5"/>
  <c r="AX90" i="5" s="1"/>
  <c r="AW191" i="5"/>
  <c r="AX191" i="5" s="1"/>
  <c r="AX72" i="5"/>
  <c r="AD52" i="5"/>
  <c r="AW217" i="5"/>
  <c r="AX217" i="5" s="1"/>
  <c r="AO40" i="5"/>
  <c r="AR40" i="5" s="1"/>
  <c r="AS40" i="5" s="1"/>
  <c r="AX145" i="5"/>
  <c r="AW185" i="5"/>
  <c r="AX185" i="5" s="1"/>
  <c r="AX28" i="5"/>
  <c r="AO73" i="5"/>
  <c r="BB73" i="5" s="1"/>
  <c r="AW50" i="5"/>
  <c r="AX50" i="5" s="1"/>
  <c r="AW12" i="5"/>
  <c r="AX12" i="5" s="1"/>
  <c r="AO74" i="5"/>
  <c r="AR74" i="5" s="1"/>
  <c r="AS74" i="5" s="1"/>
  <c r="BB59" i="5"/>
  <c r="BF59" i="5" s="1"/>
  <c r="AU216" i="5"/>
  <c r="AV216" i="5" s="1"/>
  <c r="AK28" i="5"/>
  <c r="AK124" i="5"/>
  <c r="AK180" i="5"/>
  <c r="AK211" i="5"/>
  <c r="AW88" i="5"/>
  <c r="AX88" i="5" s="1"/>
  <c r="BA92" i="5"/>
  <c r="BB92" i="5" s="1"/>
  <c r="BB216" i="5"/>
  <c r="BM216" i="5" s="1"/>
  <c r="AO173" i="5"/>
  <c r="AR173" i="5" s="1"/>
  <c r="AS173" i="5" s="1"/>
  <c r="AD59" i="5"/>
  <c r="BB185" i="5"/>
  <c r="BM185" i="5" s="1"/>
  <c r="AX124" i="5"/>
  <c r="AW184" i="5"/>
  <c r="AX184" i="5" s="1"/>
  <c r="AW24" i="5"/>
  <c r="AX24" i="5" s="1"/>
  <c r="AX147" i="5"/>
  <c r="AJ59" i="5"/>
  <c r="BB88" i="5"/>
  <c r="BF88" i="5" s="1"/>
  <c r="AW128" i="5"/>
  <c r="AX128" i="5" s="1"/>
  <c r="AO169" i="5"/>
  <c r="AR169" i="5" s="1"/>
  <c r="AS169" i="5" s="1"/>
  <c r="AO179" i="5"/>
  <c r="BB179" i="5" s="1"/>
  <c r="AW6" i="5"/>
  <c r="AX6" i="5" s="1"/>
  <c r="AD218" i="5"/>
  <c r="AX75" i="5"/>
  <c r="AX220" i="5"/>
  <c r="AW123" i="5"/>
  <c r="AX123" i="5" s="1"/>
  <c r="AJ77" i="5"/>
  <c r="AO168" i="5"/>
  <c r="AR168" i="5" s="1"/>
  <c r="AS168" i="5" s="1"/>
  <c r="AO182" i="5"/>
  <c r="AR182" i="5" s="1"/>
  <c r="AS182" i="5" s="1"/>
  <c r="AX192" i="5"/>
  <c r="AW18" i="5"/>
  <c r="AX18" i="5" s="1"/>
  <c r="AX41" i="5"/>
  <c r="AX109" i="5"/>
  <c r="AO11" i="5"/>
  <c r="BB11" i="5" s="1"/>
  <c r="AO65" i="5"/>
  <c r="BB65" i="5" s="1"/>
  <c r="AW77" i="5"/>
  <c r="AX77" i="5" s="1"/>
  <c r="AX39" i="5"/>
  <c r="AW45" i="5"/>
  <c r="AX45" i="5" s="1"/>
  <c r="AX134" i="5"/>
  <c r="AD210" i="5"/>
  <c r="BA125" i="5"/>
  <c r="BB125" i="5" s="1"/>
  <c r="BF125" i="5" s="1"/>
  <c r="AX103" i="5"/>
  <c r="AW92" i="5"/>
  <c r="AX92" i="5" s="1"/>
  <c r="AW166" i="5"/>
  <c r="AX166" i="5" s="1"/>
  <c r="AO72" i="5"/>
  <c r="AR72" i="5" s="1"/>
  <c r="AS72" i="5" s="1"/>
  <c r="BB26" i="5"/>
  <c r="BM26" i="5" s="1"/>
  <c r="AX204" i="5"/>
  <c r="AX95" i="5"/>
  <c r="AW216" i="5"/>
  <c r="AX216" i="5" s="1"/>
  <c r="AW93" i="5"/>
  <c r="AX93" i="5" s="1"/>
  <c r="AX5" i="5"/>
  <c r="AO20" i="5"/>
  <c r="BB20" i="5" s="1"/>
  <c r="AW46" i="5"/>
  <c r="AX46" i="5" s="1"/>
  <c r="AX71" i="5"/>
  <c r="AO133" i="5"/>
  <c r="BB133" i="5" s="1"/>
  <c r="AX158" i="5"/>
  <c r="AX40" i="5"/>
  <c r="AX31" i="5"/>
  <c r="AO156" i="5"/>
  <c r="BB156" i="5" s="1"/>
  <c r="AO38" i="5"/>
  <c r="AR38" i="5" s="1"/>
  <c r="AS38" i="5" s="1"/>
  <c r="AK165" i="5"/>
  <c r="AK200" i="5"/>
  <c r="AF215" i="5"/>
  <c r="AK174" i="5"/>
  <c r="AK61" i="5"/>
  <c r="AK97" i="5"/>
  <c r="AK148" i="5"/>
  <c r="AK33" i="5"/>
  <c r="AK137" i="5"/>
  <c r="AK39" i="5"/>
  <c r="AK21" i="5"/>
  <c r="AK66" i="5"/>
  <c r="AK13" i="5"/>
  <c r="AK17" i="5"/>
  <c r="AK18" i="5"/>
  <c r="AN42" i="5"/>
  <c r="AK23" i="5"/>
  <c r="AK223" i="5"/>
  <c r="AK131" i="5"/>
  <c r="AK130" i="5"/>
  <c r="AN196" i="5"/>
  <c r="AK60" i="5"/>
  <c r="AK90" i="5"/>
  <c r="AF119" i="5"/>
  <c r="AK144" i="5"/>
  <c r="AK202" i="5"/>
  <c r="AK6" i="5"/>
  <c r="AK80" i="5"/>
  <c r="AK112" i="5"/>
  <c r="AK71" i="5"/>
  <c r="AK77" i="5"/>
  <c r="AN119" i="5"/>
  <c r="AK206" i="5"/>
  <c r="AK209" i="5"/>
  <c r="AK101" i="5"/>
  <c r="AK157" i="5"/>
  <c r="AF194" i="5"/>
  <c r="AK75" i="5"/>
  <c r="AF159" i="5"/>
  <c r="AK151" i="5"/>
  <c r="AK24" i="5"/>
  <c r="AK178" i="5"/>
  <c r="AK141" i="5"/>
  <c r="AK184" i="5"/>
  <c r="AK5" i="5"/>
  <c r="AK139" i="5"/>
  <c r="AU139" i="5"/>
  <c r="AV139" i="5" s="1"/>
  <c r="AF196" i="5"/>
  <c r="AK83" i="5"/>
  <c r="AK35" i="5"/>
  <c r="AK121" i="5"/>
  <c r="AR18" i="5"/>
  <c r="AS18" i="5" s="1"/>
  <c r="BB18" i="5"/>
  <c r="BC18" i="5" s="1"/>
  <c r="AO137" i="5"/>
  <c r="AR137" i="5" s="1"/>
  <c r="AS137" i="5" s="1"/>
  <c r="AW131" i="5"/>
  <c r="AX131" i="5" s="1"/>
  <c r="AW80" i="5"/>
  <c r="AX80" i="5" s="1"/>
  <c r="AO78" i="5"/>
  <c r="AR78" i="5" s="1"/>
  <c r="AS78" i="5" s="1"/>
  <c r="AW78" i="5"/>
  <c r="AX78" i="5" s="1"/>
  <c r="BA22" i="5"/>
  <c r="AW200" i="5"/>
  <c r="AX200" i="5" s="1"/>
  <c r="AO200" i="5"/>
  <c r="AR200" i="5" s="1"/>
  <c r="AS200" i="5" s="1"/>
  <c r="AO138" i="5"/>
  <c r="AR138" i="5" s="1"/>
  <c r="AS138" i="5" s="1"/>
  <c r="AW138" i="5"/>
  <c r="AX138" i="5" s="1"/>
  <c r="AO104" i="5"/>
  <c r="AW104" i="5"/>
  <c r="AX104" i="5" s="1"/>
  <c r="AD148" i="5"/>
  <c r="AJ148" i="5"/>
  <c r="AX11" i="5"/>
  <c r="AO109" i="5"/>
  <c r="AR109" i="5" s="1"/>
  <c r="AS109" i="5" s="1"/>
  <c r="AW32" i="5"/>
  <c r="AX32" i="5" s="1"/>
  <c r="AO32" i="5"/>
  <c r="AR32" i="5" s="1"/>
  <c r="AS32" i="5" s="1"/>
  <c r="AO99" i="5"/>
  <c r="AW99" i="5"/>
  <c r="AX99" i="5" s="1"/>
  <c r="AW180" i="5"/>
  <c r="AX180" i="5" s="1"/>
  <c r="AO180" i="5"/>
  <c r="AR180" i="5" s="1"/>
  <c r="AS180" i="5" s="1"/>
  <c r="AO207" i="5"/>
  <c r="AR207" i="5" s="1"/>
  <c r="AS207" i="5" s="1"/>
  <c r="AW207" i="5"/>
  <c r="AX207" i="5" s="1"/>
  <c r="AD18" i="5"/>
  <c r="AJ18" i="5"/>
  <c r="AW85" i="5"/>
  <c r="AX85" i="5" s="1"/>
  <c r="AO85" i="5"/>
  <c r="AR85" i="5" s="1"/>
  <c r="AS85" i="5" s="1"/>
  <c r="AO163" i="5"/>
  <c r="AR163" i="5" s="1"/>
  <c r="AS163" i="5" s="1"/>
  <c r="AW163" i="5"/>
  <c r="AX163" i="5" s="1"/>
  <c r="AX49" i="5"/>
  <c r="AW110" i="5"/>
  <c r="AX110" i="5" s="1"/>
  <c r="AO110" i="5"/>
  <c r="AR110" i="5" s="1"/>
  <c r="AS110" i="5" s="1"/>
  <c r="AD80" i="5"/>
  <c r="AJ80" i="5"/>
  <c r="AX129" i="5"/>
  <c r="AW48" i="5"/>
  <c r="AX48" i="5" s="1"/>
  <c r="AW84" i="5"/>
  <c r="AX84" i="5" s="1"/>
  <c r="AO84" i="5"/>
  <c r="AR84" i="5" s="1"/>
  <c r="AS84" i="5" s="1"/>
  <c r="AO67" i="5"/>
  <c r="AR67" i="5" s="1"/>
  <c r="AS67" i="5" s="1"/>
  <c r="AW67" i="5"/>
  <c r="AX67" i="5" s="1"/>
  <c r="AD135" i="5"/>
  <c r="AJ135" i="5"/>
  <c r="AJ183" i="5"/>
  <c r="AD183" i="5"/>
  <c r="AW188" i="5"/>
  <c r="AX188" i="5" s="1"/>
  <c r="AW148" i="5"/>
  <c r="AX148" i="5" s="1"/>
  <c r="AX179" i="5"/>
  <c r="AW33" i="5"/>
  <c r="AX33" i="5" s="1"/>
  <c r="AO33" i="5"/>
  <c r="AD203" i="5"/>
  <c r="AJ203" i="5"/>
  <c r="AX79" i="5"/>
  <c r="AW91" i="5"/>
  <c r="AX91" i="5" s="1"/>
  <c r="AO224" i="5"/>
  <c r="AR224" i="5" s="1"/>
  <c r="AS224" i="5" s="1"/>
  <c r="AD205" i="5"/>
  <c r="AJ205" i="5"/>
  <c r="AO117" i="5"/>
  <c r="AR117" i="5" s="1"/>
  <c r="AS117" i="5" s="1"/>
  <c r="AW117" i="5"/>
  <c r="AX117" i="5" s="1"/>
  <c r="AO162" i="5"/>
  <c r="AW162" i="5"/>
  <c r="AX162" i="5" s="1"/>
  <c r="AO135" i="5"/>
  <c r="AR135" i="5" s="1"/>
  <c r="AS135" i="5" s="1"/>
  <c r="AW135" i="5"/>
  <c r="AX135" i="5" s="1"/>
  <c r="AJ108" i="5"/>
  <c r="AD108" i="5"/>
  <c r="AW36" i="5"/>
  <c r="AX36" i="5" s="1"/>
  <c r="AO36" i="5"/>
  <c r="AR36" i="5" s="1"/>
  <c r="AS36" i="5" s="1"/>
  <c r="AO202" i="5"/>
  <c r="AR202" i="5" s="1"/>
  <c r="AS202" i="5" s="1"/>
  <c r="AW10" i="5"/>
  <c r="AX10" i="5" s="1"/>
  <c r="AW69" i="5"/>
  <c r="AX69" i="5" s="1"/>
  <c r="AO69" i="5"/>
  <c r="AW181" i="5"/>
  <c r="AX181" i="5" s="1"/>
  <c r="AO181" i="5"/>
  <c r="AO4" i="5"/>
  <c r="AW4" i="5"/>
  <c r="AX4" i="5" s="1"/>
  <c r="AJ87" i="5"/>
  <c r="AD87" i="5"/>
  <c r="AO35" i="5"/>
  <c r="AW35" i="5"/>
  <c r="AX35" i="5" s="1"/>
  <c r="AX206" i="5"/>
  <c r="AW63" i="5"/>
  <c r="AX63" i="5" s="1"/>
  <c r="AO222" i="5"/>
  <c r="AR222" i="5" s="1"/>
  <c r="AS222" i="5" s="1"/>
  <c r="AW222" i="5"/>
  <c r="AX222" i="5" s="1"/>
  <c r="AO62" i="5"/>
  <c r="AW62" i="5"/>
  <c r="AX62" i="5" s="1"/>
  <c r="AJ151" i="5"/>
  <c r="AD151" i="5"/>
  <c r="AO140" i="5"/>
  <c r="AR140" i="5" s="1"/>
  <c r="AS140" i="5" s="1"/>
  <c r="AW140" i="5"/>
  <c r="AX140" i="5" s="1"/>
  <c r="AO196" i="5"/>
  <c r="AR196" i="5" s="1"/>
  <c r="AS196" i="5" s="1"/>
  <c r="AW196" i="5"/>
  <c r="AX196" i="5" s="1"/>
  <c r="AW34" i="5"/>
  <c r="AX34" i="5" s="1"/>
  <c r="AO34" i="5"/>
  <c r="AR34" i="5" s="1"/>
  <c r="AS34" i="5" s="1"/>
  <c r="AW130" i="5"/>
  <c r="AX130" i="5" s="1"/>
  <c r="AO130" i="5"/>
  <c r="AW3" i="5"/>
  <c r="AX3" i="5" s="1"/>
  <c r="AO3" i="5"/>
  <c r="AR3" i="5" s="1"/>
  <c r="AS3" i="5" s="1"/>
  <c r="AW22" i="5"/>
  <c r="AX22" i="5" s="1"/>
  <c r="AO22" i="5"/>
  <c r="AO159" i="5"/>
  <c r="AW159" i="5"/>
  <c r="AX159" i="5" s="1"/>
  <c r="AK25" i="5"/>
  <c r="AN152" i="5"/>
  <c r="AF152" i="5"/>
  <c r="AF2" i="5"/>
  <c r="AN2" i="5"/>
  <c r="AF109" i="5"/>
  <c r="AN109" i="5"/>
  <c r="AN191" i="5"/>
  <c r="AF191" i="5"/>
  <c r="AF164" i="5"/>
  <c r="AN164" i="5"/>
  <c r="AK46" i="5"/>
  <c r="AK3" i="5"/>
  <c r="AK70" i="5"/>
  <c r="AK47" i="5"/>
  <c r="AN63" i="5"/>
  <c r="AU24" i="5"/>
  <c r="AV24" i="5" s="1"/>
  <c r="AK111" i="5"/>
  <c r="AK29" i="5"/>
  <c r="AN115" i="5"/>
  <c r="AF56" i="5"/>
  <c r="AN56" i="5"/>
  <c r="AK78" i="5"/>
  <c r="AK76" i="5"/>
  <c r="AN125" i="5"/>
  <c r="AK8" i="5"/>
  <c r="AN49" i="5"/>
  <c r="AK27" i="5"/>
  <c r="AK108" i="5"/>
  <c r="AK55" i="5"/>
  <c r="AK190" i="5"/>
  <c r="AK103" i="5"/>
  <c r="AN89" i="5"/>
  <c r="AF89" i="5"/>
  <c r="AK218" i="5"/>
  <c r="AF155" i="5"/>
  <c r="AF107" i="5"/>
  <c r="AF26" i="5"/>
  <c r="AK106" i="5"/>
  <c r="AN72" i="5"/>
  <c r="AF72" i="5"/>
  <c r="AN85" i="5"/>
  <c r="AF85" i="5"/>
  <c r="AF63" i="5"/>
  <c r="AN146" i="5"/>
  <c r="AK205" i="5"/>
  <c r="AF102" i="5"/>
  <c r="AK135" i="5"/>
  <c r="AK37" i="5"/>
  <c r="AF146" i="5"/>
  <c r="AK54" i="5"/>
  <c r="AN102" i="5"/>
  <c r="AN155" i="5"/>
  <c r="AK91" i="5"/>
  <c r="AF208" i="5"/>
  <c r="AN107" i="5"/>
  <c r="AK153" i="5"/>
  <c r="AK62" i="5"/>
  <c r="AK73" i="5"/>
  <c r="AK120" i="5"/>
  <c r="AK40" i="5"/>
  <c r="AK220" i="5"/>
  <c r="AF38" i="5"/>
  <c r="AK96" i="5"/>
  <c r="AU88" i="5"/>
  <c r="AV88" i="5" s="1"/>
  <c r="AK110" i="5"/>
  <c r="AK16" i="5"/>
  <c r="AK65" i="5"/>
  <c r="AF115" i="5"/>
  <c r="AK84" i="5"/>
  <c r="AF48" i="5"/>
  <c r="AK185" i="5"/>
  <c r="AK98" i="5"/>
  <c r="AK170" i="5"/>
  <c r="AK212" i="5"/>
  <c r="AK143" i="5"/>
  <c r="AK79" i="5"/>
  <c r="AN208" i="5"/>
  <c r="AN177" i="5"/>
  <c r="AK154" i="5"/>
  <c r="AK59" i="5"/>
  <c r="AK92" i="5"/>
  <c r="AK93" i="5"/>
  <c r="AU219" i="5"/>
  <c r="AV219" i="5" s="1"/>
  <c r="AN38" i="5"/>
  <c r="AN215" i="5"/>
  <c r="AK188" i="5"/>
  <c r="AK156" i="5"/>
  <c r="AN45" i="5"/>
  <c r="AF45" i="5"/>
  <c r="AU125" i="5"/>
  <c r="AV125" i="5" s="1"/>
  <c r="AK204" i="5"/>
  <c r="AF104" i="5"/>
  <c r="AN48" i="5"/>
  <c r="AK187" i="5"/>
  <c r="AK136" i="5"/>
  <c r="AF177" i="5"/>
  <c r="AK118" i="5"/>
  <c r="AK203" i="5"/>
  <c r="AK176" i="5"/>
  <c r="AK195" i="5"/>
  <c r="AF69" i="5"/>
  <c r="AF7" i="5"/>
  <c r="AN194" i="5"/>
  <c r="AK175" i="5"/>
  <c r="AK95" i="5"/>
  <c r="AK88" i="5"/>
  <c r="AN104" i="5"/>
  <c r="AK167" i="5"/>
  <c r="AK166" i="5"/>
  <c r="AK14" i="5"/>
  <c r="AK30" i="5"/>
  <c r="AK193" i="5"/>
  <c r="AK114" i="5"/>
  <c r="AK74" i="5"/>
  <c r="AK41" i="5"/>
  <c r="AK149" i="5"/>
  <c r="AN7" i="5"/>
  <c r="AK87" i="5"/>
  <c r="AF216" i="5"/>
  <c r="AN216" i="5"/>
  <c r="AK57" i="5"/>
  <c r="AF10" i="5"/>
  <c r="AN11" i="5"/>
  <c r="AF11" i="5"/>
  <c r="AN162" i="5"/>
  <c r="AK43" i="5"/>
  <c r="AN150" i="5"/>
  <c r="AK126" i="5"/>
  <c r="AK34" i="5"/>
  <c r="AK100" i="5"/>
  <c r="AK172" i="5"/>
  <c r="AK9" i="5"/>
  <c r="AK163" i="5"/>
  <c r="AK127" i="5"/>
  <c r="AK192" i="5"/>
  <c r="AK134" i="5"/>
  <c r="AF42" i="5"/>
  <c r="AK50" i="5"/>
  <c r="AK140" i="5"/>
  <c r="AK214" i="5"/>
  <c r="AF58" i="5"/>
  <c r="AF162" i="5"/>
  <c r="AK67" i="5"/>
  <c r="AK53" i="5"/>
  <c r="AK105" i="5"/>
  <c r="AF150" i="5"/>
  <c r="AK224" i="5"/>
  <c r="AK32" i="5"/>
  <c r="AN161" i="5"/>
  <c r="AK52" i="5"/>
  <c r="AU26" i="5"/>
  <c r="AV26" i="5" s="1"/>
  <c r="AK82" i="5"/>
  <c r="AN159" i="5"/>
  <c r="AF161" i="5"/>
  <c r="AK99" i="5"/>
  <c r="AU185" i="5"/>
  <c r="AV185" i="5" s="1"/>
  <c r="AK219" i="5"/>
  <c r="AN58" i="5"/>
  <c r="AK19" i="5"/>
  <c r="AU113" i="5"/>
  <c r="AV113" i="5" s="1"/>
  <c r="AK142" i="5"/>
  <c r="AK31" i="5"/>
  <c r="AK128" i="5"/>
  <c r="AK169" i="5"/>
  <c r="AK113" i="5"/>
  <c r="AK68" i="5"/>
  <c r="AK210" i="5"/>
  <c r="AK81" i="5"/>
  <c r="AU166" i="5"/>
  <c r="AV166" i="5" s="1"/>
  <c r="AN26" i="5"/>
  <c r="AK15" i="5"/>
  <c r="AK182" i="5"/>
  <c r="AK197" i="5"/>
  <c r="AN69" i="5"/>
  <c r="AK51" i="5"/>
  <c r="AK132" i="5"/>
  <c r="AK186" i="5"/>
  <c r="AK207" i="5"/>
  <c r="AK183" i="5"/>
  <c r="AK221" i="5"/>
  <c r="AN10" i="5"/>
  <c r="AK201" i="5"/>
  <c r="AF49" i="5"/>
  <c r="AK122" i="5"/>
  <c r="AF125" i="5"/>
  <c r="AU164" i="5"/>
  <c r="AV164" i="5" s="1"/>
  <c r="AW70" i="5"/>
  <c r="AX70" i="5" s="1"/>
  <c r="BB87" i="5"/>
  <c r="BP61" i="5"/>
  <c r="BN61" i="5"/>
  <c r="BN177" i="5"/>
  <c r="BP177" i="5"/>
  <c r="BP57" i="5"/>
  <c r="BN57" i="5"/>
  <c r="AD25" i="5"/>
  <c r="AJ25" i="5"/>
  <c r="AO25" i="5"/>
  <c r="AW25" i="5"/>
  <c r="AX25" i="5" s="1"/>
  <c r="BN125" i="5"/>
  <c r="BP125" i="5"/>
  <c r="BN111" i="5"/>
  <c r="BP111" i="5"/>
  <c r="BP76" i="5"/>
  <c r="BN76" i="5"/>
  <c r="BN113" i="5"/>
  <c r="BP113" i="5"/>
  <c r="AO190" i="5"/>
  <c r="AW190" i="5"/>
  <c r="AX190" i="5" s="1"/>
  <c r="BN190" i="5"/>
  <c r="BP190" i="5"/>
  <c r="BN220" i="5"/>
  <c r="BP220" i="5"/>
  <c r="BP172" i="5"/>
  <c r="BN172" i="5"/>
  <c r="BN78" i="5"/>
  <c r="BP78" i="5"/>
  <c r="BP2" i="5"/>
  <c r="BN2" i="5"/>
  <c r="AD70" i="5"/>
  <c r="AJ70" i="5"/>
  <c r="BP65" i="5"/>
  <c r="BN65" i="5"/>
  <c r="BB166" i="5"/>
  <c r="BB164" i="5"/>
  <c r="AR14" i="5"/>
  <c r="AS14" i="5" s="1"/>
  <c r="BB14" i="5"/>
  <c r="AR27" i="5"/>
  <c r="AS27" i="5" s="1"/>
  <c r="BB27" i="5"/>
  <c r="AR51" i="5"/>
  <c r="AS51" i="5" s="1"/>
  <c r="BB51" i="5"/>
  <c r="AR150" i="5"/>
  <c r="AS150" i="5" s="1"/>
  <c r="BB150" i="5"/>
  <c r="AR193" i="5"/>
  <c r="AS193" i="5" s="1"/>
  <c r="BB193" i="5"/>
  <c r="AR112" i="5"/>
  <c r="AS112" i="5" s="1"/>
  <c r="BB112" i="5"/>
  <c r="AR183" i="5"/>
  <c r="AS183" i="5" s="1"/>
  <c r="BB183" i="5"/>
  <c r="AR90" i="5"/>
  <c r="AS90" i="5" s="1"/>
  <c r="BB90" i="5"/>
  <c r="AR149" i="5"/>
  <c r="AS149" i="5" s="1"/>
  <c r="BB149" i="5"/>
  <c r="AR188" i="5"/>
  <c r="AS188" i="5" s="1"/>
  <c r="BB188" i="5"/>
  <c r="AR86" i="5"/>
  <c r="AS86" i="5" s="1"/>
  <c r="BB86" i="5"/>
  <c r="AR92" i="5"/>
  <c r="AS92" i="5" s="1"/>
  <c r="AR37" i="5"/>
  <c r="AS37" i="5" s="1"/>
  <c r="BB37" i="5"/>
  <c r="AR132" i="5"/>
  <c r="AS132" i="5" s="1"/>
  <c r="BB132" i="5"/>
  <c r="AR17" i="5"/>
  <c r="AS17" i="5" s="1"/>
  <c r="BB17" i="5"/>
  <c r="AR123" i="5"/>
  <c r="AS123" i="5" s="1"/>
  <c r="BB123" i="5"/>
  <c r="AR128" i="5"/>
  <c r="AS128" i="5" s="1"/>
  <c r="BB128" i="5"/>
  <c r="AR197" i="5"/>
  <c r="AS197" i="5" s="1"/>
  <c r="BB197" i="5"/>
  <c r="AR50" i="5"/>
  <c r="AS50" i="5" s="1"/>
  <c r="BB50" i="5"/>
  <c r="AR131" i="5"/>
  <c r="AS131" i="5" s="1"/>
  <c r="BB131" i="5"/>
  <c r="AR184" i="5"/>
  <c r="AS184" i="5" s="1"/>
  <c r="BB184" i="5"/>
  <c r="AR217" i="5"/>
  <c r="AS217" i="5" s="1"/>
  <c r="BB217" i="5"/>
  <c r="AR116" i="5"/>
  <c r="AS116" i="5" s="1"/>
  <c r="BB116" i="5"/>
  <c r="AR23" i="5"/>
  <c r="AS23" i="5" s="1"/>
  <c r="BB23" i="5"/>
  <c r="AR121" i="5"/>
  <c r="AS121" i="5" s="1"/>
  <c r="BB121" i="5"/>
  <c r="AR19" i="5"/>
  <c r="AS19" i="5" s="1"/>
  <c r="BB19" i="5"/>
  <c r="AR10" i="5"/>
  <c r="AS10" i="5" s="1"/>
  <c r="BB10" i="5"/>
  <c r="AR54" i="5"/>
  <c r="AS54" i="5" s="1"/>
  <c r="BB54" i="5"/>
  <c r="AR46" i="5"/>
  <c r="AS46" i="5" s="1"/>
  <c r="BB46" i="5"/>
  <c r="AR218" i="5"/>
  <c r="AS218" i="5" s="1"/>
  <c r="BB218" i="5"/>
  <c r="AR7" i="5"/>
  <c r="AS7" i="5" s="1"/>
  <c r="BB7" i="5"/>
  <c r="AR12" i="5"/>
  <c r="AS12" i="5" s="1"/>
  <c r="BB12" i="5"/>
  <c r="AR141" i="5"/>
  <c r="AS141" i="5" s="1"/>
  <c r="BB141" i="5"/>
  <c r="AR120" i="5"/>
  <c r="AS120" i="5" s="1"/>
  <c r="BB120" i="5"/>
  <c r="AR106" i="5"/>
  <c r="AS106" i="5" s="1"/>
  <c r="BB106" i="5"/>
  <c r="AR210" i="5"/>
  <c r="AS210" i="5" s="1"/>
  <c r="BB210" i="5"/>
  <c r="AR56" i="5"/>
  <c r="AS56" i="5" s="1"/>
  <c r="BB56" i="5"/>
  <c r="AR154" i="5"/>
  <c r="AS154" i="5" s="1"/>
  <c r="BB154" i="5"/>
  <c r="AR15" i="5"/>
  <c r="AS15" i="5" s="1"/>
  <c r="BB15" i="5"/>
  <c r="AR89" i="5"/>
  <c r="AS89" i="5" s="1"/>
  <c r="BB89" i="5"/>
  <c r="AR2" i="5"/>
  <c r="AS2" i="5" s="1"/>
  <c r="BB2" i="5"/>
  <c r="AR98" i="5"/>
  <c r="AS98" i="5" s="1"/>
  <c r="BB98" i="5"/>
  <c r="AR214" i="5"/>
  <c r="AS214" i="5" s="1"/>
  <c r="BB214" i="5"/>
  <c r="AR30" i="5"/>
  <c r="AS30" i="5" s="1"/>
  <c r="BB30" i="5"/>
  <c r="AR194" i="5"/>
  <c r="AS194" i="5" s="1"/>
  <c r="BB194" i="5"/>
  <c r="AR8" i="5"/>
  <c r="AS8" i="5" s="1"/>
  <c r="BB8" i="5"/>
  <c r="AR111" i="5"/>
  <c r="AS111" i="5" s="1"/>
  <c r="BB111" i="5"/>
  <c r="AR115" i="5"/>
  <c r="AS115" i="5" s="1"/>
  <c r="BB115" i="5"/>
  <c r="AR58" i="5"/>
  <c r="AS58" i="5" s="1"/>
  <c r="BB58" i="5"/>
  <c r="AR91" i="5"/>
  <c r="AS91" i="5" s="1"/>
  <c r="BB91" i="5"/>
  <c r="AR208" i="5"/>
  <c r="AS208" i="5" s="1"/>
  <c r="BB208" i="5"/>
  <c r="AR146" i="5"/>
  <c r="AS146" i="5" s="1"/>
  <c r="BB146" i="5"/>
  <c r="AR66" i="5"/>
  <c r="AS66" i="5" s="1"/>
  <c r="BB66" i="5"/>
  <c r="AR118" i="5"/>
  <c r="AS118" i="5" s="1"/>
  <c r="BB118" i="5"/>
  <c r="BB157" i="5"/>
  <c r="AR157" i="5"/>
  <c r="AS157" i="5" s="1"/>
  <c r="AR6" i="5"/>
  <c r="AS6" i="5" s="1"/>
  <c r="BB6" i="5"/>
  <c r="AR61" i="5"/>
  <c r="AS61" i="5" s="1"/>
  <c r="BB61" i="5"/>
  <c r="AR170" i="5"/>
  <c r="AS170" i="5" s="1"/>
  <c r="BB170" i="5"/>
  <c r="AR70" i="5"/>
  <c r="AS70" i="5" s="1"/>
  <c r="BB70" i="5"/>
  <c r="AR201" i="5"/>
  <c r="AS201" i="5" s="1"/>
  <c r="BB201" i="5"/>
  <c r="AR212" i="5"/>
  <c r="AS212" i="5" s="1"/>
  <c r="BB212" i="5"/>
  <c r="AR45" i="5"/>
  <c r="AS45" i="5" s="1"/>
  <c r="BB45" i="5"/>
  <c r="AR153" i="5"/>
  <c r="AS153" i="5" s="1"/>
  <c r="BB153" i="5"/>
  <c r="AR44" i="5"/>
  <c r="AS44" i="5" s="1"/>
  <c r="BB44" i="5"/>
  <c r="AR16" i="5"/>
  <c r="AS16" i="5" s="1"/>
  <c r="BB16" i="5"/>
  <c r="AR126" i="5"/>
  <c r="AS126" i="5" s="1"/>
  <c r="BB126" i="5"/>
  <c r="AR161" i="5"/>
  <c r="AS161" i="5" s="1"/>
  <c r="BB161" i="5"/>
  <c r="AR93" i="5"/>
  <c r="AS93" i="5" s="1"/>
  <c r="BB93" i="5"/>
  <c r="AR80" i="5"/>
  <c r="AS80" i="5" s="1"/>
  <c r="BB80" i="5"/>
  <c r="AR191" i="5"/>
  <c r="AS191" i="5" s="1"/>
  <c r="BB191" i="5"/>
  <c r="AR97" i="5"/>
  <c r="AS97" i="5" s="1"/>
  <c r="BB97" i="5"/>
  <c r="AR144" i="5"/>
  <c r="AS144" i="5" s="1"/>
  <c r="BB144" i="5"/>
  <c r="AR48" i="5"/>
  <c r="AS48" i="5" s="1"/>
  <c r="BB48" i="5"/>
  <c r="AR167" i="5"/>
  <c r="AS167" i="5" s="1"/>
  <c r="BB167" i="5"/>
  <c r="AR148" i="5"/>
  <c r="AS148" i="5" s="1"/>
  <c r="BB148" i="5"/>
  <c r="AR55" i="5"/>
  <c r="AS55" i="5" s="1"/>
  <c r="BB55" i="5"/>
  <c r="AR63" i="5"/>
  <c r="AS63" i="5" s="1"/>
  <c r="BB63" i="5"/>
  <c r="AR171" i="5"/>
  <c r="AS171" i="5" s="1"/>
  <c r="BB171" i="5"/>
  <c r="AR77" i="5"/>
  <c r="AS77" i="5" s="1"/>
  <c r="BB77" i="5"/>
  <c r="AR213" i="5"/>
  <c r="AS213" i="5" s="1"/>
  <c r="BB213" i="5"/>
  <c r="AM133" i="5"/>
  <c r="AE133" i="5"/>
  <c r="AE129" i="5"/>
  <c r="AM129" i="5"/>
  <c r="AE117" i="5"/>
  <c r="AM117" i="5"/>
  <c r="AT220" i="5"/>
  <c r="AT182" i="5"/>
  <c r="AT84" i="5"/>
  <c r="AE130" i="5"/>
  <c r="AM75" i="5"/>
  <c r="AE17" i="5"/>
  <c r="AM174" i="5"/>
  <c r="AM137" i="5"/>
  <c r="AE97" i="5"/>
  <c r="AE71" i="5"/>
  <c r="AM108" i="5"/>
  <c r="AE32" i="5"/>
  <c r="AT152" i="5"/>
  <c r="AT173" i="5"/>
  <c r="AE153" i="5"/>
  <c r="AE50" i="5"/>
  <c r="AT161" i="5"/>
  <c r="AM43" i="5"/>
  <c r="AM149" i="5"/>
  <c r="AT195" i="5"/>
  <c r="AT170" i="5"/>
  <c r="AT14" i="5"/>
  <c r="AE134" i="5"/>
  <c r="AT127" i="5"/>
  <c r="AT60" i="5"/>
  <c r="AE53" i="5"/>
  <c r="AT224" i="5"/>
  <c r="AE114" i="5"/>
  <c r="AE136" i="5"/>
  <c r="AE46" i="5"/>
  <c r="AE169" i="5"/>
  <c r="AE27" i="5"/>
  <c r="AE185" i="5"/>
  <c r="AE142" i="5"/>
  <c r="AT142" i="5"/>
  <c r="AE96" i="5"/>
  <c r="AE68" i="5"/>
  <c r="AT112" i="5"/>
  <c r="AE172" i="5"/>
  <c r="AT45" i="5"/>
  <c r="AT108" i="5"/>
  <c r="AM143" i="5"/>
  <c r="AT101" i="5"/>
  <c r="AE98" i="5"/>
  <c r="AE186" i="5"/>
  <c r="AT72" i="5"/>
  <c r="AT34" i="5"/>
  <c r="AM112" i="5"/>
  <c r="AT187" i="5"/>
  <c r="AT6" i="5"/>
  <c r="AT131" i="5"/>
  <c r="AT86" i="5"/>
  <c r="AM30" i="5"/>
  <c r="AT144" i="5"/>
  <c r="AM91" i="5"/>
  <c r="AE157" i="5"/>
  <c r="AM184" i="5"/>
  <c r="AM212" i="5"/>
  <c r="AM105" i="5"/>
  <c r="AE87" i="5"/>
  <c r="AT37" i="5"/>
  <c r="AE101" i="5"/>
  <c r="AE206" i="5"/>
  <c r="AM52" i="5"/>
  <c r="AT5" i="5"/>
  <c r="AT168" i="5"/>
  <c r="AT47" i="5"/>
  <c r="AE138" i="5"/>
  <c r="AM138" i="5"/>
  <c r="AE21" i="5"/>
  <c r="AE187" i="5"/>
  <c r="AT83" i="5"/>
  <c r="AT123" i="5"/>
  <c r="AT63" i="5"/>
  <c r="AE141" i="5"/>
  <c r="AM127" i="5"/>
  <c r="AT17" i="5"/>
  <c r="AM9" i="5"/>
  <c r="AE100" i="5"/>
  <c r="AE137" i="5"/>
  <c r="AT100" i="5"/>
  <c r="AT81" i="5"/>
  <c r="AM46" i="5"/>
  <c r="AE176" i="5"/>
  <c r="AM199" i="5"/>
  <c r="AE199" i="5"/>
  <c r="AM173" i="5"/>
  <c r="AE173" i="5"/>
  <c r="AM147" i="5"/>
  <c r="AE147" i="5"/>
  <c r="AM44" i="5"/>
  <c r="AE211" i="5"/>
  <c r="AE151" i="5"/>
  <c r="AE209" i="5"/>
  <c r="AE75" i="5"/>
  <c r="AM144" i="5"/>
  <c r="AM6" i="5"/>
  <c r="AT138" i="5"/>
  <c r="AM97" i="5"/>
  <c r="AM178" i="5"/>
  <c r="AE108" i="5"/>
  <c r="AM32" i="5"/>
  <c r="AT176" i="5"/>
  <c r="AT28" i="5"/>
  <c r="AE65" i="5"/>
  <c r="AE219" i="5"/>
  <c r="AT171" i="5"/>
  <c r="AM224" i="5"/>
  <c r="AM57" i="5"/>
  <c r="AT183" i="5"/>
  <c r="AT209" i="5"/>
  <c r="AT132" i="5"/>
  <c r="AM134" i="5"/>
  <c r="AT111" i="5"/>
  <c r="AT146" i="5"/>
  <c r="AM53" i="5"/>
  <c r="AT118" i="5"/>
  <c r="AM114" i="5"/>
  <c r="AM136" i="5"/>
  <c r="AM218" i="5"/>
  <c r="AM51" i="5"/>
  <c r="AM27" i="5"/>
  <c r="AE92" i="5"/>
  <c r="AE113" i="5"/>
  <c r="AT157" i="5"/>
  <c r="AM96" i="5"/>
  <c r="AM68" i="5"/>
  <c r="AT106" i="5"/>
  <c r="AM172" i="5"/>
  <c r="AT57" i="5"/>
  <c r="AM31" i="5"/>
  <c r="AE51" i="5"/>
  <c r="AM113" i="5"/>
  <c r="AE70" i="5"/>
  <c r="AT174" i="5"/>
  <c r="AE13" i="5"/>
  <c r="AT222" i="5"/>
  <c r="AT13" i="5"/>
  <c r="AM140" i="5"/>
  <c r="AE197" i="5"/>
  <c r="AT50" i="5"/>
  <c r="AE201" i="5"/>
  <c r="AM47" i="5"/>
  <c r="AT180" i="5"/>
  <c r="AM24" i="5"/>
  <c r="AT8" i="5"/>
  <c r="AE62" i="5"/>
  <c r="AT167" i="5"/>
  <c r="AE203" i="5"/>
  <c r="AT117" i="5"/>
  <c r="AE18" i="5"/>
  <c r="AT201" i="5"/>
  <c r="AT39" i="5"/>
  <c r="AM87" i="5"/>
  <c r="AE99" i="5"/>
  <c r="AM198" i="5"/>
  <c r="AE198" i="5"/>
  <c r="AM223" i="5"/>
  <c r="AM195" i="5"/>
  <c r="AE154" i="5"/>
  <c r="AM82" i="5"/>
  <c r="AE171" i="5"/>
  <c r="AM171" i="5"/>
  <c r="AE139" i="5"/>
  <c r="AE223" i="5"/>
  <c r="AT145" i="5"/>
  <c r="AM14" i="5"/>
  <c r="AT97" i="5"/>
  <c r="AM176" i="5"/>
  <c r="AM20" i="5"/>
  <c r="AE20" i="5"/>
  <c r="AE174" i="5"/>
  <c r="AM50" i="5"/>
  <c r="AE14" i="5"/>
  <c r="AM185" i="5"/>
  <c r="AT70" i="5"/>
  <c r="AM64" i="5"/>
  <c r="AE64" i="5"/>
  <c r="AM86" i="5"/>
  <c r="AE86" i="5"/>
  <c r="AE36" i="5"/>
  <c r="AM36" i="5"/>
  <c r="AE44" i="5"/>
  <c r="AM211" i="5"/>
  <c r="AT3" i="5"/>
  <c r="AM209" i="5"/>
  <c r="AM148" i="5"/>
  <c r="AE144" i="5"/>
  <c r="AE6" i="5"/>
  <c r="AE61" i="5"/>
  <c r="AM23" i="5"/>
  <c r="AE178" i="5"/>
  <c r="AE106" i="5"/>
  <c r="AE128" i="5"/>
  <c r="AT68" i="5"/>
  <c r="AT48" i="5"/>
  <c r="AM65" i="5"/>
  <c r="AM219" i="5"/>
  <c r="AT188" i="5"/>
  <c r="AE224" i="5"/>
  <c r="AE57" i="5"/>
  <c r="AT42" i="5"/>
  <c r="AT52" i="5"/>
  <c r="AE78" i="5"/>
  <c r="AM214" i="5"/>
  <c r="AT212" i="5"/>
  <c r="AE210" i="5"/>
  <c r="AT31" i="5"/>
  <c r="AT43" i="5"/>
  <c r="AE218" i="5"/>
  <c r="AM92" i="5"/>
  <c r="AM205" i="5"/>
  <c r="AE131" i="5"/>
  <c r="AM166" i="5"/>
  <c r="AT121" i="5"/>
  <c r="AT202" i="5"/>
  <c r="AM54" i="5"/>
  <c r="AE95" i="5"/>
  <c r="AM70" i="5"/>
  <c r="AM28" i="5"/>
  <c r="AE33" i="5"/>
  <c r="AM41" i="5"/>
  <c r="AT53" i="5"/>
  <c r="AE73" i="5"/>
  <c r="AT186" i="5"/>
  <c r="AM168" i="5"/>
  <c r="AE168" i="5"/>
  <c r="AE39" i="5"/>
  <c r="AE41" i="5"/>
  <c r="AT76" i="5"/>
  <c r="AM154" i="5"/>
  <c r="AT21" i="5"/>
  <c r="AE170" i="5"/>
  <c r="AE124" i="5"/>
  <c r="AM206" i="5"/>
  <c r="AE127" i="5"/>
  <c r="AT92" i="5"/>
  <c r="AE9" i="5"/>
  <c r="AM170" i="5"/>
  <c r="AE77" i="5"/>
  <c r="AT203" i="5"/>
  <c r="AM187" i="5"/>
  <c r="AM188" i="5"/>
  <c r="AE120" i="5"/>
  <c r="AT140" i="5"/>
  <c r="AM71" i="5"/>
  <c r="AM153" i="5"/>
  <c r="AT204" i="5"/>
  <c r="AT2" i="5"/>
  <c r="AT46" i="5"/>
  <c r="AE122" i="5"/>
  <c r="AE22" i="5"/>
  <c r="AM22" i="5"/>
  <c r="AM145" i="5"/>
  <c r="AE145" i="5"/>
  <c r="AE222" i="5"/>
  <c r="AM222" i="5"/>
  <c r="AT87" i="5"/>
  <c r="AT38" i="5"/>
  <c r="AE202" i="5"/>
  <c r="AM165" i="5"/>
  <c r="AE80" i="5"/>
  <c r="AE148" i="5"/>
  <c r="AM35" i="5"/>
  <c r="AM61" i="5"/>
  <c r="AE23" i="5"/>
  <c r="AT18" i="5"/>
  <c r="AM106" i="5"/>
  <c r="AM128" i="5"/>
  <c r="AT40" i="5"/>
  <c r="AE204" i="5"/>
  <c r="AE79" i="5"/>
  <c r="AT158" i="5"/>
  <c r="AT107" i="5"/>
  <c r="AT23" i="5"/>
  <c r="AE192" i="5"/>
  <c r="AT197" i="5"/>
  <c r="AT151" i="5"/>
  <c r="AM78" i="5"/>
  <c r="AE214" i="5"/>
  <c r="AT126" i="5"/>
  <c r="AM210" i="5"/>
  <c r="AT150" i="5"/>
  <c r="AT148" i="5"/>
  <c r="AE31" i="5"/>
  <c r="AT94" i="5"/>
  <c r="AM175" i="5"/>
  <c r="AT51" i="5"/>
  <c r="AE143" i="5"/>
  <c r="AE118" i="5"/>
  <c r="AM132" i="5"/>
  <c r="AT93" i="5"/>
  <c r="AM98" i="5"/>
  <c r="AT214" i="5"/>
  <c r="AE205" i="5"/>
  <c r="AM186" i="5"/>
  <c r="AT30" i="5"/>
  <c r="AM66" i="5"/>
  <c r="AM121" i="5"/>
  <c r="AE81" i="5"/>
  <c r="AE190" i="5"/>
  <c r="AM111" i="5"/>
  <c r="AT189" i="5"/>
  <c r="AM93" i="5"/>
  <c r="AM80" i="5"/>
  <c r="AE74" i="5"/>
  <c r="AE52" i="5"/>
  <c r="AT105" i="5"/>
  <c r="AM8" i="5"/>
  <c r="AT128" i="5"/>
  <c r="AT196" i="5"/>
  <c r="AE55" i="5"/>
  <c r="AE84" i="5"/>
  <c r="AT211" i="5"/>
  <c r="AM88" i="5"/>
  <c r="AM101" i="5"/>
  <c r="AE60" i="5"/>
  <c r="AT95" i="5"/>
  <c r="AT141" i="5"/>
  <c r="AT54" i="5"/>
  <c r="AM120" i="5"/>
  <c r="AT194" i="5"/>
  <c r="AE181" i="5"/>
  <c r="AM181" i="5"/>
  <c r="AT36" i="5"/>
  <c r="AM67" i="5"/>
  <c r="AE182" i="5"/>
  <c r="AM193" i="5"/>
  <c r="AT177" i="5"/>
  <c r="AT58" i="5"/>
  <c r="AM130" i="5"/>
  <c r="AT116" i="5"/>
  <c r="AT27" i="5"/>
  <c r="AE193" i="5"/>
  <c r="AE40" i="5"/>
  <c r="AM189" i="5"/>
  <c r="AE189" i="5"/>
  <c r="AM179" i="5"/>
  <c r="AE179" i="5"/>
  <c r="AE158" i="5"/>
  <c r="AM158" i="5"/>
  <c r="AT74" i="5"/>
  <c r="AE66" i="5"/>
  <c r="AM202" i="5"/>
  <c r="AE165" i="5"/>
  <c r="AT135" i="5"/>
  <c r="AT110" i="5"/>
  <c r="AE35" i="5"/>
  <c r="AE121" i="5"/>
  <c r="AE112" i="5"/>
  <c r="AM18" i="5"/>
  <c r="AM16" i="5"/>
  <c r="AM81" i="5"/>
  <c r="AT89" i="5"/>
  <c r="AM204" i="5"/>
  <c r="AM79" i="5"/>
  <c r="AT119" i="5"/>
  <c r="AT19" i="5"/>
  <c r="AT80" i="5"/>
  <c r="AM192" i="5"/>
  <c r="AT184" i="5"/>
  <c r="AT137" i="5"/>
  <c r="AM103" i="5"/>
  <c r="AM197" i="5"/>
  <c r="AT122" i="5"/>
  <c r="AE111" i="5"/>
  <c r="AT90" i="5"/>
  <c r="AT213" i="5"/>
  <c r="AE54" i="5"/>
  <c r="AE25" i="5"/>
  <c r="AE175" i="5"/>
  <c r="AT149" i="5"/>
  <c r="AT77" i="5"/>
  <c r="AM118" i="5"/>
  <c r="AE132" i="5"/>
  <c r="AT191" i="5"/>
  <c r="AE93" i="5"/>
  <c r="AE110" i="5"/>
  <c r="AE91" i="5"/>
  <c r="AM25" i="5"/>
  <c r="AT44" i="5"/>
  <c r="AT78" i="5"/>
  <c r="AE16" i="5"/>
  <c r="AT223" i="5"/>
  <c r="AE103" i="5"/>
  <c r="AE19" i="5"/>
  <c r="AM3" i="5"/>
  <c r="AM110" i="5"/>
  <c r="AE123" i="5"/>
  <c r="AM123" i="5"/>
  <c r="AM39" i="5"/>
  <c r="AM15" i="5"/>
  <c r="AM37" i="5"/>
  <c r="AM76" i="5"/>
  <c r="AT208" i="5"/>
  <c r="AM220" i="5"/>
  <c r="AM151" i="5"/>
  <c r="AE183" i="5"/>
  <c r="AT218" i="5"/>
  <c r="AM59" i="5"/>
  <c r="AM29" i="5"/>
  <c r="AM77" i="5"/>
  <c r="AM141" i="5"/>
  <c r="AM135" i="5"/>
  <c r="AT221" i="5"/>
  <c r="AE59" i="5"/>
  <c r="AE29" i="5"/>
  <c r="AM60" i="5"/>
  <c r="AT56" i="5"/>
  <c r="AT120" i="5"/>
  <c r="AE156" i="5"/>
  <c r="AM40" i="5"/>
  <c r="AE116" i="5"/>
  <c r="AM116" i="5"/>
  <c r="AM139" i="5"/>
  <c r="AE67" i="5"/>
  <c r="AT61" i="5"/>
  <c r="AM156" i="5"/>
  <c r="AT205" i="5"/>
  <c r="AM94" i="5"/>
  <c r="AE94" i="5"/>
  <c r="AM4" i="5"/>
  <c r="AE4" i="5"/>
  <c r="AE83" i="5"/>
  <c r="AE90" i="5"/>
  <c r="AM55" i="5"/>
  <c r="AE221" i="5"/>
  <c r="AT178" i="5"/>
  <c r="AM157" i="5"/>
  <c r="AM163" i="5"/>
  <c r="AE212" i="5"/>
  <c r="AT102" i="5"/>
  <c r="AE34" i="5"/>
  <c r="AE200" i="5"/>
  <c r="AM183" i="5"/>
  <c r="AM182" i="5"/>
  <c r="AT41" i="5"/>
  <c r="AT15" i="5"/>
  <c r="AE88" i="5"/>
  <c r="AE180" i="5"/>
  <c r="AM21" i="5"/>
  <c r="AE135" i="5"/>
  <c r="AT91" i="5"/>
  <c r="AE207" i="5"/>
  <c r="AE126" i="5"/>
  <c r="AM122" i="5"/>
  <c r="AT215" i="5"/>
  <c r="AM17" i="5"/>
  <c r="AE5" i="5"/>
  <c r="AE43" i="5"/>
  <c r="AE188" i="5"/>
  <c r="AM142" i="5"/>
  <c r="AM217" i="5"/>
  <c r="AE217" i="5"/>
  <c r="AM160" i="5"/>
  <c r="AE160" i="5"/>
  <c r="AE28" i="5"/>
  <c r="AM90" i="5"/>
  <c r="AM83" i="5"/>
  <c r="AM13" i="5"/>
  <c r="AT200" i="5"/>
  <c r="AM131" i="5"/>
  <c r="AT207" i="5"/>
  <c r="AM33" i="5"/>
  <c r="AE24" i="5"/>
  <c r="AE184" i="5"/>
  <c r="AM74" i="5"/>
  <c r="AE15" i="5"/>
  <c r="AT66" i="5"/>
  <c r="AT109" i="5"/>
  <c r="AE166" i="5"/>
  <c r="AT210" i="5"/>
  <c r="AT143" i="5"/>
  <c r="AM190" i="5"/>
  <c r="AE140" i="5"/>
  <c r="AT134" i="5"/>
  <c r="AT115" i="5"/>
  <c r="AM62" i="5"/>
  <c r="AM221" i="5"/>
  <c r="AT155" i="5"/>
  <c r="AE76" i="5"/>
  <c r="AT217" i="5"/>
  <c r="AM19" i="5"/>
  <c r="AM73" i="5"/>
  <c r="AT154" i="5"/>
  <c r="AE30" i="5"/>
  <c r="AT12" i="5"/>
  <c r="AE3" i="5"/>
  <c r="AM95" i="5"/>
  <c r="AM201" i="5"/>
  <c r="AT55" i="5"/>
  <c r="AM203" i="5"/>
  <c r="AM167" i="5"/>
  <c r="AE220" i="5"/>
  <c r="AT169" i="5"/>
  <c r="AE47" i="5"/>
  <c r="AM213" i="5"/>
  <c r="AE213" i="5"/>
  <c r="AT163" i="5"/>
  <c r="AT114" i="5"/>
  <c r="AT10" i="5"/>
  <c r="AT193" i="5"/>
  <c r="AM34" i="5"/>
  <c r="AE167" i="5"/>
  <c r="AM12" i="5"/>
  <c r="AE12" i="5"/>
  <c r="AM124" i="5"/>
  <c r="AT85" i="5"/>
  <c r="AT16" i="5"/>
  <c r="AE37" i="5"/>
  <c r="AE105" i="5"/>
  <c r="AE8" i="5"/>
  <c r="AT153" i="5"/>
  <c r="AT67" i="5"/>
  <c r="AE163" i="5"/>
  <c r="AT136" i="5"/>
  <c r="AM84" i="5"/>
  <c r="AM126" i="5"/>
  <c r="AM99" i="5"/>
  <c r="AT59" i="5"/>
  <c r="AM200" i="5"/>
  <c r="AM5" i="5"/>
  <c r="AE195" i="5"/>
  <c r="AT7" i="5"/>
  <c r="AE82" i="5"/>
  <c r="AM180" i="5"/>
  <c r="AT32" i="5"/>
  <c r="AT98" i="5"/>
  <c r="AE149" i="5"/>
  <c r="AM207" i="5"/>
  <c r="AM169" i="5"/>
  <c r="AM100" i="5"/>
  <c r="AF12" i="5" l="1"/>
  <c r="AN12" i="5"/>
  <c r="AF213" i="5"/>
  <c r="AN213" i="5"/>
  <c r="AF160" i="5"/>
  <c r="AN160" i="5"/>
  <c r="AF217" i="5"/>
  <c r="AN217" i="5"/>
  <c r="AF4" i="5"/>
  <c r="AN4" i="5"/>
  <c r="AF94" i="5"/>
  <c r="AN94" i="5"/>
  <c r="AN116" i="5"/>
  <c r="AF116" i="5"/>
  <c r="AN123" i="5"/>
  <c r="AF123" i="5"/>
  <c r="AN158" i="5"/>
  <c r="AF158" i="5"/>
  <c r="AF179" i="5"/>
  <c r="AN179" i="5"/>
  <c r="AF189" i="5"/>
  <c r="AN189" i="5"/>
  <c r="AN181" i="5"/>
  <c r="AF181" i="5"/>
  <c r="AN222" i="5"/>
  <c r="AF222" i="5"/>
  <c r="AF145" i="5"/>
  <c r="AN145" i="5"/>
  <c r="AN22" i="5"/>
  <c r="AF22" i="5"/>
  <c r="AF168" i="5"/>
  <c r="AN168" i="5"/>
  <c r="AN36" i="5"/>
  <c r="AF36" i="5"/>
  <c r="AF86" i="5"/>
  <c r="AN86" i="5"/>
  <c r="AF64" i="5"/>
  <c r="AN64" i="5"/>
  <c r="AF20" i="5"/>
  <c r="AN20" i="5"/>
  <c r="AN171" i="5"/>
  <c r="AF171" i="5"/>
  <c r="AF198" i="5"/>
  <c r="AN198" i="5"/>
  <c r="AF147" i="5"/>
  <c r="AN147" i="5"/>
  <c r="AF173" i="5"/>
  <c r="AN173" i="5"/>
  <c r="AF199" i="5"/>
  <c r="AN199" i="5"/>
  <c r="AN138" i="5"/>
  <c r="AF138" i="5"/>
  <c r="AN117" i="5"/>
  <c r="AF117" i="5"/>
  <c r="AN129" i="5"/>
  <c r="AF129" i="5"/>
  <c r="AF133" i="5"/>
  <c r="AN133" i="5"/>
  <c r="BB187" i="5"/>
  <c r="BM187" i="5" s="1"/>
  <c r="BB178" i="5"/>
  <c r="BC178" i="5" s="1"/>
  <c r="AR29" i="5"/>
  <c r="AS29" i="5" s="1"/>
  <c r="BB174" i="5"/>
  <c r="BF174" i="5" s="1"/>
  <c r="BB145" i="5"/>
  <c r="BM145" i="5" s="1"/>
  <c r="BB5" i="5"/>
  <c r="BF5" i="5" s="1"/>
  <c r="BB94" i="5"/>
  <c r="BM94" i="5" s="1"/>
  <c r="AR75" i="5"/>
  <c r="AS75" i="5" s="1"/>
  <c r="AR103" i="5"/>
  <c r="AS103" i="5" s="1"/>
  <c r="AR49" i="5"/>
  <c r="AS49" i="5" s="1"/>
  <c r="BD113" i="5"/>
  <c r="AR129" i="5"/>
  <c r="AS129" i="5" s="1"/>
  <c r="BB39" i="5"/>
  <c r="BM39" i="5" s="1"/>
  <c r="BB195" i="5"/>
  <c r="BC195" i="5" s="1"/>
  <c r="BF113" i="5"/>
  <c r="BB177" i="5"/>
  <c r="BC177" i="5" s="1"/>
  <c r="BB41" i="5"/>
  <c r="BD41" i="5" s="1"/>
  <c r="BB105" i="5"/>
  <c r="BF105" i="5" s="1"/>
  <c r="BB60" i="5"/>
  <c r="BM60" i="5" s="1"/>
  <c r="BB122" i="5"/>
  <c r="BC122" i="5" s="1"/>
  <c r="BB211" i="5"/>
  <c r="BF211" i="5" s="1"/>
  <c r="BB151" i="5"/>
  <c r="BD151" i="5" s="1"/>
  <c r="AR172" i="5"/>
  <c r="AS172" i="5" s="1"/>
  <c r="BB13" i="5"/>
  <c r="BF13" i="5" s="1"/>
  <c r="BB142" i="5"/>
  <c r="BF142" i="5" s="1"/>
  <c r="BB107" i="5"/>
  <c r="BF107" i="5" s="1"/>
  <c r="BB143" i="5"/>
  <c r="BD143" i="5" s="1"/>
  <c r="BM113" i="5"/>
  <c r="AR147" i="5"/>
  <c r="AS147" i="5" s="1"/>
  <c r="BB102" i="5"/>
  <c r="BC102" i="5" s="1"/>
  <c r="BB57" i="5"/>
  <c r="BF57" i="5" s="1"/>
  <c r="BB134" i="5"/>
  <c r="BD134" i="5" s="1"/>
  <c r="AY219" i="5"/>
  <c r="BB189" i="5"/>
  <c r="BF189" i="5" s="1"/>
  <c r="BB155" i="5"/>
  <c r="BC155" i="5" s="1"/>
  <c r="AR175" i="5"/>
  <c r="AS175" i="5" s="1"/>
  <c r="AR206" i="5"/>
  <c r="AS206" i="5" s="1"/>
  <c r="BB127" i="5"/>
  <c r="BF127" i="5" s="1"/>
  <c r="AR199" i="5"/>
  <c r="AS199" i="5" s="1"/>
  <c r="AR9" i="5"/>
  <c r="AS9" i="5" s="1"/>
  <c r="BB83" i="5"/>
  <c r="BM83" i="5" s="1"/>
  <c r="BM88" i="5"/>
  <c r="AR198" i="5"/>
  <c r="AS198" i="5" s="1"/>
  <c r="AR71" i="5"/>
  <c r="AS71" i="5" s="1"/>
  <c r="BB101" i="5"/>
  <c r="BM101" i="5" s="1"/>
  <c r="BB176" i="5"/>
  <c r="BC176" i="5" s="1"/>
  <c r="AR165" i="5"/>
  <c r="AS165" i="5" s="1"/>
  <c r="BB31" i="5"/>
  <c r="BM31" i="5" s="1"/>
  <c r="BF139" i="5"/>
  <c r="AR65" i="5"/>
  <c r="AS65" i="5" s="1"/>
  <c r="BB53" i="5"/>
  <c r="BF53" i="5" s="1"/>
  <c r="BB221" i="5"/>
  <c r="BM221" i="5" s="1"/>
  <c r="BB100" i="5"/>
  <c r="BD100" i="5" s="1"/>
  <c r="AR82" i="5"/>
  <c r="AS82" i="5" s="1"/>
  <c r="BF219" i="5"/>
  <c r="BC26" i="5"/>
  <c r="BB204" i="5"/>
  <c r="BD204" i="5" s="1"/>
  <c r="BF185" i="5"/>
  <c r="BF26" i="5"/>
  <c r="BB95" i="5"/>
  <c r="BM95" i="5" s="1"/>
  <c r="BB169" i="5"/>
  <c r="BC169" i="5" s="1"/>
  <c r="BD139" i="5"/>
  <c r="BB158" i="5"/>
  <c r="BC158" i="5" s="1"/>
  <c r="AR79" i="5"/>
  <c r="AS79" i="5" s="1"/>
  <c r="AY216" i="5"/>
  <c r="BB136" i="5"/>
  <c r="BF136" i="5" s="1"/>
  <c r="BB47" i="5"/>
  <c r="BC47" i="5" s="1"/>
  <c r="BC139" i="5"/>
  <c r="BB21" i="5"/>
  <c r="BF21" i="5" s="1"/>
  <c r="BB76" i="5"/>
  <c r="BM76" i="5" s="1"/>
  <c r="AY164" i="5"/>
  <c r="AR179" i="5"/>
  <c r="AS179" i="5" s="1"/>
  <c r="AY113" i="5"/>
  <c r="AR192" i="5"/>
  <c r="AS192" i="5" s="1"/>
  <c r="AU59" i="5"/>
  <c r="AV59" i="5" s="1"/>
  <c r="AY59" i="5" s="1"/>
  <c r="BM24" i="5"/>
  <c r="BD24" i="5"/>
  <c r="BC24" i="5"/>
  <c r="BB52" i="5"/>
  <c r="BM52" i="5" s="1"/>
  <c r="BB205" i="5"/>
  <c r="BM205" i="5" s="1"/>
  <c r="BB81" i="5"/>
  <c r="BF81" i="5" s="1"/>
  <c r="BB203" i="5"/>
  <c r="BM203" i="5" s="1"/>
  <c r="BB74" i="5"/>
  <c r="BF74" i="5" s="1"/>
  <c r="AR133" i="5"/>
  <c r="AS133" i="5" s="1"/>
  <c r="BB42" i="5"/>
  <c r="BM42" i="5" s="1"/>
  <c r="BD26" i="5"/>
  <c r="BB223" i="5"/>
  <c r="BM223" i="5" s="1"/>
  <c r="AR124" i="5"/>
  <c r="AS124" i="5" s="1"/>
  <c r="AR160" i="5"/>
  <c r="AS160" i="5" s="1"/>
  <c r="AY125" i="5"/>
  <c r="BB209" i="5"/>
  <c r="BF209" i="5" s="1"/>
  <c r="BB28" i="5"/>
  <c r="BC28" i="5" s="1"/>
  <c r="BB152" i="5"/>
  <c r="BM152" i="5" s="1"/>
  <c r="BM59" i="5"/>
  <c r="BD59" i="5"/>
  <c r="BB108" i="5"/>
  <c r="BM108" i="5" s="1"/>
  <c r="BD185" i="5"/>
  <c r="BC59" i="5"/>
  <c r="AU220" i="5"/>
  <c r="AV220" i="5" s="1"/>
  <c r="AY220" i="5" s="1"/>
  <c r="AU215" i="5"/>
  <c r="AV215" i="5" s="1"/>
  <c r="AY215" i="5" s="1"/>
  <c r="AR96" i="5"/>
  <c r="AS96" i="5" s="1"/>
  <c r="BC219" i="5"/>
  <c r="BB36" i="5"/>
  <c r="BD36" i="5" s="1"/>
  <c r="BC185" i="5"/>
  <c r="BD219" i="5"/>
  <c r="AR64" i="5"/>
  <c r="AS64" i="5" s="1"/>
  <c r="BB43" i="5"/>
  <c r="BD43" i="5" s="1"/>
  <c r="BB119" i="5"/>
  <c r="BC119" i="5" s="1"/>
  <c r="BB215" i="5"/>
  <c r="BF215" i="5" s="1"/>
  <c r="BC88" i="5"/>
  <c r="AY139" i="5"/>
  <c r="BB114" i="5"/>
  <c r="BF114" i="5" s="1"/>
  <c r="BB168" i="5"/>
  <c r="BC168" i="5" s="1"/>
  <c r="BD88" i="5"/>
  <c r="BB220" i="5"/>
  <c r="BC220" i="5" s="1"/>
  <c r="BB186" i="5"/>
  <c r="BC186" i="5" s="1"/>
  <c r="BB72" i="5"/>
  <c r="BM72" i="5" s="1"/>
  <c r="AU74" i="5"/>
  <c r="AV74" i="5" s="1"/>
  <c r="AY74" i="5" s="1"/>
  <c r="AU87" i="5"/>
  <c r="AV87" i="5" s="1"/>
  <c r="AY87" i="5" s="1"/>
  <c r="AF44" i="5"/>
  <c r="AN44" i="5"/>
  <c r="AR20" i="5"/>
  <c r="AS20" i="5" s="1"/>
  <c r="BB202" i="5"/>
  <c r="BC202" i="5" s="1"/>
  <c r="BB68" i="5"/>
  <c r="BF68" i="5" s="1"/>
  <c r="BM125" i="5"/>
  <c r="AR73" i="5"/>
  <c r="AS73" i="5" s="1"/>
  <c r="BD18" i="5"/>
  <c r="BB38" i="5"/>
  <c r="AY185" i="5"/>
  <c r="AY24" i="5"/>
  <c r="BF18" i="5"/>
  <c r="BB40" i="5"/>
  <c r="BC40" i="5" s="1"/>
  <c r="BM18" i="5"/>
  <c r="BB224" i="5"/>
  <c r="BC224" i="5" s="1"/>
  <c r="AR156" i="5"/>
  <c r="AS156" i="5" s="1"/>
  <c r="AR11" i="5"/>
  <c r="AS11" i="5" s="1"/>
  <c r="BB140" i="5"/>
  <c r="AU38" i="5"/>
  <c r="AV38" i="5" s="1"/>
  <c r="AY38" i="5" s="1"/>
  <c r="AN211" i="5"/>
  <c r="AF211" i="5"/>
  <c r="AU182" i="5"/>
  <c r="AV182" i="5" s="1"/>
  <c r="AY182" i="5" s="1"/>
  <c r="AN180" i="5"/>
  <c r="AF180" i="5"/>
  <c r="AF124" i="5"/>
  <c r="AN124" i="5"/>
  <c r="AN28" i="5"/>
  <c r="AF28" i="5"/>
  <c r="AU72" i="5"/>
  <c r="AV72" i="5" s="1"/>
  <c r="AY72" i="5" s="1"/>
  <c r="BC216" i="5"/>
  <c r="BB207" i="5"/>
  <c r="BD216" i="5"/>
  <c r="BB3" i="5"/>
  <c r="BB173" i="5"/>
  <c r="BD173" i="5" s="1"/>
  <c r="BF216" i="5"/>
  <c r="BB182" i="5"/>
  <c r="BB110" i="5"/>
  <c r="AY88" i="5"/>
  <c r="BB135" i="5"/>
  <c r="BC135" i="5" s="1"/>
  <c r="BC125" i="5"/>
  <c r="BB84" i="5"/>
  <c r="BD125" i="5"/>
  <c r="AY166" i="5"/>
  <c r="BB67" i="5"/>
  <c r="BC67" i="5" s="1"/>
  <c r="AF5" i="5"/>
  <c r="AN5" i="5"/>
  <c r="AN206" i="5"/>
  <c r="AF206" i="5"/>
  <c r="AN184" i="5"/>
  <c r="AF184" i="5"/>
  <c r="AU222" i="5"/>
  <c r="AV222" i="5" s="1"/>
  <c r="AY222" i="5" s="1"/>
  <c r="AN18" i="5"/>
  <c r="AU18" i="5"/>
  <c r="AV18" i="5" s="1"/>
  <c r="AY18" i="5" s="1"/>
  <c r="AF178" i="5"/>
  <c r="AN178" i="5"/>
  <c r="AF71" i="5"/>
  <c r="AN71" i="5"/>
  <c r="AF223" i="5"/>
  <c r="AN223" i="5"/>
  <c r="AF18" i="5"/>
  <c r="AN24" i="5"/>
  <c r="AF24" i="5"/>
  <c r="AN112" i="5"/>
  <c r="AF112" i="5"/>
  <c r="AF23" i="5"/>
  <c r="AN23" i="5"/>
  <c r="AN97" i="5"/>
  <c r="AF97" i="5"/>
  <c r="AU32" i="5"/>
  <c r="AV32" i="5" s="1"/>
  <c r="AY32" i="5" s="1"/>
  <c r="AN21" i="5"/>
  <c r="AF21" i="5"/>
  <c r="AU85" i="5"/>
  <c r="AV85" i="5" s="1"/>
  <c r="AY85" i="5" s="1"/>
  <c r="AF33" i="5"/>
  <c r="AN33" i="5"/>
  <c r="AN121" i="5"/>
  <c r="AF121" i="5"/>
  <c r="AN61" i="5"/>
  <c r="AF61" i="5"/>
  <c r="AU138" i="5"/>
  <c r="AV138" i="5" s="1"/>
  <c r="AY138" i="5" s="1"/>
  <c r="AN137" i="5"/>
  <c r="AF137" i="5"/>
  <c r="AF141" i="5"/>
  <c r="AN141" i="5"/>
  <c r="AU196" i="5"/>
  <c r="AV196" i="5" s="1"/>
  <c r="AY196" i="5" s="1"/>
  <c r="AN80" i="5"/>
  <c r="AU207" i="5"/>
  <c r="AV207" i="5" s="1"/>
  <c r="AY207" i="5" s="1"/>
  <c r="AU78" i="5"/>
  <c r="AV78" i="5" s="1"/>
  <c r="AY78" i="5" s="1"/>
  <c r="AF35" i="5"/>
  <c r="AN35" i="5"/>
  <c r="AF6" i="5"/>
  <c r="AN6" i="5"/>
  <c r="AN174" i="5"/>
  <c r="AF174" i="5"/>
  <c r="AN60" i="5"/>
  <c r="AF60" i="5"/>
  <c r="AF39" i="5"/>
  <c r="AN39" i="5"/>
  <c r="AN131" i="5"/>
  <c r="AF131" i="5"/>
  <c r="AU110" i="5"/>
  <c r="AV110" i="5" s="1"/>
  <c r="AY110" i="5" s="1"/>
  <c r="AF148" i="5"/>
  <c r="AF144" i="5"/>
  <c r="AN144" i="5"/>
  <c r="AF17" i="5"/>
  <c r="AN17" i="5"/>
  <c r="AN200" i="5"/>
  <c r="AF200" i="5"/>
  <c r="AN151" i="5"/>
  <c r="AU163" i="5"/>
  <c r="AV163" i="5" s="1"/>
  <c r="AY163" i="5" s="1"/>
  <c r="AU200" i="5"/>
  <c r="AV200" i="5" s="1"/>
  <c r="AY200" i="5" s="1"/>
  <c r="AU34" i="5"/>
  <c r="AV34" i="5" s="1"/>
  <c r="AY34" i="5" s="1"/>
  <c r="AU135" i="5"/>
  <c r="AV135" i="5" s="1"/>
  <c r="AY135" i="5" s="1"/>
  <c r="AF80" i="5"/>
  <c r="AN148" i="5"/>
  <c r="AF75" i="5"/>
  <c r="AN75" i="5"/>
  <c r="AU140" i="5"/>
  <c r="AV140" i="5" s="1"/>
  <c r="AY140" i="5" s="1"/>
  <c r="AU36" i="5"/>
  <c r="AV36" i="5" s="1"/>
  <c r="AY36" i="5" s="1"/>
  <c r="AU67" i="5"/>
  <c r="AV67" i="5" s="1"/>
  <c r="AY67" i="5" s="1"/>
  <c r="AN157" i="5"/>
  <c r="AF157" i="5"/>
  <c r="AN13" i="5"/>
  <c r="AF13" i="5"/>
  <c r="AF165" i="5"/>
  <c r="AN165" i="5"/>
  <c r="AN209" i="5"/>
  <c r="AF209" i="5"/>
  <c r="AF130" i="5"/>
  <c r="AN130" i="5"/>
  <c r="AF77" i="5"/>
  <c r="AN77" i="5"/>
  <c r="AU117" i="5"/>
  <c r="AV117" i="5" s="1"/>
  <c r="AY117" i="5" s="1"/>
  <c r="AU180" i="5"/>
  <c r="AV180" i="5" s="1"/>
  <c r="AY180" i="5" s="1"/>
  <c r="AN83" i="5"/>
  <c r="AF83" i="5"/>
  <c r="AN202" i="5"/>
  <c r="AF202" i="5"/>
  <c r="AU3" i="5"/>
  <c r="AV3" i="5" s="1"/>
  <c r="AY3" i="5" s="1"/>
  <c r="AF151" i="5"/>
  <c r="AU84" i="5"/>
  <c r="AV84" i="5" s="1"/>
  <c r="AY84" i="5" s="1"/>
  <c r="AN139" i="5"/>
  <c r="AF139" i="5"/>
  <c r="AN101" i="5"/>
  <c r="AF101" i="5"/>
  <c r="AF90" i="5"/>
  <c r="AN90" i="5"/>
  <c r="AN66" i="5"/>
  <c r="AF66" i="5"/>
  <c r="AR4" i="5"/>
  <c r="AS4" i="5" s="1"/>
  <c r="BB4" i="5"/>
  <c r="AR181" i="5"/>
  <c r="AS181" i="5" s="1"/>
  <c r="BB181" i="5"/>
  <c r="BB32" i="5"/>
  <c r="AR69" i="5"/>
  <c r="AS69" i="5" s="1"/>
  <c r="BB69" i="5"/>
  <c r="BB200" i="5"/>
  <c r="BB78" i="5"/>
  <c r="BB130" i="5"/>
  <c r="AR130" i="5"/>
  <c r="AS130" i="5" s="1"/>
  <c r="BB138" i="5"/>
  <c r="BB137" i="5"/>
  <c r="BF137" i="5" s="1"/>
  <c r="AR162" i="5"/>
  <c r="AS162" i="5" s="1"/>
  <c r="BB162" i="5"/>
  <c r="BB163" i="5"/>
  <c r="AR62" i="5"/>
  <c r="AS62" i="5" s="1"/>
  <c r="BB62" i="5"/>
  <c r="BB109" i="5"/>
  <c r="AR159" i="5"/>
  <c r="AS159" i="5" s="1"/>
  <c r="BB159" i="5"/>
  <c r="BB34" i="5"/>
  <c r="BB117" i="5"/>
  <c r="BB180" i="5"/>
  <c r="AR22" i="5"/>
  <c r="AS22" i="5" s="1"/>
  <c r="BB22" i="5"/>
  <c r="AR33" i="5"/>
  <c r="AS33" i="5" s="1"/>
  <c r="BB33" i="5"/>
  <c r="BB35" i="5"/>
  <c r="AR35" i="5"/>
  <c r="AS35" i="5" s="1"/>
  <c r="BB222" i="5"/>
  <c r="BB196" i="5"/>
  <c r="BB85" i="5"/>
  <c r="BB99" i="5"/>
  <c r="AR99" i="5"/>
  <c r="AS99" i="5" s="1"/>
  <c r="AR104" i="5"/>
  <c r="AS104" i="5" s="1"/>
  <c r="BB104" i="5"/>
  <c r="AU63" i="5"/>
  <c r="AV63" i="5" s="1"/>
  <c r="AY63" i="5" s="1"/>
  <c r="AU153" i="5"/>
  <c r="AV153" i="5" s="1"/>
  <c r="AY153" i="5" s="1"/>
  <c r="AU128" i="5"/>
  <c r="AV128" i="5" s="1"/>
  <c r="AY128" i="5" s="1"/>
  <c r="AF47" i="5"/>
  <c r="AN47" i="5"/>
  <c r="AU44" i="5"/>
  <c r="AV44" i="5" s="1"/>
  <c r="AY44" i="5" s="1"/>
  <c r="AU30" i="5"/>
  <c r="AV30" i="5" s="1"/>
  <c r="AY30" i="5" s="1"/>
  <c r="AU174" i="5"/>
  <c r="AV174" i="5" s="1"/>
  <c r="AY174" i="5" s="1"/>
  <c r="AU57" i="5"/>
  <c r="AV57" i="5" s="1"/>
  <c r="AY57" i="5" s="1"/>
  <c r="AU45" i="5"/>
  <c r="AV45" i="5" s="1"/>
  <c r="AY45" i="5" s="1"/>
  <c r="AU70" i="5"/>
  <c r="AV70" i="5" s="1"/>
  <c r="AY70" i="5" s="1"/>
  <c r="AU58" i="5"/>
  <c r="AV58" i="5" s="1"/>
  <c r="AY58" i="5" s="1"/>
  <c r="AU194" i="5"/>
  <c r="AV194" i="5" s="1"/>
  <c r="AY194" i="5" s="1"/>
  <c r="AU47" i="5"/>
  <c r="AV47" i="5" s="1"/>
  <c r="AY47" i="5" s="1"/>
  <c r="AU37" i="5"/>
  <c r="AV37" i="5" s="1"/>
  <c r="AY37" i="5" s="1"/>
  <c r="AU169" i="5"/>
  <c r="AV169" i="5" s="1"/>
  <c r="AY169" i="5" s="1"/>
  <c r="AN70" i="5"/>
  <c r="AN25" i="5"/>
  <c r="AN186" i="5"/>
  <c r="AF186" i="5"/>
  <c r="AN172" i="5"/>
  <c r="AF172" i="5"/>
  <c r="AF176" i="5"/>
  <c r="AN176" i="5"/>
  <c r="AN170" i="5"/>
  <c r="AF170" i="5"/>
  <c r="AN220" i="5"/>
  <c r="AF220" i="5"/>
  <c r="AN91" i="5"/>
  <c r="AF91" i="5"/>
  <c r="AF205" i="5"/>
  <c r="AN205" i="5"/>
  <c r="AU106" i="5"/>
  <c r="AV106" i="5" s="1"/>
  <c r="AY106" i="5" s="1"/>
  <c r="AU112" i="5"/>
  <c r="AV112" i="5" s="1"/>
  <c r="AY112" i="5" s="1"/>
  <c r="AF122" i="5"/>
  <c r="AN122" i="5"/>
  <c r="AN99" i="5"/>
  <c r="AF99" i="5"/>
  <c r="AF167" i="5"/>
  <c r="AN167" i="5"/>
  <c r="AN110" i="5"/>
  <c r="AF110" i="5"/>
  <c r="AU214" i="5"/>
  <c r="AV214" i="5" s="1"/>
  <c r="AY214" i="5" s="1"/>
  <c r="AF70" i="5"/>
  <c r="AN68" i="5"/>
  <c r="AF68" i="5"/>
  <c r="AN100" i="5"/>
  <c r="AF100" i="5"/>
  <c r="AF88" i="5"/>
  <c r="AN88" i="5"/>
  <c r="AF203" i="5"/>
  <c r="AN203" i="5"/>
  <c r="AN93" i="5"/>
  <c r="AF93" i="5"/>
  <c r="AN98" i="5"/>
  <c r="AF98" i="5"/>
  <c r="AN96" i="5"/>
  <c r="AF96" i="5"/>
  <c r="AF40" i="5"/>
  <c r="AN40" i="5"/>
  <c r="AF29" i="5"/>
  <c r="AN29" i="5"/>
  <c r="AU186" i="5"/>
  <c r="AV186" i="5" s="1"/>
  <c r="AY186" i="5" s="1"/>
  <c r="AU55" i="5"/>
  <c r="AV55" i="5" s="1"/>
  <c r="AY55" i="5" s="1"/>
  <c r="AU144" i="5"/>
  <c r="AV144" i="5" s="1"/>
  <c r="AY144" i="5" s="1"/>
  <c r="AU191" i="5"/>
  <c r="AV191" i="5" s="1"/>
  <c r="AY191" i="5" s="1"/>
  <c r="AU93" i="5"/>
  <c r="AV93" i="5" s="1"/>
  <c r="AY93" i="5" s="1"/>
  <c r="AU101" i="5"/>
  <c r="AV101" i="5" s="1"/>
  <c r="AY101" i="5" s="1"/>
  <c r="AU157" i="5"/>
  <c r="AV157" i="5" s="1"/>
  <c r="AY157" i="5" s="1"/>
  <c r="AU142" i="5"/>
  <c r="AV142" i="5" s="1"/>
  <c r="AY142" i="5" s="1"/>
  <c r="AU205" i="5"/>
  <c r="AV205" i="5" s="1"/>
  <c r="AY205" i="5" s="1"/>
  <c r="AU177" i="5"/>
  <c r="AV177" i="5" s="1"/>
  <c r="AY177" i="5" s="1"/>
  <c r="AU123" i="5"/>
  <c r="AV123" i="5" s="1"/>
  <c r="AY123" i="5" s="1"/>
  <c r="AU168" i="5"/>
  <c r="AV168" i="5" s="1"/>
  <c r="AY168" i="5" s="1"/>
  <c r="AU178" i="5"/>
  <c r="AV178" i="5" s="1"/>
  <c r="AY178" i="5" s="1"/>
  <c r="AN201" i="5"/>
  <c r="AF201" i="5"/>
  <c r="AF132" i="5"/>
  <c r="AN132" i="5"/>
  <c r="AN113" i="5"/>
  <c r="AF113" i="5"/>
  <c r="AF142" i="5"/>
  <c r="AN142" i="5"/>
  <c r="AF82" i="5"/>
  <c r="AN82" i="5"/>
  <c r="AF34" i="5"/>
  <c r="AN34" i="5"/>
  <c r="AN95" i="5"/>
  <c r="AF95" i="5"/>
  <c r="AN118" i="5"/>
  <c r="AF118" i="5"/>
  <c r="AN92" i="5"/>
  <c r="AF92" i="5"/>
  <c r="AF185" i="5"/>
  <c r="AN185" i="5"/>
  <c r="AF120" i="5"/>
  <c r="AN120" i="5"/>
  <c r="AF8" i="5"/>
  <c r="AN8" i="5"/>
  <c r="AF3" i="5"/>
  <c r="AN3" i="5"/>
  <c r="AU77" i="5"/>
  <c r="AV77" i="5" s="1"/>
  <c r="AY77" i="5" s="1"/>
  <c r="AF143" i="5"/>
  <c r="AN143" i="5"/>
  <c r="AN27" i="5"/>
  <c r="AF27" i="5"/>
  <c r="AU46" i="5"/>
  <c r="AV46" i="5" s="1"/>
  <c r="AY46" i="5" s="1"/>
  <c r="AU97" i="5"/>
  <c r="AV97" i="5" s="1"/>
  <c r="AY97" i="5" s="1"/>
  <c r="AU15" i="5"/>
  <c r="AV15" i="5" s="1"/>
  <c r="AY15" i="5" s="1"/>
  <c r="AU21" i="5"/>
  <c r="AV21" i="5" s="1"/>
  <c r="AY21" i="5" s="1"/>
  <c r="AU208" i="5"/>
  <c r="AV208" i="5" s="1"/>
  <c r="AY208" i="5" s="1"/>
  <c r="AU12" i="5"/>
  <c r="AV12" i="5" s="1"/>
  <c r="AY12" i="5" s="1"/>
  <c r="AU189" i="5"/>
  <c r="AV189" i="5" s="1"/>
  <c r="AY189" i="5" s="1"/>
  <c r="AU149" i="5"/>
  <c r="AV149" i="5" s="1"/>
  <c r="AY149" i="5" s="1"/>
  <c r="AU51" i="5"/>
  <c r="AV51" i="5" s="1"/>
  <c r="AY51" i="5" s="1"/>
  <c r="AF51" i="5"/>
  <c r="AN51" i="5"/>
  <c r="AF169" i="5"/>
  <c r="AN169" i="5"/>
  <c r="AF126" i="5"/>
  <c r="AN126" i="5"/>
  <c r="AN87" i="5"/>
  <c r="AF87" i="5"/>
  <c r="AF30" i="5"/>
  <c r="AN30" i="5"/>
  <c r="AF175" i="5"/>
  <c r="AN175" i="5"/>
  <c r="AF218" i="5"/>
  <c r="AN218" i="5"/>
  <c r="AF46" i="5"/>
  <c r="AN46" i="5"/>
  <c r="AN9" i="5"/>
  <c r="AF9" i="5"/>
  <c r="AU211" i="5"/>
  <c r="AV211" i="5" s="1"/>
  <c r="AY211" i="5" s="1"/>
  <c r="AU167" i="5"/>
  <c r="AV167" i="5" s="1"/>
  <c r="AY167" i="5" s="1"/>
  <c r="AU154" i="5"/>
  <c r="AV154" i="5" s="1"/>
  <c r="AY154" i="5" s="1"/>
  <c r="AU50" i="5"/>
  <c r="AV50" i="5" s="1"/>
  <c r="AY50" i="5" s="1"/>
  <c r="AF25" i="5"/>
  <c r="AU94" i="5"/>
  <c r="AV94" i="5" s="1"/>
  <c r="AY94" i="5" s="1"/>
  <c r="AU43" i="5"/>
  <c r="AV43" i="5" s="1"/>
  <c r="AY43" i="5" s="1"/>
  <c r="AN136" i="5"/>
  <c r="AF136" i="5"/>
  <c r="AN156" i="5"/>
  <c r="AF156" i="5"/>
  <c r="AF59" i="5"/>
  <c r="AN59" i="5"/>
  <c r="AF73" i="5"/>
  <c r="AN73" i="5"/>
  <c r="AN54" i="5"/>
  <c r="AF54" i="5"/>
  <c r="AF31" i="5"/>
  <c r="AN31" i="5"/>
  <c r="AN114" i="5"/>
  <c r="AF114" i="5"/>
  <c r="AF193" i="5"/>
  <c r="AN193" i="5"/>
  <c r="AU83" i="5"/>
  <c r="AV83" i="5" s="1"/>
  <c r="AY83" i="5" s="1"/>
  <c r="AU5" i="5"/>
  <c r="AV5" i="5" s="1"/>
  <c r="AY5" i="5" s="1"/>
  <c r="AU193" i="5"/>
  <c r="AV193" i="5" s="1"/>
  <c r="AY193" i="5" s="1"/>
  <c r="AN19" i="5"/>
  <c r="AF19" i="5"/>
  <c r="AU213" i="5"/>
  <c r="AV213" i="5" s="1"/>
  <c r="AY213" i="5" s="1"/>
  <c r="AU148" i="5"/>
  <c r="AV148" i="5" s="1"/>
  <c r="AY148" i="5" s="1"/>
  <c r="AU108" i="5"/>
  <c r="AV108" i="5" s="1"/>
  <c r="AY108" i="5" s="1"/>
  <c r="AU118" i="5"/>
  <c r="AV118" i="5" s="1"/>
  <c r="AY118" i="5" s="1"/>
  <c r="AU224" i="5"/>
  <c r="AV224" i="5" s="1"/>
  <c r="AY224" i="5" s="1"/>
  <c r="AU2" i="5"/>
  <c r="AV2" i="5" s="1"/>
  <c r="AY2" i="5" s="1"/>
  <c r="AU7" i="5"/>
  <c r="AV7" i="5" s="1"/>
  <c r="AY7" i="5" s="1"/>
  <c r="AU54" i="5"/>
  <c r="AV54" i="5" s="1"/>
  <c r="AY54" i="5" s="1"/>
  <c r="AU102" i="5"/>
  <c r="AV102" i="5" s="1"/>
  <c r="AY102" i="5" s="1"/>
  <c r="AU105" i="5"/>
  <c r="AV105" i="5" s="1"/>
  <c r="AY105" i="5" s="1"/>
  <c r="AU217" i="5"/>
  <c r="AV217" i="5" s="1"/>
  <c r="AY217" i="5" s="1"/>
  <c r="AU86" i="5"/>
  <c r="AV86" i="5" s="1"/>
  <c r="AY86" i="5" s="1"/>
  <c r="AU90" i="5"/>
  <c r="AV90" i="5" s="1"/>
  <c r="AY90" i="5" s="1"/>
  <c r="AU150" i="5"/>
  <c r="AV150" i="5" s="1"/>
  <c r="AY150" i="5" s="1"/>
  <c r="AU31" i="5"/>
  <c r="AV31" i="5" s="1"/>
  <c r="AY31" i="5" s="1"/>
  <c r="AN53" i="5"/>
  <c r="AF53" i="5"/>
  <c r="AF188" i="5"/>
  <c r="AN188" i="5"/>
  <c r="AF154" i="5"/>
  <c r="AN154" i="5"/>
  <c r="AN76" i="5"/>
  <c r="AF76" i="5"/>
  <c r="AN111" i="5"/>
  <c r="AF111" i="5"/>
  <c r="AN210" i="5"/>
  <c r="AF210" i="5"/>
  <c r="AU146" i="5"/>
  <c r="AV146" i="5" s="1"/>
  <c r="AY146" i="5" s="1"/>
  <c r="AU60" i="5"/>
  <c r="AV60" i="5" s="1"/>
  <c r="AY60" i="5" s="1"/>
  <c r="AN207" i="5"/>
  <c r="AF207" i="5"/>
  <c r="AU41" i="5"/>
  <c r="AV41" i="5" s="1"/>
  <c r="AY41" i="5" s="1"/>
  <c r="AF105" i="5"/>
  <c r="AN105" i="5"/>
  <c r="AU155" i="5"/>
  <c r="AV155" i="5" s="1"/>
  <c r="AY155" i="5" s="1"/>
  <c r="AU202" i="5"/>
  <c r="AV202" i="5" s="1"/>
  <c r="AY202" i="5" s="1"/>
  <c r="AU122" i="5"/>
  <c r="AV122" i="5" s="1"/>
  <c r="AY122" i="5" s="1"/>
  <c r="AU126" i="5"/>
  <c r="AV126" i="5" s="1"/>
  <c r="AY126" i="5" s="1"/>
  <c r="AU212" i="5"/>
  <c r="AV212" i="5" s="1"/>
  <c r="AY212" i="5" s="1"/>
  <c r="AU111" i="5"/>
  <c r="AV111" i="5" s="1"/>
  <c r="AY111" i="5" s="1"/>
  <c r="AU127" i="5"/>
  <c r="AV127" i="5" s="1"/>
  <c r="AY127" i="5" s="1"/>
  <c r="AU81" i="5"/>
  <c r="AV81" i="5" s="1"/>
  <c r="AY81" i="5" s="1"/>
  <c r="AU17" i="5"/>
  <c r="AV17" i="5" s="1"/>
  <c r="AY17" i="5" s="1"/>
  <c r="AU92" i="5"/>
  <c r="AV92" i="5" s="1"/>
  <c r="AY92" i="5" s="1"/>
  <c r="AU39" i="5"/>
  <c r="AV39" i="5" s="1"/>
  <c r="AY39" i="5" s="1"/>
  <c r="AF221" i="5"/>
  <c r="AN221" i="5"/>
  <c r="AF197" i="5"/>
  <c r="AN197" i="5"/>
  <c r="AF214" i="5"/>
  <c r="AN214" i="5"/>
  <c r="AN134" i="5"/>
  <c r="AF134" i="5"/>
  <c r="AF14" i="5"/>
  <c r="AN14" i="5"/>
  <c r="AN84" i="5"/>
  <c r="AF84" i="5"/>
  <c r="AF62" i="5"/>
  <c r="AN62" i="5"/>
  <c r="AF103" i="5"/>
  <c r="AN103" i="5"/>
  <c r="AN78" i="5"/>
  <c r="AF78" i="5"/>
  <c r="AU132" i="5"/>
  <c r="AV132" i="5" s="1"/>
  <c r="AY132" i="5" s="1"/>
  <c r="AU14" i="5"/>
  <c r="AV14" i="5" s="1"/>
  <c r="AY14" i="5" s="1"/>
  <c r="AU61" i="5"/>
  <c r="AV61" i="5" s="1"/>
  <c r="AY61" i="5" s="1"/>
  <c r="AU120" i="5"/>
  <c r="AV120" i="5" s="1"/>
  <c r="AY120" i="5" s="1"/>
  <c r="AU221" i="5"/>
  <c r="AV221" i="5" s="1"/>
  <c r="AY221" i="5" s="1"/>
  <c r="AU76" i="5"/>
  <c r="AV76" i="5" s="1"/>
  <c r="AY76" i="5" s="1"/>
  <c r="AU53" i="5"/>
  <c r="AV53" i="5" s="1"/>
  <c r="AY53" i="5" s="1"/>
  <c r="AU115" i="5"/>
  <c r="AV115" i="5" s="1"/>
  <c r="AY115" i="5" s="1"/>
  <c r="AU131" i="5"/>
  <c r="AV131" i="5" s="1"/>
  <c r="AY131" i="5" s="1"/>
  <c r="AU137" i="5"/>
  <c r="AV137" i="5" s="1"/>
  <c r="AY137" i="5" s="1"/>
  <c r="AU151" i="5"/>
  <c r="AV151" i="5" s="1"/>
  <c r="AY151" i="5" s="1"/>
  <c r="AU52" i="5"/>
  <c r="AV52" i="5" s="1"/>
  <c r="AY52" i="5" s="1"/>
  <c r="AU209" i="5"/>
  <c r="AV209" i="5" s="1"/>
  <c r="AY209" i="5" s="1"/>
  <c r="AU170" i="5"/>
  <c r="AV170" i="5" s="1"/>
  <c r="AY170" i="5" s="1"/>
  <c r="AU204" i="5"/>
  <c r="AV204" i="5" s="1"/>
  <c r="AY204" i="5" s="1"/>
  <c r="AU91" i="5"/>
  <c r="AV91" i="5" s="1"/>
  <c r="AY91" i="5" s="1"/>
  <c r="AU141" i="5"/>
  <c r="AV141" i="5" s="1"/>
  <c r="AY141" i="5" s="1"/>
  <c r="AU218" i="5"/>
  <c r="AV218" i="5" s="1"/>
  <c r="AY218" i="5" s="1"/>
  <c r="AU10" i="5"/>
  <c r="AV10" i="5" s="1"/>
  <c r="AY10" i="5" s="1"/>
  <c r="AU134" i="5"/>
  <c r="AV134" i="5" s="1"/>
  <c r="AY134" i="5" s="1"/>
  <c r="AU121" i="5"/>
  <c r="AV121" i="5" s="1"/>
  <c r="AY121" i="5" s="1"/>
  <c r="AU184" i="5"/>
  <c r="AV184" i="5" s="1"/>
  <c r="AY184" i="5" s="1"/>
  <c r="AU197" i="5"/>
  <c r="AV197" i="5" s="1"/>
  <c r="AY197" i="5" s="1"/>
  <c r="AU42" i="5"/>
  <c r="AV42" i="5" s="1"/>
  <c r="AY42" i="5" s="1"/>
  <c r="AU183" i="5"/>
  <c r="AV183" i="5" s="1"/>
  <c r="AY183" i="5" s="1"/>
  <c r="AU195" i="5"/>
  <c r="AV195" i="5" s="1"/>
  <c r="AY195" i="5" s="1"/>
  <c r="AU27" i="5"/>
  <c r="AV27" i="5" s="1"/>
  <c r="AY27" i="5" s="1"/>
  <c r="AF182" i="5"/>
  <c r="AN182" i="5"/>
  <c r="AN52" i="5"/>
  <c r="AF52" i="5"/>
  <c r="AF140" i="5"/>
  <c r="AN140" i="5"/>
  <c r="AN192" i="5"/>
  <c r="AF192" i="5"/>
  <c r="AF57" i="5"/>
  <c r="AN57" i="5"/>
  <c r="AN149" i="5"/>
  <c r="AF149" i="5"/>
  <c r="AN187" i="5"/>
  <c r="AF187" i="5"/>
  <c r="AF37" i="5"/>
  <c r="AN37" i="5"/>
  <c r="AN190" i="5"/>
  <c r="AF190" i="5"/>
  <c r="AU80" i="5"/>
  <c r="AV80" i="5" s="1"/>
  <c r="AY80" i="5" s="1"/>
  <c r="AU23" i="5"/>
  <c r="AV23" i="5" s="1"/>
  <c r="AY23" i="5" s="1"/>
  <c r="AF224" i="5"/>
  <c r="AN224" i="5"/>
  <c r="AN43" i="5"/>
  <c r="AF43" i="5"/>
  <c r="AF195" i="5"/>
  <c r="AN195" i="5"/>
  <c r="AF212" i="5"/>
  <c r="AN212" i="5"/>
  <c r="AU143" i="5"/>
  <c r="AV143" i="5" s="1"/>
  <c r="AY143" i="5" s="1"/>
  <c r="AU6" i="5"/>
  <c r="AV6" i="5" s="1"/>
  <c r="AY6" i="5" s="1"/>
  <c r="AU19" i="5"/>
  <c r="AV19" i="5" s="1"/>
  <c r="AY19" i="5" s="1"/>
  <c r="AU107" i="5"/>
  <c r="AV107" i="5" s="1"/>
  <c r="AY107" i="5" s="1"/>
  <c r="AU188" i="5"/>
  <c r="AV188" i="5" s="1"/>
  <c r="AY188" i="5" s="1"/>
  <c r="AU171" i="5"/>
  <c r="AV171" i="5" s="1"/>
  <c r="AY171" i="5" s="1"/>
  <c r="AU161" i="5"/>
  <c r="AV161" i="5" s="1"/>
  <c r="AY161" i="5" s="1"/>
  <c r="AU100" i="5"/>
  <c r="AV100" i="5" s="1"/>
  <c r="AY100" i="5" s="1"/>
  <c r="AU145" i="5"/>
  <c r="AV145" i="5" s="1"/>
  <c r="AY145" i="5" s="1"/>
  <c r="AU136" i="5"/>
  <c r="AV136" i="5" s="1"/>
  <c r="AY136" i="5" s="1"/>
  <c r="AU201" i="5"/>
  <c r="AV201" i="5" s="1"/>
  <c r="AY201" i="5" s="1"/>
  <c r="AU8" i="5"/>
  <c r="AV8" i="5" s="1"/>
  <c r="AY8" i="5" s="1"/>
  <c r="AU210" i="5"/>
  <c r="AV210" i="5" s="1"/>
  <c r="AY210" i="5" s="1"/>
  <c r="AU223" i="5"/>
  <c r="AV223" i="5" s="1"/>
  <c r="AY223" i="5" s="1"/>
  <c r="AU119" i="5"/>
  <c r="AV119" i="5" s="1"/>
  <c r="AY119" i="5" s="1"/>
  <c r="AU158" i="5"/>
  <c r="AV158" i="5" s="1"/>
  <c r="AY158" i="5" s="1"/>
  <c r="AN219" i="5"/>
  <c r="AF219" i="5"/>
  <c r="AF50" i="5"/>
  <c r="AN50" i="5"/>
  <c r="AN127" i="5"/>
  <c r="AF127" i="5"/>
  <c r="AF41" i="5"/>
  <c r="AN41" i="5"/>
  <c r="AF166" i="5"/>
  <c r="AN166" i="5"/>
  <c r="AN79" i="5"/>
  <c r="AF79" i="5"/>
  <c r="AN65" i="5"/>
  <c r="AF65" i="5"/>
  <c r="AF153" i="5"/>
  <c r="AN153" i="5"/>
  <c r="AF135" i="5"/>
  <c r="AN135" i="5"/>
  <c r="AF55" i="5"/>
  <c r="AN55" i="5"/>
  <c r="AU109" i="5"/>
  <c r="AV109" i="5" s="1"/>
  <c r="AY109" i="5" s="1"/>
  <c r="AU13" i="5"/>
  <c r="AV13" i="5" s="1"/>
  <c r="AY13" i="5" s="1"/>
  <c r="AN204" i="5"/>
  <c r="AF204" i="5"/>
  <c r="AU48" i="5"/>
  <c r="AV48" i="5" s="1"/>
  <c r="AY48" i="5" s="1"/>
  <c r="AU28" i="5"/>
  <c r="AV28" i="5" s="1"/>
  <c r="AY28" i="5" s="1"/>
  <c r="AU173" i="5"/>
  <c r="AV173" i="5" s="1"/>
  <c r="AY173" i="5" s="1"/>
  <c r="AU98" i="5"/>
  <c r="AV98" i="5" s="1"/>
  <c r="AY98" i="5" s="1"/>
  <c r="AU56" i="5"/>
  <c r="AV56" i="5" s="1"/>
  <c r="AY56" i="5" s="1"/>
  <c r="AU95" i="5"/>
  <c r="AV95" i="5" s="1"/>
  <c r="AY95" i="5" s="1"/>
  <c r="AU16" i="5"/>
  <c r="AV16" i="5" s="1"/>
  <c r="AY16" i="5" s="1"/>
  <c r="AU114" i="5"/>
  <c r="AV114" i="5" s="1"/>
  <c r="AY114" i="5" s="1"/>
  <c r="AU66" i="5"/>
  <c r="AV66" i="5" s="1"/>
  <c r="AY66" i="5" s="1"/>
  <c r="AU187" i="5"/>
  <c r="AV187" i="5" s="1"/>
  <c r="AY187" i="5" s="1"/>
  <c r="AU89" i="5"/>
  <c r="AV89" i="5" s="1"/>
  <c r="AY89" i="5" s="1"/>
  <c r="AU40" i="5"/>
  <c r="AV40" i="5" s="1"/>
  <c r="AY40" i="5" s="1"/>
  <c r="AU68" i="5"/>
  <c r="AV68" i="5" s="1"/>
  <c r="AY68" i="5" s="1"/>
  <c r="AU176" i="5"/>
  <c r="AV176" i="5" s="1"/>
  <c r="AY176" i="5" s="1"/>
  <c r="AU152" i="5"/>
  <c r="AV152" i="5" s="1"/>
  <c r="AY152" i="5" s="1"/>
  <c r="AU116" i="5"/>
  <c r="AV116" i="5" s="1"/>
  <c r="AY116" i="5" s="1"/>
  <c r="AU203" i="5"/>
  <c r="AV203" i="5" s="1"/>
  <c r="AY203" i="5" s="1"/>
  <c r="AN183" i="5"/>
  <c r="AF183" i="5"/>
  <c r="AN15" i="5"/>
  <c r="AF15" i="5"/>
  <c r="AF81" i="5"/>
  <c r="AN81" i="5"/>
  <c r="AN128" i="5"/>
  <c r="AF128" i="5"/>
  <c r="AN32" i="5"/>
  <c r="AF32" i="5"/>
  <c r="AF67" i="5"/>
  <c r="AN67" i="5"/>
  <c r="AF163" i="5"/>
  <c r="AN163" i="5"/>
  <c r="AF74" i="5"/>
  <c r="AN74" i="5"/>
  <c r="AF16" i="5"/>
  <c r="AN16" i="5"/>
  <c r="AN106" i="5"/>
  <c r="AF106" i="5"/>
  <c r="AF108" i="5"/>
  <c r="AN108" i="5"/>
  <c r="AY26" i="5"/>
  <c r="AR190" i="5"/>
  <c r="AS190" i="5" s="1"/>
  <c r="BB190" i="5"/>
  <c r="BM87" i="5"/>
  <c r="BF87" i="5"/>
  <c r="BD87" i="5"/>
  <c r="BC87" i="5"/>
  <c r="AR25" i="5"/>
  <c r="AS25" i="5" s="1"/>
  <c r="BB25" i="5"/>
  <c r="BD166" i="5"/>
  <c r="BF166" i="5"/>
  <c r="BM166" i="5"/>
  <c r="BC166" i="5"/>
  <c r="BD164" i="5"/>
  <c r="BF164" i="5"/>
  <c r="BC164" i="5"/>
  <c r="BM164" i="5"/>
  <c r="BM165" i="5"/>
  <c r="BF165" i="5"/>
  <c r="BD165" i="5"/>
  <c r="BC165" i="5"/>
  <c r="BC171" i="5"/>
  <c r="BF171" i="5"/>
  <c r="BD171" i="5"/>
  <c r="BM171" i="5"/>
  <c r="BM175" i="5"/>
  <c r="BF175" i="5"/>
  <c r="BC175" i="5"/>
  <c r="BD175" i="5"/>
  <c r="BF80" i="5"/>
  <c r="BC80" i="5"/>
  <c r="BM80" i="5"/>
  <c r="BD80" i="5"/>
  <c r="BC44" i="5"/>
  <c r="BM44" i="5"/>
  <c r="BD44" i="5"/>
  <c r="BF44" i="5"/>
  <c r="BM61" i="5"/>
  <c r="BF61" i="5"/>
  <c r="BD61" i="5"/>
  <c r="BC61" i="5"/>
  <c r="BC146" i="5"/>
  <c r="BM146" i="5"/>
  <c r="BF146" i="5"/>
  <c r="BD146" i="5"/>
  <c r="BM30" i="5"/>
  <c r="BF30" i="5"/>
  <c r="BC30" i="5"/>
  <c r="BD30" i="5"/>
  <c r="BM133" i="5"/>
  <c r="BF133" i="5"/>
  <c r="BD133" i="5"/>
  <c r="BC133" i="5"/>
  <c r="BM20" i="5"/>
  <c r="BC20" i="5"/>
  <c r="BF20" i="5"/>
  <c r="BD20" i="5"/>
  <c r="BC147" i="5"/>
  <c r="BF147" i="5"/>
  <c r="BM147" i="5"/>
  <c r="BD147" i="5"/>
  <c r="BF116" i="5"/>
  <c r="BD116" i="5"/>
  <c r="BC116" i="5"/>
  <c r="BM116" i="5"/>
  <c r="BM49" i="5"/>
  <c r="BC49" i="5"/>
  <c r="BF49" i="5"/>
  <c r="BD49" i="5"/>
  <c r="BC79" i="5"/>
  <c r="BF79" i="5"/>
  <c r="BD79" i="5"/>
  <c r="BM79" i="5"/>
  <c r="BM192" i="5"/>
  <c r="BD192" i="5"/>
  <c r="BF192" i="5"/>
  <c r="BC192" i="5"/>
  <c r="BM115" i="5"/>
  <c r="BD115" i="5"/>
  <c r="BF115" i="5"/>
  <c r="BC115" i="5"/>
  <c r="BF63" i="5"/>
  <c r="BD63" i="5"/>
  <c r="BC63" i="5"/>
  <c r="BM63" i="5"/>
  <c r="BM48" i="5"/>
  <c r="BF48" i="5"/>
  <c r="BC48" i="5"/>
  <c r="BD48" i="5"/>
  <c r="BM58" i="5"/>
  <c r="BF58" i="5"/>
  <c r="BD58" i="5"/>
  <c r="BC58" i="5"/>
  <c r="BM194" i="5"/>
  <c r="BF194" i="5"/>
  <c r="BD194" i="5"/>
  <c r="BC194" i="5"/>
  <c r="BM128" i="5"/>
  <c r="BD128" i="5"/>
  <c r="BC128" i="5"/>
  <c r="BF128" i="5"/>
  <c r="BM132" i="5"/>
  <c r="BF132" i="5"/>
  <c r="BD132" i="5"/>
  <c r="BC132" i="5"/>
  <c r="BF64" i="5"/>
  <c r="BC64" i="5"/>
  <c r="BM64" i="5"/>
  <c r="BD64" i="5"/>
  <c r="BM14" i="5"/>
  <c r="BF14" i="5"/>
  <c r="BD14" i="5"/>
  <c r="BC14" i="5"/>
  <c r="BM172" i="5"/>
  <c r="BF172" i="5"/>
  <c r="BD172" i="5"/>
  <c r="BC172" i="5"/>
  <c r="BF97" i="5"/>
  <c r="BD97" i="5"/>
  <c r="BM97" i="5"/>
  <c r="BC97" i="5"/>
  <c r="BF45" i="5"/>
  <c r="BM45" i="5"/>
  <c r="BD45" i="5"/>
  <c r="BC45" i="5"/>
  <c r="BF167" i="5"/>
  <c r="BD167" i="5"/>
  <c r="BM167" i="5"/>
  <c r="BC167" i="5"/>
  <c r="BF6" i="5"/>
  <c r="BD6" i="5"/>
  <c r="BC6" i="5"/>
  <c r="BM6" i="5"/>
  <c r="BM214" i="5"/>
  <c r="BD214" i="5"/>
  <c r="BC214" i="5"/>
  <c r="BF214" i="5"/>
  <c r="BM15" i="5"/>
  <c r="BC15" i="5"/>
  <c r="BF15" i="5"/>
  <c r="BD15" i="5"/>
  <c r="BF154" i="5"/>
  <c r="BM154" i="5"/>
  <c r="BD154" i="5"/>
  <c r="BC154" i="5"/>
  <c r="BF106" i="5"/>
  <c r="BD106" i="5"/>
  <c r="BM106" i="5"/>
  <c r="BC106" i="5"/>
  <c r="BD46" i="5"/>
  <c r="BC46" i="5"/>
  <c r="BM46" i="5"/>
  <c r="BF46" i="5"/>
  <c r="BF23" i="5"/>
  <c r="BD23" i="5"/>
  <c r="BC23" i="5"/>
  <c r="BM23" i="5"/>
  <c r="BF160" i="5"/>
  <c r="BC160" i="5"/>
  <c r="BM160" i="5"/>
  <c r="BD160" i="5"/>
  <c r="BF112" i="5"/>
  <c r="BD112" i="5"/>
  <c r="BC112" i="5"/>
  <c r="BM112" i="5"/>
  <c r="BC179" i="5"/>
  <c r="BD179" i="5"/>
  <c r="BF179" i="5"/>
  <c r="BM179" i="5"/>
  <c r="BF56" i="5"/>
  <c r="BD56" i="5"/>
  <c r="BM56" i="5"/>
  <c r="BC56" i="5"/>
  <c r="BC70" i="5"/>
  <c r="BM70" i="5"/>
  <c r="BF70" i="5"/>
  <c r="BD70" i="5"/>
  <c r="BM55" i="5"/>
  <c r="BC55" i="5"/>
  <c r="BD55" i="5"/>
  <c r="BF55" i="5"/>
  <c r="BC144" i="5"/>
  <c r="BF144" i="5"/>
  <c r="BM144" i="5"/>
  <c r="BD144" i="5"/>
  <c r="BM191" i="5"/>
  <c r="BF191" i="5"/>
  <c r="BD191" i="5"/>
  <c r="BC191" i="5"/>
  <c r="BM93" i="5"/>
  <c r="BD93" i="5"/>
  <c r="BC93" i="5"/>
  <c r="BF93" i="5"/>
  <c r="BM37" i="5"/>
  <c r="BF37" i="5"/>
  <c r="BD37" i="5"/>
  <c r="BC37" i="5"/>
  <c r="BF161" i="5"/>
  <c r="BM161" i="5"/>
  <c r="BC161" i="5"/>
  <c r="BD161" i="5"/>
  <c r="BM77" i="5"/>
  <c r="BD77" i="5"/>
  <c r="BC77" i="5"/>
  <c r="BF77" i="5"/>
  <c r="BF153" i="5"/>
  <c r="BM153" i="5"/>
  <c r="BD153" i="5"/>
  <c r="BC153" i="5"/>
  <c r="BF156" i="5"/>
  <c r="BD156" i="5"/>
  <c r="BC156" i="5"/>
  <c r="BM156" i="5"/>
  <c r="BM198" i="5"/>
  <c r="BC198" i="5"/>
  <c r="BF198" i="5"/>
  <c r="BD198" i="5"/>
  <c r="BM208" i="5"/>
  <c r="BF208" i="5"/>
  <c r="BD208" i="5"/>
  <c r="BC208" i="5"/>
  <c r="BC65" i="5"/>
  <c r="BM65" i="5"/>
  <c r="BF65" i="5"/>
  <c r="BD65" i="5"/>
  <c r="BD98" i="5"/>
  <c r="BC98" i="5"/>
  <c r="BM98" i="5"/>
  <c r="BF98" i="5"/>
  <c r="BC120" i="5"/>
  <c r="BD120" i="5"/>
  <c r="BM120" i="5"/>
  <c r="BF120" i="5"/>
  <c r="BM124" i="5"/>
  <c r="BF124" i="5"/>
  <c r="BD124" i="5"/>
  <c r="BC124" i="5"/>
  <c r="BF19" i="5"/>
  <c r="BC19" i="5"/>
  <c r="BD19" i="5"/>
  <c r="BM19" i="5"/>
  <c r="BC50" i="5"/>
  <c r="BD50" i="5"/>
  <c r="BM50" i="5"/>
  <c r="BF50" i="5"/>
  <c r="BM75" i="5"/>
  <c r="BD75" i="5"/>
  <c r="BC75" i="5"/>
  <c r="BF75" i="5"/>
  <c r="BF118" i="5"/>
  <c r="BD118" i="5"/>
  <c r="BC118" i="5"/>
  <c r="BM118" i="5"/>
  <c r="BM188" i="5"/>
  <c r="BF188" i="5"/>
  <c r="BD188" i="5"/>
  <c r="BC188" i="5"/>
  <c r="BC149" i="5"/>
  <c r="BM149" i="5"/>
  <c r="BF149" i="5"/>
  <c r="BD149" i="5"/>
  <c r="BM193" i="5"/>
  <c r="BC193" i="5"/>
  <c r="BD193" i="5"/>
  <c r="BF193" i="5"/>
  <c r="BD51" i="5"/>
  <c r="BM51" i="5"/>
  <c r="BF51" i="5"/>
  <c r="BC51" i="5"/>
  <c r="BM126" i="5"/>
  <c r="BF126" i="5"/>
  <c r="BD126" i="5"/>
  <c r="BC126" i="5"/>
  <c r="BM103" i="5"/>
  <c r="BF103" i="5"/>
  <c r="BC103" i="5"/>
  <c r="BD103" i="5"/>
  <c r="BM212" i="5"/>
  <c r="BF212" i="5"/>
  <c r="BC212" i="5"/>
  <c r="BD212" i="5"/>
  <c r="BM111" i="5"/>
  <c r="BD111" i="5"/>
  <c r="BF111" i="5"/>
  <c r="BC111" i="5"/>
  <c r="BD11" i="5"/>
  <c r="BC11" i="5"/>
  <c r="BM11" i="5"/>
  <c r="BF11" i="5"/>
  <c r="BF29" i="5"/>
  <c r="BC29" i="5"/>
  <c r="BM29" i="5"/>
  <c r="BD29" i="5"/>
  <c r="BM131" i="5"/>
  <c r="BF131" i="5"/>
  <c r="BD131" i="5"/>
  <c r="BC131" i="5"/>
  <c r="BC73" i="5"/>
  <c r="BF73" i="5"/>
  <c r="BM73" i="5"/>
  <c r="BD73" i="5"/>
  <c r="BF157" i="5"/>
  <c r="BD157" i="5"/>
  <c r="BC157" i="5"/>
  <c r="BM157" i="5"/>
  <c r="BC123" i="5"/>
  <c r="BD123" i="5"/>
  <c r="BF123" i="5"/>
  <c r="BM123" i="5"/>
  <c r="BM129" i="5"/>
  <c r="BC129" i="5"/>
  <c r="BF129" i="5"/>
  <c r="BD129" i="5"/>
  <c r="BC170" i="5"/>
  <c r="BM170" i="5"/>
  <c r="BF170" i="5"/>
  <c r="BD170" i="5"/>
  <c r="BM91" i="5"/>
  <c r="BC91" i="5"/>
  <c r="BF91" i="5"/>
  <c r="BD91" i="5"/>
  <c r="BD7" i="5"/>
  <c r="BF7" i="5"/>
  <c r="BC7" i="5"/>
  <c r="BM7" i="5"/>
  <c r="BM54" i="5"/>
  <c r="BF54" i="5"/>
  <c r="BD54" i="5"/>
  <c r="BC54" i="5"/>
  <c r="BF217" i="5"/>
  <c r="BD217" i="5"/>
  <c r="BC217" i="5"/>
  <c r="BM217" i="5"/>
  <c r="BD206" i="5"/>
  <c r="BM206" i="5"/>
  <c r="BF206" i="5"/>
  <c r="BC206" i="5"/>
  <c r="BF86" i="5"/>
  <c r="BC86" i="5"/>
  <c r="BM86" i="5"/>
  <c r="BD86" i="5"/>
  <c r="BM90" i="5"/>
  <c r="BF90" i="5"/>
  <c r="BD90" i="5"/>
  <c r="BC90" i="5"/>
  <c r="BC150" i="5"/>
  <c r="BF150" i="5"/>
  <c r="BD150" i="5"/>
  <c r="BM150" i="5"/>
  <c r="BF213" i="5"/>
  <c r="BD213" i="5"/>
  <c r="BC213" i="5"/>
  <c r="BM213" i="5"/>
  <c r="BM199" i="5"/>
  <c r="BC199" i="5"/>
  <c r="BD199" i="5"/>
  <c r="BF199" i="5"/>
  <c r="BF71" i="5"/>
  <c r="BD71" i="5"/>
  <c r="BC71" i="5"/>
  <c r="BM71" i="5"/>
  <c r="BM201" i="5"/>
  <c r="BF201" i="5"/>
  <c r="BD201" i="5"/>
  <c r="BC201" i="5"/>
  <c r="BF8" i="5"/>
  <c r="BD8" i="5"/>
  <c r="BM8" i="5"/>
  <c r="BC8" i="5"/>
  <c r="BD210" i="5"/>
  <c r="BF210" i="5"/>
  <c r="BC210" i="5"/>
  <c r="BM210" i="5"/>
  <c r="BM17" i="5"/>
  <c r="BC17" i="5"/>
  <c r="BF17" i="5"/>
  <c r="BD17" i="5"/>
  <c r="BM96" i="5"/>
  <c r="BF96" i="5"/>
  <c r="BD96" i="5"/>
  <c r="BC96" i="5"/>
  <c r="BM92" i="5"/>
  <c r="BF92" i="5"/>
  <c r="BC92" i="5"/>
  <c r="BD92" i="5"/>
  <c r="BC148" i="5"/>
  <c r="BF148" i="5"/>
  <c r="BD148" i="5"/>
  <c r="BM148" i="5"/>
  <c r="BD2" i="5"/>
  <c r="BM2" i="5"/>
  <c r="BF2" i="5"/>
  <c r="BC2" i="5"/>
  <c r="BC12" i="5"/>
  <c r="BF12" i="5"/>
  <c r="BD12" i="5"/>
  <c r="BM12" i="5"/>
  <c r="BM16" i="5"/>
  <c r="BF16" i="5"/>
  <c r="BD16" i="5"/>
  <c r="BC16" i="5"/>
  <c r="BM66" i="5"/>
  <c r="BF66" i="5"/>
  <c r="BC66" i="5"/>
  <c r="BD66" i="5"/>
  <c r="BD9" i="5"/>
  <c r="BC9" i="5"/>
  <c r="BF9" i="5"/>
  <c r="BM9" i="5"/>
  <c r="BM89" i="5"/>
  <c r="BF89" i="5"/>
  <c r="BD89" i="5"/>
  <c r="BC89" i="5"/>
  <c r="BC141" i="5"/>
  <c r="BF141" i="5"/>
  <c r="BM141" i="5"/>
  <c r="BD141" i="5"/>
  <c r="BC218" i="5"/>
  <c r="BF218" i="5"/>
  <c r="BM218" i="5"/>
  <c r="BD218" i="5"/>
  <c r="BD10" i="5"/>
  <c r="BC10" i="5"/>
  <c r="BF10" i="5"/>
  <c r="BM10" i="5"/>
  <c r="BC121" i="5"/>
  <c r="BD121" i="5"/>
  <c r="BM121" i="5"/>
  <c r="BF121" i="5"/>
  <c r="BD184" i="5"/>
  <c r="BF184" i="5"/>
  <c r="BC184" i="5"/>
  <c r="BM184" i="5"/>
  <c r="BM197" i="5"/>
  <c r="BC197" i="5"/>
  <c r="BF197" i="5"/>
  <c r="BD197" i="5"/>
  <c r="BC183" i="5"/>
  <c r="BM183" i="5"/>
  <c r="BF183" i="5"/>
  <c r="BD183" i="5"/>
  <c r="BC82" i="5"/>
  <c r="BM82" i="5"/>
  <c r="BF82" i="5"/>
  <c r="BD82" i="5"/>
  <c r="BM27" i="5"/>
  <c r="BF27" i="5"/>
  <c r="BD27" i="5"/>
  <c r="BC27" i="5"/>
  <c r="AT172" i="5"/>
  <c r="AT179" i="5"/>
  <c r="AT35" i="5"/>
  <c r="AT25" i="5"/>
  <c r="AT206" i="5"/>
  <c r="AT103" i="5"/>
  <c r="AT79" i="5"/>
  <c r="AT147" i="5"/>
  <c r="AT192" i="5"/>
  <c r="AT69" i="5"/>
  <c r="AT64" i="5"/>
  <c r="AT130" i="5"/>
  <c r="AT181" i="5"/>
  <c r="AT199" i="5"/>
  <c r="AT160" i="5"/>
  <c r="AT62" i="5"/>
  <c r="AT133" i="5"/>
  <c r="AT82" i="5"/>
  <c r="AT190" i="5"/>
  <c r="AT175" i="5"/>
  <c r="AT124" i="5"/>
  <c r="AT22" i="5"/>
  <c r="AT99" i="5"/>
  <c r="AT198" i="5"/>
  <c r="AT104" i="5"/>
  <c r="AT49" i="5"/>
  <c r="AT9" i="5"/>
  <c r="AT96" i="5"/>
  <c r="AT4" i="5"/>
  <c r="AT65" i="5"/>
  <c r="AT29" i="5"/>
  <c r="AT71" i="5"/>
  <c r="AT20" i="5"/>
  <c r="AT159" i="5"/>
  <c r="AT11" i="5"/>
  <c r="AT75" i="5"/>
  <c r="AT165" i="5"/>
  <c r="AT156" i="5"/>
  <c r="AT33" i="5"/>
  <c r="AT73" i="5"/>
  <c r="AT129" i="5"/>
  <c r="AT162" i="5"/>
  <c r="BD187" i="5" l="1"/>
  <c r="BF187" i="5"/>
  <c r="BD178" i="5"/>
  <c r="BF178" i="5"/>
  <c r="BC187" i="5"/>
  <c r="BM178" i="5"/>
  <c r="BM5" i="5"/>
  <c r="BF145" i="5"/>
  <c r="BD145" i="5"/>
  <c r="BC145" i="5"/>
  <c r="BM174" i="5"/>
  <c r="BD5" i="5"/>
  <c r="BC174" i="5"/>
  <c r="BC5" i="5"/>
  <c r="BD94" i="5"/>
  <c r="BD174" i="5"/>
  <c r="AU29" i="5"/>
  <c r="AV29" i="5" s="1"/>
  <c r="AY29" i="5" s="1"/>
  <c r="BF176" i="5"/>
  <c r="BM195" i="5"/>
  <c r="BD155" i="5"/>
  <c r="BC94" i="5"/>
  <c r="BF94" i="5"/>
  <c r="BD13" i="5"/>
  <c r="AU75" i="5"/>
  <c r="AV75" i="5" s="1"/>
  <c r="AY75" i="5" s="1"/>
  <c r="BC41" i="5"/>
  <c r="BD39" i="5"/>
  <c r="BF39" i="5"/>
  <c r="BD177" i="5"/>
  <c r="BM142" i="5"/>
  <c r="BC39" i="5"/>
  <c r="BD105" i="5"/>
  <c r="AU103" i="5"/>
  <c r="AV103" i="5" s="1"/>
  <c r="AY103" i="5" s="1"/>
  <c r="BD142" i="5"/>
  <c r="BF195" i="5"/>
  <c r="BC95" i="5"/>
  <c r="BD195" i="5"/>
  <c r="BM105" i="5"/>
  <c r="BC13" i="5"/>
  <c r="BC105" i="5"/>
  <c r="BM13" i="5"/>
  <c r="AU49" i="5"/>
  <c r="AV49" i="5" s="1"/>
  <c r="AY49" i="5" s="1"/>
  <c r="BM57" i="5"/>
  <c r="BM122" i="5"/>
  <c r="BD122" i="5"/>
  <c r="BF41" i="5"/>
  <c r="BF122" i="5"/>
  <c r="BD60" i="5"/>
  <c r="BD102" i="5"/>
  <c r="BC60" i="5"/>
  <c r="BM102" i="5"/>
  <c r="BF60" i="5"/>
  <c r="BM211" i="5"/>
  <c r="BM41" i="5"/>
  <c r="BD83" i="5"/>
  <c r="AU129" i="5"/>
  <c r="AV129" i="5" s="1"/>
  <c r="AY129" i="5" s="1"/>
  <c r="BF155" i="5"/>
  <c r="BD189" i="5"/>
  <c r="BM189" i="5"/>
  <c r="BF177" i="5"/>
  <c r="BM81" i="5"/>
  <c r="BM177" i="5"/>
  <c r="BD176" i="5"/>
  <c r="BC76" i="5"/>
  <c r="BC151" i="5"/>
  <c r="BF151" i="5"/>
  <c r="BC204" i="5"/>
  <c r="BM155" i="5"/>
  <c r="BM151" i="5"/>
  <c r="BD211" i="5"/>
  <c r="BC211" i="5"/>
  <c r="BF83" i="5"/>
  <c r="BC142" i="5"/>
  <c r="BF143" i="5"/>
  <c r="BM100" i="5"/>
  <c r="BF102" i="5"/>
  <c r="BD107" i="5"/>
  <c r="BC107" i="5"/>
  <c r="BD31" i="5"/>
  <c r="BM107" i="5"/>
  <c r="BC221" i="5"/>
  <c r="BM53" i="5"/>
  <c r="BC83" i="5"/>
  <c r="BC53" i="5"/>
  <c r="AU172" i="5"/>
  <c r="AV172" i="5" s="1"/>
  <c r="AY172" i="5" s="1"/>
  <c r="BD205" i="5"/>
  <c r="BD221" i="5"/>
  <c r="BC57" i="5"/>
  <c r="BM143" i="5"/>
  <c r="BC143" i="5"/>
  <c r="BC134" i="5"/>
  <c r="BD57" i="5"/>
  <c r="AU206" i="5"/>
  <c r="AV206" i="5" s="1"/>
  <c r="AY206" i="5" s="1"/>
  <c r="AU175" i="5"/>
  <c r="AV175" i="5" s="1"/>
  <c r="AY175" i="5" s="1"/>
  <c r="AU199" i="5"/>
  <c r="AV199" i="5" s="1"/>
  <c r="AY199" i="5" s="1"/>
  <c r="AU147" i="5"/>
  <c r="AV147" i="5" s="1"/>
  <c r="AY147" i="5" s="1"/>
  <c r="BC31" i="5"/>
  <c r="BD127" i="5"/>
  <c r="BC101" i="5"/>
  <c r="BF134" i="5"/>
  <c r="BM127" i="5"/>
  <c r="BM176" i="5"/>
  <c r="BC127" i="5"/>
  <c r="BM134" i="5"/>
  <c r="BC189" i="5"/>
  <c r="BC81" i="5"/>
  <c r="AU71" i="5"/>
  <c r="AV71" i="5" s="1"/>
  <c r="AY71" i="5" s="1"/>
  <c r="AU198" i="5"/>
  <c r="AV198" i="5" s="1"/>
  <c r="AY198" i="5" s="1"/>
  <c r="AU9" i="5"/>
  <c r="AV9" i="5" s="1"/>
  <c r="AY9" i="5" s="1"/>
  <c r="BM204" i="5"/>
  <c r="BM47" i="5"/>
  <c r="BF152" i="5"/>
  <c r="BF204" i="5"/>
  <c r="BM21" i="5"/>
  <c r="BC21" i="5"/>
  <c r="BD101" i="5"/>
  <c r="BF31" i="5"/>
  <c r="BD76" i="5"/>
  <c r="BC203" i="5"/>
  <c r="BF76" i="5"/>
  <c r="BD21" i="5"/>
  <c r="BD186" i="5"/>
  <c r="BF101" i="5"/>
  <c r="BF203" i="5"/>
  <c r="AU165" i="5"/>
  <c r="AV165" i="5" s="1"/>
  <c r="AY165" i="5" s="1"/>
  <c r="BC36" i="5"/>
  <c r="BD47" i="5"/>
  <c r="BC209" i="5"/>
  <c r="BD169" i="5"/>
  <c r="BF223" i="5"/>
  <c r="BD136" i="5"/>
  <c r="BC136" i="5"/>
  <c r="BC52" i="5"/>
  <c r="BC100" i="5"/>
  <c r="BF158" i="5"/>
  <c r="BF47" i="5"/>
  <c r="BF100" i="5"/>
  <c r="BD158" i="5"/>
  <c r="AU65" i="5"/>
  <c r="AV65" i="5" s="1"/>
  <c r="AY65" i="5" s="1"/>
  <c r="BD81" i="5"/>
  <c r="BC205" i="5"/>
  <c r="BD203" i="5"/>
  <c r="BM68" i="5"/>
  <c r="BM119" i="5"/>
  <c r="BM136" i="5"/>
  <c r="BC43" i="5"/>
  <c r="BD28" i="5"/>
  <c r="BF119" i="5"/>
  <c r="BD95" i="5"/>
  <c r="BF221" i="5"/>
  <c r="BF28" i="5"/>
  <c r="BD152" i="5"/>
  <c r="BD53" i="5"/>
  <c r="BM158" i="5"/>
  <c r="BD74" i="5"/>
  <c r="BF95" i="5"/>
  <c r="BC223" i="5"/>
  <c r="BC152" i="5"/>
  <c r="BC74" i="5"/>
  <c r="AU79" i="5"/>
  <c r="AV79" i="5" s="1"/>
  <c r="AY79" i="5" s="1"/>
  <c r="AU82" i="5"/>
  <c r="AV82" i="5" s="1"/>
  <c r="AY82" i="5" s="1"/>
  <c r="BF108" i="5"/>
  <c r="BM186" i="5"/>
  <c r="BF169" i="5"/>
  <c r="BC68" i="5"/>
  <c r="BM169" i="5"/>
  <c r="BM28" i="5"/>
  <c r="BF36" i="5"/>
  <c r="BD224" i="5"/>
  <c r="BF224" i="5"/>
  <c r="BF186" i="5"/>
  <c r="AU192" i="5"/>
  <c r="AV192" i="5" s="1"/>
  <c r="AY192" i="5" s="1"/>
  <c r="AU179" i="5"/>
  <c r="AV179" i="5" s="1"/>
  <c r="AY179" i="5" s="1"/>
  <c r="BD223" i="5"/>
  <c r="BF202" i="5"/>
  <c r="BM202" i="5"/>
  <c r="BM114" i="5"/>
  <c r="BM209" i="5"/>
  <c r="BF205" i="5"/>
  <c r="BC42" i="5"/>
  <c r="BF40" i="5"/>
  <c r="BC114" i="5"/>
  <c r="BF52" i="5"/>
  <c r="BM40" i="5"/>
  <c r="BD168" i="5"/>
  <c r="BD202" i="5"/>
  <c r="BD114" i="5"/>
  <c r="BD52" i="5"/>
  <c r="BM220" i="5"/>
  <c r="BM168" i="5"/>
  <c r="BM224" i="5"/>
  <c r="BD68" i="5"/>
  <c r="BF168" i="5"/>
  <c r="AU133" i="5"/>
  <c r="AV133" i="5" s="1"/>
  <c r="AY133" i="5" s="1"/>
  <c r="AU124" i="5"/>
  <c r="AV124" i="5" s="1"/>
  <c r="AY124" i="5" s="1"/>
  <c r="AU160" i="5"/>
  <c r="AV160" i="5" s="1"/>
  <c r="AY160" i="5" s="1"/>
  <c r="BD108" i="5"/>
  <c r="BD42" i="5"/>
  <c r="BF42" i="5"/>
  <c r="BD119" i="5"/>
  <c r="BD40" i="5"/>
  <c r="BM36" i="5"/>
  <c r="BF220" i="5"/>
  <c r="BM74" i="5"/>
  <c r="BD209" i="5"/>
  <c r="BC108" i="5"/>
  <c r="BM137" i="5"/>
  <c r="BF173" i="5"/>
  <c r="BD220" i="5"/>
  <c r="BC173" i="5"/>
  <c r="AU64" i="5"/>
  <c r="AV64" i="5" s="1"/>
  <c r="AY64" i="5" s="1"/>
  <c r="AU96" i="5"/>
  <c r="AV96" i="5" s="1"/>
  <c r="AY96" i="5" s="1"/>
  <c r="BC72" i="5"/>
  <c r="BM215" i="5"/>
  <c r="BC215" i="5"/>
  <c r="BD215" i="5"/>
  <c r="BF72" i="5"/>
  <c r="BF43" i="5"/>
  <c r="BM43" i="5"/>
  <c r="BD72" i="5"/>
  <c r="BM135" i="5"/>
  <c r="AU11" i="5"/>
  <c r="AV11" i="5" s="1"/>
  <c r="AY11" i="5" s="1"/>
  <c r="AU73" i="5"/>
  <c r="AV73" i="5" s="1"/>
  <c r="AY73" i="5" s="1"/>
  <c r="AU156" i="5"/>
  <c r="AV156" i="5" s="1"/>
  <c r="AY156" i="5" s="1"/>
  <c r="AU20" i="5"/>
  <c r="AV20" i="5" s="1"/>
  <c r="AY20" i="5" s="1"/>
  <c r="BM38" i="5"/>
  <c r="BD38" i="5"/>
  <c r="BM140" i="5"/>
  <c r="BC140" i="5"/>
  <c r="BC38" i="5"/>
  <c r="BF38" i="5"/>
  <c r="BF140" i="5"/>
  <c r="BM173" i="5"/>
  <c r="BD140" i="5"/>
  <c r="BD137" i="5"/>
  <c r="BC137" i="5"/>
  <c r="BF135" i="5"/>
  <c r="BD135" i="5"/>
  <c r="BD67" i="5"/>
  <c r="BM67" i="5"/>
  <c r="BF67" i="5"/>
  <c r="BF110" i="5"/>
  <c r="BD110" i="5"/>
  <c r="BC110" i="5"/>
  <c r="BM110" i="5"/>
  <c r="BF182" i="5"/>
  <c r="BC182" i="5"/>
  <c r="BM182" i="5"/>
  <c r="BD182" i="5"/>
  <c r="BF84" i="5"/>
  <c r="BD84" i="5"/>
  <c r="BM84" i="5"/>
  <c r="BC84" i="5"/>
  <c r="BM3" i="5"/>
  <c r="BD3" i="5"/>
  <c r="BC3" i="5"/>
  <c r="BF3" i="5"/>
  <c r="BD207" i="5"/>
  <c r="BM207" i="5"/>
  <c r="BF207" i="5"/>
  <c r="BC207" i="5"/>
  <c r="AU181" i="5"/>
  <c r="AV181" i="5" s="1"/>
  <c r="AY181" i="5" s="1"/>
  <c r="AU130" i="5"/>
  <c r="AV130" i="5" s="1"/>
  <c r="AY130" i="5" s="1"/>
  <c r="AU33" i="5"/>
  <c r="AV33" i="5" s="1"/>
  <c r="AY33" i="5" s="1"/>
  <c r="AU159" i="5"/>
  <c r="AV159" i="5" s="1"/>
  <c r="AY159" i="5" s="1"/>
  <c r="AU104" i="5"/>
  <c r="AV104" i="5" s="1"/>
  <c r="AY104" i="5" s="1"/>
  <c r="AU4" i="5"/>
  <c r="AV4" i="5" s="1"/>
  <c r="AY4" i="5" s="1"/>
  <c r="AU99" i="5"/>
  <c r="AV99" i="5" s="1"/>
  <c r="AY99" i="5" s="1"/>
  <c r="AU22" i="5"/>
  <c r="AV22" i="5" s="1"/>
  <c r="AY22" i="5" s="1"/>
  <c r="AU62" i="5"/>
  <c r="AV62" i="5" s="1"/>
  <c r="AY62" i="5" s="1"/>
  <c r="AU69" i="5"/>
  <c r="AV69" i="5" s="1"/>
  <c r="AY69" i="5" s="1"/>
  <c r="AU35" i="5"/>
  <c r="AV35" i="5" s="1"/>
  <c r="AY35" i="5" s="1"/>
  <c r="AU162" i="5"/>
  <c r="AV162" i="5" s="1"/>
  <c r="AY162" i="5" s="1"/>
  <c r="BC34" i="5"/>
  <c r="BF34" i="5"/>
  <c r="BD34" i="5"/>
  <c r="BM34" i="5"/>
  <c r="BF138" i="5"/>
  <c r="BM138" i="5"/>
  <c r="BC138" i="5"/>
  <c r="BD138" i="5"/>
  <c r="BF33" i="5"/>
  <c r="BC33" i="5"/>
  <c r="BM33" i="5"/>
  <c r="BD33" i="5"/>
  <c r="BF159" i="5"/>
  <c r="BD159" i="5"/>
  <c r="BC159" i="5"/>
  <c r="BM159" i="5"/>
  <c r="BC104" i="5"/>
  <c r="BF104" i="5"/>
  <c r="BD104" i="5"/>
  <c r="BM104" i="5"/>
  <c r="BM130" i="5"/>
  <c r="BF130" i="5"/>
  <c r="BD130" i="5"/>
  <c r="BC130" i="5"/>
  <c r="BD4" i="5"/>
  <c r="BF4" i="5"/>
  <c r="BC4" i="5"/>
  <c r="BM4" i="5"/>
  <c r="BM22" i="5"/>
  <c r="BD22" i="5"/>
  <c r="BC22" i="5"/>
  <c r="BF22" i="5"/>
  <c r="BF109" i="5"/>
  <c r="BD109" i="5"/>
  <c r="BC109" i="5"/>
  <c r="BM109" i="5"/>
  <c r="BF78" i="5"/>
  <c r="BC78" i="5"/>
  <c r="BM78" i="5"/>
  <c r="BD78" i="5"/>
  <c r="BM62" i="5"/>
  <c r="BF62" i="5"/>
  <c r="BC62" i="5"/>
  <c r="BD62" i="5"/>
  <c r="BM200" i="5"/>
  <c r="BC200" i="5"/>
  <c r="BF200" i="5"/>
  <c r="BD200" i="5"/>
  <c r="BF99" i="5"/>
  <c r="BM99" i="5"/>
  <c r="BD99" i="5"/>
  <c r="BC99" i="5"/>
  <c r="BM69" i="5"/>
  <c r="BF69" i="5"/>
  <c r="BD69" i="5"/>
  <c r="BC69" i="5"/>
  <c r="BD85" i="5"/>
  <c r="BM85" i="5"/>
  <c r="BC85" i="5"/>
  <c r="BF85" i="5"/>
  <c r="BD196" i="5"/>
  <c r="BC196" i="5"/>
  <c r="BF196" i="5"/>
  <c r="BM196" i="5"/>
  <c r="BF163" i="5"/>
  <c r="BC163" i="5"/>
  <c r="BD163" i="5"/>
  <c r="BM163" i="5"/>
  <c r="BF222" i="5"/>
  <c r="BM222" i="5"/>
  <c r="BD222" i="5"/>
  <c r="BC222" i="5"/>
  <c r="BC32" i="5"/>
  <c r="BF32" i="5"/>
  <c r="BD32" i="5"/>
  <c r="BM32" i="5"/>
  <c r="BF35" i="5"/>
  <c r="BC35" i="5"/>
  <c r="BM35" i="5"/>
  <c r="BD35" i="5"/>
  <c r="BM180" i="5"/>
  <c r="BC180" i="5"/>
  <c r="BF180" i="5"/>
  <c r="BD180" i="5"/>
  <c r="BC162" i="5"/>
  <c r="BF162" i="5"/>
  <c r="BD162" i="5"/>
  <c r="BM162" i="5"/>
  <c r="BF117" i="5"/>
  <c r="BD117" i="5"/>
  <c r="BM117" i="5"/>
  <c r="BC117" i="5"/>
  <c r="BF181" i="5"/>
  <c r="BD181" i="5"/>
  <c r="BM181" i="5"/>
  <c r="BC181" i="5"/>
  <c r="AU25" i="5"/>
  <c r="AV25" i="5" s="1"/>
  <c r="AY25" i="5" s="1"/>
  <c r="AU190" i="5"/>
  <c r="AV190" i="5" s="1"/>
  <c r="AY190" i="5" s="1"/>
  <c r="BM25" i="5"/>
  <c r="BD25" i="5"/>
  <c r="BF25" i="5"/>
  <c r="BC25" i="5"/>
  <c r="BM190" i="5"/>
  <c r="BD190" i="5"/>
  <c r="BC190" i="5"/>
  <c r="BF190" i="5"/>
</calcChain>
</file>

<file path=xl/sharedStrings.xml><?xml version="1.0" encoding="utf-8"?>
<sst xmlns="http://schemas.openxmlformats.org/spreadsheetml/2006/main" count="490" uniqueCount="357">
  <si>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</si>
  <si>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</si>
  <si>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</si>
  <si>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</si>
  <si>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</si>
  <si>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</si>
  <si>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</si>
  <si>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</si>
  <si>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</si>
  <si>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</si>
  <si>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</si>
  <si>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</si>
  <si>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</si>
  <si>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</si>
  <si>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</si>
  <si>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</si>
  <si>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</si>
  <si>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</si>
  <si>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</si>
  <si>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</si>
  <si>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</si>
  <si>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</si>
  <si>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</si>
  <si>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</si>
  <si>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</si>
  <si>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</si>
  <si>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</si>
  <si>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</si>
  <si>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</si>
  <si>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</si>
  <si>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</si>
  <si>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</si>
  <si>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</si>
  <si>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</si>
  <si>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</si>
  <si>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</si>
  <si>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</si>
  <si>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</si>
  <si>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</si>
  <si>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</si>
  <si>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</si>
  <si>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</si>
  <si>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</si>
  <si>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</si>
  <si>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</si>
  <si>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</si>
  <si>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</si>
  <si>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</si>
  <si>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</si>
  <si>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</si>
  <si>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</si>
  <si>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</si>
  <si>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</si>
  <si>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</si>
  <si>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</si>
  <si>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</si>
  <si>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</si>
  <si>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</si>
  <si>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</si>
  <si>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</si>
  <si>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</si>
  <si>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</si>
  <si>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</si>
  <si>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</si>
  <si>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</si>
  <si>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</si>
  <si>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</si>
  <si>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</si>
  <si>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</si>
  <si>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</si>
  <si>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</si>
  <si>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</si>
  <si>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</si>
  <si>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</si>
  <si>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</si>
  <si>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</si>
  <si>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</si>
  <si>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</si>
  <si>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</si>
  <si>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</si>
  <si>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</si>
  <si>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</si>
  <si>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</si>
  <si>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</si>
  <si>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</si>
  <si>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</si>
  <si>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</si>
  <si>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</si>
  <si>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</si>
  <si>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</si>
  <si>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</si>
  <si>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</si>
  <si>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</si>
  <si>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</si>
  <si>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</si>
  <si>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</si>
  <si>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</si>
  <si>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</si>
  <si>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</si>
  <si>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</si>
  <si>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</si>
  <si>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</si>
  <si>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</si>
  <si>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</si>
  <si>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</si>
  <si>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</si>
  <si>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</si>
  <si>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</si>
  <si>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</si>
  <si>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</si>
  <si>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</si>
  <si>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</si>
  <si>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</si>
  <si>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</si>
  <si>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</si>
  <si>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</si>
  <si>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</si>
  <si>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</si>
  <si>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</si>
  <si>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</si>
  <si>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</si>
  <si>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</si>
  <si>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</si>
  <si>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</si>
  <si>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</si>
  <si>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</si>
  <si>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</si>
  <si>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</si>
  <si>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</si>
  <si>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</si>
  <si>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</si>
  <si>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</si>
  <si>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</si>
  <si>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</si>
  <si>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</si>
  <si>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</si>
  <si>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</si>
  <si>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</si>
  <si>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</si>
  <si>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</si>
  <si>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</si>
  <si>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</si>
  <si>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</si>
  <si>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</si>
  <si>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</si>
  <si>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</si>
  <si>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</si>
  <si>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</si>
  <si>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</si>
  <si>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</si>
  <si>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</si>
  <si>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</si>
  <si>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</si>
  <si>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</si>
  <si>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</si>
  <si>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</si>
  <si>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</si>
  <si>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</si>
  <si>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</si>
  <si>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</si>
  <si>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</si>
  <si>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</si>
  <si>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</si>
  <si>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</si>
  <si>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</si>
  <si>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</si>
  <si>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</si>
  <si>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</si>
  <si>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</si>
  <si>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</si>
  <si>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</si>
  <si>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</si>
  <si>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</si>
  <si>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</si>
  <si>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</si>
  <si>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</si>
  <si>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</si>
  <si>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</si>
  <si>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</si>
  <si>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</si>
  <si>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</si>
  <si>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</si>
  <si>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</si>
  <si>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</si>
  <si>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</si>
  <si>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</si>
  <si>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</si>
  <si>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</si>
  <si>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</si>
  <si>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</si>
  <si>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</si>
  <si>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</si>
  <si>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</si>
  <si>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</si>
  <si>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</si>
  <si>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</si>
  <si>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</si>
  <si>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</si>
  <si>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</si>
  <si>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</si>
  <si>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</si>
  <si>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</si>
  <si>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</si>
  <si>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</si>
  <si>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</si>
  <si>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</si>
  <si>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</si>
  <si>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</si>
  <si>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</si>
  <si>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</si>
  <si>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</si>
  <si>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</si>
  <si>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</si>
  <si>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</si>
  <si>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</si>
  <si>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</si>
  <si>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</si>
  <si>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</si>
  <si>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</si>
  <si>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</si>
  <si>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</si>
  <si>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</si>
  <si>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</si>
  <si>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</si>
  <si>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</si>
  <si>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</si>
  <si>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</si>
  <si>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</si>
  <si>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</si>
  <si>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</si>
  <si>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</si>
  <si>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</si>
  <si>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</si>
  <si>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</si>
  <si>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</si>
  <si>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</si>
  <si>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</si>
  <si>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</si>
  <si>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</si>
  <si>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</si>
  <si>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</si>
  <si>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</si>
  <si>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</si>
  <si>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</si>
  <si>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</si>
  <si>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</si>
  <si>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</si>
  <si>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</si>
  <si>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</si>
  <si>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</si>
  <si>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</si>
  <si>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</si>
  <si>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</si>
  <si>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</si>
  <si>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</si>
  <si>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</si>
  <si>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</si>
  <si>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</si>
  <si>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</si>
  <si>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</si>
  <si>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</si>
  <si>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</si>
  <si>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</si>
  <si>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</si>
  <si>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</si>
  <si>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</si>
  <si>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</si>
  <si>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</si>
  <si>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</si>
  <si>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</si>
  <si>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</si>
  <si>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</si>
  <si>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</si>
  <si>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</si>
  <si>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</si>
  <si>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</si>
  <si>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</si>
  <si>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</si>
  <si>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</si>
  <si>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</si>
  <si>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</si>
  <si>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</si>
  <si>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</si>
  <si>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</si>
  <si>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</si>
  <si>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</si>
  <si>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</si>
  <si>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</si>
  <si>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</si>
  <si>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</si>
  <si>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</si>
  <si>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</si>
  <si>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</si>
  <si>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</si>
  <si>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259.01_10</t>
  </si>
  <si>
    <t>249.01_10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</si>
  <si>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</si>
  <si>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</si>
  <si>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</si>
  <si>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</si>
  <si>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</si>
  <si>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</si>
  <si>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</si>
  <si>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</si>
  <si>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</si>
  <si>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</si>
  <si>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</si>
  <si>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</si>
  <si>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</si>
  <si>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</si>
  <si>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</si>
  <si>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</si>
  <si>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</si>
  <si>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</si>
  <si>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</si>
  <si>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</si>
  <si>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</si>
  <si>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</si>
  <si>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</si>
  <si>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</si>
  <si>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</si>
  <si>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</si>
  <si>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</si>
  <si>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</si>
  <si>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</si>
  <si>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</si>
  <si>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</si>
  <si>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</si>
  <si>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</si>
  <si>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</si>
  <si>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</si>
  <si>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</si>
  <si>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</si>
  <si>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</si>
  <si>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</si>
  <si>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</si>
  <si>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</si>
  <si>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</si>
  <si>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</si>
  <si>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</si>
  <si>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</si>
  <si>
    <t>phase</t>
  </si>
  <si>
    <t>iter</t>
  </si>
  <si>
    <t>q_low</t>
  </si>
  <si>
    <t>q_high</t>
  </si>
  <si>
    <t>dq_ratio_pct</t>
  </si>
  <si>
    <t>solver_max_code</t>
  </si>
  <si>
    <t>status</t>
  </si>
  <si>
    <t>note</t>
  </si>
  <si>
    <t>BRACKET</t>
  </si>
  <si>
    <t>q_low eval</t>
  </si>
  <si>
    <t>q_high eval (init)</t>
  </si>
  <si>
    <t>BISECT</t>
  </si>
  <si>
    <t>SUMMARY</t>
  </si>
  <si>
    <t>OK</t>
  </si>
  <si>
    <t>収束 (|dq_ratio|&lt;1%)  (f_solver=0)</t>
  </si>
  <si>
    <t>q_high expand #1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</si>
</sst>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28" totalsRowShown="0">
  <autoFilter ref="A1:BR228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296</v>
      </c>
      <c r="B1" s="31" t="s">
        <v>297</v>
      </c>
      <c r="C1" s="31" t="s">
        <v>298</v>
      </c>
      <c r="D1" s="31" t="s">
        <v>299</v>
      </c>
      <c r="E1" s="31" t="s">
        <v>300</v>
      </c>
      <c r="F1" s="31" t="s">
        <v>301</v>
      </c>
      <c r="G1" s="31" t="s">
        <v>302</v>
      </c>
      <c r="H1" s="31" t="s">
        <v>303</v>
      </c>
      <c r="I1" s="31" t="s">
        <v>304</v>
      </c>
      <c r="J1" s="31" t="s">
        <v>305</v>
      </c>
      <c r="K1" s="31" t="s">
        <v>11</v>
      </c>
      <c r="M1" s="32" t="s">
        <v>306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307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4205.4014337612389</v>
      </c>
      <c r="D2" t="s">
        <v>310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4176.5923150780054</v>
      </c>
      <c r="D2" t="s">
        <v>310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4145.4990259833339</v>
      </c>
      <c r="D2" t="s">
        <v>310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228"/>
  <sheetViews>
    <sheetView tabSelected="1" topLeftCell="AW201" zoomScaleNormal="100" workbookViewId="0">
      <selection activeCell="BE232" sqref="BE232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6">PI()*Q88^2/4</f>
        <v>6.8620353649299532E-5</v>
      </c>
      <c r="P88" s="8">
        <f t="shared" ref="P88:P119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58">PI()*Q120^2/4</f>
        <v>2.8502295699234246E-6</v>
      </c>
      <c r="P120" s="8">
        <f t="shared" ref="P120:P151" si="59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8"/>
        <v>2.8502295699234246E-6</v>
      </c>
      <c r="P121" s="8">
        <f t="shared" si="59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8"/>
        <v>2.8502295699234246E-6</v>
      </c>
      <c r="P122" s="8">
        <f t="shared" si="59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8"/>
        <v>2.8502295699234246E-6</v>
      </c>
      <c r="P123" s="8">
        <f t="shared" si="59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8"/>
        <v>2.8502295699234246E-6</v>
      </c>
      <c r="P124" s="8">
        <f t="shared" si="59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8"/>
        <v>2.8502295699234246E-6</v>
      </c>
      <c r="P125" s="8">
        <f t="shared" si="59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8"/>
        <v>2.8502295699234246E-6</v>
      </c>
      <c r="P126" s="8">
        <f t="shared" si="59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8"/>
        <v>2.8502295699234246E-6</v>
      </c>
      <c r="P127" s="8">
        <f t="shared" si="59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8"/>
        <v>2.8502295699234246E-6</v>
      </c>
      <c r="P128" s="8">
        <f t="shared" si="59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8"/>
        <v>2.8502295699234246E-6</v>
      </c>
      <c r="P129" s="8">
        <f t="shared" si="59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8"/>
        <v>2.8502295699234246E-6</v>
      </c>
      <c r="P130" s="8">
        <f t="shared" si="59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60">+N130*Q130/I130</f>
        <v>86604.185438244895</v>
      </c>
      <c r="X130">
        <v>3.2280713915647422E-2</v>
      </c>
      <c r="Y130">
        <f t="shared" ref="Y130:Y193" si="61">IF(X130&gt;0,1/X130^0.5,1)</f>
        <v>5.5658107404926085</v>
      </c>
      <c r="Z130">
        <f t="shared" ref="Z130:Z193" si="62">IF(X130&gt;0,1.14-2*LOG((0.72*L130*E130)/(X130*Q130*N130^2)+9.35/(W130*X130^0.5)),0)</f>
        <v>5.5658107462575783</v>
      </c>
      <c r="AA130">
        <f t="shared" ref="AA130:AA193" si="63">+Y130-Z130</f>
        <v>-5.7649698348427592E-9</v>
      </c>
      <c r="AB130">
        <f t="shared" ref="AB130:AB193" si="64">32/X130*L130*V130*E130/N130^2</f>
        <v>1.4030806913641187E-5</v>
      </c>
      <c r="AC130">
        <v>666.99369060809352</v>
      </c>
      <c r="AD130">
        <f t="shared" ref="AD130:AD193" si="65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6">+AE130-U130</f>
        <v>6.699367531837197E-7</v>
      </c>
      <c r="AG130">
        <v>1.408776719755435E-5</v>
      </c>
      <c r="AH130">
        <f t="shared" ref="AH130:AH193" si="67">+X130*N130^2/(8*E130)</f>
        <v>74.36766028766057</v>
      </c>
      <c r="AI130">
        <f t="shared" ref="AI130:AI193" si="68">+(AH130/E130)^0.5</f>
        <v>0.33719743815596592</v>
      </c>
      <c r="AJ130">
        <f t="shared" ref="AJ130:AJ193" si="69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70">+K130*I130/J130</f>
        <v>1.023604738117011</v>
      </c>
      <c r="AM130">
        <f t="shared" ref="AM130:AM193" si="71">+gettyp(AC130,AJ130,AK130,AL130)</f>
        <v>598.16775840431637</v>
      </c>
      <c r="AN130">
        <f t="shared" ref="AN130:AN193" si="72">+C130-AM130</f>
        <v>7.9136270869639702E-9</v>
      </c>
      <c r="AO130">
        <f t="shared" ref="AO130:AO193" si="73">+AG130-AB130</f>
        <v>5.696028391316385E-8</v>
      </c>
      <c r="AP130">
        <v>4.3784762305645311</v>
      </c>
      <c r="AQ130">
        <f t="shared" ref="AQ130:AQ193" si="74">2*PI()*L130*(D130+E130)/(D130*E130*AP130^2)</f>
        <v>4.4655071343375088E-5</v>
      </c>
      <c r="AR130">
        <f t="shared" ref="AR130:AR193" si="75">+AO130+AB130/2</f>
        <v>7.0723637407337571E-6</v>
      </c>
      <c r="AS130">
        <f t="shared" ref="AS130:AS193" si="76">+AR130*AI130/I130*E130</f>
        <v>20.423730076950772</v>
      </c>
      <c r="AT130">
        <f t="shared" ref="AT130:AT193" si="77">+getublp(AS130)</f>
        <v>12.033487319390172</v>
      </c>
      <c r="AU130">
        <f t="shared" ref="AU130:AU193" si="78">+AT130*AI130</f>
        <v>4.0576610961806674</v>
      </c>
      <c r="AV130">
        <f t="shared" ref="AV130:AV193" si="79">+AP130-AU130</f>
        <v>0.32081513438386366</v>
      </c>
      <c r="AW130">
        <f t="shared" ref="AW130:AW193" si="80">2/3*AB130/(L130/(9.8*(E130-D130)))^0.5</f>
        <v>7.5844090275535882E-3</v>
      </c>
      <c r="AX130">
        <f t="shared" ref="AX130:AX193" si="81">+(2*AQ130*9.8*(E130-D130)/(E130*AW130))^0.5</f>
        <v>0.32081513100826758</v>
      </c>
      <c r="AY130">
        <f t="shared" ref="AY130:AY193" si="82">+AV130-AX130</f>
        <v>3.3755960804349172E-9</v>
      </c>
      <c r="AZ130">
        <f t="shared" ref="AZ130:AZ193" si="83">+F130-G130</f>
        <v>1189751.8930438254</v>
      </c>
      <c r="BA130">
        <f t="shared" ref="BA130:BA193" si="84">+AQ130/AP130</f>
        <v>1.0198769844096553E-5</v>
      </c>
      <c r="BB130" s="15">
        <f t="shared" ref="BB130:BB193" si="85">+E130*AO130*AZ130/BA130</f>
        <v>4346066.2670651497</v>
      </c>
      <c r="BC130" s="20">
        <f t="shared" ref="BC130:BC193" si="86">BB130-S130</f>
        <v>2870.6615963997319</v>
      </c>
      <c r="BD130" s="19">
        <f t="shared" ref="BD130:BD193" si="87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8"/>
        <v>2.8502295699234246E-6</v>
      </c>
      <c r="P131" s="8">
        <f t="shared" si="59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0"/>
        <v>99797.791813602395</v>
      </c>
      <c r="X131">
        <v>3.0280138556132801E-2</v>
      </c>
      <c r="Y131">
        <f t="shared" si="61"/>
        <v>5.7467336773813669</v>
      </c>
      <c r="Z131">
        <f t="shared" si="62"/>
        <v>5.7467337191382422</v>
      </c>
      <c r="AA131">
        <f t="shared" si="63"/>
        <v>-4.1756875290843709E-8</v>
      </c>
      <c r="AB131">
        <f t="shared" si="64"/>
        <v>1.1264289915258989E-5</v>
      </c>
      <c r="AC131">
        <v>665.75739785602002</v>
      </c>
      <c r="AD131">
        <f t="shared" si="65"/>
        <v>3069.9045449326177</v>
      </c>
      <c r="AE131">
        <f>+gettm2(AD131,AC131,AK131,AL131,テーブル2[[#This Row],[Fcorr]])</f>
        <v>558.70357782108022</v>
      </c>
      <c r="AF131" s="14">
        <f t="shared" si="66"/>
        <v>0</v>
      </c>
      <c r="AG131">
        <v>1.1316655590398E-5</v>
      </c>
      <c r="AH131">
        <f t="shared" si="67"/>
        <v>92.63240647792189</v>
      </c>
      <c r="AI131">
        <f t="shared" si="68"/>
        <v>0.37633419420364228</v>
      </c>
      <c r="AJ131">
        <f t="shared" si="69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0"/>
        <v>1.023604738117011</v>
      </c>
      <c r="AM131">
        <f t="shared" si="71"/>
        <v>598.16775840942444</v>
      </c>
      <c r="AN131">
        <f t="shared" si="72"/>
        <v>2.8055637812940404E-9</v>
      </c>
      <c r="AO131">
        <f t="shared" si="73"/>
        <v>5.236567513901062E-8</v>
      </c>
      <c r="AP131">
        <v>4.6605653767108697</v>
      </c>
      <c r="AQ131">
        <f t="shared" si="74"/>
        <v>3.941300708465171E-5</v>
      </c>
      <c r="AR131">
        <f t="shared" si="75"/>
        <v>5.6845106327685054E-6</v>
      </c>
      <c r="AS131">
        <f t="shared" si="76"/>
        <v>18.321160133599815</v>
      </c>
      <c r="AT131">
        <f t="shared" si="77"/>
        <v>11.49028341655416</v>
      </c>
      <c r="AU131">
        <f t="shared" si="78"/>
        <v>4.3241865507403832</v>
      </c>
      <c r="AV131">
        <f t="shared" si="79"/>
        <v>0.33637882597048652</v>
      </c>
      <c r="AW131">
        <f t="shared" si="80"/>
        <v>6.0889571532204978E-3</v>
      </c>
      <c r="AX131">
        <f t="shared" si="81"/>
        <v>0.33637882516474449</v>
      </c>
      <c r="AY131">
        <f t="shared" si="82"/>
        <v>8.0574202865335565E-10</v>
      </c>
      <c r="AZ131">
        <f t="shared" si="83"/>
        <v>1189751.8930438254</v>
      </c>
      <c r="BA131">
        <f t="shared" si="84"/>
        <v>8.4567008289597052E-6</v>
      </c>
      <c r="BB131" s="15">
        <f t="shared" si="85"/>
        <v>4818565.0919966819</v>
      </c>
      <c r="BC131" s="20">
        <f t="shared" si="86"/>
        <v>-34470.08847206831</v>
      </c>
      <c r="BD131" s="19">
        <f t="shared" si="87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8"/>
        <v>2.8502295699234246E-6</v>
      </c>
      <c r="P132" s="8">
        <f t="shared" si="59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0"/>
        <v>100474.38701233879</v>
      </c>
      <c r="X132">
        <v>3.0189353342588428E-2</v>
      </c>
      <c r="Y132">
        <f t="shared" si="61"/>
        <v>5.7553679598019443</v>
      </c>
      <c r="Z132">
        <f t="shared" si="62"/>
        <v>5.7553679983791914</v>
      </c>
      <c r="AA132">
        <f t="shared" si="63"/>
        <v>-3.8577247174487184E-8</v>
      </c>
      <c r="AB132">
        <f t="shared" si="64"/>
        <v>1.1146512323351711E-5</v>
      </c>
      <c r="AC132">
        <v>666.43737555555037</v>
      </c>
      <c r="AD132">
        <f t="shared" si="65"/>
        <v>3086.0807201296298</v>
      </c>
      <c r="AE132">
        <f>+gettm2(AD132,AC132,AK132,AL132,テーブル2[[#This Row],[Fcorr]])</f>
        <v>558.15021942768135</v>
      </c>
      <c r="AF132" s="14">
        <f t="shared" si="66"/>
        <v>6.6437371515348786E-7</v>
      </c>
      <c r="AG132">
        <v>1.1199773376919701E-5</v>
      </c>
      <c r="AH132">
        <f t="shared" si="67"/>
        <v>93.611189926148086</v>
      </c>
      <c r="AI132">
        <f t="shared" si="68"/>
        <v>0.37831720304608762</v>
      </c>
      <c r="AJ132">
        <f t="shared" si="69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0"/>
        <v>1.023604738117011</v>
      </c>
      <c r="AM132">
        <f t="shared" si="71"/>
        <v>598.167758401073</v>
      </c>
      <c r="AN132">
        <f t="shared" si="72"/>
        <v>1.1156998880323954E-8</v>
      </c>
      <c r="AO132">
        <f t="shared" si="73"/>
        <v>5.3261053567989851E-8</v>
      </c>
      <c r="AP132">
        <v>4.67464848359805</v>
      </c>
      <c r="AQ132">
        <f t="shared" si="74"/>
        <v>3.9175889151730965E-5</v>
      </c>
      <c r="AR132">
        <f t="shared" si="75"/>
        <v>5.6265172152438452E-6</v>
      </c>
      <c r="AS132">
        <f t="shared" si="76"/>
        <v>18.229801889177409</v>
      </c>
      <c r="AT132">
        <f t="shared" si="77"/>
        <v>11.465288606673083</v>
      </c>
      <c r="AU132">
        <f t="shared" si="78"/>
        <v>4.3375159177927358</v>
      </c>
      <c r="AV132">
        <f t="shared" si="79"/>
        <v>0.33713256580531414</v>
      </c>
      <c r="AW132">
        <f t="shared" si="80"/>
        <v>6.025292002897845E-3</v>
      </c>
      <c r="AX132">
        <f t="shared" si="81"/>
        <v>0.33713256465785951</v>
      </c>
      <c r="AY132">
        <f t="shared" si="82"/>
        <v>1.1474546313117173E-9</v>
      </c>
      <c r="AZ132">
        <f t="shared" si="83"/>
        <v>1189751.8930438254</v>
      </c>
      <c r="BA132">
        <f t="shared" si="84"/>
        <v>8.3804994726742554E-6</v>
      </c>
      <c r="BB132" s="15">
        <f t="shared" si="85"/>
        <v>4945518.6022956828</v>
      </c>
      <c r="BC132" s="20">
        <f t="shared" si="86"/>
        <v>18171.785889432766</v>
      </c>
      <c r="BD132" s="19">
        <f t="shared" si="87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8"/>
        <v>2.8502295699234246E-6</v>
      </c>
      <c r="P133" s="8">
        <f t="shared" si="59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0"/>
        <v>102504.17260854747</v>
      </c>
      <c r="X133">
        <v>2.9922937230895039E-2</v>
      </c>
      <c r="Y133">
        <f t="shared" si="61"/>
        <v>5.7809323771818422</v>
      </c>
      <c r="Z133">
        <f t="shared" si="62"/>
        <v>5.7809324053556983</v>
      </c>
      <c r="AA133">
        <f t="shared" si="63"/>
        <v>-2.817385613695933E-8</v>
      </c>
      <c r="AB133">
        <f t="shared" si="64"/>
        <v>1.0804787528474191E-5</v>
      </c>
      <c r="AC133">
        <v>666.32049253885225</v>
      </c>
      <c r="AD133">
        <f t="shared" si="65"/>
        <v>3134.5028285365606</v>
      </c>
      <c r="AE133">
        <f>+gettm2(AD133,AC133,AK133,AL133,テーブル2[[#This Row],[Fcorr]])</f>
        <v>557.74964151386382</v>
      </c>
      <c r="AF133" s="14">
        <f t="shared" si="66"/>
        <v>6.6320490077487193E-7</v>
      </c>
      <c r="AG133">
        <v>1.0857536782913491E-5</v>
      </c>
      <c r="AH133">
        <f t="shared" si="67"/>
        <v>96.571846449143194</v>
      </c>
      <c r="AI133">
        <f t="shared" si="68"/>
        <v>0.38425318407815057</v>
      </c>
      <c r="AJ133">
        <f t="shared" si="69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0"/>
        <v>1.023604738117011</v>
      </c>
      <c r="AM133">
        <f t="shared" si="71"/>
        <v>598.16775840445052</v>
      </c>
      <c r="AN133">
        <f t="shared" si="72"/>
        <v>7.7794766184524633E-9</v>
      </c>
      <c r="AO133">
        <f t="shared" si="73"/>
        <v>5.2749254439299754E-8</v>
      </c>
      <c r="AP133">
        <v>4.7155119710003879</v>
      </c>
      <c r="AQ133">
        <f t="shared" si="74"/>
        <v>3.8499853499744613E-5</v>
      </c>
      <c r="AR133">
        <f t="shared" si="75"/>
        <v>5.4551430186763953E-6</v>
      </c>
      <c r="AS133">
        <f t="shared" si="76"/>
        <v>17.951875298805913</v>
      </c>
      <c r="AT133">
        <f t="shared" si="77"/>
        <v>11.388472914741982</v>
      </c>
      <c r="AU133">
        <f t="shared" si="78"/>
        <v>4.3760569792773829</v>
      </c>
      <c r="AV133">
        <f t="shared" si="79"/>
        <v>0.33945499172300497</v>
      </c>
      <c r="AW133">
        <f t="shared" si="80"/>
        <v>5.8405712925951358E-3</v>
      </c>
      <c r="AX133">
        <f t="shared" si="81"/>
        <v>0.33945498941766583</v>
      </c>
      <c r="AY133">
        <f t="shared" si="82"/>
        <v>2.3053391418059732E-9</v>
      </c>
      <c r="AZ133">
        <f t="shared" si="83"/>
        <v>1189751.8930438254</v>
      </c>
      <c r="BA133">
        <f t="shared" si="84"/>
        <v>8.16451187835219E-6</v>
      </c>
      <c r="BB133" s="15">
        <f t="shared" si="85"/>
        <v>5027569.585226899</v>
      </c>
      <c r="BC133" s="20">
        <f t="shared" si="86"/>
        <v>18111.15257064905</v>
      </c>
      <c r="BD133" s="19">
        <f t="shared" si="87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8"/>
        <v>2.8502295699234246E-6</v>
      </c>
      <c r="P134" s="8">
        <f t="shared" si="59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0"/>
        <v>56824.026819463106</v>
      </c>
      <c r="X134">
        <v>3.5196888733325868E-2</v>
      </c>
      <c r="Y134">
        <f t="shared" si="61"/>
        <v>5.3302534800051387</v>
      </c>
      <c r="Z134">
        <f t="shared" si="62"/>
        <v>5.3302535319536952</v>
      </c>
      <c r="AA134">
        <f t="shared" si="63"/>
        <v>-5.1948556567538162E-8</v>
      </c>
      <c r="AB134">
        <f t="shared" si="64"/>
        <v>1.8175884064821805E-5</v>
      </c>
      <c r="AC134">
        <v>692.46511502385511</v>
      </c>
      <c r="AD134">
        <f t="shared" si="65"/>
        <v>1884.5564685194799</v>
      </c>
      <c r="AE134">
        <f>+gettm2(AD134,AC134,AK134,AL134,テーブル2[[#This Row],[Fcorr]])</f>
        <v>585.89262610251512</v>
      </c>
      <c r="AF134" s="14">
        <f t="shared" si="66"/>
        <v>0</v>
      </c>
      <c r="AG134">
        <v>1.8254897812804101E-5</v>
      </c>
      <c r="AH134">
        <f t="shared" si="67"/>
        <v>30.6534006167511</v>
      </c>
      <c r="AI134">
        <f t="shared" si="68"/>
        <v>0.22716787271669706</v>
      </c>
      <c r="AJ134">
        <f t="shared" si="69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0"/>
        <v>1.3019406270656069</v>
      </c>
      <c r="AM134">
        <f t="shared" si="71"/>
        <v>617.97483342764679</v>
      </c>
      <c r="AN134">
        <f t="shared" si="72"/>
        <v>7.3737282946240157E-9</v>
      </c>
      <c r="AO134">
        <f t="shared" si="73"/>
        <v>7.9013747982296066E-8</v>
      </c>
      <c r="AP134">
        <v>2.832824390793208</v>
      </c>
      <c r="AQ134">
        <f t="shared" si="74"/>
        <v>4.1681528526361128E-5</v>
      </c>
      <c r="AR134">
        <f t="shared" si="75"/>
        <v>9.1669557803931984E-6</v>
      </c>
      <c r="AS134">
        <f t="shared" si="76"/>
        <v>18.13716095808088</v>
      </c>
      <c r="AT134">
        <f t="shared" si="77"/>
        <v>11.439814625830858</v>
      </c>
      <c r="AU134">
        <f t="shared" si="78"/>
        <v>2.5987583528233538</v>
      </c>
      <c r="AV134">
        <f t="shared" si="79"/>
        <v>0.23406603796985426</v>
      </c>
      <c r="AW134">
        <f t="shared" si="80"/>
        <v>1.2345354442456491E-2</v>
      </c>
      <c r="AX134">
        <f t="shared" si="81"/>
        <v>0.23406602139217045</v>
      </c>
      <c r="AY134">
        <f t="shared" si="82"/>
        <v>1.6577683809027022E-8</v>
      </c>
      <c r="AZ134">
        <f t="shared" si="83"/>
        <v>964852.16359160375</v>
      </c>
      <c r="BA134">
        <f t="shared" si="84"/>
        <v>1.4713770702422555E-5</v>
      </c>
      <c r="BB134" s="15">
        <f t="shared" si="85"/>
        <v>3077685.8864232074</v>
      </c>
      <c r="BC134" s="20">
        <f t="shared" si="86"/>
        <v>21820.163766957354</v>
      </c>
      <c r="BD134" s="19">
        <f t="shared" si="87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8"/>
        <v>2.8502295699234246E-6</v>
      </c>
      <c r="P135" s="8">
        <f t="shared" si="59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0"/>
        <v>57581.680510389277</v>
      </c>
      <c r="X135">
        <v>3.4978260181261399E-2</v>
      </c>
      <c r="Y135">
        <f t="shared" si="61"/>
        <v>5.3468856722663531</v>
      </c>
      <c r="Z135">
        <f t="shared" si="62"/>
        <v>5.3468857046363132</v>
      </c>
      <c r="AA135">
        <f t="shared" si="63"/>
        <v>-3.2369960045741664E-8</v>
      </c>
      <c r="AB135">
        <f t="shared" si="64"/>
        <v>1.7811354909090326E-5</v>
      </c>
      <c r="AC135">
        <v>696.71605467574113</v>
      </c>
      <c r="AD135">
        <f t="shared" si="65"/>
        <v>1903.743564791582</v>
      </c>
      <c r="AE135">
        <f>+gettm2(AD135,AC135,AK135,AL135,テーブル2[[#This Row],[Fcorr]])</f>
        <v>583.77918421735399</v>
      </c>
      <c r="AF135" s="14">
        <f t="shared" si="66"/>
        <v>9.6716053121781442E-7</v>
      </c>
      <c r="AG135">
        <v>1.789304330498579E-5</v>
      </c>
      <c r="AH135">
        <f t="shared" si="67"/>
        <v>31.280756497544875</v>
      </c>
      <c r="AI135">
        <f t="shared" si="68"/>
        <v>0.22948072028404431</v>
      </c>
      <c r="AJ135">
        <f t="shared" si="69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0"/>
        <v>1.3019406270656069</v>
      </c>
      <c r="AM135">
        <f t="shared" si="71"/>
        <v>617.97483340397457</v>
      </c>
      <c r="AN135">
        <f t="shared" si="72"/>
        <v>3.104594270553207E-8</v>
      </c>
      <c r="AO135">
        <f t="shared" si="73"/>
        <v>8.1688395895464531E-8</v>
      </c>
      <c r="AP135">
        <v>2.8492258973269848</v>
      </c>
      <c r="AQ135">
        <f t="shared" si="74"/>
        <v>4.1203032115004143E-5</v>
      </c>
      <c r="AR135">
        <f t="shared" si="75"/>
        <v>8.9873658504406275E-6</v>
      </c>
      <c r="AS135">
        <f t="shared" si="76"/>
        <v>17.962876537746947</v>
      </c>
      <c r="AT135">
        <f t="shared" si="77"/>
        <v>11.391536068104472</v>
      </c>
      <c r="AU135">
        <f t="shared" si="78"/>
        <v>2.6141379020502842</v>
      </c>
      <c r="AV135">
        <f t="shared" si="79"/>
        <v>0.23508799527670066</v>
      </c>
      <c r="AW135">
        <f t="shared" si="80"/>
        <v>1.2097760343810998E-2</v>
      </c>
      <c r="AX135">
        <f t="shared" si="81"/>
        <v>0.23508798649997814</v>
      </c>
      <c r="AY135">
        <f t="shared" si="82"/>
        <v>8.7767225154244954E-9</v>
      </c>
      <c r="AZ135">
        <f t="shared" si="83"/>
        <v>964852.16359160375</v>
      </c>
      <c r="BA135">
        <f t="shared" si="84"/>
        <v>1.4461132110886317E-5</v>
      </c>
      <c r="BB135" s="15">
        <f t="shared" si="85"/>
        <v>3237454.6097342651</v>
      </c>
      <c r="BC135" s="20">
        <f t="shared" si="86"/>
        <v>4474.7113905153237</v>
      </c>
      <c r="BD135" s="19">
        <f t="shared" si="87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8"/>
        <v>2.8502295699234246E-6</v>
      </c>
      <c r="P136" s="8">
        <f t="shared" si="59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0"/>
        <v>59096.987892241639</v>
      </c>
      <c r="X136">
        <v>3.4555174610075408E-2</v>
      </c>
      <c r="Y136">
        <f t="shared" si="61"/>
        <v>5.3795191032892387</v>
      </c>
      <c r="Z136">
        <f t="shared" si="62"/>
        <v>5.3795191594520224</v>
      </c>
      <c r="AA136">
        <f t="shared" si="63"/>
        <v>-5.6162783756974477E-8</v>
      </c>
      <c r="AB136">
        <f t="shared" si="64"/>
        <v>1.7116700383670199E-5</v>
      </c>
      <c r="AC136">
        <v>709.63670370418276</v>
      </c>
      <c r="AD136">
        <f t="shared" si="65"/>
        <v>1941.9896130098641</v>
      </c>
      <c r="AE136">
        <f>+gettm2(AD136,AC136,AK136,AL136,テーブル2[[#This Row],[Fcorr]])</f>
        <v>577.52406634710462</v>
      </c>
      <c r="AF136" s="14">
        <f t="shared" si="66"/>
        <v>0</v>
      </c>
      <c r="AG136">
        <v>1.7207445615557651E-5</v>
      </c>
      <c r="AH136">
        <f t="shared" si="67"/>
        <v>32.550237096756334</v>
      </c>
      <c r="AI136">
        <f t="shared" si="68"/>
        <v>0.23409096866805426</v>
      </c>
      <c r="AJ136">
        <f t="shared" si="69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0"/>
        <v>1.3019406270656069</v>
      </c>
      <c r="AM136">
        <f t="shared" si="71"/>
        <v>617.97483341692134</v>
      </c>
      <c r="AN136">
        <f t="shared" si="72"/>
        <v>1.8099171938956715E-8</v>
      </c>
      <c r="AO136">
        <f t="shared" si="73"/>
        <v>9.0745231887451772E-8</v>
      </c>
      <c r="AP136">
        <v>2.8821073289421908</v>
      </c>
      <c r="AQ136">
        <f t="shared" si="74"/>
        <v>4.0268239538943363E-5</v>
      </c>
      <c r="AR136">
        <f t="shared" si="75"/>
        <v>8.6490954237225512E-6</v>
      </c>
      <c r="AS136">
        <f t="shared" si="76"/>
        <v>17.634071889554168</v>
      </c>
      <c r="AT136">
        <f t="shared" si="77"/>
        <v>11.299164667073647</v>
      </c>
      <c r="AU136">
        <f t="shared" si="78"/>
        <v>2.645032402055123</v>
      </c>
      <c r="AV136">
        <f t="shared" si="79"/>
        <v>0.23707492688706777</v>
      </c>
      <c r="AW136">
        <f t="shared" si="80"/>
        <v>1.1625939754463948E-2</v>
      </c>
      <c r="AX136">
        <f t="shared" si="81"/>
        <v>0.23707492618553155</v>
      </c>
      <c r="AY136">
        <f t="shared" si="82"/>
        <v>7.015362180062823E-10</v>
      </c>
      <c r="AZ136">
        <f t="shared" si="83"/>
        <v>964852.16359160375</v>
      </c>
      <c r="BA136">
        <f t="shared" si="84"/>
        <v>1.3971804288677502E-5</v>
      </c>
      <c r="BB136" s="15">
        <f t="shared" si="85"/>
        <v>3722347.6780566778</v>
      </c>
      <c r="BC136" s="20">
        <f t="shared" si="86"/>
        <v>-19652.575849572197</v>
      </c>
      <c r="BD136" s="19">
        <f t="shared" si="87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8"/>
        <v>2.8502295699234246E-6</v>
      </c>
      <c r="P137" s="8">
        <f t="shared" si="59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0"/>
        <v>60233.468428630891</v>
      </c>
      <c r="X137">
        <v>3.4249617312816838E-2</v>
      </c>
      <c r="Y137">
        <f t="shared" si="61"/>
        <v>5.4034624570516518</v>
      </c>
      <c r="Z137">
        <f t="shared" si="62"/>
        <v>5.4034625052942005</v>
      </c>
      <c r="AA137">
        <f t="shared" si="63"/>
        <v>-4.8242548622567938E-8</v>
      </c>
      <c r="AB137">
        <f t="shared" si="64"/>
        <v>1.6623878854372252E-5</v>
      </c>
      <c r="AC137">
        <v>710.45461029609339</v>
      </c>
      <c r="AD137">
        <f t="shared" si="65"/>
        <v>1970.5649071683551</v>
      </c>
      <c r="AE137">
        <f>+gettm2(AD137,AC137,AK137,AL137,テーブル2[[#This Row],[Fcorr]])</f>
        <v>576.67676096405637</v>
      </c>
      <c r="AF137" s="14">
        <f t="shared" si="66"/>
        <v>1.1045460723835276E-6</v>
      </c>
      <c r="AG137">
        <v>1.671485875793634E-5</v>
      </c>
      <c r="AH137">
        <f t="shared" si="67"/>
        <v>33.515201878174665</v>
      </c>
      <c r="AI137">
        <f t="shared" si="68"/>
        <v>0.23753548672557787</v>
      </c>
      <c r="AJ137">
        <f t="shared" si="69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0"/>
        <v>1.3019406270656069</v>
      </c>
      <c r="AM137">
        <f t="shared" si="71"/>
        <v>617.97483340140627</v>
      </c>
      <c r="AN137">
        <f t="shared" si="72"/>
        <v>3.3614242056501098E-8</v>
      </c>
      <c r="AO137">
        <f t="shared" si="73"/>
        <v>9.097990356408763E-8</v>
      </c>
      <c r="AP137">
        <v>2.9056228638069861</v>
      </c>
      <c r="AQ137">
        <f t="shared" si="74"/>
        <v>3.9619086202504324E-5</v>
      </c>
      <c r="AR137">
        <f t="shared" si="75"/>
        <v>8.4029193307502138E-6</v>
      </c>
      <c r="AS137">
        <f t="shared" si="76"/>
        <v>17.384249817262965</v>
      </c>
      <c r="AT137">
        <f t="shared" si="77"/>
        <v>11.227823066895578</v>
      </c>
      <c r="AU137">
        <f t="shared" si="78"/>
        <v>2.6670064170637113</v>
      </c>
      <c r="AV137">
        <f t="shared" si="79"/>
        <v>0.23861644674327476</v>
      </c>
      <c r="AW137">
        <f t="shared" si="80"/>
        <v>1.1291207400628578E-2</v>
      </c>
      <c r="AX137">
        <f t="shared" si="81"/>
        <v>0.2386164450690455</v>
      </c>
      <c r="AY137">
        <f t="shared" si="82"/>
        <v>1.6742292552329729E-9</v>
      </c>
      <c r="AZ137">
        <f t="shared" si="83"/>
        <v>964852.16359160375</v>
      </c>
      <c r="BA137">
        <f t="shared" si="84"/>
        <v>1.3635316095563367E-5</v>
      </c>
      <c r="BB137" s="15">
        <f t="shared" si="85"/>
        <v>3824070.3723689271</v>
      </c>
      <c r="BC137" s="20">
        <f t="shared" si="86"/>
        <v>-5205.5886623230763</v>
      </c>
      <c r="BD137" s="19">
        <f t="shared" si="87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8"/>
        <v>2.8502295699234246E-6</v>
      </c>
      <c r="P138" s="8">
        <f t="shared" si="59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0"/>
        <v>62885.256346872506</v>
      </c>
      <c r="X138">
        <v>3.357281400257757E-2</v>
      </c>
      <c r="Y138">
        <f t="shared" si="61"/>
        <v>5.4576556165522208</v>
      </c>
      <c r="Z138">
        <f t="shared" si="62"/>
        <v>5.4576556280147015</v>
      </c>
      <c r="AA138">
        <f t="shared" si="63"/>
        <v>-1.1462480742352454E-8</v>
      </c>
      <c r="AB138">
        <f t="shared" si="64"/>
        <v>1.5558883062568597E-5</v>
      </c>
      <c r="AC138">
        <v>748.0677459354248</v>
      </c>
      <c r="AD138">
        <f t="shared" si="65"/>
        <v>2036.8906689837515</v>
      </c>
      <c r="AE138">
        <f>+gettm2(AD138,AC138,AK138,AL138,テーブル2[[#This Row],[Fcorr]])</f>
        <v>558.36635580792722</v>
      </c>
      <c r="AF138" s="14">
        <f t="shared" si="66"/>
        <v>1.4806773833697662E-6</v>
      </c>
      <c r="AG138">
        <v>1.567645819645786E-5</v>
      </c>
      <c r="AH138">
        <f t="shared" si="67"/>
        <v>35.809296436130261</v>
      </c>
      <c r="AI138">
        <f t="shared" si="68"/>
        <v>0.24553051498268005</v>
      </c>
      <c r="AJ138">
        <f t="shared" si="69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0"/>
        <v>1.3019406270656069</v>
      </c>
      <c r="AM138">
        <f t="shared" si="71"/>
        <v>617.97483337116626</v>
      </c>
      <c r="AN138">
        <f t="shared" si="72"/>
        <v>6.3854258769424632E-8</v>
      </c>
      <c r="AO138">
        <f t="shared" si="73"/>
        <v>1.1757513388926331E-7</v>
      </c>
      <c r="AP138">
        <v>2.9630510890262389</v>
      </c>
      <c r="AQ138">
        <f t="shared" si="74"/>
        <v>3.8098218097777583E-5</v>
      </c>
      <c r="AR138">
        <f t="shared" si="75"/>
        <v>7.8970166651735619E-6</v>
      </c>
      <c r="AS138">
        <f t="shared" si="76"/>
        <v>16.887516596431716</v>
      </c>
      <c r="AT138">
        <f t="shared" si="77"/>
        <v>11.082873430250554</v>
      </c>
      <c r="AU138">
        <f t="shared" si="78"/>
        <v>2.7211836208172806</v>
      </c>
      <c r="AV138">
        <f t="shared" si="79"/>
        <v>0.24186746820895832</v>
      </c>
      <c r="AW138">
        <f t="shared" si="80"/>
        <v>1.0567845033073247E-2</v>
      </c>
      <c r="AX138">
        <f t="shared" si="81"/>
        <v>0.24186746350075236</v>
      </c>
      <c r="AY138">
        <f t="shared" si="82"/>
        <v>4.7082059639880214E-9</v>
      </c>
      <c r="AZ138">
        <f t="shared" si="83"/>
        <v>964852.16359160375</v>
      </c>
      <c r="BA138">
        <f t="shared" si="84"/>
        <v>1.2857766185293139E-5</v>
      </c>
      <c r="BB138" s="15">
        <f t="shared" si="85"/>
        <v>5240775.6896851519</v>
      </c>
      <c r="BC138" s="20">
        <f t="shared" si="86"/>
        <v>-27784.792346097529</v>
      </c>
      <c r="BD138" s="19">
        <f t="shared" si="87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8"/>
        <v>2.8502295699234246E-6</v>
      </c>
      <c r="P139" s="8">
        <f t="shared" si="59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0"/>
        <v>63264.083192335595</v>
      </c>
      <c r="X139">
        <v>3.348001219959474E-2</v>
      </c>
      <c r="Y139">
        <f t="shared" si="61"/>
        <v>5.4652143024798709</v>
      </c>
      <c r="Z139">
        <f t="shared" si="62"/>
        <v>5.4652143120479932</v>
      </c>
      <c r="AA139">
        <f t="shared" si="63"/>
        <v>-9.5681222944676847E-9</v>
      </c>
      <c r="AB139">
        <f t="shared" si="64"/>
        <v>1.5415719072528481E-5</v>
      </c>
      <c r="AC139">
        <v>750.68728547593764</v>
      </c>
      <c r="AD139">
        <f t="shared" si="65"/>
        <v>2046.3269944671649</v>
      </c>
      <c r="AE139">
        <f>+gettm2(AD139,AC139,AK139,AL139,テーブル2[[#This Row],[Fcorr]])</f>
        <v>556.94756939946478</v>
      </c>
      <c r="AF139" s="14">
        <f t="shared" si="66"/>
        <v>0</v>
      </c>
      <c r="AG139">
        <v>1.5535727609215432E-5</v>
      </c>
      <c r="AH139">
        <f t="shared" si="67"/>
        <v>36.141853207190096</v>
      </c>
      <c r="AI139">
        <f t="shared" si="68"/>
        <v>0.24666798686114988</v>
      </c>
      <c r="AJ139">
        <f t="shared" si="69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0"/>
        <v>1.3019406270656069</v>
      </c>
      <c r="AM139">
        <f t="shared" si="71"/>
        <v>617.97483332881131</v>
      </c>
      <c r="AN139">
        <f t="shared" si="72"/>
        <v>1.0620919965731446E-7</v>
      </c>
      <c r="AO139">
        <f t="shared" si="73"/>
        <v>1.2000853668695067E-7</v>
      </c>
      <c r="AP139">
        <v>2.970982804204839</v>
      </c>
      <c r="AQ139">
        <f t="shared" si="74"/>
        <v>3.78950659021151E-5</v>
      </c>
      <c r="AR139">
        <f t="shared" si="75"/>
        <v>7.8278680729511912E-6</v>
      </c>
      <c r="AS139">
        <f t="shared" si="76"/>
        <v>16.817194484837469</v>
      </c>
      <c r="AT139">
        <f t="shared" si="77"/>
        <v>11.062009221248552</v>
      </c>
      <c r="AU139">
        <f t="shared" si="78"/>
        <v>2.7286435452448567</v>
      </c>
      <c r="AV139">
        <f t="shared" si="79"/>
        <v>0.24233925895998221</v>
      </c>
      <c r="AW139">
        <f t="shared" si="80"/>
        <v>1.0470605735433675E-2</v>
      </c>
      <c r="AX139">
        <f t="shared" si="81"/>
        <v>0.2423392538112342</v>
      </c>
      <c r="AY139">
        <f t="shared" si="82"/>
        <v>5.1487480112744066E-9</v>
      </c>
      <c r="AZ139">
        <f t="shared" si="83"/>
        <v>964852.16359160375</v>
      </c>
      <c r="BA139">
        <f t="shared" si="84"/>
        <v>1.2755060664936237E-5</v>
      </c>
      <c r="BB139" s="15">
        <f t="shared" si="85"/>
        <v>5392314.6447791234</v>
      </c>
      <c r="BC139" s="20">
        <f t="shared" si="86"/>
        <v>8124.8986853733659</v>
      </c>
      <c r="BD139" s="19">
        <f t="shared" si="87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8"/>
        <v>2.8502295699234246E-6</v>
      </c>
      <c r="P140" s="8">
        <f t="shared" si="59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60"/>
        <v>64400.563728724846</v>
      </c>
      <c r="X140">
        <v>3.3207089835678563E-2</v>
      </c>
      <c r="Y140">
        <f t="shared" si="61"/>
        <v>5.4876270913902703</v>
      </c>
      <c r="Z140">
        <f t="shared" si="62"/>
        <v>5.4876271449188492</v>
      </c>
      <c r="AA140">
        <f t="shared" si="63"/>
        <v>-5.3528578902728441E-8</v>
      </c>
      <c r="AB140">
        <f t="shared" si="64"/>
        <v>1.4998702032369333E-5</v>
      </c>
      <c r="AC140">
        <v>725.58266289322194</v>
      </c>
      <c r="AD140">
        <f t="shared" si="65"/>
        <v>2074.5795298419616</v>
      </c>
      <c r="AE140">
        <f>+gettm2(AD140,AC140,AK140,AL140,テーブル2[[#This Row],[Fcorr]])</f>
        <v>567.92336456300836</v>
      </c>
      <c r="AF140" s="14">
        <f t="shared" si="66"/>
        <v>0</v>
      </c>
      <c r="AG140">
        <v>1.5098848155741961E-5</v>
      </c>
      <c r="AH140">
        <f t="shared" si="67"/>
        <v>37.146724736593228</v>
      </c>
      <c r="AI140">
        <f t="shared" si="68"/>
        <v>0.25007359898641984</v>
      </c>
      <c r="AJ140">
        <f t="shared" si="69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70"/>
        <v>1.3019406270656069</v>
      </c>
      <c r="AM140">
        <f t="shared" si="71"/>
        <v>617.97483339387452</v>
      </c>
      <c r="AN140">
        <f t="shared" si="72"/>
        <v>4.114599505555816E-8</v>
      </c>
      <c r="AO140">
        <f t="shared" si="73"/>
        <v>1.0014612337262739E-7</v>
      </c>
      <c r="AP140">
        <v>2.9905204849496538</v>
      </c>
      <c r="AQ140">
        <f t="shared" si="74"/>
        <v>3.740153096682221E-5</v>
      </c>
      <c r="AR140">
        <f t="shared" si="75"/>
        <v>7.599497139557294E-6</v>
      </c>
      <c r="AS140">
        <f t="shared" si="76"/>
        <v>16.551980265425829</v>
      </c>
      <c r="AT140">
        <f t="shared" si="77"/>
        <v>10.982528740826066</v>
      </c>
      <c r="AU140">
        <f t="shared" si="78"/>
        <v>2.7464404881901681</v>
      </c>
      <c r="AV140">
        <f t="shared" si="79"/>
        <v>0.24407999675948577</v>
      </c>
      <c r="AW140">
        <f t="shared" si="80"/>
        <v>1.0187361016720221E-2</v>
      </c>
      <c r="AX140">
        <f t="shared" si="81"/>
        <v>0.24407999053290896</v>
      </c>
      <c r="AY140">
        <f t="shared" si="82"/>
        <v>6.2265768097091723E-9</v>
      </c>
      <c r="AZ140">
        <f t="shared" si="83"/>
        <v>964852.16359160375</v>
      </c>
      <c r="BA140">
        <f t="shared" si="84"/>
        <v>1.2506696126996059E-5</v>
      </c>
      <c r="BB140" s="15">
        <f t="shared" si="85"/>
        <v>4589201.8334892411</v>
      </c>
      <c r="BC140" s="20">
        <f t="shared" si="86"/>
        <v>1507.0092704910785</v>
      </c>
      <c r="BD140" s="19">
        <f t="shared" si="87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8"/>
        <v>2.8502295699234246E-6</v>
      </c>
      <c r="P141" s="8">
        <f t="shared" si="59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60"/>
        <v>64779.390574187935</v>
      </c>
      <c r="X141">
        <v>3.3117894312529747E-2</v>
      </c>
      <c r="Y141">
        <f t="shared" si="61"/>
        <v>5.4950119606918042</v>
      </c>
      <c r="Z141">
        <f t="shared" si="62"/>
        <v>5.4950120000108633</v>
      </c>
      <c r="AA141">
        <f t="shared" si="63"/>
        <v>-3.9319059119691246E-8</v>
      </c>
      <c r="AB141">
        <f t="shared" si="64"/>
        <v>1.4863716064969792E-5</v>
      </c>
      <c r="AC141">
        <v>707.95557526356708</v>
      </c>
      <c r="AD141">
        <f t="shared" si="65"/>
        <v>2083.9784646425678</v>
      </c>
      <c r="AE141">
        <f>+gettm2(AD141,AC141,AK141,AL141,テーブル2[[#This Row],[Fcorr]])</f>
        <v>575.9555066399987</v>
      </c>
      <c r="AF141" s="14">
        <f t="shared" si="66"/>
        <v>1.0795555454023997E-6</v>
      </c>
      <c r="AG141">
        <v>1.4950249454311011E-5</v>
      </c>
      <c r="AH141">
        <f t="shared" si="67"/>
        <v>37.484075541222154</v>
      </c>
      <c r="AI141">
        <f t="shared" si="68"/>
        <v>0.25120656372381184</v>
      </c>
      <c r="AJ141">
        <f t="shared" si="69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0"/>
        <v>1.3019406270656069</v>
      </c>
      <c r="AM141">
        <f t="shared" si="71"/>
        <v>617.97483339716996</v>
      </c>
      <c r="AN141">
        <f t="shared" si="72"/>
        <v>3.7850554690521676E-8</v>
      </c>
      <c r="AO141">
        <f t="shared" si="73"/>
        <v>8.6533389341218573E-8</v>
      </c>
      <c r="AP141">
        <v>2.995834749079509</v>
      </c>
      <c r="AQ141">
        <f t="shared" si="74"/>
        <v>3.7268956682189688E-5</v>
      </c>
      <c r="AR141">
        <f t="shared" si="75"/>
        <v>7.5183914218261146E-6</v>
      </c>
      <c r="AS141">
        <f t="shared" si="76"/>
        <v>16.449517912691903</v>
      </c>
      <c r="AT141">
        <f t="shared" si="77"/>
        <v>10.95148085281304</v>
      </c>
      <c r="AU141">
        <f t="shared" si="78"/>
        <v>2.7510838727222842</v>
      </c>
      <c r="AV141">
        <f t="shared" si="79"/>
        <v>0.24475087635722481</v>
      </c>
      <c r="AW141">
        <f t="shared" si="80"/>
        <v>1.0095676364333462E-2</v>
      </c>
      <c r="AX141">
        <f t="shared" si="81"/>
        <v>0.24475086984109634</v>
      </c>
      <c r="AY141">
        <f t="shared" si="82"/>
        <v>6.516128470135385E-9</v>
      </c>
      <c r="AZ141">
        <f t="shared" si="83"/>
        <v>964852.16359160375</v>
      </c>
      <c r="BA141">
        <f t="shared" si="84"/>
        <v>1.2440257825849986E-5</v>
      </c>
      <c r="BB141" s="15">
        <f t="shared" si="85"/>
        <v>3986575.0750578656</v>
      </c>
      <c r="BC141" s="20">
        <f t="shared" si="86"/>
        <v>9943.6727141155861</v>
      </c>
      <c r="BD141" s="19">
        <f t="shared" si="87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8"/>
        <v>2.8502295699234246E-6</v>
      </c>
      <c r="P142" s="8">
        <f t="shared" si="59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0"/>
        <v>64779.390574187935</v>
      </c>
      <c r="X142">
        <v>3.3117894312529747E-2</v>
      </c>
      <c r="Y142">
        <f t="shared" si="61"/>
        <v>5.4950119606918042</v>
      </c>
      <c r="Z142">
        <f t="shared" si="62"/>
        <v>5.4950120000108633</v>
      </c>
      <c r="AA142">
        <f t="shared" si="63"/>
        <v>-3.9319059119691246E-8</v>
      </c>
      <c r="AB142">
        <f t="shared" si="64"/>
        <v>1.4863716064969792E-5</v>
      </c>
      <c r="AC142">
        <v>709.71482261536221</v>
      </c>
      <c r="AD142">
        <f t="shared" si="65"/>
        <v>2083.9784646425678</v>
      </c>
      <c r="AE142">
        <f>+gettm2(AD142,AC142,AK142,AL142,テーブル2[[#This Row],[Fcorr]])</f>
        <v>575.13541241044652</v>
      </c>
      <c r="AF142" s="14">
        <f t="shared" si="66"/>
        <v>0</v>
      </c>
      <c r="AG142">
        <v>1.495132599444377E-5</v>
      </c>
      <c r="AH142">
        <f t="shared" si="67"/>
        <v>37.484075541222154</v>
      </c>
      <c r="AI142">
        <f t="shared" si="68"/>
        <v>0.25120656372381184</v>
      </c>
      <c r="AJ142">
        <f t="shared" si="69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0"/>
        <v>1.3019406270656069</v>
      </c>
      <c r="AM142">
        <f t="shared" si="71"/>
        <v>617.97483339634493</v>
      </c>
      <c r="AN142">
        <f t="shared" si="72"/>
        <v>3.8675580071867444E-8</v>
      </c>
      <c r="AO142">
        <f t="shared" si="73"/>
        <v>8.7609929473978179E-8</v>
      </c>
      <c r="AP142">
        <v>2.996001002801028</v>
      </c>
      <c r="AQ142">
        <f t="shared" si="74"/>
        <v>3.7264820548174337E-5</v>
      </c>
      <c r="AR142">
        <f t="shared" si="75"/>
        <v>7.5194679619588742E-6</v>
      </c>
      <c r="AS142">
        <f t="shared" si="76"/>
        <v>16.451873279046751</v>
      </c>
      <c r="AT142">
        <f t="shared" si="77"/>
        <v>10.952196739367851</v>
      </c>
      <c r="AU142">
        <f t="shared" si="78"/>
        <v>2.7512637081237346</v>
      </c>
      <c r="AV142">
        <f t="shared" si="79"/>
        <v>0.24473729467729344</v>
      </c>
      <c r="AW142">
        <f t="shared" si="80"/>
        <v>1.0095676364333462E-2</v>
      </c>
      <c r="AX142">
        <f t="shared" si="81"/>
        <v>0.24473728815573706</v>
      </c>
      <c r="AY142">
        <f t="shared" si="82"/>
        <v>6.521556378258353E-9</v>
      </c>
      <c r="AZ142">
        <f t="shared" si="83"/>
        <v>964852.16359160375</v>
      </c>
      <c r="BA142">
        <f t="shared" si="84"/>
        <v>1.2438186940970523E-5</v>
      </c>
      <c r="BB142" s="15">
        <f t="shared" si="85"/>
        <v>4036843.051614196</v>
      </c>
      <c r="BC142" s="20">
        <f t="shared" si="86"/>
        <v>-3704.3663545539603</v>
      </c>
      <c r="BD142" s="19">
        <f t="shared" si="87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8"/>
        <v>2.8502295699234246E-6</v>
      </c>
      <c r="P143" s="8">
        <f t="shared" si="59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60"/>
        <v>64779.390574187935</v>
      </c>
      <c r="X143">
        <v>3.3117894312529747E-2</v>
      </c>
      <c r="Y143">
        <f t="shared" si="61"/>
        <v>5.4950119606918042</v>
      </c>
      <c r="Z143">
        <f t="shared" si="62"/>
        <v>5.4950120000108633</v>
      </c>
      <c r="AA143">
        <f t="shared" si="63"/>
        <v>-3.9319059119691246E-8</v>
      </c>
      <c r="AB143">
        <f t="shared" si="64"/>
        <v>1.4863716064969792E-5</v>
      </c>
      <c r="AC143">
        <v>721.83828906281917</v>
      </c>
      <c r="AD143">
        <f t="shared" si="65"/>
        <v>2083.9784646425678</v>
      </c>
      <c r="AE143">
        <f>+gettm2(AD143,AC143,AK143,AL143,テーブル2[[#This Row],[Fcorr]])</f>
        <v>569.48950969961129</v>
      </c>
      <c r="AF143" s="14">
        <f t="shared" si="66"/>
        <v>1.2183828630440985E-6</v>
      </c>
      <c r="AG143">
        <v>1.496144984130562E-5</v>
      </c>
      <c r="AH143">
        <f t="shared" si="67"/>
        <v>37.484075541222154</v>
      </c>
      <c r="AI143">
        <f t="shared" si="68"/>
        <v>0.25120656372381184</v>
      </c>
      <c r="AJ143">
        <f t="shared" si="69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70"/>
        <v>1.3019406270656069</v>
      </c>
      <c r="AM143">
        <f t="shared" si="71"/>
        <v>617.97483339039434</v>
      </c>
      <c r="AN143">
        <f t="shared" si="72"/>
        <v>4.462617653189227E-8</v>
      </c>
      <c r="AO143">
        <f t="shared" si="73"/>
        <v>9.7733776335827866E-8</v>
      </c>
      <c r="AP143">
        <v>2.9975633672561228</v>
      </c>
      <c r="AQ143">
        <f t="shared" si="74"/>
        <v>3.7225984966649275E-5</v>
      </c>
      <c r="AR143">
        <f t="shared" si="75"/>
        <v>7.5295918088207239E-6</v>
      </c>
      <c r="AS143">
        <f t="shared" si="76"/>
        <v>16.474023283077653</v>
      </c>
      <c r="AT143">
        <f t="shared" si="77"/>
        <v>10.958923969203637</v>
      </c>
      <c r="AU143">
        <f t="shared" si="78"/>
        <v>2.7529536324141626</v>
      </c>
      <c r="AV143">
        <f t="shared" si="79"/>
        <v>0.24460973484196025</v>
      </c>
      <c r="AW143">
        <f t="shared" si="80"/>
        <v>1.0095676364333462E-2</v>
      </c>
      <c r="AX143">
        <f t="shared" si="81"/>
        <v>0.24460972827025554</v>
      </c>
      <c r="AY143">
        <f t="shared" si="82"/>
        <v>6.5717047081914615E-9</v>
      </c>
      <c r="AZ143">
        <f t="shared" si="83"/>
        <v>964852.16359160375</v>
      </c>
      <c r="BA143">
        <f t="shared" si="84"/>
        <v>1.241874829846376E-5</v>
      </c>
      <c r="BB143" s="15">
        <f t="shared" si="85"/>
        <v>4510373.1035318328</v>
      </c>
      <c r="BC143" s="20">
        <f t="shared" si="86"/>
        <v>33638.669938082807</v>
      </c>
      <c r="BD143" s="19">
        <f t="shared" si="87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8"/>
        <v>2.8502295699234246E-6</v>
      </c>
      <c r="P144" s="8">
        <f t="shared" si="59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0"/>
        <v>80311.291238174526</v>
      </c>
      <c r="X144">
        <v>3.007705250927251E-2</v>
      </c>
      <c r="Y144">
        <f t="shared" si="61"/>
        <v>5.766102562650592</v>
      </c>
      <c r="Z144">
        <f t="shared" si="62"/>
        <v>5.7661025972645295</v>
      </c>
      <c r="AA144">
        <f t="shared" si="63"/>
        <v>-3.4613937494043512E-8</v>
      </c>
      <c r="AB144">
        <f t="shared" si="64"/>
        <v>1.0648178955476381E-5</v>
      </c>
      <c r="AC144">
        <v>705.99038471433153</v>
      </c>
      <c r="AD144">
        <f t="shared" si="65"/>
        <v>2462.1769220775036</v>
      </c>
      <c r="AE144">
        <f>+gettm2(AD144,AC144,AK144,AL144,テーブル2[[#This Row],[Fcorr]])</f>
        <v>569.5726847829585</v>
      </c>
      <c r="AF144" s="14">
        <f t="shared" si="66"/>
        <v>1.0599037523206789E-6</v>
      </c>
      <c r="AG144">
        <v>1.072608329483176E-5</v>
      </c>
      <c r="AH144">
        <f t="shared" si="67"/>
        <v>52.32375020482354</v>
      </c>
      <c r="AI144">
        <f t="shared" si="68"/>
        <v>0.29679529533010102</v>
      </c>
      <c r="AJ144">
        <f t="shared" si="69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0"/>
        <v>1.3019406270656069</v>
      </c>
      <c r="AM144">
        <f t="shared" si="71"/>
        <v>617.97483342096871</v>
      </c>
      <c r="AN144">
        <f t="shared" si="72"/>
        <v>1.4051806829229463E-8</v>
      </c>
      <c r="AO144">
        <f t="shared" si="73"/>
        <v>7.7904339355378913E-8</v>
      </c>
      <c r="AP144">
        <v>3.2720082532854802</v>
      </c>
      <c r="AQ144">
        <f t="shared" si="74"/>
        <v>3.1243103106385787E-5</v>
      </c>
      <c r="AR144">
        <f t="shared" si="75"/>
        <v>5.4019938170935692E-6</v>
      </c>
      <c r="AS144">
        <f t="shared" si="76"/>
        <v>13.96395224110567</v>
      </c>
      <c r="AT144">
        <f t="shared" si="77"/>
        <v>10.132395845463446</v>
      </c>
      <c r="AU144">
        <f t="shared" si="78"/>
        <v>3.0072474173558121</v>
      </c>
      <c r="AV144">
        <f t="shared" si="79"/>
        <v>0.26476083592966804</v>
      </c>
      <c r="AW144">
        <f t="shared" si="80"/>
        <v>7.2324153754086363E-3</v>
      </c>
      <c r="AX144">
        <f t="shared" si="81"/>
        <v>0.2647608319023802</v>
      </c>
      <c r="AY144">
        <f t="shared" si="82"/>
        <v>4.0272878365499309E-9</v>
      </c>
      <c r="AZ144">
        <f t="shared" si="83"/>
        <v>964852.16359160375</v>
      </c>
      <c r="BA144">
        <f t="shared" si="84"/>
        <v>9.5486015583897278E-6</v>
      </c>
      <c r="BB144" s="15">
        <f t="shared" si="85"/>
        <v>4675924.5119666252</v>
      </c>
      <c r="BC144" s="20">
        <f t="shared" si="86"/>
        <v>-37469.070064624771</v>
      </c>
      <c r="BD144" s="19">
        <f t="shared" si="87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8"/>
        <v>2.8502295699234246E-6</v>
      </c>
      <c r="P145" s="8">
        <f t="shared" si="59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0"/>
        <v>81826.598620026867</v>
      </c>
      <c r="X145">
        <v>2.9832242040537481E-2</v>
      </c>
      <c r="Y145">
        <f t="shared" si="61"/>
        <v>5.7897132269993108</v>
      </c>
      <c r="Z145">
        <f t="shared" si="62"/>
        <v>5.7897132518930503</v>
      </c>
      <c r="AA145">
        <f t="shared" si="63"/>
        <v>-2.4893739514197932E-8</v>
      </c>
      <c r="AB145">
        <f t="shared" si="64"/>
        <v>1.0341628698207303E-5</v>
      </c>
      <c r="AC145">
        <v>678.80558435211685</v>
      </c>
      <c r="AD145">
        <f t="shared" si="65"/>
        <v>2498.4027920342492</v>
      </c>
      <c r="AE145">
        <f>+gettm2(AD145,AC145,AK145,AL145,テーブル2[[#This Row],[Fcorr]])</f>
        <v>583.88475389804012</v>
      </c>
      <c r="AF145" s="14">
        <f t="shared" si="66"/>
        <v>0</v>
      </c>
      <c r="AG145">
        <v>1.0399852669285069E-5</v>
      </c>
      <c r="AH145">
        <f t="shared" si="67"/>
        <v>53.874749525593217</v>
      </c>
      <c r="AI145">
        <f t="shared" si="68"/>
        <v>0.30116202774319267</v>
      </c>
      <c r="AJ145">
        <f t="shared" si="69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0"/>
        <v>1.3019406270656069</v>
      </c>
      <c r="AM145">
        <f t="shared" si="71"/>
        <v>617.97483343461909</v>
      </c>
      <c r="AN145">
        <f t="shared" si="72"/>
        <v>4.014282239950262E-10</v>
      </c>
      <c r="AO145">
        <f t="shared" si="73"/>
        <v>5.8223971077766472E-8</v>
      </c>
      <c r="AP145">
        <v>3.2915476613267729</v>
      </c>
      <c r="AQ145">
        <f t="shared" si="74"/>
        <v>3.08732711305876E-5</v>
      </c>
      <c r="AR145">
        <f t="shared" si="75"/>
        <v>5.2290383201814179E-6</v>
      </c>
      <c r="AS145">
        <f t="shared" si="76"/>
        <v>13.715741668026597</v>
      </c>
      <c r="AT145">
        <f t="shared" si="77"/>
        <v>10.042721000356027</v>
      </c>
      <c r="AU145">
        <f t="shared" si="78"/>
        <v>3.0244862205263652</v>
      </c>
      <c r="AV145">
        <f t="shared" si="79"/>
        <v>0.26706144080040772</v>
      </c>
      <c r="AW145">
        <f t="shared" si="80"/>
        <v>7.0242014823778389E-3</v>
      </c>
      <c r="AX145">
        <f t="shared" si="81"/>
        <v>0.26706143585063419</v>
      </c>
      <c r="AY145">
        <f t="shared" si="82"/>
        <v>4.9497735354897543E-9</v>
      </c>
      <c r="AZ145">
        <f t="shared" si="83"/>
        <v>964852.16359160375</v>
      </c>
      <c r="BA145">
        <f t="shared" si="84"/>
        <v>9.3795607134374756E-6</v>
      </c>
      <c r="BB145" s="15">
        <f t="shared" si="85"/>
        <v>3557664.0679743527</v>
      </c>
      <c r="BC145" s="20">
        <f t="shared" si="86"/>
        <v>13058.247818102594</v>
      </c>
      <c r="BD145" s="19">
        <f t="shared" si="87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8"/>
        <v>2.8502295699234246E-6</v>
      </c>
      <c r="P146" s="8">
        <f t="shared" si="59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0"/>
        <v>82584.252310953045</v>
      </c>
      <c r="X146">
        <v>2.9712616755100299E-2</v>
      </c>
      <c r="Y146">
        <f t="shared" si="61"/>
        <v>5.8013564355317948</v>
      </c>
      <c r="Z146">
        <f t="shared" si="62"/>
        <v>5.8013564559704935</v>
      </c>
      <c r="AA146">
        <f t="shared" si="63"/>
        <v>-2.0438698733471483E-8</v>
      </c>
      <c r="AB146">
        <f t="shared" si="64"/>
        <v>1.0193620209276483E-5</v>
      </c>
      <c r="AC146">
        <v>675.14618475048269</v>
      </c>
      <c r="AD146">
        <f t="shared" si="65"/>
        <v>2516.4754776415803</v>
      </c>
      <c r="AE146">
        <f>+gettm2(AD146,AC146,AK146,AL146,テーブル2[[#This Row],[Fcorr]])</f>
        <v>585.65546869276977</v>
      </c>
      <c r="AF146" s="14">
        <f t="shared" si="66"/>
        <v>0</v>
      </c>
      <c r="AG146">
        <v>1.0248915798472461E-5</v>
      </c>
      <c r="AH146">
        <f t="shared" si="67"/>
        <v>54.656995685946825</v>
      </c>
      <c r="AI146">
        <f t="shared" si="68"/>
        <v>0.30334054221716883</v>
      </c>
      <c r="AJ146">
        <f t="shared" si="69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0"/>
        <v>1.3019406270656069</v>
      </c>
      <c r="AM146">
        <f t="shared" si="71"/>
        <v>617.97483343260865</v>
      </c>
      <c r="AN146">
        <f t="shared" si="72"/>
        <v>2.4118662622640841E-9</v>
      </c>
      <c r="AO146">
        <f t="shared" si="73"/>
        <v>5.5295589195978131E-8</v>
      </c>
      <c r="AP146">
        <v>3.3028858052805461</v>
      </c>
      <c r="AQ146">
        <f t="shared" si="74"/>
        <v>3.0661671459949148E-5</v>
      </c>
      <c r="AR146">
        <f t="shared" si="75"/>
        <v>5.1521056938342194E-6</v>
      </c>
      <c r="AS146">
        <f t="shared" si="76"/>
        <v>13.611703555644485</v>
      </c>
      <c r="AT146">
        <f t="shared" si="77"/>
        <v>10.00464989119228</v>
      </c>
      <c r="AU146">
        <f t="shared" si="78"/>
        <v>3.0348159226872053</v>
      </c>
      <c r="AV146">
        <f t="shared" si="79"/>
        <v>0.26806988259334075</v>
      </c>
      <c r="AW146">
        <f t="shared" si="80"/>
        <v>6.9236717227344098E-3</v>
      </c>
      <c r="AX146">
        <f t="shared" si="81"/>
        <v>0.26806987709591751</v>
      </c>
      <c r="AY146">
        <f t="shared" si="82"/>
        <v>5.4974232388538269E-9</v>
      </c>
      <c r="AZ146">
        <f t="shared" si="83"/>
        <v>964852.16359160375</v>
      </c>
      <c r="BA146">
        <f t="shared" si="84"/>
        <v>9.2832974760823607E-6</v>
      </c>
      <c r="BB146" s="15">
        <f t="shared" si="85"/>
        <v>3413766.6910962756</v>
      </c>
      <c r="BC146" s="20">
        <f t="shared" si="86"/>
        <v>14678.702815025579</v>
      </c>
      <c r="BD146" s="19">
        <f t="shared" si="87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8"/>
        <v>2.8502295699234246E-6</v>
      </c>
      <c r="P147" s="8">
        <f t="shared" si="59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0"/>
        <v>83341.906001879222</v>
      </c>
      <c r="X147">
        <v>2.9594784018131641E-2</v>
      </c>
      <c r="Y147">
        <f t="shared" si="61"/>
        <v>5.8128941210789371</v>
      </c>
      <c r="Z147">
        <f t="shared" si="62"/>
        <v>5.8128941374986907</v>
      </c>
      <c r="AA147">
        <f t="shared" si="63"/>
        <v>-1.6419753556817795E-8</v>
      </c>
      <c r="AB147">
        <f t="shared" si="64"/>
        <v>1.0048975809118475E-5</v>
      </c>
      <c r="AC147">
        <v>708.70983593068502</v>
      </c>
      <c r="AD147">
        <f t="shared" si="65"/>
        <v>2534.5217744995784</v>
      </c>
      <c r="AE147">
        <f>+gettm2(AD147,AC147,AK147,AL147,テーブル2[[#This Row],[Fcorr]])</f>
        <v>566.36166494885958</v>
      </c>
      <c r="AF147" s="14">
        <f t="shared" si="66"/>
        <v>1.0870980986510403E-6</v>
      </c>
      <c r="AG147">
        <v>1.012819253051503E-5</v>
      </c>
      <c r="AH147">
        <f t="shared" si="67"/>
        <v>55.443725448820643</v>
      </c>
      <c r="AI147">
        <f t="shared" si="68"/>
        <v>0.30551587574318734</v>
      </c>
      <c r="AJ147">
        <f t="shared" si="69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70"/>
        <v>1.3019406270656069</v>
      </c>
      <c r="AM147">
        <f t="shared" si="71"/>
        <v>617.97483343479962</v>
      </c>
      <c r="AN147">
        <f t="shared" si="72"/>
        <v>2.2089352569309995E-10</v>
      </c>
      <c r="AO147">
        <f t="shared" si="73"/>
        <v>7.9216721396554575E-8</v>
      </c>
      <c r="AP147">
        <v>3.3215514313724772</v>
      </c>
      <c r="AQ147">
        <f t="shared" si="74"/>
        <v>3.0318030111609576E-5</v>
      </c>
      <c r="AR147">
        <f t="shared" si="75"/>
        <v>5.1037046259557921E-6</v>
      </c>
      <c r="AS147">
        <f t="shared" si="76"/>
        <v>13.580525464671055</v>
      </c>
      <c r="AT147">
        <f t="shared" si="77"/>
        <v>9.993184076965397</v>
      </c>
      <c r="AU147">
        <f t="shared" si="78"/>
        <v>3.0530763847369586</v>
      </c>
      <c r="AV147">
        <f t="shared" si="79"/>
        <v>0.26847504663551858</v>
      </c>
      <c r="AW147">
        <f t="shared" si="80"/>
        <v>6.8254269065978895E-3</v>
      </c>
      <c r="AX147">
        <f t="shared" si="81"/>
        <v>0.26847504032108882</v>
      </c>
      <c r="AY147">
        <f t="shared" si="82"/>
        <v>6.3144297568484831E-9</v>
      </c>
      <c r="AZ147">
        <f t="shared" si="83"/>
        <v>964852.16359160375</v>
      </c>
      <c r="BA147">
        <f t="shared" si="84"/>
        <v>9.1276714324673449E-6</v>
      </c>
      <c r="BB147" s="15">
        <f t="shared" si="85"/>
        <v>4973962.1873237807</v>
      </c>
      <c r="BC147" s="20">
        <f t="shared" si="86"/>
        <v>-28436.73845746927</v>
      </c>
      <c r="BD147" s="19">
        <f t="shared" si="87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8"/>
        <v>2.8502295699234246E-6</v>
      </c>
      <c r="P148" s="8">
        <f t="shared" si="59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0"/>
        <v>83720.732847342311</v>
      </c>
      <c r="X148">
        <v>2.9536526159325539E-2</v>
      </c>
      <c r="Y148">
        <f t="shared" si="61"/>
        <v>5.8186239746990411</v>
      </c>
      <c r="Z148">
        <f t="shared" si="62"/>
        <v>5.8186239892910878</v>
      </c>
      <c r="AA148">
        <f t="shared" si="63"/>
        <v>-1.4592046682082582E-8</v>
      </c>
      <c r="AB148">
        <f t="shared" si="64"/>
        <v>9.9778822390283174E-6</v>
      </c>
      <c r="AC148">
        <v>709.86129122428724</v>
      </c>
      <c r="AD148">
        <f t="shared" si="65"/>
        <v>2543.5351287382805</v>
      </c>
      <c r="AE148">
        <f>+gettm2(AD148,AC148,AK148,AL148,テーブル2[[#This Row],[Fcorr]])</f>
        <v>565.49788448625657</v>
      </c>
      <c r="AF148" s="14">
        <f t="shared" si="66"/>
        <v>1.0986128700096742E-6</v>
      </c>
      <c r="AG148">
        <v>1.005861786816685E-5</v>
      </c>
      <c r="AH148">
        <f t="shared" si="67"/>
        <v>55.838768433577201</v>
      </c>
      <c r="AI148">
        <f t="shared" si="68"/>
        <v>0.30660236189664103</v>
      </c>
      <c r="AJ148">
        <f t="shared" si="69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0"/>
        <v>1.3019406270656069</v>
      </c>
      <c r="AM148">
        <f t="shared" si="71"/>
        <v>617.97483343411091</v>
      </c>
      <c r="AN148">
        <f t="shared" si="72"/>
        <v>9.0960838861064985E-10</v>
      </c>
      <c r="AO148">
        <f t="shared" si="73"/>
        <v>8.073562913853255E-8</v>
      </c>
      <c r="AP148">
        <v>3.3280262779848999</v>
      </c>
      <c r="AQ148">
        <f t="shared" si="74"/>
        <v>3.0200174290873562E-5</v>
      </c>
      <c r="AR148">
        <f t="shared" si="75"/>
        <v>5.0696767486526913E-6</v>
      </c>
      <c r="AS148">
        <f t="shared" si="76"/>
        <v>13.537953702410281</v>
      </c>
      <c r="AT148">
        <f t="shared" si="77"/>
        <v>9.9774856312782596</v>
      </c>
      <c r="AU148">
        <f t="shared" si="78"/>
        <v>3.0591206603397127</v>
      </c>
      <c r="AV148">
        <f t="shared" si="79"/>
        <v>0.26890561764518717</v>
      </c>
      <c r="AW148">
        <f t="shared" si="80"/>
        <v>6.7771390038905161E-3</v>
      </c>
      <c r="AX148">
        <f t="shared" si="81"/>
        <v>0.26890561101057903</v>
      </c>
      <c r="AY148">
        <f t="shared" si="82"/>
        <v>6.6346081406543078E-9</v>
      </c>
      <c r="AZ148">
        <f t="shared" si="83"/>
        <v>964852.16359160375</v>
      </c>
      <c r="BA148">
        <f t="shared" si="84"/>
        <v>9.0744999493091702E-6</v>
      </c>
      <c r="BB148" s="15">
        <f t="shared" si="85"/>
        <v>5099036.7873276975</v>
      </c>
      <c r="BC148" s="20">
        <f t="shared" si="86"/>
        <v>22956.025608947501</v>
      </c>
      <c r="BD148" s="19">
        <f t="shared" si="87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8"/>
        <v>2.8502295699234246E-6</v>
      </c>
      <c r="P149" s="8">
        <f t="shared" si="59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0"/>
        <v>84478.386538268489</v>
      </c>
      <c r="X149">
        <v>2.9421300873239079E-2</v>
      </c>
      <c r="Y149">
        <f t="shared" si="61"/>
        <v>5.8300068407870205</v>
      </c>
      <c r="Z149">
        <f t="shared" si="62"/>
        <v>5.8300068521006256</v>
      </c>
      <c r="AA149">
        <f t="shared" si="63"/>
        <v>-1.1313605163820739E-8</v>
      </c>
      <c r="AB149">
        <f t="shared" si="64"/>
        <v>9.8380888363249655E-6</v>
      </c>
      <c r="AC149">
        <v>746.92101927760314</v>
      </c>
      <c r="AD149">
        <f t="shared" si="65"/>
        <v>2561.542448243682</v>
      </c>
      <c r="AE149">
        <f>+gettm2(AD149,AC149,AK149,AL149,テーブル2[[#This Row],[Fcorr]])</f>
        <v>543.89441153484836</v>
      </c>
      <c r="AF149" s="14">
        <f t="shared" si="66"/>
        <v>1.4692101331092999E-6</v>
      </c>
      <c r="AG149">
        <v>9.9435833207945902E-6</v>
      </c>
      <c r="AH149">
        <f t="shared" si="67"/>
        <v>56.632204188423465</v>
      </c>
      <c r="AI149">
        <f t="shared" si="68"/>
        <v>0.3087729970215124</v>
      </c>
      <c r="AJ149">
        <f t="shared" si="69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0"/>
        <v>1.3019406270656069</v>
      </c>
      <c r="AM149">
        <f t="shared" si="71"/>
        <v>617.97483343617807</v>
      </c>
      <c r="AN149">
        <f t="shared" si="72"/>
        <v>-1.1575593816814944E-9</v>
      </c>
      <c r="AO149">
        <f t="shared" si="73"/>
        <v>1.054944844696247E-7</v>
      </c>
      <c r="AP149">
        <v>3.3471263183201452</v>
      </c>
      <c r="AQ149">
        <f t="shared" si="74"/>
        <v>2.9856489173134122E-5</v>
      </c>
      <c r="AR149">
        <f t="shared" si="75"/>
        <v>5.0245389026321074E-6</v>
      </c>
      <c r="AS149">
        <f t="shared" si="76"/>
        <v>13.512409114901702</v>
      </c>
      <c r="AT149">
        <f t="shared" si="77"/>
        <v>9.9680422847049144</v>
      </c>
      <c r="AU149">
        <f t="shared" si="78"/>
        <v>3.0778622906855002</v>
      </c>
      <c r="AV149">
        <f t="shared" si="79"/>
        <v>0.26926402763464496</v>
      </c>
      <c r="AW149">
        <f t="shared" si="80"/>
        <v>6.682189063687601E-3</v>
      </c>
      <c r="AX149">
        <f t="shared" si="81"/>
        <v>0.26926402014870021</v>
      </c>
      <c r="AY149">
        <f t="shared" si="82"/>
        <v>7.4859447529718182E-9</v>
      </c>
      <c r="AZ149">
        <f t="shared" si="83"/>
        <v>964852.16359160375</v>
      </c>
      <c r="BA149">
        <f t="shared" si="84"/>
        <v>8.9200365727811815E-6</v>
      </c>
      <c r="BB149" s="15">
        <f t="shared" si="85"/>
        <v>6778111.8795138942</v>
      </c>
      <c r="BC149" s="20">
        <f t="shared" si="86"/>
        <v>-11530.210329855792</v>
      </c>
      <c r="BD149" s="19">
        <f t="shared" si="87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8"/>
        <v>2.8502295699234246E-6</v>
      </c>
      <c r="P150" s="8">
        <f t="shared" si="59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0"/>
        <v>84478.386538268489</v>
      </c>
      <c r="X150">
        <v>2.9421300873239079E-2</v>
      </c>
      <c r="Y150">
        <f t="shared" si="61"/>
        <v>5.8300068407870205</v>
      </c>
      <c r="Z150">
        <f t="shared" si="62"/>
        <v>5.8300068521006256</v>
      </c>
      <c r="AA150">
        <f t="shared" si="63"/>
        <v>-1.1313605163820739E-8</v>
      </c>
      <c r="AB150">
        <f t="shared" si="64"/>
        <v>9.8380888363249655E-6</v>
      </c>
      <c r="AC150">
        <v>745.90025500633055</v>
      </c>
      <c r="AD150">
        <f t="shared" si="65"/>
        <v>2561.542448243682</v>
      </c>
      <c r="AE150">
        <f>+gettm2(AD150,AC150,AK150,AL150,テーブル2[[#This Row],[Fcorr]])</f>
        <v>544.47615343759674</v>
      </c>
      <c r="AF150" s="14">
        <f t="shared" si="66"/>
        <v>0</v>
      </c>
      <c r="AG150">
        <v>9.9428744009127979E-6</v>
      </c>
      <c r="AH150">
        <f t="shared" si="67"/>
        <v>56.632204188423465</v>
      </c>
      <c r="AI150">
        <f t="shared" si="68"/>
        <v>0.3087729970215124</v>
      </c>
      <c r="AJ150">
        <f t="shared" si="69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0"/>
        <v>1.3019406270656069</v>
      </c>
      <c r="AM150">
        <f t="shared" si="71"/>
        <v>617.97483343622616</v>
      </c>
      <c r="AN150">
        <f t="shared" si="72"/>
        <v>-1.205648914037738E-9</v>
      </c>
      <c r="AO150">
        <f t="shared" si="73"/>
        <v>1.0478556458783237E-7</v>
      </c>
      <c r="AP150">
        <v>3.3469246973187352</v>
      </c>
      <c r="AQ150">
        <f t="shared" si="74"/>
        <v>2.986008643157602E-5</v>
      </c>
      <c r="AR150">
        <f t="shared" si="75"/>
        <v>5.0238299827503151E-6</v>
      </c>
      <c r="AS150">
        <f t="shared" si="76"/>
        <v>13.510502628424417</v>
      </c>
      <c r="AT150">
        <f t="shared" si="77"/>
        <v>9.9673367772827106</v>
      </c>
      <c r="AU150">
        <f t="shared" si="78"/>
        <v>3.0776444490443255</v>
      </c>
      <c r="AV150">
        <f t="shared" si="79"/>
        <v>0.26928024827440966</v>
      </c>
      <c r="AW150">
        <f t="shared" si="80"/>
        <v>6.682189063687601E-3</v>
      </c>
      <c r="AX150">
        <f t="shared" si="81"/>
        <v>0.26928024079490409</v>
      </c>
      <c r="AY150">
        <f t="shared" si="82"/>
        <v>7.4795055704512947E-9</v>
      </c>
      <c r="AZ150">
        <f t="shared" si="83"/>
        <v>964852.16359160375</v>
      </c>
      <c r="BA150">
        <f t="shared" si="84"/>
        <v>8.9216487169541999E-6</v>
      </c>
      <c r="BB150" s="15">
        <f t="shared" si="85"/>
        <v>6731346.5880341148</v>
      </c>
      <c r="BC150" s="20">
        <f t="shared" si="86"/>
        <v>-13013.7635283852</v>
      </c>
      <c r="BD150" s="19">
        <f t="shared" si="87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8"/>
        <v>2.8502295699234246E-6</v>
      </c>
      <c r="P151" s="8">
        <f t="shared" si="59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0"/>
        <v>99252.633511328895</v>
      </c>
      <c r="X151">
        <v>2.7468199435430069E-2</v>
      </c>
      <c r="Y151">
        <f t="shared" si="61"/>
        <v>6.0337165478324737</v>
      </c>
      <c r="Z151">
        <f t="shared" si="62"/>
        <v>6.0337165682810801</v>
      </c>
      <c r="AA151">
        <f t="shared" si="63"/>
        <v>-2.0448606363743238E-8</v>
      </c>
      <c r="AB151">
        <f t="shared" si="64"/>
        <v>7.6339544209671053E-6</v>
      </c>
      <c r="AC151">
        <v>667.8142841403901</v>
      </c>
      <c r="AD151">
        <f t="shared" si="65"/>
        <v>2907.9179329237704</v>
      </c>
      <c r="AE151">
        <f>+gettm2(AD151,AC151,AK151,AL151,テーブル2[[#This Row],[Fcorr]])</f>
        <v>584.76531175250659</v>
      </c>
      <c r="AF151" s="14">
        <f t="shared" si="66"/>
        <v>6.7814278281730367E-7</v>
      </c>
      <c r="AG151">
        <v>7.6808897476370321E-6</v>
      </c>
      <c r="AH151">
        <f t="shared" si="67"/>
        <v>72.983492575270361</v>
      </c>
      <c r="AI151">
        <f t="shared" si="68"/>
        <v>0.3505257294709711</v>
      </c>
      <c r="AJ151">
        <f t="shared" si="69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70"/>
        <v>1.3019406270656069</v>
      </c>
      <c r="AM151">
        <f t="shared" si="71"/>
        <v>617.97483340313624</v>
      </c>
      <c r="AN151">
        <f t="shared" si="72"/>
        <v>3.1884269446891267E-8</v>
      </c>
      <c r="AO151">
        <f t="shared" si="73"/>
        <v>4.6935326669926783E-8</v>
      </c>
      <c r="AP151">
        <v>3.5446445559082989</v>
      </c>
      <c r="AQ151">
        <f t="shared" si="74"/>
        <v>2.6621808710776569E-5</v>
      </c>
      <c r="AR151">
        <f t="shared" si="75"/>
        <v>3.8639125371534794E-6</v>
      </c>
      <c r="AS151">
        <f t="shared" si="76"/>
        <v>11.796263053057835</v>
      </c>
      <c r="AT151">
        <f t="shared" si="77"/>
        <v>9.2889139544789572</v>
      </c>
      <c r="AU151">
        <f t="shared" si="78"/>
        <v>3.2560033398868193</v>
      </c>
      <c r="AV151">
        <f t="shared" si="79"/>
        <v>0.28864121602147952</v>
      </c>
      <c r="AW151">
        <f t="shared" si="80"/>
        <v>5.185105318029579E-3</v>
      </c>
      <c r="AX151">
        <f t="shared" si="81"/>
        <v>0.28864120212984018</v>
      </c>
      <c r="AY151">
        <f t="shared" si="82"/>
        <v>1.3891639338847739E-8</v>
      </c>
      <c r="AZ151">
        <f t="shared" si="83"/>
        <v>964852.16359160375</v>
      </c>
      <c r="BA151">
        <f t="shared" si="84"/>
        <v>7.5104310998976461E-6</v>
      </c>
      <c r="BB151" s="15">
        <f t="shared" si="85"/>
        <v>3581628.9560783198</v>
      </c>
      <c r="BC151" s="20">
        <f t="shared" si="86"/>
        <v>-31679.26657793019</v>
      </c>
      <c r="BD151" s="19">
        <f t="shared" si="87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183" si="88">PI()*Q152^2/4</f>
        <v>2.8502295699234246E-6</v>
      </c>
      <c r="P152" s="8">
        <f t="shared" ref="P152:P183" si="89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60"/>
        <v>102662.07512049668</v>
      </c>
      <c r="X152">
        <v>2.708359145704433E-2</v>
      </c>
      <c r="Y152">
        <f t="shared" si="61"/>
        <v>6.0764072462979852</v>
      </c>
      <c r="Z152">
        <f t="shared" si="62"/>
        <v>6.0764072546537502</v>
      </c>
      <c r="AA152">
        <f t="shared" si="63"/>
        <v>-8.3557649688259517E-9</v>
      </c>
      <c r="AB152">
        <f t="shared" si="64"/>
        <v>7.2366488824017176E-6</v>
      </c>
      <c r="AC152">
        <v>672.75768533763062</v>
      </c>
      <c r="AD152">
        <f t="shared" si="65"/>
        <v>2986.6764416017722</v>
      </c>
      <c r="AE152">
        <f>+gettm2(AD152,AC152,AK152,AL152,テーブル2[[#This Row],[Fcorr]])</f>
        <v>580.40923413832365</v>
      </c>
      <c r="AF152" s="14">
        <f t="shared" si="66"/>
        <v>0</v>
      </c>
      <c r="AG152">
        <v>7.2876711654072331E-6</v>
      </c>
      <c r="AH152">
        <f t="shared" si="67"/>
        <v>76.990422619163439</v>
      </c>
      <c r="AI152">
        <f t="shared" si="68"/>
        <v>0.36001942370279044</v>
      </c>
      <c r="AJ152">
        <f t="shared" si="69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70"/>
        <v>1.3019406270656069</v>
      </c>
      <c r="AM152">
        <f t="shared" si="71"/>
        <v>617.9748334212976</v>
      </c>
      <c r="AN152">
        <f t="shared" si="72"/>
        <v>1.3722910807700828E-8</v>
      </c>
      <c r="AO152">
        <f t="shared" si="73"/>
        <v>5.1022283005515521E-8</v>
      </c>
      <c r="AP152">
        <v>3.591852487816217</v>
      </c>
      <c r="AQ152">
        <f t="shared" si="74"/>
        <v>2.5926623316764372E-5</v>
      </c>
      <c r="AR152">
        <f t="shared" si="75"/>
        <v>3.6693467242063743E-6</v>
      </c>
      <c r="AS152">
        <f t="shared" si="76"/>
        <v>11.505670779271197</v>
      </c>
      <c r="AT152">
        <f t="shared" si="77"/>
        <v>9.1642001253539185</v>
      </c>
      <c r="AU152">
        <f t="shared" si="78"/>
        <v>3.2992900478269576</v>
      </c>
      <c r="AV152">
        <f t="shared" si="79"/>
        <v>0.29256243998925946</v>
      </c>
      <c r="AW152">
        <f t="shared" si="80"/>
        <v>4.9152489700220649E-3</v>
      </c>
      <c r="AX152">
        <f t="shared" si="81"/>
        <v>0.29256243024165468</v>
      </c>
      <c r="AY152">
        <f t="shared" si="82"/>
        <v>9.7476047788980225E-9</v>
      </c>
      <c r="AZ152">
        <f t="shared" si="83"/>
        <v>964852.16359160375</v>
      </c>
      <c r="BA152">
        <f t="shared" si="84"/>
        <v>7.2181759703966304E-6</v>
      </c>
      <c r="BB152" s="15">
        <f t="shared" si="85"/>
        <v>4051147.3124386272</v>
      </c>
      <c r="BC152" s="20">
        <f t="shared" si="86"/>
        <v>22220.988219877239</v>
      </c>
      <c r="BD152" s="19">
        <f t="shared" si="87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8"/>
        <v>2.8502295699234246E-6</v>
      </c>
      <c r="P153" s="8">
        <f t="shared" si="89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60"/>
        <v>104556.20934781212</v>
      </c>
      <c r="X153">
        <v>2.6878779410128451E-2</v>
      </c>
      <c r="Y153">
        <f t="shared" si="61"/>
        <v>6.0995139434554897</v>
      </c>
      <c r="Z153">
        <f t="shared" si="62"/>
        <v>6.0995139494937094</v>
      </c>
      <c r="AA153">
        <f t="shared" si="63"/>
        <v>-6.0382197020203421E-9</v>
      </c>
      <c r="AB153">
        <f t="shared" si="64"/>
        <v>7.0299887495018681E-6</v>
      </c>
      <c r="AC153">
        <v>675.83911673614705</v>
      </c>
      <c r="AD153">
        <f t="shared" si="65"/>
        <v>3030.2580390165544</v>
      </c>
      <c r="AE153">
        <f>+gettm2(AD153,AC153,AK153,AL153,テーブル2[[#This Row],[Fcorr]])</f>
        <v>577.67736985044371</v>
      </c>
      <c r="AF153" s="14">
        <f t="shared" si="66"/>
        <v>0</v>
      </c>
      <c r="AG153">
        <v>7.0826251157525323E-6</v>
      </c>
      <c r="AH153">
        <f t="shared" si="67"/>
        <v>79.253705184390782</v>
      </c>
      <c r="AI153">
        <f t="shared" si="68"/>
        <v>0.36527282891494062</v>
      </c>
      <c r="AJ153">
        <f t="shared" si="69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70"/>
        <v>1.3019406270656069</v>
      </c>
      <c r="AM153">
        <f t="shared" si="71"/>
        <v>617.97483338798406</v>
      </c>
      <c r="AN153">
        <f t="shared" si="72"/>
        <v>4.7036451178428251E-8</v>
      </c>
      <c r="AO153">
        <f t="shared" si="73"/>
        <v>5.2636366250664286E-8</v>
      </c>
      <c r="AP153">
        <v>3.6172923743649958</v>
      </c>
      <c r="AQ153">
        <f t="shared" si="74"/>
        <v>2.556322939834163E-5</v>
      </c>
      <c r="AR153">
        <f t="shared" si="75"/>
        <v>3.5676307410015983E-6</v>
      </c>
      <c r="AS153">
        <f t="shared" si="76"/>
        <v>11.349965074186544</v>
      </c>
      <c r="AT153">
        <f t="shared" si="77"/>
        <v>9.0960733337924804</v>
      </c>
      <c r="AU153">
        <f t="shared" si="78"/>
        <v>3.3225484386521345</v>
      </c>
      <c r="AV153">
        <f t="shared" si="79"/>
        <v>0.29474393571286139</v>
      </c>
      <c r="AW153">
        <f t="shared" si="80"/>
        <v>4.7748820651345248E-3</v>
      </c>
      <c r="AX153">
        <f t="shared" si="81"/>
        <v>0.29474393026351431</v>
      </c>
      <c r="AY153">
        <f t="shared" si="82"/>
        <v>5.44934708468503E-9</v>
      </c>
      <c r="AZ153">
        <f t="shared" si="83"/>
        <v>964852.16359160375</v>
      </c>
      <c r="BA153">
        <f t="shared" si="84"/>
        <v>7.0669513969904557E-6</v>
      </c>
      <c r="BB153" s="15">
        <f t="shared" si="85"/>
        <v>4268737.1093809735</v>
      </c>
      <c r="BC153" s="20">
        <f t="shared" si="86"/>
        <v>-17840.950775275938</v>
      </c>
      <c r="BD153" s="19">
        <f t="shared" si="87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8"/>
        <v>2.8502295699234246E-6</v>
      </c>
      <c r="P154" s="8">
        <f t="shared" si="89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60"/>
        <v>106450.34357512755</v>
      </c>
      <c r="X154">
        <v>2.667991224564829E-2</v>
      </c>
      <c r="Y154">
        <f t="shared" si="61"/>
        <v>6.1222040681412571</v>
      </c>
      <c r="Z154">
        <f t="shared" si="62"/>
        <v>6.1222040707463092</v>
      </c>
      <c r="AA154">
        <f t="shared" si="63"/>
        <v>-2.6050521739762189E-9</v>
      </c>
      <c r="AB154">
        <f t="shared" si="64"/>
        <v>6.8325890505261315E-6</v>
      </c>
      <c r="AC154">
        <v>671.87819721699577</v>
      </c>
      <c r="AD154">
        <f t="shared" si="65"/>
        <v>3073.7198141315603</v>
      </c>
      <c r="AE154">
        <f>+gettm2(AD154,AC154,AK154,AL154,テーブル2[[#This Row],[Fcorr]])</f>
        <v>579.84086372052525</v>
      </c>
      <c r="AF154" s="14">
        <f t="shared" si="66"/>
        <v>0</v>
      </c>
      <c r="AG154">
        <v>6.8819209187382773E-6</v>
      </c>
      <c r="AH154">
        <f t="shared" si="67"/>
        <v>81.543416658389901</v>
      </c>
      <c r="AI154">
        <f t="shared" si="68"/>
        <v>0.37051179052861077</v>
      </c>
      <c r="AJ154">
        <f t="shared" si="69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70"/>
        <v>1.3019406270656069</v>
      </c>
      <c r="AM154">
        <f t="shared" si="71"/>
        <v>617.9748334183588</v>
      </c>
      <c r="AN154">
        <f t="shared" si="72"/>
        <v>1.6661715562804602E-8</v>
      </c>
      <c r="AO154">
        <f t="shared" si="73"/>
        <v>4.9331868212145839E-8</v>
      </c>
      <c r="AP154">
        <v>3.6399545050422062</v>
      </c>
      <c r="AQ154">
        <f t="shared" si="74"/>
        <v>2.5245910130882246E-5</v>
      </c>
      <c r="AR154">
        <f t="shared" si="75"/>
        <v>3.4656263934752116E-6</v>
      </c>
      <c r="AS154">
        <f t="shared" si="76"/>
        <v>11.183584791603209</v>
      </c>
      <c r="AT154">
        <f t="shared" si="77"/>
        <v>9.0222352979399574</v>
      </c>
      <c r="AU154">
        <f t="shared" si="78"/>
        <v>3.3428445548101675</v>
      </c>
      <c r="AV154">
        <f t="shared" si="79"/>
        <v>0.29710995023203868</v>
      </c>
      <c r="AW154">
        <f t="shared" si="80"/>
        <v>4.6408049967510238E-3</v>
      </c>
      <c r="AX154">
        <f t="shared" si="81"/>
        <v>0.29710994728886525</v>
      </c>
      <c r="AY154">
        <f t="shared" si="82"/>
        <v>2.9431734271945231E-9</v>
      </c>
      <c r="AZ154">
        <f t="shared" si="83"/>
        <v>964852.16359160375</v>
      </c>
      <c r="BA154">
        <f t="shared" si="84"/>
        <v>6.9357762839921849E-6</v>
      </c>
      <c r="BB154" s="15">
        <f t="shared" si="85"/>
        <v>4076412.2699817535</v>
      </c>
      <c r="BC154" s="20">
        <f t="shared" si="86"/>
        <v>-40228.257361996453</v>
      </c>
      <c r="BD154" s="19">
        <f t="shared" si="87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8"/>
        <v>2.8502295699234246E-6</v>
      </c>
      <c r="P155" s="8">
        <f t="shared" si="89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60"/>
        <v>58718.16104677855</v>
      </c>
      <c r="X155">
        <v>3.4659226492567419E-2</v>
      </c>
      <c r="Y155">
        <f t="shared" si="61"/>
        <v>5.3714379963301013</v>
      </c>
      <c r="Z155">
        <f t="shared" si="62"/>
        <v>5.3714380084148781</v>
      </c>
      <c r="AA155">
        <f t="shared" si="63"/>
        <v>-1.2084776734866409E-8</v>
      </c>
      <c r="AB155">
        <f t="shared" si="64"/>
        <v>1.7286221546981502E-5</v>
      </c>
      <c r="AC155">
        <v>719.48438545954878</v>
      </c>
      <c r="AD155">
        <f t="shared" si="65"/>
        <v>1932.4438764511658</v>
      </c>
      <c r="AE155">
        <f>+gettm2(AD155,AC155,AK155,AL155,テーブル2[[#This Row],[Fcorr]])</f>
        <v>573.35351538122916</v>
      </c>
      <c r="AF155" s="14">
        <f t="shared" si="66"/>
        <v>0</v>
      </c>
      <c r="AG155">
        <v>1.7373379540586281E-5</v>
      </c>
      <c r="AH155">
        <f t="shared" si="67"/>
        <v>32.231025981493005</v>
      </c>
      <c r="AI155">
        <f t="shared" si="68"/>
        <v>0.23294030817908676</v>
      </c>
      <c r="AJ155">
        <f t="shared" si="69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70"/>
        <v>1.3019406270656069</v>
      </c>
      <c r="AM155">
        <f t="shared" si="71"/>
        <v>617.97483342564988</v>
      </c>
      <c r="AN155">
        <f t="shared" si="72"/>
        <v>9.3706375992042013E-9</v>
      </c>
      <c r="AO155">
        <f t="shared" si="73"/>
        <v>8.7157993604779162E-8</v>
      </c>
      <c r="AP155">
        <v>2.8737660613968492</v>
      </c>
      <c r="AQ155">
        <f t="shared" si="74"/>
        <v>4.0502340450096499E-5</v>
      </c>
      <c r="AR155">
        <f t="shared" si="75"/>
        <v>8.73026876709553E-6</v>
      </c>
      <c r="AS155">
        <f t="shared" si="76"/>
        <v>17.712078129917717</v>
      </c>
      <c r="AT155">
        <f t="shared" si="77"/>
        <v>11.321233935428005</v>
      </c>
      <c r="AU155">
        <f t="shared" si="78"/>
        <v>2.6371717218861348</v>
      </c>
      <c r="AV155">
        <f t="shared" si="79"/>
        <v>0.2365943395107144</v>
      </c>
      <c r="AW155">
        <f t="shared" si="80"/>
        <v>1.1741081270503106E-2</v>
      </c>
      <c r="AX155">
        <f t="shared" si="81"/>
        <v>0.2365943390983978</v>
      </c>
      <c r="AY155">
        <f t="shared" si="82"/>
        <v>4.1231659753115935E-10</v>
      </c>
      <c r="AZ155">
        <f t="shared" si="83"/>
        <v>964852.16359160375</v>
      </c>
      <c r="BA155">
        <f t="shared" si="84"/>
        <v>1.409381960284184E-5</v>
      </c>
      <c r="BB155" s="15">
        <f t="shared" si="85"/>
        <v>3544248.2180104521</v>
      </c>
      <c r="BC155" s="20">
        <f t="shared" si="86"/>
        <v>-5987.7390207978897</v>
      </c>
      <c r="BD155" s="19">
        <f t="shared" si="87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8"/>
        <v>2.8502295699234246E-6</v>
      </c>
      <c r="P156" s="8">
        <f t="shared" si="89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60"/>
        <v>61369.94896502015</v>
      </c>
      <c r="X156">
        <v>3.395356844651478E-2</v>
      </c>
      <c r="Y156">
        <f t="shared" si="61"/>
        <v>5.426968337501763</v>
      </c>
      <c r="Z156">
        <f t="shared" si="62"/>
        <v>5.4269683533117252</v>
      </c>
      <c r="AA156">
        <f t="shared" si="63"/>
        <v>-1.5809962228274799E-8</v>
      </c>
      <c r="AB156">
        <f t="shared" si="64"/>
        <v>1.6153509213842976E-5</v>
      </c>
      <c r="AC156">
        <v>720.17893479896577</v>
      </c>
      <c r="AD156">
        <f t="shared" si="65"/>
        <v>1999.0492101440236</v>
      </c>
      <c r="AE156">
        <f>+gettm2(AD156,AC156,AK156,AL156,テーブル2[[#This Row],[Fcorr]])</f>
        <v>571.79741735812763</v>
      </c>
      <c r="AF156" s="14">
        <f t="shared" si="66"/>
        <v>1.2017890185234137E-6</v>
      </c>
      <c r="AG156">
        <v>1.6239787556377458E-5</v>
      </c>
      <c r="AH156">
        <f t="shared" si="67"/>
        <v>34.491121924463648</v>
      </c>
      <c r="AI156">
        <f t="shared" si="68"/>
        <v>0.24096903654002516</v>
      </c>
      <c r="AJ156">
        <f t="shared" si="69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70"/>
        <v>1.3019406270656069</v>
      </c>
      <c r="AM156">
        <f t="shared" si="71"/>
        <v>617.97483341704879</v>
      </c>
      <c r="AN156">
        <f t="shared" si="72"/>
        <v>1.7971728993870784E-8</v>
      </c>
      <c r="AO156">
        <f t="shared" si="73"/>
        <v>8.6278342534481942E-8</v>
      </c>
      <c r="AP156">
        <v>2.9281554229991809</v>
      </c>
      <c r="AQ156">
        <f t="shared" si="74"/>
        <v>3.9011683604514849E-5</v>
      </c>
      <c r="AR156">
        <f t="shared" si="75"/>
        <v>8.1630329494559701E-6</v>
      </c>
      <c r="AS156">
        <f t="shared" si="76"/>
        <v>17.132078288702992</v>
      </c>
      <c r="AT156">
        <f t="shared" si="77"/>
        <v>11.154763147389284</v>
      </c>
      <c r="AU156">
        <f t="shared" si="78"/>
        <v>2.6879525284585744</v>
      </c>
      <c r="AV156">
        <f t="shared" si="79"/>
        <v>0.2402028945406065</v>
      </c>
      <c r="AW156">
        <f t="shared" si="80"/>
        <v>1.0971724732792707E-2</v>
      </c>
      <c r="AX156">
        <f t="shared" si="81"/>
        <v>0.2402028917407209</v>
      </c>
      <c r="AY156">
        <f t="shared" si="82"/>
        <v>2.7998856011457463E-9</v>
      </c>
      <c r="AZ156">
        <f t="shared" si="83"/>
        <v>964852.16359160375</v>
      </c>
      <c r="BA156">
        <f t="shared" si="84"/>
        <v>1.3322955229117209E-5</v>
      </c>
      <c r="BB156" s="15">
        <f t="shared" si="85"/>
        <v>3711477.5575580467</v>
      </c>
      <c r="BC156" s="20">
        <f t="shared" si="86"/>
        <v>-844.46437320346013</v>
      </c>
      <c r="BD156" s="19">
        <f t="shared" si="87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8"/>
        <v>2.8502295699234246E-6</v>
      </c>
      <c r="P157" s="8">
        <f t="shared" si="89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60"/>
        <v>68567.659028818816</v>
      </c>
      <c r="X157">
        <v>3.2271405788035647E-2</v>
      </c>
      <c r="Y157">
        <f t="shared" si="61"/>
        <v>5.5666133634366881</v>
      </c>
      <c r="Z157">
        <f t="shared" si="62"/>
        <v>5.56661336910736</v>
      </c>
      <c r="AA157">
        <f t="shared" si="63"/>
        <v>-5.6706719320231969E-9</v>
      </c>
      <c r="AB157">
        <f t="shared" si="64"/>
        <v>1.3614675770691901E-5</v>
      </c>
      <c r="AC157">
        <v>720.35473162469407</v>
      </c>
      <c r="AD157">
        <f t="shared" si="65"/>
        <v>2177.4754911050431</v>
      </c>
      <c r="AE157">
        <f>+gettm2(AD157,AC157,AK157,AL157,テーブル2[[#This Row],[Fcorr]])</f>
        <v>568.50204941612878</v>
      </c>
      <c r="AF157" s="14">
        <f t="shared" si="66"/>
        <v>1.2035470717819408E-6</v>
      </c>
      <c r="AG157">
        <v>1.3697685591680461E-5</v>
      </c>
      <c r="AH157">
        <f t="shared" si="67"/>
        <v>40.922947059964436</v>
      </c>
      <c r="AI157">
        <f t="shared" si="68"/>
        <v>0.26247686576124729</v>
      </c>
      <c r="AJ157">
        <f t="shared" si="69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70"/>
        <v>1.3019406270656069</v>
      </c>
      <c r="AM157">
        <f t="shared" si="71"/>
        <v>617.97483341916723</v>
      </c>
      <c r="AN157">
        <f t="shared" si="72"/>
        <v>1.585328845976619E-8</v>
      </c>
      <c r="AO157">
        <f t="shared" si="73"/>
        <v>8.30098209885598E-8</v>
      </c>
      <c r="AP157">
        <v>3.0673929998221841</v>
      </c>
      <c r="AQ157">
        <f t="shared" si="74"/>
        <v>3.5550367838739255E-5</v>
      </c>
      <c r="AR157">
        <f t="shared" si="75"/>
        <v>6.8903477063345102E-6</v>
      </c>
      <c r="AS157">
        <f t="shared" si="76"/>
        <v>15.751772446966136</v>
      </c>
      <c r="AT157">
        <f t="shared" si="77"/>
        <v>10.734764476276082</v>
      </c>
      <c r="AU157">
        <f t="shared" si="78"/>
        <v>2.8176273344181233</v>
      </c>
      <c r="AV157">
        <f t="shared" si="79"/>
        <v>0.24976566540406075</v>
      </c>
      <c r="AW157">
        <f t="shared" si="80"/>
        <v>9.2473079938719237E-3</v>
      </c>
      <c r="AX157">
        <f t="shared" si="81"/>
        <v>0.24976565824287233</v>
      </c>
      <c r="AY157">
        <f t="shared" si="82"/>
        <v>7.1611884200351028E-9</v>
      </c>
      <c r="AZ157">
        <f t="shared" si="83"/>
        <v>964852.16359160375</v>
      </c>
      <c r="BA157">
        <f t="shared" si="84"/>
        <v>1.1589766241495662E-5</v>
      </c>
      <c r="BB157" s="15">
        <f t="shared" si="85"/>
        <v>4104879.5169026474</v>
      </c>
      <c r="BC157" s="20">
        <f t="shared" si="86"/>
        <v>7010.23018389754</v>
      </c>
      <c r="BD157" s="19">
        <f t="shared" si="87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8"/>
        <v>2.8502295699234246E-6</v>
      </c>
      <c r="P158" s="8">
        <f t="shared" si="89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60"/>
        <v>69704.139565208083</v>
      </c>
      <c r="X158">
        <v>3.2032461781834103E-2</v>
      </c>
      <c r="Y158">
        <f t="shared" si="61"/>
        <v>5.5873366792250394</v>
      </c>
      <c r="Z158">
        <f t="shared" si="62"/>
        <v>5.5873367167956172</v>
      </c>
      <c r="AA158">
        <f t="shared" si="63"/>
        <v>-3.7570577759993284E-8</v>
      </c>
      <c r="AB158">
        <f t="shared" si="64"/>
        <v>1.3272611259668662E-5</v>
      </c>
      <c r="AC158">
        <v>719.77887078297954</v>
      </c>
      <c r="AD158">
        <f t="shared" si="65"/>
        <v>2205.3561738366739</v>
      </c>
      <c r="AE158">
        <f>+gettm2(AD158,AC158,AK158,AL158,テーブル2[[#This Row],[Fcorr]])</f>
        <v>568.29629245881961</v>
      </c>
      <c r="AF158" s="14">
        <f t="shared" si="66"/>
        <v>1.1977886060776655E-6</v>
      </c>
      <c r="AG158">
        <v>1.335424669371587E-5</v>
      </c>
      <c r="AH158">
        <f t="shared" si="67"/>
        <v>41.977621803451655</v>
      </c>
      <c r="AI158">
        <f t="shared" si="68"/>
        <v>0.26583765409093291</v>
      </c>
      <c r="AJ158">
        <f t="shared" si="69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70"/>
        <v>1.3019406270656069</v>
      </c>
      <c r="AM158">
        <f t="shared" si="71"/>
        <v>617.97483343217152</v>
      </c>
      <c r="AN158">
        <f t="shared" si="72"/>
        <v>2.8489921533036977E-9</v>
      </c>
      <c r="AO158">
        <f t="shared" si="73"/>
        <v>8.1635434047207464E-8</v>
      </c>
      <c r="AP158">
        <v>3.0881940792648139</v>
      </c>
      <c r="AQ158">
        <f t="shared" si="74"/>
        <v>3.5073069108794453E-5</v>
      </c>
      <c r="AR158">
        <f t="shared" si="75"/>
        <v>6.7179410638815386E-6</v>
      </c>
      <c r="AS158">
        <f t="shared" si="76"/>
        <v>15.554281155592722</v>
      </c>
      <c r="AT158">
        <f t="shared" si="77"/>
        <v>10.671679581025471</v>
      </c>
      <c r="AU158">
        <f t="shared" si="78"/>
        <v>2.836934265029921</v>
      </c>
      <c r="AV158">
        <f t="shared" si="79"/>
        <v>0.25125981423489296</v>
      </c>
      <c r="AW158">
        <f t="shared" si="80"/>
        <v>9.0149722452664074E-3</v>
      </c>
      <c r="AX158">
        <f t="shared" si="81"/>
        <v>0.25125980875417403</v>
      </c>
      <c r="AY158">
        <f t="shared" si="82"/>
        <v>5.4807189342476192E-9</v>
      </c>
      <c r="AZ158">
        <f t="shared" si="83"/>
        <v>964852.16359160375</v>
      </c>
      <c r="BA158">
        <f t="shared" si="84"/>
        <v>1.1357145376414965E-5</v>
      </c>
      <c r="BB158" s="15">
        <f t="shared" si="85"/>
        <v>4119600.8121529077</v>
      </c>
      <c r="BC158" s="20">
        <f t="shared" si="86"/>
        <v>-17105.029253342189</v>
      </c>
      <c r="BD158" s="19">
        <f t="shared" si="87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8"/>
        <v>2.8502295699234246E-6</v>
      </c>
      <c r="P159" s="8">
        <f t="shared" si="89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60"/>
        <v>85614.867074657741</v>
      </c>
      <c r="X159">
        <v>2.9251612220244621E-2</v>
      </c>
      <c r="Y159">
        <f t="shared" si="61"/>
        <v>5.8468923278880744</v>
      </c>
      <c r="Z159">
        <f t="shared" si="62"/>
        <v>5.8468923760100653</v>
      </c>
      <c r="AA159">
        <f t="shared" si="63"/>
        <v>-4.8121990836591522E-8</v>
      </c>
      <c r="AB159">
        <f t="shared" si="64"/>
        <v>9.6341998605828018E-6</v>
      </c>
      <c r="AC159">
        <v>717.52337276572791</v>
      </c>
      <c r="AD159">
        <f t="shared" si="65"/>
        <v>2588.5055549134036</v>
      </c>
      <c r="AE159">
        <f>+gettm2(AD159,AC159,AK159,AL159,テーブル2[[#This Row],[Fcorr]])</f>
        <v>559.93794098538206</v>
      </c>
      <c r="AF159" s="14">
        <f t="shared" si="66"/>
        <v>1.1752335922210477E-6</v>
      </c>
      <c r="AG159">
        <v>9.7108609667429814E-6</v>
      </c>
      <c r="AH159">
        <f t="shared" si="67"/>
        <v>57.830713901019386</v>
      </c>
      <c r="AI159">
        <f t="shared" si="68"/>
        <v>0.31202317905973276</v>
      </c>
      <c r="AJ159">
        <f t="shared" si="69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70"/>
        <v>1.3019406270656069</v>
      </c>
      <c r="AM159">
        <f t="shared" si="71"/>
        <v>617.97483343534213</v>
      </c>
      <c r="AN159">
        <f t="shared" si="72"/>
        <v>-3.2162006391445175E-10</v>
      </c>
      <c r="AO159">
        <f t="shared" si="73"/>
        <v>7.6661106160179636E-8</v>
      </c>
      <c r="AP159">
        <v>3.3567688582593882</v>
      </c>
      <c r="AQ159">
        <f t="shared" si="74"/>
        <v>2.968520606935284E-5</v>
      </c>
      <c r="AR159">
        <f t="shared" si="75"/>
        <v>4.8937610364515805E-6</v>
      </c>
      <c r="AS159">
        <f t="shared" si="76"/>
        <v>13.299241603436945</v>
      </c>
      <c r="AT159">
        <f t="shared" si="77"/>
        <v>9.8885350565195047</v>
      </c>
      <c r="AU159">
        <f t="shared" si="78"/>
        <v>3.0854521445788299</v>
      </c>
      <c r="AV159">
        <f t="shared" si="79"/>
        <v>0.27131671368055832</v>
      </c>
      <c r="AW159">
        <f t="shared" si="80"/>
        <v>6.5437043735636106E-3</v>
      </c>
      <c r="AX159">
        <f t="shared" si="81"/>
        <v>0.27131670551443909</v>
      </c>
      <c r="AY159">
        <f t="shared" si="82"/>
        <v>8.1661192252724391E-9</v>
      </c>
      <c r="AZ159">
        <f t="shared" si="83"/>
        <v>964852.16359160375</v>
      </c>
      <c r="BA159">
        <f t="shared" si="84"/>
        <v>8.8433869958939453E-6</v>
      </c>
      <c r="BB159" s="15">
        <f t="shared" si="85"/>
        <v>4968234.2536732154</v>
      </c>
      <c r="BC159" s="20">
        <f t="shared" si="86"/>
        <v>13313.702891965397</v>
      </c>
      <c r="BD159" s="19">
        <f t="shared" si="87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8"/>
        <v>2.8502295699234246E-6</v>
      </c>
      <c r="P160" s="8">
        <f t="shared" si="89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60"/>
        <v>88645.481838362437</v>
      </c>
      <c r="X160">
        <v>2.8816656506257129E-2</v>
      </c>
      <c r="Y160">
        <f t="shared" si="61"/>
        <v>5.8908532659419297</v>
      </c>
      <c r="Z160">
        <f t="shared" si="62"/>
        <v>5.8908532754526926</v>
      </c>
      <c r="AA160">
        <f t="shared" si="63"/>
        <v>-9.5107628439450309E-9</v>
      </c>
      <c r="AB160">
        <f t="shared" si="64"/>
        <v>9.1223563377912512E-6</v>
      </c>
      <c r="AC160">
        <v>717.06123854595194</v>
      </c>
      <c r="AD160">
        <f t="shared" si="65"/>
        <v>2660.1333669203354</v>
      </c>
      <c r="AE160">
        <f>+gettm2(AD160,AC160,AK160,AL160,テーブル2[[#This Row],[Fcorr]])</f>
        <v>558.37015874537417</v>
      </c>
      <c r="AF160" s="14">
        <f t="shared" si="66"/>
        <v>1.1706123359545018E-6</v>
      </c>
      <c r="AG160">
        <v>9.1977920845103017E-6</v>
      </c>
      <c r="AH160">
        <f t="shared" si="67"/>
        <v>61.075519873575288</v>
      </c>
      <c r="AI160">
        <f t="shared" si="68"/>
        <v>0.32065732611383996</v>
      </c>
      <c r="AJ160">
        <f t="shared" si="69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70"/>
        <v>1.3019406270656069</v>
      </c>
      <c r="AM160">
        <f t="shared" si="71"/>
        <v>617.97483342798398</v>
      </c>
      <c r="AN160">
        <f t="shared" si="72"/>
        <v>7.0365331339417025E-9</v>
      </c>
      <c r="AO160">
        <f t="shared" si="73"/>
        <v>7.5435746719050524E-8</v>
      </c>
      <c r="AP160">
        <v>3.4030833130258</v>
      </c>
      <c r="AQ160">
        <f t="shared" si="74"/>
        <v>2.8882699383155131E-5</v>
      </c>
      <c r="AR160">
        <f t="shared" si="75"/>
        <v>4.6366139156146761E-6</v>
      </c>
      <c r="AS160">
        <f t="shared" si="76"/>
        <v>12.949093319111544</v>
      </c>
      <c r="AT160">
        <f t="shared" si="77"/>
        <v>9.7551288586311706</v>
      </c>
      <c r="AU160">
        <f t="shared" si="78"/>
        <v>3.1280535357046269</v>
      </c>
      <c r="AV160">
        <f t="shared" si="79"/>
        <v>0.27502977732117317</v>
      </c>
      <c r="AW160">
        <f t="shared" si="80"/>
        <v>6.1960519740763675E-3</v>
      </c>
      <c r="AX160">
        <f t="shared" si="81"/>
        <v>0.2750297666600291</v>
      </c>
      <c r="AY160">
        <f t="shared" si="82"/>
        <v>1.0661144078660811E-8</v>
      </c>
      <c r="AZ160">
        <f t="shared" si="83"/>
        <v>964852.16359160375</v>
      </c>
      <c r="BA160">
        <f t="shared" si="84"/>
        <v>8.4872148949754972E-6</v>
      </c>
      <c r="BB160" s="15">
        <f t="shared" si="85"/>
        <v>5093984.3804119835</v>
      </c>
      <c r="BC160" s="20">
        <f t="shared" si="86"/>
        <v>-16659.662556766532</v>
      </c>
      <c r="BD160" s="19">
        <f t="shared" si="87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8"/>
        <v>2.8502295699234246E-6</v>
      </c>
      <c r="P161" s="8">
        <f t="shared" si="89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60"/>
        <v>103040.90196595977</v>
      </c>
      <c r="X161">
        <v>2.7042139441522312E-2</v>
      </c>
      <c r="Y161">
        <f t="shared" si="61"/>
        <v>6.0810626264231198</v>
      </c>
      <c r="Z161">
        <f t="shared" si="62"/>
        <v>6.0810626347094354</v>
      </c>
      <c r="AA161">
        <f t="shared" si="63"/>
        <v>-8.2863156336543398E-9</v>
      </c>
      <c r="AB161">
        <f t="shared" si="64"/>
        <v>7.1945474511830241E-6</v>
      </c>
      <c r="AC161">
        <v>713.16603775011481</v>
      </c>
      <c r="AD161">
        <f t="shared" si="65"/>
        <v>2995.4024894891272</v>
      </c>
      <c r="AE161">
        <f>+gettm2(AD161,AC161,AK161,AL161,テーブル2[[#This Row],[Fcorr]])</f>
        <v>552.64827869604483</v>
      </c>
      <c r="AF161" s="14">
        <f t="shared" si="66"/>
        <v>1.1316601558064576E-6</v>
      </c>
      <c r="AG161">
        <v>7.2656645744083946E-6</v>
      </c>
      <c r="AH161">
        <f t="shared" si="67"/>
        <v>77.440959224056627</v>
      </c>
      <c r="AI161">
        <f t="shared" si="68"/>
        <v>0.36107127742482392</v>
      </c>
      <c r="AJ161">
        <f t="shared" si="69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70"/>
        <v>1.3019406270656069</v>
      </c>
      <c r="AM161">
        <f t="shared" si="71"/>
        <v>617.97483340516374</v>
      </c>
      <c r="AN161">
        <f t="shared" si="72"/>
        <v>2.9856778382963967E-8</v>
      </c>
      <c r="AO161">
        <f t="shared" si="73"/>
        <v>7.111712322537049E-8</v>
      </c>
      <c r="AP161">
        <v>3.605992657081579</v>
      </c>
      <c r="AQ161">
        <f t="shared" si="74"/>
        <v>2.5723689983414494E-5</v>
      </c>
      <c r="AR161">
        <f t="shared" si="75"/>
        <v>3.6683908488168825E-6</v>
      </c>
      <c r="AS161">
        <f t="shared" si="76"/>
        <v>11.536280399963491</v>
      </c>
      <c r="AT161">
        <f t="shared" si="77"/>
        <v>9.1774844338137687</v>
      </c>
      <c r="AU161">
        <f t="shared" si="78"/>
        <v>3.3137260280635745</v>
      </c>
      <c r="AV161">
        <f t="shared" si="79"/>
        <v>0.29226662901800449</v>
      </c>
      <c r="AW161">
        <f t="shared" si="80"/>
        <v>4.8866529969692086E-3</v>
      </c>
      <c r="AX161">
        <f t="shared" si="81"/>
        <v>0.29226662161707001</v>
      </c>
      <c r="AY161">
        <f t="shared" si="82"/>
        <v>7.4009344763759088E-9</v>
      </c>
      <c r="AZ161">
        <f t="shared" si="83"/>
        <v>964852.16359160375</v>
      </c>
      <c r="BA161">
        <f t="shared" si="84"/>
        <v>7.133594665784296E-6</v>
      </c>
      <c r="BB161" s="15">
        <f t="shared" si="85"/>
        <v>5713620.164557592</v>
      </c>
      <c r="BC161" s="20">
        <f t="shared" si="86"/>
        <v>-34304.034661157988</v>
      </c>
      <c r="BD161" s="19">
        <f t="shared" si="87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8"/>
        <v>2.8502295699234246E-6</v>
      </c>
      <c r="P162" s="8">
        <f t="shared" si="89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60"/>
        <v>104556.20934781212</v>
      </c>
      <c r="X162">
        <v>2.6878779410128451E-2</v>
      </c>
      <c r="Y162">
        <f t="shared" si="61"/>
        <v>6.0995139434554897</v>
      </c>
      <c r="Z162">
        <f t="shared" si="62"/>
        <v>6.0995139494937094</v>
      </c>
      <c r="AA162">
        <f t="shared" si="63"/>
        <v>-6.0382197020203421E-9</v>
      </c>
      <c r="AB162">
        <f t="shared" si="64"/>
        <v>7.0299887495018681E-6</v>
      </c>
      <c r="AC162">
        <v>712.86880973518782</v>
      </c>
      <c r="AD162">
        <f t="shared" si="65"/>
        <v>3030.2580390165544</v>
      </c>
      <c r="AE162">
        <f>+gettm2(AD162,AC162,AK162,AL162,テーブル2[[#This Row],[Fcorr]])</f>
        <v>552.04039175870685</v>
      </c>
      <c r="AF162" s="14">
        <f t="shared" si="66"/>
        <v>1.1286879271210637E-6</v>
      </c>
      <c r="AG162">
        <v>7.1016910830762254E-6</v>
      </c>
      <c r="AH162">
        <f t="shared" si="67"/>
        <v>79.253705184390782</v>
      </c>
      <c r="AI162">
        <f t="shared" si="68"/>
        <v>0.36527282891494062</v>
      </c>
      <c r="AJ162">
        <f t="shared" si="69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70"/>
        <v>1.3019406270656069</v>
      </c>
      <c r="AM162">
        <f t="shared" si="71"/>
        <v>617.97483335695813</v>
      </c>
      <c r="AN162">
        <f t="shared" si="72"/>
        <v>7.8062385000521317E-8</v>
      </c>
      <c r="AO162">
        <f t="shared" si="73"/>
        <v>7.1702333574357351E-8</v>
      </c>
      <c r="AP162">
        <v>3.6262950232636841</v>
      </c>
      <c r="AQ162">
        <f t="shared" si="74"/>
        <v>2.543646028085395E-5</v>
      </c>
      <c r="AR162">
        <f t="shared" si="75"/>
        <v>3.5866967083252914E-6</v>
      </c>
      <c r="AS162">
        <f t="shared" si="76"/>
        <v>11.410621032983654</v>
      </c>
      <c r="AT162">
        <f t="shared" si="77"/>
        <v>9.1227229561285608</v>
      </c>
      <c r="AU162">
        <f t="shared" si="78"/>
        <v>3.332282821592349</v>
      </c>
      <c r="AV162">
        <f t="shared" si="79"/>
        <v>0.29401220167133513</v>
      </c>
      <c r="AW162">
        <f t="shared" si="80"/>
        <v>4.7748820651345248E-3</v>
      </c>
      <c r="AX162">
        <f t="shared" si="81"/>
        <v>0.29401219826097202</v>
      </c>
      <c r="AY162">
        <f t="shared" si="82"/>
        <v>3.4103631030291126E-9</v>
      </c>
      <c r="AZ162">
        <f t="shared" si="83"/>
        <v>964852.16359160375</v>
      </c>
      <c r="BA162">
        <f t="shared" si="84"/>
        <v>7.0144486639040765E-6</v>
      </c>
      <c r="BB162" s="15">
        <f t="shared" si="85"/>
        <v>5858485.5475918157</v>
      </c>
      <c r="BC162" s="20">
        <f t="shared" si="86"/>
        <v>40054.785873065703</v>
      </c>
      <c r="BD162" s="19">
        <f t="shared" si="87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8"/>
        <v>2.8502295699234246E-6</v>
      </c>
      <c r="P163" s="8">
        <f t="shared" si="89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60"/>
        <v>108344.477802443</v>
      </c>
      <c r="X163">
        <v>2.648671141585706E-2</v>
      </c>
      <c r="Y163">
        <f t="shared" si="61"/>
        <v>6.1444919577194019</v>
      </c>
      <c r="Z163">
        <f t="shared" si="62"/>
        <v>6.1444919840770256</v>
      </c>
      <c r="AA163">
        <f t="shared" si="63"/>
        <v>-2.6357623639228223E-8</v>
      </c>
      <c r="AB163">
        <f t="shared" si="64"/>
        <v>6.6438869072487288E-6</v>
      </c>
      <c r="AC163">
        <v>711.93507646885996</v>
      </c>
      <c r="AD163">
        <f t="shared" si="65"/>
        <v>3117.064660731442</v>
      </c>
      <c r="AE163">
        <f>+gettm2(AD163,AC163,AK163,AL163,テーブル2[[#This Row],[Fcorr]])</f>
        <v>550.67499673512816</v>
      </c>
      <c r="AF163" s="14">
        <f t="shared" si="66"/>
        <v>0</v>
      </c>
      <c r="AG163">
        <v>6.7140034023537437E-6</v>
      </c>
      <c r="AH163">
        <f t="shared" si="67"/>
        <v>83.85944306106876</v>
      </c>
      <c r="AI163">
        <f t="shared" si="68"/>
        <v>0.37573665736587897</v>
      </c>
      <c r="AJ163">
        <f t="shared" si="69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70"/>
        <v>1.3019406270656069</v>
      </c>
      <c r="AM163">
        <f t="shared" si="71"/>
        <v>617.97483348010792</v>
      </c>
      <c r="AN163">
        <f t="shared" si="72"/>
        <v>-4.5087404032528866E-8</v>
      </c>
      <c r="AO163">
        <f t="shared" si="73"/>
        <v>7.0116495105014919E-8</v>
      </c>
      <c r="AP163">
        <v>3.6744540006590549</v>
      </c>
      <c r="AQ163">
        <f t="shared" si="74"/>
        <v>2.4774067301422926E-5</v>
      </c>
      <c r="AR163">
        <f t="shared" si="75"/>
        <v>3.3920599487293793E-6</v>
      </c>
      <c r="AS163">
        <f t="shared" si="76"/>
        <v>11.100546134663364</v>
      </c>
      <c r="AT163">
        <f t="shared" si="77"/>
        <v>8.9849715421448337</v>
      </c>
      <c r="AU163">
        <f t="shared" si="78"/>
        <v>3.3759831737730464</v>
      </c>
      <c r="AV163">
        <f t="shared" si="79"/>
        <v>0.29847082688600857</v>
      </c>
      <c r="AW163">
        <f t="shared" si="80"/>
        <v>4.5126354488763485E-3</v>
      </c>
      <c r="AX163">
        <f t="shared" si="81"/>
        <v>0.29847081233000694</v>
      </c>
      <c r="AY163">
        <f t="shared" si="82"/>
        <v>1.455600162625359E-8</v>
      </c>
      <c r="AZ163">
        <f t="shared" si="83"/>
        <v>964852.16359160375</v>
      </c>
      <c r="BA163">
        <f t="shared" si="84"/>
        <v>6.7422445067973137E-6</v>
      </c>
      <c r="BB163" s="15">
        <f t="shared" si="85"/>
        <v>5960206.6097889021</v>
      </c>
      <c r="BC163" s="20">
        <f t="shared" si="86"/>
        <v>-22972.101148597896</v>
      </c>
      <c r="BD163" s="19">
        <f t="shared" si="87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8"/>
        <v>2.8502295699234246E-6</v>
      </c>
      <c r="P164" s="8">
        <f t="shared" si="89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60"/>
        <v>57668.242700231327</v>
      </c>
      <c r="X164">
        <v>3.2357785104266172E-2</v>
      </c>
      <c r="Y164">
        <f t="shared" si="61"/>
        <v>5.5591783430067494</v>
      </c>
      <c r="Z164">
        <f t="shared" si="62"/>
        <v>5.5591783497804945</v>
      </c>
      <c r="AA164">
        <f t="shared" si="63"/>
        <v>-6.7737451203697674E-9</v>
      </c>
      <c r="AB164">
        <f t="shared" si="64"/>
        <v>1.3386948195257642E-5</v>
      </c>
      <c r="AC164">
        <v>708.54185219529393</v>
      </c>
      <c r="AD164">
        <f t="shared" si="65"/>
        <v>1833.7964244186364</v>
      </c>
      <c r="AE164">
        <f>+gettm2(AD164,AC164,AK164,AL164,テーブル2[[#This Row],[Fcorr]])</f>
        <v>588.05400821605872</v>
      </c>
      <c r="AF164" s="14">
        <f t="shared" si="66"/>
        <v>1.0854186029973789E-6</v>
      </c>
      <c r="AG164">
        <v>1.347637951341768E-5</v>
      </c>
      <c r="AH164">
        <f t="shared" si="67"/>
        <v>27.154095021494712</v>
      </c>
      <c r="AI164">
        <f t="shared" si="68"/>
        <v>0.22015144959272953</v>
      </c>
      <c r="AJ164">
        <f t="shared" si="69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70"/>
        <v>1.5871354414155836</v>
      </c>
      <c r="AM164">
        <f t="shared" si="71"/>
        <v>626.57723578563912</v>
      </c>
      <c r="AN164">
        <f t="shared" si="72"/>
        <v>5.2328914534882642E-8</v>
      </c>
      <c r="AO164">
        <f t="shared" si="73"/>
        <v>8.9431318160038237E-8</v>
      </c>
      <c r="AP164">
        <v>2.3766704722242471</v>
      </c>
      <c r="AQ164">
        <f t="shared" si="74"/>
        <v>3.3502437731486527E-5</v>
      </c>
      <c r="AR164">
        <f t="shared" si="75"/>
        <v>6.7829054157888593E-6</v>
      </c>
      <c r="AS164">
        <f t="shared" si="76"/>
        <v>13.058758738733246</v>
      </c>
      <c r="AT164">
        <f t="shared" si="77"/>
        <v>9.7972953817770012</v>
      </c>
      <c r="AU164">
        <f t="shared" si="78"/>
        <v>2.1568887803863612</v>
      </c>
      <c r="AV164">
        <f t="shared" si="79"/>
        <v>0.21978169183788587</v>
      </c>
      <c r="AW164">
        <f t="shared" si="80"/>
        <v>1.0619737236195359E-2</v>
      </c>
      <c r="AX164">
        <f t="shared" si="81"/>
        <v>0.21978167647482566</v>
      </c>
      <c r="AY164">
        <f t="shared" si="82"/>
        <v>1.5363060212880697E-8</v>
      </c>
      <c r="AZ164">
        <f t="shared" si="83"/>
        <v>839091.99888317985</v>
      </c>
      <c r="BA164">
        <f t="shared" si="84"/>
        <v>1.409637479113068E-5</v>
      </c>
      <c r="BB164" s="15">
        <f t="shared" si="85"/>
        <v>2982524.4208808709</v>
      </c>
      <c r="BC164" s="20">
        <f t="shared" si="86"/>
        <v>13326.901349620894</v>
      </c>
      <c r="BD164" s="19">
        <f t="shared" si="87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8"/>
        <v>2.8502295699234246E-6</v>
      </c>
      <c r="P165" s="8">
        <f t="shared" si="89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60"/>
        <v>58071.517124708465</v>
      </c>
      <c r="X165">
        <v>3.2256724925706207E-2</v>
      </c>
      <c r="Y165">
        <f t="shared" si="61"/>
        <v>5.5678799735499487</v>
      </c>
      <c r="Z165">
        <f t="shared" si="62"/>
        <v>5.5678799790447515</v>
      </c>
      <c r="AA165">
        <f t="shared" si="63"/>
        <v>-5.4948028349599554E-9</v>
      </c>
      <c r="AB165">
        <f t="shared" si="64"/>
        <v>1.3243024704516485E-5</v>
      </c>
      <c r="AC165">
        <v>712.09615945868052</v>
      </c>
      <c r="AD165">
        <f t="shared" si="65"/>
        <v>1843.7342286354742</v>
      </c>
      <c r="AE165">
        <f>+gettm2(AD165,AC165,AK165,AL165,テーブル2[[#This Row],[Fcorr]])</f>
        <v>586.12511078669388</v>
      </c>
      <c r="AF165" s="14">
        <f t="shared" si="66"/>
        <v>0</v>
      </c>
      <c r="AG165">
        <v>1.333474752495543E-5</v>
      </c>
      <c r="AH165">
        <f t="shared" si="67"/>
        <v>27.44920223684845</v>
      </c>
      <c r="AI165">
        <f t="shared" si="68"/>
        <v>0.22134450568934569</v>
      </c>
      <c r="AJ165">
        <f t="shared" si="69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70"/>
        <v>1.5871354414155836</v>
      </c>
      <c r="AM165">
        <f t="shared" si="71"/>
        <v>626.57723581118228</v>
      </c>
      <c r="AN165">
        <f t="shared" si="72"/>
        <v>2.6785755835589953E-8</v>
      </c>
      <c r="AO165">
        <f t="shared" si="73"/>
        <v>9.172282043894485E-8</v>
      </c>
      <c r="AP165">
        <v>2.3834744407135511</v>
      </c>
      <c r="AQ165">
        <f t="shared" si="74"/>
        <v>3.3311435747582406E-5</v>
      </c>
      <c r="AR165">
        <f t="shared" si="75"/>
        <v>6.7132351726971874E-6</v>
      </c>
      <c r="AS165">
        <f t="shared" si="76"/>
        <v>12.99466821289384</v>
      </c>
      <c r="AT165">
        <f t="shared" si="77"/>
        <v>9.7726956793122817</v>
      </c>
      <c r="AU165">
        <f t="shared" si="78"/>
        <v>2.1631324943897812</v>
      </c>
      <c r="AV165">
        <f t="shared" si="79"/>
        <v>0.22034194632376991</v>
      </c>
      <c r="AW165">
        <f t="shared" si="80"/>
        <v>1.0505564115369469E-2</v>
      </c>
      <c r="AX165">
        <f t="shared" si="81"/>
        <v>0.22034193043761352</v>
      </c>
      <c r="AY165">
        <f t="shared" si="82"/>
        <v>1.5886156390365613E-8</v>
      </c>
      <c r="AZ165">
        <f t="shared" si="83"/>
        <v>839091.99888317985</v>
      </c>
      <c r="BA165">
        <f t="shared" si="84"/>
        <v>1.3975998726300507E-5</v>
      </c>
      <c r="BB165" s="15">
        <f t="shared" si="85"/>
        <v>3085292.6369310822</v>
      </c>
      <c r="BC165" s="20">
        <f t="shared" si="86"/>
        <v>-3156.0935376677662</v>
      </c>
      <c r="BD165" s="19">
        <f t="shared" si="87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8"/>
        <v>2.8502295699234246E-6</v>
      </c>
      <c r="P166" s="8">
        <f t="shared" si="89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60"/>
        <v>59684.614822617033</v>
      </c>
      <c r="X166">
        <v>3.1863876118458423E-2</v>
      </c>
      <c r="Y166">
        <f t="shared" si="61"/>
        <v>5.602097944140076</v>
      </c>
      <c r="Z166">
        <f t="shared" si="62"/>
        <v>5.6020979701971116</v>
      </c>
      <c r="AA166">
        <f t="shared" si="63"/>
        <v>-2.605703564029227E-8</v>
      </c>
      <c r="AB166">
        <f t="shared" si="64"/>
        <v>1.2691425606134011E-5</v>
      </c>
      <c r="AC166">
        <v>730.49172157212945</v>
      </c>
      <c r="AD166">
        <f t="shared" si="65"/>
        <v>1883.3745988735059</v>
      </c>
      <c r="AE166">
        <f>+gettm2(AD166,AC166,AK166,AL166,テーブル2[[#This Row],[Fcorr]])</f>
        <v>576.19630570055449</v>
      </c>
      <c r="AF166" s="14">
        <f t="shared" si="66"/>
        <v>0</v>
      </c>
      <c r="AG166">
        <v>1.279675794529488E-5</v>
      </c>
      <c r="AH166">
        <f t="shared" si="67"/>
        <v>28.642208891502428</v>
      </c>
      <c r="AI166">
        <f t="shared" si="68"/>
        <v>0.22610342268475964</v>
      </c>
      <c r="AJ166">
        <f t="shared" si="69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70"/>
        <v>1.5871354414155836</v>
      </c>
      <c r="AM166">
        <f t="shared" si="71"/>
        <v>626.57723577304887</v>
      </c>
      <c r="AN166">
        <f t="shared" si="72"/>
        <v>6.491916337836301E-8</v>
      </c>
      <c r="AO166">
        <f t="shared" si="73"/>
        <v>1.0533233916086867E-7</v>
      </c>
      <c r="AP166">
        <v>2.4111461855606469</v>
      </c>
      <c r="AQ166">
        <f t="shared" si="74"/>
        <v>3.2551219650426639E-5</v>
      </c>
      <c r="AR166">
        <f t="shared" si="75"/>
        <v>6.4510451422278741E-6</v>
      </c>
      <c r="AS166">
        <f t="shared" si="76"/>
        <v>12.755626831557272</v>
      </c>
      <c r="AT166">
        <f t="shared" si="77"/>
        <v>9.6798624718674517</v>
      </c>
      <c r="AU166">
        <f t="shared" si="78"/>
        <v>2.1886500360069885</v>
      </c>
      <c r="AV166">
        <f t="shared" si="79"/>
        <v>0.22249614955365837</v>
      </c>
      <c r="AW166">
        <f t="shared" si="80"/>
        <v>1.0067985856373942E-2</v>
      </c>
      <c r="AX166">
        <f t="shared" si="81"/>
        <v>0.22249614846022828</v>
      </c>
      <c r="AY166">
        <f t="shared" si="82"/>
        <v>1.0934300964660082E-9</v>
      </c>
      <c r="AZ166">
        <f t="shared" si="83"/>
        <v>839091.99888317985</v>
      </c>
      <c r="BA166">
        <f t="shared" si="84"/>
        <v>1.350030945670668E-5</v>
      </c>
      <c r="BB166" s="15">
        <f t="shared" si="85"/>
        <v>3667919.7037320295</v>
      </c>
      <c r="BC166" s="20">
        <f t="shared" si="86"/>
        <v>-22745.628299220465</v>
      </c>
      <c r="BD166" s="19">
        <f t="shared" si="87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8"/>
        <v>2.8502295699234246E-6</v>
      </c>
      <c r="P167" s="8">
        <f t="shared" si="89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60"/>
        <v>59684.614822617033</v>
      </c>
      <c r="X167">
        <v>3.1863876118458423E-2</v>
      </c>
      <c r="Y167">
        <f t="shared" si="61"/>
        <v>5.602097944140076</v>
      </c>
      <c r="Z167">
        <f t="shared" si="62"/>
        <v>5.6020979701971116</v>
      </c>
      <c r="AA167">
        <f t="shared" si="63"/>
        <v>-2.605703564029227E-8</v>
      </c>
      <c r="AB167">
        <f t="shared" si="64"/>
        <v>1.2691425606134011E-5</v>
      </c>
      <c r="AC167">
        <v>729.20850350399155</v>
      </c>
      <c r="AD167">
        <f t="shared" si="65"/>
        <v>1883.3745988735059</v>
      </c>
      <c r="AE167">
        <f>+gettm2(AD167,AC167,AK167,AL167,テーブル2[[#This Row],[Fcorr]])</f>
        <v>576.81388794275972</v>
      </c>
      <c r="AF167" s="14">
        <f t="shared" si="66"/>
        <v>1.2920850167574827E-6</v>
      </c>
      <c r="AG167">
        <v>1.279548186620126E-5</v>
      </c>
      <c r="AH167">
        <f t="shared" si="67"/>
        <v>28.642208891502428</v>
      </c>
      <c r="AI167">
        <f t="shared" si="68"/>
        <v>0.22610342268475964</v>
      </c>
      <c r="AJ167">
        <f t="shared" si="69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70"/>
        <v>1.5871354414155836</v>
      </c>
      <c r="AM167">
        <f t="shared" si="71"/>
        <v>626.57723577374293</v>
      </c>
      <c r="AN167">
        <f t="shared" si="72"/>
        <v>6.4225105234072544E-8</v>
      </c>
      <c r="AO167">
        <f t="shared" si="73"/>
        <v>1.0405626006724905E-7</v>
      </c>
      <c r="AP167">
        <v>2.410941432104019</v>
      </c>
      <c r="AQ167">
        <f t="shared" si="74"/>
        <v>3.2556748824772804E-5</v>
      </c>
      <c r="AR167">
        <f t="shared" si="75"/>
        <v>6.4497690631342545E-6</v>
      </c>
      <c r="AS167">
        <f t="shared" si="76"/>
        <v>12.75310364525693</v>
      </c>
      <c r="AT167">
        <f t="shared" si="77"/>
        <v>9.6788733256961592</v>
      </c>
      <c r="AU167">
        <f t="shared" si="78"/>
        <v>2.1884263866721239</v>
      </c>
      <c r="AV167">
        <f t="shared" si="79"/>
        <v>0.22251504543189515</v>
      </c>
      <c r="AW167">
        <f t="shared" si="80"/>
        <v>1.0067985856373942E-2</v>
      </c>
      <c r="AX167">
        <f t="shared" si="81"/>
        <v>0.22251504433835992</v>
      </c>
      <c r="AY167">
        <f t="shared" si="82"/>
        <v>1.0935352345864402E-9</v>
      </c>
      <c r="AZ167">
        <f t="shared" si="83"/>
        <v>839091.99888317985</v>
      </c>
      <c r="BA167">
        <f t="shared" si="84"/>
        <v>1.3503749361659382E-5</v>
      </c>
      <c r="BB167" s="15">
        <f t="shared" si="85"/>
        <v>3622560.5939707039</v>
      </c>
      <c r="BC167" s="20">
        <f t="shared" si="86"/>
        <v>-31791.456810546108</v>
      </c>
      <c r="BD167" s="19">
        <f t="shared" si="87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8"/>
        <v>2.8502295699234246E-6</v>
      </c>
      <c r="P168" s="8">
        <f t="shared" si="89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60"/>
        <v>64927.182340819876</v>
      </c>
      <c r="X168">
        <v>3.0700163138612249E-2</v>
      </c>
      <c r="Y168">
        <f t="shared" si="61"/>
        <v>5.7072862912243698</v>
      </c>
      <c r="Z168">
        <f t="shared" si="62"/>
        <v>5.7072863391106621</v>
      </c>
      <c r="AA168">
        <f t="shared" si="63"/>
        <v>-4.788629226482044E-8</v>
      </c>
      <c r="AB168">
        <f t="shared" si="64"/>
        <v>1.1131149322071773E-5</v>
      </c>
      <c r="AC168">
        <v>778.01270934136153</v>
      </c>
      <c r="AD168">
        <f t="shared" si="65"/>
        <v>2011.0455553597324</v>
      </c>
      <c r="AE168">
        <f>+gettm2(AD168,AC168,AK168,AL168,テーブル2[[#This Row],[Fcorr]])</f>
        <v>547.48662058970979</v>
      </c>
      <c r="AF168" s="14">
        <f t="shared" si="66"/>
        <v>1.7801271496864501E-6</v>
      </c>
      <c r="AG168">
        <v>1.126997378032779E-5</v>
      </c>
      <c r="AH168">
        <f t="shared" si="67"/>
        <v>32.657046709548162</v>
      </c>
      <c r="AI168">
        <f t="shared" si="68"/>
        <v>0.24143061264274185</v>
      </c>
      <c r="AJ168">
        <f t="shared" si="69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70"/>
        <v>1.5871354414155836</v>
      </c>
      <c r="AM168">
        <f t="shared" si="71"/>
        <v>626.57723582210258</v>
      </c>
      <c r="AN168">
        <f t="shared" si="72"/>
        <v>1.5865452951402403E-8</v>
      </c>
      <c r="AO168">
        <f t="shared" si="73"/>
        <v>1.3882445825601724E-7</v>
      </c>
      <c r="AP168">
        <v>2.4971069189148181</v>
      </c>
      <c r="AQ168">
        <f t="shared" si="74"/>
        <v>3.0348698682702282E-5</v>
      </c>
      <c r="AR168">
        <f t="shared" si="75"/>
        <v>5.7043991192919035E-6</v>
      </c>
      <c r="AS168">
        <f t="shared" si="76"/>
        <v>12.043891333175806</v>
      </c>
      <c r="AT168">
        <f t="shared" si="77"/>
        <v>9.3927879404627568</v>
      </c>
      <c r="AU168">
        <f t="shared" si="78"/>
        <v>2.267706546889281</v>
      </c>
      <c r="AV168">
        <f t="shared" si="79"/>
        <v>0.22940037202553709</v>
      </c>
      <c r="AW168">
        <f t="shared" si="80"/>
        <v>8.8302336882974172E-3</v>
      </c>
      <c r="AX168">
        <f t="shared" si="81"/>
        <v>0.22940036330495284</v>
      </c>
      <c r="AY168">
        <f t="shared" si="82"/>
        <v>8.7205842547177781E-9</v>
      </c>
      <c r="AZ168">
        <f t="shared" si="83"/>
        <v>839091.99888317985</v>
      </c>
      <c r="BA168">
        <f t="shared" si="84"/>
        <v>1.2153543948326845E-5</v>
      </c>
      <c r="BB168" s="15">
        <f t="shared" si="85"/>
        <v>5369883.5286895614</v>
      </c>
      <c r="BC168" s="20">
        <f t="shared" si="86"/>
        <v>-28122.584591688588</v>
      </c>
      <c r="BD168" s="19">
        <f t="shared" si="87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8"/>
        <v>2.8502295699234246E-6</v>
      </c>
      <c r="P169" s="8">
        <f t="shared" si="89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60"/>
        <v>64927.182340819876</v>
      </c>
      <c r="X169">
        <v>3.0700163138612249E-2</v>
      </c>
      <c r="Y169">
        <f t="shared" si="61"/>
        <v>5.7072862912243698</v>
      </c>
      <c r="Z169">
        <f t="shared" si="62"/>
        <v>5.7072863391106621</v>
      </c>
      <c r="AA169">
        <f t="shared" si="63"/>
        <v>-4.788629226482044E-8</v>
      </c>
      <c r="AB169">
        <f t="shared" si="64"/>
        <v>1.1131149322071773E-5</v>
      </c>
      <c r="AC169">
        <v>776.03732814966133</v>
      </c>
      <c r="AD169">
        <f t="shared" si="65"/>
        <v>2011.0455553597324</v>
      </c>
      <c r="AE169">
        <f>+gettm2(AD169,AC169,AK169,AL169,テーブル2[[#This Row],[Fcorr]])</f>
        <v>548.51234060289164</v>
      </c>
      <c r="AF169" s="14">
        <f t="shared" si="66"/>
        <v>1.7603731521376176E-6</v>
      </c>
      <c r="AG169">
        <v>1.1269011981684499E-5</v>
      </c>
      <c r="AH169">
        <f t="shared" si="67"/>
        <v>32.657046709548162</v>
      </c>
      <c r="AI169">
        <f t="shared" si="68"/>
        <v>0.24143061264274185</v>
      </c>
      <c r="AJ169">
        <f t="shared" si="69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70"/>
        <v>1.5871354414155836</v>
      </c>
      <c r="AM169">
        <f t="shared" si="71"/>
        <v>626.57723582241465</v>
      </c>
      <c r="AN169">
        <f t="shared" si="72"/>
        <v>1.5553382581856567E-8</v>
      </c>
      <c r="AO169">
        <f t="shared" si="73"/>
        <v>1.3786265961272685E-7</v>
      </c>
      <c r="AP169">
        <v>2.4969204953411959</v>
      </c>
      <c r="AQ169">
        <f t="shared" si="74"/>
        <v>3.0353230604387527E-5</v>
      </c>
      <c r="AR169">
        <f t="shared" si="75"/>
        <v>5.7034373206486131E-6</v>
      </c>
      <c r="AS169">
        <f t="shared" si="76"/>
        <v>12.041860655079491</v>
      </c>
      <c r="AT169">
        <f t="shared" si="77"/>
        <v>9.3919448369955632</v>
      </c>
      <c r="AU169">
        <f t="shared" si="78"/>
        <v>2.2675029959026749</v>
      </c>
      <c r="AV169">
        <f t="shared" si="79"/>
        <v>0.22941749943852097</v>
      </c>
      <c r="AW169">
        <f t="shared" si="80"/>
        <v>8.8302336882974172E-3</v>
      </c>
      <c r="AX169">
        <f t="shared" si="81"/>
        <v>0.22941749065666359</v>
      </c>
      <c r="AY169">
        <f t="shared" si="82"/>
        <v>8.7818573801801136E-9</v>
      </c>
      <c r="AZ169">
        <f t="shared" si="83"/>
        <v>839091.99888317985</v>
      </c>
      <c r="BA169">
        <f t="shared" si="84"/>
        <v>1.2156266353302475E-5</v>
      </c>
      <c r="BB169" s="15">
        <f t="shared" si="85"/>
        <v>5331485.8360989643</v>
      </c>
      <c r="BC169" s="20">
        <f t="shared" si="86"/>
        <v>-8414.8084322856739</v>
      </c>
      <c r="BD169" s="19">
        <f t="shared" si="87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8"/>
        <v>2.8502295699234246E-6</v>
      </c>
      <c r="P170" s="8">
        <f t="shared" si="89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60"/>
        <v>64927.182340819876</v>
      </c>
      <c r="X170">
        <v>3.0700163138612249E-2</v>
      </c>
      <c r="Y170">
        <f t="shared" si="61"/>
        <v>5.7072862912243698</v>
      </c>
      <c r="Z170">
        <f t="shared" si="62"/>
        <v>5.7072863391106621</v>
      </c>
      <c r="AA170">
        <f t="shared" si="63"/>
        <v>-4.788629226482044E-8</v>
      </c>
      <c r="AB170">
        <f t="shared" si="64"/>
        <v>1.1131149322071773E-5</v>
      </c>
      <c r="AC170">
        <v>747.91536386283485</v>
      </c>
      <c r="AD170">
        <f t="shared" si="65"/>
        <v>2011.0455553597324</v>
      </c>
      <c r="AE170">
        <f>+gettm2(AD170,AC170,AK170,AL170,テーブル2[[#This Row],[Fcorr]])</f>
        <v>563.09433933529408</v>
      </c>
      <c r="AF170" s="14">
        <f t="shared" si="66"/>
        <v>0</v>
      </c>
      <c r="AG170">
        <v>1.1247912836838169E-5</v>
      </c>
      <c r="AH170">
        <f t="shared" si="67"/>
        <v>32.657046709548162</v>
      </c>
      <c r="AI170">
        <f t="shared" si="68"/>
        <v>0.24143061264274185</v>
      </c>
      <c r="AJ170">
        <f t="shared" si="69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70"/>
        <v>1.5871354414155836</v>
      </c>
      <c r="AM170">
        <f t="shared" si="71"/>
        <v>626.57723582712742</v>
      </c>
      <c r="AN170">
        <f t="shared" si="72"/>
        <v>1.0840608410944697E-8</v>
      </c>
      <c r="AO170">
        <f t="shared" si="73"/>
        <v>1.1676351476639698E-7</v>
      </c>
      <c r="AP170">
        <v>2.4928235524922542</v>
      </c>
      <c r="AQ170">
        <f t="shared" si="74"/>
        <v>3.0453083351461134E-5</v>
      </c>
      <c r="AR170">
        <f t="shared" si="75"/>
        <v>5.6823381758022832E-6</v>
      </c>
      <c r="AS170">
        <f t="shared" si="76"/>
        <v>11.997313314958648</v>
      </c>
      <c r="AT170">
        <f t="shared" si="77"/>
        <v>9.37341367150343</v>
      </c>
      <c r="AU170">
        <f t="shared" si="78"/>
        <v>2.2630290052649253</v>
      </c>
      <c r="AV170">
        <f t="shared" si="79"/>
        <v>0.22979454722732884</v>
      </c>
      <c r="AW170">
        <f t="shared" si="80"/>
        <v>8.8302336882974172E-3</v>
      </c>
      <c r="AX170">
        <f t="shared" si="81"/>
        <v>0.22979453713748182</v>
      </c>
      <c r="AY170">
        <f t="shared" si="82"/>
        <v>1.0089847013450282E-8</v>
      </c>
      <c r="AZ170">
        <f t="shared" si="83"/>
        <v>839091.99888317985</v>
      </c>
      <c r="BA170">
        <f t="shared" si="84"/>
        <v>1.2216301198299818E-5</v>
      </c>
      <c r="BB170" s="15">
        <f t="shared" si="85"/>
        <v>4493339.5882711979</v>
      </c>
      <c r="BC170" s="20">
        <f t="shared" si="86"/>
        <v>-11607.579697552137</v>
      </c>
      <c r="BD170" s="19">
        <f t="shared" si="87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8"/>
        <v>2.8502295699234246E-6</v>
      </c>
      <c r="P171" s="8">
        <f t="shared" si="89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60"/>
        <v>65330.456765297022</v>
      </c>
      <c r="X171">
        <v>3.0617085003356879E-2</v>
      </c>
      <c r="Y171">
        <f t="shared" si="61"/>
        <v>5.7150242827932436</v>
      </c>
      <c r="Z171">
        <f t="shared" si="62"/>
        <v>5.7150243315446012</v>
      </c>
      <c r="AA171">
        <f t="shared" si="63"/>
        <v>-4.8751357617504709E-8</v>
      </c>
      <c r="AB171">
        <f t="shared" si="64"/>
        <v>1.1023984021569312E-5</v>
      </c>
      <c r="AC171">
        <v>726.94150230071614</v>
      </c>
      <c r="AD171">
        <f t="shared" si="65"/>
        <v>2020.7967066667375</v>
      </c>
      <c r="AE171">
        <f>+gettm2(AD171,AC171,AK171,AL171,テーブル2[[#This Row],[Fcorr]])</f>
        <v>573.70800508318109</v>
      </c>
      <c r="AF171" s="14">
        <f t="shared" si="66"/>
        <v>0</v>
      </c>
      <c r="AG171">
        <v>1.1125087009633061E-5</v>
      </c>
      <c r="AH171">
        <f t="shared" si="67"/>
        <v>32.974509272747106</v>
      </c>
      <c r="AI171">
        <f t="shared" si="68"/>
        <v>0.24260126063117154</v>
      </c>
      <c r="AJ171">
        <f t="shared" si="69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70"/>
        <v>1.5871354414155836</v>
      </c>
      <c r="AM171">
        <f t="shared" si="71"/>
        <v>626.57723581229743</v>
      </c>
      <c r="AN171">
        <f t="shared" si="72"/>
        <v>2.5670601644378621E-8</v>
      </c>
      <c r="AO171">
        <f t="shared" si="73"/>
        <v>1.0110298806374856E-7</v>
      </c>
      <c r="AP171">
        <v>2.4956449915818411</v>
      </c>
      <c r="AQ171">
        <f t="shared" si="74"/>
        <v>3.0384265109298066E-5</v>
      </c>
      <c r="AR171">
        <f t="shared" si="75"/>
        <v>5.6130949988484047E-6</v>
      </c>
      <c r="AS171">
        <f t="shared" si="76"/>
        <v>11.908581509585712</v>
      </c>
      <c r="AT171">
        <f t="shared" si="77"/>
        <v>9.3362963774184706</v>
      </c>
      <c r="AU171">
        <f t="shared" si="78"/>
        <v>2.2649972707879611</v>
      </c>
      <c r="AV171">
        <f t="shared" si="79"/>
        <v>0.23064772079387996</v>
      </c>
      <c r="AW171">
        <f t="shared" si="80"/>
        <v>8.7452204862162129E-3</v>
      </c>
      <c r="AX171">
        <f t="shared" si="81"/>
        <v>0.23064771139980864</v>
      </c>
      <c r="AY171">
        <f t="shared" si="82"/>
        <v>9.394071326385145E-9</v>
      </c>
      <c r="AZ171">
        <f t="shared" si="83"/>
        <v>839091.99888317985</v>
      </c>
      <c r="BA171">
        <f t="shared" si="84"/>
        <v>1.2174914786273061E-5</v>
      </c>
      <c r="BB171" s="15">
        <f t="shared" si="85"/>
        <v>3903910.7056132867</v>
      </c>
      <c r="BC171" s="20">
        <f t="shared" si="86"/>
        <v>13981.5063945367</v>
      </c>
      <c r="BD171" s="19">
        <f t="shared" si="87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8"/>
        <v>2.8502295699234246E-6</v>
      </c>
      <c r="P172" s="8">
        <f t="shared" si="89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60"/>
        <v>65733.73118977416</v>
      </c>
      <c r="X172">
        <v>3.0534849970872351E-2</v>
      </c>
      <c r="Y172">
        <f t="shared" si="61"/>
        <v>5.7227148266235046</v>
      </c>
      <c r="Z172">
        <f t="shared" si="62"/>
        <v>5.7227148750663437</v>
      </c>
      <c r="AA172">
        <f t="shared" si="63"/>
        <v>-4.8442839073459254E-8</v>
      </c>
      <c r="AB172">
        <f t="shared" si="64"/>
        <v>1.091846144392627E-5</v>
      </c>
      <c r="AC172">
        <v>742.96715502209327</v>
      </c>
      <c r="AD172">
        <f t="shared" si="65"/>
        <v>2030.5383233820594</v>
      </c>
      <c r="AE172">
        <f>+gettm2(AD172,AC172,AK172,AL172,テーブル2[[#This Row],[Fcorr]])</f>
        <v>564.98541206768834</v>
      </c>
      <c r="AF172" s="14">
        <f t="shared" si="66"/>
        <v>0</v>
      </c>
      <c r="AG172">
        <v>1.103148532235502E-5</v>
      </c>
      <c r="AH172">
        <f t="shared" si="67"/>
        <v>33.2931947608852</v>
      </c>
      <c r="AI172">
        <f t="shared" si="68"/>
        <v>0.24377076397009029</v>
      </c>
      <c r="AJ172">
        <f t="shared" si="69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70"/>
        <v>1.5871354414155836</v>
      </c>
      <c r="AM172">
        <f t="shared" si="71"/>
        <v>626.57723583270365</v>
      </c>
      <c r="AN172">
        <f t="shared" si="72"/>
        <v>5.2643827075371519E-9</v>
      </c>
      <c r="AO172">
        <f t="shared" si="73"/>
        <v>1.1302387842875032E-7</v>
      </c>
      <c r="AP172">
        <v>2.503874833350225</v>
      </c>
      <c r="AQ172">
        <f t="shared" si="74"/>
        <v>3.0184856783716305E-5</v>
      </c>
      <c r="AR172">
        <f t="shared" si="75"/>
        <v>5.5722546003918854E-6</v>
      </c>
      <c r="AS172">
        <f t="shared" si="76"/>
        <v>11.878925473740374</v>
      </c>
      <c r="AT172">
        <f t="shared" si="77"/>
        <v>9.3238293075272445</v>
      </c>
      <c r="AU172">
        <f t="shared" si="78"/>
        <v>2.2728769934226345</v>
      </c>
      <c r="AV172">
        <f t="shared" si="79"/>
        <v>0.23099783992759049</v>
      </c>
      <c r="AW172">
        <f t="shared" si="80"/>
        <v>8.6615104403782745E-3</v>
      </c>
      <c r="AX172">
        <f t="shared" si="81"/>
        <v>0.23099783325825934</v>
      </c>
      <c r="AY172">
        <f t="shared" si="82"/>
        <v>6.6693311429055768E-9</v>
      </c>
      <c r="AZ172">
        <f t="shared" si="83"/>
        <v>839091.99888317985</v>
      </c>
      <c r="BA172">
        <f t="shared" si="84"/>
        <v>1.2055257867394466E-5</v>
      </c>
      <c r="BB172" s="15">
        <f t="shared" si="85"/>
        <v>4407532.4253070801</v>
      </c>
      <c r="BC172" s="20">
        <f t="shared" si="86"/>
        <v>2913.8276508301497</v>
      </c>
      <c r="BD172" s="19">
        <f t="shared" si="87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8"/>
        <v>2.8502295699234246E-6</v>
      </c>
      <c r="P173" s="8">
        <f t="shared" si="89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60"/>
        <v>65733.73118977416</v>
      </c>
      <c r="X173">
        <v>3.0534849970872351E-2</v>
      </c>
      <c r="Y173">
        <f t="shared" si="61"/>
        <v>5.7227148266235046</v>
      </c>
      <c r="Z173">
        <f t="shared" si="62"/>
        <v>5.7227148750663437</v>
      </c>
      <c r="AA173">
        <f t="shared" si="63"/>
        <v>-4.8442839073459254E-8</v>
      </c>
      <c r="AB173">
        <f t="shared" si="64"/>
        <v>1.091846144392627E-5</v>
      </c>
      <c r="AC173">
        <v>726.65993029131664</v>
      </c>
      <c r="AD173">
        <f t="shared" si="65"/>
        <v>2030.5383233820594</v>
      </c>
      <c r="AE173">
        <f>+gettm2(AD173,AC173,AK173,AL173,テーブル2[[#This Row],[Fcorr]])</f>
        <v>573.56233296332073</v>
      </c>
      <c r="AF173" s="14">
        <f t="shared" si="66"/>
        <v>1.2665992699112394E-6</v>
      </c>
      <c r="AG173">
        <v>1.10192118964619E-5</v>
      </c>
      <c r="AH173">
        <f t="shared" si="67"/>
        <v>33.2931947608852</v>
      </c>
      <c r="AI173">
        <f t="shared" si="68"/>
        <v>0.24377076397009029</v>
      </c>
      <c r="AJ173">
        <f t="shared" si="69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70"/>
        <v>1.5871354414155836</v>
      </c>
      <c r="AM173">
        <f t="shared" si="71"/>
        <v>626.57723581179516</v>
      </c>
      <c r="AN173">
        <f t="shared" si="72"/>
        <v>2.6172870093432721E-8</v>
      </c>
      <c r="AO173">
        <f t="shared" si="73"/>
        <v>1.0075045253562996E-7</v>
      </c>
      <c r="AP173">
        <v>2.5014144403560001</v>
      </c>
      <c r="AQ173">
        <f t="shared" si="74"/>
        <v>3.0244265679186361E-5</v>
      </c>
      <c r="AR173">
        <f t="shared" si="75"/>
        <v>5.559981174498765E-6</v>
      </c>
      <c r="AS173">
        <f t="shared" si="76"/>
        <v>11.852760999582713</v>
      </c>
      <c r="AT173">
        <f t="shared" si="77"/>
        <v>9.3128041809361175</v>
      </c>
      <c r="AU173">
        <f t="shared" si="78"/>
        <v>2.2701893898906484</v>
      </c>
      <c r="AV173">
        <f t="shared" si="79"/>
        <v>0.23122505046535169</v>
      </c>
      <c r="AW173">
        <f t="shared" si="80"/>
        <v>8.6615104403782745E-3</v>
      </c>
      <c r="AX173">
        <f t="shared" si="81"/>
        <v>0.231225042888723</v>
      </c>
      <c r="AY173">
        <f t="shared" si="82"/>
        <v>7.5766286855571963E-9</v>
      </c>
      <c r="AZ173">
        <f t="shared" si="83"/>
        <v>839091.99888317985</v>
      </c>
      <c r="BA173">
        <f t="shared" si="84"/>
        <v>1.209086554840629E-5</v>
      </c>
      <c r="BB173" s="15">
        <f t="shared" si="85"/>
        <v>3917341.4525249451</v>
      </c>
      <c r="BC173" s="20">
        <f t="shared" si="86"/>
        <v>14691.15955619514</v>
      </c>
      <c r="BD173" s="19">
        <f t="shared" si="87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8"/>
        <v>2.8502295699234246E-6</v>
      </c>
      <c r="P174" s="8">
        <f t="shared" si="89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60"/>
        <v>82267.982593336987</v>
      </c>
      <c r="X174">
        <v>2.7749153624474179E-2</v>
      </c>
      <c r="Y174">
        <f t="shared" si="61"/>
        <v>6.0030937998120235</v>
      </c>
      <c r="Z174">
        <f t="shared" si="62"/>
        <v>6.0030938065793782</v>
      </c>
      <c r="AA174">
        <f t="shared" si="63"/>
        <v>-6.767354676640025E-9</v>
      </c>
      <c r="AB174">
        <f t="shared" si="64"/>
        <v>7.6704769287397069E-6</v>
      </c>
      <c r="AC174">
        <v>720.37071138322631</v>
      </c>
      <c r="AD174">
        <f t="shared" si="65"/>
        <v>2422.5945115211684</v>
      </c>
      <c r="AE174">
        <f>+gettm2(AD174,AC174,AK174,AL174,テーブル2[[#This Row],[Fcorr]])</f>
        <v>566.15034492094946</v>
      </c>
      <c r="AF174" s="14">
        <f t="shared" si="66"/>
        <v>0</v>
      </c>
      <c r="AG174">
        <v>7.7617947172481563E-6</v>
      </c>
      <c r="AH174">
        <f t="shared" si="67"/>
        <v>47.390855447313051</v>
      </c>
      <c r="AI174">
        <f t="shared" si="68"/>
        <v>0.29083800490878275</v>
      </c>
      <c r="AJ174">
        <f t="shared" si="69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70"/>
        <v>1.5871354414155836</v>
      </c>
      <c r="AM174">
        <f t="shared" si="71"/>
        <v>626.57723581479127</v>
      </c>
      <c r="AN174">
        <f t="shared" si="72"/>
        <v>2.3176767172117252E-8</v>
      </c>
      <c r="AO174">
        <f t="shared" si="73"/>
        <v>9.1317788508449337E-8</v>
      </c>
      <c r="AP174">
        <v>2.7137118997028788</v>
      </c>
      <c r="AQ174">
        <f t="shared" si="74"/>
        <v>2.5697263135685243E-5</v>
      </c>
      <c r="AR174">
        <f t="shared" si="75"/>
        <v>3.9265562528783028E-6</v>
      </c>
      <c r="AS174">
        <f t="shared" si="76"/>
        <v>9.9868279552777963</v>
      </c>
      <c r="AT174">
        <f t="shared" si="77"/>
        <v>8.4563351012273298</v>
      </c>
      <c r="AU174">
        <f t="shared" si="78"/>
        <v>2.4594236296810661</v>
      </c>
      <c r="AV174">
        <f t="shared" si="79"/>
        <v>0.25428827002181276</v>
      </c>
      <c r="AW174">
        <f t="shared" si="80"/>
        <v>6.0849155663701858E-3</v>
      </c>
      <c r="AX174">
        <f t="shared" si="81"/>
        <v>0.25428826619946304</v>
      </c>
      <c r="AY174">
        <f t="shared" si="82"/>
        <v>3.8223497145217777E-9</v>
      </c>
      <c r="AZ174">
        <f t="shared" si="83"/>
        <v>839091.99888317985</v>
      </c>
      <c r="BA174">
        <f t="shared" si="84"/>
        <v>9.4694146193259519E-6</v>
      </c>
      <c r="BB174" s="15">
        <f t="shared" si="85"/>
        <v>4533504.668405964</v>
      </c>
      <c r="BC174" s="20">
        <f t="shared" si="86"/>
        <v>-11563.690969035961</v>
      </c>
      <c r="BD174" s="19">
        <f t="shared" si="87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8"/>
        <v>2.8502295699234246E-6</v>
      </c>
      <c r="P175" s="8">
        <f t="shared" si="89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60"/>
        <v>83881.080291245555</v>
      </c>
      <c r="X175">
        <v>2.7526308797267519E-2</v>
      </c>
      <c r="Y175">
        <f t="shared" si="61"/>
        <v>6.0273444501828584</v>
      </c>
      <c r="Z175">
        <f t="shared" si="62"/>
        <v>6.0273444803686127</v>
      </c>
      <c r="AA175">
        <f t="shared" si="63"/>
        <v>-3.0185754340550375E-8</v>
      </c>
      <c r="AB175">
        <f t="shared" si="64"/>
        <v>7.4380277893052746E-6</v>
      </c>
      <c r="AC175">
        <v>689.56169051886479</v>
      </c>
      <c r="AD175">
        <f t="shared" si="65"/>
        <v>2460.1580836065191</v>
      </c>
      <c r="AE175">
        <f>+gettm2(AD175,AC175,AK175,AL175,テーブル2[[#This Row],[Fcorr]])</f>
        <v>585.22110890237968</v>
      </c>
      <c r="AF175" s="14">
        <f t="shared" si="66"/>
        <v>0</v>
      </c>
      <c r="AG175">
        <v>7.5056050981652022E-6</v>
      </c>
      <c r="AH175">
        <f t="shared" si="67"/>
        <v>48.871888306806888</v>
      </c>
      <c r="AI175">
        <f t="shared" si="68"/>
        <v>0.29534759754205048</v>
      </c>
      <c r="AJ175">
        <f t="shared" si="69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70"/>
        <v>1.5871354414155836</v>
      </c>
      <c r="AM175">
        <f t="shared" si="71"/>
        <v>626.57723582204869</v>
      </c>
      <c r="AN175">
        <f t="shared" si="72"/>
        <v>1.5919340512482449E-8</v>
      </c>
      <c r="AO175">
        <f t="shared" si="73"/>
        <v>6.7577308859927597E-8</v>
      </c>
      <c r="AP175">
        <v>2.7239410138607738</v>
      </c>
      <c r="AQ175">
        <f t="shared" si="74"/>
        <v>2.5504625569601364E-5</v>
      </c>
      <c r="AR175">
        <f t="shared" si="75"/>
        <v>3.7865912035125649E-6</v>
      </c>
      <c r="AS175">
        <f t="shared" si="76"/>
        <v>9.7801710851808661</v>
      </c>
      <c r="AT175">
        <f t="shared" si="77"/>
        <v>8.3517848863299768</v>
      </c>
      <c r="AU175">
        <f t="shared" si="78"/>
        <v>2.4666796013655659</v>
      </c>
      <c r="AV175">
        <f t="shared" si="79"/>
        <v>0.25726141249520795</v>
      </c>
      <c r="AW175">
        <f t="shared" si="80"/>
        <v>5.9005158999512249E-3</v>
      </c>
      <c r="AX175">
        <f t="shared" si="81"/>
        <v>0.25726141060186225</v>
      </c>
      <c r="AY175">
        <f t="shared" si="82"/>
        <v>1.8933457024417066E-9</v>
      </c>
      <c r="AZ175">
        <f t="shared" si="83"/>
        <v>839091.99888317985</v>
      </c>
      <c r="BA175">
        <f t="shared" si="84"/>
        <v>9.3631343115805664E-6</v>
      </c>
      <c r="BB175" s="15">
        <f t="shared" si="85"/>
        <v>3392981.2057726914</v>
      </c>
      <c r="BC175" s="20">
        <f t="shared" si="86"/>
        <v>12094.858116441406</v>
      </c>
      <c r="BD175" s="19">
        <f t="shared" si="87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8"/>
        <v>2.8502295699234246E-6</v>
      </c>
      <c r="P176" s="8">
        <f t="shared" si="89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60"/>
        <v>84687.629140199861</v>
      </c>
      <c r="X176">
        <v>2.7417489253573679E-2</v>
      </c>
      <c r="Y176">
        <f t="shared" si="61"/>
        <v>6.0392938184881579</v>
      </c>
      <c r="Z176">
        <f t="shared" si="62"/>
        <v>6.0392938316842111</v>
      </c>
      <c r="AA176">
        <f t="shared" si="63"/>
        <v>-1.319605313909733E-8</v>
      </c>
      <c r="AB176">
        <f t="shared" si="64"/>
        <v>7.3259874902453786E-6</v>
      </c>
      <c r="AC176">
        <v>761.59762223365487</v>
      </c>
      <c r="AD176">
        <f t="shared" si="65"/>
        <v>2478.8989676378092</v>
      </c>
      <c r="AE176">
        <f>+gettm2(AD176,AC176,AK176,AL176,テーブル2[[#This Row],[Fcorr]])</f>
        <v>537.74387614745763</v>
      </c>
      <c r="AF176" s="14">
        <f t="shared" si="66"/>
        <v>0</v>
      </c>
      <c r="AG176">
        <v>7.4468232207589724E-6</v>
      </c>
      <c r="AH176">
        <f t="shared" si="67"/>
        <v>49.619312594496073</v>
      </c>
      <c r="AI176">
        <f t="shared" si="68"/>
        <v>0.29759748347878728</v>
      </c>
      <c r="AJ176">
        <f t="shared" si="69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70"/>
        <v>1.5871354414155836</v>
      </c>
      <c r="AM176">
        <f t="shared" si="71"/>
        <v>626.57723587827422</v>
      </c>
      <c r="AN176">
        <f t="shared" si="72"/>
        <v>-4.0306190385308582E-8</v>
      </c>
      <c r="AO176">
        <f t="shared" si="73"/>
        <v>1.2083573051359375E-7</v>
      </c>
      <c r="AP176">
        <v>2.752233140949587</v>
      </c>
      <c r="AQ176">
        <f t="shared" si="74"/>
        <v>2.4982960973471004E-5</v>
      </c>
      <c r="AR176">
        <f t="shared" si="75"/>
        <v>3.7838294756362831E-6</v>
      </c>
      <c r="AS176">
        <f t="shared" si="76"/>
        <v>9.8474865940916469</v>
      </c>
      <c r="AT176">
        <f t="shared" si="77"/>
        <v>8.3860812725527634</v>
      </c>
      <c r="AU176">
        <f t="shared" si="78"/>
        <v>2.4956766829602883</v>
      </c>
      <c r="AV176">
        <f t="shared" si="79"/>
        <v>0.25655645798929871</v>
      </c>
      <c r="AW176">
        <f t="shared" si="80"/>
        <v>5.8116354084063087E-3</v>
      </c>
      <c r="AX176">
        <f t="shared" si="81"/>
        <v>0.25655644981672587</v>
      </c>
      <c r="AY176">
        <f t="shared" si="82"/>
        <v>8.1725728406922826E-9</v>
      </c>
      <c r="AZ176">
        <f t="shared" si="83"/>
        <v>839091.99888317985</v>
      </c>
      <c r="BA176">
        <f t="shared" si="84"/>
        <v>9.07734181445518E-6</v>
      </c>
      <c r="BB176" s="15">
        <f t="shared" si="85"/>
        <v>6258042.3378954269</v>
      </c>
      <c r="BC176" s="20">
        <f t="shared" si="86"/>
        <v>-20021.626948323101</v>
      </c>
      <c r="BD176" s="19">
        <f t="shared" si="87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8"/>
        <v>2.8502295699234246E-6</v>
      </c>
      <c r="P177" s="8">
        <f t="shared" si="89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60"/>
        <v>84687.629140199861</v>
      </c>
      <c r="X177">
        <v>2.7417489253573679E-2</v>
      </c>
      <c r="Y177">
        <f t="shared" si="61"/>
        <v>6.0392938184881579</v>
      </c>
      <c r="Z177">
        <f t="shared" si="62"/>
        <v>6.0392938316842111</v>
      </c>
      <c r="AA177">
        <f t="shared" si="63"/>
        <v>-1.319605313909733E-8</v>
      </c>
      <c r="AB177">
        <f t="shared" si="64"/>
        <v>7.3259874902453786E-6</v>
      </c>
      <c r="AC177">
        <v>688.80484788828153</v>
      </c>
      <c r="AD177">
        <f t="shared" si="65"/>
        <v>2478.8989676378092</v>
      </c>
      <c r="AE177">
        <f>+gettm2(AD177,AC177,AK177,AL177,テーブル2[[#This Row],[Fcorr]])</f>
        <v>585.38547523747764</v>
      </c>
      <c r="AF177" s="14">
        <f t="shared" si="66"/>
        <v>0</v>
      </c>
      <c r="AG177">
        <v>7.3931100003053836E-6</v>
      </c>
      <c r="AH177">
        <f t="shared" si="67"/>
        <v>49.619312594496073</v>
      </c>
      <c r="AI177">
        <f t="shared" si="68"/>
        <v>0.29759748347878728</v>
      </c>
      <c r="AJ177">
        <f t="shared" si="69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70"/>
        <v>1.5871354414155836</v>
      </c>
      <c r="AM177">
        <f t="shared" si="71"/>
        <v>626.57723589312366</v>
      </c>
      <c r="AN177">
        <f t="shared" si="72"/>
        <v>-5.5155624067992903E-8</v>
      </c>
      <c r="AO177">
        <f t="shared" si="73"/>
        <v>6.712251006000496E-8</v>
      </c>
      <c r="AP177">
        <v>2.7327849201010288</v>
      </c>
      <c r="AQ177">
        <f t="shared" si="74"/>
        <v>2.5339815281526499E-5</v>
      </c>
      <c r="AR177">
        <f t="shared" si="75"/>
        <v>3.7301162551826943E-6</v>
      </c>
      <c r="AS177">
        <f t="shared" si="76"/>
        <v>9.7076969387311198</v>
      </c>
      <c r="AT177">
        <f t="shared" si="77"/>
        <v>8.3145953484691706</v>
      </c>
      <c r="AU177">
        <f t="shared" si="78"/>
        <v>2.4744026518488558</v>
      </c>
      <c r="AV177">
        <f t="shared" si="79"/>
        <v>0.25838226825217303</v>
      </c>
      <c r="AW177">
        <f t="shared" si="80"/>
        <v>5.8116354084063087E-3</v>
      </c>
      <c r="AX177">
        <f t="shared" si="81"/>
        <v>0.25838226730402863</v>
      </c>
      <c r="AY177">
        <f t="shared" si="82"/>
        <v>9.4814439632884273E-10</v>
      </c>
      <c r="AZ177">
        <f t="shared" si="83"/>
        <v>839091.99888317985</v>
      </c>
      <c r="BA177">
        <f t="shared" si="84"/>
        <v>9.2725245573258313E-6</v>
      </c>
      <c r="BB177" s="15">
        <f t="shared" si="85"/>
        <v>3403078.842527444</v>
      </c>
      <c r="BC177" s="20">
        <f t="shared" si="86"/>
        <v>24227.768308694009</v>
      </c>
      <c r="BD177" s="19">
        <f t="shared" si="87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8"/>
        <v>2.8502295699234246E-6</v>
      </c>
      <c r="P178" s="8">
        <f t="shared" si="89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60"/>
        <v>85494.177989154137</v>
      </c>
      <c r="X178">
        <v>2.7310346611720542E-2</v>
      </c>
      <c r="Y178">
        <f t="shared" si="61"/>
        <v>6.0511287561987661</v>
      </c>
      <c r="Z178">
        <f t="shared" si="62"/>
        <v>6.0511287704394805</v>
      </c>
      <c r="AA178">
        <f t="shared" si="63"/>
        <v>-1.4240714385493902E-8</v>
      </c>
      <c r="AB178">
        <f t="shared" si="64"/>
        <v>7.2166145598045175E-6</v>
      </c>
      <c r="AC178">
        <v>727.57907428259307</v>
      </c>
      <c r="AD178">
        <f t="shared" si="65"/>
        <v>2497.613067073316</v>
      </c>
      <c r="AE178">
        <f>+gettm2(AD178,AC178,AK178,AL178,テーブル2[[#This Row],[Fcorr]])</f>
        <v>559.41317057263575</v>
      </c>
      <c r="AF178" s="14">
        <f t="shared" si="66"/>
        <v>1.2757906233673566E-6</v>
      </c>
      <c r="AG178">
        <v>7.3132384476773629E-6</v>
      </c>
      <c r="AH178">
        <f t="shared" si="67"/>
        <v>50.371328595897729</v>
      </c>
      <c r="AI178">
        <f t="shared" si="68"/>
        <v>0.29984415386361774</v>
      </c>
      <c r="AJ178">
        <f t="shared" si="69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70"/>
        <v>1.5871354414155836</v>
      </c>
      <c r="AM178">
        <f t="shared" si="71"/>
        <v>626.57723581205835</v>
      </c>
      <c r="AN178">
        <f t="shared" si="72"/>
        <v>2.590968506410718E-8</v>
      </c>
      <c r="AO178">
        <f t="shared" si="73"/>
        <v>9.6623887872845422E-8</v>
      </c>
      <c r="AP178">
        <v>2.7526553045083459</v>
      </c>
      <c r="AQ178">
        <f t="shared" si="74"/>
        <v>2.4975298490683309E-5</v>
      </c>
      <c r="AR178">
        <f t="shared" si="75"/>
        <v>3.7049311677751041E-6</v>
      </c>
      <c r="AS178">
        <f t="shared" si="76"/>
        <v>9.7149443540601581</v>
      </c>
      <c r="AT178">
        <f t="shared" si="77"/>
        <v>8.318326774878253</v>
      </c>
      <c r="AU178">
        <f t="shared" si="78"/>
        <v>2.494201653374446</v>
      </c>
      <c r="AV178">
        <f t="shared" si="79"/>
        <v>0.25845365113389995</v>
      </c>
      <c r="AW178">
        <f t="shared" si="80"/>
        <v>5.7248709147298413E-3</v>
      </c>
      <c r="AX178">
        <f t="shared" si="81"/>
        <v>0.25845364261977266</v>
      </c>
      <c r="AY178">
        <f t="shared" si="82"/>
        <v>8.5141272920807864E-9</v>
      </c>
      <c r="AZ178">
        <f t="shared" si="83"/>
        <v>839091.99888317985</v>
      </c>
      <c r="BA178">
        <f t="shared" si="84"/>
        <v>9.0731659898638008E-6</v>
      </c>
      <c r="BB178" s="15">
        <f t="shared" si="85"/>
        <v>5006422.1420712713</v>
      </c>
      <c r="BC178" s="20">
        <f t="shared" si="86"/>
        <v>7578.4897275213152</v>
      </c>
      <c r="BD178" s="19">
        <f t="shared" si="87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8"/>
        <v>2.8502295699234246E-6</v>
      </c>
      <c r="P179" s="8">
        <f t="shared" si="89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60"/>
        <v>85897.452413631268</v>
      </c>
      <c r="X179">
        <v>2.725739080054396E-2</v>
      </c>
      <c r="Y179">
        <f t="shared" si="61"/>
        <v>6.0570039873577297</v>
      </c>
      <c r="Z179">
        <f t="shared" si="62"/>
        <v>6.0570039906741773</v>
      </c>
      <c r="AA179">
        <f t="shared" si="63"/>
        <v>-3.3164475610192312E-9</v>
      </c>
      <c r="AB179">
        <f t="shared" si="64"/>
        <v>7.1629011260640252E-6</v>
      </c>
      <c r="AC179">
        <v>760.13715317234971</v>
      </c>
      <c r="AD179">
        <f t="shared" si="65"/>
        <v>2506.9601743329754</v>
      </c>
      <c r="AE179">
        <f>+gettm2(AD179,AC179,AK179,AL179,テーブル2[[#This Row],[Fcorr]])</f>
        <v>537.65718989493678</v>
      </c>
      <c r="AF179" s="14">
        <f t="shared" si="66"/>
        <v>0</v>
      </c>
      <c r="AG179">
        <v>7.2831778316785646E-6</v>
      </c>
      <c r="AH179">
        <f t="shared" si="67"/>
        <v>50.749055018940382</v>
      </c>
      <c r="AI179">
        <f t="shared" si="68"/>
        <v>0.30096629544122777</v>
      </c>
      <c r="AJ179">
        <f t="shared" si="69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70"/>
        <v>1.5871354414155836</v>
      </c>
      <c r="AM179">
        <f t="shared" si="71"/>
        <v>626.57723578996365</v>
      </c>
      <c r="AN179">
        <f t="shared" si="72"/>
        <v>4.800438091479009E-8</v>
      </c>
      <c r="AO179">
        <f t="shared" si="73"/>
        <v>1.2027670561453937E-7</v>
      </c>
      <c r="AP179">
        <v>2.766022505835688</v>
      </c>
      <c r="AQ179">
        <f t="shared" si="74"/>
        <v>2.4734488335482665E-5</v>
      </c>
      <c r="AR179">
        <f t="shared" si="75"/>
        <v>3.701727268646552E-6</v>
      </c>
      <c r="AS179">
        <f t="shared" si="76"/>
        <v>9.7428691220359998</v>
      </c>
      <c r="AT179">
        <f t="shared" si="77"/>
        <v>8.3326782266391692</v>
      </c>
      <c r="AU179">
        <f t="shared" si="78"/>
        <v>2.5078552969753702</v>
      </c>
      <c r="AV179">
        <f t="shared" si="79"/>
        <v>0.25816720886031774</v>
      </c>
      <c r="AW179">
        <f t="shared" si="80"/>
        <v>5.6822605644051951E-3</v>
      </c>
      <c r="AX179">
        <f t="shared" si="81"/>
        <v>0.25816719497561214</v>
      </c>
      <c r="AY179">
        <f t="shared" si="82"/>
        <v>1.3884705607480896E-8</v>
      </c>
      <c r="AZ179">
        <f t="shared" si="83"/>
        <v>839091.99888317985</v>
      </c>
      <c r="BA179">
        <f t="shared" si="84"/>
        <v>8.9422585258429504E-6</v>
      </c>
      <c r="BB179" s="15">
        <f t="shared" si="85"/>
        <v>6323188.3337698299</v>
      </c>
      <c r="BC179" s="20">
        <f t="shared" si="86"/>
        <v>17524.271269829944</v>
      </c>
      <c r="BD179" s="19">
        <f t="shared" si="87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8"/>
        <v>2.8502295699234246E-6</v>
      </c>
      <c r="P180" s="8">
        <f t="shared" si="89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60"/>
        <v>85897.452413631268</v>
      </c>
      <c r="X180">
        <v>2.725739080054396E-2</v>
      </c>
      <c r="Y180">
        <f t="shared" si="61"/>
        <v>6.0570039873577297</v>
      </c>
      <c r="Z180">
        <f t="shared" si="62"/>
        <v>6.0570039906741773</v>
      </c>
      <c r="AA180">
        <f t="shared" si="63"/>
        <v>-3.3164475610192312E-9</v>
      </c>
      <c r="AB180">
        <f t="shared" si="64"/>
        <v>7.1629011260640252E-6</v>
      </c>
      <c r="AC180">
        <v>727.34081168522437</v>
      </c>
      <c r="AD180">
        <f t="shared" si="65"/>
        <v>2506.9601743329754</v>
      </c>
      <c r="AE180">
        <f>+gettm2(AD180,AC180,AK180,AL180,テーブル2[[#This Row],[Fcorr]])</f>
        <v>559.3039879396822</v>
      </c>
      <c r="AF180" s="14">
        <f t="shared" si="66"/>
        <v>1.2734080883092247E-6</v>
      </c>
      <c r="AG180">
        <v>7.2589916374258428E-6</v>
      </c>
      <c r="AH180">
        <f t="shared" si="67"/>
        <v>50.749055018940382</v>
      </c>
      <c r="AI180">
        <f t="shared" si="68"/>
        <v>0.30096629544122777</v>
      </c>
      <c r="AJ180">
        <f t="shared" si="69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70"/>
        <v>1.5871354414155836</v>
      </c>
      <c r="AM180">
        <f t="shared" si="71"/>
        <v>626.57723579169783</v>
      </c>
      <c r="AN180">
        <f t="shared" si="72"/>
        <v>4.6270201892184559E-8</v>
      </c>
      <c r="AO180">
        <f t="shared" si="73"/>
        <v>9.6090511361817544E-8</v>
      </c>
      <c r="AP180">
        <v>2.757002658031952</v>
      </c>
      <c r="AQ180">
        <f t="shared" si="74"/>
        <v>2.4896596464259274E-5</v>
      </c>
      <c r="AR180">
        <f t="shared" si="75"/>
        <v>3.6775410743938302E-6</v>
      </c>
      <c r="AS180">
        <f t="shared" si="76"/>
        <v>9.6792115621827133</v>
      </c>
      <c r="AT180">
        <f t="shared" si="77"/>
        <v>8.2999022389175128</v>
      </c>
      <c r="AU180">
        <f t="shared" si="78"/>
        <v>2.4979908293713562</v>
      </c>
      <c r="AV180">
        <f t="shared" si="79"/>
        <v>0.2590118286605958</v>
      </c>
      <c r="AW180">
        <f t="shared" si="80"/>
        <v>5.6822605644051951E-3</v>
      </c>
      <c r="AX180">
        <f t="shared" si="81"/>
        <v>0.25901181832039327</v>
      </c>
      <c r="AY180">
        <f t="shared" si="82"/>
        <v>1.0340202527547859E-8</v>
      </c>
      <c r="AZ180">
        <f t="shared" si="83"/>
        <v>839091.99888317985</v>
      </c>
      <c r="BA180">
        <f t="shared" si="84"/>
        <v>9.0303128260425273E-6</v>
      </c>
      <c r="BB180" s="15">
        <f t="shared" si="85"/>
        <v>5002412.7631623624</v>
      </c>
      <c r="BC180" s="20">
        <f t="shared" si="86"/>
        <v>-8951.9829313876107</v>
      </c>
      <c r="BD180" s="19">
        <f t="shared" si="87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8"/>
        <v>2.8502295699234246E-6</v>
      </c>
      <c r="P181" s="8">
        <f t="shared" si="89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60"/>
        <v>102431.70381719411</v>
      </c>
      <c r="X181">
        <v>2.5384208624571459E-2</v>
      </c>
      <c r="Y181">
        <f t="shared" si="61"/>
        <v>6.2765094318285328</v>
      </c>
      <c r="Z181">
        <f t="shared" si="62"/>
        <v>6.2765094327444357</v>
      </c>
      <c r="AA181">
        <f t="shared" si="63"/>
        <v>-9.1590290907106464E-10</v>
      </c>
      <c r="AB181">
        <f t="shared" si="64"/>
        <v>5.4088057229598882E-6</v>
      </c>
      <c r="AC181">
        <v>680.92368076684011</v>
      </c>
      <c r="AD181">
        <f t="shared" si="65"/>
        <v>2884.969470862759</v>
      </c>
      <c r="AE181">
        <f>+gettm2(AD181,AC181,AK181,AL181,テーブル2[[#This Row],[Fcorr]])</f>
        <v>584.43623605931248</v>
      </c>
      <c r="AF181" s="14">
        <f t="shared" si="66"/>
        <v>8.0923666700982722E-7</v>
      </c>
      <c r="AG181">
        <v>5.4678948822404113E-6</v>
      </c>
      <c r="AH181">
        <f t="shared" si="67"/>
        <v>67.207158467309014</v>
      </c>
      <c r="AI181">
        <f t="shared" si="68"/>
        <v>0.34634717495567147</v>
      </c>
      <c r="AJ181">
        <f t="shared" si="69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70"/>
        <v>1.5871354414155836</v>
      </c>
      <c r="AM181">
        <f t="shared" si="71"/>
        <v>626.57723592647744</v>
      </c>
      <c r="AN181">
        <f t="shared" si="72"/>
        <v>-8.8509409579273779E-8</v>
      </c>
      <c r="AO181">
        <f t="shared" si="73"/>
        <v>5.9089159280523073E-8</v>
      </c>
      <c r="AP181">
        <v>2.9058181096176119</v>
      </c>
      <c r="AQ181">
        <f t="shared" si="74"/>
        <v>2.2411839189928783E-5</v>
      </c>
      <c r="AR181">
        <f t="shared" si="75"/>
        <v>2.7634920207604672E-6</v>
      </c>
      <c r="AS181">
        <f t="shared" si="76"/>
        <v>8.3701733468417654</v>
      </c>
      <c r="AT181">
        <f t="shared" si="77"/>
        <v>7.5733729739087963</v>
      </c>
      <c r="AU181">
        <f t="shared" si="78"/>
        <v>2.6230163343989439</v>
      </c>
      <c r="AV181">
        <f t="shared" si="79"/>
        <v>0.28280177521866801</v>
      </c>
      <c r="AW181">
        <f t="shared" si="80"/>
        <v>4.2907535535105738E-3</v>
      </c>
      <c r="AX181">
        <f t="shared" si="81"/>
        <v>0.28280177206185142</v>
      </c>
      <c r="AY181">
        <f t="shared" si="82"/>
        <v>3.1568165859141573E-9</v>
      </c>
      <c r="AZ181">
        <f t="shared" si="83"/>
        <v>839091.99888317985</v>
      </c>
      <c r="BA181">
        <f t="shared" si="84"/>
        <v>7.7127467530574529E-6</v>
      </c>
      <c r="BB181" s="15">
        <f t="shared" si="85"/>
        <v>3601642.0963915493</v>
      </c>
      <c r="BC181" s="20">
        <f t="shared" si="86"/>
        <v>-30317.766889700666</v>
      </c>
      <c r="BD181" s="19">
        <f t="shared" si="87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8"/>
        <v>2.8502295699234246E-6</v>
      </c>
      <c r="P182" s="8">
        <f t="shared" si="89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60"/>
        <v>106464.44806196552</v>
      </c>
      <c r="X182">
        <v>2.4999929916971461E-2</v>
      </c>
      <c r="Y182">
        <f t="shared" si="61"/>
        <v>6.324564185235217</v>
      </c>
      <c r="Z182">
        <f t="shared" si="62"/>
        <v>6.324564225480195</v>
      </c>
      <c r="AA182">
        <f t="shared" si="63"/>
        <v>-4.0244978016801269E-8</v>
      </c>
      <c r="AB182">
        <f t="shared" si="64"/>
        <v>5.0837688903806506E-6</v>
      </c>
      <c r="AC182">
        <v>689.4761393360692</v>
      </c>
      <c r="AD182">
        <f t="shared" si="65"/>
        <v>2975.7676171444768</v>
      </c>
      <c r="AE182">
        <f>+gettm2(AD182,AC182,AK182,AL182,テーブル2[[#This Row],[Fcorr]])</f>
        <v>576.31123845080799</v>
      </c>
      <c r="AF182" s="14">
        <f t="shared" si="66"/>
        <v>0</v>
      </c>
      <c r="AG182">
        <v>5.1501890422709151E-6</v>
      </c>
      <c r="AH182">
        <f t="shared" si="67"/>
        <v>71.50412837013036</v>
      </c>
      <c r="AI182">
        <f t="shared" si="68"/>
        <v>0.35724769982205085</v>
      </c>
      <c r="AJ182">
        <f t="shared" si="69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70"/>
        <v>1.5871354414155836</v>
      </c>
      <c r="AM182">
        <f t="shared" si="71"/>
        <v>626.57723580084667</v>
      </c>
      <c r="AN182">
        <f t="shared" si="72"/>
        <v>3.7121367313375231E-8</v>
      </c>
      <c r="AO182">
        <f t="shared" si="73"/>
        <v>6.6420151890264503E-8</v>
      </c>
      <c r="AP182">
        <v>2.9454626210874451</v>
      </c>
      <c r="AQ182">
        <f t="shared" si="74"/>
        <v>2.1812594117314753E-5</v>
      </c>
      <c r="AR182">
        <f t="shared" si="75"/>
        <v>2.6083045970805898E-6</v>
      </c>
      <c r="AS182">
        <f t="shared" si="76"/>
        <v>8.1487751765265006</v>
      </c>
      <c r="AT182">
        <f t="shared" si="77"/>
        <v>7.4393381543503141</v>
      </c>
      <c r="AU182">
        <f t="shared" si="78"/>
        <v>2.6576864438400709</v>
      </c>
      <c r="AV182">
        <f t="shared" si="79"/>
        <v>0.28777617724737414</v>
      </c>
      <c r="AW182">
        <f t="shared" si="80"/>
        <v>4.0329049607073586E-3</v>
      </c>
      <c r="AX182">
        <f t="shared" si="81"/>
        <v>0.28777617006115402</v>
      </c>
      <c r="AY182">
        <f t="shared" si="82"/>
        <v>7.1862201189709651E-9</v>
      </c>
      <c r="AZ182">
        <f t="shared" si="83"/>
        <v>839091.99888317985</v>
      </c>
      <c r="BA182">
        <f t="shared" si="84"/>
        <v>7.4054900446374325E-6</v>
      </c>
      <c r="BB182" s="15">
        <f t="shared" si="85"/>
        <v>4216458.9490732066</v>
      </c>
      <c r="BC182" s="20">
        <f t="shared" si="86"/>
        <v>-4921.4220205433667</v>
      </c>
      <c r="BD182" s="19">
        <f t="shared" si="87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8"/>
        <v>2.8502295699234246E-6</v>
      </c>
      <c r="P183" s="8">
        <f t="shared" si="89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60"/>
        <v>107270.99691091981</v>
      </c>
      <c r="X183">
        <v>2.4925881209394141E-2</v>
      </c>
      <c r="Y183">
        <f t="shared" si="61"/>
        <v>6.3339515865322156</v>
      </c>
      <c r="Z183">
        <f t="shared" si="62"/>
        <v>6.3339516227231965</v>
      </c>
      <c r="AA183">
        <f t="shared" si="63"/>
        <v>-3.6190980878814116E-8</v>
      </c>
      <c r="AB183">
        <f t="shared" si="64"/>
        <v>5.0224850177624719E-6</v>
      </c>
      <c r="AC183">
        <v>686.90439531517939</v>
      </c>
      <c r="AD183">
        <f t="shared" si="65"/>
        <v>2993.8675842437615</v>
      </c>
      <c r="AE183">
        <f>+gettm2(AD183,AC183,AK183,AL183,テーブル2[[#This Row],[Fcorr]])</f>
        <v>578.05598719493173</v>
      </c>
      <c r="AF183" s="14">
        <f t="shared" si="66"/>
        <v>0</v>
      </c>
      <c r="AG183">
        <v>5.0868674831858452E-6</v>
      </c>
      <c r="AH183">
        <f t="shared" si="67"/>
        <v>72.376614774611681</v>
      </c>
      <c r="AI183">
        <f t="shared" si="68"/>
        <v>0.35942064221708875</v>
      </c>
      <c r="AJ183">
        <f t="shared" si="69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70"/>
        <v>1.5871354414155836</v>
      </c>
      <c r="AM183">
        <f t="shared" si="71"/>
        <v>626.57723578871332</v>
      </c>
      <c r="AN183">
        <f t="shared" si="72"/>
        <v>4.9254708756052423E-8</v>
      </c>
      <c r="AO183">
        <f t="shared" si="73"/>
        <v>6.4382465423373318E-8</v>
      </c>
      <c r="AP183">
        <v>2.9510677638246881</v>
      </c>
      <c r="AQ183">
        <f t="shared" si="74"/>
        <v>2.1729812830829328E-5</v>
      </c>
      <c r="AR183">
        <f t="shared" si="75"/>
        <v>2.5756249743046093E-6</v>
      </c>
      <c r="AS183">
        <f t="shared" si="76"/>
        <v>8.0956221729545828</v>
      </c>
      <c r="AT183">
        <f t="shared" si="77"/>
        <v>7.4066172154787742</v>
      </c>
      <c r="AU183">
        <f t="shared" si="78"/>
        <v>2.6620911162435266</v>
      </c>
      <c r="AV183">
        <f t="shared" si="79"/>
        <v>0.28897664758116148</v>
      </c>
      <c r="AW183">
        <f t="shared" si="80"/>
        <v>3.9842890540399906E-3</v>
      </c>
      <c r="AX183">
        <f t="shared" si="81"/>
        <v>0.28897663971192433</v>
      </c>
      <c r="AY183">
        <f t="shared" si="82"/>
        <v>7.869237150792685E-9</v>
      </c>
      <c r="AZ183">
        <f t="shared" si="83"/>
        <v>839091.99888317985</v>
      </c>
      <c r="BA183">
        <f t="shared" si="84"/>
        <v>7.3633730465974534E-6</v>
      </c>
      <c r="BB183" s="15">
        <f t="shared" si="85"/>
        <v>4110480.7085093278</v>
      </c>
      <c r="BC183" s="20">
        <f t="shared" si="86"/>
        <v>-4859.8188344221562</v>
      </c>
      <c r="BD183" s="19">
        <f t="shared" si="87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90">PI()*Q184^2/4</f>
        <v>2.8502295699234246E-6</v>
      </c>
      <c r="P184" s="8">
        <f t="shared" ref="P184:P215" si="91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60"/>
        <v>107674.27133539696</v>
      </c>
      <c r="X184">
        <v>2.4889192575288509E-2</v>
      </c>
      <c r="Y184">
        <f t="shared" si="61"/>
        <v>6.3386182396680733</v>
      </c>
      <c r="Z184">
        <f t="shared" si="62"/>
        <v>6.3386182738389287</v>
      </c>
      <c r="AA184">
        <f t="shared" si="63"/>
        <v>-3.4170855478521389E-8</v>
      </c>
      <c r="AB184">
        <f t="shared" si="64"/>
        <v>4.992282045515813E-6</v>
      </c>
      <c r="AC184">
        <v>680.81293541784623</v>
      </c>
      <c r="AD184">
        <f t="shared" si="65"/>
        <v>3002.9102771997223</v>
      </c>
      <c r="AE184">
        <f>+gettm2(AD184,AC184,AK184,AL184,テーブル2[[#This Row],[Fcorr]])</f>
        <v>582.7894257303285</v>
      </c>
      <c r="AF184" s="14">
        <f t="shared" si="66"/>
        <v>0</v>
      </c>
      <c r="AG184">
        <v>5.05193082825389E-6</v>
      </c>
      <c r="AH184">
        <f t="shared" si="67"/>
        <v>72.81448844989977</v>
      </c>
      <c r="AI184">
        <f t="shared" si="68"/>
        <v>0.36050623816218275</v>
      </c>
      <c r="AJ184">
        <f t="shared" si="69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70"/>
        <v>1.5871354414155836</v>
      </c>
      <c r="AM184">
        <f t="shared" si="71"/>
        <v>626.57723579623746</v>
      </c>
      <c r="AN184">
        <f t="shared" si="72"/>
        <v>4.173057277512271E-8</v>
      </c>
      <c r="AO184">
        <f t="shared" si="73"/>
        <v>5.9648782738076939E-8</v>
      </c>
      <c r="AP184">
        <v>2.9514450813664541</v>
      </c>
      <c r="AQ184">
        <f t="shared" si="74"/>
        <v>2.172425723670843E-5</v>
      </c>
      <c r="AR184">
        <f t="shared" si="75"/>
        <v>2.5557898054959834E-6</v>
      </c>
      <c r="AS184">
        <f t="shared" si="76"/>
        <v>8.0575406543686796</v>
      </c>
      <c r="AT184">
        <f t="shared" si="77"/>
        <v>7.3830419011302784</v>
      </c>
      <c r="AU184">
        <f t="shared" si="78"/>
        <v>2.6616326619702466</v>
      </c>
      <c r="AV184">
        <f t="shared" si="79"/>
        <v>0.2898124193962075</v>
      </c>
      <c r="AW184">
        <f t="shared" si="80"/>
        <v>3.9603293266747023E-3</v>
      </c>
      <c r="AX184">
        <f t="shared" si="81"/>
        <v>0.28981241140434177</v>
      </c>
      <c r="AY184">
        <f t="shared" si="82"/>
        <v>7.9918657247546321E-9</v>
      </c>
      <c r="AZ184">
        <f t="shared" si="83"/>
        <v>839091.99888317985</v>
      </c>
      <c r="BA184">
        <f t="shared" si="84"/>
        <v>7.360549370835854E-6</v>
      </c>
      <c r="BB184" s="15">
        <f t="shared" si="85"/>
        <v>3809720.9819438104</v>
      </c>
      <c r="BC184" s="20">
        <f t="shared" si="86"/>
        <v>7849.9858500603586</v>
      </c>
      <c r="BD184" s="19">
        <f t="shared" si="87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90"/>
        <v>2.8502295699234246E-6</v>
      </c>
      <c r="P185" s="8">
        <f t="shared" si="91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60"/>
        <v>62104.261369479893</v>
      </c>
      <c r="X185">
        <v>3.1306557834014398E-2</v>
      </c>
      <c r="Y185">
        <f t="shared" si="61"/>
        <v>5.6517421567611947</v>
      </c>
      <c r="Z185">
        <f t="shared" si="62"/>
        <v>5.6517422024560648</v>
      </c>
      <c r="AA185">
        <f t="shared" si="63"/>
        <v>-4.5694870109969088E-8</v>
      </c>
      <c r="AB185">
        <f t="shared" si="64"/>
        <v>1.1930418629880729E-5</v>
      </c>
      <c r="AC185">
        <v>760.85989092691727</v>
      </c>
      <c r="AD185">
        <f t="shared" si="65"/>
        <v>1942.5136151339686</v>
      </c>
      <c r="AE185">
        <f>+gettm2(AD185,AC185,AK185,AL185,テーブル2[[#This Row],[Fcorr]])</f>
        <v>559.09173068124289</v>
      </c>
      <c r="AF185" s="14">
        <f t="shared" si="66"/>
        <v>0</v>
      </c>
      <c r="AG185">
        <v>1.2045656399718649E-5</v>
      </c>
      <c r="AH185">
        <f t="shared" si="67"/>
        <v>30.469212742578112</v>
      </c>
      <c r="AI185">
        <f t="shared" si="68"/>
        <v>0.23320319667486131</v>
      </c>
      <c r="AJ185">
        <f t="shared" si="69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70"/>
        <v>1.5871354414155836</v>
      </c>
      <c r="AM185">
        <f t="shared" si="71"/>
        <v>626.57723582087169</v>
      </c>
      <c r="AN185">
        <f t="shared" si="72"/>
        <v>1.709634034341434E-8</v>
      </c>
      <c r="AO185">
        <f t="shared" si="73"/>
        <v>1.1523776983792001E-7</v>
      </c>
      <c r="AP185">
        <v>2.4502587750761191</v>
      </c>
      <c r="AQ185">
        <f t="shared" si="74"/>
        <v>3.1520307331782463E-5</v>
      </c>
      <c r="AR185">
        <f t="shared" si="75"/>
        <v>6.0804470847782847E-6</v>
      </c>
      <c r="AS185">
        <f t="shared" si="76"/>
        <v>12.400368764602065</v>
      </c>
      <c r="AT185">
        <f t="shared" si="77"/>
        <v>9.5386310562480254</v>
      </c>
      <c r="AU185">
        <f t="shared" si="78"/>
        <v>2.2244392542191482</v>
      </c>
      <c r="AV185">
        <f t="shared" si="79"/>
        <v>0.22581952085697088</v>
      </c>
      <c r="AW185">
        <f t="shared" si="80"/>
        <v>9.4642863421273444E-3</v>
      </c>
      <c r="AX185">
        <f t="shared" si="81"/>
        <v>0.22581950392406064</v>
      </c>
      <c r="AY185">
        <f t="shared" si="82"/>
        <v>1.693291024063015E-8</v>
      </c>
      <c r="AZ185">
        <f t="shared" si="83"/>
        <v>839091.99888317985</v>
      </c>
      <c r="BA185">
        <f t="shared" si="84"/>
        <v>1.2864072828717147E-5</v>
      </c>
      <c r="BB185" s="15">
        <f t="shared" si="85"/>
        <v>4211319.2866349528</v>
      </c>
      <c r="BC185" s="20">
        <f t="shared" si="86"/>
        <v>2136.4092912022024</v>
      </c>
      <c r="BD185" s="19">
        <f t="shared" si="87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90"/>
        <v>2.8502295699234246E-6</v>
      </c>
      <c r="P186" s="8">
        <f t="shared" si="91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60"/>
        <v>62104.261369479893</v>
      </c>
      <c r="X186">
        <v>3.1306557834014398E-2</v>
      </c>
      <c r="Y186">
        <f t="shared" si="61"/>
        <v>5.6517421567611947</v>
      </c>
      <c r="Z186">
        <f t="shared" si="62"/>
        <v>5.6517422024560648</v>
      </c>
      <c r="AA186">
        <f t="shared" si="63"/>
        <v>-4.5694870109969088E-8</v>
      </c>
      <c r="AB186">
        <f t="shared" si="64"/>
        <v>1.1930418629880729E-5</v>
      </c>
      <c r="AC186">
        <v>759.63413465095618</v>
      </c>
      <c r="AD186">
        <f t="shared" si="65"/>
        <v>1942.5136151339686</v>
      </c>
      <c r="AE186">
        <f>+gettm2(AD186,AC186,AK186,AL186,テーブル2[[#This Row],[Fcorr]])</f>
        <v>559.7058433437586</v>
      </c>
      <c r="AF186" s="14">
        <f t="shared" si="66"/>
        <v>0</v>
      </c>
      <c r="AG186">
        <v>1.204527784765983E-5</v>
      </c>
      <c r="AH186">
        <f t="shared" si="67"/>
        <v>30.469212742578112</v>
      </c>
      <c r="AI186">
        <f t="shared" si="68"/>
        <v>0.23320319667486131</v>
      </c>
      <c r="AJ186">
        <f t="shared" si="69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70"/>
        <v>1.5871354414155836</v>
      </c>
      <c r="AM186">
        <f t="shared" si="71"/>
        <v>626.57723582118433</v>
      </c>
      <c r="AN186">
        <f t="shared" si="72"/>
        <v>1.6783701539679896E-8</v>
      </c>
      <c r="AO186">
        <f t="shared" si="73"/>
        <v>1.1485921777910019E-7</v>
      </c>
      <c r="AP186">
        <v>2.450192305911981</v>
      </c>
      <c r="AQ186">
        <f t="shared" si="74"/>
        <v>3.152201752970867E-5</v>
      </c>
      <c r="AR186">
        <f t="shared" si="75"/>
        <v>6.0800685327194649E-6</v>
      </c>
      <c r="AS186">
        <f t="shared" si="76"/>
        <v>12.399596751449002</v>
      </c>
      <c r="AT186">
        <f t="shared" si="77"/>
        <v>9.5383197601888376</v>
      </c>
      <c r="AU186">
        <f t="shared" si="78"/>
        <v>2.2243666589830333</v>
      </c>
      <c r="AV186">
        <f t="shared" si="79"/>
        <v>0.22582564692894769</v>
      </c>
      <c r="AW186">
        <f t="shared" si="80"/>
        <v>9.4642863421273444E-3</v>
      </c>
      <c r="AX186">
        <f t="shared" si="81"/>
        <v>0.22582562998756825</v>
      </c>
      <c r="AY186">
        <f t="shared" si="82"/>
        <v>1.6941379438195625E-8</v>
      </c>
      <c r="AZ186">
        <f t="shared" si="83"/>
        <v>839091.99888317985</v>
      </c>
      <c r="BA186">
        <f t="shared" si="84"/>
        <v>1.2865119792291537E-5</v>
      </c>
      <c r="BB186" s="15">
        <f t="shared" si="85"/>
        <v>4197143.6581179211</v>
      </c>
      <c r="BC186" s="20">
        <f t="shared" si="86"/>
        <v>22307.662024171092</v>
      </c>
      <c r="BD186" s="19">
        <f t="shared" si="87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90"/>
        <v>2.8502295699234246E-6</v>
      </c>
      <c r="P187" s="8">
        <f t="shared" si="91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60"/>
        <v>65330.456765297022</v>
      </c>
      <c r="X187">
        <v>3.0617085003356879E-2</v>
      </c>
      <c r="Y187">
        <f t="shared" si="61"/>
        <v>5.7150242827932436</v>
      </c>
      <c r="Z187">
        <f t="shared" si="62"/>
        <v>5.7150243315446012</v>
      </c>
      <c r="AA187">
        <f t="shared" si="63"/>
        <v>-4.8751357617504709E-8</v>
      </c>
      <c r="AB187">
        <f t="shared" si="64"/>
        <v>1.1023984021569312E-5</v>
      </c>
      <c r="AC187">
        <v>758.5844649407918</v>
      </c>
      <c r="AD187">
        <f t="shared" si="65"/>
        <v>2020.7967066667375</v>
      </c>
      <c r="AE187">
        <f>+gettm2(AD187,AC187,AK187,AL187,テーブル2[[#This Row],[Fcorr]])</f>
        <v>557.1083749511356</v>
      </c>
      <c r="AF187" s="14">
        <f t="shared" si="66"/>
        <v>0</v>
      </c>
      <c r="AG187">
        <v>1.1137460209164249E-5</v>
      </c>
      <c r="AH187">
        <f t="shared" si="67"/>
        <v>32.974509272747106</v>
      </c>
      <c r="AI187">
        <f t="shared" si="68"/>
        <v>0.24260126063117154</v>
      </c>
      <c r="AJ187">
        <f t="shared" si="69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70"/>
        <v>1.5871354414155836</v>
      </c>
      <c r="AM187">
        <f t="shared" si="71"/>
        <v>626.57723579927404</v>
      </c>
      <c r="AN187">
        <f t="shared" si="72"/>
        <v>3.8693997339578345E-8</v>
      </c>
      <c r="AO187">
        <f t="shared" si="73"/>
        <v>1.1347618759493727E-7</v>
      </c>
      <c r="AP187">
        <v>2.4980901703179881</v>
      </c>
      <c r="AQ187">
        <f t="shared" si="74"/>
        <v>3.0324812813161446E-5</v>
      </c>
      <c r="AR187">
        <f t="shared" si="75"/>
        <v>5.6254681983795934E-6</v>
      </c>
      <c r="AS187">
        <f t="shared" si="76"/>
        <v>11.934832135164251</v>
      </c>
      <c r="AT187">
        <f t="shared" si="77"/>
        <v>9.3473059738528939</v>
      </c>
      <c r="AU187">
        <f t="shared" si="78"/>
        <v>2.2676682127619925</v>
      </c>
      <c r="AV187">
        <f t="shared" si="79"/>
        <v>0.23042195755599559</v>
      </c>
      <c r="AW187">
        <f t="shared" si="80"/>
        <v>8.7452204862162129E-3</v>
      </c>
      <c r="AX187">
        <f t="shared" si="81"/>
        <v>0.23042194898091883</v>
      </c>
      <c r="AY187">
        <f t="shared" si="82"/>
        <v>8.5750767597758681E-9</v>
      </c>
      <c r="AZ187">
        <f t="shared" si="83"/>
        <v>839091.99888317985</v>
      </c>
      <c r="BA187">
        <f t="shared" si="84"/>
        <v>1.2139198646020582E-5</v>
      </c>
      <c r="BB187" s="15">
        <f t="shared" si="85"/>
        <v>4394571.478896793</v>
      </c>
      <c r="BC187" s="20">
        <f t="shared" si="86"/>
        <v>38137.256240542978</v>
      </c>
      <c r="BD187" s="19">
        <f t="shared" si="87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90"/>
        <v>2.8502295699234246E-6</v>
      </c>
      <c r="P188" s="8">
        <f t="shared" si="91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60"/>
        <v>71782.847556931287</v>
      </c>
      <c r="X188">
        <v>2.9393729578222751E-2</v>
      </c>
      <c r="Y188">
        <f t="shared" si="61"/>
        <v>5.832740470796443</v>
      </c>
      <c r="Z188">
        <f t="shared" si="62"/>
        <v>5.8327404814836816</v>
      </c>
      <c r="AA188">
        <f t="shared" si="63"/>
        <v>-1.0687238649609299E-8</v>
      </c>
      <c r="AB188">
        <f t="shared" si="64"/>
        <v>9.511253242064767E-6</v>
      </c>
      <c r="AC188">
        <v>756.56315202428323</v>
      </c>
      <c r="AD188">
        <f t="shared" si="65"/>
        <v>2175.5698943971465</v>
      </c>
      <c r="AE188">
        <f>+gettm2(AD188,AC188,AK188,AL188,テーブル2[[#This Row],[Fcorr]])</f>
        <v>552.19483876594302</v>
      </c>
      <c r="AF188" s="14">
        <f t="shared" si="66"/>
        <v>0</v>
      </c>
      <c r="AG188">
        <v>9.6199826835191831E-6</v>
      </c>
      <c r="AH188">
        <f t="shared" si="67"/>
        <v>38.218986929522636</v>
      </c>
      <c r="AI188">
        <f t="shared" si="68"/>
        <v>0.26118213535816825</v>
      </c>
      <c r="AJ188">
        <f t="shared" si="69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70"/>
        <v>1.5871354414155836</v>
      </c>
      <c r="AM188">
        <f t="shared" si="71"/>
        <v>626.57723583961092</v>
      </c>
      <c r="AN188">
        <f t="shared" si="72"/>
        <v>-1.6428884919150732E-9</v>
      </c>
      <c r="AO188">
        <f t="shared" si="73"/>
        <v>1.0872944145441611E-7</v>
      </c>
      <c r="AP188">
        <v>2.5873920324436628</v>
      </c>
      <c r="AQ188">
        <f t="shared" si="74"/>
        <v>2.8267661157676302E-5</v>
      </c>
      <c r="AR188">
        <f t="shared" si="75"/>
        <v>4.8643560624867996E-6</v>
      </c>
      <c r="AS188">
        <f t="shared" si="76"/>
        <v>11.110495123542808</v>
      </c>
      <c r="AT188">
        <f t="shared" si="77"/>
        <v>8.9894508411696652</v>
      </c>
      <c r="AU188">
        <f t="shared" si="78"/>
        <v>2.347883966393975</v>
      </c>
      <c r="AV188">
        <f t="shared" si="79"/>
        <v>0.23950806604968777</v>
      </c>
      <c r="AW188">
        <f t="shared" si="80"/>
        <v>7.5451857095720307E-3</v>
      </c>
      <c r="AX188">
        <f t="shared" si="81"/>
        <v>0.23950806093247401</v>
      </c>
      <c r="AY188">
        <f t="shared" si="82"/>
        <v>5.1172137638388904E-9</v>
      </c>
      <c r="AZ188">
        <f t="shared" si="83"/>
        <v>839091.99888317985</v>
      </c>
      <c r="BA188">
        <f t="shared" si="84"/>
        <v>1.0925155833837404E-5</v>
      </c>
      <c r="BB188" s="15">
        <f t="shared" si="85"/>
        <v>4678658.3321262561</v>
      </c>
      <c r="BC188" s="20">
        <f t="shared" si="86"/>
        <v>-37821.160061243922</v>
      </c>
      <c r="BD188" s="19">
        <f t="shared" si="87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90"/>
        <v>2.8502295699234246E-6</v>
      </c>
      <c r="P189" s="8">
        <f t="shared" si="91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60"/>
        <v>88720.373384971273</v>
      </c>
      <c r="X189">
        <v>2.68977240407712E-2</v>
      </c>
      <c r="Y189">
        <f t="shared" si="61"/>
        <v>6.0973655573623216</v>
      </c>
      <c r="Z189">
        <f t="shared" si="62"/>
        <v>6.0973655637760196</v>
      </c>
      <c r="AA189">
        <f t="shared" si="63"/>
        <v>-6.4136980171269897E-9</v>
      </c>
      <c r="AB189">
        <f t="shared" si="64"/>
        <v>6.8041134902182196E-6</v>
      </c>
      <c r="AC189">
        <v>750.16719900555916</v>
      </c>
      <c r="AD189">
        <f t="shared" si="65"/>
        <v>2572.2083193029971</v>
      </c>
      <c r="AE189">
        <f>+gettm2(AD189,AC189,AK189,AL189,テーブル2[[#This Row],[Fcorr]])</f>
        <v>541.89637898541935</v>
      </c>
      <c r="AF189" s="14">
        <f t="shared" si="66"/>
        <v>0</v>
      </c>
      <c r="AG189">
        <v>6.9078010527555756E-6</v>
      </c>
      <c r="AH189">
        <f t="shared" si="67"/>
        <v>53.425102897599487</v>
      </c>
      <c r="AI189">
        <f t="shared" si="68"/>
        <v>0.30879948428766191</v>
      </c>
      <c r="AJ189">
        <f t="shared" si="69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70"/>
        <v>1.5871354414155836</v>
      </c>
      <c r="AM189">
        <f t="shared" si="71"/>
        <v>626.57723580032848</v>
      </c>
      <c r="AN189">
        <f t="shared" si="72"/>
        <v>3.7639551919710357E-8</v>
      </c>
      <c r="AO189">
        <f t="shared" si="73"/>
        <v>1.0368756253735595E-7</v>
      </c>
      <c r="AP189">
        <v>2.7912975824504809</v>
      </c>
      <c r="AQ189">
        <f t="shared" si="74"/>
        <v>2.4288576967285169E-5</v>
      </c>
      <c r="AR189">
        <f t="shared" si="75"/>
        <v>3.5057443076464658E-6</v>
      </c>
      <c r="AS189">
        <f t="shared" si="76"/>
        <v>9.4671965075877846</v>
      </c>
      <c r="AT189">
        <f t="shared" si="77"/>
        <v>8.1891641202211218</v>
      </c>
      <c r="AU189">
        <f t="shared" si="78"/>
        <v>2.528809657071307</v>
      </c>
      <c r="AV189">
        <f t="shared" si="79"/>
        <v>0.26248792537917387</v>
      </c>
      <c r="AW189">
        <f t="shared" si="80"/>
        <v>5.397637784014666E-3</v>
      </c>
      <c r="AX189">
        <f t="shared" si="81"/>
        <v>0.26248792507192842</v>
      </c>
      <c r="AY189">
        <f t="shared" si="82"/>
        <v>3.0724545130311753E-10</v>
      </c>
      <c r="AZ189">
        <f t="shared" si="83"/>
        <v>839091.99888317985</v>
      </c>
      <c r="BA189">
        <f t="shared" si="84"/>
        <v>8.7015362030881073E-6</v>
      </c>
      <c r="BB189" s="15">
        <f t="shared" si="85"/>
        <v>5601863.83726029</v>
      </c>
      <c r="BC189" s="20">
        <f t="shared" si="86"/>
        <v>21305.497416540049</v>
      </c>
      <c r="BD189" s="19">
        <f t="shared" si="87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90"/>
        <v>2.8502295699234246E-6</v>
      </c>
      <c r="P190" s="8">
        <f t="shared" si="91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60"/>
        <v>90736.745507356973</v>
      </c>
      <c r="X190">
        <v>2.6652018899410639E-2</v>
      </c>
      <c r="Y190">
        <f t="shared" si="61"/>
        <v>6.1254069043171313</v>
      </c>
      <c r="Z190">
        <f t="shared" si="62"/>
        <v>6.1254069065535965</v>
      </c>
      <c r="AA190">
        <f t="shared" si="63"/>
        <v>-2.2364652352280245E-9</v>
      </c>
      <c r="AB190">
        <f t="shared" si="64"/>
        <v>6.5650387724955883E-6</v>
      </c>
      <c r="AC190">
        <v>749.7000742647823</v>
      </c>
      <c r="AD190">
        <f t="shared" si="65"/>
        <v>2618.6247319272097</v>
      </c>
      <c r="AE190">
        <f>+gettm2(AD190,AC190,AK190,AL190,テーブル2[[#This Row],[Fcorr]])</f>
        <v>540.63261042140516</v>
      </c>
      <c r="AF190" s="14">
        <f t="shared" si="66"/>
        <v>1.4970007669035112E-6</v>
      </c>
      <c r="AG190">
        <v>6.6681128485160114E-6</v>
      </c>
      <c r="AH190">
        <f t="shared" si="67"/>
        <v>55.370649883255879</v>
      </c>
      <c r="AI190">
        <f t="shared" si="68"/>
        <v>0.31437188064968136</v>
      </c>
      <c r="AJ190">
        <f t="shared" si="69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70"/>
        <v>1.5871354414155836</v>
      </c>
      <c r="AM190">
        <f t="shared" si="71"/>
        <v>626.57723599291603</v>
      </c>
      <c r="AN190">
        <f t="shared" si="72"/>
        <v>-1.5494799754378619E-7</v>
      </c>
      <c r="AO190">
        <f t="shared" si="73"/>
        <v>1.0307407602042313E-7</v>
      </c>
      <c r="AP190">
        <v>2.8129098029560899</v>
      </c>
      <c r="AQ190">
        <f t="shared" si="74"/>
        <v>2.3916781538561846E-5</v>
      </c>
      <c r="AR190">
        <f t="shared" si="75"/>
        <v>3.3855934622682173E-6</v>
      </c>
      <c r="AS190">
        <f t="shared" si="76"/>
        <v>9.3077152467681099</v>
      </c>
      <c r="AT190">
        <f t="shared" si="77"/>
        <v>8.1042182633048618</v>
      </c>
      <c r="AU190">
        <f t="shared" si="78"/>
        <v>2.5477383366306441</v>
      </c>
      <c r="AV190">
        <f t="shared" si="79"/>
        <v>0.26517146632544586</v>
      </c>
      <c r="AW190">
        <f t="shared" si="80"/>
        <v>5.2079821100701491E-3</v>
      </c>
      <c r="AX190">
        <f t="shared" si="81"/>
        <v>0.26517146592365504</v>
      </c>
      <c r="AY190">
        <f t="shared" si="82"/>
        <v>4.0179082283486878E-10</v>
      </c>
      <c r="AZ190">
        <f t="shared" si="83"/>
        <v>839091.99888317985</v>
      </c>
      <c r="BA190">
        <f t="shared" si="84"/>
        <v>8.5025056663486603E-6</v>
      </c>
      <c r="BB190" s="15">
        <f t="shared" si="85"/>
        <v>5699074.5076451264</v>
      </c>
      <c r="BC190" s="20">
        <f t="shared" si="86"/>
        <v>8115.7771763764322</v>
      </c>
      <c r="BD190" s="19">
        <f t="shared" si="87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90"/>
        <v>2.8502295699234246E-6</v>
      </c>
      <c r="P191" s="8">
        <f t="shared" si="91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60"/>
        <v>107270.99691091981</v>
      </c>
      <c r="X191">
        <v>2.4925881209394141E-2</v>
      </c>
      <c r="Y191">
        <f t="shared" si="61"/>
        <v>6.3339515865322156</v>
      </c>
      <c r="Z191">
        <f t="shared" si="62"/>
        <v>6.3339516227231965</v>
      </c>
      <c r="AA191">
        <f t="shared" si="63"/>
        <v>-3.6190980878814116E-8</v>
      </c>
      <c r="AB191">
        <f t="shared" si="64"/>
        <v>5.0224850177624719E-6</v>
      </c>
      <c r="AC191">
        <v>743.45448910430184</v>
      </c>
      <c r="AD191">
        <f t="shared" si="65"/>
        <v>2993.8675842437615</v>
      </c>
      <c r="AE191">
        <f>+gettm2(AD191,AC191,AK191,AL191,テーブル2[[#This Row],[Fcorr]])</f>
        <v>533.09467289866939</v>
      </c>
      <c r="AF191" s="14">
        <f t="shared" si="66"/>
        <v>1.4345448562380625E-6</v>
      </c>
      <c r="AG191">
        <v>5.1214787246236224E-6</v>
      </c>
      <c r="AH191">
        <f t="shared" si="67"/>
        <v>72.376614774611681</v>
      </c>
      <c r="AI191">
        <f t="shared" si="68"/>
        <v>0.35942064221708875</v>
      </c>
      <c r="AJ191">
        <f t="shared" si="69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70"/>
        <v>1.5871354414155836</v>
      </c>
      <c r="AM191">
        <f t="shared" si="71"/>
        <v>626.57723575488569</v>
      </c>
      <c r="AN191">
        <f t="shared" si="72"/>
        <v>8.3082341006956995E-8</v>
      </c>
      <c r="AO191">
        <f t="shared" si="73"/>
        <v>9.899370686115051E-8</v>
      </c>
      <c r="AP191">
        <v>2.9729312272618471</v>
      </c>
      <c r="AQ191">
        <f t="shared" si="74"/>
        <v>2.1411378270539368E-5</v>
      </c>
      <c r="AR191">
        <f t="shared" si="75"/>
        <v>2.6102362157423865E-6</v>
      </c>
      <c r="AS191">
        <f t="shared" si="76"/>
        <v>8.2044111218165217</v>
      </c>
      <c r="AT191">
        <f t="shared" si="77"/>
        <v>7.4733597565819494</v>
      </c>
      <c r="AU191">
        <f t="shared" si="78"/>
        <v>2.6860797632300302</v>
      </c>
      <c r="AV191">
        <f t="shared" si="79"/>
        <v>0.28685146403181694</v>
      </c>
      <c r="AW191">
        <f t="shared" si="80"/>
        <v>3.9842890540399906E-3</v>
      </c>
      <c r="AX191">
        <f t="shared" si="81"/>
        <v>0.28685145425906278</v>
      </c>
      <c r="AY191">
        <f t="shared" si="82"/>
        <v>9.772754161474495E-9</v>
      </c>
      <c r="AZ191">
        <f t="shared" si="83"/>
        <v>839091.99888317985</v>
      </c>
      <c r="BA191">
        <f t="shared" si="84"/>
        <v>7.2021101847888517E-6</v>
      </c>
      <c r="BB191" s="15">
        <f t="shared" si="85"/>
        <v>6461742.390108306</v>
      </c>
      <c r="BC191" s="20">
        <f t="shared" si="86"/>
        <v>3301.4721395559609</v>
      </c>
      <c r="BD191" s="19">
        <f t="shared" si="87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90"/>
        <v>2.8502295699234246E-6</v>
      </c>
      <c r="P192" s="8">
        <f t="shared" si="91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60"/>
        <v>108480.82018435124</v>
      </c>
      <c r="X192">
        <v>2.481647567960062E-2</v>
      </c>
      <c r="Y192">
        <f t="shared" si="61"/>
        <v>6.3478981126908902</v>
      </c>
      <c r="Z192">
        <f t="shared" si="62"/>
        <v>6.3478981428997647</v>
      </c>
      <c r="AA192">
        <f t="shared" si="63"/>
        <v>-3.0208874512993589E-8</v>
      </c>
      <c r="AB192">
        <f t="shared" si="64"/>
        <v>4.9327349369830435E-6</v>
      </c>
      <c r="AC192">
        <v>744.36519528989686</v>
      </c>
      <c r="AD192">
        <f t="shared" si="65"/>
        <v>3020.981205876536</v>
      </c>
      <c r="AE192">
        <f>+gettm2(AD192,AC192,AK192,AL192,テーブル2[[#This Row],[Fcorr]])</f>
        <v>531.53206594622395</v>
      </c>
      <c r="AF192" s="14">
        <f t="shared" si="66"/>
        <v>0</v>
      </c>
      <c r="AG192">
        <v>5.0325441469783717E-6</v>
      </c>
      <c r="AH192">
        <f t="shared" si="67"/>
        <v>73.693492147012307</v>
      </c>
      <c r="AI192">
        <f t="shared" si="68"/>
        <v>0.36267569442827213</v>
      </c>
      <c r="AJ192">
        <f t="shared" si="69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70"/>
        <v>1.5871354414155836</v>
      </c>
      <c r="AM192">
        <f t="shared" si="71"/>
        <v>626.57723576589979</v>
      </c>
      <c r="AN192">
        <f t="shared" si="72"/>
        <v>7.2068246481649112E-8</v>
      </c>
      <c r="AO192">
        <f t="shared" si="73"/>
        <v>9.9809209995328228E-8</v>
      </c>
      <c r="AP192">
        <v>2.984237150321718</v>
      </c>
      <c r="AQ192">
        <f t="shared" si="74"/>
        <v>2.1249449559018832E-5</v>
      </c>
      <c r="AR192">
        <f t="shared" si="75"/>
        <v>2.56617667848685E-6</v>
      </c>
      <c r="AS192">
        <f t="shared" si="76"/>
        <v>8.1389727209107061</v>
      </c>
      <c r="AT192">
        <f t="shared" si="77"/>
        <v>7.4333198534403291</v>
      </c>
      <c r="AU192">
        <f t="shared" si="78"/>
        <v>2.6958844397539332</v>
      </c>
      <c r="AV192">
        <f t="shared" si="79"/>
        <v>0.28835271056778478</v>
      </c>
      <c r="AW192">
        <f t="shared" si="80"/>
        <v>3.9130911782506101E-3</v>
      </c>
      <c r="AX192">
        <f t="shared" si="81"/>
        <v>0.28835269958340237</v>
      </c>
      <c r="AY192">
        <f t="shared" si="82"/>
        <v>1.0984382403655957E-8</v>
      </c>
      <c r="AZ192">
        <f t="shared" si="83"/>
        <v>839091.99888317985</v>
      </c>
      <c r="BA192">
        <f t="shared" si="84"/>
        <v>7.1205633093630034E-6</v>
      </c>
      <c r="BB192" s="15">
        <f t="shared" si="85"/>
        <v>6589585.2436905373</v>
      </c>
      <c r="BC192" s="20">
        <f t="shared" si="86"/>
        <v>9122.8413467872888</v>
      </c>
      <c r="BD192" s="19">
        <f t="shared" si="87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90"/>
        <v>2.8502295699234246E-6</v>
      </c>
      <c r="P193" s="8">
        <f t="shared" si="91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60"/>
        <v>108884.09460882838</v>
      </c>
      <c r="X193">
        <v>2.4780443082083239E-2</v>
      </c>
      <c r="Y193">
        <f t="shared" si="61"/>
        <v>6.352511592953789</v>
      </c>
      <c r="Z193">
        <f t="shared" si="62"/>
        <v>6.35251162124099</v>
      </c>
      <c r="AA193">
        <f t="shared" si="63"/>
        <v>-2.8287201025989361E-8</v>
      </c>
      <c r="AB193">
        <f t="shared" si="64"/>
        <v>4.9033833539040133E-6</v>
      </c>
      <c r="AC193">
        <v>743.37492086809175</v>
      </c>
      <c r="AD193">
        <f t="shared" si="65"/>
        <v>3030.0094905242086</v>
      </c>
      <c r="AE193">
        <f>+gettm2(AD193,AC193,AK193,AL193,テーブル2[[#This Row],[Fcorr]])</f>
        <v>532.04418410014091</v>
      </c>
      <c r="AF193" s="14">
        <f t="shared" si="66"/>
        <v>0</v>
      </c>
      <c r="AG193">
        <v>5.0026834255610364E-6</v>
      </c>
      <c r="AH193">
        <f t="shared" si="67"/>
        <v>74.134620343814376</v>
      </c>
      <c r="AI193">
        <f t="shared" si="68"/>
        <v>0.36375956062304399</v>
      </c>
      <c r="AJ193">
        <f t="shared" si="69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70"/>
        <v>1.5871354414155836</v>
      </c>
      <c r="AM193">
        <f t="shared" si="71"/>
        <v>626.57723567066819</v>
      </c>
      <c r="AN193">
        <f t="shared" si="72"/>
        <v>1.6729984508856433E-7</v>
      </c>
      <c r="AO193">
        <f t="shared" si="73"/>
        <v>9.9300071657023117E-8</v>
      </c>
      <c r="AP193">
        <v>2.9874751695952142</v>
      </c>
      <c r="AQ193">
        <f t="shared" si="74"/>
        <v>2.1203411459922706E-5</v>
      </c>
      <c r="AR193">
        <f t="shared" si="75"/>
        <v>2.5509917486090298E-6</v>
      </c>
      <c r="AS193">
        <f t="shared" si="76"/>
        <v>8.1149912950491405</v>
      </c>
      <c r="AT193">
        <f t="shared" si="77"/>
        <v>7.418565641335837</v>
      </c>
      <c r="AU193">
        <f t="shared" si="78"/>
        <v>2.6985741781455346</v>
      </c>
      <c r="AV193">
        <f t="shared" si="79"/>
        <v>0.28890099144967962</v>
      </c>
      <c r="AW193">
        <f t="shared" si="80"/>
        <v>3.8898068497226121E-3</v>
      </c>
      <c r="AX193">
        <f t="shared" si="81"/>
        <v>0.28890098011220278</v>
      </c>
      <c r="AY193">
        <f t="shared" si="82"/>
        <v>1.1337476846229322E-8</v>
      </c>
      <c r="AZ193">
        <f t="shared" si="83"/>
        <v>839091.99888317985</v>
      </c>
      <c r="BA193">
        <f t="shared" si="84"/>
        <v>7.0974352107487632E-6</v>
      </c>
      <c r="BB193" s="15">
        <f t="shared" si="85"/>
        <v>6577334.6594030866</v>
      </c>
      <c r="BC193" s="20">
        <f t="shared" si="86"/>
        <v>21264.44455933664</v>
      </c>
      <c r="BD193" s="19">
        <f t="shared" si="87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90"/>
        <v>7.0553949389535604E-6</v>
      </c>
      <c r="P194" s="8">
        <f t="shared" si="91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28" si="92">+N194*Q194/I194</f>
        <v>133916.67451589441</v>
      </c>
      <c r="X194">
        <v>2.358706090902573E-2</v>
      </c>
      <c r="Y194">
        <f t="shared" ref="Y194:Y228" si="93">IF(X194&gt;0,1/X194^0.5,1)</f>
        <v>6.511230738825815</v>
      </c>
      <c r="Z194">
        <f t="shared" ref="Z194:Z228" si="94">IF(X194&gt;0,1.14-2*LOG((0.72*L194*E194)/(X194*Q194*N194^2)+9.35/(W194*X194^0.5)),0)</f>
        <v>6.5112307565456247</v>
      </c>
      <c r="AA194">
        <f t="shared" ref="AA194:AA228" si="95">+Y194-Z194</f>
        <v>-1.7719809619620719E-8</v>
      </c>
      <c r="AB194">
        <f t="shared" ref="AB194:AB228" si="96">32/X194*L194*V194*E194/N194^2</f>
        <v>6.425375621253804E-6</v>
      </c>
      <c r="AC194">
        <v>648.62974004930015</v>
      </c>
      <c r="AD194">
        <f t="shared" ref="AD194:AD228" si="97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28" si="98">+AE194-U194</f>
        <v>4.8629738103045383E-7</v>
      </c>
      <c r="AG194">
        <v>6.4566217237366081E-6</v>
      </c>
      <c r="AH194">
        <f t="shared" ref="AH194:AH228" si="99">+X194*N194^2/(8*E194)</f>
        <v>41.258804146735869</v>
      </c>
      <c r="AI194">
        <f t="shared" ref="AI194:AI228" si="100">+(AH194/E194)^0.5</f>
        <v>0.27735755430529702</v>
      </c>
      <c r="AJ194">
        <f t="shared" ref="AJ194:AJ228" si="101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28" si="102">+K194*I194/J194</f>
        <v>1.9545987150045083</v>
      </c>
      <c r="AM194">
        <f t="shared" ref="AM194:AM228" si="103">+gettyp(AC194,AJ194,AK194,AL194)</f>
        <v>631.29983470218883</v>
      </c>
      <c r="AN194">
        <f t="shared" ref="AN194:AN228" si="104">+C194-AM194</f>
        <v>-1.6005856195988599E-8</v>
      </c>
      <c r="AO194">
        <f t="shared" ref="AO194:AO228" si="105">+AG194-AB194</f>
        <v>3.1246102482804082E-8</v>
      </c>
      <c r="AP194">
        <v>2.265618810104193</v>
      </c>
      <c r="AQ194">
        <f t="shared" ref="AQ194:AQ228" si="106">2*PI()*L194*(D194+E194)/(D194*E194*AP194^2)</f>
        <v>2.4563706858024477E-5</v>
      </c>
      <c r="AR194">
        <f t="shared" ref="AR194:AR228" si="107">+AO194+AB194/2</f>
        <v>3.2439339131097061E-6</v>
      </c>
      <c r="AS194">
        <f t="shared" ref="AS194:AS228" si="108">+AR194*AI194/I194*E194</f>
        <v>7.8701471220361698</v>
      </c>
      <c r="AT194">
        <f t="shared" ref="AT194:AT228" si="109">+getublp(AS194)</f>
        <v>7.2653837814356539</v>
      </c>
      <c r="AU194">
        <f t="shared" ref="AU194:AU228" si="110">+AT194*AI194</f>
        <v>2.0151090767083635</v>
      </c>
      <c r="AV194">
        <f t="shared" ref="AV194:AV228" si="111">+AP194-AU194</f>
        <v>0.25050973339582949</v>
      </c>
      <c r="AW194">
        <f t="shared" ref="AW194:AW228" si="112">2/3*AB194/(L194/(9.8*(E194-D194)))^0.5</f>
        <v>5.6903963802360158E-3</v>
      </c>
      <c r="AX194">
        <f t="shared" ref="AX194:AX228" si="113">+(2*AQ194*9.8*(E194-D194)/(E194*AW194))^0.5</f>
        <v>0.25050972202862032</v>
      </c>
      <c r="AY194">
        <f t="shared" ref="AY194:AY228" si="114">+AV194-AX194</f>
        <v>1.1367209173940296E-8</v>
      </c>
      <c r="AZ194">
        <f t="shared" ref="AZ194:AZ228" si="115">+F194-G194</f>
        <v>750991.36315881251</v>
      </c>
      <c r="BA194">
        <f t="shared" ref="BA194:BA228" si="116">+AQ194/AP194</f>
        <v>1.0841941613688678E-5</v>
      </c>
      <c r="BB194" s="15">
        <f t="shared" ref="BB194:BB228" si="117">+E194*AO194*AZ194/BA194</f>
        <v>1160807.9371140187</v>
      </c>
      <c r="BC194" s="20">
        <f t="shared" ref="BC194:BC228" si="118">BB194-S194</f>
        <v>9639.0894577687141</v>
      </c>
      <c r="BD194" s="19">
        <f t="shared" ref="BD194:BD228" si="119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90"/>
        <v>7.0553949389535604E-6</v>
      </c>
      <c r="P195" s="8">
        <f t="shared" si="91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2"/>
        <v>134579.62835013153</v>
      </c>
      <c r="X195">
        <v>2.3542434183711519E-2</v>
      </c>
      <c r="Y195">
        <f t="shared" si="93"/>
        <v>6.5173991182561126</v>
      </c>
      <c r="Z195">
        <f t="shared" si="94"/>
        <v>6.5173991374830242</v>
      </c>
      <c r="AA195">
        <f t="shared" si="95"/>
        <v>-1.9226911618375198E-8</v>
      </c>
      <c r="AB195">
        <f t="shared" si="96"/>
        <v>6.3742875031969743E-6</v>
      </c>
      <c r="AC195">
        <v>648.58215201655344</v>
      </c>
      <c r="AD195">
        <f t="shared" si="97"/>
        <v>3650.3122675647296</v>
      </c>
      <c r="AE195">
        <f>+gettm2(AD195,AC195,AK195,AL195,テーブル2[[#This Row],[Fcorr]])</f>
        <v>618.62824158440321</v>
      </c>
      <c r="AF195" s="14">
        <f t="shared" si="98"/>
        <v>4.8582137424091343E-7</v>
      </c>
      <c r="AG195">
        <v>6.4053696486596969E-6</v>
      </c>
      <c r="AH195">
        <f t="shared" si="99"/>
        <v>41.589481835195159</v>
      </c>
      <c r="AI195">
        <f t="shared" si="100"/>
        <v>0.2784668074720531</v>
      </c>
      <c r="AJ195">
        <f t="shared" si="101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2"/>
        <v>1.9545987150045083</v>
      </c>
      <c r="AM195">
        <f t="shared" si="103"/>
        <v>631.29983468052592</v>
      </c>
      <c r="AN195">
        <f t="shared" si="104"/>
        <v>5.6570570450276136E-9</v>
      </c>
      <c r="AO195">
        <f t="shared" si="105"/>
        <v>3.1082145462722595E-8</v>
      </c>
      <c r="AP195">
        <v>2.2688057548090712</v>
      </c>
      <c r="AQ195">
        <f t="shared" si="106"/>
        <v>2.4494747059279634E-5</v>
      </c>
      <c r="AR195">
        <f t="shared" si="107"/>
        <v>3.2182258970612098E-6</v>
      </c>
      <c r="AS195">
        <f t="shared" si="108"/>
        <v>7.8390027170939804</v>
      </c>
      <c r="AT195">
        <f t="shared" si="109"/>
        <v>7.2455581090942278</v>
      </c>
      <c r="AU195">
        <f t="shared" si="110"/>
        <v>2.0176474349927154</v>
      </c>
      <c r="AV195">
        <f t="shared" si="111"/>
        <v>0.25115831981635584</v>
      </c>
      <c r="AW195">
        <f t="shared" si="112"/>
        <v>5.6451520771477973E-3</v>
      </c>
      <c r="AX195">
        <f t="shared" si="113"/>
        <v>0.25115830783988741</v>
      </c>
      <c r="AY195">
        <f t="shared" si="114"/>
        <v>1.1976468428098741E-8</v>
      </c>
      <c r="AZ195">
        <f t="shared" si="115"/>
        <v>750991.36315881251</v>
      </c>
      <c r="BA195">
        <f t="shared" si="116"/>
        <v>1.0796317405030984E-5</v>
      </c>
      <c r="BB195" s="15">
        <f t="shared" si="117"/>
        <v>1159596.577303299</v>
      </c>
      <c r="BC195" s="20">
        <f t="shared" si="118"/>
        <v>5484.9562095489819</v>
      </c>
      <c r="BD195" s="19">
        <f t="shared" si="119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90"/>
        <v>2.8502295699234246E-6</v>
      </c>
      <c r="P196" s="8">
        <f t="shared" si="91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2"/>
        <v>59073.218113266514</v>
      </c>
      <c r="X196">
        <v>2.890389008300534E-2</v>
      </c>
      <c r="Y196">
        <f t="shared" si="93"/>
        <v>5.881957084232539</v>
      </c>
      <c r="Z196">
        <f t="shared" si="94"/>
        <v>5.8819570995297781</v>
      </c>
      <c r="AA196">
        <f t="shared" si="95"/>
        <v>-1.5297239031042409E-8</v>
      </c>
      <c r="AB196">
        <f t="shared" si="96"/>
        <v>8.4460309260993839E-6</v>
      </c>
      <c r="AC196">
        <v>718.69196718017213</v>
      </c>
      <c r="AD196">
        <f t="shared" si="97"/>
        <v>1775.3900834458789</v>
      </c>
      <c r="AE196">
        <f>+gettm2(AD196,AC196,AK196,AL196,テーブル2[[#This Row],[Fcorr]])</f>
        <v>586.37594725565225</v>
      </c>
      <c r="AF196" s="14">
        <f t="shared" si="98"/>
        <v>0</v>
      </c>
      <c r="AG196">
        <v>8.557930864843843E-6</v>
      </c>
      <c r="AH196">
        <f t="shared" si="99"/>
        <v>23.620390460545245</v>
      </c>
      <c r="AI196">
        <f t="shared" si="100"/>
        <v>0.21305006072789628</v>
      </c>
      <c r="AJ196">
        <f t="shared" si="101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2"/>
        <v>2.1883527698787133</v>
      </c>
      <c r="AM196">
        <f t="shared" si="103"/>
        <v>634.44823394892057</v>
      </c>
      <c r="AN196">
        <f t="shared" si="104"/>
        <v>-3.0594605959777255E-8</v>
      </c>
      <c r="AO196">
        <f t="shared" si="105"/>
        <v>1.1189993874445909E-7</v>
      </c>
      <c r="AP196">
        <v>1.7928478619781869</v>
      </c>
      <c r="AQ196">
        <f t="shared" si="106"/>
        <v>2.8033538538420466E-5</v>
      </c>
      <c r="AR196">
        <f t="shared" si="107"/>
        <v>4.334915401794151E-6</v>
      </c>
      <c r="AS196">
        <f t="shared" si="108"/>
        <v>8.0799641122542187</v>
      </c>
      <c r="AT196">
        <f t="shared" si="109"/>
        <v>7.3969371548522229</v>
      </c>
      <c r="AU196">
        <f t="shared" si="110"/>
        <v>1.5759179100416985</v>
      </c>
      <c r="AV196">
        <f t="shared" si="111"/>
        <v>0.21692995193648845</v>
      </c>
      <c r="AW196">
        <f t="shared" si="112"/>
        <v>8.3295048522171993E-3</v>
      </c>
      <c r="AX196">
        <f t="shared" si="113"/>
        <v>0.21692994960171219</v>
      </c>
      <c r="AY196">
        <f t="shared" si="114"/>
        <v>2.3347762612146994E-9</v>
      </c>
      <c r="AZ196">
        <f t="shared" si="115"/>
        <v>692257.60600924003</v>
      </c>
      <c r="BA196">
        <f t="shared" si="116"/>
        <v>1.5636317577716221E-5</v>
      </c>
      <c r="BB196" s="15">
        <f t="shared" si="117"/>
        <v>2578023.372101312</v>
      </c>
      <c r="BC196" s="20">
        <f t="shared" si="118"/>
        <v>-6194.0536799379624</v>
      </c>
      <c r="BD196" s="19">
        <f t="shared" si="119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90"/>
        <v>2.8502295699234246E-6</v>
      </c>
      <c r="P197" s="8">
        <f t="shared" si="91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2"/>
        <v>59507.580011158185</v>
      </c>
      <c r="X197">
        <v>2.8815898793205751E-2</v>
      </c>
      <c r="Y197">
        <f t="shared" si="93"/>
        <v>5.8909307153231438</v>
      </c>
      <c r="Z197">
        <f t="shared" si="94"/>
        <v>5.8909307249756404</v>
      </c>
      <c r="AA197">
        <f t="shared" si="95"/>
        <v>-9.6524965798039375E-9</v>
      </c>
      <c r="AB197">
        <f t="shared" si="96"/>
        <v>8.3485965985073606E-6</v>
      </c>
      <c r="AC197">
        <v>721.07172439070189</v>
      </c>
      <c r="AD197">
        <f t="shared" si="97"/>
        <v>1785.7200920917137</v>
      </c>
      <c r="AE197">
        <f>+gettm2(AD197,AC197,AK197,AL197,テーブル2[[#This Row],[Fcorr]])</f>
        <v>584.72507505976887</v>
      </c>
      <c r="AF197" s="14">
        <f t="shared" si="98"/>
        <v>0</v>
      </c>
      <c r="AG197">
        <v>8.4620804080939452E-6</v>
      </c>
      <c r="AH197">
        <f t="shared" si="99"/>
        <v>23.896057973621129</v>
      </c>
      <c r="AI197">
        <f t="shared" si="100"/>
        <v>0.21428968067949769</v>
      </c>
      <c r="AJ197">
        <f t="shared" si="101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2"/>
        <v>2.1883527698787133</v>
      </c>
      <c r="AM197">
        <f t="shared" si="103"/>
        <v>634.44823392881597</v>
      </c>
      <c r="AN197">
        <f t="shared" si="104"/>
        <v>-1.0489998203411233E-8</v>
      </c>
      <c r="AO197">
        <f t="shared" si="105"/>
        <v>1.1348380958658459E-7</v>
      </c>
      <c r="AP197">
        <v>1.7972477854974711</v>
      </c>
      <c r="AQ197">
        <f t="shared" si="106"/>
        <v>2.7896446210047063E-5</v>
      </c>
      <c r="AR197">
        <f t="shared" si="107"/>
        <v>4.2877821088402649E-6</v>
      </c>
      <c r="AS197">
        <f t="shared" si="108"/>
        <v>8.0386127687847129</v>
      </c>
      <c r="AT197">
        <f t="shared" si="109"/>
        <v>7.3712826355399965</v>
      </c>
      <c r="AU197">
        <f t="shared" si="110"/>
        <v>1.579589802168192</v>
      </c>
      <c r="AV197">
        <f t="shared" si="111"/>
        <v>0.2176579833292791</v>
      </c>
      <c r="AW197">
        <f t="shared" si="112"/>
        <v>8.2334147820349573E-3</v>
      </c>
      <c r="AX197">
        <f t="shared" si="113"/>
        <v>0.21765797842260901</v>
      </c>
      <c r="AY197">
        <f t="shared" si="114"/>
        <v>4.9066700980038291E-9</v>
      </c>
      <c r="AZ197">
        <f t="shared" si="115"/>
        <v>692257.60600924003</v>
      </c>
      <c r="BA197">
        <f t="shared" si="116"/>
        <v>1.5521758566154213E-5</v>
      </c>
      <c r="BB197" s="15">
        <f t="shared" si="117"/>
        <v>2633810.1469452311</v>
      </c>
      <c r="BC197" s="20">
        <f t="shared" si="118"/>
        <v>-20877.841336018872</v>
      </c>
      <c r="BD197" s="19">
        <f t="shared" si="119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90"/>
        <v>2.8502295699234246E-6</v>
      </c>
      <c r="P198" s="8">
        <f t="shared" si="91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2"/>
        <v>59941.941909049849</v>
      </c>
      <c r="X198">
        <v>2.872895543349727E-2</v>
      </c>
      <c r="Y198">
        <f t="shared" si="93"/>
        <v>5.8998379376894636</v>
      </c>
      <c r="Z198">
        <f t="shared" si="94"/>
        <v>5.8998379765319902</v>
      </c>
      <c r="AA198">
        <f t="shared" si="95"/>
        <v>-3.8842526528526378E-8</v>
      </c>
      <c r="AB198">
        <f t="shared" si="96"/>
        <v>8.252941613511316E-6</v>
      </c>
      <c r="AC198">
        <v>742.63182352334468</v>
      </c>
      <c r="AD198">
        <f t="shared" si="97"/>
        <v>1796.0388933148606</v>
      </c>
      <c r="AE198">
        <f>+gettm2(AD198,AC198,AK198,AL198,テーブル2[[#This Row],[Fcorr]])</f>
        <v>572.110777943789</v>
      </c>
      <c r="AF198" s="14">
        <f t="shared" si="98"/>
        <v>0</v>
      </c>
      <c r="AG198">
        <v>8.3881602138876922E-6</v>
      </c>
      <c r="AH198">
        <f t="shared" si="99"/>
        <v>24.173023106052103</v>
      </c>
      <c r="AI198">
        <f t="shared" si="100"/>
        <v>0.21552795571985592</v>
      </c>
      <c r="AJ198">
        <f t="shared" si="101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102"/>
        <v>2.1883527698787133</v>
      </c>
      <c r="AM198">
        <f t="shared" si="103"/>
        <v>634.44823391253783</v>
      </c>
      <c r="AN198">
        <f t="shared" si="104"/>
        <v>5.7881379689206369E-9</v>
      </c>
      <c r="AO198">
        <f t="shared" si="105"/>
        <v>1.3521860037637625E-7</v>
      </c>
      <c r="AP198">
        <v>1.80618173777312</v>
      </c>
      <c r="AQ198">
        <f t="shared" si="106"/>
        <v>2.7621159244891151E-5</v>
      </c>
      <c r="AR198">
        <f t="shared" si="107"/>
        <v>4.2616894071320342E-6</v>
      </c>
      <c r="AS198">
        <f t="shared" si="108"/>
        <v>8.0358634398289581</v>
      </c>
      <c r="AT198">
        <f t="shared" si="109"/>
        <v>7.3695722662894632</v>
      </c>
      <c r="AU198">
        <f t="shared" si="110"/>
        <v>1.5883488450831136</v>
      </c>
      <c r="AV198">
        <f t="shared" si="111"/>
        <v>0.21783289269000639</v>
      </c>
      <c r="AW198">
        <f t="shared" si="112"/>
        <v>8.1390795056625696E-3</v>
      </c>
      <c r="AX198">
        <f t="shared" si="113"/>
        <v>0.2178328900844822</v>
      </c>
      <c r="AY198">
        <f t="shared" si="114"/>
        <v>2.6055241852951383E-9</v>
      </c>
      <c r="AZ198">
        <f t="shared" si="115"/>
        <v>692257.60600924003</v>
      </c>
      <c r="BA198">
        <f t="shared" si="116"/>
        <v>1.5292569217838438E-5</v>
      </c>
      <c r="BB198" s="15">
        <f t="shared" si="117"/>
        <v>3185278.9049469265</v>
      </c>
      <c r="BC198" s="20">
        <f t="shared" si="118"/>
        <v>27718.611978176516</v>
      </c>
      <c r="BD198" s="19">
        <f t="shared" si="119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90"/>
        <v>2.8502295699234246E-6</v>
      </c>
      <c r="P199" s="8">
        <f t="shared" si="91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2"/>
        <v>60376.303806941512</v>
      </c>
      <c r="X199">
        <v>2.8643038996504239E-2</v>
      </c>
      <c r="Y199">
        <f t="shared" si="93"/>
        <v>5.9086797632693653</v>
      </c>
      <c r="Z199">
        <f t="shared" si="94"/>
        <v>5.9086797749799116</v>
      </c>
      <c r="AA199">
        <f t="shared" si="95"/>
        <v>-1.171054631043944E-8</v>
      </c>
      <c r="AB199">
        <f t="shared" si="96"/>
        <v>8.1590216640322346E-6</v>
      </c>
      <c r="AC199">
        <v>743.62628600811388</v>
      </c>
      <c r="AD199">
        <f t="shared" si="97"/>
        <v>1806.3465763646784</v>
      </c>
      <c r="AE199">
        <f>+gettm2(AD199,AC199,AK199,AL199,テーブル2[[#This Row],[Fcorr]])</f>
        <v>571.16045253786228</v>
      </c>
      <c r="AF199" s="14">
        <f t="shared" si="98"/>
        <v>1.4362627780428738E-6</v>
      </c>
      <c r="AG199">
        <v>8.2938048507331152E-6</v>
      </c>
      <c r="AH199">
        <f t="shared" si="99"/>
        <v>24.45128307426441</v>
      </c>
      <c r="AI199">
        <f t="shared" si="100"/>
        <v>0.21676489655905742</v>
      </c>
      <c r="AJ199">
        <f t="shared" si="101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2"/>
        <v>2.1883527698787133</v>
      </c>
      <c r="AM199">
        <f t="shared" si="103"/>
        <v>634.44823389710189</v>
      </c>
      <c r="AN199">
        <f t="shared" si="104"/>
        <v>2.1224082047410775E-8</v>
      </c>
      <c r="AO199">
        <f t="shared" si="105"/>
        <v>1.3478318670088055E-7</v>
      </c>
      <c r="AP199">
        <v>1.810148878374978</v>
      </c>
      <c r="AQ199">
        <f t="shared" si="106"/>
        <v>2.7500222289303824E-5</v>
      </c>
      <c r="AR199">
        <f t="shared" si="107"/>
        <v>4.2142940187169979E-6</v>
      </c>
      <c r="AS199">
        <f t="shared" si="108"/>
        <v>7.9921003385864466</v>
      </c>
      <c r="AT199">
        <f t="shared" si="109"/>
        <v>7.3422679807281224</v>
      </c>
      <c r="AU199">
        <f t="shared" si="110"/>
        <v>1.591545959351411</v>
      </c>
      <c r="AV199">
        <f t="shared" si="111"/>
        <v>0.21860291902356699</v>
      </c>
      <c r="AW199">
        <f t="shared" si="112"/>
        <v>8.0464553273057789E-3</v>
      </c>
      <c r="AX199">
        <f t="shared" si="113"/>
        <v>0.21860291456913764</v>
      </c>
      <c r="AY199">
        <f t="shared" si="114"/>
        <v>4.4544293531512125E-9</v>
      </c>
      <c r="AZ199">
        <f t="shared" si="115"/>
        <v>692257.60600924003</v>
      </c>
      <c r="BA199">
        <f t="shared" si="116"/>
        <v>1.5192243366187401E-5</v>
      </c>
      <c r="BB199" s="15">
        <f t="shared" si="117"/>
        <v>3195989.144047997</v>
      </c>
      <c r="BC199" s="20">
        <f t="shared" si="118"/>
        <v>-3937.6137645030394</v>
      </c>
      <c r="BD199" s="19">
        <f t="shared" si="119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90"/>
        <v>2.8502295699234246E-6</v>
      </c>
      <c r="P200" s="8">
        <f t="shared" si="91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2"/>
        <v>65154.284683749836</v>
      </c>
      <c r="X200">
        <v>2.7760466389436762E-2</v>
      </c>
      <c r="Y200">
        <f t="shared" si="93"/>
        <v>6.0018705042739482</v>
      </c>
      <c r="Z200">
        <f t="shared" si="94"/>
        <v>6.0018705113914557</v>
      </c>
      <c r="AA200">
        <f t="shared" si="95"/>
        <v>-7.1175074722873433E-9</v>
      </c>
      <c r="AB200">
        <f t="shared" si="96"/>
        <v>7.2289880152804128E-6</v>
      </c>
      <c r="AC200">
        <v>794.18426519942875</v>
      </c>
      <c r="AD200">
        <f t="shared" si="97"/>
        <v>1919.0282633735189</v>
      </c>
      <c r="AE200">
        <f>+gettm2(AD200,AC200,AK200,AL200,テーブル2[[#This Row],[Fcorr]])</f>
        <v>536.38710837813585</v>
      </c>
      <c r="AF200" s="14">
        <f t="shared" si="98"/>
        <v>0</v>
      </c>
      <c r="AG200">
        <v>7.4058109777987824E-6</v>
      </c>
      <c r="AH200">
        <f t="shared" si="99"/>
        <v>27.59702297121175</v>
      </c>
      <c r="AI200">
        <f t="shared" si="100"/>
        <v>0.23028690531870988</v>
      </c>
      <c r="AJ200">
        <f t="shared" si="101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102"/>
        <v>2.1883527698787133</v>
      </c>
      <c r="AM200">
        <f t="shared" si="103"/>
        <v>634.44823389904138</v>
      </c>
      <c r="AN200">
        <f t="shared" si="104"/>
        <v>1.9284584595880006E-8</v>
      </c>
      <c r="AO200">
        <f t="shared" si="105"/>
        <v>1.7682296251836957E-7</v>
      </c>
      <c r="AP200">
        <v>1.8642221082684549</v>
      </c>
      <c r="AQ200">
        <f t="shared" si="106"/>
        <v>2.592802801282354E-5</v>
      </c>
      <c r="AR200">
        <f t="shared" si="107"/>
        <v>3.791316970158576E-6</v>
      </c>
      <c r="AS200">
        <f t="shared" si="108"/>
        <v>7.6384718332199091</v>
      </c>
      <c r="AT200">
        <f t="shared" si="109"/>
        <v>7.115987806707702</v>
      </c>
      <c r="AU200">
        <f t="shared" si="110"/>
        <v>1.6387188102923906</v>
      </c>
      <c r="AV200">
        <f t="shared" si="111"/>
        <v>0.22550329797606428</v>
      </c>
      <c r="AW200">
        <f t="shared" si="112"/>
        <v>7.1292529327389824E-3</v>
      </c>
      <c r="AX200">
        <f t="shared" si="113"/>
        <v>0.22550328883776638</v>
      </c>
      <c r="AY200">
        <f t="shared" si="114"/>
        <v>9.1382978961718209E-9</v>
      </c>
      <c r="AZ200">
        <f t="shared" si="115"/>
        <v>692257.60600924003</v>
      </c>
      <c r="BA200">
        <f t="shared" si="116"/>
        <v>1.3908229012961479E-5</v>
      </c>
      <c r="BB200" s="15">
        <f t="shared" si="117"/>
        <v>4579924.4434871785</v>
      </c>
      <c r="BC200" s="20">
        <f t="shared" si="118"/>
        <v>-37775.751825321466</v>
      </c>
      <c r="BD200" s="19">
        <f t="shared" si="119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90"/>
        <v>2.8502295699234246E-6</v>
      </c>
      <c r="P201" s="8">
        <f t="shared" si="91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2"/>
        <v>65154.284683749836</v>
      </c>
      <c r="X201">
        <v>2.7760466389436762E-2</v>
      </c>
      <c r="Y201">
        <f t="shared" si="93"/>
        <v>6.0018705042739482</v>
      </c>
      <c r="Z201">
        <f t="shared" si="94"/>
        <v>6.0018705113914557</v>
      </c>
      <c r="AA201">
        <f t="shared" si="95"/>
        <v>-7.1175074722873433E-9</v>
      </c>
      <c r="AB201">
        <f t="shared" si="96"/>
        <v>7.2289880152804128E-6</v>
      </c>
      <c r="AC201">
        <v>763.56078518722359</v>
      </c>
      <c r="AD201">
        <f t="shared" si="97"/>
        <v>1919.0282633735189</v>
      </c>
      <c r="AE201">
        <f>+gettm2(AD201,AC201,AK201,AL201,テーブル2[[#This Row],[Fcorr]])</f>
        <v>554.95732154530219</v>
      </c>
      <c r="AF201" s="14">
        <f t="shared" si="98"/>
        <v>1.6356077594537055E-6</v>
      </c>
      <c r="AG201">
        <v>7.3801253999512326E-6</v>
      </c>
      <c r="AH201">
        <f t="shared" si="99"/>
        <v>27.59702297121175</v>
      </c>
      <c r="AI201">
        <f t="shared" si="100"/>
        <v>0.23028690531870988</v>
      </c>
      <c r="AJ201">
        <f t="shared" si="101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2"/>
        <v>2.1883527698787133</v>
      </c>
      <c r="AM201">
        <f t="shared" si="103"/>
        <v>634.44823389356088</v>
      </c>
      <c r="AN201">
        <f t="shared" si="104"/>
        <v>2.4765085981925949E-8</v>
      </c>
      <c r="AO201">
        <f t="shared" si="105"/>
        <v>1.5113738467081981E-7</v>
      </c>
      <c r="AP201">
        <v>1.857242256433528</v>
      </c>
      <c r="AQ201">
        <f t="shared" si="106"/>
        <v>2.6123278642486726E-5</v>
      </c>
      <c r="AR201">
        <f t="shared" si="107"/>
        <v>3.7656313923110262E-6</v>
      </c>
      <c r="AS201">
        <f t="shared" si="108"/>
        <v>7.5867223845579366</v>
      </c>
      <c r="AT201">
        <f t="shared" si="109"/>
        <v>7.0819983237453599</v>
      </c>
      <c r="AU201">
        <f t="shared" si="110"/>
        <v>1.6308914774476098</v>
      </c>
      <c r="AV201">
        <f t="shared" si="111"/>
        <v>0.22635077898591827</v>
      </c>
      <c r="AW201">
        <f t="shared" si="112"/>
        <v>7.1292529327389824E-3</v>
      </c>
      <c r="AX201">
        <f t="shared" si="113"/>
        <v>0.22635077092521297</v>
      </c>
      <c r="AY201">
        <f t="shared" si="114"/>
        <v>8.0607052976855442E-9</v>
      </c>
      <c r="AZ201">
        <f t="shared" si="115"/>
        <v>692257.60600924003</v>
      </c>
      <c r="BA201">
        <f t="shared" si="116"/>
        <v>1.4065627977176975E-5</v>
      </c>
      <c r="BB201" s="15">
        <f t="shared" si="117"/>
        <v>3870831.4433764899</v>
      </c>
      <c r="BC201" s="20">
        <f t="shared" si="118"/>
        <v>-27813.576154760085</v>
      </c>
      <c r="BD201" s="19">
        <f t="shared" si="119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90"/>
        <v>2.8502295699234246E-6</v>
      </c>
      <c r="P202" s="8">
        <f t="shared" si="91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2"/>
        <v>65588.6465816415</v>
      </c>
      <c r="X202">
        <v>2.7685474811265761E-2</v>
      </c>
      <c r="Y202">
        <f t="shared" si="93"/>
        <v>6.0099936332252639</v>
      </c>
      <c r="Z202">
        <f t="shared" si="94"/>
        <v>6.0099936385649277</v>
      </c>
      <c r="AA202">
        <f t="shared" si="95"/>
        <v>-5.3396638222125148E-9</v>
      </c>
      <c r="AB202">
        <f t="shared" si="96"/>
        <v>7.1528795247520302E-6</v>
      </c>
      <c r="AC202">
        <v>793.61708673720523</v>
      </c>
      <c r="AD202">
        <f t="shared" si="97"/>
        <v>1929.210727875502</v>
      </c>
      <c r="AE202">
        <f>+gettm2(AD202,AC202,AK202,AL202,テーブル2[[#This Row],[Fcorr]])</f>
        <v>536.22895911556827</v>
      </c>
      <c r="AF202" s="14">
        <f t="shared" si="98"/>
        <v>1.9361706335985218E-6</v>
      </c>
      <c r="AG202">
        <v>7.3311103597214086E-6</v>
      </c>
      <c r="AH202">
        <f t="shared" si="99"/>
        <v>27.890662442441183</v>
      </c>
      <c r="AI202">
        <f t="shared" si="100"/>
        <v>0.23150881970289783</v>
      </c>
      <c r="AJ202">
        <f t="shared" si="101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102"/>
        <v>2.1883527698787133</v>
      </c>
      <c r="AM202">
        <f t="shared" si="103"/>
        <v>634.44823385595294</v>
      </c>
      <c r="AN202">
        <f t="shared" si="104"/>
        <v>6.2373032960749697E-8</v>
      </c>
      <c r="AO202">
        <f t="shared" si="105"/>
        <v>1.7823083496937848E-7</v>
      </c>
      <c r="AP202">
        <v>1.8684798425493141</v>
      </c>
      <c r="AQ202">
        <f t="shared" si="106"/>
        <v>2.5809997438255887E-5</v>
      </c>
      <c r="AR202">
        <f t="shared" si="107"/>
        <v>3.7546705973453936E-6</v>
      </c>
      <c r="AS202">
        <f t="shared" si="108"/>
        <v>7.6047777386219977</v>
      </c>
      <c r="AT202">
        <f t="shared" si="109"/>
        <v>7.0938834979672372</v>
      </c>
      <c r="AU202">
        <f t="shared" si="110"/>
        <v>1.6422965957242592</v>
      </c>
      <c r="AV202">
        <f t="shared" si="111"/>
        <v>0.22618324682505486</v>
      </c>
      <c r="AW202">
        <f t="shared" si="112"/>
        <v>7.0541944766786208E-3</v>
      </c>
      <c r="AX202">
        <f t="shared" si="113"/>
        <v>0.22618323666943713</v>
      </c>
      <c r="AY202">
        <f t="shared" si="114"/>
        <v>1.01556177356521E-8</v>
      </c>
      <c r="AZ202">
        <f t="shared" si="115"/>
        <v>692257.60600924003</v>
      </c>
      <c r="BA202">
        <f t="shared" si="116"/>
        <v>1.3813366807875903E-5</v>
      </c>
      <c r="BB202" s="15">
        <f t="shared" si="117"/>
        <v>4648092.7033490408</v>
      </c>
      <c r="BC202" s="20">
        <f t="shared" si="118"/>
        <v>15866.140849040821</v>
      </c>
      <c r="BD202" s="19">
        <f t="shared" si="119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90"/>
        <v>2.8502295699234246E-6</v>
      </c>
      <c r="P203" s="8">
        <f t="shared" si="91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2"/>
        <v>65588.6465816415</v>
      </c>
      <c r="X203">
        <v>2.7685474811265761E-2</v>
      </c>
      <c r="Y203">
        <f t="shared" si="93"/>
        <v>6.0099936332252639</v>
      </c>
      <c r="Z203">
        <f t="shared" si="94"/>
        <v>6.0099936385649277</v>
      </c>
      <c r="AA203">
        <f t="shared" si="95"/>
        <v>-5.3396638222125148E-9</v>
      </c>
      <c r="AB203">
        <f t="shared" si="96"/>
        <v>7.1528795247520302E-6</v>
      </c>
      <c r="AC203">
        <v>761.79574948842162</v>
      </c>
      <c r="AD203">
        <f t="shared" si="97"/>
        <v>1929.210727875502</v>
      </c>
      <c r="AE203">
        <f>+gettm2(AD203,AC203,AK203,AL203,テーブル2[[#This Row],[Fcorr]])</f>
        <v>555.62197361148742</v>
      </c>
      <c r="AF203" s="14">
        <f t="shared" si="98"/>
        <v>1.6179574231500737E-6</v>
      </c>
      <c r="AG203">
        <v>7.3039135526401753E-6</v>
      </c>
      <c r="AH203">
        <f t="shared" si="99"/>
        <v>27.890662442441183</v>
      </c>
      <c r="AI203">
        <f t="shared" si="100"/>
        <v>0.23150881970289783</v>
      </c>
      <c r="AJ203">
        <f t="shared" si="101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2"/>
        <v>2.1883527698787133</v>
      </c>
      <c r="AM203">
        <f t="shared" si="103"/>
        <v>634.44823384830488</v>
      </c>
      <c r="AN203">
        <f t="shared" si="104"/>
        <v>7.0021087594795972E-8</v>
      </c>
      <c r="AO203">
        <f t="shared" si="105"/>
        <v>1.5103402788814517E-7</v>
      </c>
      <c r="AP203">
        <v>1.8609766419723821</v>
      </c>
      <c r="AQ203">
        <f t="shared" si="106"/>
        <v>2.6018541687124837E-5</v>
      </c>
      <c r="AR203">
        <f t="shared" si="107"/>
        <v>3.7274737902641602E-6</v>
      </c>
      <c r="AS203">
        <f t="shared" si="108"/>
        <v>7.5496928336507887</v>
      </c>
      <c r="AT203">
        <f t="shared" si="109"/>
        <v>7.0575343907432089</v>
      </c>
      <c r="AU203">
        <f t="shared" si="110"/>
        <v>1.6338814568135704</v>
      </c>
      <c r="AV203">
        <f t="shared" si="111"/>
        <v>0.22709518515881166</v>
      </c>
      <c r="AW203">
        <f t="shared" si="112"/>
        <v>7.0541944766786208E-3</v>
      </c>
      <c r="AX203">
        <f t="shared" si="113"/>
        <v>0.22709517621429448</v>
      </c>
      <c r="AY203">
        <f t="shared" si="114"/>
        <v>8.9445171824742431E-9</v>
      </c>
      <c r="AZ203">
        <f t="shared" si="115"/>
        <v>692257.60600924003</v>
      </c>
      <c r="BA203">
        <f t="shared" si="116"/>
        <v>1.3981122116368276E-5</v>
      </c>
      <c r="BB203" s="15">
        <f t="shared" si="117"/>
        <v>3891564.7387400735</v>
      </c>
      <c r="BC203" s="20">
        <f t="shared" si="118"/>
        <v>11803.996552573517</v>
      </c>
      <c r="BD203" s="19">
        <f t="shared" si="119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90"/>
        <v>2.8502295699234246E-6</v>
      </c>
      <c r="P204" s="8">
        <f t="shared" si="91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2"/>
        <v>66023.008479533164</v>
      </c>
      <c r="X204">
        <v>2.761129022690777E-2</v>
      </c>
      <c r="Y204">
        <f t="shared" si="93"/>
        <v>6.0180618873112151</v>
      </c>
      <c r="Z204">
        <f t="shared" si="94"/>
        <v>6.018061934142847</v>
      </c>
      <c r="AA204">
        <f t="shared" si="95"/>
        <v>-4.6831631905774884E-8</v>
      </c>
      <c r="AB204">
        <f t="shared" si="96"/>
        <v>7.0780382335173812E-6</v>
      </c>
      <c r="AC204">
        <v>742.28489107037728</v>
      </c>
      <c r="AD204">
        <f t="shared" si="97"/>
        <v>1939.3833880575614</v>
      </c>
      <c r="AE204">
        <f>+gettm2(AD204,AC204,AK204,AL204,テーブル2[[#This Row],[Fcorr]])</f>
        <v>567.20325345200536</v>
      </c>
      <c r="AF204" s="14">
        <f t="shared" si="98"/>
        <v>0</v>
      </c>
      <c r="AG204">
        <v>7.2109691790268723E-6</v>
      </c>
      <c r="AH204">
        <f t="shared" si="99"/>
        <v>28.185570879174044</v>
      </c>
      <c r="AI204">
        <f t="shared" si="100"/>
        <v>0.23272955755074334</v>
      </c>
      <c r="AJ204">
        <f t="shared" si="101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102"/>
        <v>2.1883527698787133</v>
      </c>
      <c r="AM204">
        <f t="shared" si="103"/>
        <v>634.44823393768081</v>
      </c>
      <c r="AN204">
        <f t="shared" si="104"/>
        <v>-1.9354843061591964E-8</v>
      </c>
      <c r="AO204">
        <f t="shared" si="105"/>
        <v>1.3293094550949111E-7</v>
      </c>
      <c r="AP204">
        <v>1.8596128204093281</v>
      </c>
      <c r="AQ204">
        <f t="shared" si="106"/>
        <v>2.6056719161324536E-5</v>
      </c>
      <c r="AR204">
        <f t="shared" si="107"/>
        <v>3.6719500622681817E-6</v>
      </c>
      <c r="AS204">
        <f t="shared" si="108"/>
        <v>7.4764503438738474</v>
      </c>
      <c r="AT204">
        <f t="shared" si="109"/>
        <v>7.0087906319622668</v>
      </c>
      <c r="AU204">
        <f t="shared" si="110"/>
        <v>1.6311527427423731</v>
      </c>
      <c r="AV204">
        <f t="shared" si="111"/>
        <v>0.22846007766695497</v>
      </c>
      <c r="AW204">
        <f t="shared" si="112"/>
        <v>6.9803857369356908E-3</v>
      </c>
      <c r="AX204">
        <f t="shared" si="113"/>
        <v>0.22846006862992704</v>
      </c>
      <c r="AY204">
        <f t="shared" si="114"/>
        <v>9.0370279315354907E-9</v>
      </c>
      <c r="AZ204">
        <f t="shared" si="115"/>
        <v>692257.60600924003</v>
      </c>
      <c r="BA204">
        <f t="shared" si="116"/>
        <v>1.401190552966239E-5</v>
      </c>
      <c r="BB204" s="15">
        <f t="shared" si="117"/>
        <v>3417593.2813150208</v>
      </c>
      <c r="BC204" s="20">
        <f t="shared" si="118"/>
        <v>-12702.714778729249</v>
      </c>
      <c r="BD204" s="19">
        <f t="shared" si="119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90"/>
        <v>2.8502295699234246E-6</v>
      </c>
      <c r="P205" s="8">
        <f t="shared" si="91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2"/>
        <v>66457.370377424828</v>
      </c>
      <c r="X205">
        <v>2.7537897758732419E-2</v>
      </c>
      <c r="Y205">
        <f t="shared" si="93"/>
        <v>6.0260760524703603</v>
      </c>
      <c r="Z205">
        <f t="shared" si="94"/>
        <v>6.0260760849766344</v>
      </c>
      <c r="AA205">
        <f t="shared" si="95"/>
        <v>-3.250627411688356E-8</v>
      </c>
      <c r="AB205">
        <f t="shared" si="96"/>
        <v>7.0044354320592796E-6</v>
      </c>
      <c r="AC205">
        <v>737.3785646291351</v>
      </c>
      <c r="AD205">
        <f t="shared" si="97"/>
        <v>1949.5463069387731</v>
      </c>
      <c r="AE205">
        <f>+gettm2(AD205,AC205,AK205,AL205,テーブル2[[#This Row],[Fcorr]])</f>
        <v>569.88828393948211</v>
      </c>
      <c r="AF205" s="14">
        <f t="shared" si="98"/>
        <v>0</v>
      </c>
      <c r="AG205">
        <v>7.1328723961948813E-6</v>
      </c>
      <c r="AH205">
        <f t="shared" si="99"/>
        <v>28.481745638371329</v>
      </c>
      <c r="AI205">
        <f t="shared" si="100"/>
        <v>0.23394912642465096</v>
      </c>
      <c r="AJ205">
        <f t="shared" si="101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2"/>
        <v>2.1883527698787133</v>
      </c>
      <c r="AM205">
        <f t="shared" si="103"/>
        <v>634.44823395019762</v>
      </c>
      <c r="AN205">
        <f t="shared" si="104"/>
        <v>-3.1871650207904167E-8</v>
      </c>
      <c r="AO205">
        <f t="shared" si="105"/>
        <v>1.2843696413560167E-7</v>
      </c>
      <c r="AP205">
        <v>1.861953158499333</v>
      </c>
      <c r="AQ205">
        <f t="shared" si="106"/>
        <v>2.5991257570707715E-5</v>
      </c>
      <c r="AR205">
        <f t="shared" si="107"/>
        <v>3.6306546801652415E-6</v>
      </c>
      <c r="AS205">
        <f t="shared" si="108"/>
        <v>7.4311070062846394</v>
      </c>
      <c r="AT205">
        <f t="shared" si="109"/>
        <v>6.9783741952806455</v>
      </c>
      <c r="AU205">
        <f t="shared" si="110"/>
        <v>1.6325845468502336</v>
      </c>
      <c r="AV205">
        <f t="shared" si="111"/>
        <v>0.22936861164909939</v>
      </c>
      <c r="AW205">
        <f t="shared" si="112"/>
        <v>6.9077984000852476E-3</v>
      </c>
      <c r="AX205">
        <f t="shared" si="113"/>
        <v>0.22936860189177832</v>
      </c>
      <c r="AY205">
        <f t="shared" si="114"/>
        <v>9.7573210622314832E-9</v>
      </c>
      <c r="AZ205">
        <f t="shared" si="115"/>
        <v>692257.60600924003</v>
      </c>
      <c r="BA205">
        <f t="shared" si="116"/>
        <v>1.3959136110414148E-5</v>
      </c>
      <c r="BB205" s="15">
        <f t="shared" si="117"/>
        <v>3314537.7806892479</v>
      </c>
      <c r="BC205" s="20">
        <f t="shared" si="118"/>
        <v>-14913.645092002116</v>
      </c>
      <c r="BD205" s="19">
        <f t="shared" si="119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90"/>
        <v>2.8502295699234246E-6</v>
      </c>
      <c r="P206" s="8">
        <f t="shared" si="91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2"/>
        <v>86003.655782549788</v>
      </c>
      <c r="X206">
        <v>2.4878380745810669E-2</v>
      </c>
      <c r="Y206">
        <f t="shared" si="93"/>
        <v>6.3399954316979432</v>
      </c>
      <c r="Z206">
        <f t="shared" si="94"/>
        <v>6.3399954657620112</v>
      </c>
      <c r="AA206">
        <f t="shared" si="95"/>
        <v>-3.4064068010764004E-8</v>
      </c>
      <c r="AB206">
        <f t="shared" si="96"/>
        <v>4.6295021533103351E-6</v>
      </c>
      <c r="AC206">
        <v>700.19218316204831</v>
      </c>
      <c r="AD206">
        <f t="shared" si="97"/>
        <v>2398.0209791092771</v>
      </c>
      <c r="AE206">
        <f>+gettm2(AD206,AC206,AK206,AL206,テーブル2[[#This Row],[Fcorr]])</f>
        <v>583.56221761103211</v>
      </c>
      <c r="AF206" s="14">
        <f t="shared" si="98"/>
        <v>0</v>
      </c>
      <c r="AG206">
        <v>4.7256519565741301E-6</v>
      </c>
      <c r="AH206">
        <f t="shared" si="99"/>
        <v>43.092872993623338</v>
      </c>
      <c r="AI206">
        <f t="shared" si="100"/>
        <v>0.28776690823595841</v>
      </c>
      <c r="AJ206">
        <f t="shared" si="101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2"/>
        <v>2.1883527698787133</v>
      </c>
      <c r="AM206">
        <f t="shared" si="103"/>
        <v>634.44823401952613</v>
      </c>
      <c r="AN206">
        <f t="shared" si="104"/>
        <v>-1.0120015758730005E-7</v>
      </c>
      <c r="AO206">
        <f t="shared" si="105"/>
        <v>9.6149803263795015E-8</v>
      </c>
      <c r="AP206">
        <v>1.982016925628435</v>
      </c>
      <c r="AQ206">
        <f t="shared" si="106"/>
        <v>2.2937711055083859E-5</v>
      </c>
      <c r="AR206">
        <f t="shared" si="107"/>
        <v>2.4109008799189625E-6</v>
      </c>
      <c r="AS206">
        <f t="shared" si="108"/>
        <v>6.0697017203135832</v>
      </c>
      <c r="AT206">
        <f t="shared" si="109"/>
        <v>5.9665473194135537</v>
      </c>
      <c r="AU206">
        <f t="shared" si="110"/>
        <v>1.7169748749511837</v>
      </c>
      <c r="AV206">
        <f t="shared" si="111"/>
        <v>0.26504205067725128</v>
      </c>
      <c r="AW206">
        <f t="shared" si="112"/>
        <v>4.5656310031009064E-3</v>
      </c>
      <c r="AX206">
        <f t="shared" si="113"/>
        <v>0.26504205034881945</v>
      </c>
      <c r="AY206">
        <f t="shared" si="114"/>
        <v>3.284318372820394E-10</v>
      </c>
      <c r="AZ206">
        <f t="shared" si="115"/>
        <v>692257.60600924003</v>
      </c>
      <c r="BA206">
        <f t="shared" si="116"/>
        <v>1.1572913812434289E-5</v>
      </c>
      <c r="BB206" s="15">
        <f t="shared" si="117"/>
        <v>2992934.1739844298</v>
      </c>
      <c r="BC206" s="20">
        <f t="shared" si="118"/>
        <v>-9433.990078070201</v>
      </c>
      <c r="BD206" s="19">
        <f t="shared" si="119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90"/>
        <v>2.8502295699234246E-6</v>
      </c>
      <c r="P207" s="8">
        <f t="shared" si="91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2"/>
        <v>86438.017680441451</v>
      </c>
      <c r="X207">
        <v>2.4830525859102271E-2</v>
      </c>
      <c r="Y207">
        <f t="shared" si="93"/>
        <v>6.3461019016727107</v>
      </c>
      <c r="Z207">
        <f t="shared" si="94"/>
        <v>6.346101933090341</v>
      </c>
      <c r="AA207">
        <f t="shared" si="95"/>
        <v>-3.1417630275143438E-8</v>
      </c>
      <c r="AB207">
        <f t="shared" si="96"/>
        <v>4.5919242072455085E-6</v>
      </c>
      <c r="AC207">
        <v>735.4534969647093</v>
      </c>
      <c r="AD207">
        <f t="shared" si="97"/>
        <v>2407.8130717556137</v>
      </c>
      <c r="AE207">
        <f>+gettm2(AD207,AC207,AK207,AL207,テーブル2[[#This Row],[Fcorr]])</f>
        <v>556.42488400592731</v>
      </c>
      <c r="AF207" s="14">
        <f t="shared" si="98"/>
        <v>0</v>
      </c>
      <c r="AG207">
        <v>4.7219781386298901E-6</v>
      </c>
      <c r="AH207">
        <f t="shared" si="99"/>
        <v>43.445522903344767</v>
      </c>
      <c r="AI207">
        <f t="shared" si="100"/>
        <v>0.28894197728270338</v>
      </c>
      <c r="AJ207">
        <f t="shared" si="101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2"/>
        <v>2.1883527698787133</v>
      </c>
      <c r="AM207">
        <f t="shared" si="103"/>
        <v>634.4482340835458</v>
      </c>
      <c r="AN207">
        <f t="shared" si="104"/>
        <v>-1.6521983070560964E-7</v>
      </c>
      <c r="AO207">
        <f t="shared" si="105"/>
        <v>1.3005393138438154E-7</v>
      </c>
      <c r="AP207">
        <v>2.0023275411607102</v>
      </c>
      <c r="AQ207">
        <f t="shared" si="106"/>
        <v>2.247473364682511E-5</v>
      </c>
      <c r="AR207">
        <f t="shared" si="107"/>
        <v>2.4260160350071358E-6</v>
      </c>
      <c r="AS207">
        <f t="shared" si="108"/>
        <v>6.1326961904240491</v>
      </c>
      <c r="AT207">
        <f t="shared" si="109"/>
        <v>6.0181724427732153</v>
      </c>
      <c r="AU207">
        <f t="shared" si="110"/>
        <v>1.73890264524317</v>
      </c>
      <c r="AV207">
        <f t="shared" si="111"/>
        <v>0.26342489591754026</v>
      </c>
      <c r="AW207">
        <f t="shared" si="112"/>
        <v>4.528571502985166E-3</v>
      </c>
      <c r="AX207">
        <f t="shared" si="113"/>
        <v>0.26342489168070349</v>
      </c>
      <c r="AY207">
        <f t="shared" si="114"/>
        <v>4.2368367703105037E-9</v>
      </c>
      <c r="AZ207">
        <f t="shared" si="115"/>
        <v>692257.60600924003</v>
      </c>
      <c r="BA207">
        <f t="shared" si="116"/>
        <v>1.1224304308273633E-5</v>
      </c>
      <c r="BB207" s="15">
        <f t="shared" si="117"/>
        <v>4174029.7140213419</v>
      </c>
      <c r="BC207" s="20">
        <f t="shared" si="118"/>
        <v>2288.9913650918752</v>
      </c>
      <c r="BD207" s="19">
        <f t="shared" si="119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90"/>
        <v>2.8502295699234246E-6</v>
      </c>
      <c r="P208" s="8">
        <f t="shared" si="91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2"/>
        <v>87306.741476224779</v>
      </c>
      <c r="X208">
        <v>2.4735969360292959E-2</v>
      </c>
      <c r="Y208">
        <f t="shared" si="93"/>
        <v>6.3582197371331333</v>
      </c>
      <c r="Z208">
        <f t="shared" si="94"/>
        <v>6.3582197634838256</v>
      </c>
      <c r="AA208">
        <f t="shared" si="95"/>
        <v>-2.6350692294840883E-8</v>
      </c>
      <c r="AB208">
        <f t="shared" si="96"/>
        <v>4.518202920192045E-6</v>
      </c>
      <c r="AC208">
        <v>779.03964791992109</v>
      </c>
      <c r="AD208">
        <f t="shared" si="97"/>
        <v>2427.3771390989714</v>
      </c>
      <c r="AE208">
        <f>+gettm2(AD208,AC208,AK208,AL208,テーブル2[[#This Row],[Fcorr]])</f>
        <v>522.65403768029614</v>
      </c>
      <c r="AF208" s="14">
        <f t="shared" si="98"/>
        <v>0</v>
      </c>
      <c r="AG208">
        <v>4.6871749131914986E-6</v>
      </c>
      <c r="AH208">
        <f t="shared" si="99"/>
        <v>44.154402057672165</v>
      </c>
      <c r="AI208">
        <f t="shared" si="100"/>
        <v>0.29128970118543973</v>
      </c>
      <c r="AJ208">
        <f t="shared" si="101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102"/>
        <v>2.1883527698787133</v>
      </c>
      <c r="AM208">
        <f t="shared" si="103"/>
        <v>634.44823388160466</v>
      </c>
      <c r="AN208">
        <f t="shared" si="104"/>
        <v>3.6721303331432864E-8</v>
      </c>
      <c r="AO208">
        <f t="shared" si="105"/>
        <v>1.689719929994536E-7</v>
      </c>
      <c r="AP208">
        <v>2.0282266702596732</v>
      </c>
      <c r="AQ208">
        <f t="shared" si="106"/>
        <v>2.1904422969598713E-5</v>
      </c>
      <c r="AR208">
        <f t="shared" si="107"/>
        <v>2.4280734530954761E-6</v>
      </c>
      <c r="AS208">
        <f t="shared" si="108"/>
        <v>6.1877690205743381</v>
      </c>
      <c r="AT208">
        <f t="shared" si="109"/>
        <v>6.0628730251114256</v>
      </c>
      <c r="AU208">
        <f t="shared" si="110"/>
        <v>1.7660524718099702</v>
      </c>
      <c r="AV208">
        <f t="shared" si="111"/>
        <v>0.26217419844970302</v>
      </c>
      <c r="AW208">
        <f t="shared" si="112"/>
        <v>4.4558673152316035E-3</v>
      </c>
      <c r="AX208">
        <f t="shared" si="113"/>
        <v>0.2621741879381001</v>
      </c>
      <c r="AY208">
        <f t="shared" si="114"/>
        <v>1.0511602921425833E-8</v>
      </c>
      <c r="AZ208">
        <f t="shared" si="115"/>
        <v>692257.60600924003</v>
      </c>
      <c r="BA208">
        <f t="shared" si="116"/>
        <v>1.0799790423224392E-5</v>
      </c>
      <c r="BB208" s="15">
        <f t="shared" si="117"/>
        <v>5636258.2334838584</v>
      </c>
      <c r="BC208" s="20">
        <f t="shared" si="118"/>
        <v>36575.616296358407</v>
      </c>
      <c r="BD208" s="19">
        <f t="shared" si="119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90"/>
        <v>2.8502295699234246E-6</v>
      </c>
      <c r="P209" s="8">
        <f t="shared" si="91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2"/>
        <v>87306.741476224779</v>
      </c>
      <c r="X209">
        <v>2.4735969360292959E-2</v>
      </c>
      <c r="Y209">
        <f t="shared" si="93"/>
        <v>6.3582197371331333</v>
      </c>
      <c r="Z209">
        <f t="shared" si="94"/>
        <v>6.3582197634838256</v>
      </c>
      <c r="AA209">
        <f t="shared" si="95"/>
        <v>-2.6350692294840883E-8</v>
      </c>
      <c r="AB209">
        <f t="shared" si="96"/>
        <v>4.518202920192045E-6</v>
      </c>
      <c r="AC209">
        <v>778.42953571381645</v>
      </c>
      <c r="AD209">
        <f t="shared" si="97"/>
        <v>2427.3771390989714</v>
      </c>
      <c r="AE209">
        <f>+gettm2(AD209,AC209,AK209,AL209,テーブル2[[#This Row],[Fcorr]])</f>
        <v>523.09218869690767</v>
      </c>
      <c r="AF209" s="14">
        <f t="shared" si="98"/>
        <v>0</v>
      </c>
      <c r="AG209">
        <v>4.6854684467396084E-6</v>
      </c>
      <c r="AH209">
        <f t="shared" si="99"/>
        <v>44.154402057672165</v>
      </c>
      <c r="AI209">
        <f t="shared" si="100"/>
        <v>0.29128970118543973</v>
      </c>
      <c r="AJ209">
        <f t="shared" si="101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2"/>
        <v>2.1883527698787133</v>
      </c>
      <c r="AM209">
        <f t="shared" si="103"/>
        <v>634.44823388054135</v>
      </c>
      <c r="AN209">
        <f t="shared" si="104"/>
        <v>3.7784616324643139E-8</v>
      </c>
      <c r="AO209">
        <f t="shared" si="105"/>
        <v>1.6726552654756335E-7</v>
      </c>
      <c r="AP209">
        <v>2.0273199640725679</v>
      </c>
      <c r="AQ209">
        <f t="shared" si="106"/>
        <v>2.1924020583699959E-5</v>
      </c>
      <c r="AR209">
        <f t="shared" si="107"/>
        <v>2.4263669866435859E-6</v>
      </c>
      <c r="AS209">
        <f t="shared" si="108"/>
        <v>6.1834202146384252</v>
      </c>
      <c r="AT209">
        <f t="shared" si="109"/>
        <v>6.059357755857711</v>
      </c>
      <c r="AU209">
        <f t="shared" si="110"/>
        <v>1.7650285100794694</v>
      </c>
      <c r="AV209">
        <f t="shared" si="111"/>
        <v>0.2622914539930985</v>
      </c>
      <c r="AW209">
        <f t="shared" si="112"/>
        <v>4.4558673152316035E-3</v>
      </c>
      <c r="AX209">
        <f t="shared" si="113"/>
        <v>0.26229144370557417</v>
      </c>
      <c r="AY209">
        <f t="shared" si="114"/>
        <v>1.0287524332408537E-8</v>
      </c>
      <c r="AZ209">
        <f t="shared" si="115"/>
        <v>692257.60600924003</v>
      </c>
      <c r="BA209">
        <f t="shared" si="116"/>
        <v>1.081428732130573E-5</v>
      </c>
      <c r="BB209" s="15">
        <f t="shared" si="117"/>
        <v>5571857.7715575127</v>
      </c>
      <c r="BC209" s="20">
        <f t="shared" si="118"/>
        <v>-8940.5682862373069</v>
      </c>
      <c r="BD209" s="19">
        <f t="shared" si="119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90"/>
        <v>2.8502295699234246E-6</v>
      </c>
      <c r="P210" s="8">
        <f t="shared" si="91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2"/>
        <v>87306.741476224779</v>
      </c>
      <c r="X210">
        <v>2.4735969360292959E-2</v>
      </c>
      <c r="Y210">
        <f t="shared" si="93"/>
        <v>6.3582197371331333</v>
      </c>
      <c r="Z210">
        <f t="shared" si="94"/>
        <v>6.3582197634838256</v>
      </c>
      <c r="AA210">
        <f t="shared" si="95"/>
        <v>-2.6350692294840883E-8</v>
      </c>
      <c r="AB210">
        <f t="shared" si="96"/>
        <v>4.518202920192045E-6</v>
      </c>
      <c r="AC210">
        <v>701.28132171557729</v>
      </c>
      <c r="AD210">
        <f t="shared" si="97"/>
        <v>2427.3771390989714</v>
      </c>
      <c r="AE210">
        <f>+gettm2(AD210,AC210,AK210,AL210,テーブル2[[#This Row],[Fcorr]])</f>
        <v>582.12073943012081</v>
      </c>
      <c r="AF210" s="14">
        <f t="shared" si="98"/>
        <v>0</v>
      </c>
      <c r="AG210">
        <v>4.6166259228747248E-6</v>
      </c>
      <c r="AH210">
        <f t="shared" si="99"/>
        <v>44.154402057672165</v>
      </c>
      <c r="AI210">
        <f t="shared" si="100"/>
        <v>0.29128970118543973</v>
      </c>
      <c r="AJ210">
        <f t="shared" si="101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2"/>
        <v>2.1883527698787133</v>
      </c>
      <c r="AM210">
        <f t="shared" si="103"/>
        <v>634.44823386674284</v>
      </c>
      <c r="AN210">
        <f t="shared" si="104"/>
        <v>5.1583128879428841E-8</v>
      </c>
      <c r="AO210">
        <f t="shared" si="105"/>
        <v>9.8423002682679744E-8</v>
      </c>
      <c r="AP210">
        <v>1.990280364754464</v>
      </c>
      <c r="AQ210">
        <f t="shared" si="106"/>
        <v>2.2747636432460722E-5</v>
      </c>
      <c r="AR210">
        <f t="shared" si="107"/>
        <v>2.3575244627787023E-6</v>
      </c>
      <c r="AS210">
        <f t="shared" si="108"/>
        <v>6.0079800376016852</v>
      </c>
      <c r="AT210">
        <f t="shared" si="109"/>
        <v>5.9154429591005471</v>
      </c>
      <c r="AU210">
        <f t="shared" si="110"/>
        <v>1.7231076119359117</v>
      </c>
      <c r="AV210">
        <f t="shared" si="111"/>
        <v>0.26717275281855235</v>
      </c>
      <c r="AW210">
        <f t="shared" si="112"/>
        <v>4.4558673152316035E-3</v>
      </c>
      <c r="AX210">
        <f t="shared" si="113"/>
        <v>0.26717275095829379</v>
      </c>
      <c r="AY210">
        <f t="shared" si="114"/>
        <v>1.8602585583060716E-9</v>
      </c>
      <c r="AZ210">
        <f t="shared" si="115"/>
        <v>692257.60600924003</v>
      </c>
      <c r="BA210">
        <f t="shared" si="116"/>
        <v>1.1429362835153651E-5</v>
      </c>
      <c r="BB210" s="15">
        <f t="shared" si="117"/>
        <v>3102173.4337624102</v>
      </c>
      <c r="BC210" s="20">
        <f t="shared" si="118"/>
        <v>21362.88688741019</v>
      </c>
      <c r="BD210" s="19">
        <f t="shared" si="119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90"/>
        <v>2.8502295699234246E-6</v>
      </c>
      <c r="P211" s="8">
        <f t="shared" si="91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2"/>
        <v>87741.103374116457</v>
      </c>
      <c r="X211">
        <v>2.468925762544872E-2</v>
      </c>
      <c r="Y211">
        <f t="shared" si="93"/>
        <v>6.3642317268426769</v>
      </c>
      <c r="Z211">
        <f t="shared" si="94"/>
        <v>6.3642317508062174</v>
      </c>
      <c r="AA211">
        <f t="shared" si="95"/>
        <v>-2.3963540485283374E-8</v>
      </c>
      <c r="AB211">
        <f t="shared" si="96"/>
        <v>4.4820429169196439E-6</v>
      </c>
      <c r="AC211">
        <v>743.97533892875151</v>
      </c>
      <c r="AD211">
        <f t="shared" si="97"/>
        <v>2437.1492054158384</v>
      </c>
      <c r="AE211">
        <f>+gettm2(AD211,AC211,AK211,AL211,テーブル2[[#This Row],[Fcorr]])</f>
        <v>548.95406008820964</v>
      </c>
      <c r="AF211" s="14">
        <f t="shared" si="98"/>
        <v>1.4397531913346029E-6</v>
      </c>
      <c r="AG211">
        <v>4.619110652165609E-6</v>
      </c>
      <c r="AH211">
        <f t="shared" si="99"/>
        <v>44.510628749939897</v>
      </c>
      <c r="AI211">
        <f t="shared" si="100"/>
        <v>0.29246236703598044</v>
      </c>
      <c r="AJ211">
        <f t="shared" si="101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2"/>
        <v>2.1883527698787133</v>
      </c>
      <c r="AM211">
        <f t="shared" si="103"/>
        <v>634.44823383720404</v>
      </c>
      <c r="AN211">
        <f t="shared" si="104"/>
        <v>8.1121925177285448E-8</v>
      </c>
      <c r="AO211">
        <f t="shared" si="105"/>
        <v>1.3706773524596512E-7</v>
      </c>
      <c r="AP211">
        <v>2.013742939234977</v>
      </c>
      <c r="AQ211">
        <f t="shared" si="106"/>
        <v>2.2220648733605146E-5</v>
      </c>
      <c r="AR211">
        <f t="shared" si="107"/>
        <v>2.378089193705787E-6</v>
      </c>
      <c r="AS211">
        <f t="shared" si="108"/>
        <v>6.0847855001029405</v>
      </c>
      <c r="AT211">
        <f t="shared" si="109"/>
        <v>5.9789573760941055</v>
      </c>
      <c r="AU211">
        <f t="shared" si="110"/>
        <v>1.7486200266197169</v>
      </c>
      <c r="AV211">
        <f t="shared" si="111"/>
        <v>0.26512291261526011</v>
      </c>
      <c r="AW211">
        <f t="shared" si="112"/>
        <v>4.4202061951920217E-3</v>
      </c>
      <c r="AX211">
        <f t="shared" si="113"/>
        <v>0.26512290553248474</v>
      </c>
      <c r="AY211">
        <f t="shared" si="114"/>
        <v>7.0827753662072723E-9</v>
      </c>
      <c r="AZ211">
        <f t="shared" si="115"/>
        <v>692257.60600924003</v>
      </c>
      <c r="BA211">
        <f t="shared" si="116"/>
        <v>1.1034501127560399E-5</v>
      </c>
      <c r="BB211" s="15">
        <f t="shared" si="117"/>
        <v>4474804.0003333921</v>
      </c>
      <c r="BC211" s="20">
        <f t="shared" si="118"/>
        <v>-32495.804354107939</v>
      </c>
      <c r="BD211" s="19">
        <f t="shared" si="119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90"/>
        <v>2.8502295699234246E-6</v>
      </c>
      <c r="P212" s="8">
        <f t="shared" si="91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2"/>
        <v>88609.827169899771</v>
      </c>
      <c r="X212">
        <v>2.459694256493547E-2</v>
      </c>
      <c r="Y212">
        <f t="shared" si="93"/>
        <v>6.3761633767970558</v>
      </c>
      <c r="Z212">
        <f t="shared" si="94"/>
        <v>6.3761633963344897</v>
      </c>
      <c r="AA212">
        <f t="shared" si="95"/>
        <v>-1.9537433892935496E-8</v>
      </c>
      <c r="AB212">
        <f t="shared" si="96"/>
        <v>4.411083909332042E-6</v>
      </c>
      <c r="AC212">
        <v>743.35466623393108</v>
      </c>
      <c r="AD212">
        <f t="shared" si="97"/>
        <v>2456.6736283613895</v>
      </c>
      <c r="AE212">
        <f>+gettm2(AD212,AC212,AK212,AL212,テーブル2[[#This Row],[Fcorr]])</f>
        <v>548.78962655413113</v>
      </c>
      <c r="AF212" s="14">
        <f t="shared" si="98"/>
        <v>0</v>
      </c>
      <c r="AG212">
        <v>4.5485534710139848E-6</v>
      </c>
      <c r="AH212">
        <f t="shared" si="99"/>
        <v>45.226650051759606</v>
      </c>
      <c r="AI212">
        <f t="shared" si="100"/>
        <v>0.29480533353839167</v>
      </c>
      <c r="AJ212">
        <f t="shared" si="101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2"/>
        <v>2.1883527698787133</v>
      </c>
      <c r="AM212">
        <f t="shared" si="103"/>
        <v>634.44823379382638</v>
      </c>
      <c r="AN212">
        <f t="shared" si="104"/>
        <v>1.2449959285731893E-7</v>
      </c>
      <c r="AO212">
        <f t="shared" si="105"/>
        <v>1.3746956168194281E-7</v>
      </c>
      <c r="AP212">
        <v>2.0190324935065709</v>
      </c>
      <c r="AQ212">
        <f t="shared" si="106"/>
        <v>2.2104371890163183E-5</v>
      </c>
      <c r="AR212">
        <f t="shared" si="107"/>
        <v>2.3430115163479638E-6</v>
      </c>
      <c r="AS212">
        <f t="shared" si="108"/>
        <v>6.0430599508231735</v>
      </c>
      <c r="AT212">
        <f t="shared" si="109"/>
        <v>5.9445524901784239</v>
      </c>
      <c r="AU212">
        <f t="shared" si="110"/>
        <v>1.7524857796035269</v>
      </c>
      <c r="AV212">
        <f t="shared" si="111"/>
        <v>0.26654671390304396</v>
      </c>
      <c r="AW212">
        <f t="shared" si="112"/>
        <v>4.3502261769821646E-3</v>
      </c>
      <c r="AX212">
        <f t="shared" si="113"/>
        <v>0.26654670528736879</v>
      </c>
      <c r="AY212">
        <f t="shared" si="114"/>
        <v>8.6156751732957559E-9</v>
      </c>
      <c r="AZ212">
        <f t="shared" si="115"/>
        <v>692257.60600924003</v>
      </c>
      <c r="BA212">
        <f t="shared" si="116"/>
        <v>1.0948002056060642E-5</v>
      </c>
      <c r="BB212" s="15">
        <f t="shared" si="117"/>
        <v>4523380.9181830715</v>
      </c>
      <c r="BC212" s="20">
        <f t="shared" si="118"/>
        <v>-5708.4372856784612</v>
      </c>
      <c r="BD212" s="19">
        <f t="shared" si="119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90"/>
        <v>2.8502295699234246E-6</v>
      </c>
      <c r="P213" s="8">
        <f t="shared" si="91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2"/>
        <v>108156.11257502473</v>
      </c>
      <c r="X213">
        <v>2.2842853749085991E-2</v>
      </c>
      <c r="Y213">
        <f t="shared" si="93"/>
        <v>6.6164467317851292</v>
      </c>
      <c r="Z213">
        <f t="shared" si="94"/>
        <v>6.6164467598196168</v>
      </c>
      <c r="AA213">
        <f t="shared" si="95"/>
        <v>-2.8034487620232085E-8</v>
      </c>
      <c r="AB213">
        <f t="shared" si="96"/>
        <v>3.1881425212607506E-6</v>
      </c>
      <c r="AC213">
        <v>694.2883105142472</v>
      </c>
      <c r="AD213">
        <f t="shared" si="97"/>
        <v>2889.6900303443431</v>
      </c>
      <c r="AE213">
        <f>+gettm2(AD213,AC213,AK213,AL213,テーブル2[[#This Row],[Fcorr]])</f>
        <v>578.9342212207556</v>
      </c>
      <c r="AF213" s="14">
        <f t="shared" si="98"/>
        <v>9.4288304808287648E-7</v>
      </c>
      <c r="AG213">
        <v>3.2848665206392089E-6</v>
      </c>
      <c r="AH213">
        <f t="shared" si="99"/>
        <v>62.575166256186158</v>
      </c>
      <c r="AI213">
        <f t="shared" si="100"/>
        <v>0.34676809462331676</v>
      </c>
      <c r="AJ213">
        <f t="shared" si="101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2"/>
        <v>2.1883527698787133</v>
      </c>
      <c r="AM213">
        <f t="shared" si="103"/>
        <v>634.44823386842995</v>
      </c>
      <c r="AN213">
        <f t="shared" si="104"/>
        <v>4.9896016207640059E-8</v>
      </c>
      <c r="AO213">
        <f t="shared" si="105"/>
        <v>9.6723999378458327E-8</v>
      </c>
      <c r="AP213">
        <v>2.0813508315570259</v>
      </c>
      <c r="AQ213">
        <f t="shared" si="106"/>
        <v>2.0800521028343358E-5</v>
      </c>
      <c r="AR213">
        <f t="shared" si="107"/>
        <v>1.6907952600088336E-6</v>
      </c>
      <c r="AS213">
        <f t="shared" si="108"/>
        <v>5.1295267256703383</v>
      </c>
      <c r="AT213">
        <f t="shared" si="109"/>
        <v>5.1250669936110018</v>
      </c>
      <c r="AU213">
        <f t="shared" si="110"/>
        <v>1.7772097161913374</v>
      </c>
      <c r="AV213">
        <f t="shared" si="111"/>
        <v>0.30414111536568855</v>
      </c>
      <c r="AW213">
        <f t="shared" si="112"/>
        <v>3.1441571588781228E-3</v>
      </c>
      <c r="AX213">
        <f t="shared" si="113"/>
        <v>0.30414111373362585</v>
      </c>
      <c r="AY213">
        <f t="shared" si="114"/>
        <v>1.6320627072019533E-9</v>
      </c>
      <c r="AZ213">
        <f t="shared" si="115"/>
        <v>692257.60600924003</v>
      </c>
      <c r="BA213">
        <f t="shared" si="116"/>
        <v>9.9937601642981131E-6</v>
      </c>
      <c r="BB213" s="15">
        <f t="shared" si="117"/>
        <v>3486557.2980555505</v>
      </c>
      <c r="BC213" s="20">
        <f t="shared" si="118"/>
        <v>16692.747274300549</v>
      </c>
      <c r="BD213" s="19">
        <f t="shared" si="119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90"/>
        <v>2.8502295699234246E-6</v>
      </c>
      <c r="P214" s="8">
        <f t="shared" si="91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2"/>
        <v>110762.28396237471</v>
      </c>
      <c r="X214">
        <v>2.264701976543209E-2</v>
      </c>
      <c r="Y214">
        <f t="shared" si="93"/>
        <v>6.6449921225727904</v>
      </c>
      <c r="Z214">
        <f t="shared" si="94"/>
        <v>6.6449921260745981</v>
      </c>
      <c r="AA214">
        <f t="shared" si="95"/>
        <v>-3.5018077326753883E-9</v>
      </c>
      <c r="AB214">
        <f t="shared" si="96"/>
        <v>3.0661638644763181E-6</v>
      </c>
      <c r="AC214">
        <v>697.63178377571069</v>
      </c>
      <c r="AD214">
        <f t="shared" si="97"/>
        <v>2946.6085378586245</v>
      </c>
      <c r="AE214">
        <f>+gettm2(AD214,AC214,AK214,AL214,テーブル2[[#This Row],[Fcorr]])</f>
        <v>574.77877015964202</v>
      </c>
      <c r="AF214" s="14">
        <f t="shared" si="98"/>
        <v>9.7631766493577743E-7</v>
      </c>
      <c r="AG214">
        <v>3.1667926678027158E-6</v>
      </c>
      <c r="AH214">
        <f t="shared" si="99"/>
        <v>65.064542253478393</v>
      </c>
      <c r="AI214">
        <f t="shared" si="100"/>
        <v>0.35359841974202105</v>
      </c>
      <c r="AJ214">
        <f t="shared" si="101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2"/>
        <v>2.1883527698787133</v>
      </c>
      <c r="AM214">
        <f t="shared" si="103"/>
        <v>634.44823405418833</v>
      </c>
      <c r="AN214">
        <f t="shared" si="104"/>
        <v>-1.3586236491391901E-7</v>
      </c>
      <c r="AO214">
        <f t="shared" si="105"/>
        <v>1.0062880332639771E-7</v>
      </c>
      <c r="AP214">
        <v>2.0942074905509638</v>
      </c>
      <c r="AQ214">
        <f t="shared" si="106"/>
        <v>2.0545909844962193E-5</v>
      </c>
      <c r="AR214">
        <f t="shared" si="107"/>
        <v>1.6337107355645568E-6</v>
      </c>
      <c r="AS214">
        <f t="shared" si="108"/>
        <v>5.0539695557016451</v>
      </c>
      <c r="AT214">
        <f t="shared" si="109"/>
        <v>5.0508699257262819</v>
      </c>
      <c r="AU214">
        <f t="shared" si="110"/>
        <v>1.7859796240593124</v>
      </c>
      <c r="AV214">
        <f t="shared" si="111"/>
        <v>0.30822786649165135</v>
      </c>
      <c r="AW214">
        <f t="shared" si="112"/>
        <v>3.0238613865274412E-3</v>
      </c>
      <c r="AX214">
        <f t="shared" si="113"/>
        <v>0.30822786457552914</v>
      </c>
      <c r="AY214">
        <f t="shared" si="114"/>
        <v>1.9161222053476479E-9</v>
      </c>
      <c r="AZ214">
        <f t="shared" si="115"/>
        <v>692257.60600924003</v>
      </c>
      <c r="BA214">
        <f t="shared" si="116"/>
        <v>9.8108281713560215E-6</v>
      </c>
      <c r="BB214" s="15">
        <f t="shared" si="117"/>
        <v>3694946.2287502117</v>
      </c>
      <c r="BC214" s="20">
        <f t="shared" si="118"/>
        <v>-929.65015603834763</v>
      </c>
      <c r="BD214" s="19">
        <f t="shared" si="119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90"/>
        <v>2.8502295699234246E-6</v>
      </c>
      <c r="P215" s="8">
        <f t="shared" si="91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2"/>
        <v>111631.00775815806</v>
      </c>
      <c r="X215">
        <v>2.2583366906340469E-2</v>
      </c>
      <c r="Y215">
        <f t="shared" si="93"/>
        <v>6.6543502294361172</v>
      </c>
      <c r="Z215">
        <f t="shared" si="94"/>
        <v>6.6543502370940963</v>
      </c>
      <c r="AA215">
        <f t="shared" si="95"/>
        <v>-7.6579791397080044E-9</v>
      </c>
      <c r="AB215">
        <f t="shared" si="96"/>
        <v>3.0271353797416429E-6</v>
      </c>
      <c r="AC215">
        <v>698.30483455653734</v>
      </c>
      <c r="AD215">
        <f t="shared" si="97"/>
        <v>2965.5428349452282</v>
      </c>
      <c r="AE215">
        <f>+gettm2(AD215,AC215,AK215,AL215,テーブル2[[#This Row],[Fcorr]])</f>
        <v>573.78005031173211</v>
      </c>
      <c r="AF215" s="14">
        <f t="shared" si="98"/>
        <v>0</v>
      </c>
      <c r="AG215">
        <v>3.128421966787275E-6</v>
      </c>
      <c r="AH215">
        <f t="shared" si="99"/>
        <v>65.903411407168264</v>
      </c>
      <c r="AI215">
        <f t="shared" si="100"/>
        <v>0.35587057006084638</v>
      </c>
      <c r="AJ215">
        <f t="shared" si="101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2"/>
        <v>2.1883527698787133</v>
      </c>
      <c r="AM215">
        <f t="shared" si="103"/>
        <v>634.4482338708782</v>
      </c>
      <c r="AN215">
        <f t="shared" si="104"/>
        <v>4.7447770157305058E-8</v>
      </c>
      <c r="AO215">
        <f t="shared" si="105"/>
        <v>1.0128658704563214E-7</v>
      </c>
      <c r="AP215">
        <v>2.0978640071565589</v>
      </c>
      <c r="AQ215">
        <f t="shared" si="106"/>
        <v>2.0474350402939727E-5</v>
      </c>
      <c r="AR215">
        <f t="shared" si="107"/>
        <v>1.6148542769164536E-6</v>
      </c>
      <c r="AS215">
        <f t="shared" si="108"/>
        <v>5.0277370397797849</v>
      </c>
      <c r="AT215">
        <f t="shared" si="109"/>
        <v>5.0248499509582674</v>
      </c>
      <c r="AU215">
        <f t="shared" si="110"/>
        <v>1.7881962165177345</v>
      </c>
      <c r="AV215">
        <f t="shared" si="111"/>
        <v>0.30966779063882433</v>
      </c>
      <c r="AW215">
        <f t="shared" si="112"/>
        <v>2.985371360168717E-3</v>
      </c>
      <c r="AX215">
        <f t="shared" si="113"/>
        <v>0.3096677886463734</v>
      </c>
      <c r="AY215">
        <f t="shared" si="114"/>
        <v>1.9924509264690471E-9</v>
      </c>
      <c r="AZ215">
        <f t="shared" si="115"/>
        <v>692257.60600924003</v>
      </c>
      <c r="BA215">
        <f t="shared" si="116"/>
        <v>9.7596175600965794E-6</v>
      </c>
      <c r="BB215" s="15">
        <f t="shared" si="117"/>
        <v>3738613.9456288228</v>
      </c>
      <c r="BC215" s="20">
        <f t="shared" si="118"/>
        <v>-14767.402027427219</v>
      </c>
      <c r="BD215" s="19">
        <f t="shared" si="119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28" si="120">PI()*Q216^2/4</f>
        <v>2.8502295699234246E-6</v>
      </c>
      <c r="P216" s="8">
        <f t="shared" ref="P216:P228" si="121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92"/>
        <v>112065.36965604972</v>
      </c>
      <c r="X216">
        <v>2.2551835812529709E-2</v>
      </c>
      <c r="Y216">
        <f t="shared" si="93"/>
        <v>6.6590005305057609</v>
      </c>
      <c r="Z216">
        <f t="shared" si="94"/>
        <v>6.6590005392263913</v>
      </c>
      <c r="AA216">
        <f t="shared" si="95"/>
        <v>-8.7206304399956025E-9</v>
      </c>
      <c r="AB216">
        <f t="shared" si="96"/>
        <v>3.007914367342506E-6</v>
      </c>
      <c r="AC216">
        <v>699.4912749550258</v>
      </c>
      <c r="AD216">
        <f t="shared" si="97"/>
        <v>2975.0028723136088</v>
      </c>
      <c r="AE216">
        <f>+gettm2(AD216,AC216,AK216,AL216,テーブル2[[#This Row],[Fcorr]])</f>
        <v>572.4881707752628</v>
      </c>
      <c r="AF216" s="14">
        <f t="shared" si="98"/>
        <v>9.9491273886087583E-7</v>
      </c>
      <c r="AG216">
        <v>3.1106916129621949E-6</v>
      </c>
      <c r="AH216">
        <f t="shared" si="99"/>
        <v>66.324543837517922</v>
      </c>
      <c r="AI216">
        <f t="shared" si="100"/>
        <v>0.35700579186624803</v>
      </c>
      <c r="AJ216">
        <f t="shared" si="101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102"/>
        <v>2.1883527698787133</v>
      </c>
      <c r="AM216">
        <f t="shared" si="103"/>
        <v>634.44823385057759</v>
      </c>
      <c r="AN216">
        <f t="shared" si="104"/>
        <v>6.7748374021903146E-8</v>
      </c>
      <c r="AO216">
        <f t="shared" si="105"/>
        <v>1.0277724561968892E-7</v>
      </c>
      <c r="AP216">
        <v>2.10080783312518</v>
      </c>
      <c r="AQ216">
        <f t="shared" si="106"/>
        <v>2.0417009894446049E-5</v>
      </c>
      <c r="AR216">
        <f t="shared" si="107"/>
        <v>1.6067344292909419E-6</v>
      </c>
      <c r="AS216">
        <f t="shared" si="108"/>
        <v>5.0184142175178152</v>
      </c>
      <c r="AT216">
        <f t="shared" si="109"/>
        <v>5.0155699543710988</v>
      </c>
      <c r="AU216">
        <f t="shared" si="110"/>
        <v>1.7905875232208157</v>
      </c>
      <c r="AV216">
        <f t="shared" si="111"/>
        <v>0.31022030990436433</v>
      </c>
      <c r="AW216">
        <f t="shared" si="112"/>
        <v>2.9664155313961272E-3</v>
      </c>
      <c r="AX216">
        <f t="shared" si="113"/>
        <v>0.31022030787314103</v>
      </c>
      <c r="AY216">
        <f t="shared" si="114"/>
        <v>2.0312233006691827E-9</v>
      </c>
      <c r="AZ216">
        <f t="shared" si="115"/>
        <v>692257.60600924003</v>
      </c>
      <c r="BA216">
        <f t="shared" si="116"/>
        <v>9.7186470711476393E-6</v>
      </c>
      <c r="BB216" s="15">
        <f t="shared" si="117"/>
        <v>3809628.6789195514</v>
      </c>
      <c r="BC216" s="20">
        <f t="shared" si="118"/>
        <v>-9973.9577991985716</v>
      </c>
      <c r="BD216" s="19">
        <f t="shared" si="119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0"/>
        <v>2.8502295699234246E-6</v>
      </c>
      <c r="P217" s="8">
        <f t="shared" si="121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92"/>
        <v>62113.751398508175</v>
      </c>
      <c r="X217">
        <v>2.8309260195252369E-2</v>
      </c>
      <c r="Y217">
        <f t="shared" si="93"/>
        <v>5.943410674618657</v>
      </c>
      <c r="Z217">
        <f t="shared" si="94"/>
        <v>5.9434106924163812</v>
      </c>
      <c r="AA217">
        <f t="shared" si="95"/>
        <v>-1.7797724183310493E-8</v>
      </c>
      <c r="AB217">
        <f t="shared" si="96"/>
        <v>7.799848836613821E-6</v>
      </c>
      <c r="AC217">
        <v>824.76654334572231</v>
      </c>
      <c r="AD217">
        <f t="shared" si="97"/>
        <v>1847.4684496557447</v>
      </c>
      <c r="AE217">
        <f>+gettm2(AD217,AC217,AK217,AL217,テーブル2[[#This Row],[Fcorr]])</f>
        <v>522.19509074405119</v>
      </c>
      <c r="AF217" s="14">
        <f t="shared" si="98"/>
        <v>2.2476654066849733E-6</v>
      </c>
      <c r="AG217">
        <v>7.9907672512179862E-6</v>
      </c>
      <c r="AH217">
        <f t="shared" si="99"/>
        <v>25.577232648385159</v>
      </c>
      <c r="AI217">
        <f t="shared" si="100"/>
        <v>0.22169959664755975</v>
      </c>
      <c r="AJ217">
        <f t="shared" si="101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02"/>
        <v>2.1883527698787133</v>
      </c>
      <c r="AM217">
        <f t="shared" si="103"/>
        <v>634.44823391337695</v>
      </c>
      <c r="AN217">
        <f t="shared" si="104"/>
        <v>4.949015419697389E-9</v>
      </c>
      <c r="AO217">
        <f t="shared" si="105"/>
        <v>1.9091841460416513E-7</v>
      </c>
      <c r="AP217">
        <v>1.8397548148463749</v>
      </c>
      <c r="AQ217">
        <f t="shared" si="106"/>
        <v>2.6622258678238806E-5</v>
      </c>
      <c r="AR217">
        <f t="shared" si="107"/>
        <v>4.0908428329110756E-6</v>
      </c>
      <c r="AS217">
        <f t="shared" si="108"/>
        <v>7.9345963950693328</v>
      </c>
      <c r="AT217">
        <f t="shared" si="109"/>
        <v>7.3061624439967954</v>
      </c>
      <c r="AU217">
        <f t="shared" si="110"/>
        <v>1.6197732668756388</v>
      </c>
      <c r="AV217">
        <f t="shared" si="111"/>
        <v>0.2199815479707361</v>
      </c>
      <c r="AW217">
        <f t="shared" si="112"/>
        <v>7.6922378451602441E-3</v>
      </c>
      <c r="AX217">
        <f t="shared" si="113"/>
        <v>0.21998154374930939</v>
      </c>
      <c r="AY217">
        <f t="shared" si="114"/>
        <v>4.2214267081952528E-9</v>
      </c>
      <c r="AZ217">
        <f t="shared" si="115"/>
        <v>692257.60600924003</v>
      </c>
      <c r="BA217">
        <f t="shared" si="116"/>
        <v>1.4470547087798678E-5</v>
      </c>
      <c r="BB217" s="15">
        <f t="shared" si="117"/>
        <v>4752852.6740098186</v>
      </c>
      <c r="BC217" s="20">
        <f t="shared" si="118"/>
        <v>-4953.2830214314163</v>
      </c>
      <c r="BD217" s="19">
        <f t="shared" si="119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0"/>
        <v>2.8502295699234246E-6</v>
      </c>
      <c r="P218" s="8">
        <f t="shared" si="121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92"/>
        <v>63416.837092183174</v>
      </c>
      <c r="X218">
        <v>2.8068795115359171E-2</v>
      </c>
      <c r="Y218">
        <f t="shared" si="93"/>
        <v>5.968814950259774</v>
      </c>
      <c r="Z218">
        <f t="shared" si="94"/>
        <v>5.9688149656214256</v>
      </c>
      <c r="AA218">
        <f t="shared" si="95"/>
        <v>-1.5361651506395901E-8</v>
      </c>
      <c r="AB218">
        <f t="shared" si="96"/>
        <v>7.5467037009651267E-6</v>
      </c>
      <c r="AC218">
        <v>825.31097339210407</v>
      </c>
      <c r="AD218">
        <f t="shared" si="97"/>
        <v>1878.1984331468373</v>
      </c>
      <c r="AE218">
        <f>+gettm2(AD218,AC218,AK218,AL218,テーブル2[[#This Row],[Fcorr]])</f>
        <v>519.97022270798607</v>
      </c>
      <c r="AF218" s="14">
        <f t="shared" si="98"/>
        <v>0</v>
      </c>
      <c r="AG218">
        <v>7.7373697165469102E-6</v>
      </c>
      <c r="AH218">
        <f t="shared" si="99"/>
        <v>26.435190279273151</v>
      </c>
      <c r="AI218">
        <f t="shared" si="100"/>
        <v>0.22538725093266049</v>
      </c>
      <c r="AJ218">
        <f t="shared" si="101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102"/>
        <v>2.1883527698787133</v>
      </c>
      <c r="AM218">
        <f t="shared" si="103"/>
        <v>634.44823380953187</v>
      </c>
      <c r="AN218">
        <f t="shared" si="104"/>
        <v>1.0879409728659084E-7</v>
      </c>
      <c r="AO218">
        <f t="shared" si="105"/>
        <v>1.9066601558178352E-7</v>
      </c>
      <c r="AP218">
        <v>1.8519804458428031</v>
      </c>
      <c r="AQ218">
        <f t="shared" si="106"/>
        <v>2.6271931413437306E-5</v>
      </c>
      <c r="AR218">
        <f t="shared" si="107"/>
        <v>3.9640178660643473E-6</v>
      </c>
      <c r="AS218">
        <f t="shared" si="108"/>
        <v>7.8164956902972458</v>
      </c>
      <c r="AT218">
        <f t="shared" si="109"/>
        <v>7.2311816633771677</v>
      </c>
      <c r="AU218">
        <f t="shared" si="110"/>
        <v>1.6298161561032429</v>
      </c>
      <c r="AV218">
        <f t="shared" si="111"/>
        <v>0.22216428973956015</v>
      </c>
      <c r="AW218">
        <f t="shared" si="112"/>
        <v>7.4425852386104377E-3</v>
      </c>
      <c r="AX218">
        <f t="shared" si="113"/>
        <v>0.22216428345028794</v>
      </c>
      <c r="AY218">
        <f t="shared" si="114"/>
        <v>6.2892722141327795E-9</v>
      </c>
      <c r="AZ218">
        <f t="shared" si="115"/>
        <v>692257.60600924003</v>
      </c>
      <c r="BA218">
        <f t="shared" si="116"/>
        <v>1.4185857886572567E-5</v>
      </c>
      <c r="BB218" s="15">
        <f t="shared" si="117"/>
        <v>4841825.9114256492</v>
      </c>
      <c r="BC218" s="20">
        <f t="shared" si="118"/>
        <v>-27420.436230600812</v>
      </c>
      <c r="BD218" s="19">
        <f t="shared" si="119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0"/>
        <v>2.8502295699234246E-6</v>
      </c>
      <c r="P219" s="8">
        <f t="shared" si="121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92"/>
        <v>69932.265560558153</v>
      </c>
      <c r="X219">
        <v>2.6977699453061811E-2</v>
      </c>
      <c r="Y219">
        <f t="shared" si="93"/>
        <v>6.0883210266442163</v>
      </c>
      <c r="Z219">
        <f t="shared" si="94"/>
        <v>6.0883210344052818</v>
      </c>
      <c r="AA219">
        <f t="shared" si="95"/>
        <v>-7.7610655679904994E-9</v>
      </c>
      <c r="AB219">
        <f t="shared" si="96"/>
        <v>6.4569900462768678E-6</v>
      </c>
      <c r="AC219">
        <v>818.92667708811109</v>
      </c>
      <c r="AD219">
        <f t="shared" si="97"/>
        <v>2030.509683425191</v>
      </c>
      <c r="AE219">
        <f>+gettm2(AD219,AC219,AK219,AL219,テーブル2[[#This Row],[Fcorr]])</f>
        <v>514.79157500145857</v>
      </c>
      <c r="AF219" s="14">
        <f t="shared" si="98"/>
        <v>2.1892666381972958E-6</v>
      </c>
      <c r="AG219">
        <v>6.6449034299615249E-6</v>
      </c>
      <c r="AH219">
        <f t="shared" si="99"/>
        <v>30.896524059432281</v>
      </c>
      <c r="AI219">
        <f t="shared" si="100"/>
        <v>0.24366487984583013</v>
      </c>
      <c r="AJ219">
        <f t="shared" si="101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02"/>
        <v>2.1883527698787133</v>
      </c>
      <c r="AM219">
        <f t="shared" si="103"/>
        <v>634.44823397229902</v>
      </c>
      <c r="AN219">
        <f t="shared" si="104"/>
        <v>-5.3973053582012653E-8</v>
      </c>
      <c r="AO219">
        <f t="shared" si="105"/>
        <v>1.8791338368465703E-7</v>
      </c>
      <c r="AP219">
        <v>1.9088777488394839</v>
      </c>
      <c r="AQ219">
        <f t="shared" si="106"/>
        <v>2.4729114434388177E-5</v>
      </c>
      <c r="AR219">
        <f t="shared" si="107"/>
        <v>3.4164084068230909E-6</v>
      </c>
      <c r="AS219">
        <f t="shared" si="108"/>
        <v>7.2829924961569716</v>
      </c>
      <c r="AT219">
        <f t="shared" si="109"/>
        <v>6.8777091745608114</v>
      </c>
      <c r="AU219">
        <f t="shared" si="110"/>
        <v>1.6758561796339235</v>
      </c>
      <c r="AV219">
        <f t="shared" si="111"/>
        <v>0.23302156920556039</v>
      </c>
      <c r="AW219">
        <f t="shared" si="112"/>
        <v>6.3679058710266979E-3</v>
      </c>
      <c r="AX219">
        <f t="shared" si="113"/>
        <v>0.23302156388499778</v>
      </c>
      <c r="AY219">
        <f t="shared" si="114"/>
        <v>5.3205626016072927E-9</v>
      </c>
      <c r="AZ219">
        <f t="shared" si="115"/>
        <v>692257.60600924003</v>
      </c>
      <c r="BA219">
        <f t="shared" si="116"/>
        <v>1.2954792128213774E-5</v>
      </c>
      <c r="BB219" s="15">
        <f t="shared" si="117"/>
        <v>5225390.4604399959</v>
      </c>
      <c r="BC219" s="20">
        <f t="shared" si="118"/>
        <v>19372.394033745863</v>
      </c>
      <c r="BD219" s="19">
        <f t="shared" si="119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0"/>
        <v>2.8502295699234246E-6</v>
      </c>
      <c r="P220" s="8">
        <f t="shared" si="121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92"/>
        <v>71669.713152124823</v>
      </c>
      <c r="X220">
        <v>2.6714291734591781E-2</v>
      </c>
      <c r="Y220">
        <f t="shared" si="93"/>
        <v>6.1182633683354553</v>
      </c>
      <c r="Z220">
        <f t="shared" si="94"/>
        <v>6.1182633714951056</v>
      </c>
      <c r="AA220">
        <f t="shared" si="95"/>
        <v>-3.1596503191622105E-9</v>
      </c>
      <c r="AB220">
        <f t="shared" si="96"/>
        <v>6.2083362143430346E-6</v>
      </c>
      <c r="AC220">
        <v>817.88575613791932</v>
      </c>
      <c r="AD220">
        <f t="shared" si="97"/>
        <v>2070.7730741799423</v>
      </c>
      <c r="AE220">
        <f>+gettm2(AD220,AC220,AK220,AL220,テーブル2[[#This Row],[Fcorr]])</f>
        <v>513.14887331007878</v>
      </c>
      <c r="AF220" s="14">
        <f t="shared" si="98"/>
        <v>0</v>
      </c>
      <c r="AG220">
        <v>6.3966377394363868E-6</v>
      </c>
      <c r="AH220">
        <f t="shared" si="99"/>
        <v>32.133979447731782</v>
      </c>
      <c r="AI220">
        <f t="shared" si="100"/>
        <v>0.24849656045810511</v>
      </c>
      <c r="AJ220">
        <f t="shared" si="101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02"/>
        <v>2.1883527698787133</v>
      </c>
      <c r="AM220">
        <f t="shared" si="103"/>
        <v>634.44823382026959</v>
      </c>
      <c r="AN220">
        <f t="shared" si="104"/>
        <v>9.8056375463784207E-8</v>
      </c>
      <c r="AO220">
        <f t="shared" si="105"/>
        <v>1.8830152509335223E-7</v>
      </c>
      <c r="AP220">
        <v>1.92341716461832</v>
      </c>
      <c r="AQ220">
        <f t="shared" si="106"/>
        <v>2.4356664871989077E-5</v>
      </c>
      <c r="AR220">
        <f t="shared" si="107"/>
        <v>3.2924696322648695E-6</v>
      </c>
      <c r="AS220">
        <f t="shared" si="108"/>
        <v>7.157960590077928</v>
      </c>
      <c r="AT220">
        <f t="shared" si="109"/>
        <v>6.7911255330585369</v>
      </c>
      <c r="AU220">
        <f t="shared" si="110"/>
        <v>1.687571336604262</v>
      </c>
      <c r="AV220">
        <f t="shared" si="111"/>
        <v>0.23584582801405807</v>
      </c>
      <c r="AW220">
        <f t="shared" si="112"/>
        <v>6.1226826037029799E-3</v>
      </c>
      <c r="AX220">
        <f t="shared" si="113"/>
        <v>0.23584582091738984</v>
      </c>
      <c r="AY220">
        <f t="shared" si="114"/>
        <v>7.0966682252926461E-9</v>
      </c>
      <c r="AZ220">
        <f t="shared" si="115"/>
        <v>692257.60600924003</v>
      </c>
      <c r="BA220">
        <f t="shared" si="116"/>
        <v>1.2663225284683563E-5</v>
      </c>
      <c r="BB220" s="15">
        <f t="shared" si="117"/>
        <v>5356745.1889211992</v>
      </c>
      <c r="BC220" s="20">
        <f t="shared" si="118"/>
        <v>47942.55220244918</v>
      </c>
      <c r="BD220" s="19">
        <f t="shared" si="119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0"/>
        <v>2.8502295699234246E-6</v>
      </c>
      <c r="P221" s="8">
        <f t="shared" si="121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92"/>
        <v>89478.550965683113</v>
      </c>
      <c r="X221">
        <v>2.4506073586138089E-2</v>
      </c>
      <c r="Y221">
        <f t="shared" si="93"/>
        <v>6.3879739049883169</v>
      </c>
      <c r="Z221">
        <f t="shared" si="94"/>
        <v>6.3879739206029766</v>
      </c>
      <c r="AA221">
        <f t="shared" si="95"/>
        <v>-1.5614659787388518E-8</v>
      </c>
      <c r="AB221">
        <f t="shared" si="96"/>
        <v>4.3418879052211344E-6</v>
      </c>
      <c r="AC221">
        <v>804.34668939333199</v>
      </c>
      <c r="AD221">
        <f t="shared" si="97"/>
        <v>2476.1720656518692</v>
      </c>
      <c r="AE221">
        <f>+gettm2(AD221,AC221,AK221,AL221,テーブル2[[#This Row],[Fcorr]])</f>
        <v>500.89519821428627</v>
      </c>
      <c r="AF221" s="14">
        <f t="shared" si="98"/>
        <v>0</v>
      </c>
      <c r="AG221">
        <v>4.5237369909956687E-6</v>
      </c>
      <c r="AH221">
        <f t="shared" si="99"/>
        <v>45.947420263063528</v>
      </c>
      <c r="AI221">
        <f t="shared" si="100"/>
        <v>0.29714518171461496</v>
      </c>
      <c r="AJ221">
        <f t="shared" si="101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02"/>
        <v>2.1883527698787133</v>
      </c>
      <c r="AM221">
        <f t="shared" si="103"/>
        <v>634.44823377510977</v>
      </c>
      <c r="AN221">
        <f t="shared" si="104"/>
        <v>1.4321619801194174E-7</v>
      </c>
      <c r="AO221">
        <f t="shared" si="105"/>
        <v>1.8184908577453431E-7</v>
      </c>
      <c r="AP221">
        <v>2.0490560465612608</v>
      </c>
      <c r="AQ221">
        <f t="shared" si="106"/>
        <v>2.1461354103123956E-5</v>
      </c>
      <c r="AR221">
        <f t="shared" si="107"/>
        <v>2.3527930383851015E-6</v>
      </c>
      <c r="AS221">
        <f t="shared" si="108"/>
        <v>6.1164518613221777</v>
      </c>
      <c r="AT221">
        <f t="shared" si="109"/>
        <v>6.0049108358792296</v>
      </c>
      <c r="AU221">
        <f t="shared" si="110"/>
        <v>1.784330321507394</v>
      </c>
      <c r="AV221">
        <f t="shared" si="111"/>
        <v>0.26472572505386682</v>
      </c>
      <c r="AW221">
        <f t="shared" si="112"/>
        <v>4.2819848388863276E-3</v>
      </c>
      <c r="AX221">
        <f t="shared" si="113"/>
        <v>0.26472572450722531</v>
      </c>
      <c r="AY221">
        <f t="shared" si="114"/>
        <v>5.4664150983541049E-10</v>
      </c>
      <c r="AZ221">
        <f t="shared" si="115"/>
        <v>692257.60600924003</v>
      </c>
      <c r="BA221">
        <f t="shared" si="116"/>
        <v>1.0473776029279697E-5</v>
      </c>
      <c r="BB221" s="15">
        <f t="shared" si="117"/>
        <v>6254596.8717347672</v>
      </c>
      <c r="BC221" s="20">
        <f t="shared" si="118"/>
        <v>37543.649078517221</v>
      </c>
      <c r="BD221" s="19">
        <f t="shared" si="119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0"/>
        <v>2.8502295699234246E-6</v>
      </c>
      <c r="P222" s="8">
        <f t="shared" si="121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92"/>
        <v>91650.360455141446</v>
      </c>
      <c r="X222">
        <v>2.428498830340196E-2</v>
      </c>
      <c r="Y222">
        <f t="shared" si="93"/>
        <v>6.416985392635616</v>
      </c>
      <c r="Z222">
        <f t="shared" si="94"/>
        <v>6.416985400684486</v>
      </c>
      <c r="AA222">
        <f t="shared" si="95"/>
        <v>-8.0488700149317083E-9</v>
      </c>
      <c r="AB222">
        <f t="shared" si="96"/>
        <v>4.1762257979177299E-6</v>
      </c>
      <c r="AC222">
        <v>803.22431206662066</v>
      </c>
      <c r="AD222">
        <f t="shared" si="97"/>
        <v>2524.8067203953942</v>
      </c>
      <c r="AE222">
        <f>+gettm2(AD222,AC222,AK222,AL222,テーブル2[[#This Row],[Fcorr]])</f>
        <v>499.32176043104204</v>
      </c>
      <c r="AF222" s="14">
        <f t="shared" si="98"/>
        <v>0</v>
      </c>
      <c r="AG222">
        <v>4.3579957719578812E-6</v>
      </c>
      <c r="AH222">
        <f t="shared" si="99"/>
        <v>47.770057935032668</v>
      </c>
      <c r="AI222">
        <f t="shared" si="100"/>
        <v>0.30298142933320998</v>
      </c>
      <c r="AJ222">
        <f t="shared" si="101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02"/>
        <v>2.1883527698787133</v>
      </c>
      <c r="AM222">
        <f t="shared" si="103"/>
        <v>634.44823371085658</v>
      </c>
      <c r="AN222">
        <f t="shared" si="104"/>
        <v>2.0746938389493152E-7</v>
      </c>
      <c r="AO222">
        <f t="shared" si="105"/>
        <v>1.817699740401513E-7</v>
      </c>
      <c r="AP222">
        <v>2.0626425005871099</v>
      </c>
      <c r="AQ222">
        <f t="shared" si="106"/>
        <v>2.11795569598776E-5</v>
      </c>
      <c r="AR222">
        <f t="shared" si="107"/>
        <v>2.2698828729990163E-6</v>
      </c>
      <c r="AS222">
        <f t="shared" si="108"/>
        <v>6.0168142070953499</v>
      </c>
      <c r="AT222">
        <f t="shared" si="109"/>
        <v>5.9227895888251387</v>
      </c>
      <c r="AU222">
        <f t="shared" si="110"/>
        <v>1.7944952552620956</v>
      </c>
      <c r="AV222">
        <f t="shared" si="111"/>
        <v>0.26814724532501422</v>
      </c>
      <c r="AW222">
        <f t="shared" si="112"/>
        <v>4.1186082968530501E-3</v>
      </c>
      <c r="AX222">
        <f t="shared" si="113"/>
        <v>0.26814724458671307</v>
      </c>
      <c r="AY222">
        <f t="shared" si="114"/>
        <v>7.3830114244444189E-10</v>
      </c>
      <c r="AZ222">
        <f t="shared" si="115"/>
        <v>692257.60600924003</v>
      </c>
      <c r="BA222">
        <f t="shared" si="116"/>
        <v>1.0268166661866542E-5</v>
      </c>
      <c r="BB222" s="15">
        <f t="shared" si="117"/>
        <v>6377063.1859234963</v>
      </c>
      <c r="BC222" s="20">
        <f t="shared" si="118"/>
        <v>40893.752329746261</v>
      </c>
      <c r="BD222" s="19">
        <f t="shared" si="119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0"/>
        <v>2.8502295699234246E-6</v>
      </c>
      <c r="P223" s="8">
        <f t="shared" si="121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92"/>
        <v>111196.64586026638</v>
      </c>
      <c r="X223">
        <v>2.2615094215070311E-2</v>
      </c>
      <c r="Y223">
        <f t="shared" si="93"/>
        <v>6.6496808099286682</v>
      </c>
      <c r="Z223">
        <f t="shared" si="94"/>
        <v>6.6496808158942153</v>
      </c>
      <c r="AA223">
        <f t="shared" si="95"/>
        <v>-5.9655471673636384E-9</v>
      </c>
      <c r="AB223">
        <f t="shared" si="96"/>
        <v>3.0465509744099373E-6</v>
      </c>
      <c r="AC223">
        <v>790.92049740726429</v>
      </c>
      <c r="AD223">
        <f t="shared" si="97"/>
        <v>2956.0780652656936</v>
      </c>
      <c r="AE223">
        <f>+gettm2(AD223,AC223,AK223,AL223,テーブル2[[#This Row],[Fcorr]])</f>
        <v>489.26121660837094</v>
      </c>
      <c r="AF223" s="14">
        <f t="shared" si="98"/>
        <v>0</v>
      </c>
      <c r="AG223">
        <v>3.224412197281791E-6</v>
      </c>
      <c r="AH223">
        <f t="shared" si="99"/>
        <v>65.483410582009824</v>
      </c>
      <c r="AI223">
        <f t="shared" si="100"/>
        <v>0.3547347803694415</v>
      </c>
      <c r="AJ223">
        <f t="shared" si="101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02"/>
        <v>2.1883527698787133</v>
      </c>
      <c r="AM223">
        <f t="shared" si="103"/>
        <v>634.44823399622726</v>
      </c>
      <c r="AN223">
        <f t="shared" si="104"/>
        <v>-7.7901290751469787E-8</v>
      </c>
      <c r="AO223">
        <f t="shared" si="105"/>
        <v>1.7786122287185373E-7</v>
      </c>
      <c r="AP223">
        <v>2.167855753000727</v>
      </c>
      <c r="AQ223">
        <f t="shared" si="106"/>
        <v>1.9173616331603264E-5</v>
      </c>
      <c r="AR223">
        <f t="shared" si="107"/>
        <v>1.7011367100768224E-6</v>
      </c>
      <c r="AS223">
        <f t="shared" si="108"/>
        <v>5.2794676269567891</v>
      </c>
      <c r="AT223">
        <f t="shared" si="109"/>
        <v>5.2691263220339088</v>
      </c>
      <c r="AU223">
        <f t="shared" si="110"/>
        <v>1.8691423685855417</v>
      </c>
      <c r="AV223">
        <f t="shared" si="111"/>
        <v>0.29871338441518525</v>
      </c>
      <c r="AW223">
        <f t="shared" si="112"/>
        <v>3.0045190866467833E-3</v>
      </c>
      <c r="AX223">
        <f t="shared" si="113"/>
        <v>0.29871338330912067</v>
      </c>
      <c r="AY223">
        <f t="shared" si="114"/>
        <v>1.1060645732641206E-9</v>
      </c>
      <c r="AZ223">
        <f t="shared" si="115"/>
        <v>692257.60600924003</v>
      </c>
      <c r="BA223">
        <f t="shared" si="116"/>
        <v>8.8445074378511177E-6</v>
      </c>
      <c r="BB223" s="15">
        <f t="shared" si="117"/>
        <v>7244344.6957942601</v>
      </c>
      <c r="BC223" s="20">
        <f t="shared" si="118"/>
        <v>-16201.690924489871</v>
      </c>
      <c r="BD223" s="19">
        <f t="shared" si="119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0"/>
        <v>2.8502295699234246E-6</v>
      </c>
      <c r="P224" s="8">
        <f t="shared" si="121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92"/>
        <v>116843.35053285804</v>
      </c>
      <c r="X224">
        <v>2.2217391970833882E-2</v>
      </c>
      <c r="Y224">
        <f t="shared" si="93"/>
        <v>6.7089331033772375</v>
      </c>
      <c r="Z224">
        <f t="shared" si="94"/>
        <v>6.7089331074216236</v>
      </c>
      <c r="AA224">
        <f t="shared" si="95"/>
        <v>-4.0443861593075781E-9</v>
      </c>
      <c r="AB224">
        <f t="shared" si="96"/>
        <v>2.8085951652339211E-6</v>
      </c>
      <c r="AC224">
        <v>789.22604747791456</v>
      </c>
      <c r="AD224">
        <f t="shared" si="97"/>
        <v>3078.7579867486661</v>
      </c>
      <c r="AE224">
        <f>+gettm2(AD224,AC224,AK224,AL224,テーブル2[[#This Row],[Fcorr]])</f>
        <v>485.37357309828798</v>
      </c>
      <c r="AF224" s="14">
        <f t="shared" si="98"/>
        <v>0</v>
      </c>
      <c r="AG224">
        <v>2.9866244859684379E-6</v>
      </c>
      <c r="AH224">
        <f t="shared" si="99"/>
        <v>71.031436209031654</v>
      </c>
      <c r="AI224">
        <f t="shared" si="100"/>
        <v>0.36945659557261706</v>
      </c>
      <c r="AJ224">
        <f t="shared" si="101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02"/>
        <v>2.1883527698787133</v>
      </c>
      <c r="AM224">
        <f t="shared" si="103"/>
        <v>634.44823392618332</v>
      </c>
      <c r="AN224">
        <f t="shared" si="104"/>
        <v>-7.8573521022917703E-9</v>
      </c>
      <c r="AO224">
        <f t="shared" si="105"/>
        <v>1.7802932073451678E-7</v>
      </c>
      <c r="AP224">
        <v>2.1953057784014569</v>
      </c>
      <c r="AQ224">
        <f t="shared" si="106"/>
        <v>1.8697121675960991E-5</v>
      </c>
      <c r="AR224">
        <f t="shared" si="107"/>
        <v>1.5823269033514773E-6</v>
      </c>
      <c r="AS224">
        <f t="shared" si="108"/>
        <v>5.1145423531135386</v>
      </c>
      <c r="AT224">
        <f t="shared" si="109"/>
        <v>5.1104396193435928</v>
      </c>
      <c r="AU224">
        <f t="shared" si="110"/>
        <v>1.8880856236421049</v>
      </c>
      <c r="AV224">
        <f t="shared" si="111"/>
        <v>0.30722015475935205</v>
      </c>
      <c r="AW224">
        <f t="shared" si="112"/>
        <v>2.7698462462928514E-3</v>
      </c>
      <c r="AX224">
        <f t="shared" si="113"/>
        <v>0.30722014808514947</v>
      </c>
      <c r="AY224">
        <f t="shared" si="114"/>
        <v>6.6742025794930271E-9</v>
      </c>
      <c r="AZ224">
        <f t="shared" si="115"/>
        <v>692257.60600924003</v>
      </c>
      <c r="BA224">
        <f t="shared" si="116"/>
        <v>8.5168644203977657E-6</v>
      </c>
      <c r="BB224" s="15">
        <f t="shared" si="117"/>
        <v>7530144.0635849703</v>
      </c>
      <c r="BC224" s="20">
        <f t="shared" si="118"/>
        <v>-53840.31141502969</v>
      </c>
      <c r="BD224" s="19">
        <f t="shared" si="119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0"/>
        <v>2.8502295699234246E-6</v>
      </c>
      <c r="P225" s="8">
        <f t="shared" si="121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92"/>
        <v>121186.96951177469</v>
      </c>
      <c r="X225">
        <v>2.1931702987100093E-2</v>
      </c>
      <c r="Y225">
        <f t="shared" si="93"/>
        <v>6.7524880163745182</v>
      </c>
      <c r="Z225">
        <f t="shared" si="94"/>
        <v>6.7524880375115002</v>
      </c>
      <c r="AA225">
        <f t="shared" si="95"/>
        <v>-2.1136981942504462E-8</v>
      </c>
      <c r="AB225">
        <f t="shared" si="96"/>
        <v>2.6448802811588879E-6</v>
      </c>
      <c r="AC225">
        <v>785.38105102733152</v>
      </c>
      <c r="AD225">
        <f t="shared" si="97"/>
        <v>3172.6131066587318</v>
      </c>
      <c r="AE225">
        <f>+gettm2(AD225,AC225,AK225,AL225,テーブル2[[#This Row],[Fcorr]])</f>
        <v>484.99073347646271</v>
      </c>
      <c r="AF225" s="14">
        <f t="shared" si="98"/>
        <v>0</v>
      </c>
      <c r="AG225">
        <v>2.8221507772346966E-6</v>
      </c>
      <c r="AH225">
        <f t="shared" si="99"/>
        <v>75.428196027419119</v>
      </c>
      <c r="AI225">
        <f t="shared" si="100"/>
        <v>0.38071938180923576</v>
      </c>
      <c r="AJ225">
        <f t="shared" si="101"/>
        <v>9.4000971599180314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102"/>
        <v>2.1883527698787133</v>
      </c>
      <c r="AM225">
        <f t="shared" si="103"/>
        <v>634.44823376319073</v>
      </c>
      <c r="AN225">
        <f t="shared" si="104"/>
        <v>1.5513523976551369E-7</v>
      </c>
      <c r="AO225">
        <f t="shared" si="105"/>
        <v>1.7727049607580871E-7</v>
      </c>
      <c r="AP225">
        <v>2.2154990355576487</v>
      </c>
      <c r="AQ225">
        <f t="shared" si="106"/>
        <v>1.835784356644749E-5</v>
      </c>
      <c r="AR225">
        <f t="shared" si="107"/>
        <v>1.4997106366552527E-6</v>
      </c>
      <c r="AS225">
        <f t="shared" si="108"/>
        <v>4.9952772934886776</v>
      </c>
      <c r="AT225">
        <f t="shared" si="109"/>
        <v>4.9952772934886776</v>
      </c>
      <c r="AU225">
        <f t="shared" si="110"/>
        <v>1.9017988831427217</v>
      </c>
      <c r="AV225">
        <f t="shared" si="111"/>
        <v>0.31370015241492699</v>
      </c>
      <c r="AW225">
        <f t="shared" si="112"/>
        <v>2.608390062528563E-3</v>
      </c>
      <c r="AX225">
        <f t="shared" si="113"/>
        <v>0.31370013959615872</v>
      </c>
      <c r="AY225">
        <f t="shared" si="114"/>
        <v>1.2818768269085012E-8</v>
      </c>
      <c r="AZ225">
        <f t="shared" si="115"/>
        <v>692257.60600924003</v>
      </c>
      <c r="BA225">
        <f t="shared" si="116"/>
        <v>8.2860986494750413E-6</v>
      </c>
      <c r="BB225" s="15">
        <f t="shared" si="117"/>
        <v>7706866.6504259864</v>
      </c>
      <c r="BC225" s="20">
        <f t="shared" si="118"/>
        <v>-4949.7558240136132</v>
      </c>
      <c r="BD225" s="19">
        <f t="shared" si="119"/>
        <v>-6.4184046445946386E-2</v>
      </c>
      <c r="BE225" s="15">
        <v>3564686.7</v>
      </c>
      <c r="BF225" s="16">
        <f>テーブル2[[#This Row],[q_P]]/テーブル2[[#This Row],[q_M]]</f>
        <v>2.1620039288238111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7.7068666504259857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t="s">
        <v>294</v>
      </c>
      <c r="B226">
        <v>13789514.586336</v>
      </c>
      <c r="C226">
        <f>TsatFromP(テーブル2[[#This Row],[P]])</f>
        <v>608.62107399852357</v>
      </c>
      <c r="D226">
        <f>RhoGFromP(テーブル2[[#This Row],[P]])</f>
        <v>85.147847035840741</v>
      </c>
      <c r="E226">
        <f>RhoFFromP(テーブル2[[#This Row],[P]])</f>
        <v>624.86636713482415</v>
      </c>
      <c r="F226">
        <f>HgFromP(テーブル2[[#This Row],[P]])</f>
        <v>2643264.5206450778</v>
      </c>
      <c r="G226">
        <f>HfFromP(テーブル2[[#This Row],[P]])</f>
        <v>1562686.7596125705</v>
      </c>
      <c r="H226">
        <f>MuGFromP(テーブル2[[#This Row],[P]])</f>
        <v>2.2019591234371903E-5</v>
      </c>
      <c r="I226">
        <f>MuFFromP(テーブル2[[#This Row],[P]])</f>
        <v>7.222326555143516E-5</v>
      </c>
      <c r="J226">
        <f>KfFromP(テーブル2[[#This Row],[P]])</f>
        <v>0.49112131073334553</v>
      </c>
      <c r="K226">
        <f>CpFFromP(テーブル2[[#This Row],[P]])</f>
        <v>7679.7488518783057</v>
      </c>
      <c r="L226">
        <f>SigmaFromP(テーブル2[[#This Row],[P]])</f>
        <v>6.5036449518301549E-3</v>
      </c>
      <c r="M226">
        <v>225</v>
      </c>
      <c r="N226">
        <v>10524.344800000001</v>
      </c>
      <c r="O226">
        <f t="shared" si="120"/>
        <v>1.7719053836560394E-5</v>
      </c>
      <c r="P226">
        <f t="shared" si="121"/>
        <v>1.4921936786020797E-2</v>
      </c>
      <c r="Q226">
        <v>4.7497999999999993E-3</v>
      </c>
      <c r="R226">
        <v>0.3175</v>
      </c>
      <c r="S226">
        <v>14298510.7421875</v>
      </c>
      <c r="T226">
        <v>446.36479170134942</v>
      </c>
      <c r="U226">
        <f>+T226+BG226*S226*テーブル2[[#This Row],[Pw]]*R226/(N226*O226*K226)</f>
        <v>493.66653185786288</v>
      </c>
      <c r="V226">
        <v>0.03</v>
      </c>
      <c r="W226">
        <f t="shared" si="92"/>
        <v>692138.91880089138</v>
      </c>
      <c r="X226">
        <v>1.6276559499061042E-2</v>
      </c>
      <c r="Y226">
        <f t="shared" si="93"/>
        <v>7.8382424886166229</v>
      </c>
      <c r="Z226">
        <f t="shared" si="94"/>
        <v>7.8382425001398133</v>
      </c>
      <c r="AA226">
        <f t="shared" si="95"/>
        <v>-1.1523190401874217E-8</v>
      </c>
      <c r="AB226">
        <f t="shared" si="96"/>
        <v>2.1640259321950971E-6</v>
      </c>
      <c r="AC226">
        <v>686.59061597991501</v>
      </c>
      <c r="AD226">
        <f t="shared" si="97"/>
        <v>15609.88077741943</v>
      </c>
      <c r="AE226">
        <f>+gettm2(AD226,AC226,AK226,AL226,テーブル2[[#This Row],[Fcorr]])</f>
        <v>493.6665327237688</v>
      </c>
      <c r="AF226">
        <f t="shared" si="98"/>
        <v>8.6590591763524571E-7</v>
      </c>
      <c r="AG226">
        <v>2.2229109604352427E-6</v>
      </c>
      <c r="AH226">
        <f t="shared" si="99"/>
        <v>360.64142421249807</v>
      </c>
      <c r="AI226">
        <f t="shared" si="100"/>
        <v>0.75970367947294037</v>
      </c>
      <c r="AJ226">
        <f t="shared" si="101"/>
        <v>14.610878382758459</v>
      </c>
      <c r="AK226">
        <f>+S226*テーブル2[[#This Row],[F_form]]/(E226*CpFromTP((テーブル2[[#This Row],[Tin]]+テーブル2[[#This Row],[Tf]])/2,テーブル2[[#This Row],[P]])*AI226)</f>
        <v>6.8293535865300825</v>
      </c>
      <c r="AL226">
        <f t="shared" si="102"/>
        <v>1.1293676909872215</v>
      </c>
      <c r="AM226">
        <f t="shared" si="103"/>
        <v>608.62107413754075</v>
      </c>
      <c r="AN226">
        <f t="shared" si="104"/>
        <v>-1.3901717466069385E-7</v>
      </c>
      <c r="AO226">
        <f t="shared" si="105"/>
        <v>5.8885028240145576E-8</v>
      </c>
      <c r="AP226">
        <v>5.7956379151042636</v>
      </c>
      <c r="AQ226">
        <f t="shared" si="106"/>
        <v>1.6234556343914511E-5</v>
      </c>
      <c r="AR226">
        <f t="shared" si="107"/>
        <v>1.1408979943376941E-6</v>
      </c>
      <c r="AS226">
        <f t="shared" si="108"/>
        <v>7.4989606597365599</v>
      </c>
      <c r="AT226">
        <f t="shared" si="109"/>
        <v>7.0238221611877867</v>
      </c>
      <c r="AU226">
        <f t="shared" si="110"/>
        <v>5.3360235398179414</v>
      </c>
      <c r="AV226">
        <f t="shared" si="111"/>
        <v>0.45961437528632221</v>
      </c>
      <c r="AW226">
        <f t="shared" si="112"/>
        <v>1.3010365216492123E-3</v>
      </c>
      <c r="AX226">
        <f t="shared" si="113"/>
        <v>0.4596143605372609</v>
      </c>
      <c r="AY226">
        <f t="shared" si="114"/>
        <v>1.4749061305607825E-8</v>
      </c>
      <c r="AZ226">
        <f t="shared" si="115"/>
        <v>1080577.7610325073</v>
      </c>
      <c r="BA226">
        <f t="shared" si="116"/>
        <v>2.8011681512409408E-6</v>
      </c>
      <c r="BB226">
        <f t="shared" si="117"/>
        <v>14194133.410645558</v>
      </c>
      <c r="BC226">
        <f t="shared" si="118"/>
        <v>-104377.33154194243</v>
      </c>
      <c r="BD226">
        <f t="shared" si="119"/>
        <v>-0.729987433124619</v>
      </c>
      <c r="BE226">
        <v>12902273.1</v>
      </c>
      <c r="BF226">
        <f>テーブル2[[#This Row],[q_P]]/テーブル2[[#This Row],[q_M]]</f>
        <v>1.1001265668950657</v>
      </c>
      <c r="BG226">
        <v>1</v>
      </c>
      <c r="BH226">
        <v>-0.45900000000000002</v>
      </c>
      <c r="BI226">
        <v>4.5999999999999999E-2</v>
      </c>
      <c r="BJ226">
        <v>5625</v>
      </c>
      <c r="BK226">
        <v>1</v>
      </c>
      <c r="BL226">
        <f>テーブル2[[#This Row],[Ts]]-テーブル2[[#This Row],[Tin]]</f>
        <v>162.25628229717415</v>
      </c>
      <c r="BM226">
        <f>テーブル2[[#This Row],[q_P]]*0.000001</f>
        <v>14.194133410645557</v>
      </c>
      <c r="BN226">
        <f>テーブル2[[#This Row],[Tsub]]</f>
        <v>162.25628229717415</v>
      </c>
      <c r="BO226">
        <f>テーブル2[[#This Row],[Fcorr]]</f>
        <v>1</v>
      </c>
      <c r="BP226">
        <f>(テーブル2[[#This Row],[Tsub]]-40)^2</f>
        <v>14946.598561126339</v>
      </c>
      <c r="BQ226">
        <v>1</v>
      </c>
      <c r="BR226">
        <v>0.3175</v>
      </c>
    </row>
    <row r="227" spans="1:70" x14ac:dyDescent="0.15">
      <c r="A227" t="s">
        <v>295</v>
      </c>
      <c r="B227">
        <v>13789514.586336</v>
      </c>
      <c r="C227">
        <f>TsatFromP(テーブル2[[#This Row],[P]])</f>
        <v>608.62107399852357</v>
      </c>
      <c r="D227">
        <f>RhoGFromP(テーブル2[[#This Row],[P]])</f>
        <v>85.147847035840741</v>
      </c>
      <c r="E227">
        <f>RhoFFromP(テーブル2[[#This Row],[P]])</f>
        <v>624.86636713482415</v>
      </c>
      <c r="F227">
        <f>HgFromP(テーブル2[[#This Row],[P]])</f>
        <v>2643264.5206450778</v>
      </c>
      <c r="G227">
        <f>HfFromP(テーブル2[[#This Row],[P]])</f>
        <v>1562686.7596125705</v>
      </c>
      <c r="H227">
        <f>MuGFromP(テーブル2[[#This Row],[P]])</f>
        <v>2.2019591234371903E-5</v>
      </c>
      <c r="I227">
        <f>MuFFromP(テーブル2[[#This Row],[P]])</f>
        <v>7.222326555143516E-5</v>
      </c>
      <c r="J227">
        <f>KfFromP(テーブル2[[#This Row],[P]])</f>
        <v>0.49112131073334553</v>
      </c>
      <c r="K227">
        <f>CpFFromP(テーブル2[[#This Row],[P]])</f>
        <v>7679.7488518783057</v>
      </c>
      <c r="L227">
        <f>SigmaFromP(テーブル2[[#This Row],[P]])</f>
        <v>6.5036449518301549E-3</v>
      </c>
      <c r="M227">
        <v>226</v>
      </c>
      <c r="N227">
        <v>7364.3289000000004</v>
      </c>
      <c r="O227">
        <f t="shared" si="120"/>
        <v>1.7719053836560394E-5</v>
      </c>
      <c r="P227">
        <f t="shared" si="121"/>
        <v>1.4921936786020797E-2</v>
      </c>
      <c r="Q227">
        <v>4.7497999999999993E-3</v>
      </c>
      <c r="R227">
        <v>0.3175</v>
      </c>
      <c r="S227">
        <v>14644842.529296875</v>
      </c>
      <c r="T227">
        <v>398.21304431350183</v>
      </c>
      <c r="U227">
        <f>+T227+BG227*S227*テーブル2[[#This Row],[Pw]]*R227/(N227*O227*K227)</f>
        <v>467.44919428186449</v>
      </c>
      <c r="V227">
        <v>0.03</v>
      </c>
      <c r="W227">
        <f t="shared" si="92"/>
        <v>484318.85684134538</v>
      </c>
      <c r="X227">
        <v>1.8372577741516492E-2</v>
      </c>
      <c r="Y227">
        <f t="shared" si="93"/>
        <v>7.3775974223520775</v>
      </c>
      <c r="Z227">
        <f t="shared" si="94"/>
        <v>7.3775974236129347</v>
      </c>
      <c r="AA227">
        <f t="shared" si="95"/>
        <v>-1.2608571964278781E-9</v>
      </c>
      <c r="AB227">
        <f t="shared" si="96"/>
        <v>3.9154236567046747E-6</v>
      </c>
      <c r="AC227">
        <v>733.75295839472915</v>
      </c>
      <c r="AD227">
        <f t="shared" si="97"/>
        <v>11604.900902137106</v>
      </c>
      <c r="AE227">
        <f>+gettm2(AD227,AC227,AK227,AL227,テーブル2[[#This Row],[Fcorr]])</f>
        <v>467.44919561939395</v>
      </c>
      <c r="AF227">
        <f t="shared" si="98"/>
        <v>1.3375294543038763E-6</v>
      </c>
      <c r="AG227">
        <v>4.001400670608946E-6</v>
      </c>
      <c r="AH227">
        <f t="shared" si="99"/>
        <v>199.32386955961124</v>
      </c>
      <c r="AI227">
        <f t="shared" si="100"/>
        <v>0.56478880530757525</v>
      </c>
      <c r="AJ227">
        <f t="shared" si="101"/>
        <v>19.552763590956161</v>
      </c>
      <c r="AK227">
        <f>+S227*テーブル2[[#This Row],[F_form]]/(E227*CpFromTP((テーブル2[[#This Row],[Tin]]+テーブル2[[#This Row],[Tf]])/2,テーブル2[[#This Row],[P]])*AI227)</f>
        <v>9.6814791598427519</v>
      </c>
      <c r="AL227">
        <f t="shared" si="102"/>
        <v>1.1293676909872215</v>
      </c>
      <c r="AM227">
        <f t="shared" si="103"/>
        <v>608.62107368160696</v>
      </c>
      <c r="AN227">
        <f t="shared" si="104"/>
        <v>3.1691661206423305E-7</v>
      </c>
      <c r="AO227">
        <f t="shared" si="105"/>
        <v>8.5977013904271249E-8</v>
      </c>
      <c r="AP227">
        <v>5.1597385018102386</v>
      </c>
      <c r="AQ227">
        <f t="shared" si="106"/>
        <v>2.0482715404612613E-5</v>
      </c>
      <c r="AR227">
        <f t="shared" si="107"/>
        <v>2.0436888422566086E-6</v>
      </c>
      <c r="AS227">
        <f t="shared" si="108"/>
        <v>9.9864442667864992</v>
      </c>
      <c r="AT227">
        <f t="shared" si="109"/>
        <v>8.4561430002600559</v>
      </c>
      <c r="AU227">
        <f t="shared" si="110"/>
        <v>4.7759349026268918</v>
      </c>
      <c r="AV227">
        <f t="shared" si="111"/>
        <v>0.38380359918334683</v>
      </c>
      <c r="AW227">
        <f t="shared" si="112"/>
        <v>2.3539963635901716E-3</v>
      </c>
      <c r="AX227">
        <f t="shared" si="113"/>
        <v>0.38380355473374811</v>
      </c>
      <c r="AY227">
        <f t="shared" si="114"/>
        <v>4.4449598723961259E-8</v>
      </c>
      <c r="AZ227">
        <f t="shared" si="115"/>
        <v>1080577.7610325073</v>
      </c>
      <c r="BA227">
        <f t="shared" si="116"/>
        <v>3.9697196664959813E-6</v>
      </c>
      <c r="BB227">
        <f t="shared" si="117"/>
        <v>14623983.675563609</v>
      </c>
      <c r="BC227">
        <f t="shared" si="118"/>
        <v>-20858.853733265772</v>
      </c>
      <c r="BD227">
        <f t="shared" si="119"/>
        <v>-0.14243139652432468</v>
      </c>
      <c r="BE227">
        <v>14763481.199999999</v>
      </c>
      <c r="BF227">
        <f>テーブル2[[#This Row],[q_P]]/テーブル2[[#This Row],[q_M]]</f>
        <v>0.99055117674844939</v>
      </c>
      <c r="BG227">
        <v>1</v>
      </c>
      <c r="BH227">
        <v>-0.45600000000000002</v>
      </c>
      <c r="BI227">
        <v>4.5999999999999999E-2</v>
      </c>
      <c r="BJ227">
        <v>5625</v>
      </c>
      <c r="BK227">
        <v>1</v>
      </c>
      <c r="BL227">
        <f>テーブル2[[#This Row],[Ts]]-テーブル2[[#This Row],[Tin]]</f>
        <v>210.40802968502175</v>
      </c>
      <c r="BM227">
        <f>テーブル2[[#This Row],[q_P]]*0.000001</f>
        <v>14.623983675563609</v>
      </c>
      <c r="BN227">
        <f>テーブル2[[#This Row],[Tsub]]</f>
        <v>210.40802968502175</v>
      </c>
      <c r="BO227">
        <f>テーブル2[[#This Row],[Fcorr]]</f>
        <v>1</v>
      </c>
      <c r="BP227">
        <f>(テーブル2[[#This Row],[Tsub]]-40)^2</f>
        <v>29038.896581131252</v>
      </c>
      <c r="BQ227">
        <v>1</v>
      </c>
      <c r="BR227">
        <v>0.3175</v>
      </c>
    </row>
    <row r="228" spans="1:70" x14ac:dyDescent="0.15">
      <c r="A228" t="s">
        <v>70</v>
      </c>
      <c r="B228">
        <v>13789514.586336</v>
      </c>
      <c r="C228">
        <f>TsatFromP(テーブル2[[#This Row],[P]])</f>
        <v>608.62107399852357</v>
      </c>
      <c r="D228">
        <f>RhoGFromP(テーブル2[[#This Row],[P]])</f>
        <v>85.147847035840741</v>
      </c>
      <c r="E228">
        <f>RhoFFromP(テーブル2[[#This Row],[P]])</f>
        <v>624.86636713482415</v>
      </c>
      <c r="F228">
        <f>HgFromP(テーブル2[[#This Row],[P]])</f>
        <v>2643264.5206450778</v>
      </c>
      <c r="G228">
        <f>HfFromP(テーブル2[[#This Row],[P]])</f>
        <v>1562686.7596125705</v>
      </c>
      <c r="H228">
        <f>MuGFromP(テーブル2[[#This Row],[P]])</f>
        <v>2.2019591234371903E-5</v>
      </c>
      <c r="I228">
        <f>MuFFromP(テーブル2[[#This Row],[P]])</f>
        <v>7.222326555143516E-5</v>
      </c>
      <c r="J228">
        <f>KfFromP(テーブル2[[#This Row],[P]])</f>
        <v>0.49112131073334553</v>
      </c>
      <c r="K228">
        <f>CpFFromP(テーブル2[[#This Row],[P]])</f>
        <v>7679.7488518783057</v>
      </c>
      <c r="L228">
        <f>SigmaFromP(テーブル2[[#This Row],[P]])</f>
        <v>6.5036449518301549E-3</v>
      </c>
      <c r="M228">
        <v>227</v>
      </c>
      <c r="N228">
        <v>2441.2139999999999</v>
      </c>
      <c r="O228">
        <f t="shared" si="120"/>
        <v>2.8502295699234246E-6</v>
      </c>
      <c r="P228">
        <f t="shared" si="121"/>
        <v>5.9847340050885557E-3</v>
      </c>
      <c r="Q228">
        <v>1.905E-3</v>
      </c>
      <c r="R228">
        <v>0.15240000000000001</v>
      </c>
      <c r="S228">
        <v>4113226.6998291016</v>
      </c>
      <c r="T228">
        <v>500.2688889860072</v>
      </c>
      <c r="U228">
        <f>+T228+BG228*S228*テーブル2[[#This Row],[Pw]]*R228/(N228*O228*K228)</f>
        <v>570.47578217578018</v>
      </c>
      <c r="V228">
        <v>0.03</v>
      </c>
      <c r="W228">
        <f t="shared" si="92"/>
        <v>64390.783696813734</v>
      </c>
      <c r="X228">
        <v>3.5266105089046318E-2</v>
      </c>
      <c r="Y228">
        <f t="shared" si="93"/>
        <v>5.3250200990185377</v>
      </c>
      <c r="Z228">
        <f t="shared" si="94"/>
        <v>5.3250201082307189</v>
      </c>
      <c r="AA228">
        <f t="shared" si="95"/>
        <v>-9.2121812400591807E-9</v>
      </c>
      <c r="AB228">
        <f t="shared" si="96"/>
        <v>1.8562907725530151E-5</v>
      </c>
      <c r="AC228">
        <v>691.94999011717641</v>
      </c>
      <c r="AD228">
        <f t="shared" si="97"/>
        <v>2137.6050677407343</v>
      </c>
      <c r="AE228">
        <f>+gettm2(AD228,AC228,AK228,AL228,テーブル2[[#This Row],[Fcorr]])</f>
        <v>570.47578309528001</v>
      </c>
      <c r="AF228">
        <f t="shared" si="98"/>
        <v>9.1949982561345678E-7</v>
      </c>
      <c r="AG228">
        <v>1.8645707901971134E-5</v>
      </c>
      <c r="AH228">
        <f t="shared" si="99"/>
        <v>42.04284187364992</v>
      </c>
      <c r="AI228">
        <f t="shared" si="100"/>
        <v>0.25938953898646117</v>
      </c>
      <c r="AJ228">
        <f t="shared" si="101"/>
        <v>41.844787089624099</v>
      </c>
      <c r="AK228">
        <f>+S228*テーブル2[[#This Row],[F_form]]/(E228*CpFromTP((テーブル2[[#This Row],[Tin]]+テーブル2[[#This Row],[Tf]])/2,テーブル2[[#This Row],[P]])*AI228)</f>
        <v>5.2245571681554912</v>
      </c>
      <c r="AL228">
        <f t="shared" si="102"/>
        <v>1.1293676909872215</v>
      </c>
      <c r="AM228">
        <f t="shared" si="103"/>
        <v>608.62107399405613</v>
      </c>
      <c r="AN228">
        <f t="shared" si="104"/>
        <v>4.4674379751086235E-9</v>
      </c>
      <c r="AO228">
        <f t="shared" si="105"/>
        <v>8.2800176440983223E-8</v>
      </c>
      <c r="AP228">
        <v>3.4240169860403213</v>
      </c>
      <c r="AQ228">
        <f t="shared" si="106"/>
        <v>4.6512651076081738E-5</v>
      </c>
      <c r="AR228">
        <f t="shared" si="107"/>
        <v>9.3642540392060587E-6</v>
      </c>
      <c r="AS228">
        <f t="shared" si="108"/>
        <v>21.015303821331774</v>
      </c>
      <c r="AT228">
        <f t="shared" si="109"/>
        <v>12.176254628541781</v>
      </c>
      <c r="AU228">
        <f t="shared" si="110"/>
        <v>3.1583930746792164</v>
      </c>
      <c r="AV228">
        <f t="shared" si="111"/>
        <v>0.26562391136110497</v>
      </c>
      <c r="AW228">
        <f t="shared" si="112"/>
        <v>1.116022712094825E-2</v>
      </c>
      <c r="AX228">
        <f t="shared" si="113"/>
        <v>0.26562390161722482</v>
      </c>
      <c r="AY228">
        <f t="shared" si="114"/>
        <v>9.7438801471838588E-9</v>
      </c>
      <c r="AZ228">
        <f t="shared" si="115"/>
        <v>1080577.7610325073</v>
      </c>
      <c r="BA228">
        <f t="shared" si="116"/>
        <v>1.3584234910549011E-5</v>
      </c>
      <c r="BB228">
        <f t="shared" si="117"/>
        <v>4115657.7649999326</v>
      </c>
      <c r="BC228">
        <f t="shared" si="118"/>
        <v>2431.065170831047</v>
      </c>
      <c r="BD228">
        <f t="shared" si="119"/>
        <v>5.9103602797581131E-2</v>
      </c>
      <c r="BE228">
        <v>4037875.2</v>
      </c>
      <c r="BF228">
        <f>テーブル2[[#This Row],[q_P]]/テーブル2[[#This Row],[q_M]]</f>
        <v>1.01926324146916</v>
      </c>
      <c r="BG228">
        <v>1</v>
      </c>
      <c r="BH228">
        <v>-0.05</v>
      </c>
      <c r="BI228">
        <v>4.5999999999999999E-2</v>
      </c>
      <c r="BJ228">
        <v>5625</v>
      </c>
      <c r="BK228">
        <v>1</v>
      </c>
      <c r="BL228">
        <f>テーブル2[[#This Row],[Ts]]-テーブル2[[#This Row],[Tin]]</f>
        <v>108.35218501251637</v>
      </c>
      <c r="BM228">
        <f>テーブル2[[#This Row],[q_P]]*0.000001</f>
        <v>4.1156577649999324</v>
      </c>
      <c r="BN228">
        <f>テーブル2[[#This Row],[Tsub]]</f>
        <v>108.35218501251637</v>
      </c>
      <c r="BO228">
        <f>テーブル2[[#This Row],[Fcorr]]</f>
        <v>1</v>
      </c>
      <c r="BP228">
        <f>(テーブル2[[#This Row],[Tsub]]-40)^2</f>
        <v>4672.0211959852677</v>
      </c>
      <c r="BQ228">
        <v>1</v>
      </c>
      <c r="BR228">
        <v>0.15240000000000001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O56"/>
  <sheetViews>
    <sheetView workbookViewId="0">
      <selection activeCell="J25" sqref="J25"/>
    </sheetView>
  </sheetViews>
  <sheetFormatPr defaultRowHeight="13.5" x14ac:dyDescent="0.15"/>
  <sheetData>
    <row r="1" spans="1:15" x14ac:dyDescent="0.15">
      <c r="A1" t="s">
        <v>311</v>
      </c>
      <c r="B1" t="s">
        <v>0</v>
      </c>
      <c r="C1" t="s">
        <v>341</v>
      </c>
      <c r="D1" t="s">
        <v>342</v>
      </c>
      <c r="E1" t="s">
        <v>343</v>
      </c>
      <c r="F1" t="s">
        <v>344</v>
      </c>
      <c r="G1" t="s">
        <v>18</v>
      </c>
      <c r="H1" t="s">
        <v>53</v>
      </c>
      <c r="I1" t="s">
        <v>40</v>
      </c>
      <c r="J1" t="s">
        <v>32</v>
      </c>
      <c r="K1" t="s">
        <v>57</v>
      </c>
      <c r="L1" t="s">
        <v>345</v>
      </c>
      <c r="M1" t="s">
        <v>346</v>
      </c>
      <c r="N1" t="s">
        <v>347</v>
      </c>
      <c r="O1" t="s">
        <v>348</v>
      </c>
    </row>
    <row r="2" spans="1:15" x14ac:dyDescent="0.15">
      <c r="A2">
        <v>226</v>
      </c>
      <c r="B2" t="s">
        <v>294</v>
      </c>
      <c r="C2" t="s">
        <v>349</v>
      </c>
      <c r="D2">
        <v>0</v>
      </c>
      <c r="E2">
        <v>100000</v>
      </c>
      <c r="F2">
        <v>12000000</v>
      </c>
      <c r="G2">
        <v>100000</v>
      </c>
      <c r="H2">
        <v>-0.95087756596177087</v>
      </c>
      <c r="I2">
        <v>-4.4623486859902701E-4</v>
      </c>
      <c r="J2">
        <v>-4.440708426668319E-4</v>
      </c>
      <c r="K2">
        <v>-7.3698452868880204E-8</v>
      </c>
      <c r="L2">
        <v>-100.00095087756596</v>
      </c>
      <c r="M2">
        <v>0</v>
      </c>
      <c r="O2" t="s">
        <v>350</v>
      </c>
    </row>
    <row r="3" spans="1:15" x14ac:dyDescent="0.15">
      <c r="A3">
        <v>226</v>
      </c>
      <c r="B3" t="s">
        <v>294</v>
      </c>
      <c r="C3" t="s">
        <v>349</v>
      </c>
      <c r="D3">
        <v>0</v>
      </c>
      <c r="E3">
        <v>100000</v>
      </c>
      <c r="F3">
        <v>12000000</v>
      </c>
      <c r="G3">
        <v>12000000</v>
      </c>
      <c r="H3">
        <v>-3711744.5229170215</v>
      </c>
      <c r="I3">
        <v>-1.2042185600152369E-6</v>
      </c>
      <c r="J3">
        <v>9.5980737217986021E-7</v>
      </c>
      <c r="K3">
        <v>-0.28768144141337559</v>
      </c>
      <c r="L3">
        <v>-130.93120435764186</v>
      </c>
      <c r="M3">
        <v>0</v>
      </c>
      <c r="O3" t="s">
        <v>351</v>
      </c>
    </row>
    <row r="4" spans="1:15" x14ac:dyDescent="0.15">
      <c r="A4">
        <v>226</v>
      </c>
      <c r="B4" t="s">
        <v>294</v>
      </c>
      <c r="C4" t="s">
        <v>349</v>
      </c>
      <c r="D4">
        <v>1</v>
      </c>
      <c r="E4">
        <v>100000</v>
      </c>
      <c r="F4">
        <v>18000000</v>
      </c>
      <c r="G4">
        <v>18000000</v>
      </c>
      <c r="H4">
        <v>9104484266.49296</v>
      </c>
      <c r="I4">
        <v>4.957995867934031E-6</v>
      </c>
      <c r="J4">
        <v>7.1220218001291277E-6</v>
      </c>
      <c r="K4">
        <v>705.64963211737938</v>
      </c>
      <c r="L4">
        <v>50480.468147183114</v>
      </c>
      <c r="M4">
        <v>0</v>
      </c>
      <c r="O4" t="s">
        <v>356</v>
      </c>
    </row>
    <row r="5" spans="1:15" x14ac:dyDescent="0.15">
      <c r="A5">
        <v>226</v>
      </c>
      <c r="B5" t="s">
        <v>294</v>
      </c>
      <c r="C5" t="s">
        <v>352</v>
      </c>
      <c r="D5">
        <v>1</v>
      </c>
      <c r="E5">
        <v>100000</v>
      </c>
      <c r="F5">
        <v>18000000</v>
      </c>
      <c r="G5">
        <v>9050000</v>
      </c>
      <c r="H5">
        <v>-153590.60818002012</v>
      </c>
      <c r="I5">
        <v>-2.449901337129279E-6</v>
      </c>
      <c r="J5">
        <v>-2.8587540493418196E-7</v>
      </c>
      <c r="K5">
        <v>-1.1904151073970068E-2</v>
      </c>
      <c r="L5">
        <v>-101.69713379204443</v>
      </c>
      <c r="M5">
        <v>0</v>
      </c>
    </row>
    <row r="6" spans="1:15" x14ac:dyDescent="0.15">
      <c r="A6">
        <v>226</v>
      </c>
      <c r="B6" t="s">
        <v>294</v>
      </c>
      <c r="C6" t="s">
        <v>352</v>
      </c>
      <c r="D6">
        <v>2</v>
      </c>
      <c r="E6">
        <v>9050000</v>
      </c>
      <c r="F6">
        <v>18000000</v>
      </c>
      <c r="G6">
        <v>13525000</v>
      </c>
      <c r="H6">
        <v>-32012951.204112545</v>
      </c>
      <c r="I6">
        <v>-4.4216830248042499E-7</v>
      </c>
      <c r="J6">
        <v>1.7218576297146721E-6</v>
      </c>
      <c r="K6">
        <v>-2.4811869161343783</v>
      </c>
      <c r="L6">
        <v>-336.6946484592425</v>
      </c>
      <c r="M6">
        <v>0</v>
      </c>
    </row>
    <row r="7" spans="1:15" x14ac:dyDescent="0.15">
      <c r="A7">
        <v>226</v>
      </c>
      <c r="B7" t="s">
        <v>294</v>
      </c>
      <c r="C7" t="s">
        <v>352</v>
      </c>
      <c r="D7">
        <v>3</v>
      </c>
      <c r="E7">
        <v>13525000</v>
      </c>
      <c r="F7">
        <v>18000000</v>
      </c>
      <c r="G7">
        <v>15762500</v>
      </c>
      <c r="H7">
        <v>872068486.29711962</v>
      </c>
      <c r="I7">
        <v>1.2210331698371728E-6</v>
      </c>
      <c r="J7">
        <v>3.3850591020322699E-6</v>
      </c>
      <c r="K7">
        <v>67.590298200796852</v>
      </c>
      <c r="L7">
        <v>5432.5518559690381</v>
      </c>
      <c r="M7">
        <v>0</v>
      </c>
    </row>
    <row r="8" spans="1:15" x14ac:dyDescent="0.15">
      <c r="A8">
        <v>226</v>
      </c>
      <c r="B8" t="s">
        <v>294</v>
      </c>
      <c r="C8" t="s">
        <v>352</v>
      </c>
      <c r="D8">
        <v>4</v>
      </c>
      <c r="E8">
        <v>13525000</v>
      </c>
      <c r="F8">
        <v>15762500</v>
      </c>
      <c r="G8">
        <v>14643750</v>
      </c>
      <c r="H8">
        <v>104464761.97275795</v>
      </c>
      <c r="I8">
        <v>3.078066077386307E-7</v>
      </c>
      <c r="J8">
        <v>2.4718325399337278E-6</v>
      </c>
      <c r="K8">
        <v>8.0966168645707821</v>
      </c>
      <c r="L8">
        <v>613.3743882049198</v>
      </c>
      <c r="M8">
        <v>0</v>
      </c>
    </row>
    <row r="9" spans="1:15" x14ac:dyDescent="0.15">
      <c r="A9">
        <v>226</v>
      </c>
      <c r="B9" t="s">
        <v>294</v>
      </c>
      <c r="C9" t="s">
        <v>352</v>
      </c>
      <c r="D9">
        <v>5</v>
      </c>
      <c r="E9">
        <v>13525000</v>
      </c>
      <c r="F9">
        <v>14643750</v>
      </c>
      <c r="G9">
        <v>14084375</v>
      </c>
      <c r="H9">
        <v>-16299322.742090799</v>
      </c>
      <c r="I9">
        <v>-8.7674942737203238E-8</v>
      </c>
      <c r="J9">
        <v>2.0763509894578939E-6</v>
      </c>
      <c r="K9">
        <v>-1.2632907872714925</v>
      </c>
      <c r="L9">
        <v>-215.72627640268595</v>
      </c>
      <c r="M9">
        <v>0</v>
      </c>
    </row>
    <row r="10" spans="1:15" x14ac:dyDescent="0.15">
      <c r="A10">
        <v>226</v>
      </c>
      <c r="B10" t="s">
        <v>294</v>
      </c>
      <c r="C10" t="s">
        <v>352</v>
      </c>
      <c r="D10">
        <v>6</v>
      </c>
      <c r="E10">
        <v>14084375</v>
      </c>
      <c r="F10">
        <v>14643750</v>
      </c>
      <c r="G10">
        <v>14364062.5</v>
      </c>
      <c r="H10">
        <v>27168371.215376887</v>
      </c>
      <c r="I10">
        <v>1.0494541414815012E-7</v>
      </c>
      <c r="J10">
        <v>2.2689713463432472E-6</v>
      </c>
      <c r="K10">
        <v>2.1057042433380895</v>
      </c>
      <c r="L10">
        <v>89.141276817591731</v>
      </c>
      <c r="M10">
        <v>0</v>
      </c>
    </row>
    <row r="11" spans="1:15" x14ac:dyDescent="0.15">
      <c r="A11">
        <v>226</v>
      </c>
      <c r="B11" t="s">
        <v>294</v>
      </c>
      <c r="C11" t="s">
        <v>352</v>
      </c>
      <c r="D11">
        <v>7</v>
      </c>
      <c r="E11">
        <v>14084375</v>
      </c>
      <c r="F11">
        <v>14364062.5</v>
      </c>
      <c r="G11">
        <v>14224218.75</v>
      </c>
      <c r="H11">
        <v>1628327.7871446728</v>
      </c>
      <c r="I11">
        <v>7.3560929636716003E-9</v>
      </c>
      <c r="J11">
        <v>2.1713820251587687E-6</v>
      </c>
      <c r="K11">
        <v>0.12620472179779491</v>
      </c>
      <c r="L11">
        <v>-88.55242726673707</v>
      </c>
      <c r="M11">
        <v>0</v>
      </c>
    </row>
    <row r="12" spans="1:15" x14ac:dyDescent="0.15">
      <c r="A12">
        <v>226</v>
      </c>
      <c r="B12" t="s">
        <v>294</v>
      </c>
      <c r="C12" t="s">
        <v>352</v>
      </c>
      <c r="D12">
        <v>8</v>
      </c>
      <c r="E12">
        <v>14224218.75</v>
      </c>
      <c r="F12">
        <v>14364062.5</v>
      </c>
      <c r="G12">
        <v>14294140.625</v>
      </c>
      <c r="H12">
        <v>13393237.377202904</v>
      </c>
      <c r="I12">
        <v>5.5834345982802935E-8</v>
      </c>
      <c r="J12">
        <v>2.2198602781779E-6</v>
      </c>
      <c r="K12">
        <v>1.0380525410830828</v>
      </c>
      <c r="L12">
        <v>-6.3026051823041733</v>
      </c>
      <c r="M12">
        <v>0</v>
      </c>
    </row>
    <row r="13" spans="1:15" x14ac:dyDescent="0.15">
      <c r="A13">
        <v>226</v>
      </c>
      <c r="B13" t="s">
        <v>294</v>
      </c>
      <c r="C13" t="s">
        <v>352</v>
      </c>
      <c r="D13">
        <v>9</v>
      </c>
      <c r="E13">
        <v>14294140.625</v>
      </c>
      <c r="F13">
        <v>14364062.5</v>
      </c>
      <c r="G13">
        <v>14329101.5625</v>
      </c>
      <c r="H13">
        <v>20022611.757511299</v>
      </c>
      <c r="I13">
        <v>8.0309646588175386E-8</v>
      </c>
      <c r="J13">
        <v>2.2443355787832725E-6</v>
      </c>
      <c r="K13">
        <v>1.5518669929185811</v>
      </c>
      <c r="L13">
        <v>39.733895179524097</v>
      </c>
      <c r="M13">
        <v>0</v>
      </c>
    </row>
    <row r="14" spans="1:15" x14ac:dyDescent="0.15">
      <c r="A14">
        <v>226</v>
      </c>
      <c r="B14" t="s">
        <v>294</v>
      </c>
      <c r="C14" t="s">
        <v>352</v>
      </c>
      <c r="D14">
        <v>10</v>
      </c>
      <c r="E14">
        <v>14294140.625</v>
      </c>
      <c r="F14">
        <v>14329101.5625</v>
      </c>
      <c r="G14">
        <v>14311621.09375</v>
      </c>
      <c r="H14">
        <v>16644193.317710144</v>
      </c>
      <c r="I14">
        <v>6.8051905817672832E-8</v>
      </c>
      <c r="J14">
        <v>2.2320778380127699E-6</v>
      </c>
      <c r="K14">
        <v>1.290020230443746</v>
      </c>
      <c r="L14">
        <v>16.298448712974924</v>
      </c>
      <c r="M14">
        <v>0</v>
      </c>
    </row>
    <row r="15" spans="1:15" x14ac:dyDescent="0.15">
      <c r="A15">
        <v>226</v>
      </c>
      <c r="B15" t="s">
        <v>294</v>
      </c>
      <c r="C15" t="s">
        <v>352</v>
      </c>
      <c r="D15">
        <v>11</v>
      </c>
      <c r="E15">
        <v>14294140.625</v>
      </c>
      <c r="F15">
        <v>14311621.09375</v>
      </c>
      <c r="G15">
        <v>14302880.859375</v>
      </c>
      <c r="H15">
        <v>15002888.348731169</v>
      </c>
      <c r="I15">
        <v>6.1938110092723172E-8</v>
      </c>
      <c r="J15">
        <v>2.2259640422878203E-6</v>
      </c>
      <c r="K15">
        <v>1.1628097027903688</v>
      </c>
      <c r="L15">
        <v>4.8941712948503024</v>
      </c>
      <c r="M15">
        <v>0</v>
      </c>
    </row>
    <row r="16" spans="1:15" x14ac:dyDescent="0.15">
      <c r="A16">
        <v>226</v>
      </c>
      <c r="B16" t="s">
        <v>294</v>
      </c>
      <c r="C16" t="s">
        <v>352</v>
      </c>
      <c r="D16">
        <v>12</v>
      </c>
      <c r="E16">
        <v>14294140.625</v>
      </c>
      <c r="F16">
        <v>14302880.859375</v>
      </c>
      <c r="G16">
        <v>14298510.7421875</v>
      </c>
      <c r="H16">
        <v>14194133.410645558</v>
      </c>
      <c r="I16">
        <v>5.8885028240145576E-8</v>
      </c>
      <c r="J16">
        <v>2.2229109604352427E-6</v>
      </c>
      <c r="K16">
        <v>1.1001265668950657</v>
      </c>
      <c r="L16">
        <v>-0.72998743312461889</v>
      </c>
      <c r="M16">
        <v>0</v>
      </c>
    </row>
    <row r="17" spans="1:15" x14ac:dyDescent="0.15">
      <c r="A17">
        <v>226</v>
      </c>
      <c r="B17" t="s">
        <v>294</v>
      </c>
      <c r="C17" t="s">
        <v>353</v>
      </c>
      <c r="D17">
        <v>12</v>
      </c>
      <c r="E17">
        <v>14294140.625</v>
      </c>
      <c r="F17">
        <v>14302880.859375</v>
      </c>
      <c r="G17">
        <v>14298510.7421875</v>
      </c>
      <c r="H17">
        <v>14194133.410645558</v>
      </c>
      <c r="I17">
        <v>5.8885028240145576E-8</v>
      </c>
      <c r="J17">
        <v>2.2229109604352427E-6</v>
      </c>
      <c r="K17">
        <v>1.1001265668950657</v>
      </c>
      <c r="L17">
        <v>-0.72998743312461889</v>
      </c>
      <c r="M17">
        <v>0</v>
      </c>
      <c r="N17" t="s">
        <v>354</v>
      </c>
      <c r="O17" t="s">
        <v>355</v>
      </c>
    </row>
    <row r="18" spans="1:15" x14ac:dyDescent="0.15">
      <c r="A18">
        <v>227</v>
      </c>
      <c r="B18" t="s">
        <v>295</v>
      </c>
      <c r="C18" t="s">
        <v>349</v>
      </c>
      <c r="D18">
        <v>0</v>
      </c>
      <c r="E18">
        <v>100000</v>
      </c>
      <c r="F18">
        <v>12000000</v>
      </c>
      <c r="G18">
        <v>100000</v>
      </c>
      <c r="H18">
        <v>-1.4487341598228487</v>
      </c>
      <c r="I18">
        <v>-5.648702001688435E-4</v>
      </c>
      <c r="J18">
        <v>-5.6095477651213878E-4</v>
      </c>
      <c r="K18">
        <v>-9.8129576635546413E-8</v>
      </c>
      <c r="L18">
        <v>-100.00144873415982</v>
      </c>
      <c r="M18">
        <v>0</v>
      </c>
      <c r="O18" t="s">
        <v>350</v>
      </c>
    </row>
    <row r="19" spans="1:15" x14ac:dyDescent="0.15">
      <c r="A19">
        <v>227</v>
      </c>
      <c r="B19" t="s">
        <v>295</v>
      </c>
      <c r="C19" t="s">
        <v>349</v>
      </c>
      <c r="D19">
        <v>0</v>
      </c>
      <c r="E19">
        <v>100000</v>
      </c>
      <c r="F19">
        <v>12000000</v>
      </c>
      <c r="G19">
        <v>12000000</v>
      </c>
      <c r="H19">
        <v>-3044679.4154719091</v>
      </c>
      <c r="I19">
        <v>-2.2869257381554433E-6</v>
      </c>
      <c r="J19">
        <v>1.6284979185492316E-6</v>
      </c>
      <c r="K19">
        <v>-0.20623045298231621</v>
      </c>
      <c r="L19">
        <v>-125.37232846226591</v>
      </c>
      <c r="M19">
        <v>0</v>
      </c>
      <c r="O19" t="s">
        <v>351</v>
      </c>
    </row>
    <row r="20" spans="1:15" x14ac:dyDescent="0.15">
      <c r="A20">
        <v>227</v>
      </c>
      <c r="B20" t="s">
        <v>295</v>
      </c>
      <c r="C20" t="s">
        <v>349</v>
      </c>
      <c r="D20">
        <v>1</v>
      </c>
      <c r="E20">
        <v>100000</v>
      </c>
      <c r="F20">
        <v>18000000</v>
      </c>
      <c r="G20">
        <v>18000000</v>
      </c>
      <c r="H20">
        <v>7646889583.3429079</v>
      </c>
      <c r="I20">
        <v>8.7227530671651238E-6</v>
      </c>
      <c r="J20">
        <v>1.2638176723869799E-5</v>
      </c>
      <c r="K20">
        <v>517.95978738015447</v>
      </c>
      <c r="L20">
        <v>42382.719907460596</v>
      </c>
      <c r="M20">
        <v>0</v>
      </c>
      <c r="O20" t="s">
        <v>356</v>
      </c>
    </row>
    <row r="21" spans="1:15" x14ac:dyDescent="0.15">
      <c r="A21">
        <v>227</v>
      </c>
      <c r="B21" t="s">
        <v>295</v>
      </c>
      <c r="C21" t="s">
        <v>352</v>
      </c>
      <c r="D21">
        <v>1</v>
      </c>
      <c r="E21">
        <v>100000</v>
      </c>
      <c r="F21">
        <v>18000000</v>
      </c>
      <c r="G21">
        <v>9050000</v>
      </c>
      <c r="H21">
        <v>-186690.17312073839</v>
      </c>
      <c r="I21">
        <v>-3.9708064642781189E-6</v>
      </c>
      <c r="J21">
        <v>-5.5382807573444536E-8</v>
      </c>
      <c r="K21">
        <v>-1.2645403248167403E-2</v>
      </c>
      <c r="L21">
        <v>-102.06287484111313</v>
      </c>
      <c r="M21">
        <v>0</v>
      </c>
    </row>
    <row r="22" spans="1:15" x14ac:dyDescent="0.15">
      <c r="A22">
        <v>227</v>
      </c>
      <c r="B22" t="s">
        <v>295</v>
      </c>
      <c r="C22" t="s">
        <v>352</v>
      </c>
      <c r="D22">
        <v>2</v>
      </c>
      <c r="E22">
        <v>9050000</v>
      </c>
      <c r="F22">
        <v>18000000</v>
      </c>
      <c r="G22">
        <v>13525000</v>
      </c>
      <c r="H22">
        <v>-38914145.959053874</v>
      </c>
      <c r="I22">
        <v>-1.0739978921926705E-6</v>
      </c>
      <c r="J22">
        <v>2.8414257645120042E-6</v>
      </c>
      <c r="K22">
        <v>-2.6358380812686559</v>
      </c>
      <c r="L22">
        <v>-387.72011799670145</v>
      </c>
      <c r="M22">
        <v>0</v>
      </c>
    </row>
    <row r="23" spans="1:15" x14ac:dyDescent="0.15">
      <c r="A23">
        <v>227</v>
      </c>
      <c r="B23" t="s">
        <v>295</v>
      </c>
      <c r="C23" t="s">
        <v>352</v>
      </c>
      <c r="D23">
        <v>3</v>
      </c>
      <c r="E23">
        <v>13525000</v>
      </c>
      <c r="F23">
        <v>18000000</v>
      </c>
      <c r="G23">
        <v>15762500</v>
      </c>
      <c r="H23">
        <v>506662884.90162081</v>
      </c>
      <c r="I23">
        <v>1.4656707551224785E-6</v>
      </c>
      <c r="J23">
        <v>5.3810944118271533E-6</v>
      </c>
      <c r="K23">
        <v>34.318659538213851</v>
      </c>
      <c r="L23">
        <v>3114.3561294313772</v>
      </c>
      <c r="M23">
        <v>0</v>
      </c>
    </row>
    <row r="24" spans="1:15" x14ac:dyDescent="0.15">
      <c r="A24">
        <v>227</v>
      </c>
      <c r="B24" t="s">
        <v>295</v>
      </c>
      <c r="C24" t="s">
        <v>352</v>
      </c>
      <c r="D24">
        <v>4</v>
      </c>
      <c r="E24">
        <v>13525000</v>
      </c>
      <c r="F24">
        <v>15762500</v>
      </c>
      <c r="G24">
        <v>14643750</v>
      </c>
      <c r="H24">
        <v>14399359.8233959</v>
      </c>
      <c r="I24">
        <v>8.4735099926780847E-8</v>
      </c>
      <c r="J24">
        <v>4.0001587566314556E-6</v>
      </c>
      <c r="K24">
        <v>0.97533634705315309</v>
      </c>
      <c r="L24">
        <v>-1.6689043216669199</v>
      </c>
      <c r="M24">
        <v>0</v>
      </c>
    </row>
    <row r="25" spans="1:15" x14ac:dyDescent="0.15">
      <c r="A25">
        <v>227</v>
      </c>
      <c r="B25" t="s">
        <v>295</v>
      </c>
      <c r="C25" t="s">
        <v>352</v>
      </c>
      <c r="D25">
        <v>5</v>
      </c>
      <c r="E25">
        <v>14643750</v>
      </c>
      <c r="F25">
        <v>15762500</v>
      </c>
      <c r="G25">
        <v>15203125</v>
      </c>
      <c r="H25">
        <v>190607994.80653635</v>
      </c>
      <c r="I25">
        <v>7.4805805649271566E-7</v>
      </c>
      <c r="J25">
        <v>4.6634817131973904E-6</v>
      </c>
      <c r="K25">
        <v>12.910775732659609</v>
      </c>
      <c r="L25">
        <v>1153.7422063328188</v>
      </c>
      <c r="M25">
        <v>0</v>
      </c>
    </row>
    <row r="26" spans="1:15" x14ac:dyDescent="0.15">
      <c r="A26">
        <v>227</v>
      </c>
      <c r="B26" t="s">
        <v>295</v>
      </c>
      <c r="C26" t="s">
        <v>352</v>
      </c>
      <c r="D26">
        <v>6</v>
      </c>
      <c r="E26">
        <v>14643750</v>
      </c>
      <c r="F26">
        <v>15203125</v>
      </c>
      <c r="G26">
        <v>14923437.5</v>
      </c>
      <c r="H26">
        <v>86586507.951768115</v>
      </c>
      <c r="I26">
        <v>4.0951068153660231E-7</v>
      </c>
      <c r="J26">
        <v>4.324934338241277E-6</v>
      </c>
      <c r="K26">
        <v>5.8649113158872126</v>
      </c>
      <c r="L26">
        <v>480.20484859314831</v>
      </c>
      <c r="M26">
        <v>0</v>
      </c>
    </row>
    <row r="27" spans="1:15" x14ac:dyDescent="0.15">
      <c r="A27">
        <v>227</v>
      </c>
      <c r="B27" t="s">
        <v>295</v>
      </c>
      <c r="C27" t="s">
        <v>352</v>
      </c>
      <c r="D27">
        <v>7</v>
      </c>
      <c r="E27">
        <v>14643750</v>
      </c>
      <c r="F27">
        <v>14923437.5</v>
      </c>
      <c r="G27">
        <v>14783593.75</v>
      </c>
      <c r="H27">
        <v>46729955.470157258</v>
      </c>
      <c r="I27">
        <v>2.4539553370089267E-7</v>
      </c>
      <c r="J27">
        <v>4.1608191904055674E-6</v>
      </c>
      <c r="K27">
        <v>3.1652396096225095</v>
      </c>
      <c r="L27">
        <v>216.09334144586634</v>
      </c>
      <c r="M27">
        <v>0</v>
      </c>
    </row>
    <row r="28" spans="1:15" x14ac:dyDescent="0.15">
      <c r="A28">
        <v>227</v>
      </c>
      <c r="B28" t="s">
        <v>295</v>
      </c>
      <c r="C28" t="s">
        <v>352</v>
      </c>
      <c r="D28">
        <v>8</v>
      </c>
      <c r="E28">
        <v>14643750</v>
      </c>
      <c r="F28">
        <v>14783593.75</v>
      </c>
      <c r="G28">
        <v>14713671.875</v>
      </c>
      <c r="H28">
        <v>29653272.693911228</v>
      </c>
      <c r="I28">
        <v>1.6463755088356223E-7</v>
      </c>
      <c r="J28">
        <v>4.080061207588237E-6</v>
      </c>
      <c r="K28">
        <v>2.0085555901213348</v>
      </c>
      <c r="L28">
        <v>101.53550348159594</v>
      </c>
      <c r="M28">
        <v>0</v>
      </c>
    </row>
    <row r="29" spans="1:15" x14ac:dyDescent="0.15">
      <c r="A29">
        <v>227</v>
      </c>
      <c r="B29" t="s">
        <v>295</v>
      </c>
      <c r="C29" t="s">
        <v>352</v>
      </c>
      <c r="D29">
        <v>9</v>
      </c>
      <c r="E29">
        <v>14643750</v>
      </c>
      <c r="F29">
        <v>14713671.875</v>
      </c>
      <c r="G29">
        <v>14678710.9375</v>
      </c>
      <c r="H29">
        <v>21801732.710680261</v>
      </c>
      <c r="I29">
        <v>1.2457748532710126E-7</v>
      </c>
      <c r="J29">
        <v>4.040001142031776E-6</v>
      </c>
      <c r="K29">
        <v>1.4767338688845462</v>
      </c>
      <c r="L29">
        <v>48.526207808772455</v>
      </c>
      <c r="M29">
        <v>0</v>
      </c>
    </row>
    <row r="30" spans="1:15" x14ac:dyDescent="0.15">
      <c r="A30">
        <v>227</v>
      </c>
      <c r="B30" t="s">
        <v>295</v>
      </c>
      <c r="C30" t="s">
        <v>352</v>
      </c>
      <c r="D30">
        <v>10</v>
      </c>
      <c r="E30">
        <v>14643750</v>
      </c>
      <c r="F30">
        <v>14678710.9375</v>
      </c>
      <c r="G30">
        <v>14661230.46875</v>
      </c>
      <c r="H30">
        <v>18044874.00956098</v>
      </c>
      <c r="I30">
        <v>1.0462911937784624E-7</v>
      </c>
      <c r="J30">
        <v>4.020052776082521E-6</v>
      </c>
      <c r="K30">
        <v>1.2222641641973291</v>
      </c>
      <c r="L30">
        <v>23.078851042026255</v>
      </c>
      <c r="M30">
        <v>0</v>
      </c>
    </row>
    <row r="31" spans="1:15" x14ac:dyDescent="0.15">
      <c r="A31">
        <v>227</v>
      </c>
      <c r="B31" t="s">
        <v>295</v>
      </c>
      <c r="C31" t="s">
        <v>352</v>
      </c>
      <c r="D31">
        <v>11</v>
      </c>
      <c r="E31">
        <v>14643750</v>
      </c>
      <c r="F31">
        <v>14661230.46875</v>
      </c>
      <c r="G31">
        <v>14652490.234375</v>
      </c>
      <c r="H31">
        <v>16208244.60719708</v>
      </c>
      <c r="I31">
        <v>9.4675246655434424E-8</v>
      </c>
      <c r="J31">
        <v>4.0100989033601092E-6</v>
      </c>
      <c r="K31">
        <v>1.0978606188896072</v>
      </c>
      <c r="L31">
        <v>10.617678960619626</v>
      </c>
      <c r="M31">
        <v>0</v>
      </c>
    </row>
    <row r="32" spans="1:15" x14ac:dyDescent="0.15">
      <c r="A32">
        <v>227</v>
      </c>
      <c r="B32" t="s">
        <v>295</v>
      </c>
      <c r="C32" t="s">
        <v>352</v>
      </c>
      <c r="D32">
        <v>12</v>
      </c>
      <c r="E32">
        <v>14643750</v>
      </c>
      <c r="F32">
        <v>14652490.234375</v>
      </c>
      <c r="G32">
        <v>14648120.1171875</v>
      </c>
      <c r="H32">
        <v>15300339.503008176</v>
      </c>
      <c r="I32">
        <v>8.9703446262529573E-8</v>
      </c>
      <c r="J32">
        <v>4.0051271029672043E-6</v>
      </c>
      <c r="K32">
        <v>1.0363639371863174</v>
      </c>
      <c r="L32">
        <v>4.4525808131200968</v>
      </c>
      <c r="M32">
        <v>0</v>
      </c>
    </row>
    <row r="33" spans="1:15" x14ac:dyDescent="0.15">
      <c r="A33">
        <v>227</v>
      </c>
      <c r="B33" t="s">
        <v>295</v>
      </c>
      <c r="C33" t="s">
        <v>352</v>
      </c>
      <c r="D33">
        <v>13</v>
      </c>
      <c r="E33">
        <v>14643750</v>
      </c>
      <c r="F33">
        <v>14648120.1171875</v>
      </c>
      <c r="G33">
        <v>14645935.05859375</v>
      </c>
      <c r="H33">
        <v>14848986.846368833</v>
      </c>
      <c r="I33">
        <v>8.7218851964571127E-8</v>
      </c>
      <c r="J33">
        <v>4.0026425086692459E-6</v>
      </c>
      <c r="K33">
        <v>1.005791699478632</v>
      </c>
      <c r="L33">
        <v>1.3864037151792397</v>
      </c>
      <c r="M33">
        <v>0</v>
      </c>
    </row>
    <row r="34" spans="1:15" x14ac:dyDescent="0.15">
      <c r="A34">
        <v>227</v>
      </c>
      <c r="B34" t="s">
        <v>295</v>
      </c>
      <c r="C34" t="s">
        <v>352</v>
      </c>
      <c r="D34">
        <v>14</v>
      </c>
      <c r="E34">
        <v>14643750</v>
      </c>
      <c r="F34">
        <v>14645935.05859375</v>
      </c>
      <c r="G34">
        <v>14644842.529296875</v>
      </c>
      <c r="H34">
        <v>14623983.675563609</v>
      </c>
      <c r="I34">
        <v>8.5977013904271249E-8</v>
      </c>
      <c r="J34">
        <v>4.001400670608946E-6</v>
      </c>
      <c r="K34">
        <v>0.99055117674844939</v>
      </c>
      <c r="L34">
        <v>-0.14243139652432468</v>
      </c>
      <c r="M34">
        <v>0</v>
      </c>
    </row>
    <row r="35" spans="1:15" x14ac:dyDescent="0.15">
      <c r="A35">
        <v>227</v>
      </c>
      <c r="B35" t="s">
        <v>295</v>
      </c>
      <c r="C35" t="s">
        <v>353</v>
      </c>
      <c r="D35">
        <v>14</v>
      </c>
      <c r="E35">
        <v>14643750</v>
      </c>
      <c r="F35">
        <v>14645935.05859375</v>
      </c>
      <c r="G35">
        <v>14644842.529296875</v>
      </c>
      <c r="H35">
        <v>14623983.675563609</v>
      </c>
      <c r="I35">
        <v>8.5977013904271249E-8</v>
      </c>
      <c r="J35">
        <v>4.001400670608946E-6</v>
      </c>
      <c r="K35">
        <v>0.99055117674844939</v>
      </c>
      <c r="L35">
        <v>-0.14243139652432468</v>
      </c>
      <c r="M35">
        <v>0</v>
      </c>
      <c r="N35" t="s">
        <v>354</v>
      </c>
      <c r="O35" t="s">
        <v>355</v>
      </c>
    </row>
    <row r="36" spans="1:15" x14ac:dyDescent="0.15">
      <c r="A36">
        <v>228</v>
      </c>
      <c r="B36" t="s">
        <v>70</v>
      </c>
      <c r="C36" t="s">
        <v>349</v>
      </c>
      <c r="D36">
        <v>0</v>
      </c>
      <c r="E36">
        <v>100000</v>
      </c>
      <c r="F36">
        <v>12000000</v>
      </c>
      <c r="G36">
        <v>100000</v>
      </c>
      <c r="H36">
        <v>-49.975863607293881</v>
      </c>
      <c r="I36">
        <v>-3.2120718791598958E-4</v>
      </c>
      <c r="J36">
        <v>-3.026442801904594E-4</v>
      </c>
      <c r="K36">
        <v>-1.2376772716327112E-5</v>
      </c>
      <c r="L36">
        <v>-100.04997586360729</v>
      </c>
      <c r="M36">
        <v>0</v>
      </c>
      <c r="O36" t="s">
        <v>350</v>
      </c>
    </row>
    <row r="37" spans="1:15" x14ac:dyDescent="0.15">
      <c r="A37">
        <v>228</v>
      </c>
      <c r="B37" t="s">
        <v>70</v>
      </c>
      <c r="C37" t="s">
        <v>349</v>
      </c>
      <c r="D37">
        <v>0</v>
      </c>
      <c r="E37">
        <v>100000</v>
      </c>
      <c r="F37">
        <v>12000000</v>
      </c>
      <c r="G37">
        <v>12000000</v>
      </c>
      <c r="H37">
        <v>7942256584855.2656</v>
      </c>
      <c r="I37">
        <v>1.1864014270305132E-2</v>
      </c>
      <c r="J37">
        <v>1.1882577178030661E-2</v>
      </c>
      <c r="K37">
        <v>1966939.588636931</v>
      </c>
      <c r="L37">
        <v>66185371.540460549</v>
      </c>
      <c r="M37">
        <v>0</v>
      </c>
      <c r="O37" t="s">
        <v>351</v>
      </c>
    </row>
    <row r="38" spans="1:15" x14ac:dyDescent="0.15">
      <c r="A38">
        <v>228</v>
      </c>
      <c r="B38" t="s">
        <v>70</v>
      </c>
      <c r="C38" t="s">
        <v>352</v>
      </c>
      <c r="D38">
        <v>1</v>
      </c>
      <c r="E38">
        <v>100000</v>
      </c>
      <c r="F38">
        <v>12000000</v>
      </c>
      <c r="G38">
        <v>6050000</v>
      </c>
      <c r="H38">
        <v>55881154262.522484</v>
      </c>
      <c r="I38">
        <v>2.4382512111362906E-4</v>
      </c>
      <c r="J38">
        <v>2.6238802883915921E-4</v>
      </c>
      <c r="K38">
        <v>13839.247498912913</v>
      </c>
      <c r="L38">
        <v>923555.44235574349</v>
      </c>
      <c r="M38">
        <v>0</v>
      </c>
    </row>
    <row r="39" spans="1:15" x14ac:dyDescent="0.15">
      <c r="A39">
        <v>228</v>
      </c>
      <c r="B39" t="s">
        <v>70</v>
      </c>
      <c r="C39" t="s">
        <v>352</v>
      </c>
      <c r="D39">
        <v>2</v>
      </c>
      <c r="E39">
        <v>100000</v>
      </c>
      <c r="F39">
        <v>6050000</v>
      </c>
      <c r="G39">
        <v>3075000</v>
      </c>
      <c r="H39">
        <v>-407244.27738409961</v>
      </c>
      <c r="I39">
        <v>-1.4284704435446428E-5</v>
      </c>
      <c r="J39">
        <v>4.278203290083724E-6</v>
      </c>
      <c r="K39">
        <v>-0.10085608326480709</v>
      </c>
      <c r="L39">
        <v>-113.24371633769429</v>
      </c>
      <c r="M39">
        <v>0</v>
      </c>
    </row>
    <row r="40" spans="1:15" x14ac:dyDescent="0.15">
      <c r="A40">
        <v>228</v>
      </c>
      <c r="B40" t="s">
        <v>70</v>
      </c>
      <c r="C40" t="s">
        <v>352</v>
      </c>
      <c r="D40">
        <v>3</v>
      </c>
      <c r="E40">
        <v>3075000</v>
      </c>
      <c r="F40">
        <v>6050000</v>
      </c>
      <c r="G40">
        <v>4562500</v>
      </c>
      <c r="H40">
        <v>2423635837.4877157</v>
      </c>
      <c r="I40">
        <v>2.2860684444666719E-5</v>
      </c>
      <c r="J40">
        <v>4.142359217019687E-5</v>
      </c>
      <c r="K40">
        <v>600.22554374333208</v>
      </c>
      <c r="L40">
        <v>53020.785479182807</v>
      </c>
      <c r="M40">
        <v>0</v>
      </c>
    </row>
    <row r="41" spans="1:15" x14ac:dyDescent="0.15">
      <c r="A41">
        <v>228</v>
      </c>
      <c r="B41" t="s">
        <v>70</v>
      </c>
      <c r="C41" t="s">
        <v>352</v>
      </c>
      <c r="D41">
        <v>4</v>
      </c>
      <c r="E41">
        <v>3075000</v>
      </c>
      <c r="F41">
        <v>4562500</v>
      </c>
      <c r="G41">
        <v>3818750</v>
      </c>
      <c r="H41">
        <v>-54255484.250255771</v>
      </c>
      <c r="I41">
        <v>-6.9501453772950355E-6</v>
      </c>
      <c r="J41">
        <v>1.1612762348235115E-5</v>
      </c>
      <c r="K41">
        <v>-13.436642185042214</v>
      </c>
      <c r="L41">
        <v>-1520.7655450148811</v>
      </c>
      <c r="M41">
        <v>0</v>
      </c>
    </row>
    <row r="42" spans="1:15" x14ac:dyDescent="0.15">
      <c r="A42">
        <v>228</v>
      </c>
      <c r="B42" t="s">
        <v>70</v>
      </c>
      <c r="C42" t="s">
        <v>352</v>
      </c>
      <c r="D42">
        <v>5</v>
      </c>
      <c r="E42">
        <v>3818750</v>
      </c>
      <c r="F42">
        <v>4562500</v>
      </c>
      <c r="G42">
        <v>4190625</v>
      </c>
      <c r="H42">
        <v>202894929.31284666</v>
      </c>
      <c r="I42">
        <v>3.081251411241875E-6</v>
      </c>
      <c r="J42">
        <v>2.1644159136772026E-5</v>
      </c>
      <c r="K42">
        <v>50.247944590473388</v>
      </c>
      <c r="L42">
        <v>4741.6388799486149</v>
      </c>
      <c r="M42">
        <v>0</v>
      </c>
    </row>
    <row r="43" spans="1:15" x14ac:dyDescent="0.15">
      <c r="A43">
        <v>228</v>
      </c>
      <c r="B43" t="s">
        <v>70</v>
      </c>
      <c r="C43" t="s">
        <v>352</v>
      </c>
      <c r="D43">
        <v>6</v>
      </c>
      <c r="E43">
        <v>3818750</v>
      </c>
      <c r="F43">
        <v>4190625</v>
      </c>
      <c r="G43">
        <v>4004687.5</v>
      </c>
      <c r="H43">
        <v>-101039827.84520838</v>
      </c>
      <c r="I43">
        <v>-3.5751530664895765E-6</v>
      </c>
      <c r="J43">
        <v>1.4987754659040574E-5</v>
      </c>
      <c r="K43">
        <v>-25.023018999004321</v>
      </c>
      <c r="L43">
        <v>-2623.0390097906111</v>
      </c>
      <c r="M43">
        <v>0</v>
      </c>
    </row>
    <row r="44" spans="1:15" x14ac:dyDescent="0.15">
      <c r="A44">
        <v>228</v>
      </c>
      <c r="B44" t="s">
        <v>70</v>
      </c>
      <c r="C44" t="s">
        <v>352</v>
      </c>
      <c r="D44">
        <v>7</v>
      </c>
      <c r="E44">
        <v>4004687.5</v>
      </c>
      <c r="F44">
        <v>4190625</v>
      </c>
      <c r="G44">
        <v>4097656.25</v>
      </c>
      <c r="H44">
        <v>-22331614.471533567</v>
      </c>
      <c r="I44">
        <v>-4.7991197190453523E-7</v>
      </c>
      <c r="J44">
        <v>1.8082995753625616E-5</v>
      </c>
      <c r="K44">
        <v>-5.5305360778692627</v>
      </c>
      <c r="L44">
        <v>-644.9850624130213</v>
      </c>
      <c r="M44">
        <v>0</v>
      </c>
    </row>
    <row r="45" spans="1:15" x14ac:dyDescent="0.15">
      <c r="A45">
        <v>228</v>
      </c>
      <c r="B45" t="s">
        <v>70</v>
      </c>
      <c r="C45" t="s">
        <v>352</v>
      </c>
      <c r="D45">
        <v>8</v>
      </c>
      <c r="E45">
        <v>4097656.25</v>
      </c>
      <c r="F45">
        <v>4190625</v>
      </c>
      <c r="G45">
        <v>4144140.625</v>
      </c>
      <c r="H45">
        <v>69523233.527074844</v>
      </c>
      <c r="I45">
        <v>1.2396331965174961E-6</v>
      </c>
      <c r="J45">
        <v>1.9802540922047647E-5</v>
      </c>
      <c r="K45">
        <v>17.217776697772837</v>
      </c>
      <c r="L45">
        <v>1577.6272771167085</v>
      </c>
      <c r="M45">
        <v>0</v>
      </c>
    </row>
    <row r="46" spans="1:15" x14ac:dyDescent="0.15">
      <c r="A46">
        <v>228</v>
      </c>
      <c r="B46" t="s">
        <v>70</v>
      </c>
      <c r="C46" t="s">
        <v>352</v>
      </c>
      <c r="D46">
        <v>9</v>
      </c>
      <c r="E46">
        <v>4097656.25</v>
      </c>
      <c r="F46">
        <v>4144140.625</v>
      </c>
      <c r="G46">
        <v>4120898.4375</v>
      </c>
      <c r="H46">
        <v>18713434.251469955</v>
      </c>
      <c r="I46">
        <v>3.649316269245363E-7</v>
      </c>
      <c r="J46">
        <v>1.8927839352454687E-5</v>
      </c>
      <c r="K46">
        <v>4.6344756399281373</v>
      </c>
      <c r="L46">
        <v>354.11054252583614</v>
      </c>
      <c r="M46">
        <v>0</v>
      </c>
    </row>
    <row r="47" spans="1:15" x14ac:dyDescent="0.15">
      <c r="A47">
        <v>228</v>
      </c>
      <c r="B47" t="s">
        <v>70</v>
      </c>
      <c r="C47" t="s">
        <v>352</v>
      </c>
      <c r="D47">
        <v>10</v>
      </c>
      <c r="E47">
        <v>4097656.25</v>
      </c>
      <c r="F47">
        <v>4120898.4375</v>
      </c>
      <c r="G47">
        <v>4109277.34375</v>
      </c>
      <c r="H47">
        <v>-2991571.9904287742</v>
      </c>
      <c r="I47">
        <v>-6.1179277707481351E-8</v>
      </c>
      <c r="J47">
        <v>1.850172844782267E-5</v>
      </c>
      <c r="K47">
        <v>-0.74087777413942213</v>
      </c>
      <c r="L47">
        <v>-172.80044008172877</v>
      </c>
      <c r="M47">
        <v>0</v>
      </c>
    </row>
    <row r="48" spans="1:15" x14ac:dyDescent="0.15">
      <c r="A48">
        <v>228</v>
      </c>
      <c r="B48" t="s">
        <v>70</v>
      </c>
      <c r="C48" t="s">
        <v>352</v>
      </c>
      <c r="D48">
        <v>11</v>
      </c>
      <c r="E48">
        <v>4109277.34375</v>
      </c>
      <c r="F48">
        <v>4120898.4375</v>
      </c>
      <c r="G48">
        <v>4115087.890625</v>
      </c>
      <c r="H48">
        <v>7560521.113945541</v>
      </c>
      <c r="I48">
        <v>1.5094771270493382E-7</v>
      </c>
      <c r="J48">
        <v>1.8713855438235085E-5</v>
      </c>
      <c r="K48">
        <v>1.8724008889491039</v>
      </c>
      <c r="L48">
        <v>83.726844113583397</v>
      </c>
      <c r="M48">
        <v>0</v>
      </c>
    </row>
    <row r="49" spans="1:15" x14ac:dyDescent="0.15">
      <c r="A49">
        <v>228</v>
      </c>
      <c r="B49" t="s">
        <v>70</v>
      </c>
      <c r="C49" t="s">
        <v>352</v>
      </c>
      <c r="D49">
        <v>12</v>
      </c>
      <c r="E49">
        <v>4109277.34375</v>
      </c>
      <c r="F49">
        <v>4115087.890625</v>
      </c>
      <c r="G49">
        <v>4112182.6171875</v>
      </c>
      <c r="H49">
        <v>2210013.8170410092</v>
      </c>
      <c r="I49">
        <v>4.4653713750698079E-8</v>
      </c>
      <c r="J49">
        <v>1.8607561439280849E-5</v>
      </c>
      <c r="K49">
        <v>0.54732098135202623</v>
      </c>
      <c r="L49">
        <v>-46.256914568824925</v>
      </c>
      <c r="M49">
        <v>0</v>
      </c>
    </row>
    <row r="50" spans="1:15" x14ac:dyDescent="0.15">
      <c r="A50">
        <v>228</v>
      </c>
      <c r="B50" t="s">
        <v>70</v>
      </c>
      <c r="C50" t="s">
        <v>352</v>
      </c>
      <c r="D50">
        <v>13</v>
      </c>
      <c r="E50">
        <v>4112182.6171875</v>
      </c>
      <c r="F50">
        <v>4115087.890625</v>
      </c>
      <c r="G50">
        <v>4113635.25390625</v>
      </c>
      <c r="H50">
        <v>4866531.7595030377</v>
      </c>
      <c r="I50">
        <v>9.7742077239378278E-8</v>
      </c>
      <c r="J50">
        <v>1.8660649802769529E-5</v>
      </c>
      <c r="K50">
        <v>1.2052209438030768</v>
      </c>
      <c r="L50">
        <v>18.302461427075912</v>
      </c>
      <c r="M50">
        <v>0</v>
      </c>
    </row>
    <row r="51" spans="1:15" x14ac:dyDescent="0.15">
      <c r="A51">
        <v>228</v>
      </c>
      <c r="B51" t="s">
        <v>70</v>
      </c>
      <c r="C51" t="s">
        <v>352</v>
      </c>
      <c r="D51">
        <v>14</v>
      </c>
      <c r="E51">
        <v>4112182.6171875</v>
      </c>
      <c r="F51">
        <v>4113635.25390625</v>
      </c>
      <c r="G51">
        <v>4112908.935546875</v>
      </c>
      <c r="H51">
        <v>3533636.3235847694</v>
      </c>
      <c r="I51">
        <v>7.1184006682889879E-8</v>
      </c>
      <c r="J51">
        <v>1.8634091732213041E-5</v>
      </c>
      <c r="K51">
        <v>0.87512271889551441</v>
      </c>
      <c r="L51">
        <v>-14.084255718758877</v>
      </c>
      <c r="M51">
        <v>0</v>
      </c>
    </row>
    <row r="52" spans="1:15" x14ac:dyDescent="0.15">
      <c r="A52">
        <v>228</v>
      </c>
      <c r="B52" t="s">
        <v>70</v>
      </c>
      <c r="C52" t="s">
        <v>352</v>
      </c>
      <c r="D52">
        <v>15</v>
      </c>
      <c r="E52">
        <v>4112908.935546875</v>
      </c>
      <c r="F52">
        <v>4113635.25390625</v>
      </c>
      <c r="G52">
        <v>4113272.0947265625</v>
      </c>
      <c r="H52">
        <v>4198949.5727712745</v>
      </c>
      <c r="I52">
        <v>8.4460081388437589E-8</v>
      </c>
      <c r="J52">
        <v>1.8647367806918588E-5</v>
      </c>
      <c r="K52">
        <v>1.0398908744805373</v>
      </c>
      <c r="L52">
        <v>2.0829518707151697</v>
      </c>
      <c r="M52">
        <v>0</v>
      </c>
    </row>
    <row r="53" spans="1:15" x14ac:dyDescent="0.15">
      <c r="A53">
        <v>228</v>
      </c>
      <c r="B53" t="s">
        <v>70</v>
      </c>
      <c r="C53" t="s">
        <v>352</v>
      </c>
      <c r="D53">
        <v>16</v>
      </c>
      <c r="E53">
        <v>4112908.935546875</v>
      </c>
      <c r="F53">
        <v>4113272.0947265625</v>
      </c>
      <c r="G53">
        <v>4113090.5151367188</v>
      </c>
      <c r="H53">
        <v>3866001.2092258106</v>
      </c>
      <c r="I53">
        <v>7.7821139825456524E-8</v>
      </c>
      <c r="J53">
        <v>1.8640728865355607E-5</v>
      </c>
      <c r="K53">
        <v>0.95743454607656286</v>
      </c>
      <c r="L53">
        <v>-6.0073879969717838</v>
      </c>
      <c r="M53">
        <v>0</v>
      </c>
    </row>
    <row r="54" spans="1:15" x14ac:dyDescent="0.15">
      <c r="A54">
        <v>228</v>
      </c>
      <c r="B54" t="s">
        <v>70</v>
      </c>
      <c r="C54" t="s">
        <v>352</v>
      </c>
      <c r="D54">
        <v>17</v>
      </c>
      <c r="E54">
        <v>4113090.5151367188</v>
      </c>
      <c r="F54">
        <v>4113272.0947265625</v>
      </c>
      <c r="G54">
        <v>4113181.3049316406</v>
      </c>
      <c r="H54">
        <v>4032336.6155306413</v>
      </c>
      <c r="I54">
        <v>8.1139072040662048E-8</v>
      </c>
      <c r="J54">
        <v>1.8644046797570813E-5</v>
      </c>
      <c r="K54">
        <v>0.99862834183945093</v>
      </c>
      <c r="L54">
        <v>-1.9655026950566903</v>
      </c>
      <c r="M54">
        <v>0</v>
      </c>
    </row>
    <row r="55" spans="1:15" x14ac:dyDescent="0.15">
      <c r="A55">
        <v>228</v>
      </c>
      <c r="B55" t="s">
        <v>70</v>
      </c>
      <c r="C55" t="s">
        <v>352</v>
      </c>
      <c r="D55">
        <v>18</v>
      </c>
      <c r="E55">
        <v>4113181.3049316406</v>
      </c>
      <c r="F55">
        <v>4113272.0947265625</v>
      </c>
      <c r="G55">
        <v>4113226.6998291016</v>
      </c>
      <c r="H55">
        <v>4115657.7649999326</v>
      </c>
      <c r="I55">
        <v>8.2800176440983223E-8</v>
      </c>
      <c r="J55">
        <v>1.8645707901971134E-5</v>
      </c>
      <c r="K55">
        <v>1.01926324146916</v>
      </c>
      <c r="L55">
        <v>5.9103602797581131E-2</v>
      </c>
      <c r="M55">
        <v>0</v>
      </c>
    </row>
    <row r="56" spans="1:15" x14ac:dyDescent="0.15">
      <c r="A56">
        <v>228</v>
      </c>
      <c r="B56" t="s">
        <v>70</v>
      </c>
      <c r="C56" t="s">
        <v>353</v>
      </c>
      <c r="D56">
        <v>18</v>
      </c>
      <c r="E56">
        <v>4113181.3049316406</v>
      </c>
      <c r="F56">
        <v>4113272.0947265625</v>
      </c>
      <c r="G56">
        <v>4113226.6998291016</v>
      </c>
      <c r="H56">
        <v>4115657.7649999326</v>
      </c>
      <c r="I56">
        <v>8.2800176440983223E-8</v>
      </c>
      <c r="J56">
        <v>1.8645707901971134E-5</v>
      </c>
      <c r="K56">
        <v>1.01926324146916</v>
      </c>
      <c r="L56">
        <v>5.9103602797581131E-2</v>
      </c>
      <c r="M56">
        <v>0</v>
      </c>
      <c r="N56" t="s">
        <v>354</v>
      </c>
      <c r="O56" t="s">
        <v>355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312</v>
      </c>
      <c r="B1" s="34" t="s">
        <v>313</v>
      </c>
    </row>
    <row r="2" spans="1:2" x14ac:dyDescent="0.15">
      <c r="A2" t="s">
        <v>314</v>
      </c>
      <c r="B2" s="33">
        <v>46185.767939814818</v>
      </c>
    </row>
    <row r="3" spans="1:2" x14ac:dyDescent="0.15">
      <c r="A3" t="s">
        <v>315</v>
      </c>
      <c r="B3" t="s">
        <v>316</v>
      </c>
    </row>
    <row r="4" spans="1:2" x14ac:dyDescent="0.15">
      <c r="A4" t="s">
        <v>317</v>
      </c>
      <c r="B4" t="s">
        <v>318</v>
      </c>
    </row>
    <row r="5" spans="1:2" x14ac:dyDescent="0.15">
      <c r="A5" t="s">
        <v>319</v>
      </c>
      <c r="B5" t="s">
        <v>320</v>
      </c>
    </row>
    <row r="6" spans="1:2" x14ac:dyDescent="0.15">
      <c r="A6" t="s">
        <v>321</v>
      </c>
      <c r="B6">
        <v>88</v>
      </c>
    </row>
    <row r="7" spans="1:2" x14ac:dyDescent="0.15">
      <c r="A7" t="s">
        <v>322</v>
      </c>
      <c r="B7">
        <v>225</v>
      </c>
    </row>
    <row r="8" spans="1:2" x14ac:dyDescent="0.15">
      <c r="A8" t="s">
        <v>323</v>
      </c>
      <c r="B8">
        <v>138</v>
      </c>
    </row>
    <row r="9" spans="1:2" x14ac:dyDescent="0.15">
      <c r="A9" t="s">
        <v>324</v>
      </c>
      <c r="B9">
        <v>16</v>
      </c>
    </row>
    <row r="10" spans="1:2" x14ac:dyDescent="0.15">
      <c r="A10" t="s">
        <v>325</v>
      </c>
      <c r="B10">
        <v>30</v>
      </c>
    </row>
    <row r="11" spans="1:2" x14ac:dyDescent="0.15">
      <c r="A11" t="s">
        <v>326</v>
      </c>
      <c r="B11">
        <v>30</v>
      </c>
    </row>
    <row r="12" spans="1:2" x14ac:dyDescent="0.15">
      <c r="A12" t="s">
        <v>327</v>
      </c>
      <c r="B12">
        <v>30</v>
      </c>
    </row>
    <row r="13" spans="1:2" x14ac:dyDescent="0.15">
      <c r="A13" t="s">
        <v>328</v>
      </c>
      <c r="B13">
        <v>2</v>
      </c>
    </row>
    <row r="14" spans="1:2" x14ac:dyDescent="0.15">
      <c r="A14" t="s">
        <v>329</v>
      </c>
      <c r="B14">
        <v>30</v>
      </c>
    </row>
    <row r="15" spans="1:2" x14ac:dyDescent="0.15">
      <c r="A15" t="s">
        <v>330</v>
      </c>
      <c r="B15">
        <v>0</v>
      </c>
    </row>
    <row r="16" spans="1:2" x14ac:dyDescent="0.15">
      <c r="A16" t="s">
        <v>331</v>
      </c>
      <c r="B16" t="s">
        <v>332</v>
      </c>
    </row>
    <row r="17" spans="1:2" x14ac:dyDescent="0.15">
      <c r="A17" t="s">
        <v>333</v>
      </c>
      <c r="B17" t="s">
        <v>334</v>
      </c>
    </row>
    <row r="18" spans="1:2" x14ac:dyDescent="0.15">
      <c r="A18" t="s">
        <v>335</v>
      </c>
      <c r="B18" t="s">
        <v>336</v>
      </c>
    </row>
    <row r="19" spans="1:2" x14ac:dyDescent="0.15">
      <c r="A19" t="s">
        <v>337</v>
      </c>
      <c r="B19" t="s">
        <v>338</v>
      </c>
    </row>
    <row r="20" spans="1:2" x14ac:dyDescent="0.15">
      <c r="A20" t="s">
        <v>339</v>
      </c>
      <c r="B20" t="s">
        <v>340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2026-06-26T02:27:05Z</dcterms:modified>
</cp:coreProperties>
</file>